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11KgdrUoWmOuim7wOdzgAhjLF35Tr523z\מאגר מידע של גל אלמגור\דוחות תפוקה\דוחות תפוקה ביטוח חיים\2025\02.2025\"/>
    </mc:Choice>
  </mc:AlternateContent>
  <xr:revisionPtr revIDLastSave="0" documentId="13_ncr:1_{A406C569-0090-4E18-B876-41605E8BD702}" xr6:coauthVersionLast="47" xr6:coauthVersionMax="47" xr10:uidLastSave="{00000000-0000-0000-0000-000000000000}"/>
  <bookViews>
    <workbookView xWindow="28680" yWindow="-120" windowWidth="29040" windowHeight="15720" tabRatio="933" activeTab="14" xr2:uid="{EAA44E19-442B-426F-BCE2-2F28622BB0FA}"/>
  </bookViews>
  <sheets>
    <sheet name="דוח הנהלה" sheetId="11" r:id="rId1"/>
    <sheet name="תפוקה מצטברת מול אשתקד" sheetId="12" r:id="rId2"/>
    <sheet name="תפוקה מצטברת מול יעד מצטבר" sheetId="13" r:id="rId3"/>
    <sheet name="תפוקה מול יעד חודשי" sheetId="14" r:id="rId4"/>
    <sheet name="עולים יורדים" sheetId="10" r:id="rId5"/>
    <sheet name="הכשרה" sheetId="1" r:id="rId6"/>
    <sheet name="מגדל" sheetId="3" r:id="rId7"/>
    <sheet name="מנורה" sheetId="2" r:id="rId8"/>
    <sheet name="איילון" sheetId="4" r:id="rId9"/>
    <sheet name="הראל" sheetId="5" r:id="rId10"/>
    <sheet name="הפניקס" sheetId="6" r:id="rId11"/>
    <sheet name="כלל" sheetId="7" r:id="rId12"/>
    <sheet name="מור" sheetId="8" r:id="rId13"/>
    <sheet name="אלטשולר שחם" sheetId="9" r:id="rId14"/>
    <sheet name="מדיהו " sheetId="17" r:id="rId15"/>
    <sheet name="אנליסט " sheetId="15" r:id="rId16"/>
    <sheet name="מיטב דש" sheetId="16" r:id="rId17"/>
    <sheet name="אינפניטי" sheetId="18" r:id="rId18"/>
  </sheets>
  <externalReferences>
    <externalReference r:id="rId19"/>
    <externalReference r:id="rId20"/>
    <externalReference r:id="rId21"/>
    <externalReference r:id="rId22"/>
    <externalReference r:id="rId23"/>
  </externalReferences>
  <definedNames>
    <definedName name="_xlnm._FilterDatabase" localSheetId="8" hidden="1">איילון!$A$2:$N$72</definedName>
    <definedName name="_xlnm._FilterDatabase" localSheetId="17" hidden="1">אינפניטי!$A$2:$K$72</definedName>
    <definedName name="_xlnm._FilterDatabase" localSheetId="13" hidden="1">'אלטשולר שחם'!$A$2:$K$72</definedName>
    <definedName name="_xlnm._FilterDatabase" localSheetId="15" hidden="1">'אנליסט '!$A$2:$K$72</definedName>
    <definedName name="_xlnm._FilterDatabase" localSheetId="5" hidden="1">הכשרה!$A$2:$K$72</definedName>
    <definedName name="_xlnm._FilterDatabase" localSheetId="10" hidden="1">הפניקס!$A$2:$K$72</definedName>
    <definedName name="_xlnm._FilterDatabase" localSheetId="9" hidden="1">הראל!$A$2:$P$72</definedName>
    <definedName name="_xlnm._FilterDatabase" localSheetId="11" hidden="1">כלל!$A$2:$L$72</definedName>
    <definedName name="_xlnm._FilterDatabase" localSheetId="6" hidden="1">מגדל!$A$2:$M$72</definedName>
    <definedName name="_xlnm._FilterDatabase" localSheetId="14" hidden="1">'מדיהו '!$A$2:$K$72</definedName>
    <definedName name="_xlnm._FilterDatabase" localSheetId="12" hidden="1">מור!$A$2:$O$72</definedName>
    <definedName name="_xlnm._FilterDatabase" localSheetId="16" hidden="1">'מיטב דש'!$A$2:$K$72</definedName>
    <definedName name="_xlnm._FilterDatabase" localSheetId="7" hidden="1">מנורה!$A$2:$L$72</definedName>
    <definedName name="_xlnm._FilterDatabase" localSheetId="4" hidden="1">'עולים יורדים'!$A$1:$F$65</definedName>
    <definedName name="_xlnm._FilterDatabase" localSheetId="3" hidden="1">'תפוקה מול יעד חודשי'!$A$2:$O$72</definedName>
    <definedName name="_xlnm._FilterDatabase" localSheetId="1" hidden="1">'תפוקה מצטברת מול אשתקד'!$A$2:$R$72</definedName>
    <definedName name="_xlnm._FilterDatabase" localSheetId="2" hidden="1">'תפוקה מצטברת מול יעד מצטבר'!$A$2:$P$72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2" i="6" l="1"/>
  <c r="H71" i="6"/>
  <c r="H62" i="6"/>
  <c r="I62" i="6"/>
  <c r="J62" i="6"/>
  <c r="K62" i="6"/>
  <c r="H54" i="6"/>
  <c r="I54" i="6"/>
  <c r="J54" i="6"/>
  <c r="K54" i="6"/>
  <c r="J21" i="6"/>
  <c r="H21" i="6"/>
  <c r="I21" i="6"/>
  <c r="K21" i="6"/>
  <c r="H8" i="6"/>
  <c r="I8" i="6"/>
  <c r="J8" i="6"/>
  <c r="K8" i="6"/>
  <c r="H4" i="6"/>
  <c r="I4" i="6"/>
  <c r="J4" i="6"/>
  <c r="K4" i="6"/>
  <c r="H7" i="6"/>
  <c r="I7" i="6"/>
  <c r="J7" i="6"/>
  <c r="K7" i="6"/>
  <c r="H9" i="6"/>
  <c r="I9" i="6"/>
  <c r="J9" i="6"/>
  <c r="K9" i="6"/>
  <c r="H10" i="6"/>
  <c r="I10" i="6"/>
  <c r="J10" i="6"/>
  <c r="K10" i="6"/>
  <c r="H11" i="6"/>
  <c r="I11" i="6"/>
  <c r="J11" i="6"/>
  <c r="K11" i="6"/>
  <c r="H12" i="6"/>
  <c r="I12" i="6"/>
  <c r="J12" i="6"/>
  <c r="K12" i="6"/>
  <c r="H13" i="6"/>
  <c r="I13" i="6"/>
  <c r="J13" i="6"/>
  <c r="K13" i="6"/>
  <c r="H14" i="6"/>
  <c r="I14" i="6"/>
  <c r="J14" i="6"/>
  <c r="K14" i="6"/>
  <c r="H15" i="6"/>
  <c r="I15" i="6"/>
  <c r="J15" i="6"/>
  <c r="K15" i="6"/>
  <c r="H17" i="6"/>
  <c r="I17" i="6"/>
  <c r="J17" i="6"/>
  <c r="K17" i="6"/>
  <c r="H18" i="6"/>
  <c r="I18" i="6"/>
  <c r="J18" i="6"/>
  <c r="K18" i="6"/>
  <c r="H19" i="6"/>
  <c r="I19" i="6"/>
  <c r="J19" i="6"/>
  <c r="K19" i="6"/>
  <c r="H20" i="6"/>
  <c r="I20" i="6"/>
  <c r="J20" i="6"/>
  <c r="K20" i="6"/>
  <c r="H22" i="6"/>
  <c r="I22" i="6"/>
  <c r="J22" i="6"/>
  <c r="K22" i="6"/>
  <c r="H23" i="6"/>
  <c r="I23" i="6"/>
  <c r="J23" i="6"/>
  <c r="K23" i="6"/>
  <c r="H24" i="6"/>
  <c r="I24" i="6"/>
  <c r="J24" i="6"/>
  <c r="K24" i="6"/>
  <c r="H25" i="6"/>
  <c r="I25" i="6"/>
  <c r="J25" i="6"/>
  <c r="K25" i="6"/>
  <c r="H26" i="6"/>
  <c r="I26" i="6"/>
  <c r="J26" i="6"/>
  <c r="K26" i="6"/>
  <c r="H27" i="6"/>
  <c r="I27" i="6"/>
  <c r="J27" i="6"/>
  <c r="K27" i="6"/>
  <c r="H28" i="6"/>
  <c r="I28" i="6"/>
  <c r="J28" i="6"/>
  <c r="K28" i="6"/>
  <c r="H29" i="6"/>
  <c r="I29" i="6"/>
  <c r="J29" i="6"/>
  <c r="K29" i="6"/>
  <c r="H30" i="6"/>
  <c r="I30" i="6"/>
  <c r="J30" i="6"/>
  <c r="K30" i="6"/>
  <c r="H31" i="6"/>
  <c r="I31" i="6"/>
  <c r="J31" i="6"/>
  <c r="K31" i="6"/>
  <c r="H32" i="6"/>
  <c r="I32" i="6"/>
  <c r="J32" i="6"/>
  <c r="K32" i="6"/>
  <c r="H33" i="6"/>
  <c r="I33" i="6"/>
  <c r="J33" i="6"/>
  <c r="K33" i="6"/>
  <c r="H34" i="6"/>
  <c r="I34" i="6"/>
  <c r="J34" i="6"/>
  <c r="K34" i="6"/>
  <c r="H35" i="6"/>
  <c r="I35" i="6"/>
  <c r="J35" i="6"/>
  <c r="K35" i="6"/>
  <c r="H36" i="6"/>
  <c r="I36" i="6"/>
  <c r="J36" i="6"/>
  <c r="K36" i="6"/>
  <c r="H37" i="6"/>
  <c r="I37" i="6"/>
  <c r="J37" i="6"/>
  <c r="K37" i="6"/>
  <c r="H38" i="6"/>
  <c r="I38" i="6"/>
  <c r="J38" i="6"/>
  <c r="K38" i="6"/>
  <c r="H39" i="6"/>
  <c r="I39" i="6"/>
  <c r="J39" i="6"/>
  <c r="K39" i="6"/>
  <c r="H43" i="6"/>
  <c r="I43" i="6"/>
  <c r="J43" i="6"/>
  <c r="K43" i="6"/>
  <c r="H44" i="6"/>
  <c r="I44" i="6"/>
  <c r="J44" i="6"/>
  <c r="K44" i="6"/>
  <c r="H45" i="6"/>
  <c r="I45" i="6"/>
  <c r="J45" i="6"/>
  <c r="K45" i="6"/>
  <c r="H47" i="6"/>
  <c r="I47" i="6"/>
  <c r="J47" i="6"/>
  <c r="K47" i="6"/>
  <c r="H48" i="6"/>
  <c r="I48" i="6"/>
  <c r="J48" i="6"/>
  <c r="K48" i="6"/>
  <c r="H50" i="6"/>
  <c r="I50" i="6"/>
  <c r="J50" i="6"/>
  <c r="K50" i="6"/>
  <c r="H51" i="6"/>
  <c r="I51" i="6"/>
  <c r="J51" i="6"/>
  <c r="K51" i="6"/>
  <c r="H52" i="6"/>
  <c r="I52" i="6"/>
  <c r="J52" i="6"/>
  <c r="K52" i="6"/>
  <c r="H53" i="6"/>
  <c r="I53" i="6"/>
  <c r="J53" i="6"/>
  <c r="K53" i="6"/>
  <c r="H55" i="6"/>
  <c r="I55" i="6"/>
  <c r="J55" i="6"/>
  <c r="K55" i="6"/>
  <c r="H56" i="6"/>
  <c r="I56" i="6"/>
  <c r="J56" i="6"/>
  <c r="K56" i="6"/>
  <c r="H57" i="6"/>
  <c r="I57" i="6"/>
  <c r="J57" i="6"/>
  <c r="K57" i="6"/>
  <c r="H58" i="6"/>
  <c r="I58" i="6"/>
  <c r="J58" i="6"/>
  <c r="K58" i="6"/>
  <c r="H59" i="6"/>
  <c r="I59" i="6"/>
  <c r="J59" i="6"/>
  <c r="K59" i="6"/>
  <c r="H60" i="6"/>
  <c r="I60" i="6"/>
  <c r="J60" i="6"/>
  <c r="K60" i="6"/>
  <c r="H63" i="6"/>
  <c r="I63" i="6"/>
  <c r="J63" i="6"/>
  <c r="K63" i="6"/>
  <c r="H64" i="6"/>
  <c r="I64" i="6"/>
  <c r="J64" i="6"/>
  <c r="K64" i="6"/>
  <c r="H65" i="6"/>
  <c r="I65" i="6"/>
  <c r="J65" i="6"/>
  <c r="K65" i="6"/>
  <c r="H66" i="6"/>
  <c r="I66" i="6"/>
  <c r="J66" i="6"/>
  <c r="K66" i="6"/>
  <c r="H67" i="6"/>
  <c r="I67" i="6"/>
  <c r="J67" i="6"/>
  <c r="K67" i="6"/>
  <c r="H70" i="6"/>
  <c r="I70" i="6"/>
  <c r="J70" i="6"/>
  <c r="K70" i="6"/>
  <c r="K3" i="6"/>
  <c r="J3" i="6"/>
  <c r="I3" i="6"/>
  <c r="H3" i="6"/>
  <c r="H72" i="2"/>
  <c r="H71" i="2"/>
  <c r="H62" i="2"/>
  <c r="I62" i="2"/>
  <c r="J62" i="2"/>
  <c r="K62" i="2"/>
  <c r="H54" i="2"/>
  <c r="I54" i="2"/>
  <c r="J54" i="2"/>
  <c r="K54" i="2"/>
  <c r="H21" i="2"/>
  <c r="I21" i="2"/>
  <c r="J21" i="2"/>
  <c r="K21" i="2"/>
  <c r="H8" i="2"/>
  <c r="I8" i="2"/>
  <c r="J8" i="2"/>
  <c r="K8" i="2"/>
  <c r="I4" i="2"/>
  <c r="J4" i="2"/>
  <c r="K4" i="2"/>
  <c r="I7" i="2"/>
  <c r="J7" i="2"/>
  <c r="K7" i="2"/>
  <c r="I9" i="2"/>
  <c r="J9" i="2"/>
  <c r="K9" i="2"/>
  <c r="I10" i="2"/>
  <c r="J10" i="2"/>
  <c r="K10" i="2"/>
  <c r="I11" i="2"/>
  <c r="J11" i="2"/>
  <c r="K11" i="2"/>
  <c r="I12" i="2"/>
  <c r="J12" i="2"/>
  <c r="K12" i="2"/>
  <c r="I13" i="2"/>
  <c r="J13" i="2"/>
  <c r="K13" i="2"/>
  <c r="I14" i="2"/>
  <c r="J14" i="2"/>
  <c r="K14" i="2"/>
  <c r="I15" i="2"/>
  <c r="J15" i="2"/>
  <c r="K15" i="2"/>
  <c r="I17" i="2"/>
  <c r="J17" i="2"/>
  <c r="K17" i="2"/>
  <c r="I18" i="2"/>
  <c r="J18" i="2"/>
  <c r="K18" i="2"/>
  <c r="I19" i="2"/>
  <c r="J19" i="2"/>
  <c r="K19" i="2"/>
  <c r="I20" i="2"/>
  <c r="J20" i="2"/>
  <c r="K20" i="2"/>
  <c r="I22" i="2"/>
  <c r="J22" i="2"/>
  <c r="K22" i="2"/>
  <c r="I23" i="2"/>
  <c r="J23" i="2"/>
  <c r="K23" i="2"/>
  <c r="I24" i="2"/>
  <c r="J24" i="2"/>
  <c r="K24" i="2"/>
  <c r="I25" i="2"/>
  <c r="J25" i="2"/>
  <c r="K25" i="2"/>
  <c r="I26" i="2"/>
  <c r="J26" i="2"/>
  <c r="K26" i="2"/>
  <c r="I27" i="2"/>
  <c r="J27" i="2"/>
  <c r="K27" i="2"/>
  <c r="I28" i="2"/>
  <c r="J28" i="2"/>
  <c r="K28" i="2"/>
  <c r="I29" i="2"/>
  <c r="J29" i="2"/>
  <c r="K29" i="2"/>
  <c r="I30" i="2"/>
  <c r="J30" i="2"/>
  <c r="K30" i="2"/>
  <c r="I31" i="2"/>
  <c r="J31" i="2"/>
  <c r="K31" i="2"/>
  <c r="I32" i="2"/>
  <c r="J32" i="2"/>
  <c r="K32" i="2"/>
  <c r="I33" i="2"/>
  <c r="J33" i="2"/>
  <c r="K33" i="2"/>
  <c r="I34" i="2"/>
  <c r="J34" i="2"/>
  <c r="K34" i="2"/>
  <c r="I35" i="2"/>
  <c r="J35" i="2"/>
  <c r="K35" i="2"/>
  <c r="I36" i="2"/>
  <c r="J36" i="2"/>
  <c r="K36" i="2"/>
  <c r="I37" i="2"/>
  <c r="J37" i="2"/>
  <c r="K37" i="2"/>
  <c r="I38" i="2"/>
  <c r="J38" i="2"/>
  <c r="K38" i="2"/>
  <c r="I39" i="2"/>
  <c r="J39" i="2"/>
  <c r="K39" i="2"/>
  <c r="I50" i="2"/>
  <c r="J50" i="2"/>
  <c r="K50" i="2"/>
  <c r="I51" i="2"/>
  <c r="J51" i="2"/>
  <c r="K51" i="2"/>
  <c r="I52" i="2"/>
  <c r="J52" i="2"/>
  <c r="K52" i="2"/>
  <c r="I53" i="2"/>
  <c r="J53" i="2"/>
  <c r="K53" i="2"/>
  <c r="I55" i="2"/>
  <c r="J55" i="2"/>
  <c r="K55" i="2"/>
  <c r="I56" i="2"/>
  <c r="J56" i="2"/>
  <c r="K56" i="2"/>
  <c r="I57" i="2"/>
  <c r="J57" i="2"/>
  <c r="K57" i="2"/>
  <c r="I58" i="2"/>
  <c r="J58" i="2"/>
  <c r="K58" i="2"/>
  <c r="I59" i="2"/>
  <c r="J59" i="2"/>
  <c r="K59" i="2"/>
  <c r="I60" i="2"/>
  <c r="J60" i="2"/>
  <c r="K60" i="2"/>
  <c r="I63" i="2"/>
  <c r="J63" i="2"/>
  <c r="K63" i="2"/>
  <c r="I64" i="2"/>
  <c r="J64" i="2"/>
  <c r="K64" i="2"/>
  <c r="I65" i="2"/>
  <c r="J65" i="2"/>
  <c r="K65" i="2"/>
  <c r="I66" i="2"/>
  <c r="J66" i="2"/>
  <c r="K66" i="2"/>
  <c r="I67" i="2"/>
  <c r="J67" i="2"/>
  <c r="K67" i="2"/>
  <c r="I70" i="2"/>
  <c r="J70" i="2"/>
  <c r="K70" i="2"/>
  <c r="K3" i="2"/>
  <c r="J3" i="2"/>
  <c r="I3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50" i="2"/>
  <c r="H51" i="2"/>
  <c r="H52" i="2"/>
  <c r="H53" i="2"/>
  <c r="H55" i="2"/>
  <c r="H56" i="2"/>
  <c r="H57" i="2"/>
  <c r="H58" i="2"/>
  <c r="H59" i="2"/>
  <c r="H60" i="2"/>
  <c r="H63" i="2"/>
  <c r="H64" i="2"/>
  <c r="H65" i="2"/>
  <c r="H66" i="2"/>
  <c r="H67" i="2"/>
  <c r="H70" i="2"/>
  <c r="H10" i="2"/>
  <c r="H11" i="2"/>
  <c r="H12" i="2"/>
  <c r="H13" i="2"/>
  <c r="H14" i="2"/>
  <c r="H15" i="2"/>
  <c r="H17" i="2"/>
  <c r="H18" i="2"/>
  <c r="H19" i="2"/>
  <c r="H20" i="2"/>
  <c r="H9" i="2"/>
  <c r="H4" i="2"/>
  <c r="H7" i="2"/>
  <c r="H3" i="2"/>
  <c r="G8" i="5" l="1"/>
  <c r="I4" i="5"/>
  <c r="J4" i="5"/>
  <c r="K4" i="5"/>
  <c r="I7" i="5"/>
  <c r="J7" i="5"/>
  <c r="K7" i="5"/>
  <c r="I9" i="5"/>
  <c r="I21" i="5" s="1"/>
  <c r="J9" i="5"/>
  <c r="K9" i="5"/>
  <c r="K21" i="5" s="1"/>
  <c r="I10" i="5"/>
  <c r="J10" i="5"/>
  <c r="K10" i="5"/>
  <c r="I11" i="5"/>
  <c r="J11" i="5"/>
  <c r="K11" i="5"/>
  <c r="I12" i="5"/>
  <c r="J12" i="5"/>
  <c r="J21" i="5" s="1"/>
  <c r="K12" i="5"/>
  <c r="I13" i="5"/>
  <c r="J13" i="5"/>
  <c r="K13" i="5"/>
  <c r="I14" i="5"/>
  <c r="J14" i="5"/>
  <c r="K14" i="5"/>
  <c r="I15" i="5"/>
  <c r="J15" i="5"/>
  <c r="K15" i="5"/>
  <c r="I17" i="5"/>
  <c r="J17" i="5"/>
  <c r="K17" i="5"/>
  <c r="I18" i="5"/>
  <c r="J18" i="5"/>
  <c r="K18" i="5"/>
  <c r="I19" i="5"/>
  <c r="J19" i="5"/>
  <c r="K19" i="5"/>
  <c r="I20" i="5"/>
  <c r="J20" i="5"/>
  <c r="K20" i="5"/>
  <c r="I22" i="5"/>
  <c r="I54" i="5" s="1"/>
  <c r="J22" i="5"/>
  <c r="J54" i="5" s="1"/>
  <c r="K22" i="5"/>
  <c r="I23" i="5"/>
  <c r="J23" i="5"/>
  <c r="K23" i="5"/>
  <c r="I24" i="5"/>
  <c r="J24" i="5"/>
  <c r="K24" i="5"/>
  <c r="K54" i="5" s="1"/>
  <c r="I25" i="5"/>
  <c r="J25" i="5"/>
  <c r="K25" i="5"/>
  <c r="I26" i="5"/>
  <c r="J26" i="5"/>
  <c r="K26" i="5"/>
  <c r="I27" i="5"/>
  <c r="J27" i="5"/>
  <c r="K27" i="5"/>
  <c r="I28" i="5"/>
  <c r="J28" i="5"/>
  <c r="K28" i="5"/>
  <c r="I29" i="5"/>
  <c r="J29" i="5"/>
  <c r="K29" i="5"/>
  <c r="I30" i="5"/>
  <c r="J30" i="5"/>
  <c r="K30" i="5"/>
  <c r="I31" i="5"/>
  <c r="J31" i="5"/>
  <c r="K31" i="5"/>
  <c r="I32" i="5"/>
  <c r="J32" i="5"/>
  <c r="K32" i="5"/>
  <c r="I33" i="5"/>
  <c r="J33" i="5"/>
  <c r="K33" i="5"/>
  <c r="I34" i="5"/>
  <c r="J34" i="5"/>
  <c r="K34" i="5"/>
  <c r="I35" i="5"/>
  <c r="J35" i="5"/>
  <c r="K35" i="5"/>
  <c r="I36" i="5"/>
  <c r="J36" i="5"/>
  <c r="K36" i="5"/>
  <c r="I37" i="5"/>
  <c r="J37" i="5"/>
  <c r="K37" i="5"/>
  <c r="I38" i="5"/>
  <c r="J38" i="5"/>
  <c r="K38" i="5"/>
  <c r="I39" i="5"/>
  <c r="J39" i="5"/>
  <c r="K39" i="5"/>
  <c r="I43" i="5"/>
  <c r="J43" i="5"/>
  <c r="K43" i="5"/>
  <c r="I44" i="5"/>
  <c r="J44" i="5"/>
  <c r="K44" i="5"/>
  <c r="I45" i="5"/>
  <c r="J45" i="5"/>
  <c r="K45" i="5"/>
  <c r="I47" i="5"/>
  <c r="J47" i="5"/>
  <c r="K47" i="5"/>
  <c r="I48" i="5"/>
  <c r="J48" i="5"/>
  <c r="K48" i="5"/>
  <c r="I50" i="5"/>
  <c r="J50" i="5"/>
  <c r="K50" i="5"/>
  <c r="I51" i="5"/>
  <c r="J51" i="5"/>
  <c r="K51" i="5"/>
  <c r="I52" i="5"/>
  <c r="J52" i="5"/>
  <c r="K52" i="5"/>
  <c r="I53" i="5"/>
  <c r="J53" i="5"/>
  <c r="K53" i="5"/>
  <c r="I55" i="5"/>
  <c r="I62" i="5" s="1"/>
  <c r="J55" i="5"/>
  <c r="J62" i="5" s="1"/>
  <c r="K55" i="5"/>
  <c r="K62" i="5" s="1"/>
  <c r="I56" i="5"/>
  <c r="J56" i="5"/>
  <c r="K56" i="5"/>
  <c r="I57" i="5"/>
  <c r="J57" i="5"/>
  <c r="K57" i="5"/>
  <c r="I58" i="5"/>
  <c r="J58" i="5"/>
  <c r="K58" i="5"/>
  <c r="I59" i="5"/>
  <c r="J59" i="5"/>
  <c r="K59" i="5"/>
  <c r="I60" i="5"/>
  <c r="J60" i="5"/>
  <c r="K60" i="5"/>
  <c r="I63" i="5"/>
  <c r="J63" i="5"/>
  <c r="K63" i="5"/>
  <c r="I64" i="5"/>
  <c r="J64" i="5"/>
  <c r="K64" i="5"/>
  <c r="I65" i="5"/>
  <c r="J65" i="5"/>
  <c r="K65" i="5"/>
  <c r="I66" i="5"/>
  <c r="J66" i="5"/>
  <c r="K66" i="5"/>
  <c r="I67" i="5"/>
  <c r="J67" i="5"/>
  <c r="K67" i="5"/>
  <c r="I70" i="5"/>
  <c r="J70" i="5"/>
  <c r="K70" i="5"/>
  <c r="K3" i="5"/>
  <c r="K8" i="5" s="1"/>
  <c r="J3" i="5"/>
  <c r="J8" i="5" s="1"/>
  <c r="I3" i="5"/>
  <c r="I8" i="5" s="1"/>
  <c r="H4" i="5"/>
  <c r="H7" i="5"/>
  <c r="H9" i="5"/>
  <c r="H10" i="5"/>
  <c r="H11" i="5"/>
  <c r="H12" i="5"/>
  <c r="H13" i="5"/>
  <c r="H14" i="5"/>
  <c r="H15" i="5"/>
  <c r="H17" i="5"/>
  <c r="H18" i="5"/>
  <c r="H19" i="5"/>
  <c r="H20" i="5"/>
  <c r="H21" i="5" s="1"/>
  <c r="H22" i="5"/>
  <c r="H54" i="5" s="1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3" i="5"/>
  <c r="H44" i="5"/>
  <c r="H45" i="5"/>
  <c r="H50" i="5"/>
  <c r="H51" i="5"/>
  <c r="H52" i="5"/>
  <c r="H53" i="5"/>
  <c r="H55" i="5"/>
  <c r="H62" i="5" s="1"/>
  <c r="H56" i="5"/>
  <c r="H57" i="5"/>
  <c r="H58" i="5"/>
  <c r="H59" i="5"/>
  <c r="H60" i="5"/>
  <c r="H63" i="5"/>
  <c r="H64" i="5"/>
  <c r="H65" i="5"/>
  <c r="H66" i="5"/>
  <c r="H70" i="5"/>
  <c r="H3" i="5"/>
  <c r="H8" i="5" s="1"/>
  <c r="F72" i="8" l="1"/>
  <c r="E71" i="8"/>
  <c r="F71" i="8"/>
  <c r="G71" i="8"/>
  <c r="H71" i="8"/>
  <c r="I71" i="8"/>
  <c r="K71" i="8"/>
  <c r="D71" i="8"/>
  <c r="E62" i="8"/>
  <c r="F62" i="8"/>
  <c r="G62" i="8"/>
  <c r="D62" i="8"/>
  <c r="E54" i="8"/>
  <c r="F54" i="8"/>
  <c r="G54" i="8"/>
  <c r="D54" i="8"/>
  <c r="E21" i="8"/>
  <c r="F21" i="8"/>
  <c r="G21" i="8"/>
  <c r="D21" i="8"/>
  <c r="E8" i="8"/>
  <c r="F8" i="8"/>
  <c r="G8" i="8"/>
  <c r="H8" i="8"/>
  <c r="I8" i="8"/>
  <c r="K8" i="8"/>
  <c r="D8" i="8"/>
  <c r="J9" i="8"/>
  <c r="J10" i="8"/>
  <c r="J11" i="8"/>
  <c r="J12" i="8"/>
  <c r="J13" i="8"/>
  <c r="J14" i="8"/>
  <c r="J15" i="8"/>
  <c r="J17" i="8"/>
  <c r="J18" i="8"/>
  <c r="J19" i="8"/>
  <c r="J20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7" i="8"/>
  <c r="J48" i="8"/>
  <c r="J50" i="8"/>
  <c r="J51" i="8"/>
  <c r="J52" i="8"/>
  <c r="J53" i="8"/>
  <c r="J55" i="8"/>
  <c r="J56" i="8"/>
  <c r="J57" i="8"/>
  <c r="J58" i="8"/>
  <c r="J59" i="8"/>
  <c r="J60" i="8"/>
  <c r="J63" i="8"/>
  <c r="J64" i="8"/>
  <c r="J65" i="8"/>
  <c r="J66" i="8"/>
  <c r="J67" i="8"/>
  <c r="J70" i="8"/>
  <c r="J4" i="8"/>
  <c r="J7" i="8"/>
  <c r="E72" i="3"/>
  <c r="F72" i="3"/>
  <c r="G72" i="3"/>
  <c r="H72" i="3"/>
  <c r="J72" i="3"/>
  <c r="K72" i="3"/>
  <c r="D72" i="3"/>
  <c r="E71" i="3"/>
  <c r="F71" i="3"/>
  <c r="G71" i="3"/>
  <c r="H71" i="3"/>
  <c r="J71" i="3"/>
  <c r="K71" i="3"/>
  <c r="D71" i="3"/>
  <c r="K62" i="3"/>
  <c r="E62" i="3"/>
  <c r="F62" i="3"/>
  <c r="G62" i="3"/>
  <c r="H62" i="3"/>
  <c r="J62" i="3"/>
  <c r="D62" i="3"/>
  <c r="E54" i="3"/>
  <c r="F54" i="3"/>
  <c r="G54" i="3"/>
  <c r="H54" i="3"/>
  <c r="J54" i="3"/>
  <c r="K54" i="3"/>
  <c r="D54" i="3"/>
  <c r="E21" i="3"/>
  <c r="F21" i="3"/>
  <c r="G21" i="3"/>
  <c r="H21" i="3"/>
  <c r="J21" i="3"/>
  <c r="K21" i="3"/>
  <c r="D21" i="3"/>
  <c r="K8" i="3"/>
  <c r="E8" i="3"/>
  <c r="F8" i="3"/>
  <c r="G8" i="3"/>
  <c r="H8" i="3"/>
  <c r="J8" i="3"/>
  <c r="D8" i="3"/>
  <c r="F63" i="3"/>
  <c r="I4" i="3"/>
  <c r="I7" i="3"/>
  <c r="I9" i="3"/>
  <c r="I10" i="3"/>
  <c r="I11" i="3"/>
  <c r="I12" i="3"/>
  <c r="I13" i="3"/>
  <c r="I14" i="3"/>
  <c r="I15" i="3"/>
  <c r="I17" i="3"/>
  <c r="I18" i="3"/>
  <c r="I19" i="3"/>
  <c r="I20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4" i="3"/>
  <c r="I45" i="3"/>
  <c r="I50" i="3"/>
  <c r="I51" i="3"/>
  <c r="I52" i="3"/>
  <c r="I53" i="3"/>
  <c r="I55" i="3"/>
  <c r="I56" i="3"/>
  <c r="I57" i="3"/>
  <c r="I58" i="3"/>
  <c r="I59" i="3"/>
  <c r="I60" i="3"/>
  <c r="I63" i="3"/>
  <c r="I64" i="3"/>
  <c r="I65" i="3"/>
  <c r="I66" i="3"/>
  <c r="I67" i="3"/>
  <c r="I70" i="3"/>
  <c r="I3" i="3"/>
  <c r="J54" i="8" l="1"/>
  <c r="J21" i="8"/>
  <c r="I54" i="3"/>
  <c r="J8" i="8"/>
  <c r="J62" i="8"/>
  <c r="I71" i="3"/>
  <c r="J71" i="8"/>
  <c r="I21" i="3"/>
  <c r="I8" i="3"/>
  <c r="I62" i="3"/>
  <c r="E5" i="4"/>
  <c r="I3" i="4"/>
  <c r="I6" i="4"/>
  <c r="D51" i="11"/>
  <c r="C51" i="11"/>
  <c r="B51" i="11"/>
  <c r="E50" i="11"/>
  <c r="D50" i="11"/>
  <c r="C50" i="11"/>
  <c r="E49" i="11"/>
  <c r="C49" i="11"/>
  <c r="B49" i="11"/>
  <c r="E42" i="11"/>
  <c r="D42" i="11"/>
  <c r="C42" i="11"/>
  <c r="B42" i="11"/>
  <c r="I41" i="11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2" i="10"/>
  <c r="E71" i="4"/>
  <c r="F71" i="4"/>
  <c r="G71" i="4"/>
  <c r="H71" i="4"/>
  <c r="J71" i="4"/>
  <c r="K71" i="4"/>
  <c r="E62" i="4"/>
  <c r="F62" i="4"/>
  <c r="G62" i="4"/>
  <c r="H62" i="4"/>
  <c r="J62" i="4"/>
  <c r="J72" i="4" s="1"/>
  <c r="K62" i="4"/>
  <c r="K72" i="4" s="1"/>
  <c r="D62" i="4"/>
  <c r="E54" i="4"/>
  <c r="F54" i="4"/>
  <c r="G54" i="4"/>
  <c r="H54" i="4"/>
  <c r="J54" i="4"/>
  <c r="K54" i="4"/>
  <c r="D54" i="4"/>
  <c r="E21" i="4"/>
  <c r="F21" i="4"/>
  <c r="G21" i="4"/>
  <c r="H21" i="4"/>
  <c r="J21" i="4"/>
  <c r="K21" i="4"/>
  <c r="D21" i="4"/>
  <c r="E8" i="4"/>
  <c r="F8" i="4"/>
  <c r="G8" i="4"/>
  <c r="H8" i="4"/>
  <c r="J8" i="4"/>
  <c r="K8" i="4"/>
  <c r="D8" i="4"/>
  <c r="I8" i="14"/>
  <c r="J8" i="14"/>
  <c r="K8" i="14"/>
  <c r="H8" i="14"/>
  <c r="I28" i="14"/>
  <c r="J28" i="14"/>
  <c r="K28" i="14"/>
  <c r="I29" i="14"/>
  <c r="J29" i="14"/>
  <c r="K29" i="14"/>
  <c r="I30" i="14"/>
  <c r="J30" i="14"/>
  <c r="K30" i="14"/>
  <c r="I31" i="14"/>
  <c r="J31" i="14"/>
  <c r="K31" i="14"/>
  <c r="I32" i="14"/>
  <c r="J32" i="14"/>
  <c r="K32" i="14"/>
  <c r="I33" i="14"/>
  <c r="J33" i="14"/>
  <c r="K33" i="14"/>
  <c r="I34" i="14"/>
  <c r="J34" i="14"/>
  <c r="K34" i="14"/>
  <c r="I35" i="14"/>
  <c r="J35" i="14"/>
  <c r="K35" i="14"/>
  <c r="I36" i="14"/>
  <c r="J36" i="14"/>
  <c r="K36" i="14"/>
  <c r="I37" i="14"/>
  <c r="J37" i="14"/>
  <c r="K37" i="14"/>
  <c r="I38" i="14"/>
  <c r="J38" i="14"/>
  <c r="K38" i="14"/>
  <c r="I39" i="14"/>
  <c r="J39" i="14"/>
  <c r="K39" i="14"/>
  <c r="I43" i="14"/>
  <c r="J43" i="14"/>
  <c r="K43" i="14"/>
  <c r="I44" i="14"/>
  <c r="J44" i="14"/>
  <c r="K44" i="14"/>
  <c r="I45" i="14"/>
  <c r="J45" i="14"/>
  <c r="K45" i="14"/>
  <c r="I46" i="14"/>
  <c r="J46" i="14"/>
  <c r="K46" i="14"/>
  <c r="I47" i="14"/>
  <c r="J47" i="14"/>
  <c r="K47" i="14"/>
  <c r="I48" i="14"/>
  <c r="J48" i="14"/>
  <c r="K48" i="14"/>
  <c r="I52" i="14"/>
  <c r="J52" i="14"/>
  <c r="K52" i="14"/>
  <c r="I53" i="14"/>
  <c r="J53" i="14"/>
  <c r="K53" i="14"/>
  <c r="I55" i="14"/>
  <c r="J55" i="14"/>
  <c r="K55" i="14"/>
  <c r="I56" i="14"/>
  <c r="J56" i="14"/>
  <c r="K56" i="14"/>
  <c r="I57" i="14"/>
  <c r="J57" i="14"/>
  <c r="K57" i="14"/>
  <c r="I58" i="14"/>
  <c r="J58" i="14"/>
  <c r="K58" i="14"/>
  <c r="I59" i="14"/>
  <c r="J59" i="14"/>
  <c r="K59" i="14"/>
  <c r="I60" i="14"/>
  <c r="J60" i="14"/>
  <c r="K60" i="14"/>
  <c r="I61" i="14"/>
  <c r="J61" i="14"/>
  <c r="K61" i="14"/>
  <c r="I63" i="14"/>
  <c r="J63" i="14"/>
  <c r="K63" i="14"/>
  <c r="I64" i="14"/>
  <c r="J64" i="14"/>
  <c r="K64" i="14"/>
  <c r="I65" i="14"/>
  <c r="J65" i="14"/>
  <c r="K65" i="14"/>
  <c r="I68" i="14"/>
  <c r="J68" i="14"/>
  <c r="K68" i="14"/>
  <c r="I69" i="14"/>
  <c r="J69" i="14"/>
  <c r="K69" i="14"/>
  <c r="I70" i="14"/>
  <c r="J70" i="14"/>
  <c r="K70" i="14"/>
  <c r="I10" i="14"/>
  <c r="J10" i="14"/>
  <c r="K10" i="14"/>
  <c r="I11" i="14"/>
  <c r="J11" i="14"/>
  <c r="K11" i="14"/>
  <c r="I12" i="14"/>
  <c r="J12" i="14"/>
  <c r="K12" i="14"/>
  <c r="I13" i="14"/>
  <c r="J13" i="14"/>
  <c r="K13" i="14"/>
  <c r="I14" i="14"/>
  <c r="J14" i="14"/>
  <c r="K14" i="14"/>
  <c r="I15" i="14"/>
  <c r="J15" i="14"/>
  <c r="K15" i="14"/>
  <c r="I16" i="14"/>
  <c r="J16" i="14"/>
  <c r="K16" i="14"/>
  <c r="I17" i="14"/>
  <c r="J17" i="14"/>
  <c r="K17" i="14"/>
  <c r="I18" i="14"/>
  <c r="J18" i="14"/>
  <c r="K18" i="14"/>
  <c r="I19" i="14"/>
  <c r="J19" i="14"/>
  <c r="K19" i="14"/>
  <c r="I20" i="14"/>
  <c r="J20" i="14"/>
  <c r="K20" i="14"/>
  <c r="I22" i="14"/>
  <c r="J22" i="14"/>
  <c r="K22" i="14"/>
  <c r="I23" i="14"/>
  <c r="J23" i="14"/>
  <c r="K23" i="14"/>
  <c r="I24" i="14"/>
  <c r="J24" i="14"/>
  <c r="K24" i="14"/>
  <c r="I26" i="14"/>
  <c r="J26" i="14"/>
  <c r="K26" i="14"/>
  <c r="I27" i="14"/>
  <c r="J27" i="14"/>
  <c r="K27" i="14"/>
  <c r="K9" i="14"/>
  <c r="J9" i="14"/>
  <c r="I9" i="14"/>
  <c r="H10" i="14"/>
  <c r="H11" i="14"/>
  <c r="H12" i="14"/>
  <c r="H13" i="14"/>
  <c r="H14" i="14"/>
  <c r="H15" i="14"/>
  <c r="H16" i="14"/>
  <c r="H17" i="14"/>
  <c r="H18" i="14"/>
  <c r="H19" i="14"/>
  <c r="H20" i="14"/>
  <c r="H22" i="14"/>
  <c r="H23" i="14"/>
  <c r="H24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3" i="14"/>
  <c r="H44" i="14"/>
  <c r="H45" i="14"/>
  <c r="H46" i="14"/>
  <c r="H47" i="14"/>
  <c r="H48" i="14"/>
  <c r="H52" i="14"/>
  <c r="H53" i="14"/>
  <c r="H55" i="14"/>
  <c r="H56" i="14"/>
  <c r="H57" i="14"/>
  <c r="H58" i="14"/>
  <c r="H59" i="14"/>
  <c r="H60" i="14"/>
  <c r="H61" i="14"/>
  <c r="H63" i="14"/>
  <c r="H64" i="14"/>
  <c r="H65" i="14"/>
  <c r="H68" i="14"/>
  <c r="H69" i="14"/>
  <c r="H70" i="14"/>
  <c r="H9" i="14"/>
  <c r="I21" i="14" l="1"/>
  <c r="I71" i="14"/>
  <c r="I72" i="3"/>
  <c r="H62" i="14"/>
  <c r="J21" i="14"/>
  <c r="K54" i="14"/>
  <c r="K62" i="14"/>
  <c r="J54" i="14"/>
  <c r="J62" i="14"/>
  <c r="I62" i="14"/>
  <c r="I72" i="14" s="1"/>
  <c r="J71" i="14"/>
  <c r="J72" i="14" s="1"/>
  <c r="H21" i="14"/>
  <c r="H25" i="14" s="1"/>
  <c r="H54" i="14" s="1"/>
  <c r="K21" i="14"/>
  <c r="H71" i="14"/>
  <c r="I54" i="14"/>
  <c r="K71" i="14"/>
  <c r="E72" i="4"/>
  <c r="C46" i="11" s="1"/>
  <c r="H72" i="4"/>
  <c r="G72" i="4"/>
  <c r="E46" i="11" s="1"/>
  <c r="F72" i="4"/>
  <c r="D46" i="11" s="1"/>
  <c r="I4" i="4"/>
  <c r="I9" i="4"/>
  <c r="I22" i="4"/>
  <c r="I23" i="4"/>
  <c r="I24" i="4"/>
  <c r="I28" i="4"/>
  <c r="I29" i="4"/>
  <c r="I30" i="4"/>
  <c r="I31" i="4"/>
  <c r="I32" i="4"/>
  <c r="I33" i="4"/>
  <c r="I34" i="4"/>
  <c r="I35" i="4"/>
  <c r="I36" i="4"/>
  <c r="I37" i="4"/>
  <c r="I38" i="4"/>
  <c r="I39" i="4"/>
  <c r="I47" i="4"/>
  <c r="I50" i="4"/>
  <c r="I51" i="4"/>
  <c r="I52" i="4"/>
  <c r="I53" i="4"/>
  <c r="I55" i="4"/>
  <c r="I70" i="4"/>
  <c r="J62" i="9"/>
  <c r="J9" i="9"/>
  <c r="J10" i="9"/>
  <c r="J11" i="9"/>
  <c r="J12" i="9"/>
  <c r="J13" i="9"/>
  <c r="J14" i="9"/>
  <c r="J15" i="9"/>
  <c r="J18" i="9"/>
  <c r="J19" i="9"/>
  <c r="J20" i="9"/>
  <c r="J22" i="9"/>
  <c r="J23" i="9"/>
  <c r="J24" i="9"/>
  <c r="J25" i="9"/>
  <c r="J26" i="9"/>
  <c r="J27" i="9"/>
  <c r="J36" i="9"/>
  <c r="J37" i="9"/>
  <c r="J38" i="9"/>
  <c r="J50" i="9"/>
  <c r="J51" i="9"/>
  <c r="J52" i="9"/>
  <c r="J53" i="9"/>
  <c r="J4" i="9"/>
  <c r="K4" i="12"/>
  <c r="O4" i="14" s="1"/>
  <c r="K5" i="12"/>
  <c r="O5" i="14" s="1"/>
  <c r="K6" i="12"/>
  <c r="O6" i="14" s="1"/>
  <c r="K7" i="12"/>
  <c r="O7" i="14" s="1"/>
  <c r="K9" i="12"/>
  <c r="K10" i="12"/>
  <c r="O10" i="14" s="1"/>
  <c r="K11" i="12"/>
  <c r="O11" i="14" s="1"/>
  <c r="K12" i="12"/>
  <c r="O12" i="14" s="1"/>
  <c r="K13" i="12"/>
  <c r="O13" i="14" s="1"/>
  <c r="K14" i="12"/>
  <c r="O14" i="14" s="1"/>
  <c r="K15" i="12"/>
  <c r="O15" i="14" s="1"/>
  <c r="K16" i="12"/>
  <c r="O16" i="14" s="1"/>
  <c r="K17" i="12"/>
  <c r="O17" i="14" s="1"/>
  <c r="K18" i="12"/>
  <c r="O18" i="14" s="1"/>
  <c r="K19" i="12"/>
  <c r="O19" i="14" s="1"/>
  <c r="K20" i="12"/>
  <c r="O20" i="14" s="1"/>
  <c r="K22" i="12"/>
  <c r="K23" i="12"/>
  <c r="O23" i="14" s="1"/>
  <c r="K24" i="12"/>
  <c r="O24" i="14" s="1"/>
  <c r="K25" i="12"/>
  <c r="O25" i="14" s="1"/>
  <c r="K26" i="12"/>
  <c r="O26" i="14" s="1"/>
  <c r="K27" i="12"/>
  <c r="O27" i="14" s="1"/>
  <c r="K28" i="12"/>
  <c r="O28" i="14" s="1"/>
  <c r="K29" i="12"/>
  <c r="O29" i="14" s="1"/>
  <c r="K30" i="12"/>
  <c r="O30" i="14" s="1"/>
  <c r="K31" i="12"/>
  <c r="O31" i="14" s="1"/>
  <c r="K32" i="12"/>
  <c r="O32" i="14" s="1"/>
  <c r="K33" i="12"/>
  <c r="O33" i="14" s="1"/>
  <c r="K34" i="12"/>
  <c r="O34" i="14" s="1"/>
  <c r="K35" i="12"/>
  <c r="O35" i="14" s="1"/>
  <c r="K36" i="12"/>
  <c r="O36" i="14" s="1"/>
  <c r="K37" i="12"/>
  <c r="O37" i="14" s="1"/>
  <c r="K38" i="12"/>
  <c r="O38" i="14" s="1"/>
  <c r="K39" i="12"/>
  <c r="O39" i="14" s="1"/>
  <c r="K40" i="12"/>
  <c r="O40" i="14" s="1"/>
  <c r="K41" i="12"/>
  <c r="O41" i="14" s="1"/>
  <c r="K42" i="12"/>
  <c r="O42" i="14" s="1"/>
  <c r="K43" i="12"/>
  <c r="O43" i="14" s="1"/>
  <c r="K44" i="12"/>
  <c r="O44" i="14" s="1"/>
  <c r="K45" i="12"/>
  <c r="O45" i="14" s="1"/>
  <c r="K46" i="12"/>
  <c r="O46" i="14" s="1"/>
  <c r="K47" i="12"/>
  <c r="O47" i="14" s="1"/>
  <c r="K48" i="12"/>
  <c r="O48" i="14" s="1"/>
  <c r="K49" i="12"/>
  <c r="O49" i="14" s="1"/>
  <c r="K50" i="12"/>
  <c r="O50" i="14" s="1"/>
  <c r="K51" i="12"/>
  <c r="O51" i="14" s="1"/>
  <c r="K52" i="12"/>
  <c r="O52" i="14" s="1"/>
  <c r="K53" i="12"/>
  <c r="O53" i="14" s="1"/>
  <c r="K55" i="12"/>
  <c r="K56" i="12"/>
  <c r="O56" i="14" s="1"/>
  <c r="K57" i="12"/>
  <c r="O57" i="14" s="1"/>
  <c r="K58" i="12"/>
  <c r="O58" i="14" s="1"/>
  <c r="K59" i="12"/>
  <c r="O59" i="14" s="1"/>
  <c r="K60" i="12"/>
  <c r="O60" i="14" s="1"/>
  <c r="K61" i="12"/>
  <c r="O61" i="14" s="1"/>
  <c r="K63" i="12"/>
  <c r="O63" i="14" s="1"/>
  <c r="K64" i="12"/>
  <c r="O64" i="14" s="1"/>
  <c r="K65" i="12"/>
  <c r="O65" i="14" s="1"/>
  <c r="K66" i="12"/>
  <c r="O66" i="14" s="1"/>
  <c r="K67" i="12"/>
  <c r="O67" i="14" s="1"/>
  <c r="K68" i="12"/>
  <c r="O68" i="14" s="1"/>
  <c r="K69" i="12"/>
  <c r="O69" i="14" s="1"/>
  <c r="K70" i="12"/>
  <c r="O70" i="14" s="1"/>
  <c r="K3" i="12"/>
  <c r="I45" i="12"/>
  <c r="M45" i="14" s="1"/>
  <c r="J4" i="12"/>
  <c r="N4" i="14" s="1"/>
  <c r="J5" i="12"/>
  <c r="N5" i="14" s="1"/>
  <c r="J6" i="12"/>
  <c r="N6" i="14" s="1"/>
  <c r="J7" i="12"/>
  <c r="N7" i="14" s="1"/>
  <c r="J9" i="12"/>
  <c r="J10" i="12"/>
  <c r="N10" i="14" s="1"/>
  <c r="J11" i="12"/>
  <c r="N11" i="14" s="1"/>
  <c r="J12" i="12"/>
  <c r="N12" i="14" s="1"/>
  <c r="J13" i="12"/>
  <c r="N13" i="14" s="1"/>
  <c r="J14" i="12"/>
  <c r="N14" i="14" s="1"/>
  <c r="J15" i="12"/>
  <c r="N15" i="14" s="1"/>
  <c r="J16" i="12"/>
  <c r="N16" i="14" s="1"/>
  <c r="J17" i="12"/>
  <c r="N17" i="14" s="1"/>
  <c r="J18" i="12"/>
  <c r="N18" i="14" s="1"/>
  <c r="J19" i="12"/>
  <c r="N19" i="14" s="1"/>
  <c r="J20" i="12"/>
  <c r="N20" i="14" s="1"/>
  <c r="J23" i="12"/>
  <c r="N23" i="14" s="1"/>
  <c r="J24" i="12"/>
  <c r="N24" i="14" s="1"/>
  <c r="J25" i="12"/>
  <c r="N25" i="14" s="1"/>
  <c r="J26" i="12"/>
  <c r="N26" i="14" s="1"/>
  <c r="J27" i="12"/>
  <c r="N27" i="14" s="1"/>
  <c r="J28" i="12"/>
  <c r="N28" i="14" s="1"/>
  <c r="J29" i="12"/>
  <c r="N29" i="14" s="1"/>
  <c r="J30" i="12"/>
  <c r="N30" i="14" s="1"/>
  <c r="J31" i="12"/>
  <c r="N31" i="14" s="1"/>
  <c r="J32" i="12"/>
  <c r="N32" i="14" s="1"/>
  <c r="J33" i="12"/>
  <c r="N33" i="14" s="1"/>
  <c r="J34" i="12"/>
  <c r="N34" i="14" s="1"/>
  <c r="J35" i="12"/>
  <c r="N35" i="14" s="1"/>
  <c r="J36" i="12"/>
  <c r="N36" i="14" s="1"/>
  <c r="J37" i="12"/>
  <c r="N37" i="14" s="1"/>
  <c r="J38" i="12"/>
  <c r="N38" i="14" s="1"/>
  <c r="J39" i="12"/>
  <c r="N39" i="14" s="1"/>
  <c r="J40" i="12"/>
  <c r="N40" i="14" s="1"/>
  <c r="J41" i="12"/>
  <c r="N41" i="14" s="1"/>
  <c r="J42" i="12"/>
  <c r="N42" i="14" s="1"/>
  <c r="J43" i="12"/>
  <c r="N43" i="14" s="1"/>
  <c r="J44" i="12"/>
  <c r="N44" i="14" s="1"/>
  <c r="J45" i="12"/>
  <c r="N45" i="14" s="1"/>
  <c r="J46" i="12"/>
  <c r="N46" i="14" s="1"/>
  <c r="J47" i="12"/>
  <c r="N47" i="14" s="1"/>
  <c r="J48" i="12"/>
  <c r="N48" i="14" s="1"/>
  <c r="J49" i="12"/>
  <c r="N49" i="14" s="1"/>
  <c r="J50" i="12"/>
  <c r="N50" i="14" s="1"/>
  <c r="J51" i="12"/>
  <c r="N51" i="14" s="1"/>
  <c r="J52" i="12"/>
  <c r="N52" i="14" s="1"/>
  <c r="J53" i="12"/>
  <c r="N53" i="14" s="1"/>
  <c r="J55" i="12"/>
  <c r="J56" i="12"/>
  <c r="N56" i="14" s="1"/>
  <c r="J57" i="12"/>
  <c r="N57" i="14" s="1"/>
  <c r="J58" i="12"/>
  <c r="N58" i="14" s="1"/>
  <c r="J59" i="12"/>
  <c r="N59" i="14" s="1"/>
  <c r="J60" i="12"/>
  <c r="N60" i="14" s="1"/>
  <c r="J61" i="12"/>
  <c r="N61" i="14" s="1"/>
  <c r="J63" i="12"/>
  <c r="N63" i="14" s="1"/>
  <c r="J64" i="12"/>
  <c r="N64" i="14" s="1"/>
  <c r="J65" i="12"/>
  <c r="N65" i="14" s="1"/>
  <c r="J66" i="12"/>
  <c r="N66" i="14" s="1"/>
  <c r="J67" i="12"/>
  <c r="N67" i="14" s="1"/>
  <c r="J68" i="12"/>
  <c r="N68" i="14" s="1"/>
  <c r="J69" i="12"/>
  <c r="N69" i="14" s="1"/>
  <c r="J70" i="12"/>
  <c r="N70" i="14" s="1"/>
  <c r="J3" i="12"/>
  <c r="I4" i="12"/>
  <c r="M4" i="14" s="1"/>
  <c r="I5" i="12"/>
  <c r="M5" i="14" s="1"/>
  <c r="I6" i="12"/>
  <c r="M6" i="14" s="1"/>
  <c r="I7" i="12"/>
  <c r="M7" i="14" s="1"/>
  <c r="I9" i="12"/>
  <c r="I10" i="12"/>
  <c r="M10" i="14" s="1"/>
  <c r="I11" i="12"/>
  <c r="M11" i="14" s="1"/>
  <c r="I12" i="12"/>
  <c r="M12" i="14" s="1"/>
  <c r="I13" i="12"/>
  <c r="M13" i="14" s="1"/>
  <c r="I14" i="12"/>
  <c r="M14" i="14" s="1"/>
  <c r="I15" i="12"/>
  <c r="M15" i="14" s="1"/>
  <c r="I16" i="12"/>
  <c r="M16" i="14" s="1"/>
  <c r="I17" i="12"/>
  <c r="M17" i="14" s="1"/>
  <c r="I18" i="12"/>
  <c r="M18" i="14" s="1"/>
  <c r="I19" i="12"/>
  <c r="M19" i="14" s="1"/>
  <c r="I20" i="12"/>
  <c r="M20" i="14" s="1"/>
  <c r="I22" i="12"/>
  <c r="I23" i="12"/>
  <c r="M23" i="14" s="1"/>
  <c r="I24" i="12"/>
  <c r="M24" i="14" s="1"/>
  <c r="I25" i="12"/>
  <c r="M25" i="14" s="1"/>
  <c r="I26" i="12"/>
  <c r="M26" i="14" s="1"/>
  <c r="I27" i="12"/>
  <c r="M27" i="14" s="1"/>
  <c r="I28" i="12"/>
  <c r="M28" i="14" s="1"/>
  <c r="I29" i="12"/>
  <c r="M29" i="14" s="1"/>
  <c r="I30" i="12"/>
  <c r="M30" i="14" s="1"/>
  <c r="I31" i="12"/>
  <c r="M31" i="14" s="1"/>
  <c r="I32" i="12"/>
  <c r="M32" i="14" s="1"/>
  <c r="I33" i="12"/>
  <c r="M33" i="14" s="1"/>
  <c r="I34" i="12"/>
  <c r="M34" i="14" s="1"/>
  <c r="I35" i="12"/>
  <c r="M35" i="14" s="1"/>
  <c r="I36" i="12"/>
  <c r="M36" i="14" s="1"/>
  <c r="I37" i="12"/>
  <c r="M37" i="14" s="1"/>
  <c r="I38" i="12"/>
  <c r="M38" i="14" s="1"/>
  <c r="I39" i="12"/>
  <c r="M39" i="14" s="1"/>
  <c r="I40" i="12"/>
  <c r="M40" i="14" s="1"/>
  <c r="I41" i="12"/>
  <c r="M41" i="14" s="1"/>
  <c r="I42" i="12"/>
  <c r="M42" i="14" s="1"/>
  <c r="I43" i="12"/>
  <c r="M43" i="14" s="1"/>
  <c r="I44" i="12"/>
  <c r="M44" i="14" s="1"/>
  <c r="I46" i="12"/>
  <c r="M46" i="14" s="1"/>
  <c r="I47" i="12"/>
  <c r="M47" i="14" s="1"/>
  <c r="I48" i="12"/>
  <c r="M48" i="14" s="1"/>
  <c r="I49" i="12"/>
  <c r="M49" i="14" s="1"/>
  <c r="I50" i="12"/>
  <c r="M50" i="14" s="1"/>
  <c r="I51" i="12"/>
  <c r="M51" i="14" s="1"/>
  <c r="I52" i="12"/>
  <c r="M52" i="14" s="1"/>
  <c r="I53" i="12"/>
  <c r="M53" i="14" s="1"/>
  <c r="I55" i="12"/>
  <c r="I56" i="12"/>
  <c r="M56" i="14" s="1"/>
  <c r="I57" i="12"/>
  <c r="M57" i="14" s="1"/>
  <c r="I58" i="12"/>
  <c r="M58" i="14" s="1"/>
  <c r="I59" i="12"/>
  <c r="M59" i="14" s="1"/>
  <c r="I60" i="12"/>
  <c r="M60" i="14" s="1"/>
  <c r="I61" i="12"/>
  <c r="M61" i="14" s="1"/>
  <c r="I63" i="12"/>
  <c r="M63" i="14" s="1"/>
  <c r="I64" i="12"/>
  <c r="M64" i="14" s="1"/>
  <c r="I65" i="12"/>
  <c r="M65" i="14" s="1"/>
  <c r="I66" i="12"/>
  <c r="M66" i="14" s="1"/>
  <c r="I67" i="12"/>
  <c r="M67" i="14" s="1"/>
  <c r="I68" i="12"/>
  <c r="M68" i="14" s="1"/>
  <c r="I69" i="12"/>
  <c r="M69" i="14" s="1"/>
  <c r="I70" i="12"/>
  <c r="M70" i="14" s="1"/>
  <c r="I3" i="12"/>
  <c r="H4" i="12"/>
  <c r="L4" i="14" s="1"/>
  <c r="H5" i="12"/>
  <c r="L5" i="14" s="1"/>
  <c r="H6" i="12"/>
  <c r="L6" i="14" s="1"/>
  <c r="H7" i="12"/>
  <c r="L7" i="14" s="1"/>
  <c r="H9" i="12"/>
  <c r="H10" i="12"/>
  <c r="L10" i="14" s="1"/>
  <c r="H11" i="12"/>
  <c r="L11" i="14" s="1"/>
  <c r="H12" i="12"/>
  <c r="L12" i="14" s="1"/>
  <c r="H13" i="12"/>
  <c r="L13" i="14" s="1"/>
  <c r="H14" i="12"/>
  <c r="L14" i="14" s="1"/>
  <c r="H15" i="12"/>
  <c r="L15" i="14" s="1"/>
  <c r="H16" i="12"/>
  <c r="L16" i="14" s="1"/>
  <c r="H17" i="12"/>
  <c r="L17" i="14" s="1"/>
  <c r="H18" i="12"/>
  <c r="L18" i="14" s="1"/>
  <c r="H19" i="12"/>
  <c r="L19" i="14" s="1"/>
  <c r="H20" i="12"/>
  <c r="L20" i="14" s="1"/>
  <c r="H22" i="12"/>
  <c r="H23" i="12"/>
  <c r="L23" i="14" s="1"/>
  <c r="H24" i="12"/>
  <c r="L24" i="14" s="1"/>
  <c r="H25" i="12"/>
  <c r="L25" i="14" s="1"/>
  <c r="H26" i="12"/>
  <c r="L26" i="14" s="1"/>
  <c r="H27" i="12"/>
  <c r="L27" i="14" s="1"/>
  <c r="H28" i="12"/>
  <c r="L28" i="14" s="1"/>
  <c r="H29" i="12"/>
  <c r="L29" i="14" s="1"/>
  <c r="H30" i="12"/>
  <c r="L30" i="14" s="1"/>
  <c r="H31" i="12"/>
  <c r="L31" i="14" s="1"/>
  <c r="H32" i="12"/>
  <c r="L32" i="14" s="1"/>
  <c r="H33" i="12"/>
  <c r="L33" i="14" s="1"/>
  <c r="H34" i="12"/>
  <c r="L34" i="14" s="1"/>
  <c r="H35" i="12"/>
  <c r="L35" i="14" s="1"/>
  <c r="H36" i="12"/>
  <c r="L36" i="14" s="1"/>
  <c r="H37" i="12"/>
  <c r="L37" i="14" s="1"/>
  <c r="H38" i="12"/>
  <c r="L38" i="14" s="1"/>
  <c r="H39" i="12"/>
  <c r="L39" i="14" s="1"/>
  <c r="H40" i="12"/>
  <c r="L40" i="14" s="1"/>
  <c r="H41" i="12"/>
  <c r="L41" i="14" s="1"/>
  <c r="H42" i="12"/>
  <c r="L42" i="14" s="1"/>
  <c r="H43" i="12"/>
  <c r="L43" i="14" s="1"/>
  <c r="H44" i="12"/>
  <c r="L44" i="14" s="1"/>
  <c r="H45" i="12"/>
  <c r="L45" i="14" s="1"/>
  <c r="H46" i="12"/>
  <c r="L46" i="14" s="1"/>
  <c r="H47" i="12"/>
  <c r="L47" i="14" s="1"/>
  <c r="H48" i="12"/>
  <c r="L48" i="14" s="1"/>
  <c r="H49" i="12"/>
  <c r="L49" i="14" s="1"/>
  <c r="H50" i="12"/>
  <c r="L50" i="14" s="1"/>
  <c r="H51" i="12"/>
  <c r="L51" i="14" s="1"/>
  <c r="H52" i="12"/>
  <c r="L52" i="14" s="1"/>
  <c r="H53" i="12"/>
  <c r="L53" i="14" s="1"/>
  <c r="H55" i="12"/>
  <c r="H56" i="12"/>
  <c r="L56" i="14" s="1"/>
  <c r="H57" i="12"/>
  <c r="L57" i="14" s="1"/>
  <c r="H58" i="12"/>
  <c r="L58" i="14" s="1"/>
  <c r="H59" i="12"/>
  <c r="L59" i="14" s="1"/>
  <c r="H60" i="12"/>
  <c r="L60" i="14" s="1"/>
  <c r="H61" i="12"/>
  <c r="L61" i="14" s="1"/>
  <c r="H63" i="12"/>
  <c r="L63" i="14" s="1"/>
  <c r="H64" i="12"/>
  <c r="L64" i="14" s="1"/>
  <c r="H65" i="12"/>
  <c r="L65" i="14" s="1"/>
  <c r="H66" i="12"/>
  <c r="L66" i="14" s="1"/>
  <c r="H67" i="12"/>
  <c r="L67" i="14" s="1"/>
  <c r="H68" i="12"/>
  <c r="L68" i="14" s="1"/>
  <c r="H69" i="12"/>
  <c r="L69" i="14" s="1"/>
  <c r="H70" i="12"/>
  <c r="L70" i="14" s="1"/>
  <c r="H3" i="12"/>
  <c r="E71" i="17"/>
  <c r="F71" i="17"/>
  <c r="G71" i="17"/>
  <c r="H71" i="17"/>
  <c r="I71" i="17"/>
  <c r="J71" i="17"/>
  <c r="K71" i="17"/>
  <c r="D71" i="17"/>
  <c r="E62" i="17"/>
  <c r="F62" i="17"/>
  <c r="G62" i="17"/>
  <c r="H62" i="17"/>
  <c r="I62" i="17"/>
  <c r="J62" i="17"/>
  <c r="K62" i="17"/>
  <c r="D62" i="17"/>
  <c r="E54" i="17"/>
  <c r="F54" i="17"/>
  <c r="G54" i="17"/>
  <c r="H54" i="17"/>
  <c r="I54" i="17"/>
  <c r="J54" i="17"/>
  <c r="K54" i="17"/>
  <c r="D54" i="17"/>
  <c r="E21" i="17"/>
  <c r="F21" i="17"/>
  <c r="G21" i="17"/>
  <c r="H21" i="17"/>
  <c r="I21" i="17"/>
  <c r="J21" i="17"/>
  <c r="K21" i="17"/>
  <c r="D21" i="17"/>
  <c r="E8" i="17"/>
  <c r="F8" i="17"/>
  <c r="G8" i="17"/>
  <c r="H8" i="17"/>
  <c r="I8" i="17"/>
  <c r="J8" i="17"/>
  <c r="K8" i="17"/>
  <c r="D8" i="17"/>
  <c r="D72" i="17" l="1"/>
  <c r="B48" i="11" s="1"/>
  <c r="H72" i="17"/>
  <c r="K72" i="17"/>
  <c r="G72" i="17"/>
  <c r="E48" i="11" s="1"/>
  <c r="J72" i="17"/>
  <c r="F72" i="17"/>
  <c r="D48" i="11" s="1"/>
  <c r="I72" i="17"/>
  <c r="E72" i="17"/>
  <c r="C48" i="11" s="1"/>
  <c r="K72" i="14"/>
  <c r="H72" i="14"/>
  <c r="J21" i="9"/>
  <c r="J54" i="9"/>
  <c r="J72" i="9"/>
  <c r="I21" i="4"/>
  <c r="I8" i="4"/>
  <c r="I62" i="4"/>
  <c r="I54" i="4"/>
  <c r="I71" i="4"/>
  <c r="N55" i="14"/>
  <c r="N62" i="14" s="1"/>
  <c r="F55" i="12"/>
  <c r="J62" i="12"/>
  <c r="N3" i="14"/>
  <c r="N8" i="14" s="1"/>
  <c r="J8" i="12"/>
  <c r="J71" i="12" s="1"/>
  <c r="O22" i="14"/>
  <c r="O54" i="14" s="1"/>
  <c r="K54" i="12"/>
  <c r="O9" i="14"/>
  <c r="O21" i="14" s="1"/>
  <c r="K21" i="12"/>
  <c r="L3" i="14"/>
  <c r="L8" i="14" s="1"/>
  <c r="M22" i="14"/>
  <c r="M54" i="14" s="1"/>
  <c r="I54" i="12"/>
  <c r="M9" i="14"/>
  <c r="M21" i="14" s="1"/>
  <c r="I21" i="12"/>
  <c r="M55" i="14"/>
  <c r="M62" i="14" s="1"/>
  <c r="E55" i="12"/>
  <c r="I62" i="12"/>
  <c r="L22" i="14"/>
  <c r="L54" i="14" s="1"/>
  <c r="H54" i="12"/>
  <c r="L9" i="14"/>
  <c r="L21" i="14" s="1"/>
  <c r="H21" i="12"/>
  <c r="O3" i="14"/>
  <c r="O8" i="14" s="1"/>
  <c r="K8" i="12"/>
  <c r="K71" i="12" s="1"/>
  <c r="L55" i="14"/>
  <c r="L62" i="14" s="1"/>
  <c r="H62" i="12"/>
  <c r="O55" i="14"/>
  <c r="O62" i="14" s="1"/>
  <c r="G55" i="12"/>
  <c r="K62" i="12"/>
  <c r="M3" i="14"/>
  <c r="M8" i="14" s="1"/>
  <c r="I8" i="12"/>
  <c r="I71" i="12" s="1"/>
  <c r="N9" i="14"/>
  <c r="N21" i="14" s="1"/>
  <c r="J21" i="12"/>
  <c r="O71" i="14"/>
  <c r="M71" i="14"/>
  <c r="N71" i="14"/>
  <c r="L71" i="14"/>
  <c r="I72" i="4" l="1"/>
  <c r="I72" i="12"/>
  <c r="K72" i="12"/>
  <c r="O72" i="14"/>
  <c r="L72" i="14"/>
  <c r="M72" i="14"/>
  <c r="D21" i="6" l="1"/>
  <c r="D8" i="6"/>
  <c r="D54" i="6"/>
  <c r="D21" i="1"/>
  <c r="E8" i="1"/>
  <c r="F8" i="1"/>
  <c r="G8" i="1"/>
  <c r="H8" i="1"/>
  <c r="I8" i="1"/>
  <c r="J8" i="1"/>
  <c r="K8" i="1"/>
  <c r="D8" i="1"/>
  <c r="E71" i="7"/>
  <c r="F71" i="7"/>
  <c r="G71" i="7"/>
  <c r="D71" i="7"/>
  <c r="G62" i="7"/>
  <c r="E62" i="7"/>
  <c r="F62" i="7"/>
  <c r="D62" i="7"/>
  <c r="E54" i="7"/>
  <c r="F54" i="7"/>
  <c r="G54" i="7"/>
  <c r="D54" i="7"/>
  <c r="G21" i="7"/>
  <c r="E21" i="7"/>
  <c r="F21" i="7"/>
  <c r="D21" i="7"/>
  <c r="E8" i="7"/>
  <c r="F8" i="7"/>
  <c r="G8" i="7"/>
  <c r="I8" i="7"/>
  <c r="K8" i="7"/>
  <c r="D8" i="7"/>
  <c r="I71" i="7"/>
  <c r="J8" i="7"/>
  <c r="H8" i="7"/>
  <c r="E72" i="7" l="1"/>
  <c r="C41" i="11" s="1"/>
  <c r="D72" i="7"/>
  <c r="B41" i="11" s="1"/>
  <c r="G72" i="7"/>
  <c r="E41" i="11" s="1"/>
  <c r="F72" i="7"/>
  <c r="D41" i="11" s="1"/>
  <c r="J54" i="7"/>
  <c r="I21" i="7"/>
  <c r="K62" i="7"/>
  <c r="H71" i="7"/>
  <c r="K54" i="7"/>
  <c r="K21" i="7"/>
  <c r="J21" i="7"/>
  <c r="H21" i="7"/>
  <c r="I62" i="7"/>
  <c r="H54" i="7"/>
  <c r="I54" i="7"/>
  <c r="K71" i="7"/>
  <c r="J71" i="7"/>
  <c r="H62" i="7"/>
  <c r="J62" i="7"/>
  <c r="E71" i="2"/>
  <c r="F71" i="2"/>
  <c r="G71" i="2"/>
  <c r="D71" i="2"/>
  <c r="E62" i="2"/>
  <c r="F62" i="2"/>
  <c r="G62" i="2"/>
  <c r="D62" i="2"/>
  <c r="E54" i="2"/>
  <c r="F54" i="2"/>
  <c r="G54" i="2"/>
  <c r="D54" i="2"/>
  <c r="E21" i="2"/>
  <c r="F21" i="2"/>
  <c r="G21" i="2"/>
  <c r="D21" i="2"/>
  <c r="J72" i="7" l="1"/>
  <c r="I72" i="7"/>
  <c r="H72" i="7"/>
  <c r="K72" i="7"/>
  <c r="K71" i="2"/>
  <c r="J71" i="2"/>
  <c r="I71" i="2"/>
  <c r="U29" i="11"/>
  <c r="U30" i="11"/>
  <c r="U31" i="11"/>
  <c r="U28" i="11"/>
  <c r="T29" i="11"/>
  <c r="T30" i="11"/>
  <c r="T31" i="11"/>
  <c r="T28" i="11"/>
  <c r="S29" i="11"/>
  <c r="S30" i="11"/>
  <c r="S31" i="11"/>
  <c r="S28" i="11"/>
  <c r="R29" i="11"/>
  <c r="R30" i="11"/>
  <c r="R31" i="11"/>
  <c r="R28" i="11"/>
  <c r="J72" i="2" l="1"/>
  <c r="K72" i="2"/>
  <c r="I72" i="2"/>
  <c r="B28" i="11"/>
  <c r="C28" i="11" s="1"/>
  <c r="D28" i="11" s="1"/>
  <c r="E28" i="11" s="1"/>
  <c r="B29" i="11"/>
  <c r="C29" i="11" s="1"/>
  <c r="B30" i="11"/>
  <c r="C30" i="11" s="1"/>
  <c r="B31" i="11"/>
  <c r="C31" i="11" s="1"/>
  <c r="O29" i="11" l="1"/>
  <c r="Q31" i="11"/>
  <c r="O30" i="11"/>
  <c r="P31" i="11"/>
  <c r="P29" i="11"/>
  <c r="Q30" i="11"/>
  <c r="P30" i="11"/>
  <c r="Q29" i="11"/>
  <c r="O31" i="11"/>
  <c r="E71" i="16"/>
  <c r="E72" i="16" s="1"/>
  <c r="F71" i="16"/>
  <c r="F72" i="16" s="1"/>
  <c r="G71" i="16"/>
  <c r="G72" i="16" s="1"/>
  <c r="H71" i="16"/>
  <c r="H72" i="16" s="1"/>
  <c r="I71" i="16"/>
  <c r="I72" i="16" s="1"/>
  <c r="J71" i="16"/>
  <c r="J72" i="16" s="1"/>
  <c r="K71" i="16"/>
  <c r="K72" i="16" s="1"/>
  <c r="E62" i="16"/>
  <c r="F62" i="16"/>
  <c r="G62" i="16"/>
  <c r="H62" i="16"/>
  <c r="I62" i="16"/>
  <c r="J62" i="16"/>
  <c r="K62" i="16"/>
  <c r="D62" i="16"/>
  <c r="E54" i="16"/>
  <c r="F54" i="16"/>
  <c r="G54" i="16"/>
  <c r="H54" i="16"/>
  <c r="I54" i="16"/>
  <c r="J54" i="16"/>
  <c r="K54" i="16"/>
  <c r="D54" i="16"/>
  <c r="E21" i="16"/>
  <c r="F21" i="16"/>
  <c r="G21" i="16"/>
  <c r="H21" i="16"/>
  <c r="I21" i="16"/>
  <c r="J21" i="16"/>
  <c r="K21" i="16"/>
  <c r="E8" i="16"/>
  <c r="F8" i="16"/>
  <c r="G8" i="16"/>
  <c r="H8" i="16"/>
  <c r="I8" i="16"/>
  <c r="J8" i="16"/>
  <c r="K8" i="16"/>
  <c r="D8" i="16"/>
  <c r="K9" i="8"/>
  <c r="K21" i="8" s="1"/>
  <c r="K10" i="8"/>
  <c r="K11" i="8"/>
  <c r="K12" i="8"/>
  <c r="K13" i="8"/>
  <c r="K14" i="8"/>
  <c r="K15" i="8"/>
  <c r="K16" i="8"/>
  <c r="K17" i="8"/>
  <c r="K18" i="8"/>
  <c r="K19" i="8"/>
  <c r="H20" i="8"/>
  <c r="H21" i="8" s="1"/>
  <c r="I20" i="8"/>
  <c r="I21" i="8" s="1"/>
  <c r="K20" i="8"/>
  <c r="H22" i="8"/>
  <c r="I22" i="8"/>
  <c r="K22" i="8"/>
  <c r="H23" i="8"/>
  <c r="I23" i="8"/>
  <c r="K23" i="8"/>
  <c r="H24" i="8"/>
  <c r="I24" i="8"/>
  <c r="K24" i="8"/>
  <c r="H25" i="8"/>
  <c r="I25" i="8"/>
  <c r="K25" i="8"/>
  <c r="H26" i="8"/>
  <c r="I26" i="8"/>
  <c r="K26" i="8"/>
  <c r="H27" i="8"/>
  <c r="I27" i="8"/>
  <c r="K27" i="8"/>
  <c r="H28" i="8"/>
  <c r="I28" i="8"/>
  <c r="K28" i="8"/>
  <c r="H29" i="8"/>
  <c r="I29" i="8"/>
  <c r="K29" i="8"/>
  <c r="H30" i="8"/>
  <c r="I30" i="8"/>
  <c r="K30" i="8"/>
  <c r="H31" i="8"/>
  <c r="I31" i="8"/>
  <c r="K31" i="8"/>
  <c r="H32" i="8"/>
  <c r="I32" i="8"/>
  <c r="K32" i="8"/>
  <c r="H33" i="8"/>
  <c r="I33" i="8"/>
  <c r="K33" i="8"/>
  <c r="H34" i="8"/>
  <c r="I34" i="8"/>
  <c r="K34" i="8"/>
  <c r="H35" i="8"/>
  <c r="I35" i="8"/>
  <c r="K35" i="8"/>
  <c r="H36" i="8"/>
  <c r="I36" i="8"/>
  <c r="K36" i="8"/>
  <c r="H37" i="8"/>
  <c r="I37" i="8"/>
  <c r="K37" i="8"/>
  <c r="H38" i="8"/>
  <c r="I38" i="8"/>
  <c r="K38" i="8"/>
  <c r="H39" i="8"/>
  <c r="I39" i="8"/>
  <c r="K39" i="8"/>
  <c r="H40" i="8"/>
  <c r="I40" i="8"/>
  <c r="K40" i="8"/>
  <c r="H41" i="8"/>
  <c r="I41" i="8"/>
  <c r="K41" i="8"/>
  <c r="H42" i="8"/>
  <c r="I42" i="8"/>
  <c r="K42" i="8"/>
  <c r="H43" i="8"/>
  <c r="I43" i="8"/>
  <c r="K43" i="8"/>
  <c r="H44" i="8"/>
  <c r="I44" i="8"/>
  <c r="K44" i="8"/>
  <c r="H45" i="8"/>
  <c r="I45" i="8"/>
  <c r="K45" i="8"/>
  <c r="H46" i="8"/>
  <c r="I46" i="8"/>
  <c r="K46" i="8"/>
  <c r="H47" i="8"/>
  <c r="I47" i="8"/>
  <c r="K47" i="8"/>
  <c r="H48" i="8"/>
  <c r="I48" i="8"/>
  <c r="K48" i="8"/>
  <c r="H49" i="8"/>
  <c r="I49" i="8"/>
  <c r="K49" i="8"/>
  <c r="H50" i="8"/>
  <c r="I50" i="8"/>
  <c r="K50" i="8"/>
  <c r="H51" i="8"/>
  <c r="I51" i="8"/>
  <c r="K51" i="8"/>
  <c r="H52" i="8"/>
  <c r="I52" i="8"/>
  <c r="K52" i="8"/>
  <c r="H53" i="8"/>
  <c r="I53" i="8"/>
  <c r="K53" i="8"/>
  <c r="K55" i="8"/>
  <c r="K56" i="8"/>
  <c r="K57" i="8"/>
  <c r="K58" i="8"/>
  <c r="K59" i="8"/>
  <c r="H60" i="8"/>
  <c r="I60" i="8"/>
  <c r="K60" i="8"/>
  <c r="H61" i="8"/>
  <c r="I61" i="8"/>
  <c r="K61" i="8"/>
  <c r="B40" i="11"/>
  <c r="K54" i="8" l="1"/>
  <c r="K62" i="8"/>
  <c r="H54" i="8"/>
  <c r="I62" i="8"/>
  <c r="H62" i="8"/>
  <c r="I54" i="8"/>
  <c r="E40" i="11"/>
  <c r="D40" i="11"/>
  <c r="C40" i="11"/>
  <c r="E72" i="8"/>
  <c r="C43" i="11" s="1"/>
  <c r="G72" i="8"/>
  <c r="E43" i="11" s="1"/>
  <c r="D43" i="11"/>
  <c r="H72" i="8" l="1"/>
  <c r="J72" i="8"/>
  <c r="K72" i="8"/>
  <c r="I72" i="8"/>
  <c r="E71" i="5"/>
  <c r="F71" i="5"/>
  <c r="G71" i="5"/>
  <c r="E62" i="5"/>
  <c r="F62" i="5"/>
  <c r="G62" i="5"/>
  <c r="D62" i="5"/>
  <c r="E54" i="5"/>
  <c r="F54" i="5"/>
  <c r="G54" i="5"/>
  <c r="D54" i="5"/>
  <c r="E21" i="5"/>
  <c r="F21" i="5"/>
  <c r="G21" i="5"/>
  <c r="D8" i="5"/>
  <c r="E8" i="5"/>
  <c r="F8" i="5"/>
  <c r="L42" i="12"/>
  <c r="L66" i="12"/>
  <c r="L67" i="12"/>
  <c r="L69" i="12"/>
  <c r="L70" i="12"/>
  <c r="D21" i="5"/>
  <c r="E71" i="6"/>
  <c r="F71" i="6"/>
  <c r="G71" i="6"/>
  <c r="E62" i="6"/>
  <c r="F62" i="6"/>
  <c r="G62" i="6"/>
  <c r="D62" i="6"/>
  <c r="E21" i="6"/>
  <c r="F21" i="6"/>
  <c r="G21" i="6"/>
  <c r="E8" i="6"/>
  <c r="F8" i="6"/>
  <c r="G8" i="6"/>
  <c r="E54" i="6"/>
  <c r="G54" i="6"/>
  <c r="K63" i="13"/>
  <c r="K64" i="13"/>
  <c r="K65" i="13"/>
  <c r="K68" i="13"/>
  <c r="K69" i="13"/>
  <c r="K70" i="13"/>
  <c r="K55" i="13"/>
  <c r="K56" i="13"/>
  <c r="K57" i="13"/>
  <c r="K58" i="13"/>
  <c r="K59" i="13"/>
  <c r="K60" i="13"/>
  <c r="K61" i="13"/>
  <c r="K22" i="13"/>
  <c r="K23" i="13"/>
  <c r="K24" i="13"/>
  <c r="K26" i="13"/>
  <c r="K27" i="13"/>
  <c r="K28" i="13"/>
  <c r="K29" i="13"/>
  <c r="K30" i="13"/>
  <c r="K31" i="13"/>
  <c r="K32" i="13"/>
  <c r="K33" i="13"/>
  <c r="K34" i="13"/>
  <c r="K35" i="13"/>
  <c r="K36" i="13"/>
  <c r="K37" i="13"/>
  <c r="K38" i="13"/>
  <c r="K39" i="13"/>
  <c r="K41" i="13"/>
  <c r="K43" i="13"/>
  <c r="K44" i="13"/>
  <c r="K45" i="13"/>
  <c r="K46" i="13"/>
  <c r="K47" i="13"/>
  <c r="K48" i="13"/>
  <c r="K50" i="13"/>
  <c r="K52" i="13"/>
  <c r="K53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7" i="13"/>
  <c r="K4" i="13"/>
  <c r="K3" i="13"/>
  <c r="J7" i="13"/>
  <c r="J4" i="13"/>
  <c r="J3" i="13"/>
  <c r="J63" i="13"/>
  <c r="J64" i="13"/>
  <c r="J68" i="13"/>
  <c r="J69" i="13"/>
  <c r="J70" i="13"/>
  <c r="J55" i="13"/>
  <c r="J56" i="13"/>
  <c r="J57" i="13"/>
  <c r="J58" i="13"/>
  <c r="J59" i="13"/>
  <c r="J61" i="13"/>
  <c r="J22" i="13"/>
  <c r="J23" i="13"/>
  <c r="J24" i="13"/>
  <c r="J26" i="13"/>
  <c r="J27" i="13"/>
  <c r="J28" i="13"/>
  <c r="J29" i="13"/>
  <c r="J30" i="13"/>
  <c r="J31" i="13"/>
  <c r="J32" i="13"/>
  <c r="J33" i="13"/>
  <c r="J34" i="13"/>
  <c r="J35" i="13"/>
  <c r="J36" i="13"/>
  <c r="J37" i="13"/>
  <c r="J38" i="13"/>
  <c r="J39" i="13"/>
  <c r="J43" i="13"/>
  <c r="J44" i="13"/>
  <c r="J47" i="13"/>
  <c r="J48" i="13"/>
  <c r="J50" i="13"/>
  <c r="J52" i="13"/>
  <c r="J53" i="13"/>
  <c r="J19" i="13"/>
  <c r="I64" i="13"/>
  <c r="I65" i="13"/>
  <c r="I68" i="13"/>
  <c r="I69" i="13"/>
  <c r="I70" i="13"/>
  <c r="I63" i="13"/>
  <c r="I56" i="13"/>
  <c r="I57" i="13"/>
  <c r="I58" i="13"/>
  <c r="I59" i="13"/>
  <c r="I60" i="13"/>
  <c r="I61" i="13"/>
  <c r="I55" i="13"/>
  <c r="I23" i="13"/>
  <c r="I24" i="13"/>
  <c r="I26" i="13"/>
  <c r="I27" i="13"/>
  <c r="I28" i="13"/>
  <c r="I29" i="13"/>
  <c r="I30" i="13"/>
  <c r="I31" i="13"/>
  <c r="I32" i="13"/>
  <c r="I33" i="13"/>
  <c r="I34" i="13"/>
  <c r="I35" i="13"/>
  <c r="I36" i="13"/>
  <c r="I37" i="13"/>
  <c r="I38" i="13"/>
  <c r="I39" i="13"/>
  <c r="I41" i="13"/>
  <c r="I43" i="13"/>
  <c r="I44" i="13"/>
  <c r="I45" i="13"/>
  <c r="I46" i="13"/>
  <c r="I47" i="13"/>
  <c r="I48" i="13"/>
  <c r="I50" i="13"/>
  <c r="I52" i="13"/>
  <c r="I53" i="13"/>
  <c r="I22" i="13"/>
  <c r="J10" i="13"/>
  <c r="J11" i="13"/>
  <c r="J13" i="13"/>
  <c r="J14" i="13"/>
  <c r="J15" i="13"/>
  <c r="J17" i="13"/>
  <c r="J18" i="13"/>
  <c r="I9" i="13"/>
  <c r="I10" i="13"/>
  <c r="I11" i="13"/>
  <c r="I13" i="13"/>
  <c r="I14" i="13"/>
  <c r="I15" i="13"/>
  <c r="I17" i="13"/>
  <c r="I18" i="13"/>
  <c r="I19" i="13"/>
  <c r="H65" i="13"/>
  <c r="H41" i="13"/>
  <c r="H45" i="13"/>
  <c r="H46" i="13"/>
  <c r="C19" i="11"/>
  <c r="D19" i="11"/>
  <c r="E9" i="11"/>
  <c r="D9" i="11"/>
  <c r="C9" i="11"/>
  <c r="B9" i="11"/>
  <c r="E6" i="11"/>
  <c r="D6" i="11"/>
  <c r="C6" i="11"/>
  <c r="K8" i="13" l="1"/>
  <c r="G72" i="6"/>
  <c r="E45" i="11" s="1"/>
  <c r="E72" i="6"/>
  <c r="C45" i="11" s="1"/>
  <c r="F54" i="6"/>
  <c r="F72" i="6" s="1"/>
  <c r="D45" i="11" s="1"/>
  <c r="J22" i="12"/>
  <c r="G72" i="5"/>
  <c r="E44" i="11" s="1"/>
  <c r="F72" i="5"/>
  <c r="D44" i="11" s="1"/>
  <c r="E72" i="5"/>
  <c r="C44" i="11" s="1"/>
  <c r="L52" i="12"/>
  <c r="L18" i="12"/>
  <c r="L9" i="12"/>
  <c r="L3" i="12"/>
  <c r="O60" i="12"/>
  <c r="O55" i="12"/>
  <c r="O58" i="12"/>
  <c r="O46" i="12"/>
  <c r="O43" i="12"/>
  <c r="O50" i="12"/>
  <c r="O39" i="12"/>
  <c r="O38" i="12"/>
  <c r="O35" i="12"/>
  <c r="O32" i="12"/>
  <c r="O29" i="12"/>
  <c r="O26" i="12"/>
  <c r="O24" i="12"/>
  <c r="O20" i="12"/>
  <c r="O17" i="12"/>
  <c r="O14" i="12"/>
  <c r="O11" i="12"/>
  <c r="O7" i="12"/>
  <c r="O4" i="12"/>
  <c r="L57" i="12"/>
  <c r="E42" i="10"/>
  <c r="M59" i="12"/>
  <c r="E56" i="10"/>
  <c r="M52" i="12"/>
  <c r="E37" i="10"/>
  <c r="M49" i="12"/>
  <c r="L56" i="12"/>
  <c r="L36" i="12"/>
  <c r="L15" i="12"/>
  <c r="L5" i="12"/>
  <c r="O65" i="12"/>
  <c r="N68" i="12"/>
  <c r="N60" i="12"/>
  <c r="N58" i="12"/>
  <c r="N43" i="12"/>
  <c r="N39" i="12"/>
  <c r="N38" i="12"/>
  <c r="N35" i="12"/>
  <c r="N32" i="12"/>
  <c r="N29" i="12"/>
  <c r="N26" i="12"/>
  <c r="N24" i="12"/>
  <c r="N20" i="12"/>
  <c r="N17" i="12"/>
  <c r="N14" i="12"/>
  <c r="N11" i="12"/>
  <c r="N7" i="12"/>
  <c r="N4" i="12"/>
  <c r="L45" i="12"/>
  <c r="E55" i="10"/>
  <c r="M66" i="12"/>
  <c r="M44" i="12"/>
  <c r="E58" i="10"/>
  <c r="E15" i="10"/>
  <c r="M33" i="12"/>
  <c r="E34" i="10"/>
  <c r="M18" i="12"/>
  <c r="L59" i="12"/>
  <c r="L33" i="12"/>
  <c r="L12" i="12"/>
  <c r="O68" i="12"/>
  <c r="E20" i="10"/>
  <c r="M3" i="12"/>
  <c r="N65" i="12"/>
  <c r="N55" i="12"/>
  <c r="N46" i="12"/>
  <c r="N50" i="12"/>
  <c r="N3" i="12"/>
  <c r="E32" i="10"/>
  <c r="M68" i="12"/>
  <c r="E53" i="10"/>
  <c r="M65" i="12"/>
  <c r="E54" i="10"/>
  <c r="M60" i="12"/>
  <c r="E10" i="10"/>
  <c r="M55" i="12"/>
  <c r="M58" i="12"/>
  <c r="E4" i="10"/>
  <c r="E51" i="10"/>
  <c r="M46" i="12"/>
  <c r="E45" i="10"/>
  <c r="M43" i="12"/>
  <c r="E59" i="10"/>
  <c r="M50" i="12"/>
  <c r="E49" i="10"/>
  <c r="M39" i="12"/>
  <c r="E25" i="10"/>
  <c r="M38" i="12"/>
  <c r="M35" i="12"/>
  <c r="E7" i="10"/>
  <c r="E11" i="10"/>
  <c r="M32" i="12"/>
  <c r="E27" i="10"/>
  <c r="M29" i="12"/>
  <c r="E9" i="10"/>
  <c r="M26" i="12"/>
  <c r="E28" i="10"/>
  <c r="M24" i="12"/>
  <c r="E65" i="10"/>
  <c r="M20" i="12"/>
  <c r="M17" i="12"/>
  <c r="E16" i="10"/>
  <c r="E26" i="10"/>
  <c r="M14" i="12"/>
  <c r="E43" i="10"/>
  <c r="M11" i="12"/>
  <c r="E18" i="10"/>
  <c r="M7" i="12"/>
  <c r="E19" i="10"/>
  <c r="M4" i="12"/>
  <c r="L61" i="12"/>
  <c r="E61" i="10"/>
  <c r="M56" i="12"/>
  <c r="E29" i="10"/>
  <c r="M40" i="12"/>
  <c r="E46" i="10"/>
  <c r="M27" i="12"/>
  <c r="E33" i="10"/>
  <c r="M15" i="12"/>
  <c r="E47" i="10"/>
  <c r="M5" i="12"/>
  <c r="L44" i="12"/>
  <c r="L27" i="12"/>
  <c r="L68" i="12"/>
  <c r="L65" i="12"/>
  <c r="L60" i="12"/>
  <c r="L55" i="12"/>
  <c r="L58" i="12"/>
  <c r="L46" i="12"/>
  <c r="L43" i="12"/>
  <c r="L50" i="12"/>
  <c r="L39" i="12"/>
  <c r="L38" i="12"/>
  <c r="L35" i="12"/>
  <c r="L32" i="12"/>
  <c r="L29" i="12"/>
  <c r="L26" i="12"/>
  <c r="L24" i="12"/>
  <c r="L20" i="12"/>
  <c r="L17" i="12"/>
  <c r="L14" i="12"/>
  <c r="L11" i="12"/>
  <c r="L7" i="12"/>
  <c r="L4" i="12"/>
  <c r="L51" i="12"/>
  <c r="L22" i="12"/>
  <c r="O70" i="12"/>
  <c r="O61" i="12"/>
  <c r="O57" i="12"/>
  <c r="O48" i="12"/>
  <c r="O45" i="12"/>
  <c r="O42" i="12"/>
  <c r="O41" i="12"/>
  <c r="O53" i="12"/>
  <c r="O37" i="12"/>
  <c r="O34" i="12"/>
  <c r="O31" i="12"/>
  <c r="O28" i="12"/>
  <c r="O25" i="12"/>
  <c r="O23" i="12"/>
  <c r="O19" i="12"/>
  <c r="O16" i="12"/>
  <c r="O13" i="12"/>
  <c r="O10" i="12"/>
  <c r="O6" i="12"/>
  <c r="E22" i="10"/>
  <c r="M63" i="12"/>
  <c r="E57" i="10"/>
  <c r="M51" i="12"/>
  <c r="M30" i="12"/>
  <c r="E13" i="10"/>
  <c r="M12" i="12"/>
  <c r="E2" i="10"/>
  <c r="L63" i="12"/>
  <c r="L40" i="12"/>
  <c r="L49" i="12"/>
  <c r="O3" i="12"/>
  <c r="O67" i="12"/>
  <c r="N70" i="12"/>
  <c r="N64" i="12"/>
  <c r="N61" i="12"/>
  <c r="N48" i="12"/>
  <c r="N42" i="12"/>
  <c r="N41" i="12"/>
  <c r="N53" i="12"/>
  <c r="N37" i="12"/>
  <c r="N34" i="12"/>
  <c r="N31" i="12"/>
  <c r="N28" i="12"/>
  <c r="N25" i="12"/>
  <c r="N23" i="12"/>
  <c r="N19" i="12"/>
  <c r="N16" i="12"/>
  <c r="N13" i="12"/>
  <c r="N10" i="12"/>
  <c r="N6" i="12"/>
  <c r="L64" i="12"/>
  <c r="M69" i="12"/>
  <c r="E40" i="10"/>
  <c r="E3" i="10"/>
  <c r="C3" i="10" s="1"/>
  <c r="M47" i="12"/>
  <c r="E8" i="10"/>
  <c r="M36" i="12"/>
  <c r="E35" i="10"/>
  <c r="M22" i="12"/>
  <c r="E5" i="10"/>
  <c r="M9" i="12"/>
  <c r="L47" i="12"/>
  <c r="L30" i="12"/>
  <c r="O64" i="12"/>
  <c r="N67" i="12"/>
  <c r="N57" i="12"/>
  <c r="N45" i="12"/>
  <c r="E21" i="10"/>
  <c r="M70" i="12"/>
  <c r="E50" i="10"/>
  <c r="M67" i="12"/>
  <c r="E44" i="10"/>
  <c r="M64" i="12"/>
  <c r="E36" i="10"/>
  <c r="M61" i="12"/>
  <c r="M57" i="12"/>
  <c r="E30" i="10"/>
  <c r="E6" i="10"/>
  <c r="M48" i="12"/>
  <c r="E31" i="10"/>
  <c r="M45" i="12"/>
  <c r="E12" i="10"/>
  <c r="M42" i="12"/>
  <c r="E62" i="10"/>
  <c r="M41" i="12"/>
  <c r="E60" i="10"/>
  <c r="M53" i="12"/>
  <c r="M37" i="12"/>
  <c r="E38" i="10"/>
  <c r="E64" i="10"/>
  <c r="M34" i="12"/>
  <c r="E14" i="10"/>
  <c r="M31" i="12"/>
  <c r="E23" i="10"/>
  <c r="M28" i="12"/>
  <c r="E24" i="10"/>
  <c r="M25" i="12"/>
  <c r="E41" i="10"/>
  <c r="M23" i="12"/>
  <c r="M19" i="12"/>
  <c r="E63" i="10"/>
  <c r="E52" i="10"/>
  <c r="M16" i="12"/>
  <c r="E17" i="10"/>
  <c r="M13" i="12"/>
  <c r="E39" i="10"/>
  <c r="M10" i="12"/>
  <c r="E48" i="10"/>
  <c r="M6" i="12"/>
  <c r="L41" i="12"/>
  <c r="L53" i="12"/>
  <c r="L37" i="12"/>
  <c r="L34" i="12"/>
  <c r="L31" i="12"/>
  <c r="L28" i="12"/>
  <c r="L25" i="12"/>
  <c r="L23" i="12"/>
  <c r="L19" i="12"/>
  <c r="L16" i="12"/>
  <c r="L13" i="12"/>
  <c r="L10" i="12"/>
  <c r="L6" i="12"/>
  <c r="O69" i="12"/>
  <c r="O66" i="12"/>
  <c r="O63" i="12"/>
  <c r="O56" i="12"/>
  <c r="O59" i="12"/>
  <c r="O47" i="12"/>
  <c r="O44" i="12"/>
  <c r="O51" i="12"/>
  <c r="O40" i="12"/>
  <c r="O52" i="12"/>
  <c r="O36" i="12"/>
  <c r="O33" i="12"/>
  <c r="O30" i="12"/>
  <c r="O27" i="12"/>
  <c r="O49" i="12"/>
  <c r="O22" i="12"/>
  <c r="O18" i="12"/>
  <c r="O15" i="12"/>
  <c r="O12" i="12"/>
  <c r="O9" i="12"/>
  <c r="O5" i="12"/>
  <c r="L48" i="12"/>
  <c r="N69" i="12"/>
  <c r="N66" i="12"/>
  <c r="N63" i="12"/>
  <c r="N56" i="12"/>
  <c r="N59" i="12"/>
  <c r="N47" i="12"/>
  <c r="N44" i="12"/>
  <c r="N51" i="12"/>
  <c r="N40" i="12"/>
  <c r="N52" i="12"/>
  <c r="N36" i="12"/>
  <c r="N33" i="12"/>
  <c r="N30" i="12"/>
  <c r="N27" i="12"/>
  <c r="N49" i="12"/>
  <c r="N22" i="12"/>
  <c r="N18" i="12"/>
  <c r="N15" i="12"/>
  <c r="N12" i="12"/>
  <c r="N9" i="12"/>
  <c r="N5" i="12"/>
  <c r="J62" i="13"/>
  <c r="I71" i="6"/>
  <c r="K71" i="6"/>
  <c r="J71" i="6"/>
  <c r="K71" i="5"/>
  <c r="K72" i="5" s="1"/>
  <c r="J71" i="5"/>
  <c r="I71" i="5"/>
  <c r="H71" i="5"/>
  <c r="J71" i="13"/>
  <c r="K71" i="13"/>
  <c r="J54" i="13"/>
  <c r="K21" i="13"/>
  <c r="J8" i="13"/>
  <c r="K62" i="13"/>
  <c r="K54" i="13"/>
  <c r="I71" i="13"/>
  <c r="I62" i="13"/>
  <c r="I21" i="13"/>
  <c r="J54" i="12" l="1"/>
  <c r="J72" i="12" s="1"/>
  <c r="N22" i="14"/>
  <c r="N54" i="14" s="1"/>
  <c r="N72" i="14" s="1"/>
  <c r="J72" i="5"/>
  <c r="N62" i="12"/>
  <c r="M62" i="12"/>
  <c r="M21" i="12"/>
  <c r="M8" i="12"/>
  <c r="M71" i="12" s="1"/>
  <c r="L54" i="12"/>
  <c r="N28" i="11"/>
  <c r="N54" i="12"/>
  <c r="M54" i="12"/>
  <c r="O21" i="12"/>
  <c r="O62" i="12"/>
  <c r="J72" i="6"/>
  <c r="N21" i="12"/>
  <c r="L8" i="12"/>
  <c r="L71" i="12" s="1"/>
  <c r="N30" i="11"/>
  <c r="O8" i="12"/>
  <c r="O71" i="12" s="1"/>
  <c r="L21" i="12"/>
  <c r="O54" i="12"/>
  <c r="N29" i="11"/>
  <c r="N8" i="12"/>
  <c r="N71" i="12" s="1"/>
  <c r="L62" i="12"/>
  <c r="D55" i="12"/>
  <c r="N31" i="11"/>
  <c r="F31" i="11" s="1"/>
  <c r="K72" i="13"/>
  <c r="H72" i="5"/>
  <c r="I72" i="5"/>
  <c r="I72" i="6"/>
  <c r="K72" i="6"/>
  <c r="K71" i="18"/>
  <c r="K72" i="18" s="1"/>
  <c r="J71" i="18"/>
  <c r="J72" i="18" s="1"/>
  <c r="I71" i="18"/>
  <c r="I72" i="18" s="1"/>
  <c r="H71" i="18"/>
  <c r="H72" i="18" s="1"/>
  <c r="G71" i="18"/>
  <c r="F71" i="18"/>
  <c r="E71" i="18"/>
  <c r="D71" i="18"/>
  <c r="K62" i="18"/>
  <c r="J62" i="18"/>
  <c r="I62" i="18"/>
  <c r="H62" i="18"/>
  <c r="G62" i="18"/>
  <c r="G72" i="18" s="1"/>
  <c r="F62" i="18"/>
  <c r="F72" i="18" s="1"/>
  <c r="E62" i="18"/>
  <c r="E72" i="18" s="1"/>
  <c r="D62" i="18"/>
  <c r="D72" i="18" s="1"/>
  <c r="K21" i="18"/>
  <c r="J21" i="18"/>
  <c r="I21" i="18"/>
  <c r="H21" i="18"/>
  <c r="G21" i="18"/>
  <c r="F21" i="18"/>
  <c r="E21" i="18"/>
  <c r="D21" i="18"/>
  <c r="K8" i="18"/>
  <c r="J8" i="18"/>
  <c r="I8" i="18"/>
  <c r="H8" i="18"/>
  <c r="G8" i="18"/>
  <c r="F8" i="18"/>
  <c r="E8" i="18"/>
  <c r="D8" i="18"/>
  <c r="D71" i="16"/>
  <c r="D21" i="16"/>
  <c r="K71" i="15"/>
  <c r="K72" i="15" s="1"/>
  <c r="J71" i="15"/>
  <c r="J72" i="15" s="1"/>
  <c r="I71" i="15"/>
  <c r="I72" i="15" s="1"/>
  <c r="H71" i="15"/>
  <c r="H72" i="15" s="1"/>
  <c r="G71" i="15"/>
  <c r="F71" i="15"/>
  <c r="E71" i="15"/>
  <c r="D71" i="15"/>
  <c r="K62" i="15"/>
  <c r="J62" i="15"/>
  <c r="I62" i="15"/>
  <c r="H62" i="15"/>
  <c r="G62" i="15"/>
  <c r="G72" i="15" s="1"/>
  <c r="F62" i="15"/>
  <c r="E62" i="15"/>
  <c r="E72" i="15" s="1"/>
  <c r="D62" i="15"/>
  <c r="D72" i="15" s="1"/>
  <c r="K21" i="15"/>
  <c r="J21" i="15"/>
  <c r="I21" i="15"/>
  <c r="H21" i="15"/>
  <c r="G21" i="15"/>
  <c r="F21" i="15"/>
  <c r="E21" i="15"/>
  <c r="D21" i="15"/>
  <c r="K8" i="15"/>
  <c r="J8" i="15"/>
  <c r="I8" i="15"/>
  <c r="H8" i="15"/>
  <c r="G8" i="15"/>
  <c r="F8" i="15"/>
  <c r="E8" i="15"/>
  <c r="D8" i="15"/>
  <c r="G72" i="9"/>
  <c r="F72" i="9"/>
  <c r="E72" i="9"/>
  <c r="D72" i="9"/>
  <c r="K71" i="9"/>
  <c r="K72" i="9" s="1"/>
  <c r="J71" i="9"/>
  <c r="I71" i="9"/>
  <c r="I72" i="9" s="1"/>
  <c r="H71" i="9"/>
  <c r="H72" i="9" s="1"/>
  <c r="G71" i="9"/>
  <c r="F71" i="9"/>
  <c r="E71" i="9"/>
  <c r="D71" i="9"/>
  <c r="K62" i="9"/>
  <c r="I62" i="9"/>
  <c r="H62" i="9"/>
  <c r="G62" i="9"/>
  <c r="F62" i="9"/>
  <c r="E62" i="9"/>
  <c r="D62" i="9"/>
  <c r="K21" i="9"/>
  <c r="I21" i="9"/>
  <c r="H21" i="9"/>
  <c r="G21" i="9"/>
  <c r="F21" i="9"/>
  <c r="E21" i="9"/>
  <c r="D21" i="9"/>
  <c r="K8" i="9"/>
  <c r="I8" i="9"/>
  <c r="H8" i="9"/>
  <c r="G8" i="9"/>
  <c r="F8" i="9"/>
  <c r="E8" i="9"/>
  <c r="D8" i="9"/>
  <c r="D71" i="6"/>
  <c r="D72" i="6" s="1"/>
  <c r="B45" i="11" s="1"/>
  <c r="D71" i="5"/>
  <c r="D72" i="5" s="1"/>
  <c r="B44" i="11" s="1"/>
  <c r="D71" i="4"/>
  <c r="D72" i="4" s="1"/>
  <c r="B46" i="11" s="1"/>
  <c r="D21" i="11"/>
  <c r="C21" i="11"/>
  <c r="B21" i="11"/>
  <c r="D18" i="11"/>
  <c r="C18" i="11"/>
  <c r="D17" i="11"/>
  <c r="C17" i="11"/>
  <c r="H8" i="12"/>
  <c r="G8" i="2"/>
  <c r="G72" i="2" s="1"/>
  <c r="E39" i="11" s="1"/>
  <c r="F8" i="2"/>
  <c r="F72" i="2" s="1"/>
  <c r="D39" i="11" s="1"/>
  <c r="E8" i="2"/>
  <c r="E72" i="2" s="1"/>
  <c r="C39" i="11" s="1"/>
  <c r="D8" i="2"/>
  <c r="D72" i="2" s="1"/>
  <c r="B39" i="11" s="1"/>
  <c r="H31" i="11"/>
  <c r="I31" i="11"/>
  <c r="K31" i="11"/>
  <c r="L31" i="11"/>
  <c r="M31" i="11"/>
  <c r="F21" i="11"/>
  <c r="G21" i="11"/>
  <c r="H21" i="11"/>
  <c r="H17" i="13"/>
  <c r="H18" i="13"/>
  <c r="H19" i="13"/>
  <c r="H23" i="13"/>
  <c r="H50" i="13"/>
  <c r="H64" i="13"/>
  <c r="H69" i="13"/>
  <c r="H68" i="13"/>
  <c r="H70" i="13"/>
  <c r="H52" i="13"/>
  <c r="H43" i="13"/>
  <c r="H53" i="13"/>
  <c r="H44" i="13"/>
  <c r="H24" i="13"/>
  <c r="H26" i="13"/>
  <c r="H27" i="13"/>
  <c r="H28" i="13"/>
  <c r="H29" i="13"/>
  <c r="H30" i="13"/>
  <c r="H31" i="13"/>
  <c r="H32" i="13"/>
  <c r="H34" i="13"/>
  <c r="H35" i="13"/>
  <c r="H36" i="13"/>
  <c r="H37" i="13"/>
  <c r="H38" i="13"/>
  <c r="H39" i="13"/>
  <c r="H47" i="13"/>
  <c r="H48" i="13"/>
  <c r="I4" i="13"/>
  <c r="H4" i="13"/>
  <c r="N72" i="12" l="1"/>
  <c r="M72" i="12"/>
  <c r="O72" i="12"/>
  <c r="L72" i="12"/>
  <c r="B17" i="11"/>
  <c r="H71" i="12"/>
  <c r="H72" i="12" s="1"/>
  <c r="F72" i="15"/>
  <c r="D49" i="11" s="1"/>
  <c r="D72" i="16"/>
  <c r="B50" i="11" s="1"/>
  <c r="D72" i="8"/>
  <c r="B43" i="11" s="1"/>
  <c r="I3" i="13"/>
  <c r="I7" i="13"/>
  <c r="H9" i="13"/>
  <c r="H10" i="13"/>
  <c r="H11" i="13"/>
  <c r="H13" i="13"/>
  <c r="H14" i="13"/>
  <c r="H22" i="13"/>
  <c r="H15" i="13"/>
  <c r="H7" i="13"/>
  <c r="H3" i="13"/>
  <c r="I8" i="13" l="1"/>
  <c r="I54" i="13" s="1"/>
  <c r="I72" i="13" s="1"/>
  <c r="H63" i="13"/>
  <c r="H59" i="13" l="1"/>
  <c r="H60" i="13"/>
  <c r="H61" i="13" l="1"/>
  <c r="H56" i="13" l="1"/>
  <c r="H57" i="13" l="1"/>
  <c r="D5" i="11"/>
  <c r="C5" i="11"/>
  <c r="J9" i="13"/>
  <c r="J21" i="13" s="1"/>
  <c r="J72" i="13" s="1"/>
  <c r="H33" i="13" l="1"/>
  <c r="H55" i="13"/>
  <c r="H58" i="13"/>
  <c r="J31" i="11" l="1"/>
  <c r="H62" i="13"/>
  <c r="H21" i="13"/>
  <c r="H8" i="13"/>
  <c r="H54" i="13" s="1"/>
  <c r="E51" i="11" l="1"/>
  <c r="T32" i="11"/>
  <c r="U32" i="11"/>
  <c r="S32" i="11"/>
  <c r="R32" i="11"/>
  <c r="G48" i="11" l="1"/>
  <c r="H71" i="13" l="1"/>
  <c r="H72" i="13" s="1"/>
  <c r="N70" i="13" l="1"/>
  <c r="N56" i="13"/>
  <c r="N69" i="13"/>
  <c r="N68" i="13"/>
  <c r="N67" i="13"/>
  <c r="N66" i="13"/>
  <c r="N65" i="13"/>
  <c r="N64" i="13"/>
  <c r="N63" i="13"/>
  <c r="N53" i="13"/>
  <c r="N59" i="13"/>
  <c r="N52" i="13"/>
  <c r="N51" i="13"/>
  <c r="N50" i="13"/>
  <c r="N49" i="13"/>
  <c r="N48" i="13"/>
  <c r="N47" i="13"/>
  <c r="N55" i="13"/>
  <c r="N46" i="13"/>
  <c r="N45" i="13"/>
  <c r="N60" i="13"/>
  <c r="N44" i="13"/>
  <c r="N43" i="13"/>
  <c r="N58" i="13"/>
  <c r="N57" i="13"/>
  <c r="N7" i="13"/>
  <c r="N42" i="13"/>
  <c r="N41" i="13"/>
  <c r="N40" i="13"/>
  <c r="N39" i="13"/>
  <c r="N38" i="13"/>
  <c r="N37" i="13"/>
  <c r="N36" i="13"/>
  <c r="N35" i="13"/>
  <c r="N34" i="13"/>
  <c r="N33" i="13"/>
  <c r="N32" i="13"/>
  <c r="N31" i="13"/>
  <c r="N30" i="13"/>
  <c r="N29" i="13"/>
  <c r="N28" i="13"/>
  <c r="N27" i="13"/>
  <c r="N61" i="13"/>
  <c r="N26" i="13"/>
  <c r="N25" i="13"/>
  <c r="N24" i="13"/>
  <c r="N23" i="13"/>
  <c r="N22" i="13"/>
  <c r="N20" i="13"/>
  <c r="N19" i="13"/>
  <c r="N18" i="13"/>
  <c r="N17" i="13"/>
  <c r="N16" i="13"/>
  <c r="N15" i="13"/>
  <c r="N14" i="13"/>
  <c r="N13" i="13"/>
  <c r="N12" i="13"/>
  <c r="N11" i="13"/>
  <c r="N10" i="13"/>
  <c r="N9" i="13"/>
  <c r="N4" i="13"/>
  <c r="N5" i="13"/>
  <c r="N6" i="13"/>
  <c r="M70" i="13"/>
  <c r="M56" i="13"/>
  <c r="M69" i="13"/>
  <c r="M68" i="13"/>
  <c r="M67" i="13"/>
  <c r="M66" i="13"/>
  <c r="M65" i="13"/>
  <c r="M64" i="13"/>
  <c r="M63" i="13"/>
  <c r="M53" i="13"/>
  <c r="M59" i="13"/>
  <c r="M52" i="13"/>
  <c r="M51" i="13"/>
  <c r="M50" i="13"/>
  <c r="M49" i="13"/>
  <c r="M48" i="13"/>
  <c r="M47" i="13"/>
  <c r="M55" i="13"/>
  <c r="M46" i="13"/>
  <c r="M45" i="13"/>
  <c r="M60" i="13"/>
  <c r="M44" i="13"/>
  <c r="M43" i="13"/>
  <c r="M58" i="13"/>
  <c r="M57" i="13"/>
  <c r="M7" i="13"/>
  <c r="M42" i="13"/>
  <c r="M41" i="13"/>
  <c r="M40" i="13"/>
  <c r="M39" i="13"/>
  <c r="M38" i="13"/>
  <c r="M37" i="13"/>
  <c r="M36" i="13"/>
  <c r="M35" i="13"/>
  <c r="M34" i="13"/>
  <c r="M33" i="13"/>
  <c r="M32" i="13"/>
  <c r="M31" i="13"/>
  <c r="M30" i="13"/>
  <c r="M29" i="13"/>
  <c r="M28" i="13"/>
  <c r="M27" i="13"/>
  <c r="M61" i="13"/>
  <c r="M26" i="13"/>
  <c r="M25" i="13"/>
  <c r="M24" i="13"/>
  <c r="M23" i="13"/>
  <c r="M22" i="13"/>
  <c r="M20" i="13"/>
  <c r="M19" i="13"/>
  <c r="M18" i="13"/>
  <c r="M17" i="13"/>
  <c r="M16" i="13"/>
  <c r="M15" i="13"/>
  <c r="M14" i="13"/>
  <c r="M13" i="13"/>
  <c r="M12" i="13"/>
  <c r="M11" i="13"/>
  <c r="M10" i="13"/>
  <c r="M9" i="13"/>
  <c r="M4" i="13"/>
  <c r="M5" i="13"/>
  <c r="M6" i="13"/>
  <c r="L70" i="13"/>
  <c r="L56" i="13"/>
  <c r="L69" i="13"/>
  <c r="L68" i="13"/>
  <c r="L67" i="13"/>
  <c r="L66" i="13"/>
  <c r="L65" i="13"/>
  <c r="L64" i="13"/>
  <c r="L63" i="13"/>
  <c r="L53" i="13"/>
  <c r="L59" i="13"/>
  <c r="L52" i="13"/>
  <c r="L51" i="13"/>
  <c r="L50" i="13"/>
  <c r="L49" i="13"/>
  <c r="L48" i="13"/>
  <c r="L47" i="13"/>
  <c r="L55" i="13"/>
  <c r="L46" i="13"/>
  <c r="L45" i="13"/>
  <c r="L60" i="13"/>
  <c r="L44" i="13"/>
  <c r="L43" i="13"/>
  <c r="L58" i="13"/>
  <c r="L57" i="13"/>
  <c r="L7" i="13"/>
  <c r="L42" i="13"/>
  <c r="L41" i="13"/>
  <c r="L40" i="13"/>
  <c r="L39" i="13"/>
  <c r="L38" i="13"/>
  <c r="L37" i="13"/>
  <c r="L36" i="13"/>
  <c r="L35" i="13"/>
  <c r="L34" i="13"/>
  <c r="L33" i="13"/>
  <c r="L32" i="13"/>
  <c r="L31" i="13"/>
  <c r="L30" i="13"/>
  <c r="L29" i="13"/>
  <c r="L28" i="13"/>
  <c r="L27" i="13"/>
  <c r="L61" i="13"/>
  <c r="L20" i="13"/>
  <c r="L19" i="13"/>
  <c r="L18" i="13"/>
  <c r="L17" i="13"/>
  <c r="L16" i="13"/>
  <c r="L15" i="13"/>
  <c r="L14" i="13"/>
  <c r="L13" i="13"/>
  <c r="L12" i="13"/>
  <c r="L11" i="13"/>
  <c r="L10" i="13"/>
  <c r="L9" i="13"/>
  <c r="L4" i="13"/>
  <c r="L5" i="13"/>
  <c r="L6" i="13"/>
  <c r="N71" i="13" l="1"/>
  <c r="N62" i="13"/>
  <c r="M62" i="13"/>
  <c r="M21" i="13"/>
  <c r="L71" i="13"/>
  <c r="L21" i="13"/>
  <c r="N21" i="13"/>
  <c r="L62" i="13"/>
  <c r="M71" i="13"/>
  <c r="J71" i="1"/>
  <c r="H71" i="1"/>
  <c r="F71" i="1"/>
  <c r="D71" i="1"/>
  <c r="E71" i="1"/>
  <c r="G71" i="1"/>
  <c r="I71" i="1"/>
  <c r="K71" i="1"/>
  <c r="E62" i="1"/>
  <c r="F62" i="1"/>
  <c r="G62" i="1"/>
  <c r="H62" i="1"/>
  <c r="I62" i="1"/>
  <c r="J62" i="1"/>
  <c r="K62" i="1"/>
  <c r="D62" i="1"/>
  <c r="G21" i="1"/>
  <c r="E21" i="1"/>
  <c r="F21" i="1"/>
  <c r="H21" i="1"/>
  <c r="I21" i="1"/>
  <c r="J21" i="1"/>
  <c r="K21" i="1"/>
  <c r="B7" i="11"/>
  <c r="C7" i="11"/>
  <c r="D7" i="11"/>
  <c r="E7" i="11"/>
  <c r="E5" i="11"/>
  <c r="B42" i="10"/>
  <c r="B6" i="10"/>
  <c r="B22" i="10"/>
  <c r="B44" i="10"/>
  <c r="B53" i="10"/>
  <c r="B55" i="10"/>
  <c r="B50" i="10"/>
  <c r="B4" i="10"/>
  <c r="B21" i="10"/>
  <c r="G5" i="14"/>
  <c r="G9" i="14"/>
  <c r="G10" i="14"/>
  <c r="G11" i="14"/>
  <c r="G12" i="14"/>
  <c r="G13" i="14"/>
  <c r="G14" i="14"/>
  <c r="G15" i="14"/>
  <c r="G16" i="14"/>
  <c r="G17" i="14"/>
  <c r="G18" i="14"/>
  <c r="G19" i="14"/>
  <c r="G20" i="14"/>
  <c r="G22" i="14"/>
  <c r="G23" i="14"/>
  <c r="G24" i="14"/>
  <c r="G25" i="14"/>
  <c r="G26" i="14"/>
  <c r="G61" i="14"/>
  <c r="G27" i="14"/>
  <c r="G28" i="14"/>
  <c r="G29" i="14"/>
  <c r="G30" i="14"/>
  <c r="G31" i="14"/>
  <c r="G32" i="14"/>
  <c r="G33" i="14"/>
  <c r="G34" i="14"/>
  <c r="G35" i="14"/>
  <c r="G36" i="14"/>
  <c r="G37" i="14"/>
  <c r="G38" i="14"/>
  <c r="G39" i="14"/>
  <c r="G40" i="14"/>
  <c r="G41" i="14"/>
  <c r="G42" i="14"/>
  <c r="G7" i="14"/>
  <c r="G57" i="14"/>
  <c r="G58" i="14"/>
  <c r="G43" i="14"/>
  <c r="G44" i="14"/>
  <c r="G60" i="14"/>
  <c r="G45" i="14"/>
  <c r="G46" i="14"/>
  <c r="G56" i="14"/>
  <c r="G47" i="14"/>
  <c r="G48" i="14"/>
  <c r="G49" i="14"/>
  <c r="G50" i="14"/>
  <c r="G51" i="14"/>
  <c r="G52" i="14"/>
  <c r="G59" i="14"/>
  <c r="G53" i="14"/>
  <c r="G63" i="14"/>
  <c r="G64" i="14"/>
  <c r="G65" i="14"/>
  <c r="G66" i="14"/>
  <c r="G67" i="14"/>
  <c r="G68" i="14"/>
  <c r="G69" i="14"/>
  <c r="G55" i="14"/>
  <c r="G70" i="14"/>
  <c r="F5" i="14"/>
  <c r="F9" i="14"/>
  <c r="F10" i="14"/>
  <c r="F11" i="14"/>
  <c r="F12" i="14"/>
  <c r="F13" i="14"/>
  <c r="F14" i="14"/>
  <c r="F15" i="14"/>
  <c r="F16" i="14"/>
  <c r="F17" i="14"/>
  <c r="F18" i="14"/>
  <c r="F19" i="14"/>
  <c r="F20" i="14"/>
  <c r="F22" i="14"/>
  <c r="F23" i="14"/>
  <c r="F24" i="14"/>
  <c r="F25" i="14"/>
  <c r="F26" i="14"/>
  <c r="F61" i="14"/>
  <c r="F27" i="14"/>
  <c r="F28" i="14"/>
  <c r="F29" i="14"/>
  <c r="F30" i="14"/>
  <c r="F31" i="14"/>
  <c r="F32" i="14"/>
  <c r="F33" i="14"/>
  <c r="F34" i="14"/>
  <c r="F35" i="14"/>
  <c r="F36" i="14"/>
  <c r="F37" i="14"/>
  <c r="F38" i="14"/>
  <c r="F39" i="14"/>
  <c r="F40" i="14"/>
  <c r="F41" i="14"/>
  <c r="F42" i="14"/>
  <c r="F7" i="14"/>
  <c r="F57" i="14"/>
  <c r="F58" i="14"/>
  <c r="F43" i="14"/>
  <c r="F44" i="14"/>
  <c r="F60" i="14"/>
  <c r="F45" i="14"/>
  <c r="F46" i="14"/>
  <c r="F56" i="14"/>
  <c r="F47" i="14"/>
  <c r="F48" i="14"/>
  <c r="F49" i="14"/>
  <c r="F50" i="14"/>
  <c r="F51" i="14"/>
  <c r="F52" i="14"/>
  <c r="F59" i="14"/>
  <c r="F53" i="14"/>
  <c r="F63" i="14"/>
  <c r="F64" i="14"/>
  <c r="F65" i="14"/>
  <c r="F66" i="14"/>
  <c r="F67" i="14"/>
  <c r="F68" i="14"/>
  <c r="F69" i="14"/>
  <c r="F55" i="14"/>
  <c r="F70" i="14"/>
  <c r="E9" i="14"/>
  <c r="E10" i="14"/>
  <c r="E11" i="14"/>
  <c r="E12" i="14"/>
  <c r="E13" i="14"/>
  <c r="E14" i="14"/>
  <c r="E15" i="14"/>
  <c r="E16" i="14"/>
  <c r="E17" i="14"/>
  <c r="E18" i="14"/>
  <c r="E19" i="14"/>
  <c r="E20" i="14"/>
  <c r="E22" i="14"/>
  <c r="E23" i="14"/>
  <c r="E24" i="14"/>
  <c r="E25" i="14"/>
  <c r="E26" i="14"/>
  <c r="E61" i="14"/>
  <c r="E27" i="14"/>
  <c r="E28" i="14"/>
  <c r="E29" i="14"/>
  <c r="E30" i="14"/>
  <c r="E31" i="14"/>
  <c r="E32" i="14"/>
  <c r="E33" i="14"/>
  <c r="E34" i="14"/>
  <c r="E35" i="14"/>
  <c r="E36" i="14"/>
  <c r="E37" i="14"/>
  <c r="E38" i="14"/>
  <c r="E39" i="14"/>
  <c r="E40" i="14"/>
  <c r="E41" i="14"/>
  <c r="E42" i="14"/>
  <c r="E7" i="14"/>
  <c r="E57" i="14"/>
  <c r="E58" i="14"/>
  <c r="E43" i="14"/>
  <c r="E44" i="14"/>
  <c r="E60" i="14"/>
  <c r="E45" i="14"/>
  <c r="E46" i="14"/>
  <c r="E56" i="14"/>
  <c r="E47" i="14"/>
  <c r="E48" i="14"/>
  <c r="E49" i="14"/>
  <c r="E50" i="14"/>
  <c r="E51" i="14"/>
  <c r="E52" i="14"/>
  <c r="E59" i="14"/>
  <c r="E53" i="14"/>
  <c r="E63" i="14"/>
  <c r="E64" i="14"/>
  <c r="E65" i="14"/>
  <c r="E66" i="14"/>
  <c r="E67" i="14"/>
  <c r="E68" i="14"/>
  <c r="E69" i="14"/>
  <c r="E55" i="14"/>
  <c r="E70" i="14"/>
  <c r="D5" i="14"/>
  <c r="D9" i="14"/>
  <c r="D10" i="14"/>
  <c r="D11" i="14"/>
  <c r="D12" i="14"/>
  <c r="D13" i="14"/>
  <c r="D14" i="14"/>
  <c r="D15" i="14"/>
  <c r="D16" i="14"/>
  <c r="D17" i="14"/>
  <c r="D18" i="14"/>
  <c r="D19" i="14"/>
  <c r="D20" i="14"/>
  <c r="D22" i="14"/>
  <c r="D23" i="14"/>
  <c r="D24" i="14"/>
  <c r="D25" i="14"/>
  <c r="D26" i="14"/>
  <c r="D61" i="14"/>
  <c r="D27" i="14"/>
  <c r="D28" i="14"/>
  <c r="D29" i="14"/>
  <c r="D30" i="14"/>
  <c r="D31" i="14"/>
  <c r="D32" i="14"/>
  <c r="D33" i="14"/>
  <c r="D34" i="14"/>
  <c r="D35" i="14"/>
  <c r="D36" i="14"/>
  <c r="D37" i="14"/>
  <c r="D38" i="14"/>
  <c r="D39" i="14"/>
  <c r="D40" i="14"/>
  <c r="D41" i="14"/>
  <c r="D42" i="14"/>
  <c r="D7" i="14"/>
  <c r="D57" i="14"/>
  <c r="D58" i="14"/>
  <c r="D43" i="14"/>
  <c r="D44" i="14"/>
  <c r="D60" i="14"/>
  <c r="D45" i="14"/>
  <c r="D46" i="14"/>
  <c r="D56" i="14"/>
  <c r="D47" i="14"/>
  <c r="D48" i="14"/>
  <c r="D49" i="14"/>
  <c r="D50" i="14"/>
  <c r="D51" i="14"/>
  <c r="D52" i="14"/>
  <c r="D59" i="14"/>
  <c r="D53" i="14"/>
  <c r="D63" i="14"/>
  <c r="D64" i="14"/>
  <c r="D65" i="14"/>
  <c r="D66" i="14"/>
  <c r="D67" i="14"/>
  <c r="D68" i="14"/>
  <c r="D69" i="14"/>
  <c r="D55" i="14"/>
  <c r="D70" i="14"/>
  <c r="E36" i="13"/>
  <c r="E37" i="13"/>
  <c r="E38" i="13"/>
  <c r="E39" i="13"/>
  <c r="E40" i="13"/>
  <c r="E41" i="13"/>
  <c r="E42" i="13"/>
  <c r="E43" i="13"/>
  <c r="E44" i="13"/>
  <c r="E47" i="13"/>
  <c r="E48" i="13"/>
  <c r="E16" i="13"/>
  <c r="E17" i="13"/>
  <c r="E19" i="13"/>
  <c r="E20" i="13"/>
  <c r="E6" i="13"/>
  <c r="F64" i="12"/>
  <c r="F65" i="12"/>
  <c r="F66" i="12"/>
  <c r="F67" i="12"/>
  <c r="F68" i="12"/>
  <c r="F69" i="12"/>
  <c r="F58" i="12"/>
  <c r="F23" i="12"/>
  <c r="D23" i="13" s="1"/>
  <c r="F24" i="12"/>
  <c r="D24" i="13" s="1"/>
  <c r="F49" i="12"/>
  <c r="D25" i="13" s="1"/>
  <c r="F25" i="12"/>
  <c r="D26" i="13" s="1"/>
  <c r="F61" i="12"/>
  <c r="D61" i="13" s="1"/>
  <c r="F26" i="12"/>
  <c r="D27" i="13" s="1"/>
  <c r="F27" i="12"/>
  <c r="D28" i="13" s="1"/>
  <c r="F28" i="12"/>
  <c r="D29" i="13" s="1"/>
  <c r="F29" i="12"/>
  <c r="D30" i="13" s="1"/>
  <c r="F30" i="12"/>
  <c r="D31" i="13" s="1"/>
  <c r="F31" i="12"/>
  <c r="D32" i="13" s="1"/>
  <c r="F32" i="12"/>
  <c r="D33" i="13" s="1"/>
  <c r="F33" i="12"/>
  <c r="D34" i="13" s="1"/>
  <c r="F34" i="12"/>
  <c r="D35" i="13" s="1"/>
  <c r="F35" i="12"/>
  <c r="D36" i="13" s="1"/>
  <c r="F36" i="12"/>
  <c r="D37" i="13" s="1"/>
  <c r="F37" i="12"/>
  <c r="D38" i="13" s="1"/>
  <c r="F38" i="12"/>
  <c r="D39" i="13" s="1"/>
  <c r="F52" i="12"/>
  <c r="D40" i="13" s="1"/>
  <c r="F53" i="12"/>
  <c r="D41" i="13" s="1"/>
  <c r="F39" i="12"/>
  <c r="D42" i="13" s="1"/>
  <c r="F7" i="12"/>
  <c r="D7" i="13" s="1"/>
  <c r="D57" i="13"/>
  <c r="F56" i="12"/>
  <c r="D58" i="13" s="1"/>
  <c r="F40" i="12"/>
  <c r="D43" i="13" s="1"/>
  <c r="F41" i="12"/>
  <c r="D44" i="13" s="1"/>
  <c r="F60" i="12"/>
  <c r="D60" i="13" s="1"/>
  <c r="F50" i="12"/>
  <c r="D45" i="13" s="1"/>
  <c r="F51" i="12"/>
  <c r="D46" i="13" s="1"/>
  <c r="F57" i="12"/>
  <c r="D55" i="13" s="1"/>
  <c r="F42" i="12"/>
  <c r="D47" i="13" s="1"/>
  <c r="F43" i="12"/>
  <c r="D48" i="13" s="1"/>
  <c r="F44" i="12"/>
  <c r="D49" i="13" s="1"/>
  <c r="F45" i="12"/>
  <c r="D50" i="13" s="1"/>
  <c r="F46" i="12"/>
  <c r="D51" i="13" s="1"/>
  <c r="F47" i="12"/>
  <c r="D52" i="13" s="1"/>
  <c r="F59" i="12"/>
  <c r="D59" i="13" s="1"/>
  <c r="F48" i="12"/>
  <c r="D53" i="13" s="1"/>
  <c r="F10" i="12"/>
  <c r="D10" i="13" s="1"/>
  <c r="F11" i="12"/>
  <c r="D11" i="13" s="1"/>
  <c r="F12" i="12"/>
  <c r="D12" i="13" s="1"/>
  <c r="F14" i="12"/>
  <c r="D14" i="13" s="1"/>
  <c r="F15" i="12"/>
  <c r="D15" i="13" s="1"/>
  <c r="F16" i="12"/>
  <c r="D16" i="13" s="1"/>
  <c r="F17" i="12"/>
  <c r="D17" i="13" s="1"/>
  <c r="F18" i="12"/>
  <c r="D18" i="13" s="1"/>
  <c r="F19" i="12"/>
  <c r="D19" i="13" s="1"/>
  <c r="F20" i="12"/>
  <c r="D20" i="13" s="1"/>
  <c r="F4" i="12"/>
  <c r="D4" i="13" s="1"/>
  <c r="F5" i="12"/>
  <c r="D5" i="13" s="1"/>
  <c r="F6" i="12"/>
  <c r="D6" i="13" s="1"/>
  <c r="E64" i="12"/>
  <c r="E65" i="12"/>
  <c r="E66" i="12"/>
  <c r="E67" i="12"/>
  <c r="E68" i="12"/>
  <c r="E69" i="12"/>
  <c r="E37" i="12"/>
  <c r="E56" i="12"/>
  <c r="E18" i="12"/>
  <c r="E19" i="12"/>
  <c r="D64" i="12"/>
  <c r="D65" i="12"/>
  <c r="O65" i="13" s="1"/>
  <c r="D66" i="12"/>
  <c r="D67" i="12"/>
  <c r="O67" i="13" s="1"/>
  <c r="D68" i="12"/>
  <c r="D69" i="12"/>
  <c r="D58" i="12"/>
  <c r="O56" i="13" s="1"/>
  <c r="F23" i="13"/>
  <c r="F25" i="13"/>
  <c r="F26" i="13"/>
  <c r="F61" i="13"/>
  <c r="F28" i="13"/>
  <c r="F29" i="13"/>
  <c r="D30" i="12"/>
  <c r="F32" i="13"/>
  <c r="F33" i="13"/>
  <c r="F35" i="13"/>
  <c r="F36" i="13"/>
  <c r="F39" i="13"/>
  <c r="F40" i="13"/>
  <c r="F7" i="13"/>
  <c r="F57" i="13"/>
  <c r="D40" i="12"/>
  <c r="F44" i="13"/>
  <c r="F60" i="13"/>
  <c r="F49" i="13"/>
  <c r="F50" i="13"/>
  <c r="F11" i="13"/>
  <c r="F13" i="13"/>
  <c r="D19" i="12"/>
  <c r="F63" i="12"/>
  <c r="F22" i="12"/>
  <c r="F9" i="12"/>
  <c r="E63" i="12"/>
  <c r="E22" i="12"/>
  <c r="E9" i="12"/>
  <c r="D63" i="12"/>
  <c r="G63" i="12" s="1"/>
  <c r="D22" i="12"/>
  <c r="D9" i="12"/>
  <c r="B5" i="11" l="1"/>
  <c r="B6" i="11"/>
  <c r="G58" i="12"/>
  <c r="G67" i="12"/>
  <c r="E19" i="11"/>
  <c r="O63" i="13"/>
  <c r="G65" i="12"/>
  <c r="G72" i="1"/>
  <c r="E47" i="11" s="1"/>
  <c r="Q32" i="11"/>
  <c r="D62" i="14"/>
  <c r="I72" i="1"/>
  <c r="H72" i="1"/>
  <c r="J72" i="1"/>
  <c r="D72" i="1"/>
  <c r="B47" i="11" s="1"/>
  <c r="K72" i="1"/>
  <c r="F71" i="14"/>
  <c r="E62" i="14"/>
  <c r="F62" i="14"/>
  <c r="E71" i="14"/>
  <c r="D21" i="14"/>
  <c r="G21" i="14"/>
  <c r="F21" i="14"/>
  <c r="F72" i="1"/>
  <c r="D47" i="11" s="1"/>
  <c r="E72" i="1"/>
  <c r="C47" i="11" s="1"/>
  <c r="G62" i="14"/>
  <c r="G71" i="14"/>
  <c r="E21" i="14"/>
  <c r="F8" i="14"/>
  <c r="E8" i="14"/>
  <c r="D8" i="14"/>
  <c r="D71" i="14"/>
  <c r="E4" i="12"/>
  <c r="E6" i="12"/>
  <c r="E35" i="13"/>
  <c r="B19" i="11"/>
  <c r="C22" i="10"/>
  <c r="E52" i="12"/>
  <c r="E45" i="12"/>
  <c r="E31" i="12"/>
  <c r="D38" i="12"/>
  <c r="D11" i="12"/>
  <c r="E41" i="12"/>
  <c r="E43" i="12"/>
  <c r="D32" i="12"/>
  <c r="E49" i="12"/>
  <c r="E44" i="12"/>
  <c r="E11" i="12"/>
  <c r="D25" i="12"/>
  <c r="E40" i="12"/>
  <c r="D49" i="12"/>
  <c r="E10" i="12"/>
  <c r="E24" i="12"/>
  <c r="D60" i="12"/>
  <c r="D13" i="12"/>
  <c r="O13" i="13" s="1"/>
  <c r="E7" i="12"/>
  <c r="D31" i="12"/>
  <c r="C42" i="10"/>
  <c r="D35" i="12"/>
  <c r="E12" i="12"/>
  <c r="E32" i="12"/>
  <c r="D44" i="12"/>
  <c r="D52" i="12"/>
  <c r="D45" i="12"/>
  <c r="D61" i="12"/>
  <c r="D41" i="12"/>
  <c r="E30" i="12"/>
  <c r="C55" i="10"/>
  <c r="C53" i="10"/>
  <c r="E14" i="12"/>
  <c r="D34" i="12"/>
  <c r="E57" i="12"/>
  <c r="D27" i="12"/>
  <c r="D28" i="12"/>
  <c r="E34" i="12"/>
  <c r="D4" i="12"/>
  <c r="F4" i="13"/>
  <c r="D17" i="12"/>
  <c r="F17" i="13"/>
  <c r="E59" i="12"/>
  <c r="D6" i="12"/>
  <c r="F6" i="13"/>
  <c r="D51" i="12"/>
  <c r="F46" i="13"/>
  <c r="E47" i="12"/>
  <c r="D5" i="12"/>
  <c r="F5" i="13"/>
  <c r="D50" i="12"/>
  <c r="F45" i="13"/>
  <c r="D33" i="12"/>
  <c r="F34" i="13"/>
  <c r="E53" i="12"/>
  <c r="E26" i="12"/>
  <c r="D20" i="12"/>
  <c r="F20" i="13"/>
  <c r="E38" i="12"/>
  <c r="D16" i="12"/>
  <c r="F16" i="13"/>
  <c r="D59" i="12"/>
  <c r="F59" i="13"/>
  <c r="D57" i="12"/>
  <c r="F55" i="13"/>
  <c r="E16" i="12"/>
  <c r="D15" i="12"/>
  <c r="F15" i="13"/>
  <c r="D47" i="12"/>
  <c r="F52" i="13"/>
  <c r="D39" i="12"/>
  <c r="F42" i="13"/>
  <c r="D70" i="12"/>
  <c r="F70" i="13"/>
  <c r="E15" i="12"/>
  <c r="E51" i="12"/>
  <c r="E39" i="12"/>
  <c r="E27" i="12"/>
  <c r="D14" i="12"/>
  <c r="F14" i="13"/>
  <c r="D46" i="12"/>
  <c r="F51" i="13"/>
  <c r="D53" i="12"/>
  <c r="F41" i="13"/>
  <c r="D26" i="12"/>
  <c r="F27" i="13"/>
  <c r="E50" i="12"/>
  <c r="E33" i="12"/>
  <c r="D7" i="12"/>
  <c r="E35" i="12"/>
  <c r="D12" i="12"/>
  <c r="F12" i="13"/>
  <c r="E20" i="12"/>
  <c r="E25" i="12"/>
  <c r="E46" i="12"/>
  <c r="D23" i="12"/>
  <c r="D18" i="12"/>
  <c r="F18" i="13"/>
  <c r="D10" i="12"/>
  <c r="F10" i="13"/>
  <c r="F48" i="13"/>
  <c r="D43" i="12"/>
  <c r="D56" i="12"/>
  <c r="F58" i="13"/>
  <c r="D37" i="12"/>
  <c r="F38" i="13"/>
  <c r="D42" i="12"/>
  <c r="F47" i="13"/>
  <c r="D36" i="12"/>
  <c r="F37" i="13"/>
  <c r="D29" i="12"/>
  <c r="F30" i="13"/>
  <c r="D24" i="12"/>
  <c r="F24" i="13"/>
  <c r="E17" i="12"/>
  <c r="E48" i="12"/>
  <c r="E42" i="12"/>
  <c r="E36" i="12"/>
  <c r="E29" i="12"/>
  <c r="D48" i="12"/>
  <c r="F53" i="13"/>
  <c r="E28" i="12"/>
  <c r="E23" i="12"/>
  <c r="F43" i="13"/>
  <c r="C50" i="10"/>
  <c r="F19" i="13"/>
  <c r="F31" i="13"/>
  <c r="C40" i="10"/>
  <c r="C32" i="10"/>
  <c r="B40" i="10"/>
  <c r="B32" i="10"/>
  <c r="C44" i="10"/>
  <c r="C4" i="10"/>
  <c r="C6" i="10"/>
  <c r="G41" i="12" l="1"/>
  <c r="O44" i="13"/>
  <c r="G44" i="13" s="1"/>
  <c r="O60" i="13"/>
  <c r="G60" i="13" s="1"/>
  <c r="G60" i="12"/>
  <c r="E60" i="13" s="1"/>
  <c r="O46" i="13"/>
  <c r="G46" i="13" s="1"/>
  <c r="G51" i="12"/>
  <c r="E46" i="13" s="1"/>
  <c r="O49" i="13"/>
  <c r="G49" i="13" s="1"/>
  <c r="G44" i="12"/>
  <c r="E49" i="13" s="1"/>
  <c r="O52" i="13"/>
  <c r="G52" i="13" s="1"/>
  <c r="G47" i="12"/>
  <c r="E52" i="13" s="1"/>
  <c r="O25" i="13"/>
  <c r="G25" i="13" s="1"/>
  <c r="G49" i="12"/>
  <c r="E25" i="13" s="1"/>
  <c r="O61" i="13"/>
  <c r="G61" i="13" s="1"/>
  <c r="G61" i="12"/>
  <c r="E61" i="13" s="1"/>
  <c r="G53" i="12"/>
  <c r="O41" i="13"/>
  <c r="G41" i="13" s="1"/>
  <c r="O23" i="13"/>
  <c r="G23" i="13" s="1"/>
  <c r="G23" i="12"/>
  <c r="E23" i="13" s="1"/>
  <c r="G37" i="12"/>
  <c r="O38" i="13"/>
  <c r="G38" i="13" s="1"/>
  <c r="O53" i="13"/>
  <c r="G53" i="13" s="1"/>
  <c r="G48" i="12"/>
  <c r="E53" i="13" s="1"/>
  <c r="G35" i="12"/>
  <c r="O36" i="13"/>
  <c r="G36" i="13" s="1"/>
  <c r="O5" i="13"/>
  <c r="G5" i="12"/>
  <c r="E5" i="13" s="1"/>
  <c r="O28" i="13"/>
  <c r="G28" i="13" s="1"/>
  <c r="G27" i="12"/>
  <c r="E28" i="13" s="1"/>
  <c r="O12" i="13"/>
  <c r="G12" i="13" s="1"/>
  <c r="G12" i="12"/>
  <c r="E12" i="13" s="1"/>
  <c r="O34" i="13"/>
  <c r="G34" i="13" s="1"/>
  <c r="G33" i="12"/>
  <c r="E34" i="13" s="1"/>
  <c r="G36" i="12"/>
  <c r="O37" i="13"/>
  <c r="G37" i="13" s="1"/>
  <c r="O15" i="13"/>
  <c r="G15" i="13" s="1"/>
  <c r="G15" i="12"/>
  <c r="E15" i="13" s="1"/>
  <c r="G43" i="12"/>
  <c r="O48" i="13"/>
  <c r="G48" i="13" s="1"/>
  <c r="O32" i="13"/>
  <c r="G32" i="13" s="1"/>
  <c r="G31" i="12"/>
  <c r="E32" i="13" s="1"/>
  <c r="O33" i="13"/>
  <c r="G33" i="13" s="1"/>
  <c r="G32" i="12"/>
  <c r="E33" i="13" s="1"/>
  <c r="G42" i="12"/>
  <c r="O47" i="13"/>
  <c r="G47" i="13" s="1"/>
  <c r="G20" i="12"/>
  <c r="O20" i="13"/>
  <c r="G20" i="13" s="1"/>
  <c r="G52" i="12"/>
  <c r="O40" i="13"/>
  <c r="G40" i="13" s="1"/>
  <c r="O7" i="13"/>
  <c r="G7" i="13" s="1"/>
  <c r="G7" i="12"/>
  <c r="E7" i="13" s="1"/>
  <c r="G16" i="12"/>
  <c r="O16" i="13"/>
  <c r="G16" i="13" s="1"/>
  <c r="B18" i="11"/>
  <c r="O14" i="13"/>
  <c r="G14" i="13" s="1"/>
  <c r="G14" i="12"/>
  <c r="E14" i="13" s="1"/>
  <c r="F42" i="11"/>
  <c r="H42" i="11"/>
  <c r="F72" i="14"/>
  <c r="H9" i="11" s="1"/>
  <c r="H43" i="11"/>
  <c r="F45" i="11"/>
  <c r="G45" i="11"/>
  <c r="H45" i="11"/>
  <c r="I45" i="11"/>
  <c r="F44" i="11"/>
  <c r="I44" i="11"/>
  <c r="H44" i="11"/>
  <c r="G44" i="11"/>
  <c r="G46" i="11"/>
  <c r="G40" i="11"/>
  <c r="H40" i="11"/>
  <c r="I40" i="11"/>
  <c r="F40" i="11"/>
  <c r="G47" i="11"/>
  <c r="D72" i="14"/>
  <c r="F9" i="11" s="1"/>
  <c r="E72" i="14"/>
  <c r="G9" i="11" s="1"/>
  <c r="G41" i="11"/>
  <c r="F41" i="11"/>
  <c r="H41" i="11"/>
  <c r="I39" i="11"/>
  <c r="C27" i="10"/>
  <c r="E5" i="12" l="1"/>
  <c r="G5" i="13"/>
  <c r="C19" i="10"/>
  <c r="B19" i="10"/>
  <c r="C10" i="10" l="1"/>
  <c r="B10" i="10"/>
  <c r="C47" i="10"/>
  <c r="C39" i="10"/>
  <c r="C35" i="10"/>
  <c r="C29" i="10"/>
  <c r="C7" i="10"/>
  <c r="B27" i="10"/>
  <c r="C24" i="10" l="1"/>
  <c r="C28" i="10"/>
  <c r="C26" i="10"/>
  <c r="C33" i="10"/>
  <c r="C11" i="10"/>
  <c r="C48" i="10"/>
  <c r="C8" i="10"/>
  <c r="C62" i="10"/>
  <c r="C18" i="10"/>
  <c r="C31" i="10"/>
  <c r="C12" i="10"/>
  <c r="C15" i="10"/>
  <c r="C49" i="10"/>
  <c r="C34" i="10"/>
  <c r="C64" i="10"/>
  <c r="C54" i="10"/>
  <c r="C2" i="10"/>
  <c r="C46" i="10"/>
  <c r="C5" i="10"/>
  <c r="C61" i="10"/>
  <c r="C25" i="10"/>
  <c r="C9" i="10"/>
  <c r="C63" i="10"/>
  <c r="C56" i="10"/>
  <c r="C45" i="10"/>
  <c r="C65" i="10"/>
  <c r="C23" i="10"/>
  <c r="C36" i="10"/>
  <c r="C16" i="10"/>
  <c r="C57" i="10"/>
  <c r="B30" i="10"/>
  <c r="C30" i="10"/>
  <c r="C58" i="10"/>
  <c r="C51" i="10"/>
  <c r="C52" i="10"/>
  <c r="C60" i="10"/>
  <c r="C14" i="10"/>
  <c r="B25" i="10"/>
  <c r="B61" i="10"/>
  <c r="B46" i="10"/>
  <c r="C38" i="10" l="1"/>
  <c r="C13" i="10"/>
  <c r="C37" i="10"/>
  <c r="C43" i="10"/>
  <c r="C59" i="10"/>
  <c r="C41" i="10"/>
  <c r="B43" i="10" l="1"/>
  <c r="B52" i="10" l="1"/>
  <c r="G56" i="13"/>
  <c r="F66" i="13"/>
  <c r="D66" i="13"/>
  <c r="E56" i="13"/>
  <c r="E66" i="13"/>
  <c r="E9" i="13" l="1"/>
  <c r="F9" i="13"/>
  <c r="F64" i="13"/>
  <c r="F68" i="13"/>
  <c r="F65" i="13"/>
  <c r="E64" i="13"/>
  <c r="E68" i="13"/>
  <c r="E65" i="13"/>
  <c r="G65" i="13"/>
  <c r="F67" i="13"/>
  <c r="E69" i="13"/>
  <c r="G67" i="13"/>
  <c r="E67" i="13"/>
  <c r="D67" i="13"/>
  <c r="F69" i="13"/>
  <c r="D68" i="13"/>
  <c r="F56" i="13"/>
  <c r="D69" i="13"/>
  <c r="D56" i="13"/>
  <c r="D65" i="13"/>
  <c r="D64" i="13"/>
  <c r="F70" i="12"/>
  <c r="D70" i="13" s="1"/>
  <c r="F21" i="13" l="1"/>
  <c r="L18" i="11" s="1"/>
  <c r="E22" i="13"/>
  <c r="E62" i="13"/>
  <c r="K19" i="11" s="1"/>
  <c r="F63" i="13"/>
  <c r="D63" i="13"/>
  <c r="D22" i="13"/>
  <c r="D62" i="13"/>
  <c r="J19" i="11" s="1"/>
  <c r="D9" i="13"/>
  <c r="F13" i="12"/>
  <c r="D13" i="13" s="1"/>
  <c r="G63" i="13"/>
  <c r="F22" i="13"/>
  <c r="F62" i="13"/>
  <c r="L19" i="11" s="1"/>
  <c r="E63" i="13"/>
  <c r="F62" i="12"/>
  <c r="D62" i="12"/>
  <c r="F71" i="13" l="1"/>
  <c r="L20" i="11" s="1"/>
  <c r="D71" i="13"/>
  <c r="J20" i="11" s="1"/>
  <c r="D21" i="13" l="1"/>
  <c r="J18" i="11" s="1"/>
  <c r="B65" i="10"/>
  <c r="B39" i="10" l="1"/>
  <c r="B33" i="10" l="1"/>
  <c r="B5" i="10"/>
  <c r="B34" i="10"/>
  <c r="B26" i="10"/>
  <c r="B28" i="10"/>
  <c r="B17" i="10"/>
  <c r="B56" i="10" l="1"/>
  <c r="B9" i="10"/>
  <c r="B8" i="10"/>
  <c r="B37" i="10" l="1"/>
  <c r="B12" i="10"/>
  <c r="B64" i="10"/>
  <c r="B47" i="10"/>
  <c r="B54" i="10"/>
  <c r="B35" i="10"/>
  <c r="B16" i="10"/>
  <c r="B18" i="10"/>
  <c r="B7" i="10"/>
  <c r="B23" i="10"/>
  <c r="B62" i="10"/>
  <c r="B14" i="10"/>
  <c r="B49" i="10"/>
  <c r="B57" i="10"/>
  <c r="B3" i="10"/>
  <c r="B45" i="10"/>
  <c r="B60" i="10"/>
  <c r="B36" i="10"/>
  <c r="B58" i="10"/>
  <c r="B24" i="10"/>
  <c r="B63" i="10"/>
  <c r="B2" i="10"/>
  <c r="B15" i="10"/>
  <c r="B29" i="10"/>
  <c r="B11" i="10"/>
  <c r="B31" i="10"/>
  <c r="B13" i="10"/>
  <c r="B38" i="10"/>
  <c r="B48" i="10"/>
  <c r="B51" i="10"/>
  <c r="B41" i="10"/>
  <c r="B59" i="10" l="1"/>
  <c r="D71" i="12" l="1"/>
  <c r="C21" i="10"/>
  <c r="G71" i="12"/>
  <c r="I20" i="11" s="1"/>
  <c r="E70" i="12"/>
  <c r="M29" i="11" l="1"/>
  <c r="I29" i="11"/>
  <c r="K29" i="11"/>
  <c r="L29" i="11"/>
  <c r="M28" i="11"/>
  <c r="I28" i="11"/>
  <c r="E70" i="13"/>
  <c r="N32" i="11"/>
  <c r="F19" i="11"/>
  <c r="E71" i="13" l="1"/>
  <c r="K20" i="11" s="1"/>
  <c r="F21" i="12" l="1"/>
  <c r="H18" i="11" s="1"/>
  <c r="F71" i="12"/>
  <c r="H19" i="11" s="1"/>
  <c r="C17" i="10"/>
  <c r="H28" i="11" l="1"/>
  <c r="E71" i="12"/>
  <c r="G19" i="11" s="1"/>
  <c r="G13" i="12"/>
  <c r="E13" i="12"/>
  <c r="D21" i="12" l="1"/>
  <c r="E13" i="13"/>
  <c r="G13" i="13"/>
  <c r="E21" i="12"/>
  <c r="G18" i="11" s="1"/>
  <c r="F18" i="11" l="1"/>
  <c r="E21" i="13"/>
  <c r="K18" i="11" s="1"/>
  <c r="F29" i="11" l="1"/>
  <c r="F28" i="11"/>
  <c r="J29" i="11" l="1"/>
  <c r="J28" i="11"/>
  <c r="K28" i="11" l="1"/>
  <c r="L28" i="11"/>
  <c r="H5" i="11"/>
  <c r="G6" i="11"/>
  <c r="I6" i="11"/>
  <c r="I5" i="11"/>
  <c r="F6" i="11"/>
  <c r="H6" i="11"/>
  <c r="F5" i="11"/>
  <c r="I7" i="11"/>
  <c r="H7" i="11"/>
  <c r="G7" i="11"/>
  <c r="F7" i="11"/>
  <c r="I22" i="11" l="1"/>
  <c r="I10" i="11"/>
  <c r="I8" i="11"/>
  <c r="H8" i="11"/>
  <c r="H10" i="11"/>
  <c r="G8" i="11"/>
  <c r="G10" i="11"/>
  <c r="F8" i="11"/>
  <c r="F10" i="11"/>
  <c r="E18" i="13"/>
  <c r="M30" i="11" l="1"/>
  <c r="I30" i="11"/>
  <c r="E32" i="11"/>
  <c r="M32" i="11" s="1"/>
  <c r="E52" i="11" l="1"/>
  <c r="E58" i="13" l="1"/>
  <c r="C52" i="11"/>
  <c r="B20" i="10"/>
  <c r="B52" i="11" l="1"/>
  <c r="F39" i="11"/>
  <c r="E8" i="12"/>
  <c r="H39" i="11"/>
  <c r="D52" i="11"/>
  <c r="L3" i="13"/>
  <c r="N3" i="13"/>
  <c r="M3" i="13"/>
  <c r="D3" i="12"/>
  <c r="E3" i="12"/>
  <c r="C20" i="10"/>
  <c r="G39" i="11"/>
  <c r="G17" i="11" l="1"/>
  <c r="D8" i="12"/>
  <c r="G8" i="12" s="1"/>
  <c r="M8" i="13"/>
  <c r="M54" i="13" s="1"/>
  <c r="M72" i="13" s="1"/>
  <c r="N8" i="13"/>
  <c r="N54" i="13" s="1"/>
  <c r="N72" i="13" s="1"/>
  <c r="L8" i="13"/>
  <c r="L54" i="13" s="1"/>
  <c r="L72" i="13" s="1"/>
  <c r="F3" i="13"/>
  <c r="D3" i="13"/>
  <c r="F8" i="12"/>
  <c r="E3" i="13"/>
  <c r="D32" i="11"/>
  <c r="L30" i="11"/>
  <c r="H30" i="11"/>
  <c r="K30" i="11"/>
  <c r="G30" i="11"/>
  <c r="C32" i="11"/>
  <c r="J30" i="11"/>
  <c r="B32" i="11"/>
  <c r="F30" i="11"/>
  <c r="H17" i="11" l="1"/>
  <c r="F17" i="11"/>
  <c r="G29" i="11"/>
  <c r="L32" i="11"/>
  <c r="E8" i="13"/>
  <c r="K17" i="11" s="1"/>
  <c r="E72" i="13"/>
  <c r="F32" i="11"/>
  <c r="I32" i="11"/>
  <c r="J32" i="11"/>
  <c r="K32" i="11"/>
  <c r="D72" i="13"/>
  <c r="D8" i="13"/>
  <c r="J17" i="11" s="1"/>
  <c r="F72" i="13"/>
  <c r="F8" i="13"/>
  <c r="L17" i="11" s="1"/>
  <c r="G31" i="11" l="1"/>
  <c r="L22" i="11"/>
  <c r="L21" i="11"/>
  <c r="K22" i="11"/>
  <c r="K21" i="11"/>
  <c r="J22" i="11"/>
  <c r="J21" i="11"/>
  <c r="G28" i="11"/>
  <c r="O32" i="11"/>
  <c r="G32" i="11" s="1"/>
  <c r="H29" i="11"/>
  <c r="P32" i="11" l="1"/>
  <c r="H32" i="11" s="1"/>
  <c r="E54" i="13"/>
  <c r="F54" i="13"/>
  <c r="D54" i="13"/>
  <c r="E29" i="13"/>
  <c r="E11" i="13"/>
  <c r="E26" i="13"/>
  <c r="E45" i="13"/>
  <c r="E4" i="13"/>
  <c r="E27" i="13"/>
  <c r="E55" i="13"/>
  <c r="E59" i="13"/>
  <c r="E30" i="13"/>
  <c r="E10" i="13"/>
  <c r="E31" i="13"/>
  <c r="E50" i="13"/>
  <c r="E24" i="13"/>
  <c r="E57" i="13"/>
  <c r="E51" i="13"/>
  <c r="G4" i="12"/>
  <c r="O4" i="13"/>
  <c r="G4" i="13" s="1"/>
  <c r="G21" i="12"/>
  <c r="I18" i="11" s="1"/>
  <c r="O22" i="13"/>
  <c r="G22" i="13" s="1"/>
  <c r="O11" i="13"/>
  <c r="G11" i="13" s="1"/>
  <c r="O18" i="13"/>
  <c r="G18" i="13" s="1"/>
  <c r="O24" i="13"/>
  <c r="G24" i="13" s="1"/>
  <c r="G25" i="12"/>
  <c r="E18" i="11"/>
  <c r="G18" i="12"/>
  <c r="E17" i="11"/>
  <c r="O10" i="13"/>
  <c r="G10" i="13" s="1"/>
  <c r="O9" i="13"/>
  <c r="G9" i="13" s="1"/>
  <c r="G24" i="12"/>
  <c r="O17" i="13"/>
  <c r="G17" i="13" s="1"/>
  <c r="O31" i="13"/>
  <c r="G31" i="13" s="1"/>
  <c r="G22" i="12"/>
  <c r="O30" i="13"/>
  <c r="G30" i="13" s="1"/>
  <c r="G9" i="12"/>
  <c r="G26" i="12"/>
  <c r="G17" i="12"/>
  <c r="O27" i="13"/>
  <c r="G27" i="13" s="1"/>
  <c r="G29" i="12"/>
  <c r="O29" i="13"/>
  <c r="G29" i="13" s="1"/>
  <c r="G19" i="12"/>
  <c r="O26" i="13"/>
  <c r="G26" i="13" s="1"/>
  <c r="O19" i="13"/>
  <c r="G19" i="13" s="1"/>
  <c r="O3" i="13"/>
  <c r="G3" i="13" s="1"/>
  <c r="G10" i="12"/>
  <c r="O6" i="13"/>
  <c r="G6" i="13" s="1"/>
  <c r="G6" i="12"/>
  <c r="G28" i="12"/>
  <c r="F3" i="12" s="1"/>
  <c r="G30" i="12"/>
  <c r="G11" i="12"/>
  <c r="O8" i="13" l="1"/>
  <c r="G8" i="13" s="1"/>
  <c r="M17" i="11" s="1"/>
  <c r="O21" i="13"/>
  <c r="G21" i="13" s="1"/>
  <c r="M18" i="11" s="1"/>
  <c r="O68" i="13"/>
  <c r="G68" i="13" s="1"/>
  <c r="O59" i="13"/>
  <c r="G59" i="13" s="1"/>
  <c r="O43" i="13"/>
  <c r="G43" i="13" s="1"/>
  <c r="O45" i="13"/>
  <c r="G45" i="13" s="1"/>
  <c r="G46" i="12"/>
  <c r="O69" i="13"/>
  <c r="G69" i="13" s="1"/>
  <c r="O66" i="13"/>
  <c r="G66" i="13" s="1"/>
  <c r="O64" i="13"/>
  <c r="E21" i="11"/>
  <c r="G59" i="12"/>
  <c r="G66" i="12"/>
  <c r="O70" i="13"/>
  <c r="G70" i="13" s="1"/>
  <c r="E61" i="12"/>
  <c r="G34" i="12"/>
  <c r="G38" i="12"/>
  <c r="E58" i="12"/>
  <c r="G62" i="12"/>
  <c r="I19" i="11" s="1"/>
  <c r="O58" i="13"/>
  <c r="G58" i="13" s="1"/>
  <c r="G68" i="12"/>
  <c r="G57" i="12"/>
  <c r="O35" i="13"/>
  <c r="G35" i="13" s="1"/>
  <c r="O39" i="13"/>
  <c r="G39" i="13" s="1"/>
  <c r="O57" i="13"/>
  <c r="G57" i="13" s="1"/>
  <c r="O50" i="13"/>
  <c r="G50" i="13" s="1"/>
  <c r="G39" i="12"/>
  <c r="G64" i="12"/>
  <c r="O42" i="13"/>
  <c r="G42" i="13" s="1"/>
  <c r="G50" i="12"/>
  <c r="G45" i="12"/>
  <c r="G40" i="12"/>
  <c r="O51" i="13"/>
  <c r="G51" i="13" s="1"/>
  <c r="O55" i="13"/>
  <c r="G55" i="13" s="1"/>
  <c r="G70" i="12"/>
  <c r="G69" i="12"/>
  <c r="O62" i="13" l="1"/>
  <c r="G62" i="13" s="1"/>
  <c r="M19" i="11" s="1"/>
  <c r="O54" i="13"/>
  <c r="G54" i="13" s="1"/>
  <c r="O71" i="13"/>
  <c r="G64" i="13"/>
  <c r="G71" i="13" l="1"/>
  <c r="M20" i="11" s="1"/>
  <c r="O72" i="13"/>
  <c r="G72" i="13" s="1"/>
  <c r="M21" i="11" l="1"/>
  <c r="M22" i="11"/>
  <c r="I17" i="11"/>
  <c r="G3" i="12"/>
  <c r="E60" i="12"/>
  <c r="E62" i="12"/>
  <c r="F3" i="14"/>
  <c r="D3" i="14"/>
  <c r="G72" i="14"/>
  <c r="I9" i="11" s="1"/>
  <c r="G3" i="14"/>
  <c r="G8" i="14"/>
  <c r="D4" i="14"/>
  <c r="E4" i="14"/>
  <c r="F6" i="14"/>
  <c r="F4" i="14"/>
  <c r="G6" i="14"/>
  <c r="G4" i="14"/>
  <c r="E3" i="14"/>
  <c r="D6" i="14"/>
  <c r="E6" i="14"/>
  <c r="E5" i="14"/>
  <c r="G5" i="11" s="1"/>
  <c r="E8" i="11"/>
  <c r="E10" i="11" s="1"/>
  <c r="F54" i="14"/>
  <c r="D8" i="11"/>
  <c r="D10" i="11" s="1"/>
  <c r="D54" i="14"/>
  <c r="B8" i="11"/>
  <c r="B10" i="11" s="1"/>
  <c r="G54" i="14"/>
  <c r="C8" i="11"/>
  <c r="C10" i="11" s="1"/>
  <c r="E54" i="14"/>
  <c r="B20" i="11"/>
  <c r="B22" i="11" s="1"/>
  <c r="G56" i="12"/>
  <c r="C20" i="11"/>
  <c r="C22" i="11" s="1"/>
  <c r="E54" i="12"/>
  <c r="F52" i="11"/>
  <c r="D54" i="12"/>
  <c r="G54" i="12"/>
  <c r="E20" i="11"/>
  <c r="E22" i="11" s="1"/>
  <c r="F54" i="12"/>
  <c r="G72" i="12"/>
  <c r="I21" i="11" s="1"/>
  <c r="G52" i="11"/>
  <c r="D20" i="11"/>
  <c r="D22" i="11" s="1"/>
  <c r="H52" i="11" l="1"/>
  <c r="E72" i="12"/>
  <c r="G20" i="11" s="1"/>
  <c r="F72" i="12"/>
  <c r="H20" i="11" s="1"/>
  <c r="D72" i="12"/>
  <c r="F20" i="11" s="1"/>
  <c r="I52" i="11"/>
  <c r="F22" i="11" l="1"/>
  <c r="H22" i="11"/>
  <c r="G22" i="11"/>
  <c r="F54" i="18"/>
  <c r="G54" i="18"/>
  <c r="F54" i="1"/>
  <c r="D54" i="15"/>
  <c r="F54" i="15"/>
  <c r="H54" i="9"/>
  <c r="J54" i="15"/>
  <c r="K54" i="9"/>
  <c r="J54" i="18"/>
  <c r="E54" i="9"/>
  <c r="E54" i="18"/>
  <c r="H54" i="15"/>
  <c r="E54" i="15"/>
  <c r="G54" i="9"/>
  <c r="I54" i="9"/>
  <c r="I54" i="15"/>
  <c r="I54" i="1"/>
  <c r="I54" i="18"/>
  <c r="K54" i="15"/>
  <c r="F54" i="9"/>
  <c r="H54" i="18"/>
  <c r="D54" i="1"/>
  <c r="E54" i="1"/>
  <c r="G54" i="1"/>
  <c r="D54" i="18"/>
  <c r="K54" i="18"/>
  <c r="J54" i="1"/>
  <c r="H54" i="1"/>
  <c r="G54" i="15"/>
  <c r="K54" i="1"/>
  <c r="D54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אלונה טוקיילו</author>
  </authors>
  <commentList>
    <comment ref="C19" authorId="0" shapeId="0" xr:uid="{DE70FAC4-5D4A-4550-9363-9A6705AF1B45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  <comment ref="C20" authorId="0" shapeId="0" xr:uid="{ABFF131A-A5FC-4912-B84D-A623E3EEB569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אלונה טוקיילו</author>
  </authors>
  <commentList>
    <comment ref="C19" authorId="0" shapeId="0" xr:uid="{538E3F34-02D8-4E7F-97AC-0EC08D7D1F7C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  <comment ref="C20" authorId="0" shapeId="0" xr:uid="{5C147B12-0587-4B8E-970A-B95BD3162191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אלונה טוקיילו</author>
  </authors>
  <commentList>
    <comment ref="C19" authorId="0" shapeId="0" xr:uid="{2395E305-BF6C-4B52-9901-1B09344B6512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  <comment ref="C20" authorId="0" shapeId="0" xr:uid="{D1D3763A-2161-4023-B2FB-1A72305B71BB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אלונה טוקיילו</author>
  </authors>
  <commentList>
    <comment ref="C19" authorId="0" shapeId="0" xr:uid="{A7C4D062-8ED6-43CA-8ABE-61348659C5F7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  <comment ref="C20" authorId="0" shapeId="0" xr:uid="{31310878-D6A7-4822-B46D-E45F1861F1F1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אלונה טוקיילו</author>
  </authors>
  <commentList>
    <comment ref="C19" authorId="0" shapeId="0" xr:uid="{51DE37DE-2546-4B4C-9A56-DDFAC3359FFE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  <comment ref="C20" authorId="0" shapeId="0" xr:uid="{F323CFE7-32B2-4883-AC2B-AA67D8847367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אלונה טוקיילו</author>
  </authors>
  <commentList>
    <comment ref="C19" authorId="0" shapeId="0" xr:uid="{2701770B-572F-4A60-8770-97CF1AD3450E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  <comment ref="C20" authorId="0" shapeId="0" xr:uid="{17237AEE-6FC6-4250-B6A1-97E05C05D28E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אלונה טוקיילו</author>
  </authors>
  <commentList>
    <comment ref="C19" authorId="0" shapeId="0" xr:uid="{1F9BAB02-C593-4A56-B771-5608FE22EAA4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  <comment ref="C20" authorId="0" shapeId="0" xr:uid="{3898DB6E-3A05-4F36-B789-84742714C4D9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אלונה טוקיילו</author>
  </authors>
  <commentList>
    <comment ref="C19" authorId="0" shapeId="0" xr:uid="{89F91046-19D2-4FD3-9109-5424636CBEB6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  <comment ref="C20" authorId="0" shapeId="0" xr:uid="{6655DE2E-54AE-4766-845A-25FE2066ECD7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אלונה טוקיילו</author>
  </authors>
  <commentList>
    <comment ref="C19" authorId="0" shapeId="0" xr:uid="{23FF5857-4941-47FB-AD50-1A9C038C4F79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  <comment ref="C20" authorId="0" shapeId="0" xr:uid="{B1DDEA97-A436-408D-8817-E9C8BF5A6AFE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אלונה טוקיילו</author>
  </authors>
  <commentList>
    <comment ref="C19" authorId="0" shapeId="0" xr:uid="{CDBA252B-EB88-4575-B3A4-70FE22CE8376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  <comment ref="C20" authorId="0" shapeId="0" xr:uid="{71B8559A-1569-43DF-B45E-AF2FA260A7D1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אלונה טוקיילו</author>
  </authors>
  <commentList>
    <comment ref="C19" authorId="0" shapeId="0" xr:uid="{2EC30F25-099E-489B-A90C-23C9D1627989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  <comment ref="C20" authorId="0" shapeId="0" xr:uid="{2690BD6C-DE25-4AE1-ACD9-57A56F52C296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אלונה טוקיילו</author>
  </authors>
  <commentList>
    <comment ref="C19" authorId="0" shapeId="0" xr:uid="{4E9CCADD-69C0-49A9-BD76-3D4CDC8091C0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  <comment ref="C20" authorId="0" shapeId="0" xr:uid="{4FBA4F46-083A-4091-BB1E-8EA2BB914870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אלונה טוקיילו</author>
  </authors>
  <commentList>
    <comment ref="C19" authorId="0" shapeId="0" xr:uid="{791F82FD-B074-4B2A-8928-C60EC9132E9C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  <comment ref="C20" authorId="0" shapeId="0" xr:uid="{F3669EA8-0700-4343-A21C-37BB0E2DD70B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אלונה טוקיילו</author>
  </authors>
  <commentList>
    <comment ref="C19" authorId="0" shapeId="0" xr:uid="{7F756469-6AC1-4A5D-98DF-9D8A26EA7FF2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  <comment ref="C20" authorId="0" shapeId="0" xr:uid="{05999120-F618-4D26-979D-886161B0B1F6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אלונה טוקיילו</author>
  </authors>
  <commentList>
    <comment ref="C19" authorId="0" shapeId="0" xr:uid="{473929FA-DB50-43EB-AA1C-DCBFBDF0DD38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  <comment ref="C20" authorId="0" shapeId="0" xr:uid="{27E7DB7F-FC5B-45B3-A0FC-6A56BED91D68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אלונה טוקיילו</author>
  </authors>
  <commentList>
    <comment ref="C19" authorId="0" shapeId="0" xr:uid="{F544CB9A-B036-47DA-AFCA-B81522380529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  <comment ref="C20" authorId="0" shapeId="0" xr:uid="{32F4E3F0-CE08-434C-9B82-9364CB737AD4}">
      <text>
        <r>
          <rPr>
            <b/>
            <sz val="9"/>
            <color indexed="81"/>
            <rFont val="Tahoma"/>
            <family val="2"/>
          </rPr>
          <t>אלונה טוקיילו:</t>
        </r>
        <r>
          <rPr>
            <sz val="9"/>
            <color indexed="81"/>
            <rFont val="Tahoma"/>
            <family val="2"/>
          </rPr>
          <t xml:space="preserve">
בשותפות עם אורן רכס</t>
        </r>
      </text>
    </comment>
  </commentList>
</comments>
</file>

<file path=xl/sharedStrings.xml><?xml version="1.0" encoding="utf-8"?>
<sst xmlns="http://schemas.openxmlformats.org/spreadsheetml/2006/main" count="3544" uniqueCount="136">
  <si>
    <t>שם סוכן</t>
  </si>
  <si>
    <t>גל אלמגור סוכ</t>
  </si>
  <si>
    <t>דניאלה אביב</t>
  </si>
  <si>
    <t>סה"כ ישיר</t>
  </si>
  <si>
    <t>בראשית סוכנות לביטוח</t>
  </si>
  <si>
    <t>גל אלמגור דאוד סוכ' לב</t>
  </si>
  <si>
    <t>גל אלמגור -וייס סוכנות</t>
  </si>
  <si>
    <t>גל אלמגור דרום סוכ ל</t>
  </si>
  <si>
    <t>משה שטרן גל אלמגור</t>
  </si>
  <si>
    <t>מקסימום סוכנות לבטוח פ</t>
  </si>
  <si>
    <t>סה"כ חברות בנות</t>
  </si>
  <si>
    <t>מועלם אלפרד</t>
  </si>
  <si>
    <t>גרניק בנימין</t>
  </si>
  <si>
    <t>סאוסן שלבי</t>
  </si>
  <si>
    <t>דורי כדורי דאי</t>
  </si>
  <si>
    <t>סברא סמיר</t>
  </si>
  <si>
    <t>מחמוד פארס</t>
  </si>
  <si>
    <t>ריזק חלבי</t>
  </si>
  <si>
    <t>שלבי מיסון</t>
  </si>
  <si>
    <t>בחוס יוסף</t>
  </si>
  <si>
    <t>קליין סיון</t>
  </si>
  <si>
    <t>צקותאי אורי</t>
  </si>
  <si>
    <t>סמיר בלאן</t>
  </si>
  <si>
    <t>רן בסין</t>
  </si>
  <si>
    <t>אלקרינאוי ראוף</t>
  </si>
  <si>
    <t>דאי גדי</t>
  </si>
  <si>
    <t>מילאד אבו שקארה</t>
  </si>
  <si>
    <t>דראושה אדהם</t>
  </si>
  <si>
    <t>בדארנה עומר</t>
  </si>
  <si>
    <t>לוי חיים</t>
  </si>
  <si>
    <t>גולדר אבי</t>
  </si>
  <si>
    <t>א.ד. אבידן ביטוחים בע"מ</t>
  </si>
  <si>
    <t>מטאנס זוהיר</t>
  </si>
  <si>
    <t>סטולרז אסף</t>
  </si>
  <si>
    <t>דני פחימה</t>
  </si>
  <si>
    <t>עאטף עדווי</t>
  </si>
  <si>
    <t>מכלול סוכנות לביטוח</t>
  </si>
  <si>
    <t>גול זאב</t>
  </si>
  <si>
    <t>בדר צבי</t>
  </si>
  <si>
    <t>יונתן מנחם</t>
  </si>
  <si>
    <t>שלי מזרחי</t>
  </si>
  <si>
    <t>יהונתן שיוביץ</t>
  </si>
  <si>
    <t>אלרם סוכנות לביטוח</t>
  </si>
  <si>
    <t>רכס אורן</t>
  </si>
  <si>
    <t>סה"כ פרימיום</t>
  </si>
  <si>
    <t>סה"כ כולל</t>
  </si>
  <si>
    <t>פנסיוני</t>
  </si>
  <si>
    <t xml:space="preserve">סיכונים </t>
  </si>
  <si>
    <t>פיננסים</t>
  </si>
  <si>
    <t>ניודי פנסיה</t>
  </si>
  <si>
    <t>סיכונים</t>
  </si>
  <si>
    <t xml:space="preserve">פיננסים </t>
  </si>
  <si>
    <t>שינוי מול אשתקד %</t>
  </si>
  <si>
    <t xml:space="preserve">מפקח </t>
  </si>
  <si>
    <t>מפקח</t>
  </si>
  <si>
    <t>לא מפוקחים</t>
  </si>
  <si>
    <t xml:space="preserve">ערן גירוני </t>
  </si>
  <si>
    <t xml:space="preserve">קבוצה </t>
  </si>
  <si>
    <t xml:space="preserve">ישירים </t>
  </si>
  <si>
    <t>חברות בת</t>
  </si>
  <si>
    <t xml:space="preserve">סוכני פרימיום </t>
  </si>
  <si>
    <t xml:space="preserve">סה"כ מכירות </t>
  </si>
  <si>
    <t>השגת יעדים%</t>
  </si>
  <si>
    <t>השגת יעדים חודשי %</t>
  </si>
  <si>
    <t>מנורה</t>
  </si>
  <si>
    <t>מגדל</t>
  </si>
  <si>
    <t>כלל</t>
  </si>
  <si>
    <t>אלטשולר שחם</t>
  </si>
  <si>
    <t>מור</t>
  </si>
  <si>
    <t>הראל</t>
  </si>
  <si>
    <t>הפניקס</t>
  </si>
  <si>
    <t>איילון</t>
  </si>
  <si>
    <t xml:space="preserve">הכשרה </t>
  </si>
  <si>
    <t>סה"כ</t>
  </si>
  <si>
    <t>השגת יעדים מצטבר %</t>
  </si>
  <si>
    <t>עולים בולטים</t>
  </si>
  <si>
    <t>סוכן</t>
  </si>
  <si>
    <t>שינוי % מול תקופה חופפת אשתקד</t>
  </si>
  <si>
    <t>עליה מול תקופה חופפת אשתקד</t>
  </si>
  <si>
    <t>יורדים בולטים</t>
  </si>
  <si>
    <t>ירידה מול תקופה חופפת אשתקד</t>
  </si>
  <si>
    <t>שינוי %</t>
  </si>
  <si>
    <t>עליה/ירידה</t>
  </si>
  <si>
    <t>יעדים מצטבר</t>
  </si>
  <si>
    <t>אריאל בר-חיים</t>
  </si>
  <si>
    <r>
      <t xml:space="preserve">תפוקה </t>
    </r>
    <r>
      <rPr>
        <b/>
        <i/>
        <sz val="11"/>
        <color rgb="FFFF0000"/>
        <rFont val="Calibri"/>
        <family val="2"/>
      </rPr>
      <t>מצטברת</t>
    </r>
    <r>
      <rPr>
        <b/>
        <i/>
        <sz val="11"/>
        <color theme="1"/>
        <rFont val="Calibri"/>
        <family val="2"/>
      </rPr>
      <t xml:space="preserve"> לפי קבוצות</t>
    </r>
  </si>
  <si>
    <r>
      <t>תפוקה</t>
    </r>
    <r>
      <rPr>
        <b/>
        <sz val="12"/>
        <color rgb="FFFF0000"/>
        <rFont val="Calibri"/>
        <family val="2"/>
      </rPr>
      <t xml:space="preserve"> חודשית</t>
    </r>
    <r>
      <rPr>
        <b/>
        <sz val="12"/>
        <color theme="1"/>
        <rFont val="Calibri"/>
        <family val="2"/>
      </rPr>
      <t xml:space="preserve"> לפי קבוצות</t>
    </r>
  </si>
  <si>
    <r>
      <t xml:space="preserve">תפוקה </t>
    </r>
    <r>
      <rPr>
        <b/>
        <sz val="12"/>
        <color rgb="FFFF0000"/>
        <rFont val="Calibri"/>
        <family val="2"/>
      </rPr>
      <t>מצטברת</t>
    </r>
    <r>
      <rPr>
        <b/>
        <sz val="12"/>
        <color theme="1"/>
        <rFont val="Calibri"/>
        <family val="2"/>
        <charset val="177"/>
      </rPr>
      <t xml:space="preserve"> לפי מפקחים</t>
    </r>
  </si>
  <si>
    <r>
      <t xml:space="preserve">תפוקה </t>
    </r>
    <r>
      <rPr>
        <b/>
        <sz val="12"/>
        <color rgb="FFFF0000"/>
        <rFont val="Calibri"/>
        <family val="2"/>
      </rPr>
      <t>מצטברת</t>
    </r>
    <r>
      <rPr>
        <b/>
        <sz val="12"/>
        <color theme="1"/>
        <rFont val="Calibri"/>
        <family val="2"/>
        <charset val="177"/>
      </rPr>
      <t xml:space="preserve"> לפי חברות</t>
    </r>
  </si>
  <si>
    <t>נור אבו ראס</t>
  </si>
  <si>
    <t>לילי שרון</t>
  </si>
  <si>
    <t>אחמד עלי אחמד</t>
  </si>
  <si>
    <t>שירלי בוכריס</t>
  </si>
  <si>
    <t>עבוד כיתי</t>
  </si>
  <si>
    <t>אביב מור יוסף</t>
  </si>
  <si>
    <t>יעקב ישראל שטרן</t>
  </si>
  <si>
    <t>סיון פיינרו</t>
  </si>
  <si>
    <t xml:space="preserve">ניודי פנסיה </t>
  </si>
  <si>
    <t>חנה כצנלסון</t>
  </si>
  <si>
    <t>ינאי חיים בוני</t>
  </si>
  <si>
    <t xml:space="preserve">מיכאל וקסלר </t>
  </si>
  <si>
    <t xml:space="preserve">שני לוי </t>
  </si>
  <si>
    <t>דורון ענק הביטוח</t>
  </si>
  <si>
    <t>דאי דניאל</t>
  </si>
  <si>
    <t xml:space="preserve">גל אלמגור -ראם </t>
  </si>
  <si>
    <t xml:space="preserve">ניר יבלונקה </t>
  </si>
  <si>
    <t xml:space="preserve">אבו חיט ניזאם </t>
  </si>
  <si>
    <t>אילנית כהן</t>
  </si>
  <si>
    <t>נעם הלשטוק</t>
  </si>
  <si>
    <t>אורטל / לנג ביג סוכנות לביטוח פנסיוני</t>
  </si>
  <si>
    <t>פרמיום</t>
  </si>
  <si>
    <t xml:space="preserve">פרמיום </t>
  </si>
  <si>
    <t xml:space="preserve">רותי </t>
  </si>
  <si>
    <t xml:space="preserve">אילנית </t>
  </si>
  <si>
    <t xml:space="preserve">שותפים </t>
  </si>
  <si>
    <t xml:space="preserve">סוכנים </t>
  </si>
  <si>
    <t>יוסי אביב</t>
  </si>
  <si>
    <t>מחלקה</t>
  </si>
  <si>
    <t xml:space="preserve">מדיהו </t>
  </si>
  <si>
    <t xml:space="preserve">אנליסט </t>
  </si>
  <si>
    <t>מיטב דש</t>
  </si>
  <si>
    <t>אינפניטי</t>
  </si>
  <si>
    <t>0%0</t>
  </si>
  <si>
    <t>איתי אדן</t>
  </si>
  <si>
    <t>סוכנים ערן</t>
  </si>
  <si>
    <t>סוכנים איתי</t>
  </si>
  <si>
    <t>תפוקה מצטברת - 2025</t>
  </si>
  <si>
    <t xml:space="preserve">תפוקה מצטברת - 2024 </t>
  </si>
  <si>
    <t xml:space="preserve">סוכנים איתי </t>
  </si>
  <si>
    <t>תפוקה חודשית 02/2025</t>
  </si>
  <si>
    <t>תפוקה מצטברת  02/2025</t>
  </si>
  <si>
    <t>תפוקה מצטברת 02/2024</t>
  </si>
  <si>
    <t>תפוקה מצטברת 02/2025</t>
  </si>
  <si>
    <t>יעד מצטבר 02/2025</t>
  </si>
  <si>
    <t>יעד חודשי 02/2025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</si>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</sst>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32" x14ac:knownFonts="1">
    <font>
      <sz val="11"/>
      <color theme="1"/>
      <name val="Calibri"/>
      <family val="2"/>
      <charset val="177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177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name val="Calibri"/>
      <family val="2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b/>
      <sz val="16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1"/>
      <color theme="1"/>
      <name val="Calibri"/>
      <family val="2"/>
    </font>
    <font>
      <sz val="12"/>
      <color rgb="FF333333"/>
      <name val="Calibri"/>
      <family val="2"/>
    </font>
    <font>
      <b/>
      <sz val="14"/>
      <color theme="1"/>
      <name val="Calibri"/>
      <family val="2"/>
    </font>
    <font>
      <b/>
      <i/>
      <sz val="11"/>
      <color theme="1"/>
      <name val="Calibri"/>
      <family val="2"/>
    </font>
    <font>
      <b/>
      <i/>
      <sz val="11"/>
      <color rgb="FFFF0000"/>
      <name val="Calibri"/>
      <family val="2"/>
    </font>
    <font>
      <b/>
      <sz val="12"/>
      <color theme="1"/>
      <name val="Calibri"/>
      <family val="2"/>
      <charset val="177"/>
    </font>
    <font>
      <sz val="10"/>
      <name val="Arial"/>
      <family val="2"/>
    </font>
    <font>
      <b/>
      <sz val="12"/>
      <color rgb="FFFF0000"/>
      <name val="Calibri"/>
      <family val="2"/>
    </font>
    <font>
      <sz val="11"/>
      <color theme="1"/>
      <name val="Calibri"/>
      <family val="2"/>
      <charset val="177"/>
    </font>
    <font>
      <b/>
      <sz val="14"/>
      <color theme="1"/>
      <name val="Calibri"/>
      <family val="2"/>
      <charset val="177"/>
    </font>
    <font>
      <b/>
      <sz val="11"/>
      <color theme="1"/>
      <name val="Calibri"/>
      <family val="2"/>
      <charset val="177"/>
    </font>
    <font>
      <b/>
      <sz val="18"/>
      <color theme="1"/>
      <name val="Calibri"/>
      <family val="2"/>
      <charset val="177"/>
    </font>
    <font>
      <b/>
      <sz val="16"/>
      <color theme="1"/>
      <name val="Calibri"/>
      <family val="2"/>
      <charset val="177"/>
    </font>
    <font>
      <sz val="11"/>
      <name val="Calibri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rgb="FF363636"/>
      <name val="Arial"/>
      <family val="2"/>
    </font>
    <font>
      <b/>
      <sz val="18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2"/>
      <color theme="1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F95DF"/>
        <bgColor indexed="64"/>
      </patternFill>
    </fill>
    <fill>
      <patternFill patternType="solid">
        <fgColor rgb="FFE1CCF0"/>
        <bgColor indexed="64"/>
      </patternFill>
    </fill>
    <fill>
      <patternFill patternType="solid">
        <fgColor rgb="FFE9D9AB"/>
        <bgColor indexed="64"/>
      </patternFill>
    </fill>
    <fill>
      <patternFill patternType="solid">
        <fgColor rgb="FFF0E5C6"/>
        <bgColor indexed="64"/>
      </patternFill>
    </fill>
    <fill>
      <patternFill patternType="solid">
        <fgColor rgb="FFFFFFFF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7" fillId="0" borderId="0"/>
    <xf numFmtId="43" fontId="2" fillId="0" borderId="0" applyFont="0" applyFill="0" applyBorder="0" applyAlignment="0" applyProtection="0"/>
  </cellStyleXfs>
  <cellXfs count="281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164" fontId="0" fillId="0" borderId="0" xfId="1" applyNumberFormat="1" applyFont="1"/>
    <xf numFmtId="164" fontId="0" fillId="0" borderId="0" xfId="1" applyNumberFormat="1" applyFont="1" applyAlignment="1">
      <alignment readingOrder="1"/>
    </xf>
    <xf numFmtId="164" fontId="1" fillId="0" borderId="0" xfId="1" applyNumberFormat="1" applyFont="1" applyAlignment="1">
      <alignment readingOrder="1"/>
    </xf>
    <xf numFmtId="164" fontId="0" fillId="0" borderId="0" xfId="0" applyNumberFormat="1"/>
    <xf numFmtId="164" fontId="0" fillId="0" borderId="0" xfId="0" applyNumberFormat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 readingOrder="2"/>
    </xf>
    <xf numFmtId="164" fontId="6" fillId="6" borderId="1" xfId="1" applyNumberFormat="1" applyFont="1" applyFill="1" applyBorder="1" applyAlignment="1">
      <alignment horizontal="center" vertical="center"/>
    </xf>
    <xf numFmtId="164" fontId="8" fillId="16" borderId="1" xfId="1" applyNumberFormat="1" applyFont="1" applyFill="1" applyBorder="1" applyAlignment="1">
      <alignment horizontal="center" vertical="center" wrapText="1" readingOrder="2"/>
    </xf>
    <xf numFmtId="164" fontId="6" fillId="13" borderId="1" xfId="1" applyNumberFormat="1" applyFont="1" applyFill="1" applyBorder="1" applyAlignment="1">
      <alignment horizontal="center"/>
    </xf>
    <xf numFmtId="164" fontId="6" fillId="13" borderId="2" xfId="1" applyNumberFormat="1" applyFont="1" applyFill="1" applyBorder="1" applyAlignment="1">
      <alignment horizontal="center"/>
    </xf>
    <xf numFmtId="0" fontId="7" fillId="16" borderId="27" xfId="0" applyFont="1" applyFill="1" applyBorder="1" applyAlignment="1">
      <alignment horizontal="center" vertical="center" wrapText="1" readingOrder="2"/>
    </xf>
    <xf numFmtId="0" fontId="7" fillId="16" borderId="12" xfId="0" applyFont="1" applyFill="1" applyBorder="1" applyAlignment="1">
      <alignment horizontal="center" vertical="center" wrapText="1" readingOrder="2"/>
    </xf>
    <xf numFmtId="164" fontId="6" fillId="13" borderId="10" xfId="1" applyNumberFormat="1" applyFont="1" applyFill="1" applyBorder="1" applyAlignment="1">
      <alignment horizontal="center"/>
    </xf>
    <xf numFmtId="164" fontId="6" fillId="0" borderId="1" xfId="1" applyNumberFormat="1" applyFont="1" applyBorder="1" applyAlignment="1">
      <alignment horizontal="center" vertical="center" wrapText="1" readingOrder="1"/>
    </xf>
    <xf numFmtId="9" fontId="6" fillId="0" borderId="1" xfId="2" applyFont="1" applyBorder="1" applyAlignment="1">
      <alignment horizontal="center" vertical="center"/>
    </xf>
    <xf numFmtId="164" fontId="6" fillId="6" borderId="1" xfId="1" applyNumberFormat="1" applyFont="1" applyFill="1" applyBorder="1" applyAlignment="1">
      <alignment readingOrder="1"/>
    </xf>
    <xf numFmtId="164" fontId="6" fillId="10" borderId="1" xfId="1" applyNumberFormat="1" applyFont="1" applyFill="1" applyBorder="1" applyAlignment="1">
      <alignment readingOrder="1"/>
    </xf>
    <xf numFmtId="164" fontId="6" fillId="9" borderId="1" xfId="1" applyNumberFormat="1" applyFont="1" applyFill="1" applyBorder="1" applyAlignment="1">
      <alignment readingOrder="1"/>
    </xf>
    <xf numFmtId="0" fontId="9" fillId="2" borderId="1" xfId="0" applyFont="1" applyFill="1" applyBorder="1" applyAlignment="1">
      <alignment horizontal="center" vertical="center" wrapText="1" readingOrder="2"/>
    </xf>
    <xf numFmtId="164" fontId="11" fillId="7" borderId="1" xfId="1" applyNumberFormat="1" applyFont="1" applyFill="1" applyBorder="1" applyAlignment="1">
      <alignment horizontal="center" vertical="center"/>
    </xf>
    <xf numFmtId="164" fontId="9" fillId="15" borderId="1" xfId="1" applyNumberFormat="1" applyFont="1" applyFill="1" applyBorder="1" applyAlignment="1">
      <alignment horizontal="center" vertical="center" wrapText="1" readingOrder="2"/>
    </xf>
    <xf numFmtId="0" fontId="10" fillId="0" borderId="1" xfId="0" applyFont="1" applyBorder="1" applyAlignment="1">
      <alignment horizontal="center" vertical="center" wrapText="1" readingOrder="2"/>
    </xf>
    <xf numFmtId="0" fontId="10" fillId="0" borderId="10" xfId="0" applyFont="1" applyBorder="1" applyAlignment="1">
      <alignment horizontal="center" vertical="center" wrapText="1" readingOrder="2"/>
    </xf>
    <xf numFmtId="0" fontId="10" fillId="0" borderId="2" xfId="0" applyFont="1" applyBorder="1" applyAlignment="1">
      <alignment horizontal="center" vertical="center" wrapText="1" readingOrder="2"/>
    </xf>
    <xf numFmtId="164" fontId="9" fillId="5" borderId="1" xfId="1" applyNumberFormat="1" applyFont="1" applyFill="1" applyBorder="1" applyAlignment="1">
      <alignment horizontal="center" vertical="center" wrapText="1" readingOrder="2"/>
    </xf>
    <xf numFmtId="0" fontId="12" fillId="0" borderId="1" xfId="0" applyFont="1" applyBorder="1" applyAlignment="1">
      <alignment horizontal="center" vertical="center" wrapText="1" readingOrder="2"/>
    </xf>
    <xf numFmtId="164" fontId="6" fillId="0" borderId="0" xfId="1" applyNumberFormat="1" applyFont="1"/>
    <xf numFmtId="0" fontId="6" fillId="0" borderId="0" xfId="0" applyFont="1"/>
    <xf numFmtId="164" fontId="7" fillId="13" borderId="0" xfId="1" applyNumberFormat="1" applyFont="1" applyFill="1" applyBorder="1" applyAlignment="1">
      <alignment horizontal="center"/>
    </xf>
    <xf numFmtId="164" fontId="9" fillId="13" borderId="0" xfId="1" applyNumberFormat="1" applyFont="1" applyFill="1" applyBorder="1" applyAlignment="1">
      <alignment horizontal="center" vertical="center"/>
    </xf>
    <xf numFmtId="9" fontId="6" fillId="13" borderId="0" xfId="2" applyFont="1" applyFill="1" applyBorder="1"/>
    <xf numFmtId="9" fontId="13" fillId="13" borderId="0" xfId="2" applyFont="1" applyFill="1" applyBorder="1" applyAlignment="1">
      <alignment horizontal="center" vertical="center" wrapText="1" readingOrder="2"/>
    </xf>
    <xf numFmtId="164" fontId="13" fillId="13" borderId="0" xfId="1" applyNumberFormat="1" applyFont="1" applyFill="1" applyBorder="1" applyAlignment="1">
      <alignment horizontal="center" vertical="center" wrapText="1" readingOrder="2"/>
    </xf>
    <xf numFmtId="164" fontId="3" fillId="0" borderId="0" xfId="1" applyNumberFormat="1" applyFont="1" applyAlignment="1">
      <alignment horizontal="center" vertical="center"/>
    </xf>
    <xf numFmtId="164" fontId="9" fillId="19" borderId="10" xfId="1" applyNumberFormat="1" applyFont="1" applyFill="1" applyBorder="1" applyAlignment="1">
      <alignment horizontal="center" vertical="center" wrapText="1" readingOrder="2"/>
    </xf>
    <xf numFmtId="164" fontId="9" fillId="9" borderId="10" xfId="1" applyNumberFormat="1" applyFont="1" applyFill="1" applyBorder="1" applyAlignment="1">
      <alignment horizontal="center" vertical="center" wrapText="1" readingOrder="2"/>
    </xf>
    <xf numFmtId="164" fontId="13" fillId="12" borderId="13" xfId="1" applyNumberFormat="1" applyFont="1" applyFill="1" applyBorder="1" applyAlignment="1">
      <alignment horizontal="center" vertical="center" wrapText="1" readingOrder="1"/>
    </xf>
    <xf numFmtId="9" fontId="13" fillId="12" borderId="13" xfId="2" applyFont="1" applyFill="1" applyBorder="1" applyAlignment="1">
      <alignment horizontal="center" vertical="center" wrapText="1" readingOrder="1"/>
    </xf>
    <xf numFmtId="9" fontId="13" fillId="12" borderId="14" xfId="2" applyFont="1" applyFill="1" applyBorder="1" applyAlignment="1">
      <alignment horizontal="center" vertical="center" wrapText="1" readingOrder="1"/>
    </xf>
    <xf numFmtId="9" fontId="6" fillId="0" borderId="2" xfId="2" applyFont="1" applyBorder="1" applyAlignment="1">
      <alignment horizontal="center" vertical="center" readingOrder="1"/>
    </xf>
    <xf numFmtId="9" fontId="6" fillId="0" borderId="10" xfId="2" applyFont="1" applyBorder="1" applyAlignment="1">
      <alignment horizontal="center" vertical="center" readingOrder="1"/>
    </xf>
    <xf numFmtId="9" fontId="6" fillId="0" borderId="1" xfId="2" applyFont="1" applyBorder="1" applyAlignment="1">
      <alignment horizontal="center" vertical="center" readingOrder="1"/>
    </xf>
    <xf numFmtId="164" fontId="6" fillId="0" borderId="1" xfId="1" applyNumberFormat="1" applyFont="1" applyBorder="1" applyAlignment="1">
      <alignment horizontal="center" vertical="center" readingOrder="1"/>
    </xf>
    <xf numFmtId="9" fontId="6" fillId="0" borderId="6" xfId="2" applyFont="1" applyBorder="1" applyAlignment="1">
      <alignment horizontal="center" vertical="center" readingOrder="1"/>
    </xf>
    <xf numFmtId="164" fontId="6" fillId="0" borderId="0" xfId="1" applyNumberFormat="1" applyFont="1" applyAlignment="1">
      <alignment horizontal="center" vertical="center"/>
    </xf>
    <xf numFmtId="164" fontId="6" fillId="0" borderId="9" xfId="1" applyNumberFormat="1" applyFont="1" applyBorder="1" applyAlignment="1">
      <alignment horizontal="center" vertical="center" readingOrder="1"/>
    </xf>
    <xf numFmtId="164" fontId="6" fillId="0" borderId="5" xfId="1" applyNumberFormat="1" applyFont="1" applyBorder="1" applyAlignment="1">
      <alignment horizontal="center" vertical="center" readingOrder="1"/>
    </xf>
    <xf numFmtId="0" fontId="16" fillId="6" borderId="4" xfId="0" applyFont="1" applyFill="1" applyBorder="1" applyAlignment="1">
      <alignment horizontal="center" vertical="center" wrapText="1" readingOrder="1"/>
    </xf>
    <xf numFmtId="0" fontId="14" fillId="0" borderId="0" xfId="0" applyFont="1" applyAlignment="1">
      <alignment readingOrder="1"/>
    </xf>
    <xf numFmtId="0" fontId="6" fillId="0" borderId="0" xfId="0" applyFont="1" applyAlignment="1">
      <alignment readingOrder="1"/>
    </xf>
    <xf numFmtId="0" fontId="16" fillId="11" borderId="4" xfId="0" applyFont="1" applyFill="1" applyBorder="1" applyAlignment="1">
      <alignment horizontal="center" vertical="center" wrapText="1" readingOrder="1"/>
    </xf>
    <xf numFmtId="9" fontId="5" fillId="17" borderId="3" xfId="2" applyFont="1" applyFill="1" applyBorder="1" applyAlignment="1">
      <alignment horizontal="center" vertical="center"/>
    </xf>
    <xf numFmtId="9" fontId="5" fillId="17" borderId="3" xfId="2" applyFont="1" applyFill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 readingOrder="1"/>
    </xf>
    <xf numFmtId="0" fontId="9" fillId="0" borderId="3" xfId="0" applyFont="1" applyBorder="1" applyAlignment="1">
      <alignment horizontal="center" vertical="center" wrapText="1" readingOrder="1"/>
    </xf>
    <xf numFmtId="0" fontId="19" fillId="0" borderId="0" xfId="0" applyFont="1" applyAlignment="1">
      <alignment readingOrder="1"/>
    </xf>
    <xf numFmtId="0" fontId="6" fillId="13" borderId="0" xfId="0" applyFont="1" applyFill="1" applyAlignment="1">
      <alignment readingOrder="1"/>
    </xf>
    <xf numFmtId="0" fontId="9" fillId="0" borderId="0" xfId="0" applyFont="1" applyAlignment="1">
      <alignment horizontal="center" vertical="center" readingOrder="1"/>
    </xf>
    <xf numFmtId="164" fontId="11" fillId="0" borderId="24" xfId="1" applyNumberFormat="1" applyFont="1" applyBorder="1" applyAlignment="1">
      <alignment horizontal="center" vertical="center"/>
    </xf>
    <xf numFmtId="164" fontId="11" fillId="0" borderId="25" xfId="1" applyNumberFormat="1" applyFont="1" applyBorder="1" applyAlignment="1">
      <alignment horizontal="center" vertical="center"/>
    </xf>
    <xf numFmtId="164" fontId="11" fillId="0" borderId="26" xfId="1" applyNumberFormat="1" applyFont="1" applyBorder="1" applyAlignment="1">
      <alignment horizontal="center" vertical="center"/>
    </xf>
    <xf numFmtId="0" fontId="9" fillId="16" borderId="14" xfId="0" applyFont="1" applyFill="1" applyBorder="1" applyAlignment="1">
      <alignment horizontal="center" vertical="center" wrapText="1" readingOrder="2"/>
    </xf>
    <xf numFmtId="164" fontId="6" fillId="10" borderId="1" xfId="1" applyNumberFormat="1" applyFont="1" applyFill="1" applyBorder="1" applyAlignment="1">
      <alignment horizontal="center" vertical="center"/>
    </xf>
    <xf numFmtId="164" fontId="6" fillId="10" borderId="2" xfId="1" applyNumberFormat="1" applyFont="1" applyFill="1" applyBorder="1" applyAlignment="1">
      <alignment horizontal="center" vertical="center"/>
    </xf>
    <xf numFmtId="164" fontId="9" fillId="5" borderId="1" xfId="1" applyNumberFormat="1" applyFont="1" applyFill="1" applyBorder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164" fontId="0" fillId="10" borderId="1" xfId="1" applyNumberFormat="1" applyFont="1" applyFill="1" applyBorder="1" applyAlignment="1">
      <alignment horizontal="center" vertical="center"/>
    </xf>
    <xf numFmtId="164" fontId="8" fillId="16" borderId="12" xfId="1" applyNumberFormat="1" applyFont="1" applyFill="1" applyBorder="1" applyAlignment="1">
      <alignment horizontal="center" vertical="center" wrapText="1" readingOrder="2"/>
    </xf>
    <xf numFmtId="9" fontId="20" fillId="13" borderId="0" xfId="2" applyFont="1" applyFill="1" applyBorder="1" applyAlignment="1">
      <alignment horizontal="center" vertical="center" wrapText="1" readingOrder="2"/>
    </xf>
    <xf numFmtId="0" fontId="21" fillId="0" borderId="0" xfId="0" applyFont="1" applyAlignment="1">
      <alignment readingOrder="1"/>
    </xf>
    <xf numFmtId="164" fontId="19" fillId="0" borderId="5" xfId="1" applyNumberFormat="1" applyFont="1" applyBorder="1"/>
    <xf numFmtId="164" fontId="19" fillId="0" borderId="0" xfId="1" applyNumberFormat="1" applyFont="1"/>
    <xf numFmtId="9" fontId="21" fillId="23" borderId="4" xfId="2" applyFont="1" applyFill="1" applyBorder="1" applyAlignment="1">
      <alignment horizontal="center" vertical="center"/>
    </xf>
    <xf numFmtId="164" fontId="7" fillId="12" borderId="15" xfId="1" applyNumberFormat="1" applyFont="1" applyFill="1" applyBorder="1" applyAlignment="1">
      <alignment horizontal="center" vertical="center" wrapText="1" readingOrder="2"/>
    </xf>
    <xf numFmtId="164" fontId="9" fillId="19" borderId="9" xfId="1" applyNumberFormat="1" applyFont="1" applyFill="1" applyBorder="1" applyAlignment="1">
      <alignment horizontal="center" vertical="center" wrapText="1" readingOrder="2"/>
    </xf>
    <xf numFmtId="164" fontId="9" fillId="9" borderId="11" xfId="1" applyNumberFormat="1" applyFont="1" applyFill="1" applyBorder="1" applyAlignment="1">
      <alignment horizontal="center" vertical="center" wrapText="1" readingOrder="2"/>
    </xf>
    <xf numFmtId="164" fontId="13" fillId="12" borderId="12" xfId="1" applyNumberFormat="1" applyFont="1" applyFill="1" applyBorder="1" applyAlignment="1">
      <alignment horizontal="center" vertical="center" wrapText="1" readingOrder="1"/>
    </xf>
    <xf numFmtId="9" fontId="6" fillId="0" borderId="8" xfId="2" applyFont="1" applyBorder="1" applyAlignment="1">
      <alignment horizontal="center" vertical="center" readingOrder="1"/>
    </xf>
    <xf numFmtId="164" fontId="9" fillId="9" borderId="3" xfId="1" applyNumberFormat="1" applyFont="1" applyFill="1" applyBorder="1" applyAlignment="1">
      <alignment horizontal="center" vertical="center" wrapText="1" readingOrder="2"/>
    </xf>
    <xf numFmtId="164" fontId="24" fillId="0" borderId="1" xfId="1" applyNumberFormat="1" applyFont="1" applyBorder="1" applyAlignment="1">
      <alignment horizontal="center" vertical="center" wrapText="1" readingOrder="1"/>
    </xf>
    <xf numFmtId="164" fontId="0" fillId="0" borderId="0" xfId="1" applyNumberFormat="1" applyFont="1" applyBorder="1" applyAlignment="1">
      <alignment horizontal="center" vertical="center"/>
    </xf>
    <xf numFmtId="164" fontId="9" fillId="9" borderId="37" xfId="1" applyNumberFormat="1" applyFont="1" applyFill="1" applyBorder="1" applyAlignment="1">
      <alignment horizontal="center" vertical="center" wrapText="1" readingOrder="2"/>
    </xf>
    <xf numFmtId="9" fontId="6" fillId="0" borderId="30" xfId="2" applyFont="1" applyBorder="1" applyAlignment="1">
      <alignment horizontal="center" vertical="center" readingOrder="1"/>
    </xf>
    <xf numFmtId="9" fontId="6" fillId="0" borderId="38" xfId="2" applyFont="1" applyBorder="1" applyAlignment="1">
      <alignment horizontal="center" vertical="center" readingOrder="1"/>
    </xf>
    <xf numFmtId="9" fontId="6" fillId="0" borderId="5" xfId="2" applyFont="1" applyBorder="1" applyAlignment="1">
      <alignment horizontal="center" vertical="center" readingOrder="1"/>
    </xf>
    <xf numFmtId="9" fontId="6" fillId="0" borderId="7" xfId="2" applyFont="1" applyBorder="1" applyAlignment="1">
      <alignment horizontal="center" vertical="center" readingOrder="1"/>
    </xf>
    <xf numFmtId="164" fontId="9" fillId="19" borderId="33" xfId="1" applyNumberFormat="1" applyFont="1" applyFill="1" applyBorder="1" applyAlignment="1">
      <alignment horizontal="center" vertical="center" wrapText="1" readingOrder="2"/>
    </xf>
    <xf numFmtId="164" fontId="9" fillId="9" borderId="9" xfId="1" applyNumberFormat="1" applyFont="1" applyFill="1" applyBorder="1" applyAlignment="1">
      <alignment horizontal="center" vertical="center" wrapText="1" readingOrder="2"/>
    </xf>
    <xf numFmtId="9" fontId="13" fillId="12" borderId="12" xfId="2" applyFont="1" applyFill="1" applyBorder="1" applyAlignment="1">
      <alignment horizontal="center" vertical="center" wrapText="1" readingOrder="1"/>
    </xf>
    <xf numFmtId="10" fontId="7" fillId="12" borderId="27" xfId="1" applyNumberFormat="1" applyFont="1" applyFill="1" applyBorder="1" applyAlignment="1">
      <alignment horizontal="center" vertical="center" wrapText="1" readingOrder="1"/>
    </xf>
    <xf numFmtId="10" fontId="13" fillId="12" borderId="28" xfId="1" applyNumberFormat="1" applyFont="1" applyFill="1" applyBorder="1" applyAlignment="1">
      <alignment horizontal="center" vertical="center" wrapText="1" readingOrder="1"/>
    </xf>
    <xf numFmtId="10" fontId="13" fillId="12" borderId="29" xfId="1" applyNumberFormat="1" applyFont="1" applyFill="1" applyBorder="1" applyAlignment="1">
      <alignment horizontal="center" vertical="center" wrapText="1" readingOrder="1"/>
    </xf>
    <xf numFmtId="164" fontId="9" fillId="17" borderId="34" xfId="1" applyNumberFormat="1" applyFont="1" applyFill="1" applyBorder="1" applyAlignment="1">
      <alignment horizontal="center" vertical="center"/>
    </xf>
    <xf numFmtId="164" fontId="9" fillId="17" borderId="35" xfId="1" applyNumberFormat="1" applyFont="1" applyFill="1" applyBorder="1" applyAlignment="1">
      <alignment horizontal="center" vertical="center"/>
    </xf>
    <xf numFmtId="164" fontId="9" fillId="17" borderId="36" xfId="1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164" fontId="8" fillId="16" borderId="12" xfId="1" applyNumberFormat="1" applyFont="1" applyFill="1" applyBorder="1" applyAlignment="1">
      <alignment horizontal="center" vertical="center" wrapText="1" readingOrder="1"/>
    </xf>
    <xf numFmtId="43" fontId="0" fillId="0" borderId="0" xfId="0" applyNumberFormat="1" applyAlignment="1">
      <alignment horizontal="center" vertical="center"/>
    </xf>
    <xf numFmtId="9" fontId="8" fillId="8" borderId="2" xfId="2" applyFont="1" applyFill="1" applyBorder="1" applyAlignment="1">
      <alignment vertical="center" wrapText="1"/>
    </xf>
    <xf numFmtId="9" fontId="8" fillId="15" borderId="2" xfId="2" applyFont="1" applyFill="1" applyBorder="1" applyAlignment="1">
      <alignment vertical="center" wrapText="1"/>
    </xf>
    <xf numFmtId="9" fontId="8" fillId="5" borderId="2" xfId="2" applyFont="1" applyFill="1" applyBorder="1" applyAlignment="1">
      <alignment vertical="center"/>
    </xf>
    <xf numFmtId="9" fontId="7" fillId="7" borderId="2" xfId="2" applyFont="1" applyFill="1" applyBorder="1" applyAlignment="1">
      <alignment vertical="center"/>
    </xf>
    <xf numFmtId="0" fontId="10" fillId="0" borderId="0" xfId="0" applyFont="1" applyAlignment="1">
      <alignment horizontal="center" vertical="center"/>
    </xf>
    <xf numFmtId="164" fontId="7" fillId="5" borderId="1" xfId="1" applyNumberFormat="1" applyFont="1" applyFill="1" applyBorder="1" applyAlignment="1">
      <alignment horizontal="center" vertical="center" wrapText="1" readingOrder="1"/>
    </xf>
    <xf numFmtId="164" fontId="6" fillId="6" borderId="1" xfId="1" applyNumberFormat="1" applyFont="1" applyFill="1" applyBorder="1" applyAlignment="1">
      <alignment horizontal="center" vertical="center" readingOrder="1"/>
    </xf>
    <xf numFmtId="43" fontId="0" fillId="0" borderId="0" xfId="0" applyNumberFormat="1"/>
    <xf numFmtId="0" fontId="25" fillId="0" borderId="0" xfId="0" applyFont="1"/>
    <xf numFmtId="9" fontId="5" fillId="12" borderId="4" xfId="2" applyFont="1" applyFill="1" applyBorder="1" applyAlignment="1">
      <alignment horizontal="center" vertical="center"/>
    </xf>
    <xf numFmtId="9" fontId="5" fillId="12" borderId="4" xfId="2" applyFont="1" applyFill="1" applyBorder="1" applyAlignment="1">
      <alignment horizontal="center" vertical="center" wrapText="1"/>
    </xf>
    <xf numFmtId="0" fontId="0" fillId="0" borderId="1" xfId="0" applyBorder="1"/>
    <xf numFmtId="0" fontId="9" fillId="16" borderId="19" xfId="0" applyFont="1" applyFill="1" applyBorder="1" applyAlignment="1">
      <alignment horizontal="center" vertical="center" wrapText="1" readingOrder="2"/>
    </xf>
    <xf numFmtId="0" fontId="7" fillId="7" borderId="1" xfId="0" applyFont="1" applyFill="1" applyBorder="1" applyAlignment="1">
      <alignment horizontal="center" vertical="center"/>
    </xf>
    <xf numFmtId="9" fontId="6" fillId="0" borderId="2" xfId="2" applyFont="1" applyBorder="1" applyAlignment="1">
      <alignment horizontal="center" vertical="center"/>
    </xf>
    <xf numFmtId="0" fontId="9" fillId="16" borderId="29" xfId="0" applyFont="1" applyFill="1" applyBorder="1" applyAlignment="1">
      <alignment horizontal="center" vertical="center" wrapText="1" readingOrder="2"/>
    </xf>
    <xf numFmtId="9" fontId="6" fillId="0" borderId="10" xfId="2" applyFont="1" applyBorder="1" applyAlignment="1">
      <alignment horizontal="center" vertical="center"/>
    </xf>
    <xf numFmtId="0" fontId="7" fillId="16" borderId="43" xfId="0" applyFont="1" applyFill="1" applyBorder="1" applyAlignment="1">
      <alignment horizontal="center" vertical="center" wrapText="1" readingOrder="2"/>
    </xf>
    <xf numFmtId="0" fontId="9" fillId="16" borderId="44" xfId="0" applyFont="1" applyFill="1" applyBorder="1" applyAlignment="1">
      <alignment horizontal="center" vertical="center" wrapText="1" readingOrder="2"/>
    </xf>
    <xf numFmtId="9" fontId="0" fillId="0" borderId="0" xfId="2" applyFont="1" applyFill="1" applyAlignment="1">
      <alignment horizontal="center" vertical="center"/>
    </xf>
    <xf numFmtId="0" fontId="6" fillId="0" borderId="2" xfId="0" applyFont="1" applyBorder="1" applyAlignment="1">
      <alignment horizontal="center" vertical="center" wrapText="1" readingOrder="2"/>
    </xf>
    <xf numFmtId="164" fontId="7" fillId="16" borderId="27" xfId="1" applyNumberFormat="1" applyFont="1" applyFill="1" applyBorder="1" applyAlignment="1">
      <alignment horizontal="center" vertical="center"/>
    </xf>
    <xf numFmtId="164" fontId="6" fillId="0" borderId="0" xfId="1" applyNumberFormat="1" applyFont="1" applyBorder="1" applyAlignment="1">
      <alignment horizontal="center" vertical="center"/>
    </xf>
    <xf numFmtId="164" fontId="7" fillId="0" borderId="0" xfId="1" applyNumberFormat="1" applyFont="1" applyFill="1" applyBorder="1" applyAlignment="1">
      <alignment vertical="center"/>
    </xf>
    <xf numFmtId="164" fontId="9" fillId="17" borderId="45" xfId="1" applyNumberFormat="1" applyFont="1" applyFill="1" applyBorder="1" applyAlignment="1">
      <alignment horizontal="center" vertical="center"/>
    </xf>
    <xf numFmtId="164" fontId="9" fillId="17" borderId="46" xfId="1" applyNumberFormat="1" applyFont="1" applyFill="1" applyBorder="1" applyAlignment="1">
      <alignment horizontal="center" vertical="center"/>
    </xf>
    <xf numFmtId="9" fontId="13" fillId="12" borderId="28" xfId="2" applyFont="1" applyFill="1" applyBorder="1" applyAlignment="1">
      <alignment horizontal="center" vertical="center" wrapText="1" readingOrder="1"/>
    </xf>
    <xf numFmtId="9" fontId="13" fillId="12" borderId="48" xfId="2" applyFont="1" applyFill="1" applyBorder="1" applyAlignment="1">
      <alignment horizontal="center" vertical="center" wrapText="1" readingOrder="1"/>
    </xf>
    <xf numFmtId="164" fontId="6" fillId="0" borderId="0" xfId="1" applyNumberFormat="1" applyFont="1" applyFill="1" applyAlignment="1">
      <alignment horizontal="center" vertical="center"/>
    </xf>
    <xf numFmtId="164" fontId="7" fillId="0" borderId="0" xfId="1" applyNumberFormat="1" applyFont="1" applyFill="1" applyBorder="1" applyAlignment="1">
      <alignment horizontal="center" vertical="center" wrapText="1" readingOrder="2"/>
    </xf>
    <xf numFmtId="164" fontId="9" fillId="0" borderId="0" xfId="1" applyNumberFormat="1" applyFont="1" applyFill="1" applyBorder="1" applyAlignment="1">
      <alignment horizontal="center" vertical="center" wrapText="1" readingOrder="2"/>
    </xf>
    <xf numFmtId="9" fontId="6" fillId="0" borderId="0" xfId="2" applyFont="1" applyFill="1" applyBorder="1" applyAlignment="1">
      <alignment horizontal="center" vertical="center" readingOrder="1"/>
    </xf>
    <xf numFmtId="9" fontId="13" fillId="0" borderId="0" xfId="2" applyFont="1" applyFill="1" applyBorder="1" applyAlignment="1">
      <alignment horizontal="center" vertical="center" wrapText="1" readingOrder="1"/>
    </xf>
    <xf numFmtId="164" fontId="6" fillId="6" borderId="2" xfId="1" applyNumberFormat="1" applyFont="1" applyFill="1" applyBorder="1" applyAlignment="1">
      <alignment horizontal="center" vertical="center" readingOrder="1"/>
    </xf>
    <xf numFmtId="0" fontId="6" fillId="0" borderId="1" xfId="0" applyFont="1" applyBorder="1" applyAlignment="1">
      <alignment horizontal="center" vertical="center" wrapText="1" readingOrder="2"/>
    </xf>
    <xf numFmtId="0" fontId="25" fillId="0" borderId="1" xfId="0" applyFont="1" applyBorder="1"/>
    <xf numFmtId="164" fontId="6" fillId="6" borderId="10" xfId="1" applyNumberFormat="1" applyFont="1" applyFill="1" applyBorder="1" applyAlignment="1">
      <alignment horizontal="center" vertical="center" readingOrder="1"/>
    </xf>
    <xf numFmtId="164" fontId="6" fillId="16" borderId="3" xfId="1" applyNumberFormat="1" applyFont="1" applyFill="1" applyBorder="1" applyAlignment="1">
      <alignment horizontal="center"/>
    </xf>
    <xf numFmtId="0" fontId="9" fillId="16" borderId="3" xfId="0" applyFont="1" applyFill="1" applyBorder="1" applyAlignment="1">
      <alignment horizontal="center" vertical="center" wrapText="1" readingOrder="2"/>
    </xf>
    <xf numFmtId="0" fontId="7" fillId="16" borderId="3" xfId="0" applyFont="1" applyFill="1" applyBorder="1" applyAlignment="1">
      <alignment horizontal="center" vertical="center" wrapText="1" readingOrder="2"/>
    </xf>
    <xf numFmtId="164" fontId="7" fillId="16" borderId="3" xfId="1" applyNumberFormat="1" applyFont="1" applyFill="1" applyBorder="1" applyAlignment="1">
      <alignment horizontal="center" vertical="center"/>
    </xf>
    <xf numFmtId="164" fontId="7" fillId="16" borderId="3" xfId="1" applyNumberFormat="1" applyFont="1" applyFill="1" applyBorder="1" applyAlignment="1">
      <alignment horizontal="center" vertical="center" wrapText="1" readingOrder="2"/>
    </xf>
    <xf numFmtId="0" fontId="16" fillId="0" borderId="4" xfId="0" applyFont="1" applyBorder="1" applyAlignment="1">
      <alignment horizontal="center" vertical="center" wrapText="1" readingOrder="1"/>
    </xf>
    <xf numFmtId="9" fontId="6" fillId="16" borderId="3" xfId="2" applyFont="1" applyFill="1" applyBorder="1" applyAlignment="1">
      <alignment horizontal="center" vertical="center"/>
    </xf>
    <xf numFmtId="9" fontId="0" fillId="16" borderId="1" xfId="2" applyFont="1" applyFill="1" applyBorder="1" applyAlignment="1">
      <alignment horizontal="center" vertical="center"/>
    </xf>
    <xf numFmtId="164" fontId="9" fillId="16" borderId="29" xfId="0" applyNumberFormat="1" applyFont="1" applyFill="1" applyBorder="1" applyAlignment="1">
      <alignment horizontal="center" vertical="center" wrapText="1" readingOrder="2"/>
    </xf>
    <xf numFmtId="164" fontId="9" fillId="16" borderId="14" xfId="0" applyNumberFormat="1" applyFont="1" applyFill="1" applyBorder="1" applyAlignment="1">
      <alignment horizontal="center" vertical="center" wrapText="1" readingOrder="2"/>
    </xf>
    <xf numFmtId="164" fontId="9" fillId="16" borderId="44" xfId="0" applyNumberFormat="1" applyFont="1" applyFill="1" applyBorder="1" applyAlignment="1">
      <alignment horizontal="center" vertical="center" wrapText="1" readingOrder="2"/>
    </xf>
    <xf numFmtId="164" fontId="7" fillId="16" borderId="3" xfId="1" applyNumberFormat="1" applyFont="1" applyFill="1" applyBorder="1" applyAlignment="1">
      <alignment horizontal="center" vertical="center" wrapText="1" readingOrder="1"/>
    </xf>
    <xf numFmtId="164" fontId="0" fillId="16" borderId="3" xfId="0" applyNumberFormat="1" applyFill="1" applyBorder="1"/>
    <xf numFmtId="3" fontId="0" fillId="0" borderId="0" xfId="0" applyNumberFormat="1"/>
    <xf numFmtId="9" fontId="21" fillId="23" borderId="39" xfId="2" applyFont="1" applyFill="1" applyBorder="1" applyAlignment="1">
      <alignment horizontal="center" vertical="center"/>
    </xf>
    <xf numFmtId="9" fontId="21" fillId="23" borderId="21" xfId="2" applyFont="1" applyFill="1" applyBorder="1" applyAlignment="1">
      <alignment horizontal="center" vertical="center"/>
    </xf>
    <xf numFmtId="9" fontId="13" fillId="12" borderId="29" xfId="2" applyFont="1" applyFill="1" applyBorder="1" applyAlignment="1">
      <alignment horizontal="center" vertical="center" wrapText="1" readingOrder="1"/>
    </xf>
    <xf numFmtId="0" fontId="0" fillId="13" borderId="0" xfId="0" applyFill="1"/>
    <xf numFmtId="43" fontId="0" fillId="0" borderId="0" xfId="1" applyFont="1"/>
    <xf numFmtId="164" fontId="7" fillId="12" borderId="47" xfId="1" applyNumberFormat="1" applyFont="1" applyFill="1" applyBorder="1" applyAlignment="1">
      <alignment horizontal="center" vertical="center" wrapText="1" readingOrder="2"/>
    </xf>
    <xf numFmtId="164" fontId="13" fillId="12" borderId="27" xfId="1" applyNumberFormat="1" applyFont="1" applyFill="1" applyBorder="1" applyAlignment="1">
      <alignment horizontal="center" vertical="center" wrapText="1" readingOrder="1"/>
    </xf>
    <xf numFmtId="164" fontId="13" fillId="12" borderId="28" xfId="1" applyNumberFormat="1" applyFont="1" applyFill="1" applyBorder="1" applyAlignment="1">
      <alignment horizontal="center" vertical="center" wrapText="1" readingOrder="1"/>
    </xf>
    <xf numFmtId="164" fontId="13" fillId="12" borderId="48" xfId="1" applyNumberFormat="1" applyFont="1" applyFill="1" applyBorder="1" applyAlignment="1">
      <alignment horizontal="center" vertical="center" wrapText="1" readingOrder="1"/>
    </xf>
    <xf numFmtId="9" fontId="13" fillId="12" borderId="51" xfId="2" applyFont="1" applyFill="1" applyBorder="1" applyAlignment="1">
      <alignment horizontal="center" vertical="center" wrapText="1" readingOrder="1"/>
    </xf>
    <xf numFmtId="164" fontId="11" fillId="0" borderId="1" xfId="1" applyNumberFormat="1" applyFont="1" applyBorder="1" applyAlignment="1">
      <alignment horizontal="center" vertical="center"/>
    </xf>
    <xf numFmtId="9" fontId="0" fillId="0" borderId="2" xfId="2" applyFont="1" applyBorder="1" applyAlignment="1">
      <alignment horizontal="center" vertical="center"/>
    </xf>
    <xf numFmtId="164" fontId="6" fillId="6" borderId="2" xfId="1" applyNumberFormat="1" applyFont="1" applyFill="1" applyBorder="1" applyAlignment="1">
      <alignment horizontal="center" vertical="center"/>
    </xf>
    <xf numFmtId="164" fontId="0" fillId="10" borderId="2" xfId="1" applyNumberFormat="1" applyFont="1" applyFill="1" applyBorder="1" applyAlignment="1">
      <alignment horizontal="center" vertical="center"/>
    </xf>
    <xf numFmtId="9" fontId="0" fillId="0" borderId="10" xfId="2" applyFont="1" applyBorder="1" applyAlignment="1">
      <alignment horizontal="center" vertical="center"/>
    </xf>
    <xf numFmtId="164" fontId="6" fillId="6" borderId="10" xfId="1" applyNumberFormat="1" applyFont="1" applyFill="1" applyBorder="1" applyAlignment="1">
      <alignment horizontal="center" vertical="center"/>
    </xf>
    <xf numFmtId="164" fontId="6" fillId="10" borderId="52" xfId="1" applyNumberFormat="1" applyFont="1" applyFill="1" applyBorder="1" applyAlignment="1">
      <alignment horizontal="center" vertical="center"/>
    </xf>
    <xf numFmtId="164" fontId="0" fillId="10" borderId="10" xfId="1" applyNumberFormat="1" applyFont="1" applyFill="1" applyBorder="1" applyAlignment="1">
      <alignment horizontal="center" vertical="center"/>
    </xf>
    <xf numFmtId="0" fontId="9" fillId="16" borderId="32" xfId="0" applyFont="1" applyFill="1" applyBorder="1" applyAlignment="1">
      <alignment horizontal="center" vertical="center" wrapText="1" readingOrder="2"/>
    </xf>
    <xf numFmtId="9" fontId="0" fillId="0" borderId="13" xfId="2" applyFont="1" applyBorder="1" applyAlignment="1">
      <alignment horizontal="center" vertical="center"/>
    </xf>
    <xf numFmtId="164" fontId="9" fillId="16" borderId="32" xfId="0" applyNumberFormat="1" applyFont="1" applyFill="1" applyBorder="1" applyAlignment="1">
      <alignment horizontal="center" vertical="center" wrapText="1" readingOrder="2"/>
    </xf>
    <xf numFmtId="164" fontId="7" fillId="16" borderId="12" xfId="1" applyNumberFormat="1" applyFont="1" applyFill="1" applyBorder="1" applyAlignment="1">
      <alignment horizontal="center" vertical="center"/>
    </xf>
    <xf numFmtId="9" fontId="0" fillId="16" borderId="13" xfId="2" applyFont="1" applyFill="1" applyBorder="1" applyAlignment="1">
      <alignment horizontal="center" vertical="center"/>
    </xf>
    <xf numFmtId="164" fontId="0" fillId="13" borderId="0" xfId="1" applyNumberFormat="1" applyFont="1" applyFill="1" applyBorder="1"/>
    <xf numFmtId="164" fontId="0" fillId="13" borderId="0" xfId="0" applyNumberFormat="1" applyFill="1"/>
    <xf numFmtId="0" fontId="12" fillId="0" borderId="2" xfId="0" applyFont="1" applyBorder="1" applyAlignment="1">
      <alignment horizontal="center" vertical="center" wrapText="1" readingOrder="2"/>
    </xf>
    <xf numFmtId="164" fontId="6" fillId="0" borderId="52" xfId="1" applyNumberFormat="1" applyFont="1" applyBorder="1" applyAlignment="1">
      <alignment horizontal="center" vertical="center" readingOrder="1"/>
    </xf>
    <xf numFmtId="164" fontId="6" fillId="0" borderId="43" xfId="1" applyNumberFormat="1" applyFont="1" applyBorder="1" applyAlignment="1">
      <alignment horizontal="center" vertical="center" readingOrder="1"/>
    </xf>
    <xf numFmtId="164" fontId="6" fillId="0" borderId="0" xfId="1" applyNumberFormat="1" applyFont="1" applyBorder="1" applyAlignment="1">
      <alignment horizontal="center" vertical="center" wrapText="1" readingOrder="1"/>
    </xf>
    <xf numFmtId="9" fontId="6" fillId="0" borderId="0" xfId="2" applyFont="1" applyBorder="1" applyAlignment="1">
      <alignment horizontal="center" vertical="center"/>
    </xf>
    <xf numFmtId="164" fontId="6" fillId="6" borderId="0" xfId="1" applyNumberFormat="1" applyFont="1" applyFill="1" applyBorder="1" applyAlignment="1">
      <alignment readingOrder="1"/>
    </xf>
    <xf numFmtId="164" fontId="6" fillId="10" borderId="0" xfId="1" applyNumberFormat="1" applyFont="1" applyFill="1" applyBorder="1" applyAlignment="1">
      <alignment readingOrder="1"/>
    </xf>
    <xf numFmtId="9" fontId="13" fillId="12" borderId="27" xfId="2" applyFont="1" applyFill="1" applyBorder="1" applyAlignment="1">
      <alignment horizontal="center" vertical="center" wrapText="1" readingOrder="1"/>
    </xf>
    <xf numFmtId="164" fontId="23" fillId="3" borderId="53" xfId="1" applyNumberFormat="1" applyFont="1" applyFill="1" applyBorder="1" applyAlignment="1">
      <alignment horizontal="center" vertical="center" wrapText="1" readingOrder="2"/>
    </xf>
    <xf numFmtId="164" fontId="23" fillId="3" borderId="50" xfId="1" applyNumberFormat="1" applyFont="1" applyFill="1" applyBorder="1" applyAlignment="1">
      <alignment horizontal="center" vertical="center" wrapText="1" readingOrder="2"/>
    </xf>
    <xf numFmtId="164" fontId="23" fillId="3" borderId="51" xfId="1" applyNumberFormat="1" applyFont="1" applyFill="1" applyBorder="1" applyAlignment="1">
      <alignment horizontal="center" vertical="center" wrapText="1" readingOrder="2"/>
    </xf>
    <xf numFmtId="164" fontId="6" fillId="0" borderId="0" xfId="1" applyNumberFormat="1" applyFont="1" applyFill="1" applyBorder="1" applyAlignment="1">
      <alignment readingOrder="1"/>
    </xf>
    <xf numFmtId="164" fontId="9" fillId="19" borderId="0" xfId="1" applyNumberFormat="1" applyFont="1" applyFill="1" applyBorder="1" applyAlignment="1">
      <alignment horizontal="center" vertical="center" wrapText="1" readingOrder="2"/>
    </xf>
    <xf numFmtId="164" fontId="6" fillId="0" borderId="21" xfId="1" applyNumberFormat="1" applyFont="1" applyBorder="1" applyAlignment="1">
      <alignment horizontal="center" vertical="center" readingOrder="1"/>
    </xf>
    <xf numFmtId="164" fontId="6" fillId="0" borderId="42" xfId="1" applyNumberFormat="1" applyFont="1" applyBorder="1" applyAlignment="1">
      <alignment horizontal="center" vertical="center" readingOrder="1"/>
    </xf>
    <xf numFmtId="164" fontId="6" fillId="0" borderId="49" xfId="1" applyNumberFormat="1" applyFont="1" applyBorder="1" applyAlignment="1">
      <alignment horizontal="center" vertical="center" readingOrder="1"/>
    </xf>
    <xf numFmtId="164" fontId="13" fillId="12" borderId="51" xfId="1" applyNumberFormat="1" applyFont="1" applyFill="1" applyBorder="1" applyAlignment="1">
      <alignment horizontal="center" vertical="center" wrapText="1" readingOrder="1"/>
    </xf>
    <xf numFmtId="164" fontId="9" fillId="19" borderId="52" xfId="1" applyNumberFormat="1" applyFont="1" applyFill="1" applyBorder="1" applyAlignment="1">
      <alignment horizontal="center" vertical="center" wrapText="1" readingOrder="2"/>
    </xf>
    <xf numFmtId="164" fontId="11" fillId="0" borderId="30" xfId="1" applyNumberFormat="1" applyFont="1" applyBorder="1" applyAlignment="1">
      <alignment horizontal="center" vertical="center"/>
    </xf>
    <xf numFmtId="164" fontId="9" fillId="19" borderId="43" xfId="1" applyNumberFormat="1" applyFont="1" applyFill="1" applyBorder="1" applyAlignment="1">
      <alignment horizontal="center" vertical="center" wrapText="1" readingOrder="2"/>
    </xf>
    <xf numFmtId="164" fontId="9" fillId="19" borderId="54" xfId="1" applyNumberFormat="1" applyFont="1" applyFill="1" applyBorder="1" applyAlignment="1">
      <alignment horizontal="center" vertical="center" wrapText="1" readingOrder="2"/>
    </xf>
    <xf numFmtId="164" fontId="6" fillId="0" borderId="6" xfId="1" applyNumberFormat="1" applyFont="1" applyBorder="1" applyAlignment="1">
      <alignment horizontal="center" vertical="center" readingOrder="1"/>
    </xf>
    <xf numFmtId="164" fontId="6" fillId="0" borderId="44" xfId="1" applyNumberFormat="1" applyFont="1" applyBorder="1" applyAlignment="1">
      <alignment horizontal="center" vertical="center" readingOrder="1"/>
    </xf>
    <xf numFmtId="164" fontId="13" fillId="12" borderId="14" xfId="1" applyNumberFormat="1" applyFont="1" applyFill="1" applyBorder="1" applyAlignment="1">
      <alignment horizontal="center" vertical="center" wrapText="1" readingOrder="1"/>
    </xf>
    <xf numFmtId="10" fontId="7" fillId="12" borderId="51" xfId="1" applyNumberFormat="1" applyFont="1" applyFill="1" applyBorder="1" applyAlignment="1">
      <alignment horizontal="center" vertical="center" wrapText="1" readingOrder="1"/>
    </xf>
    <xf numFmtId="164" fontId="11" fillId="0" borderId="38" xfId="1" applyNumberFormat="1" applyFont="1" applyBorder="1" applyAlignment="1">
      <alignment horizontal="center" vertical="center"/>
    </xf>
    <xf numFmtId="10" fontId="7" fillId="12" borderId="3" xfId="1" applyNumberFormat="1" applyFont="1" applyFill="1" applyBorder="1" applyAlignment="1">
      <alignment horizontal="center" vertical="center" wrapText="1" readingOrder="1"/>
    </xf>
    <xf numFmtId="10" fontId="7" fillId="12" borderId="12" xfId="1" applyNumberFormat="1" applyFont="1" applyFill="1" applyBorder="1" applyAlignment="1">
      <alignment horizontal="center" vertical="center" wrapText="1" readingOrder="1"/>
    </xf>
    <xf numFmtId="0" fontId="9" fillId="16" borderId="1" xfId="0" applyFont="1" applyFill="1" applyBorder="1" applyAlignment="1">
      <alignment horizontal="center" vertical="center" wrapText="1" readingOrder="2"/>
    </xf>
    <xf numFmtId="0" fontId="9" fillId="0" borderId="42" xfId="0" applyFont="1" applyBorder="1" applyAlignment="1">
      <alignment horizontal="center" vertical="center" wrapText="1" readingOrder="2"/>
    </xf>
    <xf numFmtId="164" fontId="7" fillId="12" borderId="51" xfId="1" applyNumberFormat="1" applyFont="1" applyFill="1" applyBorder="1" applyAlignment="1">
      <alignment horizontal="center" vertical="center" wrapText="1" readingOrder="2"/>
    </xf>
    <xf numFmtId="164" fontId="9" fillId="17" borderId="55" xfId="1" applyNumberFormat="1" applyFont="1" applyFill="1" applyBorder="1" applyAlignment="1">
      <alignment horizontal="center" vertical="center"/>
    </xf>
    <xf numFmtId="164" fontId="23" fillId="3" borderId="12" xfId="1" applyNumberFormat="1" applyFont="1" applyFill="1" applyBorder="1" applyAlignment="1">
      <alignment horizontal="center" vertical="center" wrapText="1" readingOrder="2"/>
    </xf>
    <xf numFmtId="164" fontId="23" fillId="3" borderId="13" xfId="1" applyNumberFormat="1" applyFont="1" applyFill="1" applyBorder="1" applyAlignment="1">
      <alignment horizontal="center" vertical="center" wrapText="1" readingOrder="2"/>
    </xf>
    <xf numFmtId="164" fontId="23" fillId="3" borderId="14" xfId="1" applyNumberFormat="1" applyFont="1" applyFill="1" applyBorder="1" applyAlignment="1">
      <alignment horizontal="center" vertical="center" wrapText="1" readingOrder="2"/>
    </xf>
    <xf numFmtId="9" fontId="21" fillId="21" borderId="9" xfId="2" applyFont="1" applyFill="1" applyBorder="1" applyAlignment="1">
      <alignment horizontal="center" vertical="center"/>
    </xf>
    <xf numFmtId="9" fontId="21" fillId="21" borderId="10" xfId="2" applyFont="1" applyFill="1" applyBorder="1" applyAlignment="1">
      <alignment horizontal="center" vertical="center"/>
    </xf>
    <xf numFmtId="9" fontId="21" fillId="21" borderId="11" xfId="2" applyFont="1" applyFill="1" applyBorder="1" applyAlignment="1">
      <alignment horizontal="center" vertical="center"/>
    </xf>
    <xf numFmtId="164" fontId="9" fillId="16" borderId="29" xfId="1" applyNumberFormat="1" applyFont="1" applyFill="1" applyBorder="1" applyAlignment="1">
      <alignment horizontal="center" vertical="center" wrapText="1" readingOrder="2"/>
    </xf>
    <xf numFmtId="164" fontId="0" fillId="0" borderId="1" xfId="1" applyNumberFormat="1" applyFont="1" applyBorder="1" applyAlignment="1">
      <alignment horizontal="center"/>
    </xf>
    <xf numFmtId="164" fontId="7" fillId="16" borderId="3" xfId="1" applyNumberFormat="1" applyFont="1" applyFill="1" applyBorder="1" applyAlignment="1">
      <alignment horizontal="center"/>
    </xf>
    <xf numFmtId="3" fontId="28" fillId="24" borderId="56" xfId="0" applyNumberFormat="1" applyFont="1" applyFill="1" applyBorder="1" applyAlignment="1">
      <alignment horizontal="right" vertical="center"/>
    </xf>
    <xf numFmtId="164" fontId="29" fillId="16" borderId="3" xfId="1" applyNumberFormat="1" applyFont="1" applyFill="1" applyBorder="1" applyAlignment="1">
      <alignment horizontal="center"/>
    </xf>
    <xf numFmtId="164" fontId="6" fillId="13" borderId="10" xfId="1" applyNumberFormat="1" applyFont="1" applyFill="1" applyBorder="1" applyAlignment="1">
      <alignment horizontal="right"/>
    </xf>
    <xf numFmtId="164" fontId="6" fillId="13" borderId="1" xfId="1" applyNumberFormat="1" applyFont="1" applyFill="1" applyBorder="1" applyAlignment="1">
      <alignment horizontal="right"/>
    </xf>
    <xf numFmtId="164" fontId="6" fillId="13" borderId="2" xfId="1" applyNumberFormat="1" applyFont="1" applyFill="1" applyBorder="1" applyAlignment="1">
      <alignment horizontal="right"/>
    </xf>
    <xf numFmtId="164" fontId="30" fillId="16" borderId="3" xfId="0" applyNumberFormat="1" applyFont="1" applyFill="1" applyBorder="1"/>
    <xf numFmtId="164" fontId="13" fillId="16" borderId="3" xfId="1" applyNumberFormat="1" applyFont="1" applyFill="1" applyBorder="1" applyAlignment="1">
      <alignment horizontal="center"/>
    </xf>
    <xf numFmtId="164" fontId="6" fillId="13" borderId="52" xfId="1" applyNumberFormat="1" applyFont="1" applyFill="1" applyBorder="1" applyAlignment="1">
      <alignment horizontal="center"/>
    </xf>
    <xf numFmtId="1" fontId="0" fillId="0" borderId="1" xfId="0" applyNumberFormat="1" applyBorder="1"/>
    <xf numFmtId="164" fontId="7" fillId="16" borderId="3" xfId="0" applyNumberFormat="1" applyFont="1" applyFill="1" applyBorder="1" applyAlignment="1">
      <alignment horizontal="center" vertical="center" wrapText="1" readingOrder="2"/>
    </xf>
    <xf numFmtId="0" fontId="7" fillId="16" borderId="51" xfId="0" applyFont="1" applyFill="1" applyBorder="1" applyAlignment="1">
      <alignment horizontal="center" vertical="center" wrapText="1" readingOrder="2"/>
    </xf>
    <xf numFmtId="0" fontId="9" fillId="16" borderId="51" xfId="0" applyFont="1" applyFill="1" applyBorder="1" applyAlignment="1">
      <alignment horizontal="center" vertical="center" wrapText="1" readingOrder="2"/>
    </xf>
    <xf numFmtId="164" fontId="7" fillId="16" borderId="51" xfId="1" applyNumberFormat="1" applyFont="1" applyFill="1" applyBorder="1" applyAlignment="1">
      <alignment horizontal="center" vertical="center" wrapText="1" readingOrder="1"/>
    </xf>
    <xf numFmtId="164" fontId="31" fillId="0" borderId="5" xfId="1" applyNumberFormat="1" applyFont="1" applyBorder="1" applyAlignment="1">
      <alignment horizontal="center" vertical="center"/>
    </xf>
    <xf numFmtId="164" fontId="31" fillId="0" borderId="1" xfId="1" applyNumberFormat="1" applyFont="1" applyBorder="1" applyAlignment="1">
      <alignment horizontal="center" vertical="center"/>
    </xf>
    <xf numFmtId="164" fontId="31" fillId="0" borderId="6" xfId="1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 readingOrder="2"/>
    </xf>
    <xf numFmtId="164" fontId="0" fillId="0" borderId="1" xfId="0" applyNumberFormat="1" applyBorder="1"/>
    <xf numFmtId="3" fontId="0" fillId="0" borderId="1" xfId="0" applyNumberFormat="1" applyBorder="1"/>
    <xf numFmtId="0" fontId="23" fillId="22" borderId="15" xfId="0" applyFont="1" applyFill="1" applyBorder="1" applyAlignment="1">
      <alignment horizontal="center" vertical="center"/>
    </xf>
    <xf numFmtId="0" fontId="23" fillId="22" borderId="16" xfId="0" applyFont="1" applyFill="1" applyBorder="1" applyAlignment="1">
      <alignment horizontal="center" vertical="center"/>
    </xf>
    <xf numFmtId="0" fontId="23" fillId="22" borderId="17" xfId="0" applyFont="1" applyFill="1" applyBorder="1" applyAlignment="1">
      <alignment horizontal="center" vertical="center"/>
    </xf>
    <xf numFmtId="164" fontId="7" fillId="7" borderId="15" xfId="1" applyNumberFormat="1" applyFont="1" applyFill="1" applyBorder="1" applyAlignment="1">
      <alignment horizontal="center" vertical="center"/>
    </xf>
    <xf numFmtId="164" fontId="7" fillId="7" borderId="16" xfId="1" applyNumberFormat="1" applyFont="1" applyFill="1" applyBorder="1" applyAlignment="1">
      <alignment horizontal="center" vertical="center"/>
    </xf>
    <xf numFmtId="164" fontId="7" fillId="7" borderId="17" xfId="1" applyNumberFormat="1" applyFont="1" applyFill="1" applyBorder="1" applyAlignment="1">
      <alignment horizontal="center" vertical="center"/>
    </xf>
    <xf numFmtId="164" fontId="7" fillId="14" borderId="15" xfId="1" applyNumberFormat="1" applyFont="1" applyFill="1" applyBorder="1" applyAlignment="1">
      <alignment horizontal="center" vertical="center" wrapText="1" readingOrder="2"/>
    </xf>
    <xf numFmtId="164" fontId="7" fillId="14" borderId="16" xfId="1" applyNumberFormat="1" applyFont="1" applyFill="1" applyBorder="1" applyAlignment="1">
      <alignment horizontal="center" vertical="center" wrapText="1" readingOrder="2"/>
    </xf>
    <xf numFmtId="164" fontId="7" fillId="14" borderId="17" xfId="1" applyNumberFormat="1" applyFont="1" applyFill="1" applyBorder="1" applyAlignment="1">
      <alignment horizontal="center" vertical="center" wrapText="1" readingOrder="2"/>
    </xf>
    <xf numFmtId="0" fontId="22" fillId="20" borderId="12" xfId="1" applyNumberFormat="1" applyFont="1" applyFill="1" applyBorder="1" applyAlignment="1">
      <alignment horizontal="center" vertical="center"/>
    </xf>
    <xf numFmtId="0" fontId="22" fillId="20" borderId="13" xfId="1" applyNumberFormat="1" applyFont="1" applyFill="1" applyBorder="1" applyAlignment="1">
      <alignment horizontal="center" vertical="center"/>
    </xf>
    <xf numFmtId="0" fontId="22" fillId="20" borderId="14" xfId="1" applyNumberFormat="1" applyFont="1" applyFill="1" applyBorder="1" applyAlignment="1">
      <alignment horizontal="center" vertical="center"/>
    </xf>
    <xf numFmtId="164" fontId="7" fillId="18" borderId="18" xfId="1" applyNumberFormat="1" applyFont="1" applyFill="1" applyBorder="1" applyAlignment="1">
      <alignment horizontal="center" vertical="center" wrapText="1" readingOrder="2"/>
    </xf>
    <xf numFmtId="164" fontId="7" fillId="18" borderId="31" xfId="1" applyNumberFormat="1" applyFont="1" applyFill="1" applyBorder="1" applyAlignment="1">
      <alignment horizontal="center" vertical="center" wrapText="1" readingOrder="2"/>
    </xf>
    <xf numFmtId="164" fontId="7" fillId="4" borderId="15" xfId="1" applyNumberFormat="1" applyFont="1" applyFill="1" applyBorder="1" applyAlignment="1">
      <alignment horizontal="center" vertical="center" wrapText="1" readingOrder="2"/>
    </xf>
    <xf numFmtId="164" fontId="7" fillId="4" borderId="16" xfId="1" applyNumberFormat="1" applyFont="1" applyFill="1" applyBorder="1" applyAlignment="1">
      <alignment horizontal="center" vertical="center" wrapText="1" readingOrder="2"/>
    </xf>
    <xf numFmtId="164" fontId="7" fillId="4" borderId="17" xfId="1" applyNumberFormat="1" applyFont="1" applyFill="1" applyBorder="1" applyAlignment="1">
      <alignment horizontal="center" vertical="center" wrapText="1" readingOrder="2"/>
    </xf>
    <xf numFmtId="164" fontId="7" fillId="14" borderId="39" xfId="1" applyNumberFormat="1" applyFont="1" applyFill="1" applyBorder="1" applyAlignment="1">
      <alignment horizontal="center" vertical="center" wrapText="1" readingOrder="2"/>
    </xf>
    <xf numFmtId="164" fontId="7" fillId="14" borderId="40" xfId="1" applyNumberFormat="1" applyFont="1" applyFill="1" applyBorder="1" applyAlignment="1">
      <alignment horizontal="center" vertical="center" wrapText="1" readingOrder="2"/>
    </xf>
    <xf numFmtId="164" fontId="7" fillId="14" borderId="41" xfId="1" applyNumberFormat="1" applyFont="1" applyFill="1" applyBorder="1" applyAlignment="1">
      <alignment horizontal="center" vertical="center" wrapText="1" readingOrder="2"/>
    </xf>
    <xf numFmtId="164" fontId="7" fillId="18" borderId="21" xfId="1" applyNumberFormat="1" applyFont="1" applyFill="1" applyBorder="1" applyAlignment="1">
      <alignment horizontal="center" vertical="center" wrapText="1" readingOrder="2"/>
    </xf>
    <xf numFmtId="164" fontId="7" fillId="18" borderId="22" xfId="1" applyNumberFormat="1" applyFont="1" applyFill="1" applyBorder="1" applyAlignment="1">
      <alignment horizontal="center" vertical="center" wrapText="1" readingOrder="2"/>
    </xf>
    <xf numFmtId="0" fontId="7" fillId="15" borderId="30" xfId="0" applyFont="1" applyFill="1" applyBorder="1" applyAlignment="1">
      <alignment horizontal="center" vertical="center" wrapText="1" readingOrder="2"/>
    </xf>
    <xf numFmtId="0" fontId="7" fillId="15" borderId="23" xfId="0" applyFont="1" applyFill="1" applyBorder="1" applyAlignment="1">
      <alignment horizontal="center" vertical="center" wrapText="1" readingOrder="2"/>
    </xf>
    <xf numFmtId="0" fontId="7" fillId="15" borderId="20" xfId="0" applyFont="1" applyFill="1" applyBorder="1" applyAlignment="1">
      <alignment horizontal="center" vertical="center" wrapText="1" readingOrder="2"/>
    </xf>
    <xf numFmtId="0" fontId="7" fillId="7" borderId="1" xfId="0" applyFont="1" applyFill="1" applyBorder="1" applyAlignment="1">
      <alignment horizontal="center" vertical="center"/>
    </xf>
    <xf numFmtId="0" fontId="7" fillId="5" borderId="37" xfId="0" applyFont="1" applyFill="1" applyBorder="1" applyAlignment="1">
      <alignment horizontal="center" vertical="center" wrapText="1" readingOrder="2"/>
    </xf>
    <xf numFmtId="0" fontId="7" fillId="5" borderId="33" xfId="0" applyFont="1" applyFill="1" applyBorder="1" applyAlignment="1">
      <alignment horizontal="center" vertical="center" wrapText="1" readingOrder="2"/>
    </xf>
    <xf numFmtId="0" fontId="7" fillId="15" borderId="1" xfId="0" applyFont="1" applyFill="1" applyBorder="1" applyAlignment="1">
      <alignment horizontal="center" vertical="center" wrapText="1" readingOrder="2"/>
    </xf>
    <xf numFmtId="0" fontId="7" fillId="7" borderId="30" xfId="0" applyFont="1" applyFill="1" applyBorder="1" applyAlignment="1">
      <alignment horizontal="center" vertical="center"/>
    </xf>
    <xf numFmtId="0" fontId="7" fillId="7" borderId="23" xfId="0" applyFont="1" applyFill="1" applyBorder="1" applyAlignment="1">
      <alignment horizontal="center" vertical="center"/>
    </xf>
    <xf numFmtId="0" fontId="7" fillId="7" borderId="20" xfId="0" applyFont="1" applyFill="1" applyBorder="1" applyAlignment="1">
      <alignment horizontal="center" vertical="center"/>
    </xf>
    <xf numFmtId="0" fontId="7" fillId="5" borderId="30" xfId="0" applyFont="1" applyFill="1" applyBorder="1" applyAlignment="1">
      <alignment horizontal="center"/>
    </xf>
    <xf numFmtId="0" fontId="7" fillId="5" borderId="23" xfId="0" applyFont="1" applyFill="1" applyBorder="1" applyAlignment="1">
      <alignment horizontal="center"/>
    </xf>
    <xf numFmtId="0" fontId="7" fillId="5" borderId="20" xfId="0" applyFont="1" applyFill="1" applyBorder="1" applyAlignment="1">
      <alignment horizontal="center"/>
    </xf>
    <xf numFmtId="0" fontId="7" fillId="5" borderId="30" xfId="0" applyFont="1" applyFill="1" applyBorder="1" applyAlignment="1">
      <alignment horizontal="center" vertical="center"/>
    </xf>
    <xf numFmtId="0" fontId="7" fillId="5" borderId="23" xfId="0" applyFont="1" applyFill="1" applyBorder="1" applyAlignment="1">
      <alignment horizontal="center" vertical="center"/>
    </xf>
    <xf numFmtId="0" fontId="7" fillId="5" borderId="20" xfId="0" applyFont="1" applyFill="1" applyBorder="1" applyAlignment="1">
      <alignment horizontal="center" vertical="center"/>
    </xf>
    <xf numFmtId="0" fontId="8" fillId="16" borderId="1" xfId="0" applyFont="1" applyFill="1" applyBorder="1" applyAlignment="1">
      <alignment horizontal="center" vertical="center" wrapText="1" readingOrder="2"/>
    </xf>
    <xf numFmtId="0" fontId="7" fillId="5" borderId="1" xfId="0" applyFont="1" applyFill="1" applyBorder="1" applyAlignment="1">
      <alignment horizontal="center" vertical="center" wrapText="1" readingOrder="1"/>
    </xf>
    <xf numFmtId="3" fontId="28" fillId="24" borderId="1" xfId="0" applyNumberFormat="1" applyFont="1" applyFill="1" applyBorder="1" applyAlignment="1">
      <alignment horizontal="right" vertical="center"/>
    </xf>
  </cellXfs>
  <cellStyles count="5">
    <cellStyle name="Comma" xfId="1" builtinId="3"/>
    <cellStyle name="Comma 2" xfId="4" xr:uid="{377724DF-F3ED-4A03-9CB5-B1A6F9C7100E}"/>
    <cellStyle name="Normal" xfId="0" builtinId="0"/>
    <cellStyle name="Normal 2" xfId="3" xr:uid="{A0DA3FFA-5124-4BA7-9D1F-4FF45B9A273A}"/>
    <cellStyle name="Percent" xfId="2" builtinId="5"/>
  </cellStyles>
  <dxfs count="3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DE68EA"/>
      <color rgb="FFBF95DF"/>
      <color rgb="FFEE92C7"/>
      <color rgb="FFD0ECE5"/>
      <color rgb="FFE1CCF0"/>
      <color rgb="FFF0E5C6"/>
      <color rgb="FFE9D9AB"/>
      <color rgb="FFF9DBEC"/>
      <color rgb="FFEEDC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.shortcut-targets-by-id\11KgdrUoWmOuim7wOdzgAhjLF35Tr523z\&#1502;&#1488;&#1490;&#1512;%20&#1502;&#1497;&#1491;&#1506;%20&#1513;&#1500;%20&#1490;&#1500;%20&#1488;&#1500;&#1502;&#1490;&#1493;&#1512;\&#1491;&#1493;&#1495;&#1493;&#1514;%20&#1514;&#1508;&#1493;&#1511;&#1492;\&#1491;&#1493;&#1495;&#1493;&#1514;%20&#1514;&#1508;&#1493;&#1511;&#1492;%20&#1489;&#1497;&#1496;&#1493;&#1495;%20&#1495;&#1497;&#1497;&#1501;\2025\&#1491;&#1493;&#1495;%20&#1497;&#1506;&#1491;&#1497;&#1501;%20-&#1506;&#1494;&#1512;%202025.xlsx" TargetMode="External"/><Relationship Id="rId1" Type="http://schemas.openxmlformats.org/officeDocument/2006/relationships/externalLinkPath" Target="/.shortcut-targets-by-id/11KgdrUoWmOuim7wOdzgAhjLF35Tr523z/&#1502;&#1488;&#1490;&#1512;%20&#1502;&#1497;&#1491;&#1506;%20&#1513;&#1500;%20&#1490;&#1500;%20&#1488;&#1500;&#1502;&#1490;&#1493;&#1512;/&#1491;&#1493;&#1495;&#1493;&#1514;%20&#1514;&#1508;&#1493;&#1511;&#1492;/&#1491;&#1493;&#1495;&#1493;&#1514;%20&#1514;&#1508;&#1493;&#1511;&#1492;%20&#1489;&#1497;&#1496;&#1493;&#1495;%20&#1495;&#1497;&#1497;&#1501;/2025/&#1491;&#1493;&#1495;%20&#1497;&#1506;&#1491;&#1497;&#1501;%20-&#1506;&#1494;&#1512;%20202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.shortcut-targets-by-id\11KgdrUoWmOuim7wOdzgAhjLF35Tr523z\&#1502;&#1488;&#1490;&#1512;%20&#1502;&#1497;&#1491;&#1506;%20&#1513;&#1500;%20&#1490;&#1500;%20&#1488;&#1500;&#1502;&#1490;&#1493;&#1512;\&#1491;&#1493;&#1495;&#1493;&#1514;%20&#1514;&#1508;&#1493;&#1511;&#1492;\&#1491;&#1493;&#1495;&#1493;&#1514;%20&#1514;&#1508;&#1493;&#1511;&#1492;%20&#1489;&#1497;&#1496;&#1493;&#1495;%20&#1495;&#1497;&#1497;&#1501;\2024\&#1491;&#1493;&#1495;%20&#1497;&#1506;&#1491;&#1497;&#1501;%20-&#1506;&#1494;&#1512;.xlsx" TargetMode="External"/><Relationship Id="rId1" Type="http://schemas.openxmlformats.org/officeDocument/2006/relationships/externalLinkPath" Target="/.shortcut-targets-by-id/11KgdrUoWmOuim7wOdzgAhjLF35Tr523z/&#1502;&#1488;&#1490;&#1512;%20&#1502;&#1497;&#1491;&#1506;%20&#1513;&#1500;%20&#1490;&#1500;%20&#1488;&#1500;&#1502;&#1490;&#1493;&#1512;/&#1491;&#1493;&#1495;&#1493;&#1514;%20&#1514;&#1508;&#1493;&#1511;&#1492;/&#1491;&#1493;&#1495;&#1493;&#1514;%20&#1514;&#1508;&#1493;&#1511;&#1492;%20&#1489;&#1497;&#1496;&#1493;&#1495;%20&#1495;&#1497;&#1497;&#1501;/2024/&#1491;&#1493;&#1495;%20&#1497;&#1506;&#1491;&#1497;&#1501;%20-&#1506;&#1494;&#1512;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.shortcut-targets-by-id\11KgdrUoWmOuim7wOdzgAhjLF35Tr523z\&#1502;&#1488;&#1490;&#1512;%20&#1502;&#1497;&#1491;&#1506;%20&#1513;&#1500;%20&#1490;&#1500;%20&#1488;&#1500;&#1502;&#1490;&#1493;&#1512;\&#1491;&#1493;&#1495;&#1493;&#1514;%20&#1514;&#1508;&#1493;&#1511;&#1492;\&#1491;&#1493;&#1495;&#1493;&#1514;%20&#1514;&#1508;&#1493;&#1511;&#1492;%20&#1489;&#1497;&#1496;&#1493;&#1495;%20&#1495;&#1497;&#1497;&#1501;\2024\2.2024\&#1491;&#1493;&#1495;%20&#1495;&#1497;&#1497;&#1501;%2002.2024.xlsx" TargetMode="External"/><Relationship Id="rId1" Type="http://schemas.openxmlformats.org/officeDocument/2006/relationships/externalLinkPath" Target="/.shortcut-targets-by-id/11KgdrUoWmOuim7wOdzgAhjLF35Tr523z/&#1502;&#1488;&#1490;&#1512;%20&#1502;&#1497;&#1491;&#1506;%20&#1513;&#1500;%20&#1490;&#1500;%20&#1488;&#1500;&#1502;&#1490;&#1493;&#1512;/&#1491;&#1493;&#1495;&#1493;&#1514;%20&#1514;&#1508;&#1493;&#1511;&#1492;/&#1491;&#1493;&#1495;&#1493;&#1514;%20&#1514;&#1508;&#1493;&#1511;&#1492;%20&#1489;&#1497;&#1496;&#1493;&#1495;%20&#1495;&#1497;&#1497;&#1501;/2024/2.2024/&#1491;&#1493;&#1495;%20&#1495;&#1497;&#1497;&#1501;%2002.2024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.shortcut-targets-by-id\11KgdrUoWmOuim7wOdzgAhjLF35Tr523z\&#1502;&#1488;&#1490;&#1512;%20&#1502;&#1497;&#1491;&#1506;%20&#1513;&#1500;%20&#1490;&#1500;%20&#1488;&#1500;&#1502;&#1490;&#1493;&#1512;\&#1491;&#1493;&#1495;&#1493;&#1514;%20&#1514;&#1508;&#1493;&#1511;&#1492;\&#1491;&#1493;&#1495;&#1493;&#1514;%20&#1514;&#1508;&#1493;&#1511;&#1492;%20&#1489;&#1497;&#1496;&#1493;&#1495;%20&#1495;&#1497;&#1497;&#1501;\2024\1.2024\&#1491;&#1493;&#1495;%20&#1495;&#1497;&#1497;&#1501;%2001.2024.xlsx" TargetMode="External"/><Relationship Id="rId1" Type="http://schemas.openxmlformats.org/officeDocument/2006/relationships/externalLinkPath" Target="/.shortcut-targets-by-id/11KgdrUoWmOuim7wOdzgAhjLF35Tr523z/&#1502;&#1488;&#1490;&#1512;%20&#1502;&#1497;&#1491;&#1506;%20&#1513;&#1500;%20&#1490;&#1500;%20&#1488;&#1500;&#1502;&#1490;&#1493;&#1512;/&#1491;&#1493;&#1495;&#1493;&#1514;%20&#1514;&#1508;&#1493;&#1511;&#1492;/&#1491;&#1493;&#1495;&#1493;&#1514;%20&#1514;&#1508;&#1493;&#1511;&#1492;%20&#1489;&#1497;&#1496;&#1493;&#1495;%20&#1495;&#1497;&#1497;&#1501;/2024/1.2024/&#1491;&#1493;&#1495;%20&#1495;&#1497;&#1497;&#1501;%2001.2024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.shortcut-targets-by-id\11KgdrUoWmOuim7wOdzgAhjLF35Tr523z\&#1502;&#1488;&#1490;&#1512;%20&#1502;&#1497;&#1491;&#1506;%20&#1513;&#1500;%20&#1490;&#1500;%20&#1488;&#1500;&#1502;&#1490;&#1493;&#1512;\&#1491;&#1493;&#1495;&#1493;&#1514;%20&#1514;&#1508;&#1493;&#1511;&#1492;\&#1491;&#1493;&#1495;&#1493;&#1514;%20&#1514;&#1508;&#1493;&#1511;&#1492;%20&#1489;&#1497;&#1496;&#1493;&#1495;%20&#1495;&#1497;&#1497;&#1501;\2024\12.2024\&#1491;&#1493;&#1495;%20&#1495;&#1497;&#1497;&#1501;%2012.2024.xlsx" TargetMode="External"/><Relationship Id="rId1" Type="http://schemas.openxmlformats.org/officeDocument/2006/relationships/externalLinkPath" Target="/.shortcut-targets-by-id/11KgdrUoWmOuim7wOdzgAhjLF35Tr523z/&#1502;&#1488;&#1490;&#1512;%20&#1502;&#1497;&#1491;&#1506;%20&#1513;&#1500;%20&#1490;&#1500;%20&#1488;&#1500;&#1502;&#1490;&#1493;&#1512;/&#1491;&#1493;&#1495;&#1493;&#1514;%20&#1514;&#1508;&#1493;&#1511;&#1492;/&#1491;&#1493;&#1495;&#1493;&#1514;%20&#1514;&#1508;&#1493;&#1511;&#1492;%20&#1489;&#1497;&#1496;&#1493;&#1495;%20&#1495;&#1497;&#1497;&#1501;/2024/12.2024/&#1491;&#1493;&#1495;%20&#1495;&#1497;&#1497;&#1501;%2012.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גיליון1"/>
      <sheetName val="גיליון2"/>
    </sheetNames>
    <sheetDataSet>
      <sheetData sheetId="0">
        <row r="1">
          <cell r="A1"/>
          <cell r="B1"/>
          <cell r="C1" t="str">
            <v>שינוי מול אשתקד %</v>
          </cell>
          <cell r="D1"/>
          <cell r="E1"/>
          <cell r="F1" t="str">
            <v xml:space="preserve">תפוקה מצטברת </v>
          </cell>
          <cell r="G1"/>
          <cell r="H1"/>
          <cell r="I1" t="str">
            <v>יעד 2025</v>
          </cell>
          <cell r="J1"/>
          <cell r="K1"/>
          <cell r="L1"/>
          <cell r="M1" t="str">
            <v>התפלגות חודשית</v>
          </cell>
          <cell r="N1"/>
          <cell r="O1"/>
          <cell r="P1"/>
          <cell r="Q1" t="str">
            <v>התפלגות שנתית (מצטבר)</v>
          </cell>
          <cell r="R1"/>
          <cell r="S1"/>
          <cell r="T1"/>
        </row>
        <row r="2">
          <cell r="A2"/>
          <cell r="B2"/>
          <cell r="C2"/>
          <cell r="D2"/>
          <cell r="E2"/>
          <cell r="F2"/>
          <cell r="G2"/>
          <cell r="H2"/>
          <cell r="I2" t="str">
            <v>פנסיוני</v>
          </cell>
          <cell r="J2" t="str">
            <v>סיכונים</v>
          </cell>
          <cell r="K2" t="str">
            <v>פיננסים</v>
          </cell>
          <cell r="L2" t="str">
            <v>ניוד פנסיה</v>
          </cell>
          <cell r="M2" t="str">
            <v>פנסיוני</v>
          </cell>
          <cell r="N2" t="str">
            <v>סיכונים</v>
          </cell>
          <cell r="O2" t="str">
            <v>פיננסים</v>
          </cell>
          <cell r="P2" t="str">
            <v>ניוד פנסיה</v>
          </cell>
          <cell r="Q2" t="str">
            <v>פנסיוני</v>
          </cell>
          <cell r="R2" t="str">
            <v>סיכונים</v>
          </cell>
          <cell r="S2" t="str">
            <v>פיננסים</v>
          </cell>
          <cell r="T2" t="str">
            <v>ניוד פנסיה</v>
          </cell>
        </row>
        <row r="3">
          <cell r="A3" t="str">
            <v>שם סוכן</v>
          </cell>
          <cell r="B3" t="str">
            <v xml:space="preserve">מפקח </v>
          </cell>
          <cell r="C3" t="str">
            <v>פנסיוני</v>
          </cell>
          <cell r="D3" t="str">
            <v>סיכונים</v>
          </cell>
          <cell r="E3" t="str">
            <v xml:space="preserve">פיננסים </v>
          </cell>
          <cell r="F3" t="str">
            <v>פנסיוני</v>
          </cell>
          <cell r="G3" t="str">
            <v xml:space="preserve">סיכונים </v>
          </cell>
          <cell r="H3" t="str">
            <v>פיננסים</v>
          </cell>
          <cell r="I3"/>
          <cell r="J3"/>
          <cell r="K3"/>
          <cell r="L3"/>
          <cell r="M3">
            <v>0.12</v>
          </cell>
          <cell r="N3">
            <v>9.5000000000000001E-2</v>
          </cell>
          <cell r="O3">
            <v>0.13800000000000001</v>
          </cell>
          <cell r="P3">
            <v>0.13800000000000001</v>
          </cell>
          <cell r="Q3">
            <v>1</v>
          </cell>
          <cell r="R3">
            <v>1</v>
          </cell>
          <cell r="S3">
            <v>1</v>
          </cell>
          <cell r="T3">
            <v>1</v>
          </cell>
        </row>
        <row r="4">
          <cell r="A4" t="str">
            <v>גל אלמגור סוכ</v>
          </cell>
          <cell r="B4" t="str">
            <v>יוסי אביב</v>
          </cell>
          <cell r="C4" t="e">
            <v>#REF!</v>
          </cell>
          <cell r="D4" t="e">
            <v>#REF!</v>
          </cell>
          <cell r="E4" t="e">
            <v>#REF!</v>
          </cell>
          <cell r="F4"/>
          <cell r="G4"/>
          <cell r="H4"/>
          <cell r="I4">
            <v>18000000</v>
          </cell>
          <cell r="J4">
            <v>1300000</v>
          </cell>
          <cell r="K4">
            <v>50000000</v>
          </cell>
          <cell r="L4">
            <v>100000000</v>
          </cell>
          <cell r="M4">
            <v>2160000</v>
          </cell>
          <cell r="N4">
            <v>123500</v>
          </cell>
          <cell r="O4">
            <v>6900000.0000000009</v>
          </cell>
          <cell r="P4">
            <v>13800000.000000002</v>
          </cell>
          <cell r="Q4">
            <v>18000000</v>
          </cell>
          <cell r="R4">
            <v>1300000</v>
          </cell>
          <cell r="S4">
            <v>50000000</v>
          </cell>
          <cell r="T4">
            <v>100000000</v>
          </cell>
        </row>
        <row r="5">
          <cell r="A5" t="str">
            <v>דניאלה אביב</v>
          </cell>
          <cell r="B5" t="str">
            <v>יוסי אביב</v>
          </cell>
          <cell r="C5" t="e">
            <v>#REF!</v>
          </cell>
          <cell r="D5" t="e">
            <v>#REF!</v>
          </cell>
          <cell r="E5" t="e">
            <v>#REF!</v>
          </cell>
          <cell r="F5"/>
          <cell r="G5"/>
          <cell r="H5"/>
          <cell r="I5">
            <v>1500000</v>
          </cell>
          <cell r="J5">
            <v>0</v>
          </cell>
          <cell r="K5">
            <v>25000000</v>
          </cell>
          <cell r="L5">
            <v>20000000</v>
          </cell>
          <cell r="M5">
            <v>180000</v>
          </cell>
          <cell r="N5">
            <v>0</v>
          </cell>
          <cell r="O5">
            <v>3450000.0000000005</v>
          </cell>
          <cell r="P5">
            <v>2760000</v>
          </cell>
          <cell r="Q5">
            <v>1500000</v>
          </cell>
          <cell r="R5">
            <v>0</v>
          </cell>
          <cell r="S5">
            <v>25000000</v>
          </cell>
          <cell r="T5">
            <v>20000000</v>
          </cell>
        </row>
        <row r="6">
          <cell r="A6" t="str">
            <v>רותי פרנקו</v>
          </cell>
          <cell r="B6" t="str">
            <v>יוסי אביב</v>
          </cell>
          <cell r="C6"/>
          <cell r="D6"/>
          <cell r="E6"/>
          <cell r="F6"/>
          <cell r="G6"/>
          <cell r="H6"/>
          <cell r="I6">
            <v>0</v>
          </cell>
          <cell r="J6">
            <v>300000</v>
          </cell>
          <cell r="K6">
            <v>0</v>
          </cell>
          <cell r="L6">
            <v>0</v>
          </cell>
          <cell r="M6">
            <v>0</v>
          </cell>
          <cell r="N6">
            <v>28500</v>
          </cell>
          <cell r="O6">
            <v>0</v>
          </cell>
          <cell r="P6">
            <v>0</v>
          </cell>
          <cell r="Q6">
            <v>0</v>
          </cell>
          <cell r="R6">
            <v>300000</v>
          </cell>
          <cell r="S6">
            <v>0</v>
          </cell>
          <cell r="T6">
            <v>0</v>
          </cell>
        </row>
        <row r="7">
          <cell r="A7" t="str">
            <v>אילנית דרור</v>
          </cell>
          <cell r="B7" t="str">
            <v>יוסי אביב</v>
          </cell>
          <cell r="C7"/>
          <cell r="D7"/>
          <cell r="E7"/>
          <cell r="F7"/>
          <cell r="G7"/>
          <cell r="H7"/>
          <cell r="I7">
            <v>500000</v>
          </cell>
          <cell r="J7">
            <v>250000</v>
          </cell>
          <cell r="K7">
            <v>2000000</v>
          </cell>
          <cell r="L7">
            <v>1000000</v>
          </cell>
          <cell r="M7">
            <v>60000</v>
          </cell>
          <cell r="N7">
            <v>23750</v>
          </cell>
          <cell r="O7">
            <v>276000</v>
          </cell>
          <cell r="P7">
            <v>138000</v>
          </cell>
          <cell r="Q7">
            <v>500000</v>
          </cell>
          <cell r="R7">
            <v>250000</v>
          </cell>
          <cell r="S7">
            <v>2000000</v>
          </cell>
          <cell r="T7">
            <v>1000000</v>
          </cell>
        </row>
        <row r="8">
          <cell r="A8" t="str">
            <v>דני פחימה</v>
          </cell>
          <cell r="B8" t="str">
            <v>יוסי אביב</v>
          </cell>
          <cell r="C8" t="e">
            <v>#REF!</v>
          </cell>
          <cell r="D8" t="e">
            <v>#REF!</v>
          </cell>
          <cell r="E8" t="e">
            <v>#REF!</v>
          </cell>
          <cell r="F8"/>
          <cell r="G8"/>
          <cell r="H8"/>
          <cell r="I8">
            <v>0</v>
          </cell>
          <cell r="J8">
            <v>0</v>
          </cell>
          <cell r="K8">
            <v>1000000</v>
          </cell>
          <cell r="L8">
            <v>500000</v>
          </cell>
          <cell r="M8">
            <v>0</v>
          </cell>
          <cell r="N8">
            <v>0</v>
          </cell>
          <cell r="O8">
            <v>138000</v>
          </cell>
          <cell r="P8">
            <v>69000</v>
          </cell>
          <cell r="Q8">
            <v>0</v>
          </cell>
          <cell r="R8">
            <v>0</v>
          </cell>
          <cell r="S8">
            <v>1000000</v>
          </cell>
          <cell r="T8">
            <v>500000</v>
          </cell>
        </row>
        <row r="9">
          <cell r="A9" t="str">
            <v>סה"כ ישיר</v>
          </cell>
          <cell r="B9"/>
          <cell r="C9" t="e">
            <v>#REF!</v>
          </cell>
          <cell r="D9" t="e">
            <v>#REF!</v>
          </cell>
          <cell r="E9" t="e">
            <v>#REF!</v>
          </cell>
          <cell r="F9">
            <v>0</v>
          </cell>
          <cell r="G9">
            <v>0</v>
          </cell>
          <cell r="H9">
            <v>0</v>
          </cell>
          <cell r="I9">
            <v>20000000</v>
          </cell>
          <cell r="J9">
            <v>1850000</v>
          </cell>
          <cell r="K9">
            <v>78000000</v>
          </cell>
          <cell r="L9">
            <v>121500000</v>
          </cell>
          <cell r="M9">
            <v>2400000</v>
          </cell>
          <cell r="N9">
            <v>175750</v>
          </cell>
          <cell r="O9">
            <v>10764000.000000002</v>
          </cell>
          <cell r="P9">
            <v>16767000.000000002</v>
          </cell>
          <cell r="Q9">
            <v>20000000</v>
          </cell>
          <cell r="R9">
            <v>1850000</v>
          </cell>
          <cell r="S9">
            <v>78000000</v>
          </cell>
          <cell r="T9">
            <v>121500000</v>
          </cell>
        </row>
        <row r="10">
          <cell r="A10" t="str">
            <v>בראשית סוכנות לביטוח</v>
          </cell>
          <cell r="B10" t="str">
            <v>יוסי אביב</v>
          </cell>
          <cell r="C10" t="e">
            <v>#REF!</v>
          </cell>
          <cell r="D10" t="e">
            <v>#REF!</v>
          </cell>
          <cell r="E10" t="e">
            <v>#REF!</v>
          </cell>
          <cell r="F10"/>
          <cell r="G10"/>
          <cell r="H10"/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</row>
        <row r="11">
          <cell r="A11" t="str">
            <v>גל אלמגור דאוד סוכ' לב</v>
          </cell>
          <cell r="B11" t="str">
            <v>יוסי אביב</v>
          </cell>
          <cell r="C11" t="e">
            <v>#REF!</v>
          </cell>
          <cell r="D11" t="e">
            <v>#REF!</v>
          </cell>
          <cell r="E11" t="e">
            <v>#REF!</v>
          </cell>
          <cell r="F11"/>
          <cell r="G11"/>
          <cell r="H11"/>
          <cell r="I11">
            <v>2500000</v>
          </cell>
          <cell r="J11">
            <v>1000000</v>
          </cell>
          <cell r="K11">
            <v>1000000</v>
          </cell>
          <cell r="L11">
            <v>2500000</v>
          </cell>
          <cell r="M11">
            <v>300000</v>
          </cell>
          <cell r="N11">
            <v>95000</v>
          </cell>
          <cell r="O11">
            <v>138000</v>
          </cell>
          <cell r="P11">
            <v>345000</v>
          </cell>
          <cell r="Q11">
            <v>2500000</v>
          </cell>
          <cell r="R11">
            <v>1000000</v>
          </cell>
          <cell r="S11">
            <v>1000000</v>
          </cell>
          <cell r="T11">
            <v>2500000</v>
          </cell>
        </row>
        <row r="12">
          <cell r="A12" t="str">
            <v>גל אלמגור -וייס סוכנות</v>
          </cell>
          <cell r="B12" t="str">
            <v>יוסי אביב</v>
          </cell>
          <cell r="C12" t="e">
            <v>#REF!</v>
          </cell>
          <cell r="D12" t="e">
            <v>#REF!</v>
          </cell>
          <cell r="E12" t="e">
            <v>#REF!</v>
          </cell>
          <cell r="F12"/>
          <cell r="G12"/>
          <cell r="H12"/>
          <cell r="I12">
            <v>500000</v>
          </cell>
          <cell r="J12">
            <v>200000</v>
          </cell>
          <cell r="K12">
            <v>0</v>
          </cell>
          <cell r="L12">
            <v>0</v>
          </cell>
          <cell r="M12">
            <v>60000</v>
          </cell>
          <cell r="N12">
            <v>19000</v>
          </cell>
          <cell r="O12">
            <v>0</v>
          </cell>
          <cell r="P12">
            <v>0</v>
          </cell>
          <cell r="Q12">
            <v>500000</v>
          </cell>
          <cell r="R12">
            <v>200000</v>
          </cell>
          <cell r="S12">
            <v>0</v>
          </cell>
          <cell r="T12">
            <v>0</v>
          </cell>
        </row>
        <row r="13">
          <cell r="A13" t="str">
            <v>משה שטרן גל אלמגור</v>
          </cell>
          <cell r="B13" t="str">
            <v>יוסי אביב</v>
          </cell>
          <cell r="C13" t="e">
            <v>#REF!</v>
          </cell>
          <cell r="D13" t="e">
            <v>#REF!</v>
          </cell>
          <cell r="E13" t="e">
            <v>#REF!</v>
          </cell>
          <cell r="F13"/>
          <cell r="G13"/>
          <cell r="H13"/>
          <cell r="I13">
            <v>0</v>
          </cell>
          <cell r="J13">
            <v>600000</v>
          </cell>
          <cell r="K13">
            <v>0</v>
          </cell>
          <cell r="L13">
            <v>0</v>
          </cell>
          <cell r="M13">
            <v>0</v>
          </cell>
          <cell r="N13">
            <v>57000</v>
          </cell>
          <cell r="O13">
            <v>0</v>
          </cell>
          <cell r="P13">
            <v>0</v>
          </cell>
          <cell r="Q13">
            <v>0</v>
          </cell>
          <cell r="R13">
            <v>600000</v>
          </cell>
          <cell r="S13">
            <v>0</v>
          </cell>
          <cell r="T13">
            <v>0</v>
          </cell>
        </row>
        <row r="14">
          <cell r="A14" t="str">
            <v>מקסימום סוכנות לבטוח פ</v>
          </cell>
          <cell r="B14" t="str">
            <v>יוסי אביב</v>
          </cell>
          <cell r="C14" t="e">
            <v>#REF!</v>
          </cell>
          <cell r="D14" t="e">
            <v>#REF!</v>
          </cell>
          <cell r="E14" t="e">
            <v>#REF!</v>
          </cell>
          <cell r="F14"/>
          <cell r="G14"/>
          <cell r="H14"/>
          <cell r="I14">
            <v>300000</v>
          </cell>
          <cell r="J14">
            <v>150000</v>
          </cell>
          <cell r="K14">
            <v>4000000</v>
          </cell>
          <cell r="L14">
            <v>12000000</v>
          </cell>
          <cell r="M14">
            <v>36000</v>
          </cell>
          <cell r="N14">
            <v>14250</v>
          </cell>
          <cell r="O14">
            <v>552000</v>
          </cell>
          <cell r="P14">
            <v>1656000.0000000002</v>
          </cell>
          <cell r="Q14">
            <v>300000</v>
          </cell>
          <cell r="R14">
            <v>150000</v>
          </cell>
          <cell r="S14">
            <v>4000000</v>
          </cell>
          <cell r="T14">
            <v>12000000</v>
          </cell>
        </row>
        <row r="15">
          <cell r="A15" t="str">
            <v>א.ד. אבידן ביטוחים בע"מ</v>
          </cell>
          <cell r="B15" t="str">
            <v>יוסי אביב</v>
          </cell>
          <cell r="C15" t="e">
            <v>#REF!</v>
          </cell>
          <cell r="D15" t="e">
            <v>#REF!</v>
          </cell>
          <cell r="E15" t="e">
            <v>#REF!</v>
          </cell>
          <cell r="F15"/>
          <cell r="G15"/>
          <cell r="H15"/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</row>
        <row r="16">
          <cell r="A16" t="str">
            <v>גל אלמגור דרום סוכ ל</v>
          </cell>
          <cell r="B16"/>
          <cell r="C16"/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  <cell r="Q16"/>
          <cell r="R16"/>
          <cell r="S16"/>
          <cell r="T16"/>
        </row>
        <row r="17">
          <cell r="A17" t="str">
            <v xml:space="preserve">גל אלמגור -ראם </v>
          </cell>
          <cell r="B17"/>
          <cell r="C17"/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  <cell r="Q17"/>
          <cell r="R17"/>
          <cell r="S17"/>
          <cell r="T17"/>
        </row>
        <row r="18">
          <cell r="A18" t="str">
            <v>סה"כ חברות בנות</v>
          </cell>
          <cell r="B18"/>
          <cell r="C18" t="e">
            <v>#REF!</v>
          </cell>
          <cell r="D18" t="e">
            <v>#REF!</v>
          </cell>
          <cell r="E18" t="e">
            <v>#REF!</v>
          </cell>
          <cell r="F18">
            <v>0</v>
          </cell>
          <cell r="G18">
            <v>0</v>
          </cell>
          <cell r="H18">
            <v>0</v>
          </cell>
          <cell r="I18">
            <v>3300000</v>
          </cell>
          <cell r="J18">
            <v>1950000</v>
          </cell>
          <cell r="K18">
            <v>5000000</v>
          </cell>
          <cell r="L18">
            <v>14500000</v>
          </cell>
          <cell r="M18">
            <v>396000</v>
          </cell>
          <cell r="N18">
            <v>185250</v>
          </cell>
          <cell r="O18">
            <v>690000</v>
          </cell>
          <cell r="P18">
            <v>2001000.0000000002</v>
          </cell>
          <cell r="Q18">
            <v>3300000</v>
          </cell>
          <cell r="R18">
            <v>1950000</v>
          </cell>
          <cell r="S18">
            <v>5000000</v>
          </cell>
          <cell r="T18">
            <v>14500000</v>
          </cell>
        </row>
        <row r="19">
          <cell r="A19" t="str">
            <v>מועלם אלפרד</v>
          </cell>
          <cell r="B19" t="str">
            <v xml:space="preserve">ערן גירוני </v>
          </cell>
          <cell r="C19" t="e">
            <v>#REF!</v>
          </cell>
          <cell r="D19" t="e">
            <v>#REF!</v>
          </cell>
          <cell r="E19" t="e">
            <v>#REF!</v>
          </cell>
          <cell r="F19"/>
          <cell r="G19"/>
          <cell r="H19"/>
          <cell r="I19">
            <v>1600000</v>
          </cell>
          <cell r="J19">
            <v>170000</v>
          </cell>
          <cell r="K19">
            <v>2500000</v>
          </cell>
          <cell r="L19">
            <v>5000000</v>
          </cell>
          <cell r="M19">
            <v>192000</v>
          </cell>
          <cell r="N19">
            <v>16150</v>
          </cell>
          <cell r="O19">
            <v>345000</v>
          </cell>
          <cell r="P19">
            <v>690000</v>
          </cell>
          <cell r="Q19">
            <v>1600000</v>
          </cell>
          <cell r="R19">
            <v>170000</v>
          </cell>
          <cell r="S19">
            <v>2500000</v>
          </cell>
          <cell r="T19">
            <v>5000000</v>
          </cell>
        </row>
        <row r="20">
          <cell r="A20" t="str">
            <v>גרניק בנימין</v>
          </cell>
          <cell r="B20" t="str">
            <v xml:space="preserve">ערן גירוני </v>
          </cell>
          <cell r="C20" t="e">
            <v>#REF!</v>
          </cell>
          <cell r="D20" t="e">
            <v>#REF!</v>
          </cell>
          <cell r="E20" t="e">
            <v>#REF!</v>
          </cell>
          <cell r="F20"/>
          <cell r="G20"/>
          <cell r="H20"/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</row>
        <row r="21">
          <cell r="A21" t="str">
            <v>יונתן מנחם</v>
          </cell>
          <cell r="B21" t="str">
            <v xml:space="preserve">ערן גירוני </v>
          </cell>
          <cell r="C21" t="e">
            <v>#REF!</v>
          </cell>
          <cell r="D21" t="e">
            <v>#REF!</v>
          </cell>
          <cell r="E21" t="e">
            <v>#REF!</v>
          </cell>
          <cell r="F21"/>
          <cell r="G21"/>
          <cell r="H21"/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</row>
        <row r="22">
          <cell r="A22" t="str">
            <v>שלי מזרחי</v>
          </cell>
          <cell r="B22" t="str">
            <v xml:space="preserve">ערן גירוני </v>
          </cell>
          <cell r="C22" t="e">
            <v>#REF!</v>
          </cell>
          <cell r="D22" t="e">
            <v>#REF!</v>
          </cell>
          <cell r="E22" t="e">
            <v>#REF!</v>
          </cell>
          <cell r="F22"/>
          <cell r="G22"/>
          <cell r="H22"/>
          <cell r="I22">
            <v>3000000</v>
          </cell>
          <cell r="J22">
            <v>600000</v>
          </cell>
          <cell r="K22">
            <v>10000000</v>
          </cell>
          <cell r="L22">
            <v>6000000</v>
          </cell>
          <cell r="M22">
            <v>360000</v>
          </cell>
          <cell r="N22">
            <v>57000</v>
          </cell>
          <cell r="O22">
            <v>1380000</v>
          </cell>
          <cell r="P22">
            <v>828000.00000000012</v>
          </cell>
          <cell r="Q22">
            <v>3000000</v>
          </cell>
          <cell r="R22">
            <v>600000</v>
          </cell>
          <cell r="S22">
            <v>10000000</v>
          </cell>
          <cell r="T22">
            <v>6000000</v>
          </cell>
        </row>
        <row r="23">
          <cell r="A23" t="str">
            <v>אורטל / לנג ביג סוכנות לביטוח פנסיוני</v>
          </cell>
          <cell r="B23" t="str">
            <v xml:space="preserve">ערן גירוני </v>
          </cell>
          <cell r="C23" t="e">
            <v>#REF!</v>
          </cell>
          <cell r="D23" t="e">
            <v>#REF!</v>
          </cell>
          <cell r="E23" t="e">
            <v>#REF!</v>
          </cell>
          <cell r="F23"/>
          <cell r="G23"/>
          <cell r="H23"/>
          <cell r="I23">
            <v>3000000</v>
          </cell>
          <cell r="J23">
            <v>250000</v>
          </cell>
          <cell r="K23">
            <v>20000000</v>
          </cell>
          <cell r="L23">
            <v>6000000</v>
          </cell>
          <cell r="M23">
            <v>360000</v>
          </cell>
          <cell r="N23">
            <v>23750</v>
          </cell>
          <cell r="O23">
            <v>2760000</v>
          </cell>
          <cell r="P23">
            <v>828000.00000000012</v>
          </cell>
          <cell r="Q23">
            <v>3000000</v>
          </cell>
          <cell r="R23">
            <v>250000</v>
          </cell>
          <cell r="S23">
            <v>20000000</v>
          </cell>
          <cell r="T23">
            <v>6000000</v>
          </cell>
        </row>
        <row r="24">
          <cell r="A24" t="str">
            <v>נעם הלשטוק</v>
          </cell>
          <cell r="B24" t="str">
            <v xml:space="preserve">ערן גירוני </v>
          </cell>
          <cell r="C24" t="e">
            <v>#REF!</v>
          </cell>
          <cell r="D24" t="e">
            <v>#REF!</v>
          </cell>
          <cell r="E24" t="e">
            <v>#REF!</v>
          </cell>
          <cell r="F24"/>
          <cell r="G24"/>
          <cell r="H24"/>
          <cell r="I24">
            <v>1000000</v>
          </cell>
          <cell r="J24">
            <v>150000</v>
          </cell>
          <cell r="K24">
            <v>8000000</v>
          </cell>
          <cell r="L24">
            <v>6000000</v>
          </cell>
          <cell r="M24">
            <v>120000</v>
          </cell>
          <cell r="N24">
            <v>14250</v>
          </cell>
          <cell r="O24">
            <v>1104000</v>
          </cell>
          <cell r="P24">
            <v>828000.00000000012</v>
          </cell>
          <cell r="Q24">
            <v>1000000</v>
          </cell>
          <cell r="R24">
            <v>150000</v>
          </cell>
          <cell r="S24">
            <v>8000000</v>
          </cell>
          <cell r="T24">
            <v>6000000</v>
          </cell>
        </row>
        <row r="25">
          <cell r="A25" t="str">
            <v>נור אבו ראס</v>
          </cell>
          <cell r="B25" t="str">
            <v xml:space="preserve">ערן גירוני </v>
          </cell>
          <cell r="C25" t="e">
            <v>#REF!</v>
          </cell>
          <cell r="D25" t="e">
            <v>#REF!</v>
          </cell>
          <cell r="E25" t="e">
            <v>#REF!</v>
          </cell>
          <cell r="F25"/>
          <cell r="G25"/>
          <cell r="H25"/>
          <cell r="I25">
            <v>500000</v>
          </cell>
          <cell r="J25">
            <v>150000</v>
          </cell>
          <cell r="K25">
            <v>1000000</v>
          </cell>
          <cell r="L25">
            <v>2000000</v>
          </cell>
          <cell r="M25">
            <v>60000</v>
          </cell>
          <cell r="N25">
            <v>14250</v>
          </cell>
          <cell r="O25">
            <v>138000</v>
          </cell>
          <cell r="P25">
            <v>276000</v>
          </cell>
          <cell r="Q25">
            <v>500000</v>
          </cell>
          <cell r="R25">
            <v>150000</v>
          </cell>
          <cell r="S25">
            <v>1000000</v>
          </cell>
          <cell r="T25">
            <v>2000000</v>
          </cell>
        </row>
        <row r="26">
          <cell r="A26" t="str">
            <v>יהונתן שיוביץ</v>
          </cell>
          <cell r="B26" t="str">
            <v xml:space="preserve">ערן גירוני </v>
          </cell>
          <cell r="C26" t="e">
            <v>#REF!</v>
          </cell>
          <cell r="D26" t="e">
            <v>#REF!</v>
          </cell>
          <cell r="E26" t="e">
            <v>#REF!</v>
          </cell>
          <cell r="F26"/>
          <cell r="G26"/>
          <cell r="H26"/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</row>
        <row r="27">
          <cell r="A27" t="str">
            <v>אחמד עלי אחמד</v>
          </cell>
          <cell r="B27" t="str">
            <v xml:space="preserve">ערן גירוני </v>
          </cell>
          <cell r="C27" t="e">
            <v>#REF!</v>
          </cell>
          <cell r="D27" t="e">
            <v>#REF!</v>
          </cell>
          <cell r="E27" t="e">
            <v>#REF!</v>
          </cell>
          <cell r="F27"/>
          <cell r="G27"/>
          <cell r="H27"/>
          <cell r="I27">
            <v>300000</v>
          </cell>
          <cell r="J27">
            <v>80000</v>
          </cell>
          <cell r="K27">
            <v>300000</v>
          </cell>
          <cell r="L27">
            <v>300000</v>
          </cell>
          <cell r="M27">
            <v>36000</v>
          </cell>
          <cell r="N27">
            <v>7600</v>
          </cell>
          <cell r="O27">
            <v>41400</v>
          </cell>
          <cell r="P27">
            <v>41400</v>
          </cell>
          <cell r="Q27">
            <v>300000</v>
          </cell>
          <cell r="R27">
            <v>80000</v>
          </cell>
          <cell r="S27">
            <v>300000</v>
          </cell>
          <cell r="T27">
            <v>300000</v>
          </cell>
        </row>
        <row r="28">
          <cell r="A28" t="str">
            <v>סיון פיינרו</v>
          </cell>
          <cell r="B28" t="str">
            <v xml:space="preserve">ערן גירוני </v>
          </cell>
          <cell r="C28" t="e">
            <v>#REF!</v>
          </cell>
          <cell r="D28" t="e">
            <v>#REF!</v>
          </cell>
          <cell r="E28" t="e">
            <v>#REF!</v>
          </cell>
          <cell r="F28"/>
          <cell r="G28"/>
          <cell r="H28"/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</row>
        <row r="29">
          <cell r="A29" t="str">
            <v>לילי שרון</v>
          </cell>
          <cell r="B29" t="str">
            <v xml:space="preserve">ערן גירוני </v>
          </cell>
          <cell r="C29" t="e">
            <v>#REF!</v>
          </cell>
          <cell r="D29" t="e">
            <v>#REF!</v>
          </cell>
          <cell r="E29" t="e">
            <v>#REF!</v>
          </cell>
          <cell r="F29"/>
          <cell r="G29"/>
          <cell r="H29"/>
          <cell r="I29">
            <v>50000</v>
          </cell>
          <cell r="J29">
            <v>50000</v>
          </cell>
          <cell r="K29">
            <v>300000</v>
          </cell>
          <cell r="L29">
            <v>200000</v>
          </cell>
          <cell r="M29">
            <v>6000</v>
          </cell>
          <cell r="N29">
            <v>4750</v>
          </cell>
          <cell r="O29">
            <v>41400</v>
          </cell>
          <cell r="P29">
            <v>27600.000000000004</v>
          </cell>
          <cell r="Q29">
            <v>50000</v>
          </cell>
          <cell r="R29">
            <v>50000</v>
          </cell>
          <cell r="S29">
            <v>300000</v>
          </cell>
          <cell r="T29">
            <v>200000</v>
          </cell>
        </row>
        <row r="30">
          <cell r="A30" t="str">
            <v>סאוסן שלבי</v>
          </cell>
          <cell r="B30" t="str">
            <v xml:space="preserve">ערן גירוני </v>
          </cell>
          <cell r="C30" t="e">
            <v>#REF!</v>
          </cell>
          <cell r="D30" t="e">
            <v>#REF!</v>
          </cell>
          <cell r="E30" t="e">
            <v>#REF!</v>
          </cell>
          <cell r="F30"/>
          <cell r="G30"/>
          <cell r="H30"/>
          <cell r="I30">
            <v>100000</v>
          </cell>
          <cell r="J30">
            <v>50000</v>
          </cell>
          <cell r="K30">
            <v>300000</v>
          </cell>
          <cell r="L30">
            <v>100000</v>
          </cell>
          <cell r="M30">
            <v>12000</v>
          </cell>
          <cell r="N30">
            <v>4750</v>
          </cell>
          <cell r="O30">
            <v>41400</v>
          </cell>
          <cell r="P30">
            <v>13800.000000000002</v>
          </cell>
          <cell r="Q30">
            <v>100000</v>
          </cell>
          <cell r="R30">
            <v>50000</v>
          </cell>
          <cell r="S30">
            <v>300000</v>
          </cell>
          <cell r="T30">
            <v>100000</v>
          </cell>
        </row>
        <row r="31">
          <cell r="A31" t="str">
            <v>סברא סמיר</v>
          </cell>
          <cell r="B31" t="str">
            <v xml:space="preserve">ערן גירוני </v>
          </cell>
          <cell r="C31" t="e">
            <v>#REF!</v>
          </cell>
          <cell r="D31" t="e">
            <v>#REF!</v>
          </cell>
          <cell r="E31" t="e">
            <v>#REF!</v>
          </cell>
          <cell r="F31"/>
          <cell r="G31"/>
          <cell r="H31"/>
          <cell r="I31">
            <v>2500000</v>
          </cell>
          <cell r="J31">
            <v>300000</v>
          </cell>
          <cell r="K31">
            <v>3000000</v>
          </cell>
          <cell r="L31">
            <v>4000000</v>
          </cell>
          <cell r="M31">
            <v>300000</v>
          </cell>
          <cell r="N31">
            <v>28500</v>
          </cell>
          <cell r="O31">
            <v>414000.00000000006</v>
          </cell>
          <cell r="P31">
            <v>552000</v>
          </cell>
          <cell r="Q31">
            <v>2500000</v>
          </cell>
          <cell r="R31">
            <v>300000</v>
          </cell>
          <cell r="S31">
            <v>3000000</v>
          </cell>
          <cell r="T31">
            <v>4000000</v>
          </cell>
        </row>
        <row r="32">
          <cell r="A32" t="str">
            <v>ריזק חלבי</v>
          </cell>
          <cell r="B32" t="str">
            <v xml:space="preserve">ערן גירוני </v>
          </cell>
          <cell r="C32" t="e">
            <v>#REF!</v>
          </cell>
          <cell r="D32" t="e">
            <v>#REF!</v>
          </cell>
          <cell r="E32" t="e">
            <v>#REF!</v>
          </cell>
          <cell r="F32"/>
          <cell r="G32"/>
          <cell r="H32"/>
          <cell r="I32">
            <v>300000</v>
          </cell>
          <cell r="J32">
            <v>200000</v>
          </cell>
          <cell r="K32">
            <v>100000</v>
          </cell>
          <cell r="L32">
            <v>200000</v>
          </cell>
          <cell r="M32">
            <v>36000</v>
          </cell>
          <cell r="N32">
            <v>19000</v>
          </cell>
          <cell r="O32">
            <v>13800.000000000002</v>
          </cell>
          <cell r="P32">
            <v>27600.000000000004</v>
          </cell>
          <cell r="Q32">
            <v>300000</v>
          </cell>
          <cell r="R32">
            <v>200000</v>
          </cell>
          <cell r="S32">
            <v>100000</v>
          </cell>
          <cell r="T32">
            <v>200000</v>
          </cell>
        </row>
        <row r="33">
          <cell r="A33" t="str">
            <v>שלבי מיסון</v>
          </cell>
          <cell r="B33" t="str">
            <v xml:space="preserve">ערן גירוני </v>
          </cell>
          <cell r="C33" t="e">
            <v>#REF!</v>
          </cell>
          <cell r="D33" t="e">
            <v>#REF!</v>
          </cell>
          <cell r="E33" t="e">
            <v>#REF!</v>
          </cell>
          <cell r="F33"/>
          <cell r="G33"/>
          <cell r="H33"/>
          <cell r="I33">
            <v>300000</v>
          </cell>
          <cell r="J33">
            <v>150000</v>
          </cell>
          <cell r="K33">
            <v>1500000</v>
          </cell>
          <cell r="L33">
            <v>300000</v>
          </cell>
          <cell r="M33">
            <v>36000</v>
          </cell>
          <cell r="N33">
            <v>14250</v>
          </cell>
          <cell r="O33">
            <v>207000.00000000003</v>
          </cell>
          <cell r="P33">
            <v>41400</v>
          </cell>
          <cell r="Q33">
            <v>300000</v>
          </cell>
          <cell r="R33">
            <v>150000</v>
          </cell>
          <cell r="S33">
            <v>1500000</v>
          </cell>
          <cell r="T33">
            <v>300000</v>
          </cell>
        </row>
        <row r="34">
          <cell r="A34" t="str">
            <v>בחוס יוסף</v>
          </cell>
          <cell r="B34" t="str">
            <v xml:space="preserve">ערן גירוני </v>
          </cell>
          <cell r="C34" t="e">
            <v>#REF!</v>
          </cell>
          <cell r="D34" t="e">
            <v>#REF!</v>
          </cell>
          <cell r="E34" t="e">
            <v>#REF!</v>
          </cell>
          <cell r="F34"/>
          <cell r="G34"/>
          <cell r="H34"/>
          <cell r="I34">
            <v>1750000</v>
          </cell>
          <cell r="J34">
            <v>150000</v>
          </cell>
          <cell r="K34">
            <v>3000000</v>
          </cell>
          <cell r="L34">
            <v>5000000</v>
          </cell>
          <cell r="M34">
            <v>210000</v>
          </cell>
          <cell r="N34">
            <v>14250</v>
          </cell>
          <cell r="O34">
            <v>414000.00000000006</v>
          </cell>
          <cell r="P34">
            <v>690000</v>
          </cell>
          <cell r="Q34">
            <v>1750000</v>
          </cell>
          <cell r="R34">
            <v>150000</v>
          </cell>
          <cell r="S34">
            <v>3000000</v>
          </cell>
          <cell r="T34">
            <v>5000000</v>
          </cell>
        </row>
        <row r="35">
          <cell r="A35" t="str">
            <v>קליין סיון</v>
          </cell>
          <cell r="B35" t="str">
            <v xml:space="preserve">ערן גירוני </v>
          </cell>
          <cell r="C35" t="e">
            <v>#REF!</v>
          </cell>
          <cell r="D35" t="e">
            <v>#REF!</v>
          </cell>
          <cell r="E35" t="e">
            <v>#REF!</v>
          </cell>
          <cell r="F35"/>
          <cell r="G35"/>
          <cell r="H35"/>
          <cell r="I35">
            <v>1000000</v>
          </cell>
          <cell r="J35">
            <v>200000</v>
          </cell>
          <cell r="K35">
            <v>4000000</v>
          </cell>
          <cell r="L35">
            <v>2500000</v>
          </cell>
          <cell r="M35">
            <v>120000</v>
          </cell>
          <cell r="N35">
            <v>19000</v>
          </cell>
          <cell r="O35">
            <v>552000</v>
          </cell>
          <cell r="P35">
            <v>345000</v>
          </cell>
          <cell r="Q35">
            <v>1000000</v>
          </cell>
          <cell r="R35">
            <v>200000</v>
          </cell>
          <cell r="S35">
            <v>4000000</v>
          </cell>
          <cell r="T35">
            <v>2500000</v>
          </cell>
        </row>
        <row r="36">
          <cell r="A36" t="str">
            <v>צקותאי אורי</v>
          </cell>
          <cell r="B36" t="str">
            <v xml:space="preserve">ערן גירוני </v>
          </cell>
          <cell r="C36" t="e">
            <v>#REF!</v>
          </cell>
          <cell r="D36" t="e">
            <v>#REF!</v>
          </cell>
          <cell r="E36" t="e">
            <v>#REF!</v>
          </cell>
          <cell r="F36"/>
          <cell r="G36"/>
          <cell r="H36"/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</row>
        <row r="37">
          <cell r="A37" t="str">
            <v>סמיר בלאן</v>
          </cell>
          <cell r="B37" t="str">
            <v xml:space="preserve">ערן גירוני </v>
          </cell>
          <cell r="C37" t="e">
            <v>#REF!</v>
          </cell>
          <cell r="D37" t="e">
            <v>#REF!</v>
          </cell>
          <cell r="E37" t="e">
            <v>#REF!</v>
          </cell>
          <cell r="F37"/>
          <cell r="G37"/>
          <cell r="H37"/>
          <cell r="I37"/>
          <cell r="J37"/>
          <cell r="K37"/>
          <cell r="L37"/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</row>
        <row r="38">
          <cell r="A38" t="str">
            <v>אלקרינאוי ראוף</v>
          </cell>
          <cell r="B38" t="str">
            <v xml:space="preserve">ערן גירוני </v>
          </cell>
          <cell r="C38" t="e">
            <v>#REF!</v>
          </cell>
          <cell r="D38" t="e">
            <v>#REF!</v>
          </cell>
          <cell r="E38" t="e">
            <v>#REF!</v>
          </cell>
          <cell r="F38"/>
          <cell r="G38"/>
          <cell r="H38"/>
          <cell r="I38"/>
          <cell r="J38"/>
          <cell r="K38"/>
          <cell r="L38"/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</row>
        <row r="39">
          <cell r="A39" t="str">
            <v>דאי גדי</v>
          </cell>
          <cell r="B39" t="str">
            <v xml:space="preserve">ערן גירוני </v>
          </cell>
          <cell r="C39" t="e">
            <v>#REF!</v>
          </cell>
          <cell r="D39" t="e">
            <v>#REF!</v>
          </cell>
          <cell r="E39" t="e">
            <v>#REF!</v>
          </cell>
          <cell r="F39"/>
          <cell r="G39"/>
          <cell r="H39"/>
          <cell r="I39">
            <v>2500000</v>
          </cell>
          <cell r="J39">
            <v>450000</v>
          </cell>
          <cell r="K39">
            <v>6000000</v>
          </cell>
          <cell r="L39">
            <v>4000000</v>
          </cell>
          <cell r="M39">
            <v>300000</v>
          </cell>
          <cell r="N39">
            <v>42750</v>
          </cell>
          <cell r="O39">
            <v>828000.00000000012</v>
          </cell>
          <cell r="P39">
            <v>552000</v>
          </cell>
          <cell r="Q39">
            <v>2500000</v>
          </cell>
          <cell r="R39">
            <v>450000</v>
          </cell>
          <cell r="S39">
            <v>6000000</v>
          </cell>
          <cell r="T39">
            <v>4000000</v>
          </cell>
        </row>
        <row r="40">
          <cell r="A40" t="str">
            <v>מילאד אבו שקארה</v>
          </cell>
          <cell r="B40" t="str">
            <v xml:space="preserve">ערן גירוני </v>
          </cell>
          <cell r="C40" t="e">
            <v>#REF!</v>
          </cell>
          <cell r="D40" t="e">
            <v>#REF!</v>
          </cell>
          <cell r="E40" t="e">
            <v>#REF!</v>
          </cell>
          <cell r="F40"/>
          <cell r="G40"/>
          <cell r="H40"/>
          <cell r="I40"/>
          <cell r="J40"/>
          <cell r="K40"/>
          <cell r="L40"/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</row>
        <row r="41">
          <cell r="A41" t="str">
            <v>דראושה אדהם</v>
          </cell>
          <cell r="B41" t="str">
            <v xml:space="preserve">ערן גירוני </v>
          </cell>
          <cell r="C41" t="e">
            <v>#REF!</v>
          </cell>
          <cell r="D41" t="e">
            <v>#REF!</v>
          </cell>
          <cell r="E41" t="e">
            <v>#REF!</v>
          </cell>
          <cell r="F41"/>
          <cell r="G41"/>
          <cell r="H41"/>
          <cell r="I41"/>
          <cell r="J41"/>
          <cell r="K41"/>
          <cell r="L41"/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</row>
        <row r="42">
          <cell r="A42" t="str">
            <v>בדארנה עומר</v>
          </cell>
          <cell r="B42" t="str">
            <v xml:space="preserve">ערן גירוני </v>
          </cell>
          <cell r="C42" t="e">
            <v>#REF!</v>
          </cell>
          <cell r="D42" t="e">
            <v>#REF!</v>
          </cell>
          <cell r="E42" t="e">
            <v>#REF!</v>
          </cell>
          <cell r="F42"/>
          <cell r="G42"/>
          <cell r="H42"/>
          <cell r="I42"/>
          <cell r="J42"/>
          <cell r="K42"/>
          <cell r="L42"/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</row>
        <row r="43">
          <cell r="A43" t="str">
            <v>לוי חיים</v>
          </cell>
          <cell r="B43" t="str">
            <v xml:space="preserve">ערן גירוני </v>
          </cell>
          <cell r="C43" t="e">
            <v>#REF!</v>
          </cell>
          <cell r="D43" t="e">
            <v>#REF!</v>
          </cell>
          <cell r="E43" t="e">
            <v>#REF!</v>
          </cell>
          <cell r="F43"/>
          <cell r="G43"/>
          <cell r="H43"/>
          <cell r="I43"/>
          <cell r="J43">
            <v>10000</v>
          </cell>
          <cell r="K43"/>
          <cell r="L43"/>
          <cell r="M43">
            <v>0</v>
          </cell>
          <cell r="N43">
            <v>950</v>
          </cell>
          <cell r="O43">
            <v>0</v>
          </cell>
          <cell r="P43">
            <v>0</v>
          </cell>
          <cell r="Q43">
            <v>0</v>
          </cell>
          <cell r="R43">
            <v>10000</v>
          </cell>
          <cell r="S43">
            <v>0</v>
          </cell>
          <cell r="T43">
            <v>0</v>
          </cell>
        </row>
        <row r="44">
          <cell r="A44" t="str">
            <v>עבוד כיתי</v>
          </cell>
          <cell r="B44" t="str">
            <v xml:space="preserve">ערן גירוני </v>
          </cell>
          <cell r="C44" t="e">
            <v>#REF!</v>
          </cell>
          <cell r="D44" t="e">
            <v>#REF!</v>
          </cell>
          <cell r="E44" t="e">
            <v>#REF!</v>
          </cell>
          <cell r="F44"/>
          <cell r="G44"/>
          <cell r="H44"/>
          <cell r="I44">
            <v>50000</v>
          </cell>
          <cell r="J44">
            <v>50000</v>
          </cell>
          <cell r="K44">
            <v>500000</v>
          </cell>
          <cell r="L44">
            <v>200000</v>
          </cell>
          <cell r="M44">
            <v>6000</v>
          </cell>
          <cell r="N44">
            <v>4750</v>
          </cell>
          <cell r="O44">
            <v>69000</v>
          </cell>
          <cell r="P44">
            <v>27600.000000000004</v>
          </cell>
          <cell r="Q44">
            <v>50000</v>
          </cell>
          <cell r="R44">
            <v>50000</v>
          </cell>
          <cell r="S44">
            <v>500000</v>
          </cell>
          <cell r="T44">
            <v>200000</v>
          </cell>
        </row>
        <row r="45">
          <cell r="A45" t="str">
            <v>יעקב ישראל שטרן</v>
          </cell>
          <cell r="B45" t="str">
            <v xml:space="preserve">ערן גירוני </v>
          </cell>
          <cell r="C45" t="e">
            <v>#REF!</v>
          </cell>
          <cell r="D45" t="e">
            <v>#REF!</v>
          </cell>
          <cell r="E45" t="e">
            <v>#REF!</v>
          </cell>
          <cell r="F45"/>
          <cell r="G45"/>
          <cell r="H45"/>
          <cell r="I45">
            <v>100000</v>
          </cell>
          <cell r="J45">
            <v>50000</v>
          </cell>
          <cell r="K45">
            <v>2000000</v>
          </cell>
          <cell r="L45">
            <v>500000</v>
          </cell>
          <cell r="M45">
            <v>12000</v>
          </cell>
          <cell r="N45">
            <v>4750</v>
          </cell>
          <cell r="O45">
            <v>276000</v>
          </cell>
          <cell r="P45">
            <v>69000</v>
          </cell>
          <cell r="Q45">
            <v>100000</v>
          </cell>
          <cell r="R45">
            <v>50000</v>
          </cell>
          <cell r="S45">
            <v>2000000</v>
          </cell>
          <cell r="T45">
            <v>500000</v>
          </cell>
          <cell r="W45"/>
        </row>
        <row r="46">
          <cell r="A46" t="str">
            <v>שני לוי</v>
          </cell>
          <cell r="B46" t="str">
            <v xml:space="preserve">ערן גירוני </v>
          </cell>
          <cell r="C46"/>
          <cell r="D46"/>
          <cell r="E46"/>
          <cell r="F46"/>
          <cell r="G46"/>
          <cell r="H46"/>
          <cell r="I46">
            <v>200000</v>
          </cell>
          <cell r="J46">
            <v>100000</v>
          </cell>
          <cell r="K46">
            <v>500000</v>
          </cell>
          <cell r="L46">
            <v>600000</v>
          </cell>
          <cell r="M46"/>
          <cell r="N46"/>
          <cell r="O46"/>
          <cell r="P46"/>
          <cell r="Q46">
            <v>200000</v>
          </cell>
          <cell r="R46">
            <v>100000</v>
          </cell>
          <cell r="S46">
            <v>500000</v>
          </cell>
          <cell r="T46">
            <v>600000</v>
          </cell>
          <cell r="W46"/>
        </row>
        <row r="47">
          <cell r="A47" t="str">
            <v>דורי דאי כדורי</v>
          </cell>
          <cell r="B47"/>
          <cell r="C47"/>
          <cell r="D47"/>
          <cell r="E47"/>
          <cell r="F47"/>
          <cell r="G47"/>
          <cell r="H47"/>
          <cell r="I47"/>
          <cell r="J47"/>
          <cell r="K47"/>
          <cell r="L47"/>
          <cell r="M47"/>
          <cell r="N47"/>
          <cell r="O47"/>
          <cell r="P47"/>
          <cell r="Q47"/>
          <cell r="R47"/>
          <cell r="S47"/>
          <cell r="T47"/>
          <cell r="W47"/>
        </row>
        <row r="48">
          <cell r="A48" t="str">
            <v>אבו חיט ניזאם</v>
          </cell>
          <cell r="B48" t="str">
            <v>איתי אדן</v>
          </cell>
          <cell r="C48"/>
          <cell r="D48"/>
          <cell r="E48"/>
          <cell r="F48"/>
          <cell r="G48"/>
          <cell r="H48"/>
          <cell r="I48">
            <v>400000</v>
          </cell>
          <cell r="J48">
            <v>100000</v>
          </cell>
          <cell r="K48">
            <v>1000000</v>
          </cell>
          <cell r="L48">
            <v>1000000</v>
          </cell>
          <cell r="M48"/>
          <cell r="N48"/>
          <cell r="O48"/>
          <cell r="P48"/>
          <cell r="Q48"/>
          <cell r="R48"/>
          <cell r="S48"/>
          <cell r="T48"/>
          <cell r="W48"/>
        </row>
        <row r="49">
          <cell r="A49" t="str">
            <v>מטאנס זוהיר</v>
          </cell>
          <cell r="B49"/>
          <cell r="C49"/>
          <cell r="D49"/>
          <cell r="E49"/>
          <cell r="F49"/>
          <cell r="G49"/>
          <cell r="H49"/>
          <cell r="I49"/>
          <cell r="J49"/>
          <cell r="K49"/>
          <cell r="L49"/>
          <cell r="M49"/>
          <cell r="N49"/>
          <cell r="O49"/>
          <cell r="P49"/>
          <cell r="Q49"/>
          <cell r="R49"/>
          <cell r="S49"/>
          <cell r="T49"/>
          <cell r="W49"/>
        </row>
        <row r="50">
          <cell r="A50" t="str">
            <v>מכלול סוכנות לביטוח</v>
          </cell>
          <cell r="B50"/>
          <cell r="C50"/>
          <cell r="D50"/>
          <cell r="E50"/>
          <cell r="F50"/>
          <cell r="G50"/>
          <cell r="H50"/>
          <cell r="I50"/>
          <cell r="J50"/>
          <cell r="K50"/>
          <cell r="L50"/>
          <cell r="M50"/>
          <cell r="N50"/>
          <cell r="O50"/>
          <cell r="P50"/>
          <cell r="Q50"/>
          <cell r="R50"/>
          <cell r="S50"/>
          <cell r="T50"/>
          <cell r="W50"/>
        </row>
        <row r="51">
          <cell r="A51" t="str">
            <v>דורון ענק הביטוח</v>
          </cell>
          <cell r="B51"/>
          <cell r="C51"/>
          <cell r="D51"/>
          <cell r="E51"/>
          <cell r="F51"/>
          <cell r="G51"/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/>
          <cell r="S51"/>
          <cell r="T51"/>
          <cell r="W51"/>
        </row>
        <row r="52">
          <cell r="A52" t="str">
            <v>חנה כצנלסון</v>
          </cell>
          <cell r="B52"/>
          <cell r="C52"/>
          <cell r="D52"/>
          <cell r="E52"/>
          <cell r="F52"/>
          <cell r="G52"/>
          <cell r="H52"/>
          <cell r="I52"/>
          <cell r="J52"/>
          <cell r="K52"/>
          <cell r="L52"/>
          <cell r="M52"/>
          <cell r="N52"/>
          <cell r="O52"/>
          <cell r="P52"/>
          <cell r="Q52"/>
          <cell r="R52"/>
          <cell r="S52"/>
          <cell r="T52"/>
          <cell r="W52"/>
        </row>
        <row r="53">
          <cell r="A53" t="str">
            <v>מיכאל וקסלר</v>
          </cell>
          <cell r="B53"/>
          <cell r="C53"/>
          <cell r="D53"/>
          <cell r="E53"/>
          <cell r="F53"/>
          <cell r="G53"/>
          <cell r="H53"/>
          <cell r="I53"/>
          <cell r="J53"/>
          <cell r="K53"/>
          <cell r="L53"/>
          <cell r="M53"/>
          <cell r="N53"/>
          <cell r="O53"/>
          <cell r="P53"/>
          <cell r="Q53"/>
          <cell r="R53"/>
          <cell r="S53"/>
          <cell r="T53"/>
          <cell r="W53"/>
        </row>
        <row r="54">
          <cell r="A54" t="str">
            <v>בדר צבי</v>
          </cell>
          <cell r="B54"/>
          <cell r="C54"/>
          <cell r="D54"/>
          <cell r="E54"/>
          <cell r="F54"/>
          <cell r="G54"/>
          <cell r="H54"/>
          <cell r="I54"/>
          <cell r="J54"/>
          <cell r="K54"/>
          <cell r="L54"/>
          <cell r="M54"/>
          <cell r="N54"/>
          <cell r="O54"/>
          <cell r="P54"/>
          <cell r="Q54"/>
          <cell r="R54"/>
          <cell r="S54"/>
          <cell r="T54"/>
          <cell r="W54"/>
        </row>
        <row r="55">
          <cell r="A55" t="str">
            <v>קבוצת סוכנים ערן גירוני</v>
          </cell>
          <cell r="B55"/>
          <cell r="C55"/>
          <cell r="D55"/>
          <cell r="E55"/>
          <cell r="F55"/>
          <cell r="G55"/>
          <cell r="H55"/>
          <cell r="I55">
            <v>18250000</v>
          </cell>
          <cell r="J55">
            <v>3160000</v>
          </cell>
          <cell r="K55">
            <v>63000000</v>
          </cell>
          <cell r="L55">
            <v>42900000</v>
          </cell>
          <cell r="M55">
            <v>2166000</v>
          </cell>
          <cell r="N55">
            <v>290700</v>
          </cell>
          <cell r="O55">
            <v>8625000</v>
          </cell>
          <cell r="P55">
            <v>5837400</v>
          </cell>
          <cell r="Q55">
            <v>18250000</v>
          </cell>
          <cell r="R55">
            <v>3160000</v>
          </cell>
          <cell r="S55">
            <v>63000000</v>
          </cell>
          <cell r="T55">
            <v>42900000</v>
          </cell>
        </row>
        <row r="56">
          <cell r="A56" t="str">
            <v>אריאל בר-חיים</v>
          </cell>
          <cell r="B56" t="str">
            <v>יוסי אביב</v>
          </cell>
          <cell r="C56" t="e">
            <v>#REF!</v>
          </cell>
          <cell r="D56" t="e">
            <v>#REF!</v>
          </cell>
          <cell r="E56" t="e">
            <v>#REF!</v>
          </cell>
          <cell r="F56"/>
          <cell r="G56"/>
          <cell r="H56"/>
          <cell r="I56">
            <v>1000000</v>
          </cell>
          <cell r="J56">
            <v>150000</v>
          </cell>
          <cell r="K56">
            <v>10000000</v>
          </cell>
          <cell r="L56">
            <v>5000000</v>
          </cell>
          <cell r="M56">
            <v>120000</v>
          </cell>
          <cell r="N56">
            <v>14250</v>
          </cell>
          <cell r="O56">
            <v>1380000</v>
          </cell>
          <cell r="P56">
            <v>690000</v>
          </cell>
          <cell r="Q56">
            <v>1000000</v>
          </cell>
          <cell r="R56">
            <v>150000</v>
          </cell>
          <cell r="S56">
            <v>10000000</v>
          </cell>
          <cell r="T56">
            <v>5000000</v>
          </cell>
        </row>
        <row r="57">
          <cell r="A57" t="str">
            <v>אלרם סוכנות לביטוח</v>
          </cell>
          <cell r="B57" t="str">
            <v>יוסי אביב</v>
          </cell>
          <cell r="C57" t="e">
            <v>#REF!</v>
          </cell>
          <cell r="D57" t="e">
            <v>#REF!</v>
          </cell>
          <cell r="E57" t="e">
            <v>#REF!</v>
          </cell>
          <cell r="F57"/>
          <cell r="G57"/>
          <cell r="H57"/>
          <cell r="I57">
            <v>1500000</v>
          </cell>
          <cell r="J57">
            <v>600000</v>
          </cell>
          <cell r="K57">
            <v>12000000</v>
          </cell>
          <cell r="L57">
            <v>6000000</v>
          </cell>
          <cell r="M57">
            <v>180000</v>
          </cell>
          <cell r="N57">
            <v>57000</v>
          </cell>
          <cell r="O57">
            <v>1656000.0000000002</v>
          </cell>
          <cell r="P57">
            <v>828000.00000000012</v>
          </cell>
          <cell r="Q57">
            <v>1500000</v>
          </cell>
          <cell r="R57">
            <v>600000</v>
          </cell>
          <cell r="S57">
            <v>12000000</v>
          </cell>
          <cell r="T57">
            <v>6000000</v>
          </cell>
        </row>
        <row r="58">
          <cell r="A58" t="str">
            <v>רכס אורן</v>
          </cell>
          <cell r="B58" t="str">
            <v>יוסי אביב</v>
          </cell>
          <cell r="C58" t="e">
            <v>#REF!</v>
          </cell>
          <cell r="D58" t="e">
            <v>#REF!</v>
          </cell>
          <cell r="E58" t="e">
            <v>#REF!</v>
          </cell>
          <cell r="F58"/>
          <cell r="G58"/>
          <cell r="H58"/>
          <cell r="I58">
            <v>3000000</v>
          </cell>
          <cell r="J58">
            <v>350000</v>
          </cell>
          <cell r="K58">
            <v>35000000</v>
          </cell>
          <cell r="L58">
            <v>10000000</v>
          </cell>
          <cell r="M58">
            <v>360000</v>
          </cell>
          <cell r="N58">
            <v>33250</v>
          </cell>
          <cell r="O58">
            <v>4830000</v>
          </cell>
          <cell r="P58">
            <v>1380000</v>
          </cell>
          <cell r="Q58">
            <v>3000000</v>
          </cell>
          <cell r="R58">
            <v>350000</v>
          </cell>
          <cell r="S58">
            <v>35000000</v>
          </cell>
          <cell r="T58">
            <v>10000000</v>
          </cell>
        </row>
        <row r="59">
          <cell r="A59" t="str">
            <v>גולדר אבי</v>
          </cell>
          <cell r="B59" t="str">
            <v>יוסי אביב</v>
          </cell>
          <cell r="C59" t="e">
            <v>#REF!</v>
          </cell>
          <cell r="D59" t="e">
            <v>#REF!</v>
          </cell>
          <cell r="E59" t="e">
            <v>#REF!</v>
          </cell>
          <cell r="F59"/>
          <cell r="G59"/>
          <cell r="H59"/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</row>
        <row r="60">
          <cell r="A60" t="str">
            <v>סה"כ פרימיום</v>
          </cell>
          <cell r="B60"/>
          <cell r="C60" t="e">
            <v>#REF!</v>
          </cell>
          <cell r="D60" t="e">
            <v>#REF!</v>
          </cell>
          <cell r="E60" t="e">
            <v>#REF!</v>
          </cell>
          <cell r="F60">
            <v>0</v>
          </cell>
          <cell r="G60">
            <v>0</v>
          </cell>
          <cell r="H60">
            <v>0</v>
          </cell>
          <cell r="I60">
            <v>5500000</v>
          </cell>
          <cell r="J60">
            <v>1100000</v>
          </cell>
          <cell r="K60">
            <v>57000000</v>
          </cell>
          <cell r="L60">
            <v>21000000</v>
          </cell>
          <cell r="M60">
            <v>660000</v>
          </cell>
          <cell r="N60">
            <v>104500</v>
          </cell>
          <cell r="O60">
            <v>7866000</v>
          </cell>
          <cell r="P60">
            <v>2898000</v>
          </cell>
          <cell r="Q60">
            <v>5500000</v>
          </cell>
          <cell r="R60">
            <v>1100000</v>
          </cell>
          <cell r="S60">
            <v>57000000</v>
          </cell>
          <cell r="T60">
            <v>21000000</v>
          </cell>
        </row>
        <row r="61">
          <cell r="A61" t="str">
            <v>שירלי בוכריס</v>
          </cell>
          <cell r="B61" t="str">
            <v>איתי אדן</v>
          </cell>
          <cell r="C61" t="e">
            <v>#REF!</v>
          </cell>
          <cell r="D61" t="e">
            <v>#REF!</v>
          </cell>
          <cell r="E61" t="e">
            <v>#REF!</v>
          </cell>
          <cell r="F61"/>
          <cell r="G61"/>
          <cell r="H61"/>
          <cell r="I61">
            <v>1000000</v>
          </cell>
          <cell r="J61">
            <v>100000</v>
          </cell>
          <cell r="K61">
            <v>2500000</v>
          </cell>
          <cell r="L61">
            <v>1500000</v>
          </cell>
          <cell r="M61">
            <v>120000</v>
          </cell>
          <cell r="N61">
            <v>9500</v>
          </cell>
          <cell r="O61">
            <v>345000</v>
          </cell>
          <cell r="P61">
            <v>207000.00000000003</v>
          </cell>
          <cell r="Q61">
            <v>10000000</v>
          </cell>
          <cell r="R61">
            <v>100000</v>
          </cell>
          <cell r="S61">
            <v>2500000</v>
          </cell>
          <cell r="T61">
            <v>1500000</v>
          </cell>
        </row>
        <row r="62">
          <cell r="A62" t="str">
            <v>אילנית כהן</v>
          </cell>
          <cell r="B62" t="str">
            <v>איתי אדן</v>
          </cell>
          <cell r="C62"/>
          <cell r="D62"/>
          <cell r="E62"/>
          <cell r="F62"/>
          <cell r="G62"/>
          <cell r="H62"/>
          <cell r="I62">
            <v>100000</v>
          </cell>
          <cell r="J62">
            <v>100000</v>
          </cell>
          <cell r="K62">
            <v>2000000</v>
          </cell>
          <cell r="L62">
            <v>1500000</v>
          </cell>
          <cell r="M62"/>
          <cell r="N62"/>
          <cell r="O62"/>
          <cell r="P62"/>
          <cell r="Q62">
            <v>18500000</v>
          </cell>
          <cell r="R62">
            <v>100000</v>
          </cell>
          <cell r="S62">
            <v>2000000</v>
          </cell>
          <cell r="T62">
            <v>1500000</v>
          </cell>
        </row>
        <row r="63">
          <cell r="A63" t="str">
            <v>מחמוד פארס</v>
          </cell>
          <cell r="B63" t="str">
            <v>איתי אדן</v>
          </cell>
          <cell r="C63" t="e">
            <v>#REF!</v>
          </cell>
          <cell r="D63" t="e">
            <v>#REF!</v>
          </cell>
          <cell r="E63" t="e">
            <v>#REF!</v>
          </cell>
          <cell r="F63"/>
          <cell r="G63"/>
          <cell r="H63"/>
          <cell r="I63"/>
          <cell r="J63">
            <v>100000</v>
          </cell>
          <cell r="K63"/>
          <cell r="L63"/>
          <cell r="M63">
            <v>0</v>
          </cell>
          <cell r="N63">
            <v>9500</v>
          </cell>
          <cell r="O63">
            <v>0</v>
          </cell>
          <cell r="P63">
            <v>0</v>
          </cell>
          <cell r="Q63">
            <v>34000000</v>
          </cell>
          <cell r="R63">
            <v>100000</v>
          </cell>
          <cell r="S63">
            <v>0</v>
          </cell>
          <cell r="T63">
            <v>0</v>
          </cell>
        </row>
        <row r="64">
          <cell r="A64" t="str">
            <v>חאטר וסים</v>
          </cell>
          <cell r="B64" t="str">
            <v>איתי אדן</v>
          </cell>
          <cell r="C64"/>
          <cell r="D64"/>
          <cell r="E64"/>
          <cell r="F64"/>
          <cell r="G64"/>
          <cell r="H64"/>
          <cell r="I64"/>
          <cell r="J64"/>
          <cell r="K64"/>
          <cell r="L64"/>
          <cell r="M64"/>
          <cell r="N64"/>
          <cell r="O64"/>
          <cell r="P64"/>
          <cell r="Q64">
            <v>68000000</v>
          </cell>
          <cell r="R64">
            <v>0</v>
          </cell>
          <cell r="S64">
            <v>0</v>
          </cell>
          <cell r="T64">
            <v>0</v>
          </cell>
        </row>
        <row r="65">
          <cell r="A65" t="str">
            <v>סטולרז אסף</v>
          </cell>
          <cell r="B65" t="str">
            <v>איתי אדן</v>
          </cell>
          <cell r="C65" t="e">
            <v>#REF!</v>
          </cell>
          <cell r="D65" t="e">
            <v>#REF!</v>
          </cell>
          <cell r="E65" t="e">
            <v>#REF!</v>
          </cell>
          <cell r="F65"/>
          <cell r="G65"/>
          <cell r="H65"/>
          <cell r="I65">
            <v>500000</v>
          </cell>
          <cell r="J65">
            <v>80000</v>
          </cell>
          <cell r="K65">
            <v>7000000</v>
          </cell>
          <cell r="L65">
            <v>1000000</v>
          </cell>
          <cell r="M65">
            <v>60000</v>
          </cell>
          <cell r="N65">
            <v>7600</v>
          </cell>
          <cell r="O65">
            <v>966000.00000000012</v>
          </cell>
          <cell r="P65">
            <v>138000</v>
          </cell>
          <cell r="Q65">
            <v>130500000</v>
          </cell>
          <cell r="R65">
            <v>80000</v>
          </cell>
          <cell r="S65">
            <v>7000000</v>
          </cell>
          <cell r="T65">
            <v>1000000</v>
          </cell>
        </row>
        <row r="66">
          <cell r="A66" t="str">
            <v>עאטף עדווי</v>
          </cell>
          <cell r="B66" t="str">
            <v>איתי אדן</v>
          </cell>
          <cell r="C66" t="e">
            <v>#REF!</v>
          </cell>
          <cell r="D66" t="e">
            <v>#REF!</v>
          </cell>
          <cell r="E66" t="e">
            <v>#REF!</v>
          </cell>
          <cell r="F66"/>
          <cell r="G66"/>
          <cell r="H66"/>
          <cell r="I66"/>
          <cell r="J66">
            <v>40000</v>
          </cell>
          <cell r="K66"/>
          <cell r="L66"/>
          <cell r="M66">
            <v>0</v>
          </cell>
          <cell r="N66">
            <v>3800</v>
          </cell>
          <cell r="O66">
            <v>0</v>
          </cell>
          <cell r="P66">
            <v>0</v>
          </cell>
          <cell r="Q66">
            <v>251000000</v>
          </cell>
          <cell r="R66">
            <v>40000</v>
          </cell>
          <cell r="S66">
            <v>0</v>
          </cell>
          <cell r="T66">
            <v>0</v>
          </cell>
        </row>
        <row r="67">
          <cell r="A67" t="str">
            <v>גול זאב</v>
          </cell>
          <cell r="B67" t="str">
            <v>איתי אדן</v>
          </cell>
          <cell r="C67" t="e">
            <v>#REF!</v>
          </cell>
          <cell r="D67" t="e">
            <v>#REF!</v>
          </cell>
          <cell r="E67" t="e">
            <v>#REF!</v>
          </cell>
          <cell r="F67"/>
          <cell r="G67"/>
          <cell r="H67"/>
          <cell r="I67">
            <v>4000000</v>
          </cell>
          <cell r="J67">
            <v>350000</v>
          </cell>
          <cell r="K67">
            <v>4000000</v>
          </cell>
          <cell r="L67">
            <v>4000000</v>
          </cell>
          <cell r="M67">
            <v>480000</v>
          </cell>
          <cell r="N67">
            <v>33250</v>
          </cell>
          <cell r="O67">
            <v>552000</v>
          </cell>
          <cell r="P67">
            <v>552000</v>
          </cell>
          <cell r="Q67">
            <v>483500000</v>
          </cell>
          <cell r="R67">
            <v>350000</v>
          </cell>
          <cell r="S67">
            <v>4000000</v>
          </cell>
          <cell r="T67">
            <v>4000000</v>
          </cell>
        </row>
        <row r="68">
          <cell r="A68" t="str">
            <v>רן בסין</v>
          </cell>
          <cell r="B68" t="str">
            <v>איתי אדן</v>
          </cell>
          <cell r="C68" t="e">
            <v>#REF!</v>
          </cell>
          <cell r="D68" t="e">
            <v>#REF!</v>
          </cell>
          <cell r="E68" t="e">
            <v>#REF!</v>
          </cell>
          <cell r="F68"/>
          <cell r="G68"/>
          <cell r="H68"/>
          <cell r="I68"/>
          <cell r="J68"/>
          <cell r="K68"/>
          <cell r="L68"/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933000000</v>
          </cell>
          <cell r="R68">
            <v>0</v>
          </cell>
          <cell r="S68">
            <v>0</v>
          </cell>
          <cell r="T68">
            <v>0</v>
          </cell>
        </row>
        <row r="69">
          <cell r="A69" t="str">
            <v>אביב מור יוסף</v>
          </cell>
          <cell r="B69" t="str">
            <v>איתי אדן</v>
          </cell>
          <cell r="C69" t="e">
            <v>#REF!</v>
          </cell>
          <cell r="D69" t="e">
            <v>#REF!</v>
          </cell>
          <cell r="E69" t="e">
            <v>#REF!</v>
          </cell>
          <cell r="F69"/>
          <cell r="G69"/>
          <cell r="H69"/>
          <cell r="I69">
            <v>1000000</v>
          </cell>
          <cell r="J69">
            <v>200000</v>
          </cell>
          <cell r="K69">
            <v>2500000</v>
          </cell>
          <cell r="L69">
            <v>10000000</v>
          </cell>
          <cell r="M69">
            <v>120000</v>
          </cell>
          <cell r="N69">
            <v>19000</v>
          </cell>
          <cell r="O69">
            <v>345000</v>
          </cell>
          <cell r="P69">
            <v>1380000</v>
          </cell>
          <cell r="Q69">
            <v>1798000000</v>
          </cell>
          <cell r="R69">
            <v>200000</v>
          </cell>
          <cell r="S69">
            <v>2500000</v>
          </cell>
          <cell r="T69">
            <v>10000000</v>
          </cell>
        </row>
        <row r="70">
          <cell r="A70" t="str">
            <v>גל אלמגור קפיטל</v>
          </cell>
          <cell r="B70" t="str">
            <v>איתי אדן</v>
          </cell>
          <cell r="C70"/>
          <cell r="D70"/>
          <cell r="E70"/>
          <cell r="F70"/>
          <cell r="G70"/>
          <cell r="H70"/>
          <cell r="I70">
            <v>1000000</v>
          </cell>
          <cell r="J70">
            <v>150000</v>
          </cell>
          <cell r="K70">
            <v>5000000</v>
          </cell>
          <cell r="L70">
            <v>2000000</v>
          </cell>
          <cell r="M70">
            <v>120000</v>
          </cell>
          <cell r="N70">
            <v>14250</v>
          </cell>
          <cell r="O70">
            <v>690000</v>
          </cell>
          <cell r="P70">
            <v>276000</v>
          </cell>
          <cell r="Q70"/>
          <cell r="R70">
            <v>150000</v>
          </cell>
          <cell r="S70">
            <v>5000000</v>
          </cell>
          <cell r="T70">
            <v>2000000</v>
          </cell>
        </row>
        <row r="71">
          <cell r="A71" t="str">
            <v>סה"כ גל אלמגור מרכז קפיטל</v>
          </cell>
          <cell r="B71" t="str">
            <v>איתי אדן</v>
          </cell>
          <cell r="C71"/>
          <cell r="D71"/>
          <cell r="E71"/>
          <cell r="F71"/>
          <cell r="G71"/>
          <cell r="H71"/>
          <cell r="I71">
            <v>7600000</v>
          </cell>
          <cell r="J71">
            <v>1120000</v>
          </cell>
          <cell r="K71">
            <v>23000000</v>
          </cell>
          <cell r="L71">
            <v>20000000</v>
          </cell>
          <cell r="M71">
            <v>780000</v>
          </cell>
          <cell r="N71">
            <v>82650</v>
          </cell>
          <cell r="O71">
            <v>2208000</v>
          </cell>
          <cell r="P71">
            <v>2277000</v>
          </cell>
          <cell r="Q71"/>
          <cell r="R71"/>
          <cell r="S71"/>
          <cell r="T71"/>
        </row>
        <row r="72">
          <cell r="A72" t="str">
            <v>סה"כ כולל</v>
          </cell>
          <cell r="B72"/>
          <cell r="C72" t="e">
            <v>#REF!</v>
          </cell>
          <cell r="D72" t="e">
            <v>#REF!</v>
          </cell>
          <cell r="E72" t="e">
            <v>#REF!</v>
          </cell>
          <cell r="F72" t="e">
            <v>#REF!</v>
          </cell>
          <cell r="G72" t="e">
            <v>#REF!</v>
          </cell>
          <cell r="H72" t="e">
            <v>#REF!</v>
          </cell>
          <cell r="I72">
            <v>54650000</v>
          </cell>
          <cell r="J72">
            <v>9180000</v>
          </cell>
          <cell r="K72">
            <v>226000000</v>
          </cell>
          <cell r="L72">
            <v>219900000</v>
          </cell>
          <cell r="M72">
            <v>6402000</v>
          </cell>
          <cell r="N72">
            <v>838850</v>
          </cell>
          <cell r="O72">
            <v>30153000</v>
          </cell>
          <cell r="P72">
            <v>29780400</v>
          </cell>
          <cell r="Q72">
            <v>47050000</v>
          </cell>
          <cell r="R72">
            <v>8060000</v>
          </cell>
          <cell r="S72">
            <v>203000000</v>
          </cell>
          <cell r="T72">
            <v>199900000</v>
          </cell>
        </row>
        <row r="73">
          <cell r="R73"/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גיליון1"/>
      <sheetName val="גיליון2"/>
    </sheetNames>
    <sheetDataSet>
      <sheetData sheetId="0">
        <row r="1">
          <cell r="A1"/>
          <cell r="B1"/>
          <cell r="C1" t="str">
            <v>שינוי מול אשתקד %</v>
          </cell>
          <cell r="D1"/>
          <cell r="E1"/>
          <cell r="F1" t="str">
            <v>תפוקה מצטברת 12/2024</v>
          </cell>
          <cell r="G1"/>
          <cell r="H1"/>
          <cell r="I1" t="str">
            <v>יעד 2024</v>
          </cell>
          <cell r="M1" t="str">
            <v>התפלגות חודשית</v>
          </cell>
          <cell r="N1"/>
          <cell r="O1"/>
          <cell r="P1"/>
          <cell r="Q1" t="str">
            <v>התפלגות שנתית (מצטבר)</v>
          </cell>
          <cell r="R1"/>
          <cell r="S1"/>
          <cell r="T1"/>
        </row>
        <row r="2">
          <cell r="A2"/>
          <cell r="B2"/>
          <cell r="C2"/>
          <cell r="D2"/>
          <cell r="E2"/>
          <cell r="F2"/>
          <cell r="G2"/>
          <cell r="H2"/>
          <cell r="I2"/>
          <cell r="M2" t="str">
            <v>פנסיוני</v>
          </cell>
          <cell r="N2" t="str">
            <v>סיכונים</v>
          </cell>
          <cell r="O2" t="str">
            <v>פיננסים</v>
          </cell>
          <cell r="P2" t="str">
            <v>ניוד פנסיה</v>
          </cell>
          <cell r="Q2" t="str">
            <v>פנסיוני</v>
          </cell>
          <cell r="R2" t="str">
            <v>סיכונים</v>
          </cell>
          <cell r="S2" t="str">
            <v>פיננסים</v>
          </cell>
          <cell r="T2" t="str">
            <v>ניוד פנסיה</v>
          </cell>
        </row>
        <row r="3">
          <cell r="A3" t="str">
            <v>שם סוכן</v>
          </cell>
          <cell r="B3" t="str">
            <v xml:space="preserve">מפקח </v>
          </cell>
          <cell r="C3" t="str">
            <v>פנסיוני</v>
          </cell>
          <cell r="D3" t="str">
            <v>סיכונים</v>
          </cell>
          <cell r="E3" t="str">
            <v xml:space="preserve">פיננסים </v>
          </cell>
          <cell r="F3" t="str">
            <v>פנסיוני</v>
          </cell>
          <cell r="G3" t="str">
            <v xml:space="preserve">סיכונים </v>
          </cell>
          <cell r="H3" t="str">
            <v>פיננסים</v>
          </cell>
          <cell r="I3" t="str">
            <v>פנסיוני</v>
          </cell>
          <cell r="J3" t="str">
            <v>סיכונים</v>
          </cell>
          <cell r="K3" t="str">
            <v>פיננסים</v>
          </cell>
          <cell r="L3" t="str">
            <v>ניוד פנסיה</v>
          </cell>
          <cell r="M3">
            <v>0.12</v>
          </cell>
          <cell r="N3">
            <v>9.5000000000000001E-2</v>
          </cell>
          <cell r="O3">
            <v>0.13800000000000001</v>
          </cell>
          <cell r="P3">
            <v>0.13800000000000001</v>
          </cell>
          <cell r="Q3">
            <v>1</v>
          </cell>
          <cell r="R3">
            <v>1</v>
          </cell>
          <cell r="S3">
            <v>1</v>
          </cell>
          <cell r="T3">
            <v>1</v>
          </cell>
        </row>
        <row r="4">
          <cell r="A4" t="str">
            <v>גל אלמגור סוכ</v>
          </cell>
          <cell r="B4" t="str">
            <v>לא מפוקחים</v>
          </cell>
          <cell r="C4" t="e">
            <v>#REF!</v>
          </cell>
          <cell r="D4" t="e">
            <v>#REF!</v>
          </cell>
          <cell r="E4" t="e">
            <v>#REF!</v>
          </cell>
          <cell r="F4">
            <v>3977155.6665585595</v>
          </cell>
          <cell r="G4">
            <v>1802368.0374497559</v>
          </cell>
          <cell r="H4">
            <v>18248874.458978634</v>
          </cell>
          <cell r="I4">
            <v>25000000</v>
          </cell>
          <cell r="J4">
            <v>1500000</v>
          </cell>
          <cell r="K4">
            <v>50000000</v>
          </cell>
          <cell r="L4">
            <v>50000000</v>
          </cell>
          <cell r="M4">
            <v>3000000</v>
          </cell>
          <cell r="N4">
            <v>142500</v>
          </cell>
          <cell r="O4">
            <v>6900000.0000000009</v>
          </cell>
          <cell r="P4">
            <v>6900000.0000000009</v>
          </cell>
          <cell r="Q4">
            <v>25000000</v>
          </cell>
          <cell r="R4">
            <v>1500000</v>
          </cell>
          <cell r="S4">
            <v>50000000</v>
          </cell>
          <cell r="T4">
            <v>50000000</v>
          </cell>
        </row>
        <row r="5">
          <cell r="A5" t="str">
            <v>דניאלה אביב</v>
          </cell>
          <cell r="B5" t="str">
            <v>לא מפוקחים</v>
          </cell>
          <cell r="C5" t="e">
            <v>#REF!</v>
          </cell>
          <cell r="D5" t="e">
            <v>#REF!</v>
          </cell>
          <cell r="E5" t="e">
            <v>#REF!</v>
          </cell>
          <cell r="F5">
            <v>999649.92497237399</v>
          </cell>
          <cell r="G5">
            <v>13595.314131000236</v>
          </cell>
          <cell r="H5">
            <v>11092477</v>
          </cell>
          <cell r="I5"/>
          <cell r="J5"/>
          <cell r="K5"/>
          <cell r="L5"/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</row>
        <row r="6">
          <cell r="A6" t="str">
            <v>סה"כ ישיר</v>
          </cell>
          <cell r="B6"/>
          <cell r="C6" t="e">
            <v>#REF!</v>
          </cell>
          <cell r="D6" t="e">
            <v>#REF!</v>
          </cell>
          <cell r="E6" t="e">
            <v>#REF!</v>
          </cell>
          <cell r="F6">
            <v>4976805.591530934</v>
          </cell>
          <cell r="G6">
            <v>1815963.3515807563</v>
          </cell>
          <cell r="H6">
            <v>29341351.458978634</v>
          </cell>
          <cell r="I6">
            <v>25000000</v>
          </cell>
          <cell r="J6">
            <v>1500000</v>
          </cell>
          <cell r="K6">
            <v>50000000</v>
          </cell>
          <cell r="L6">
            <v>50000000</v>
          </cell>
          <cell r="M6">
            <v>3000000</v>
          </cell>
          <cell r="N6">
            <v>142500</v>
          </cell>
          <cell r="O6">
            <v>6900000.0000000009</v>
          </cell>
          <cell r="P6">
            <v>6900000.0000000009</v>
          </cell>
          <cell r="Q6">
            <v>25000000</v>
          </cell>
          <cell r="R6">
            <v>1500000</v>
          </cell>
          <cell r="S6">
            <v>50000000</v>
          </cell>
          <cell r="T6">
            <v>50000000</v>
          </cell>
        </row>
        <row r="7">
          <cell r="A7" t="str">
            <v>בראשית סוכנות לביטוח</v>
          </cell>
          <cell r="B7" t="str">
            <v>לא מפוקחים</v>
          </cell>
          <cell r="C7" t="e">
            <v>#REF!</v>
          </cell>
          <cell r="D7" t="e">
            <v>#REF!</v>
          </cell>
          <cell r="E7" t="e">
            <v>#REF!</v>
          </cell>
          <cell r="F7">
            <v>-10401.864805670701</v>
          </cell>
          <cell r="G7">
            <v>83.18</v>
          </cell>
          <cell r="H7">
            <v>0</v>
          </cell>
          <cell r="I7"/>
          <cell r="J7"/>
          <cell r="K7"/>
          <cell r="L7"/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</row>
        <row r="8">
          <cell r="A8" t="str">
            <v>גל אלמגור דאוד סוכ' לב</v>
          </cell>
          <cell r="B8" t="str">
            <v>לא מפוקחים</v>
          </cell>
          <cell r="C8" t="e">
            <v>#REF!</v>
          </cell>
          <cell r="D8" t="e">
            <v>#REF!</v>
          </cell>
          <cell r="E8" t="e">
            <v>#REF!</v>
          </cell>
          <cell r="F8">
            <v>872724.25167165673</v>
          </cell>
          <cell r="G8">
            <v>609949.56194031402</v>
          </cell>
          <cell r="H8">
            <v>217018.71662516659</v>
          </cell>
          <cell r="I8">
            <v>2500000</v>
          </cell>
          <cell r="J8">
            <v>1000000</v>
          </cell>
          <cell r="K8">
            <v>1000000</v>
          </cell>
          <cell r="L8">
            <v>2500000</v>
          </cell>
          <cell r="M8">
            <v>300000</v>
          </cell>
          <cell r="N8">
            <v>95000</v>
          </cell>
          <cell r="O8">
            <v>138000</v>
          </cell>
          <cell r="P8">
            <v>345000</v>
          </cell>
          <cell r="Q8">
            <v>2500000</v>
          </cell>
          <cell r="R8">
            <v>1000000</v>
          </cell>
          <cell r="S8">
            <v>1000000</v>
          </cell>
          <cell r="T8">
            <v>2500000</v>
          </cell>
        </row>
        <row r="9">
          <cell r="A9" t="str">
            <v>גל אלמגור -וייס סוכנות</v>
          </cell>
          <cell r="B9" t="str">
            <v>לא מפוקחים</v>
          </cell>
          <cell r="C9" t="e">
            <v>#REF!</v>
          </cell>
          <cell r="D9" t="e">
            <v>#REF!</v>
          </cell>
          <cell r="E9" t="e">
            <v>#REF!</v>
          </cell>
          <cell r="F9">
            <v>438788.20876511617</v>
          </cell>
          <cell r="G9">
            <v>186706.12077622363</v>
          </cell>
          <cell r="H9">
            <v>132191.3381338772</v>
          </cell>
          <cell r="I9">
            <v>200000</v>
          </cell>
          <cell r="J9">
            <v>100000</v>
          </cell>
          <cell r="K9">
            <v>1000000</v>
          </cell>
          <cell r="L9">
            <v>500000</v>
          </cell>
          <cell r="M9">
            <v>24000</v>
          </cell>
          <cell r="N9">
            <v>9500</v>
          </cell>
          <cell r="O9">
            <v>138000</v>
          </cell>
          <cell r="P9">
            <v>69000</v>
          </cell>
          <cell r="Q9">
            <v>200000</v>
          </cell>
          <cell r="R9">
            <v>100000</v>
          </cell>
          <cell r="S9">
            <v>1000000</v>
          </cell>
          <cell r="T9">
            <v>500000</v>
          </cell>
        </row>
        <row r="10">
          <cell r="A10" t="str">
            <v>משה שטרן גל אלמגור</v>
          </cell>
          <cell r="B10" t="str">
            <v>לא מפוקחים</v>
          </cell>
          <cell r="C10" t="e">
            <v>#REF!</v>
          </cell>
          <cell r="D10" t="e">
            <v>#REF!</v>
          </cell>
          <cell r="E10" t="e">
            <v>#REF!</v>
          </cell>
          <cell r="F10">
            <v>78836</v>
          </cell>
          <cell r="G10">
            <v>948536.15296836849</v>
          </cell>
          <cell r="H10">
            <v>0</v>
          </cell>
          <cell r="I10"/>
          <cell r="J10">
            <v>450000</v>
          </cell>
          <cell r="K10"/>
          <cell r="L10"/>
          <cell r="M10">
            <v>0</v>
          </cell>
          <cell r="N10">
            <v>42750</v>
          </cell>
          <cell r="O10">
            <v>0</v>
          </cell>
          <cell r="P10">
            <v>0</v>
          </cell>
          <cell r="Q10">
            <v>0</v>
          </cell>
          <cell r="R10">
            <v>450000</v>
          </cell>
          <cell r="S10">
            <v>0</v>
          </cell>
          <cell r="T10">
            <v>0</v>
          </cell>
        </row>
        <row r="11">
          <cell r="A11" t="str">
            <v>מקסימום סוכנות לבטוח פ</v>
          </cell>
          <cell r="B11" t="str">
            <v>לא מפוקחים</v>
          </cell>
          <cell r="C11" t="e">
            <v>#REF!</v>
          </cell>
          <cell r="D11" t="e">
            <v>#REF!</v>
          </cell>
          <cell r="E11" t="e">
            <v>#REF!</v>
          </cell>
          <cell r="F11">
            <v>215471.9863028992</v>
          </cell>
          <cell r="G11">
            <v>200394.19662631411</v>
          </cell>
          <cell r="H11">
            <v>14173984.921839958</v>
          </cell>
          <cell r="I11">
            <v>1000000</v>
          </cell>
          <cell r="J11">
            <v>150000</v>
          </cell>
          <cell r="K11">
            <v>10000000</v>
          </cell>
          <cell r="L11">
            <v>5000000</v>
          </cell>
          <cell r="M11">
            <v>120000</v>
          </cell>
          <cell r="N11">
            <v>14250</v>
          </cell>
          <cell r="O11">
            <v>1380000</v>
          </cell>
          <cell r="P11">
            <v>690000</v>
          </cell>
          <cell r="Q11">
            <v>1000000</v>
          </cell>
          <cell r="R11">
            <v>150000</v>
          </cell>
          <cell r="S11">
            <v>10000000</v>
          </cell>
          <cell r="T11">
            <v>5000000</v>
          </cell>
        </row>
        <row r="12">
          <cell r="A12" t="str">
            <v>סה"כ חברות בנות</v>
          </cell>
          <cell r="B12"/>
          <cell r="C12" t="e">
            <v>#REF!</v>
          </cell>
          <cell r="D12" t="e">
            <v>#REF!</v>
          </cell>
          <cell r="E12" t="e">
            <v>#REF!</v>
          </cell>
          <cell r="F12">
            <v>1595418.5819340013</v>
          </cell>
          <cell r="G12">
            <v>1945669.2123112204</v>
          </cell>
          <cell r="H12">
            <v>14523194.976599002</v>
          </cell>
          <cell r="I12">
            <v>3700000</v>
          </cell>
          <cell r="J12">
            <v>1700000</v>
          </cell>
          <cell r="K12">
            <v>12000000</v>
          </cell>
          <cell r="L12">
            <v>8000000</v>
          </cell>
          <cell r="M12">
            <v>444000</v>
          </cell>
          <cell r="N12">
            <v>161500</v>
          </cell>
          <cell r="O12">
            <v>1656000</v>
          </cell>
          <cell r="P12">
            <v>1104000</v>
          </cell>
          <cell r="Q12">
            <v>3700000</v>
          </cell>
          <cell r="R12">
            <v>1700000</v>
          </cell>
          <cell r="S12">
            <v>12000000</v>
          </cell>
          <cell r="T12">
            <v>8000000</v>
          </cell>
        </row>
        <row r="13">
          <cell r="A13" t="str">
            <v>מועלם אלפרד</v>
          </cell>
          <cell r="B13" t="str">
            <v xml:space="preserve">ערן גירוני </v>
          </cell>
          <cell r="C13" t="e">
            <v>#REF!</v>
          </cell>
          <cell r="D13" t="e">
            <v>#REF!</v>
          </cell>
          <cell r="E13" t="e">
            <v>#REF!</v>
          </cell>
          <cell r="F13">
            <v>861306.71000910201</v>
          </cell>
          <cell r="G13">
            <v>241687.09218499999</v>
          </cell>
          <cell r="H13">
            <v>1255116.4742650001</v>
          </cell>
          <cell r="I13">
            <v>1300000</v>
          </cell>
          <cell r="J13">
            <v>200000</v>
          </cell>
          <cell r="K13">
            <v>2000000</v>
          </cell>
          <cell r="L13">
            <v>3000000</v>
          </cell>
          <cell r="M13">
            <v>156000</v>
          </cell>
          <cell r="N13">
            <v>19000</v>
          </cell>
          <cell r="O13">
            <v>276000</v>
          </cell>
          <cell r="P13">
            <v>414000.00000000006</v>
          </cell>
          <cell r="Q13">
            <v>1300000</v>
          </cell>
          <cell r="R13">
            <v>200000</v>
          </cell>
          <cell r="S13">
            <v>2000000</v>
          </cell>
          <cell r="T13">
            <v>3000000</v>
          </cell>
        </row>
        <row r="14">
          <cell r="A14" t="str">
            <v>גרניק בנימין</v>
          </cell>
          <cell r="B14" t="str">
            <v xml:space="preserve">ערן גירוני </v>
          </cell>
          <cell r="C14" t="e">
            <v>#REF!</v>
          </cell>
          <cell r="D14" t="e">
            <v>#REF!</v>
          </cell>
          <cell r="E14" t="e">
            <v>#REF!</v>
          </cell>
          <cell r="F14">
            <v>252081.77037636924</v>
          </cell>
          <cell r="G14">
            <v>17922.466850653334</v>
          </cell>
          <cell r="H14">
            <v>401471.00403000001</v>
          </cell>
          <cell r="I14"/>
          <cell r="J14">
            <v>20000</v>
          </cell>
          <cell r="K14">
            <v>300000</v>
          </cell>
          <cell r="L14"/>
          <cell r="M14">
            <v>0</v>
          </cell>
          <cell r="N14">
            <v>1900</v>
          </cell>
          <cell r="O14">
            <v>41400</v>
          </cell>
          <cell r="P14">
            <v>0</v>
          </cell>
          <cell r="Q14">
            <v>0</v>
          </cell>
          <cell r="R14">
            <v>20000</v>
          </cell>
          <cell r="S14">
            <v>300000</v>
          </cell>
          <cell r="T14">
            <v>0</v>
          </cell>
        </row>
        <row r="15">
          <cell r="A15" t="str">
            <v>סאוסן שלבי</v>
          </cell>
          <cell r="B15" t="str">
            <v xml:space="preserve">ערן גירוני </v>
          </cell>
          <cell r="C15" t="e">
            <v>#REF!</v>
          </cell>
          <cell r="D15" t="e">
            <v>#REF!</v>
          </cell>
          <cell r="E15" t="e">
            <v>#REF!</v>
          </cell>
          <cell r="F15">
            <v>86121.135677052007</v>
          </cell>
          <cell r="G15">
            <v>85182.178870377233</v>
          </cell>
          <cell r="H15">
            <v>28734.404676438517</v>
          </cell>
          <cell r="I15">
            <v>200000</v>
          </cell>
          <cell r="J15">
            <v>70000</v>
          </cell>
          <cell r="K15">
            <v>200000</v>
          </cell>
          <cell r="L15">
            <v>300000</v>
          </cell>
          <cell r="M15">
            <v>24000</v>
          </cell>
          <cell r="N15">
            <v>6650</v>
          </cell>
          <cell r="O15">
            <v>27600.000000000004</v>
          </cell>
          <cell r="P15">
            <v>41400</v>
          </cell>
          <cell r="Q15">
            <v>200000</v>
          </cell>
          <cell r="R15">
            <v>70000</v>
          </cell>
          <cell r="S15">
            <v>200000</v>
          </cell>
          <cell r="T15">
            <v>300000</v>
          </cell>
        </row>
        <row r="16">
          <cell r="A16" t="str">
            <v>סברא סמיר</v>
          </cell>
          <cell r="B16" t="str">
            <v xml:space="preserve">ערן גירוני </v>
          </cell>
          <cell r="C16" t="e">
            <v>#REF!</v>
          </cell>
          <cell r="D16" t="e">
            <v>#REF!</v>
          </cell>
          <cell r="E16" t="e">
            <v>#REF!</v>
          </cell>
          <cell r="F16">
            <v>1671127.6488919049</v>
          </cell>
          <cell r="G16">
            <v>337134.85362821491</v>
          </cell>
          <cell r="H16">
            <v>2917106</v>
          </cell>
          <cell r="I16">
            <v>3000000</v>
          </cell>
          <cell r="J16">
            <v>400000</v>
          </cell>
          <cell r="K16">
            <v>4000000</v>
          </cell>
          <cell r="L16">
            <v>3000000</v>
          </cell>
          <cell r="M16">
            <v>360000</v>
          </cell>
          <cell r="N16">
            <v>38000</v>
          </cell>
          <cell r="O16">
            <v>552000</v>
          </cell>
          <cell r="P16">
            <v>414000.00000000006</v>
          </cell>
          <cell r="Q16">
            <v>3000000</v>
          </cell>
          <cell r="R16">
            <v>400000</v>
          </cell>
          <cell r="S16">
            <v>4000000</v>
          </cell>
          <cell r="T16">
            <v>3000000</v>
          </cell>
        </row>
        <row r="17">
          <cell r="A17" t="str">
            <v>מחמוד פארס</v>
          </cell>
          <cell r="B17" t="str">
            <v xml:space="preserve">ערן גירוני </v>
          </cell>
          <cell r="C17" t="e">
            <v>#REF!</v>
          </cell>
          <cell r="D17" t="e">
            <v>#REF!</v>
          </cell>
          <cell r="E17" t="e">
            <v>#REF!</v>
          </cell>
          <cell r="F17">
            <v>8069.664636496801</v>
          </cell>
          <cell r="G17">
            <v>0</v>
          </cell>
          <cell r="H17">
            <v>0</v>
          </cell>
          <cell r="I17"/>
          <cell r="J17"/>
          <cell r="K17"/>
          <cell r="L17"/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</row>
        <row r="18">
          <cell r="A18" t="str">
            <v>ריזק חלבי</v>
          </cell>
          <cell r="B18" t="str">
            <v xml:space="preserve">ערן גירוני </v>
          </cell>
          <cell r="C18" t="e">
            <v>#REF!</v>
          </cell>
          <cell r="D18" t="e">
            <v>#REF!</v>
          </cell>
          <cell r="E18" t="e">
            <v>#REF!</v>
          </cell>
          <cell r="F18">
            <v>707752.87396321993</v>
          </cell>
          <cell r="G18">
            <v>474000.36316176539</v>
          </cell>
          <cell r="H18">
            <v>19123.056339999999</v>
          </cell>
          <cell r="I18">
            <v>600000</v>
          </cell>
          <cell r="J18">
            <v>700000</v>
          </cell>
          <cell r="K18">
            <v>1000000</v>
          </cell>
          <cell r="L18">
            <v>1000000</v>
          </cell>
          <cell r="M18">
            <v>72000</v>
          </cell>
          <cell r="N18">
            <v>66500</v>
          </cell>
          <cell r="O18">
            <v>138000</v>
          </cell>
          <cell r="P18">
            <v>138000</v>
          </cell>
          <cell r="Q18">
            <v>600000</v>
          </cell>
          <cell r="R18">
            <v>700000</v>
          </cell>
          <cell r="S18">
            <v>1000000</v>
          </cell>
          <cell r="T18">
            <v>1000000</v>
          </cell>
        </row>
        <row r="19">
          <cell r="A19" t="str">
            <v>שלבי מיסון</v>
          </cell>
          <cell r="B19" t="str">
            <v xml:space="preserve">ערן גירוני </v>
          </cell>
          <cell r="C19" t="e">
            <v>#REF!</v>
          </cell>
          <cell r="D19" t="e">
            <v>#REF!</v>
          </cell>
          <cell r="E19" t="e">
            <v>#REF!</v>
          </cell>
          <cell r="F19">
            <v>297683</v>
          </cell>
          <cell r="G19">
            <v>110965</v>
          </cell>
          <cell r="H19">
            <v>480165</v>
          </cell>
          <cell r="I19">
            <v>400000</v>
          </cell>
          <cell r="J19">
            <v>100000</v>
          </cell>
          <cell r="K19">
            <v>1000000</v>
          </cell>
          <cell r="L19">
            <v>500000</v>
          </cell>
          <cell r="M19">
            <v>48000</v>
          </cell>
          <cell r="N19">
            <v>9500</v>
          </cell>
          <cell r="O19">
            <v>138000</v>
          </cell>
          <cell r="P19">
            <v>69000</v>
          </cell>
          <cell r="Q19">
            <v>400000</v>
          </cell>
          <cell r="R19">
            <v>100000</v>
          </cell>
          <cell r="S19">
            <v>1000000</v>
          </cell>
          <cell r="T19">
            <v>500000</v>
          </cell>
        </row>
        <row r="20">
          <cell r="A20" t="str">
            <v>בחוס יוסף</v>
          </cell>
          <cell r="B20" t="str">
            <v xml:space="preserve">ערן גירוני </v>
          </cell>
          <cell r="C20" t="e">
            <v>#REF!</v>
          </cell>
          <cell r="D20" t="e">
            <v>#REF!</v>
          </cell>
          <cell r="E20" t="e">
            <v>#REF!</v>
          </cell>
          <cell r="F20">
            <v>1432323.2177314938</v>
          </cell>
          <cell r="G20">
            <v>231680.30438288359</v>
          </cell>
          <cell r="H20">
            <v>1342796</v>
          </cell>
          <cell r="I20">
            <v>1500000</v>
          </cell>
          <cell r="J20">
            <v>200000</v>
          </cell>
          <cell r="K20">
            <v>2000000</v>
          </cell>
          <cell r="L20">
            <v>700000</v>
          </cell>
          <cell r="M20">
            <v>180000</v>
          </cell>
          <cell r="N20">
            <v>19000</v>
          </cell>
          <cell r="O20">
            <v>276000</v>
          </cell>
          <cell r="P20">
            <v>96600.000000000015</v>
          </cell>
          <cell r="Q20">
            <v>1500000</v>
          </cell>
          <cell r="R20">
            <v>200000</v>
          </cell>
          <cell r="S20">
            <v>2000000</v>
          </cell>
          <cell r="T20">
            <v>700000</v>
          </cell>
        </row>
        <row r="21">
          <cell r="A21" t="str">
            <v>קליין סיון</v>
          </cell>
          <cell r="B21" t="str">
            <v xml:space="preserve">ערן גירוני </v>
          </cell>
          <cell r="C21" t="e">
            <v>#REF!</v>
          </cell>
          <cell r="D21" t="e">
            <v>#REF!</v>
          </cell>
          <cell r="E21" t="e">
            <v>#REF!</v>
          </cell>
          <cell r="F21">
            <v>1041286.0939165966</v>
          </cell>
          <cell r="G21">
            <v>156892.02884676223</v>
          </cell>
          <cell r="H21">
            <v>6283724.373435</v>
          </cell>
          <cell r="I21">
            <v>1000000</v>
          </cell>
          <cell r="J21">
            <v>200000</v>
          </cell>
          <cell r="K21">
            <v>4000000</v>
          </cell>
          <cell r="L21">
            <v>2500000</v>
          </cell>
          <cell r="M21">
            <v>120000</v>
          </cell>
          <cell r="N21">
            <v>19000</v>
          </cell>
          <cell r="O21">
            <v>552000</v>
          </cell>
          <cell r="P21">
            <v>345000</v>
          </cell>
          <cell r="Q21">
            <v>1000000</v>
          </cell>
          <cell r="R21">
            <v>200000</v>
          </cell>
          <cell r="S21">
            <v>4000000</v>
          </cell>
          <cell r="T21">
            <v>2500000</v>
          </cell>
        </row>
        <row r="22">
          <cell r="A22" t="str">
            <v>צקותאי אורי</v>
          </cell>
          <cell r="B22" t="str">
            <v xml:space="preserve">ערן גירוני </v>
          </cell>
          <cell r="C22" t="e">
            <v>#REF!</v>
          </cell>
          <cell r="D22" t="e">
            <v>#REF!</v>
          </cell>
          <cell r="E22" t="e">
            <v>#REF!</v>
          </cell>
          <cell r="F22">
            <v>19081</v>
          </cell>
          <cell r="G22">
            <v>23112</v>
          </cell>
          <cell r="H22">
            <v>0</v>
          </cell>
          <cell r="I22"/>
          <cell r="J22"/>
          <cell r="K22"/>
          <cell r="L22"/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</row>
        <row r="23">
          <cell r="A23" t="str">
            <v>סמיר בלאן</v>
          </cell>
          <cell r="B23" t="str">
            <v xml:space="preserve">ערן גירוני </v>
          </cell>
          <cell r="C23" t="e">
            <v>#REF!</v>
          </cell>
          <cell r="D23" t="e">
            <v>#REF!</v>
          </cell>
          <cell r="E23" t="e">
            <v>#REF!</v>
          </cell>
          <cell r="F23">
            <v>246191.49217677602</v>
          </cell>
          <cell r="G23">
            <v>13169.402716308416</v>
          </cell>
          <cell r="H23">
            <v>240963.2303375639</v>
          </cell>
          <cell r="I23">
            <v>400000</v>
          </cell>
          <cell r="J23">
            <v>50000</v>
          </cell>
          <cell r="K23">
            <v>500000</v>
          </cell>
          <cell r="L23">
            <v>200000</v>
          </cell>
          <cell r="M23">
            <v>48000</v>
          </cell>
          <cell r="N23">
            <v>4750</v>
          </cell>
          <cell r="O23">
            <v>69000</v>
          </cell>
          <cell r="P23">
            <v>27600.000000000004</v>
          </cell>
          <cell r="Q23">
            <v>400000</v>
          </cell>
          <cell r="R23">
            <v>50000</v>
          </cell>
          <cell r="S23">
            <v>500000</v>
          </cell>
          <cell r="T23">
            <v>200000</v>
          </cell>
        </row>
        <row r="24">
          <cell r="A24" t="str">
            <v>רפלוביץ מרינה</v>
          </cell>
          <cell r="B24" t="str">
            <v xml:space="preserve">ערן גירוני </v>
          </cell>
          <cell r="C24" t="e">
            <v>#REF!</v>
          </cell>
          <cell r="D24" t="e">
            <v>#REF!</v>
          </cell>
          <cell r="E24" t="e">
            <v>#REF!</v>
          </cell>
          <cell r="F24">
            <v>20841.401170492209</v>
          </cell>
          <cell r="G24">
            <v>36473.915722317135</v>
          </cell>
          <cell r="H24">
            <v>1999503.4212082336</v>
          </cell>
          <cell r="I24">
            <v>300000</v>
          </cell>
          <cell r="J24">
            <v>70000</v>
          </cell>
          <cell r="K24">
            <v>1000000</v>
          </cell>
          <cell r="L24">
            <v>500000</v>
          </cell>
          <cell r="M24">
            <v>36000</v>
          </cell>
          <cell r="N24">
            <v>6650</v>
          </cell>
          <cell r="O24">
            <v>138000</v>
          </cell>
          <cell r="P24">
            <v>69000</v>
          </cell>
          <cell r="Q24">
            <v>300000</v>
          </cell>
          <cell r="R24">
            <v>70000</v>
          </cell>
          <cell r="S24">
            <v>1000000</v>
          </cell>
          <cell r="T24">
            <v>500000</v>
          </cell>
        </row>
        <row r="25">
          <cell r="A25" t="str">
            <v>רן בסין</v>
          </cell>
          <cell r="B25" t="str">
            <v xml:space="preserve">ערן גירוני </v>
          </cell>
          <cell r="C25" t="e">
            <v>#REF!</v>
          </cell>
          <cell r="D25" t="e">
            <v>#REF!</v>
          </cell>
          <cell r="E25" t="e">
            <v>#REF!</v>
          </cell>
          <cell r="F25">
            <v>50740</v>
          </cell>
          <cell r="G25">
            <v>8863.06</v>
          </cell>
          <cell r="H25">
            <v>0</v>
          </cell>
          <cell r="I25"/>
          <cell r="J25"/>
          <cell r="K25"/>
          <cell r="L25"/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</row>
        <row r="26">
          <cell r="A26" t="str">
            <v>אלקרינאוי ראוף</v>
          </cell>
          <cell r="B26" t="str">
            <v xml:space="preserve">ערן גירוני </v>
          </cell>
          <cell r="C26" t="e">
            <v>#REF!</v>
          </cell>
          <cell r="D26" t="e">
            <v>#REF!</v>
          </cell>
          <cell r="E26" t="e">
            <v>#REF!</v>
          </cell>
          <cell r="F26">
            <v>0</v>
          </cell>
          <cell r="G26">
            <v>52615</v>
          </cell>
          <cell r="H26">
            <v>0</v>
          </cell>
          <cell r="I26"/>
          <cell r="J26">
            <v>50000</v>
          </cell>
          <cell r="K26"/>
          <cell r="L26"/>
          <cell r="M26">
            <v>0</v>
          </cell>
          <cell r="N26">
            <v>4750</v>
          </cell>
          <cell r="O26">
            <v>0</v>
          </cell>
          <cell r="P26">
            <v>0</v>
          </cell>
          <cell r="Q26">
            <v>0</v>
          </cell>
          <cell r="R26">
            <v>50000</v>
          </cell>
          <cell r="S26">
            <v>0</v>
          </cell>
          <cell r="T26">
            <v>0</v>
          </cell>
        </row>
        <row r="27">
          <cell r="A27" t="str">
            <v>דאי גדי</v>
          </cell>
          <cell r="B27" t="str">
            <v xml:space="preserve">ערן גירוני </v>
          </cell>
          <cell r="C27" t="e">
            <v>#REF!</v>
          </cell>
          <cell r="D27" t="e">
            <v>#REF!</v>
          </cell>
          <cell r="E27" t="e">
            <v>#REF!</v>
          </cell>
          <cell r="F27">
            <v>2049855.1864713421</v>
          </cell>
          <cell r="G27">
            <v>267355.40908744017</v>
          </cell>
          <cell r="H27">
            <v>1731999.4921542429</v>
          </cell>
          <cell r="I27">
            <v>4000000</v>
          </cell>
          <cell r="J27">
            <v>450000</v>
          </cell>
          <cell r="K27">
            <v>12000000</v>
          </cell>
          <cell r="L27">
            <v>10000000</v>
          </cell>
          <cell r="M27">
            <v>480000</v>
          </cell>
          <cell r="N27">
            <v>42750</v>
          </cell>
          <cell r="O27">
            <v>1656000.0000000002</v>
          </cell>
          <cell r="P27">
            <v>1380000</v>
          </cell>
          <cell r="Q27">
            <v>4000000</v>
          </cell>
          <cell r="R27">
            <v>450000</v>
          </cell>
          <cell r="S27">
            <v>12000000</v>
          </cell>
          <cell r="T27">
            <v>10000000</v>
          </cell>
        </row>
        <row r="28">
          <cell r="A28" t="str">
            <v>מילאד אבו שקארה</v>
          </cell>
          <cell r="B28" t="str">
            <v xml:space="preserve">ערן גירוני </v>
          </cell>
          <cell r="C28" t="e">
            <v>#REF!</v>
          </cell>
          <cell r="D28" t="e">
            <v>#REF!</v>
          </cell>
          <cell r="E28" t="e">
            <v>#REF!</v>
          </cell>
          <cell r="F28">
            <v>29806</v>
          </cell>
          <cell r="G28">
            <v>86503</v>
          </cell>
          <cell r="H28">
            <v>16410</v>
          </cell>
          <cell r="I28">
            <v>100000</v>
          </cell>
          <cell r="J28">
            <v>100000</v>
          </cell>
          <cell r="K28">
            <v>100000</v>
          </cell>
          <cell r="L28">
            <v>1000000</v>
          </cell>
          <cell r="M28">
            <v>12000</v>
          </cell>
          <cell r="N28">
            <v>9500</v>
          </cell>
          <cell r="O28">
            <v>13800.000000000002</v>
          </cell>
          <cell r="P28">
            <v>138000</v>
          </cell>
          <cell r="Q28">
            <v>100000</v>
          </cell>
          <cell r="R28">
            <v>100000</v>
          </cell>
          <cell r="S28">
            <v>100000</v>
          </cell>
          <cell r="T28">
            <v>1000000</v>
          </cell>
        </row>
        <row r="29">
          <cell r="A29" t="str">
            <v>דראושה אדהם</v>
          </cell>
          <cell r="B29" t="str">
            <v xml:space="preserve">ערן גירוני </v>
          </cell>
          <cell r="C29" t="e">
            <v>#REF!</v>
          </cell>
          <cell r="D29" t="e">
            <v>#REF!</v>
          </cell>
          <cell r="E29" t="e">
            <v>#REF!</v>
          </cell>
          <cell r="F29">
            <v>33225.678478205366</v>
          </cell>
          <cell r="G29">
            <v>24569.736071955929</v>
          </cell>
          <cell r="H29">
            <v>138499.002255</v>
          </cell>
          <cell r="I29"/>
          <cell r="J29"/>
          <cell r="K29"/>
          <cell r="L29"/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</row>
        <row r="30">
          <cell r="A30" t="str">
            <v>בדארנה עומר</v>
          </cell>
          <cell r="B30" t="str">
            <v xml:space="preserve">ערן גירוני </v>
          </cell>
          <cell r="C30" t="e">
            <v>#REF!</v>
          </cell>
          <cell r="D30" t="e">
            <v>#REF!</v>
          </cell>
          <cell r="E30" t="e">
            <v>#REF!</v>
          </cell>
          <cell r="F30">
            <v>168985.96207021869</v>
          </cell>
          <cell r="G30">
            <v>0</v>
          </cell>
          <cell r="H30">
            <v>0</v>
          </cell>
          <cell r="I30"/>
          <cell r="J30"/>
          <cell r="K30"/>
          <cell r="L30"/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</row>
        <row r="31">
          <cell r="A31" t="str">
            <v>וסים חאטר</v>
          </cell>
          <cell r="B31" t="str">
            <v xml:space="preserve">ערן גירוני </v>
          </cell>
          <cell r="C31" t="e">
            <v>#REF!</v>
          </cell>
          <cell r="D31" t="e">
            <v>#REF!</v>
          </cell>
          <cell r="E31" t="e">
            <v>#REF!</v>
          </cell>
          <cell r="F31">
            <v>0</v>
          </cell>
          <cell r="G31">
            <v>0</v>
          </cell>
          <cell r="H31">
            <v>0</v>
          </cell>
          <cell r="I31"/>
          <cell r="J31"/>
          <cell r="K31"/>
          <cell r="L31"/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</row>
        <row r="32">
          <cell r="A32" t="str">
            <v>לוי חיים</v>
          </cell>
          <cell r="B32" t="str">
            <v xml:space="preserve">ערן גירוני </v>
          </cell>
          <cell r="C32" t="e">
            <v>#REF!</v>
          </cell>
          <cell r="D32" t="e">
            <v>#REF!</v>
          </cell>
          <cell r="E32" t="e">
            <v>#REF!</v>
          </cell>
          <cell r="F32">
            <v>60899.696605304489</v>
          </cell>
          <cell r="G32">
            <v>1833</v>
          </cell>
          <cell r="H32">
            <v>0</v>
          </cell>
          <cell r="I32"/>
          <cell r="J32">
            <v>10000</v>
          </cell>
          <cell r="K32"/>
          <cell r="L32"/>
          <cell r="M32">
            <v>0</v>
          </cell>
          <cell r="N32">
            <v>950</v>
          </cell>
          <cell r="O32">
            <v>0</v>
          </cell>
          <cell r="P32">
            <v>0</v>
          </cell>
          <cell r="Q32">
            <v>0</v>
          </cell>
          <cell r="R32">
            <v>10000</v>
          </cell>
          <cell r="S32">
            <v>0</v>
          </cell>
          <cell r="T32">
            <v>0</v>
          </cell>
        </row>
        <row r="33">
          <cell r="A33" t="str">
            <v>גולדר אבי</v>
          </cell>
          <cell r="B33" t="str">
            <v>לא מפוקחים</v>
          </cell>
          <cell r="C33" t="e">
            <v>#REF!</v>
          </cell>
          <cell r="D33" t="e">
            <v>#REF!</v>
          </cell>
          <cell r="E33" t="e">
            <v>#REF!</v>
          </cell>
          <cell r="F33">
            <v>62716.774468988078</v>
          </cell>
          <cell r="G33">
            <v>6442.9471375590183</v>
          </cell>
          <cell r="H33">
            <v>2228523.7660212973</v>
          </cell>
          <cell r="I33"/>
          <cell r="J33"/>
          <cell r="K33">
            <v>500000</v>
          </cell>
          <cell r="L33"/>
          <cell r="M33">
            <v>0</v>
          </cell>
          <cell r="N33">
            <v>0</v>
          </cell>
          <cell r="O33">
            <v>69000</v>
          </cell>
          <cell r="P33">
            <v>0</v>
          </cell>
          <cell r="Q33">
            <v>0</v>
          </cell>
          <cell r="R33">
            <v>0</v>
          </cell>
          <cell r="S33">
            <v>500000</v>
          </cell>
          <cell r="T33">
            <v>0</v>
          </cell>
        </row>
        <row r="34">
          <cell r="A34" t="str">
            <v>א.ד. אבידן ביטוחים בע"מ</v>
          </cell>
          <cell r="B34" t="str">
            <v>לא מפוקחים</v>
          </cell>
          <cell r="C34" t="e">
            <v>#REF!</v>
          </cell>
          <cell r="D34" t="e">
            <v>#REF!</v>
          </cell>
          <cell r="E34" t="e">
            <v>#REF!</v>
          </cell>
          <cell r="F34">
            <v>71220.501152367564</v>
          </cell>
          <cell r="G34">
            <v>11120.024913318712</v>
          </cell>
          <cell r="H34">
            <v>1566253.8900000001</v>
          </cell>
          <cell r="I34">
            <v>500000</v>
          </cell>
          <cell r="J34"/>
          <cell r="K34"/>
          <cell r="L34"/>
          <cell r="M34">
            <v>60000</v>
          </cell>
          <cell r="N34">
            <v>0</v>
          </cell>
          <cell r="O34">
            <v>0</v>
          </cell>
          <cell r="P34">
            <v>0</v>
          </cell>
          <cell r="Q34">
            <v>500000</v>
          </cell>
          <cell r="R34">
            <v>0</v>
          </cell>
          <cell r="S34">
            <v>0</v>
          </cell>
          <cell r="T34">
            <v>0</v>
          </cell>
        </row>
        <row r="35">
          <cell r="A35" t="str">
            <v>סטולרז אסף</v>
          </cell>
          <cell r="B35" t="str">
            <v>לא מפוקחים</v>
          </cell>
          <cell r="C35" t="e">
            <v>#REF!</v>
          </cell>
          <cell r="D35" t="e">
            <v>#REF!</v>
          </cell>
          <cell r="E35" t="e">
            <v>#REF!</v>
          </cell>
          <cell r="F35">
            <v>116150.99270927912</v>
          </cell>
          <cell r="G35">
            <v>18478.010295578151</v>
          </cell>
          <cell r="H35">
            <v>2849175.5070694657</v>
          </cell>
          <cell r="I35">
            <v>500000</v>
          </cell>
          <cell r="J35">
            <v>80000</v>
          </cell>
          <cell r="K35">
            <v>7000000</v>
          </cell>
          <cell r="L35">
            <v>1000000</v>
          </cell>
          <cell r="M35">
            <v>60000</v>
          </cell>
          <cell r="N35">
            <v>7600</v>
          </cell>
          <cell r="O35">
            <v>966000.00000000012</v>
          </cell>
          <cell r="P35">
            <v>138000</v>
          </cell>
          <cell r="Q35">
            <v>500000</v>
          </cell>
          <cell r="R35">
            <v>80000</v>
          </cell>
          <cell r="S35">
            <v>7000000</v>
          </cell>
          <cell r="T35">
            <v>1000000</v>
          </cell>
        </row>
        <row r="36">
          <cell r="A36" t="str">
            <v>דני פחימה</v>
          </cell>
          <cell r="B36" t="str">
            <v>לא מפוקחים</v>
          </cell>
          <cell r="C36" t="e">
            <v>#REF!</v>
          </cell>
          <cell r="D36" t="e">
            <v>#REF!</v>
          </cell>
          <cell r="E36" t="e">
            <v>#REF!</v>
          </cell>
          <cell r="F36">
            <v>2336</v>
          </cell>
          <cell r="G36">
            <v>3888</v>
          </cell>
          <cell r="H36">
            <v>6000</v>
          </cell>
          <cell r="I36"/>
          <cell r="J36"/>
          <cell r="K36">
            <v>1000000</v>
          </cell>
          <cell r="L36">
            <v>500000</v>
          </cell>
          <cell r="M36">
            <v>0</v>
          </cell>
          <cell r="N36">
            <v>0</v>
          </cell>
          <cell r="O36">
            <v>138000</v>
          </cell>
          <cell r="P36">
            <v>69000</v>
          </cell>
          <cell r="Q36">
            <v>0</v>
          </cell>
          <cell r="R36">
            <v>0</v>
          </cell>
          <cell r="S36">
            <v>1000000</v>
          </cell>
          <cell r="T36">
            <v>500000</v>
          </cell>
        </row>
        <row r="37">
          <cell r="A37" t="str">
            <v>עאטף עדווי</v>
          </cell>
          <cell r="B37" t="str">
            <v>לא מפוקחים</v>
          </cell>
          <cell r="C37" t="e">
            <v>#REF!</v>
          </cell>
          <cell r="D37" t="e">
            <v>#REF!</v>
          </cell>
          <cell r="E37" t="e">
            <v>#REF!</v>
          </cell>
          <cell r="F37">
            <v>288823</v>
          </cell>
          <cell r="G37">
            <v>21838</v>
          </cell>
          <cell r="H37">
            <v>0</v>
          </cell>
          <cell r="I37"/>
          <cell r="J37">
            <v>40000</v>
          </cell>
          <cell r="K37"/>
          <cell r="L37"/>
          <cell r="M37">
            <v>0</v>
          </cell>
          <cell r="N37">
            <v>3800</v>
          </cell>
          <cell r="O37">
            <v>0</v>
          </cell>
          <cell r="P37">
            <v>0</v>
          </cell>
          <cell r="Q37">
            <v>0</v>
          </cell>
          <cell r="R37">
            <v>40000</v>
          </cell>
          <cell r="S37">
            <v>0</v>
          </cell>
          <cell r="T37">
            <v>0</v>
          </cell>
        </row>
        <row r="38">
          <cell r="A38" t="str">
            <v>דר סוכנות לביטוח</v>
          </cell>
          <cell r="B38" t="str">
            <v>לא מפוקחים</v>
          </cell>
          <cell r="C38" t="e">
            <v>#REF!</v>
          </cell>
          <cell r="D38" t="e">
            <v>#REF!</v>
          </cell>
          <cell r="E38" t="e">
            <v>#REF!</v>
          </cell>
          <cell r="F38">
            <v>12411</v>
          </cell>
          <cell r="G38">
            <v>192</v>
          </cell>
          <cell r="H38">
            <v>0</v>
          </cell>
          <cell r="I38"/>
          <cell r="J38"/>
          <cell r="K38"/>
          <cell r="L38"/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</row>
        <row r="39">
          <cell r="A39" t="str">
            <v>גול זאב</v>
          </cell>
          <cell r="B39" t="str">
            <v>לא מפוקחים</v>
          </cell>
          <cell r="C39" t="e">
            <v>#REF!</v>
          </cell>
          <cell r="D39" t="e">
            <v>#REF!</v>
          </cell>
          <cell r="E39" t="e">
            <v>#REF!</v>
          </cell>
          <cell r="F39">
            <v>1843707.05898</v>
          </cell>
          <cell r="G39">
            <v>228284.59729999999</v>
          </cell>
          <cell r="H39">
            <v>4491591.9059499996</v>
          </cell>
          <cell r="I39">
            <v>4000000</v>
          </cell>
          <cell r="J39">
            <v>350000</v>
          </cell>
          <cell r="K39">
            <v>4000000</v>
          </cell>
          <cell r="L39">
            <v>4000000</v>
          </cell>
          <cell r="M39">
            <v>480000</v>
          </cell>
          <cell r="N39">
            <v>33250</v>
          </cell>
          <cell r="O39">
            <v>552000</v>
          </cell>
          <cell r="P39">
            <v>552000</v>
          </cell>
          <cell r="Q39">
            <v>4000000</v>
          </cell>
          <cell r="R39">
            <v>350000</v>
          </cell>
          <cell r="S39">
            <v>4000000</v>
          </cell>
          <cell r="T39">
            <v>4000000</v>
          </cell>
        </row>
        <row r="40">
          <cell r="A40" t="str">
            <v>עבוד כיתי</v>
          </cell>
          <cell r="B40" t="str">
            <v>לא מפוקחים</v>
          </cell>
          <cell r="C40" t="e">
            <v>#REF!</v>
          </cell>
          <cell r="D40" t="e">
            <v>#REF!</v>
          </cell>
          <cell r="E40" t="e">
            <v>#REF!</v>
          </cell>
          <cell r="F40"/>
          <cell r="G40"/>
          <cell r="H40"/>
          <cell r="I40">
            <v>300000</v>
          </cell>
          <cell r="J40">
            <v>100000</v>
          </cell>
          <cell r="K40">
            <v>500000</v>
          </cell>
          <cell r="L40">
            <v>500000</v>
          </cell>
          <cell r="M40">
            <v>36000</v>
          </cell>
          <cell r="N40">
            <v>9500</v>
          </cell>
          <cell r="O40">
            <v>69000</v>
          </cell>
          <cell r="P40">
            <v>69000</v>
          </cell>
          <cell r="Q40">
            <v>300000</v>
          </cell>
          <cell r="R40">
            <v>100000</v>
          </cell>
          <cell r="S40">
            <v>500000</v>
          </cell>
          <cell r="T40">
            <v>500000</v>
          </cell>
        </row>
        <row r="41">
          <cell r="A41" t="str">
            <v>יעקב ישראל שטרן</v>
          </cell>
          <cell r="B41" t="str">
            <v>לא מפוקחים</v>
          </cell>
          <cell r="C41" t="e">
            <v>#REF!</v>
          </cell>
          <cell r="D41" t="e">
            <v>#REF!</v>
          </cell>
          <cell r="E41" t="e">
            <v>#REF!</v>
          </cell>
          <cell r="F41"/>
          <cell r="G41"/>
          <cell r="H41"/>
          <cell r="I41">
            <v>100000</v>
          </cell>
          <cell r="J41">
            <v>50000</v>
          </cell>
          <cell r="K41">
            <v>2000000</v>
          </cell>
          <cell r="L41">
            <v>500000</v>
          </cell>
          <cell r="M41">
            <v>12000</v>
          </cell>
          <cell r="N41">
            <v>4750</v>
          </cell>
          <cell r="O41">
            <v>276000</v>
          </cell>
          <cell r="P41">
            <v>69000</v>
          </cell>
          <cell r="Q41">
            <v>100000</v>
          </cell>
          <cell r="R41">
            <v>50000</v>
          </cell>
          <cell r="S41">
            <v>2000000</v>
          </cell>
          <cell r="T41">
            <v>500000</v>
          </cell>
        </row>
        <row r="42">
          <cell r="A42" t="str">
            <v>יתר הסוכנים</v>
          </cell>
          <cell r="B42"/>
          <cell r="C42" t="e">
            <v>#REF!</v>
          </cell>
          <cell r="D42" t="e">
            <v>#REF!</v>
          </cell>
          <cell r="E42" t="e">
            <v>#REF!</v>
          </cell>
          <cell r="F42">
            <v>11434743.859485211</v>
          </cell>
          <cell r="G42">
            <v>2460202.3911701343</v>
          </cell>
          <cell r="H42">
            <v>27997156.527742237</v>
          </cell>
          <cell r="I42">
            <v>18200000</v>
          </cell>
          <cell r="J42">
            <v>3240000</v>
          </cell>
          <cell r="K42">
            <v>43100000</v>
          </cell>
          <cell r="L42">
            <v>29200000</v>
          </cell>
          <cell r="M42">
            <v>2184000</v>
          </cell>
          <cell r="N42">
            <v>307800</v>
          </cell>
          <cell r="O42">
            <v>5947800</v>
          </cell>
          <cell r="P42">
            <v>4029600</v>
          </cell>
          <cell r="Q42">
            <v>18200000</v>
          </cell>
          <cell r="R42">
            <v>3240000</v>
          </cell>
          <cell r="S42">
            <v>43100000</v>
          </cell>
          <cell r="T42">
            <v>29200000</v>
          </cell>
        </row>
        <row r="43">
          <cell r="A43" t="str">
            <v>גלידר אנה</v>
          </cell>
          <cell r="B43" t="str">
            <v>לא מפוקחים</v>
          </cell>
          <cell r="C43" t="e">
            <v>#REF!</v>
          </cell>
          <cell r="D43" t="e">
            <v>#REF!</v>
          </cell>
          <cell r="E43" t="e">
            <v>#REF!</v>
          </cell>
          <cell r="F43">
            <v>987187.34207102738</v>
          </cell>
          <cell r="G43">
            <v>183460.34483877767</v>
          </cell>
          <cell r="H43">
            <v>5517139.2151299994</v>
          </cell>
          <cell r="I43">
            <v>1000000</v>
          </cell>
          <cell r="J43">
            <v>150000</v>
          </cell>
          <cell r="K43">
            <v>4000000</v>
          </cell>
          <cell r="L43">
            <v>4000000</v>
          </cell>
          <cell r="M43">
            <v>120000</v>
          </cell>
          <cell r="N43">
            <v>14250</v>
          </cell>
          <cell r="O43">
            <v>552000</v>
          </cell>
          <cell r="P43">
            <v>552000</v>
          </cell>
          <cell r="Q43">
            <v>1000000</v>
          </cell>
          <cell r="R43">
            <v>150000</v>
          </cell>
          <cell r="S43">
            <v>4000000</v>
          </cell>
          <cell r="T43">
            <v>4000000</v>
          </cell>
        </row>
        <row r="44">
          <cell r="A44" t="str">
            <v>אביב מור יוסף</v>
          </cell>
          <cell r="B44" t="str">
            <v>לא מפוקחים</v>
          </cell>
          <cell r="C44" t="e">
            <v>#REF!</v>
          </cell>
          <cell r="D44" t="e">
            <v>#REF!</v>
          </cell>
          <cell r="E44" t="e">
            <v>#REF!</v>
          </cell>
          <cell r="F44"/>
          <cell r="G44"/>
          <cell r="H44"/>
          <cell r="I44">
            <v>1000000</v>
          </cell>
          <cell r="J44">
            <v>200000</v>
          </cell>
          <cell r="K44">
            <v>10000000</v>
          </cell>
          <cell r="L44">
            <v>4000000</v>
          </cell>
          <cell r="M44">
            <v>120000</v>
          </cell>
          <cell r="N44">
            <v>19000</v>
          </cell>
          <cell r="O44">
            <v>1380000</v>
          </cell>
          <cell r="P44">
            <v>552000</v>
          </cell>
          <cell r="Q44">
            <v>1000000</v>
          </cell>
          <cell r="R44">
            <v>200000</v>
          </cell>
          <cell r="S44">
            <v>10000000</v>
          </cell>
          <cell r="T44">
            <v>4000000</v>
          </cell>
        </row>
        <row r="45">
          <cell r="A45" t="str">
            <v>אריאל בר-חיים</v>
          </cell>
          <cell r="B45" t="str">
            <v>לא מפוקחים</v>
          </cell>
          <cell r="C45" t="e">
            <v>#REF!</v>
          </cell>
          <cell r="D45" t="e">
            <v>#REF!</v>
          </cell>
          <cell r="E45" t="e">
            <v>#REF!</v>
          </cell>
          <cell r="F45">
            <v>4195</v>
          </cell>
          <cell r="G45">
            <v>7613</v>
          </cell>
          <cell r="H45">
            <v>26588.25</v>
          </cell>
          <cell r="I45">
            <v>1000000</v>
          </cell>
          <cell r="J45">
            <v>150000</v>
          </cell>
          <cell r="K45">
            <v>10000000</v>
          </cell>
          <cell r="L45">
            <v>5000000</v>
          </cell>
          <cell r="M45">
            <v>120000</v>
          </cell>
          <cell r="N45">
            <v>14250</v>
          </cell>
          <cell r="O45">
            <v>1380000</v>
          </cell>
          <cell r="P45">
            <v>690000</v>
          </cell>
          <cell r="Q45">
            <v>1000000</v>
          </cell>
          <cell r="R45">
            <v>150000</v>
          </cell>
          <cell r="S45">
            <v>10000000</v>
          </cell>
          <cell r="T45">
            <v>5000000</v>
          </cell>
        </row>
        <row r="46">
          <cell r="A46" t="str">
            <v>יונתן מנחם</v>
          </cell>
          <cell r="B46" t="str">
            <v xml:space="preserve">ערן גירוני </v>
          </cell>
          <cell r="C46" t="e">
            <v>#REF!</v>
          </cell>
          <cell r="D46" t="e">
            <v>#REF!</v>
          </cell>
          <cell r="E46" t="e">
            <v>#REF!</v>
          </cell>
          <cell r="F46">
            <v>84601</v>
          </cell>
          <cell r="G46">
            <v>38284.622947771182</v>
          </cell>
          <cell r="H46">
            <v>606</v>
          </cell>
          <cell r="I46">
            <v>150000</v>
          </cell>
          <cell r="J46">
            <v>50000</v>
          </cell>
          <cell r="K46">
            <v>200000</v>
          </cell>
          <cell r="L46">
            <v>200000</v>
          </cell>
          <cell r="M46">
            <v>18000</v>
          </cell>
          <cell r="N46">
            <v>4750</v>
          </cell>
          <cell r="O46">
            <v>27600.000000000004</v>
          </cell>
          <cell r="P46">
            <v>27600.000000000004</v>
          </cell>
          <cell r="Q46">
            <v>150000</v>
          </cell>
          <cell r="R46">
            <v>50000</v>
          </cell>
          <cell r="S46">
            <v>200000</v>
          </cell>
          <cell r="T46">
            <v>200000</v>
          </cell>
        </row>
        <row r="47">
          <cell r="A47" t="str">
            <v>שלי מזרחי</v>
          </cell>
          <cell r="B47" t="str">
            <v xml:space="preserve">ערן גירוני </v>
          </cell>
          <cell r="C47" t="e">
            <v>#REF!</v>
          </cell>
          <cell r="D47" t="e">
            <v>#REF!</v>
          </cell>
          <cell r="E47" t="e">
            <v>#REF!</v>
          </cell>
          <cell r="F47">
            <v>337822.24982096814</v>
          </cell>
          <cell r="G47">
            <v>369395.20362282777</v>
          </cell>
          <cell r="H47">
            <v>589267.05697031738</v>
          </cell>
          <cell r="I47">
            <v>1200000</v>
          </cell>
          <cell r="J47">
            <v>400000</v>
          </cell>
          <cell r="K47">
            <v>5000000</v>
          </cell>
          <cell r="L47">
            <v>2000000</v>
          </cell>
          <cell r="M47">
            <v>144000</v>
          </cell>
          <cell r="N47">
            <v>38000</v>
          </cell>
          <cell r="O47">
            <v>690000</v>
          </cell>
          <cell r="P47">
            <v>276000</v>
          </cell>
          <cell r="Q47">
            <v>1200000</v>
          </cell>
          <cell r="R47">
            <v>400000</v>
          </cell>
          <cell r="S47">
            <v>5000000</v>
          </cell>
          <cell r="T47">
            <v>2000000</v>
          </cell>
        </row>
        <row r="48">
          <cell r="A48" t="str">
            <v>אורטל / לנג ביג סוכנות לביטוח פנסיוני</v>
          </cell>
          <cell r="B48" t="str">
            <v xml:space="preserve">ערן גירוני </v>
          </cell>
          <cell r="C48" t="e">
            <v>#REF!</v>
          </cell>
          <cell r="D48" t="e">
            <v>#REF!</v>
          </cell>
          <cell r="E48" t="e">
            <v>#REF!</v>
          </cell>
          <cell r="F48" t="e">
            <v>#N/A</v>
          </cell>
          <cell r="G48" t="e">
            <v>#N/A</v>
          </cell>
          <cell r="H48" t="e">
            <v>#N/A</v>
          </cell>
          <cell r="I48">
            <v>2500000</v>
          </cell>
          <cell r="J48">
            <v>200000</v>
          </cell>
          <cell r="K48">
            <v>30000000</v>
          </cell>
          <cell r="L48">
            <v>8000000</v>
          </cell>
          <cell r="M48">
            <v>300000</v>
          </cell>
          <cell r="N48">
            <v>19000</v>
          </cell>
          <cell r="O48">
            <v>4140000.0000000005</v>
          </cell>
          <cell r="P48">
            <v>1104000</v>
          </cell>
          <cell r="Q48">
            <v>2500000</v>
          </cell>
          <cell r="R48">
            <v>200000</v>
          </cell>
          <cell r="S48">
            <v>30000000</v>
          </cell>
          <cell r="T48">
            <v>8000000</v>
          </cell>
        </row>
        <row r="49">
          <cell r="A49" t="str">
            <v>נעם הלשטוק</v>
          </cell>
          <cell r="B49" t="str">
            <v xml:space="preserve">ערן גירוני </v>
          </cell>
          <cell r="C49" t="e">
            <v>#REF!</v>
          </cell>
          <cell r="D49" t="e">
            <v>#REF!</v>
          </cell>
          <cell r="E49" t="e">
            <v>#REF!</v>
          </cell>
          <cell r="F49" t="e">
            <v>#N/A</v>
          </cell>
          <cell r="G49" t="e">
            <v>#N/A</v>
          </cell>
          <cell r="H49" t="e">
            <v>#N/A</v>
          </cell>
          <cell r="I49">
            <v>1000000</v>
          </cell>
          <cell r="J49">
            <v>150000</v>
          </cell>
          <cell r="K49">
            <v>5000000</v>
          </cell>
          <cell r="L49">
            <v>5000000</v>
          </cell>
          <cell r="M49">
            <v>120000</v>
          </cell>
          <cell r="N49">
            <v>14250</v>
          </cell>
          <cell r="O49">
            <v>690000</v>
          </cell>
          <cell r="P49">
            <v>690000</v>
          </cell>
          <cell r="Q49">
            <v>1000000</v>
          </cell>
          <cell r="R49">
            <v>150000</v>
          </cell>
          <cell r="S49">
            <v>5000000</v>
          </cell>
          <cell r="T49">
            <v>5000000</v>
          </cell>
        </row>
        <row r="50">
          <cell r="A50" t="str">
            <v>נור אבו ראס</v>
          </cell>
          <cell r="B50" t="str">
            <v xml:space="preserve">ערן גירוני </v>
          </cell>
          <cell r="C50" t="e">
            <v>#REF!</v>
          </cell>
          <cell r="D50" t="e">
            <v>#REF!</v>
          </cell>
          <cell r="E50" t="e">
            <v>#REF!</v>
          </cell>
          <cell r="F50"/>
          <cell r="G50"/>
          <cell r="H50"/>
          <cell r="I50">
            <v>100000</v>
          </cell>
          <cell r="J50">
            <v>150000</v>
          </cell>
          <cell r="K50">
            <v>500000</v>
          </cell>
          <cell r="L50">
            <v>500000</v>
          </cell>
          <cell r="M50">
            <v>12000</v>
          </cell>
          <cell r="N50">
            <v>14250</v>
          </cell>
          <cell r="O50">
            <v>69000</v>
          </cell>
          <cell r="P50">
            <v>69000</v>
          </cell>
          <cell r="Q50">
            <v>100000</v>
          </cell>
          <cell r="R50">
            <v>150000</v>
          </cell>
          <cell r="S50">
            <v>500000</v>
          </cell>
          <cell r="T50">
            <v>500000</v>
          </cell>
        </row>
        <row r="51">
          <cell r="A51" t="str">
            <v>יהונתן שיוביץ</v>
          </cell>
          <cell r="B51" t="str">
            <v xml:space="preserve">ערן גירוני </v>
          </cell>
          <cell r="C51" t="e">
            <v>#REF!</v>
          </cell>
          <cell r="D51" t="e">
            <v>#REF!</v>
          </cell>
          <cell r="E51" t="e">
            <v>#REF!</v>
          </cell>
          <cell r="F51">
            <v>0</v>
          </cell>
          <cell r="G51">
            <v>16873.49408</v>
          </cell>
          <cell r="H51">
            <v>37392</v>
          </cell>
          <cell r="I51">
            <v>100000</v>
          </cell>
          <cell r="J51">
            <v>50000</v>
          </cell>
          <cell r="K51">
            <v>300000</v>
          </cell>
          <cell r="L51">
            <v>100000</v>
          </cell>
          <cell r="M51">
            <v>12000</v>
          </cell>
          <cell r="N51">
            <v>4750</v>
          </cell>
          <cell r="O51">
            <v>41400</v>
          </cell>
          <cell r="P51">
            <v>13800.000000000002</v>
          </cell>
          <cell r="Q51">
            <v>100000</v>
          </cell>
          <cell r="R51">
            <v>50000</v>
          </cell>
          <cell r="S51">
            <v>300000</v>
          </cell>
          <cell r="T51">
            <v>100000</v>
          </cell>
        </row>
        <row r="52">
          <cell r="A52" t="str">
            <v>אחמד עלי אחמד</v>
          </cell>
          <cell r="B52" t="str">
            <v xml:space="preserve">ערן גירוני </v>
          </cell>
          <cell r="C52" t="e">
            <v>#REF!</v>
          </cell>
          <cell r="D52" t="e">
            <v>#REF!</v>
          </cell>
          <cell r="E52" t="e">
            <v>#REF!</v>
          </cell>
          <cell r="F52"/>
          <cell r="G52"/>
          <cell r="H52"/>
          <cell r="I52">
            <v>600000</v>
          </cell>
          <cell r="J52">
            <v>100000</v>
          </cell>
          <cell r="K52">
            <v>250000</v>
          </cell>
          <cell r="L52">
            <v>250000</v>
          </cell>
          <cell r="M52">
            <v>72000</v>
          </cell>
          <cell r="N52">
            <v>9500</v>
          </cell>
          <cell r="O52">
            <v>34500</v>
          </cell>
          <cell r="P52">
            <v>34500</v>
          </cell>
          <cell r="Q52">
            <v>600000</v>
          </cell>
          <cell r="R52">
            <v>100000</v>
          </cell>
          <cell r="S52">
            <v>250000</v>
          </cell>
          <cell r="T52">
            <v>250000</v>
          </cell>
        </row>
        <row r="53">
          <cell r="A53" t="str">
            <v>שירלי בוכריס</v>
          </cell>
          <cell r="B53" t="str">
            <v xml:space="preserve">ערן גירוני </v>
          </cell>
          <cell r="C53" t="e">
            <v>#REF!</v>
          </cell>
          <cell r="D53" t="e">
            <v>#REF!</v>
          </cell>
          <cell r="E53" t="e">
            <v>#REF!</v>
          </cell>
          <cell r="F53"/>
          <cell r="G53"/>
          <cell r="H53"/>
          <cell r="I53">
            <v>1000000</v>
          </cell>
          <cell r="J53">
            <v>150000</v>
          </cell>
          <cell r="K53">
            <v>7000000</v>
          </cell>
          <cell r="L53">
            <v>5000000</v>
          </cell>
          <cell r="M53">
            <v>120000</v>
          </cell>
          <cell r="N53">
            <v>14250</v>
          </cell>
          <cell r="O53">
            <v>966000.00000000012</v>
          </cell>
          <cell r="P53">
            <v>690000</v>
          </cell>
          <cell r="Q53">
            <v>1000000</v>
          </cell>
          <cell r="R53">
            <v>150000</v>
          </cell>
          <cell r="S53">
            <v>7000000</v>
          </cell>
          <cell r="T53">
            <v>5000000</v>
          </cell>
        </row>
        <row r="54">
          <cell r="A54" t="str">
            <v>סיון פיינרו</v>
          </cell>
          <cell r="B54" t="str">
            <v xml:space="preserve">ערן גירוני </v>
          </cell>
          <cell r="C54" t="e">
            <v>#REF!</v>
          </cell>
          <cell r="D54" t="e">
            <v>#REF!</v>
          </cell>
          <cell r="E54" t="e">
            <v>#REF!</v>
          </cell>
          <cell r="F54"/>
          <cell r="G54"/>
          <cell r="H54"/>
          <cell r="I54"/>
          <cell r="J54">
            <v>50000</v>
          </cell>
          <cell r="K54"/>
          <cell r="L54"/>
          <cell r="M54">
            <v>0</v>
          </cell>
          <cell r="N54">
            <v>4750</v>
          </cell>
          <cell r="O54">
            <v>0</v>
          </cell>
          <cell r="P54">
            <v>0</v>
          </cell>
          <cell r="Q54">
            <v>0</v>
          </cell>
          <cell r="R54">
            <v>50000</v>
          </cell>
          <cell r="S54">
            <v>0</v>
          </cell>
          <cell r="T54">
            <v>0</v>
          </cell>
        </row>
        <row r="55">
          <cell r="A55" t="str">
            <v>לילי שרון</v>
          </cell>
          <cell r="B55" t="str">
            <v xml:space="preserve">ערן גירוני </v>
          </cell>
          <cell r="C55" t="e">
            <v>#REF!</v>
          </cell>
          <cell r="D55" t="e">
            <v>#REF!</v>
          </cell>
          <cell r="E55" t="e">
            <v>#REF!</v>
          </cell>
          <cell r="F55"/>
          <cell r="G55"/>
          <cell r="H55"/>
          <cell r="I55">
            <v>250000</v>
          </cell>
          <cell r="J55">
            <v>50000</v>
          </cell>
          <cell r="K55">
            <v>1000000</v>
          </cell>
          <cell r="L55">
            <v>200000</v>
          </cell>
          <cell r="M55">
            <v>30000</v>
          </cell>
          <cell r="N55">
            <v>4750</v>
          </cell>
          <cell r="O55">
            <v>138000</v>
          </cell>
          <cell r="P55">
            <v>27600.000000000004</v>
          </cell>
          <cell r="Q55">
            <v>250000</v>
          </cell>
          <cell r="R55">
            <v>50000</v>
          </cell>
          <cell r="S55">
            <v>1000000</v>
          </cell>
          <cell r="T55">
            <v>200000</v>
          </cell>
        </row>
        <row r="56">
          <cell r="A56" t="str">
            <v>אלרם סוכנות לביטוח</v>
          </cell>
          <cell r="B56" t="str">
            <v>לא מפוקחים</v>
          </cell>
          <cell r="C56" t="e">
            <v>#REF!</v>
          </cell>
          <cell r="D56" t="e">
            <v>#REF!</v>
          </cell>
          <cell r="E56" t="e">
            <v>#REF!</v>
          </cell>
          <cell r="F56">
            <v>507685.26325352263</v>
          </cell>
          <cell r="G56">
            <v>344680.19770019373</v>
          </cell>
          <cell r="H56">
            <v>2316225</v>
          </cell>
          <cell r="I56">
            <v>1500000</v>
          </cell>
          <cell r="J56">
            <v>600000</v>
          </cell>
          <cell r="K56">
            <v>12000000</v>
          </cell>
          <cell r="L56">
            <v>6000000</v>
          </cell>
          <cell r="M56">
            <v>180000</v>
          </cell>
          <cell r="N56">
            <v>57000</v>
          </cell>
          <cell r="O56">
            <v>1656000.0000000002</v>
          </cell>
          <cell r="P56">
            <v>828000.00000000012</v>
          </cell>
          <cell r="Q56">
            <v>1500000</v>
          </cell>
          <cell r="R56">
            <v>600000</v>
          </cell>
          <cell r="S56">
            <v>12000000</v>
          </cell>
          <cell r="T56">
            <v>6000000</v>
          </cell>
        </row>
        <row r="57">
          <cell r="A57" t="str">
            <v>רכס אורן</v>
          </cell>
          <cell r="B57" t="str">
            <v>לא מפוקחים</v>
          </cell>
          <cell r="C57" t="e">
            <v>#REF!</v>
          </cell>
          <cell r="D57" t="e">
            <v>#REF!</v>
          </cell>
          <cell r="E57" t="e">
            <v>#REF!</v>
          </cell>
          <cell r="F57">
            <v>1467638.4550390211</v>
          </cell>
          <cell r="G57">
            <v>288584.1303883685</v>
          </cell>
          <cell r="H57">
            <v>27835114.90848418</v>
          </cell>
          <cell r="I57">
            <v>3000000</v>
          </cell>
          <cell r="J57">
            <v>350000</v>
          </cell>
          <cell r="K57">
            <v>35000000</v>
          </cell>
          <cell r="L57">
            <v>10000000</v>
          </cell>
          <cell r="M57">
            <v>360000</v>
          </cell>
          <cell r="N57">
            <v>33250</v>
          </cell>
          <cell r="O57">
            <v>4830000</v>
          </cell>
          <cell r="P57">
            <v>1380000</v>
          </cell>
          <cell r="Q57">
            <v>3000000</v>
          </cell>
          <cell r="R57">
            <v>350000</v>
          </cell>
          <cell r="S57">
            <v>35000000</v>
          </cell>
          <cell r="T57">
            <v>10000000</v>
          </cell>
        </row>
        <row r="58">
          <cell r="A58" t="str">
            <v>סה"כ פרימיום</v>
          </cell>
          <cell r="B58"/>
          <cell r="C58" t="e">
            <v>#REF!</v>
          </cell>
          <cell r="D58" t="e">
            <v>#REF!</v>
          </cell>
          <cell r="E58" t="e">
            <v>#REF!</v>
          </cell>
          <cell r="F58" t="e">
            <v>#N/A</v>
          </cell>
          <cell r="G58" t="e">
            <v>#N/A</v>
          </cell>
          <cell r="H58" t="e">
            <v>#N/A</v>
          </cell>
          <cell r="I58">
            <v>14400000</v>
          </cell>
          <cell r="J58">
            <v>2800000</v>
          </cell>
          <cell r="K58">
            <v>120250000</v>
          </cell>
          <cell r="L58">
            <v>50250000</v>
          </cell>
          <cell r="M58">
            <v>1728000</v>
          </cell>
          <cell r="N58">
            <v>266000</v>
          </cell>
          <cell r="O58">
            <v>16594500</v>
          </cell>
          <cell r="P58">
            <v>6934500</v>
          </cell>
          <cell r="Q58">
            <v>14400000</v>
          </cell>
          <cell r="R58">
            <v>2800000</v>
          </cell>
          <cell r="S58">
            <v>120250000</v>
          </cell>
          <cell r="T58">
            <v>50250000</v>
          </cell>
        </row>
        <row r="59">
          <cell r="A59" t="str">
            <v>סה"כ כולל</v>
          </cell>
          <cell r="B59"/>
          <cell r="C59" t="e">
            <v>#REF!</v>
          </cell>
          <cell r="D59" t="e">
            <v>#REF!</v>
          </cell>
          <cell r="E59" t="e">
            <v>#REF!</v>
          </cell>
          <cell r="F59" t="e">
            <v>#N/A</v>
          </cell>
          <cell r="G59" t="e">
            <v>#N/A</v>
          </cell>
          <cell r="H59" t="e">
            <v>#N/A</v>
          </cell>
          <cell r="I59">
            <v>61300000</v>
          </cell>
          <cell r="J59">
            <v>9240000</v>
          </cell>
          <cell r="K59">
            <v>225350000</v>
          </cell>
          <cell r="L59">
            <v>137450000</v>
          </cell>
          <cell r="M59">
            <v>7356000</v>
          </cell>
          <cell r="N59">
            <v>877800</v>
          </cell>
          <cell r="O59">
            <v>31098300</v>
          </cell>
          <cell r="P59">
            <v>18968100</v>
          </cell>
          <cell r="Q59">
            <v>61300000</v>
          </cell>
          <cell r="R59">
            <v>9240000</v>
          </cell>
          <cell r="S59">
            <v>225350000</v>
          </cell>
          <cell r="T59">
            <v>137450000</v>
          </cell>
        </row>
        <row r="60">
          <cell r="C60"/>
          <cell r="D60"/>
          <cell r="E60"/>
          <cell r="F60"/>
          <cell r="G60"/>
          <cell r="H60"/>
        </row>
        <row r="61">
          <cell r="A61"/>
          <cell r="R61"/>
        </row>
        <row r="62">
          <cell r="A62"/>
        </row>
        <row r="63">
          <cell r="A63"/>
        </row>
        <row r="64">
          <cell r="A64"/>
        </row>
      </sheetData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דוח הנהלה"/>
      <sheetName val="תפוקה מצטברת מול אשתקד"/>
      <sheetName val="תפוקה מצטברת מול יעד מצטבר"/>
      <sheetName val="תפוקה מול יעד חודשי"/>
      <sheetName val="עולים יורדים"/>
      <sheetName val="הכשרה"/>
      <sheetName val="מגדל"/>
      <sheetName val="מנורה"/>
      <sheetName val="איילון"/>
      <sheetName val="הראל"/>
      <sheetName val="הפניקס"/>
      <sheetName val="כלל"/>
      <sheetName val="מור"/>
      <sheetName val="אלטשולר שחם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B1">
            <v>2024</v>
          </cell>
          <cell r="F1">
            <v>2023</v>
          </cell>
        </row>
        <row r="2">
          <cell r="A2" t="str">
            <v>שם סוכן</v>
          </cell>
          <cell r="B2" t="str">
            <v>פנסיוני</v>
          </cell>
          <cell r="C2" t="str">
            <v xml:space="preserve">סיכונים </v>
          </cell>
          <cell r="D2" t="str">
            <v>פיננסים</v>
          </cell>
          <cell r="E2" t="str">
            <v>ניודי פנסיה</v>
          </cell>
          <cell r="F2" t="str">
            <v>פנסיוני</v>
          </cell>
          <cell r="G2" t="str">
            <v xml:space="preserve">סיכונים </v>
          </cell>
          <cell r="H2" t="str">
            <v>פיננסים</v>
          </cell>
          <cell r="I2" t="str">
            <v xml:space="preserve">ניודי פנסיה </v>
          </cell>
        </row>
        <row r="3">
          <cell r="A3" t="str">
            <v>גל אלמגור סוכ</v>
          </cell>
          <cell r="B3">
            <v>344478.34</v>
          </cell>
          <cell r="C3">
            <v>109162.2</v>
          </cell>
          <cell r="D3">
            <v>477324.66999999993</v>
          </cell>
          <cell r="E3">
            <v>2125124.9700000002</v>
          </cell>
          <cell r="F3">
            <v>43332.499999999971</v>
          </cell>
          <cell r="G3">
            <v>129136.25000000001</v>
          </cell>
          <cell r="H3">
            <v>170979.61999999997</v>
          </cell>
          <cell r="I3">
            <v>139482.29000000004</v>
          </cell>
        </row>
        <row r="4">
          <cell r="A4" t="str">
            <v>דניאלה אביב</v>
          </cell>
          <cell r="B4">
            <v>33671.589999999997</v>
          </cell>
          <cell r="D4">
            <v>2054208.75</v>
          </cell>
          <cell r="F4">
            <v>9682.4500000000007</v>
          </cell>
          <cell r="G4">
            <v>0</v>
          </cell>
          <cell r="H4">
            <v>2400</v>
          </cell>
          <cell r="I4">
            <v>64540.34</v>
          </cell>
        </row>
        <row r="5">
          <cell r="A5" t="str">
            <v>סה"כ ישיר</v>
          </cell>
          <cell r="B5">
            <v>378149.93000000005</v>
          </cell>
          <cell r="C5">
            <v>109162.2</v>
          </cell>
          <cell r="D5">
            <v>2531533.42</v>
          </cell>
          <cell r="E5">
            <v>2125124.9700000002</v>
          </cell>
          <cell r="F5">
            <v>53014.949999999968</v>
          </cell>
          <cell r="G5">
            <v>129136.25000000001</v>
          </cell>
          <cell r="H5">
            <v>173379.61999999997</v>
          </cell>
          <cell r="I5">
            <v>204022.63000000003</v>
          </cell>
        </row>
        <row r="6">
          <cell r="A6" t="str">
            <v>בראשית סוכנות לביטוח</v>
          </cell>
          <cell r="C6">
            <v>80.2</v>
          </cell>
          <cell r="F6">
            <v>0</v>
          </cell>
          <cell r="G6">
            <v>75.88</v>
          </cell>
          <cell r="H6">
            <v>0</v>
          </cell>
          <cell r="I6">
            <v>0</v>
          </cell>
        </row>
        <row r="7">
          <cell r="A7" t="str">
            <v>גל אלמגור דאוד סוכ' לב</v>
          </cell>
          <cell r="B7">
            <v>151.47999999999999</v>
          </cell>
          <cell r="F7">
            <v>9.42</v>
          </cell>
          <cell r="G7">
            <v>1794.22</v>
          </cell>
          <cell r="H7">
            <v>0</v>
          </cell>
          <cell r="I7">
            <v>0</v>
          </cell>
        </row>
        <row r="8">
          <cell r="A8" t="str">
            <v>גל אלמגור -וייס סוכנות</v>
          </cell>
          <cell r="C8">
            <v>1918.1999999999998</v>
          </cell>
          <cell r="D8">
            <v>10375.49</v>
          </cell>
          <cell r="F8">
            <v>0</v>
          </cell>
          <cell r="G8">
            <v>2113</v>
          </cell>
          <cell r="H8">
            <v>0</v>
          </cell>
          <cell r="I8">
            <v>0</v>
          </cell>
        </row>
        <row r="9">
          <cell r="A9" t="str">
            <v>גל אלמגור דרום סוכ ל</v>
          </cell>
          <cell r="C9">
            <v>169.95999999999998</v>
          </cell>
          <cell r="F9">
            <v>0</v>
          </cell>
          <cell r="G9">
            <v>390.68999999999994</v>
          </cell>
          <cell r="H9">
            <v>0</v>
          </cell>
          <cell r="I9">
            <v>0</v>
          </cell>
        </row>
        <row r="10">
          <cell r="A10" t="str">
            <v>משה שטרן גל אלמגור</v>
          </cell>
          <cell r="C10">
            <v>7054.4800000000014</v>
          </cell>
          <cell r="E10">
            <v>107402.94</v>
          </cell>
          <cell r="F10">
            <v>0</v>
          </cell>
          <cell r="G10">
            <v>91769.239999999976</v>
          </cell>
          <cell r="H10">
            <v>0</v>
          </cell>
          <cell r="I10">
            <v>0</v>
          </cell>
        </row>
        <row r="11">
          <cell r="A11" t="str">
            <v>מקסימום סוכנות לבטוח פ</v>
          </cell>
          <cell r="B11">
            <v>78439.19</v>
          </cell>
          <cell r="C11">
            <v>885.96999999999991</v>
          </cell>
          <cell r="D11">
            <v>206764.58</v>
          </cell>
          <cell r="E11">
            <v>628016.91</v>
          </cell>
          <cell r="F11">
            <v>0</v>
          </cell>
          <cell r="G11">
            <v>3647.7999999999997</v>
          </cell>
          <cell r="H11">
            <v>0</v>
          </cell>
          <cell r="I11">
            <v>0</v>
          </cell>
        </row>
        <row r="12">
          <cell r="A12" t="str">
            <v>סה"כ חברות בנות</v>
          </cell>
          <cell r="B12">
            <v>78590.67</v>
          </cell>
          <cell r="C12">
            <v>10108.81</v>
          </cell>
          <cell r="D12">
            <v>217140.06999999998</v>
          </cell>
          <cell r="E12">
            <v>735419.85000000009</v>
          </cell>
          <cell r="F12">
            <v>9.42</v>
          </cell>
          <cell r="G12">
            <v>99790.829999999973</v>
          </cell>
          <cell r="H12">
            <v>0</v>
          </cell>
          <cell r="I12">
            <v>0</v>
          </cell>
        </row>
        <row r="13">
          <cell r="A13" t="str">
            <v>מועלם אלפרד</v>
          </cell>
          <cell r="B13">
            <v>78926.12</v>
          </cell>
          <cell r="C13">
            <v>10096.82</v>
          </cell>
          <cell r="E13">
            <v>224763.16</v>
          </cell>
          <cell r="F13">
            <v>58766.009999999995</v>
          </cell>
          <cell r="G13">
            <v>14684.39</v>
          </cell>
          <cell r="H13">
            <v>49627.28</v>
          </cell>
          <cell r="I13">
            <v>168902.52</v>
          </cell>
        </row>
        <row r="14">
          <cell r="A14" t="str">
            <v>יעקובסון רומן</v>
          </cell>
          <cell r="F14">
            <v>0</v>
          </cell>
          <cell r="G14">
            <v>0</v>
          </cell>
          <cell r="H14">
            <v>12037.74</v>
          </cell>
          <cell r="I14">
            <v>269505.71999999997</v>
          </cell>
        </row>
        <row r="15">
          <cell r="A15" t="str">
            <v>רוקח מזל מלי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</row>
        <row r="16">
          <cell r="A16" t="str">
            <v>גרניק בנימין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</row>
        <row r="17">
          <cell r="A17" t="str">
            <v>סאוסן שלבי</v>
          </cell>
          <cell r="F17">
            <v>31078.58</v>
          </cell>
          <cell r="G17">
            <v>3598.9100000000012</v>
          </cell>
          <cell r="H17">
            <v>0</v>
          </cell>
          <cell r="I17">
            <v>0</v>
          </cell>
        </row>
        <row r="18">
          <cell r="A18" t="str">
            <v>יוספוביץ טלי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</row>
        <row r="19">
          <cell r="A19" t="str">
            <v>דורי כדורי דאי</v>
          </cell>
          <cell r="F19">
            <v>117.2</v>
          </cell>
          <cell r="G19">
            <v>9.67</v>
          </cell>
          <cell r="H19">
            <v>0</v>
          </cell>
          <cell r="I19">
            <v>0</v>
          </cell>
        </row>
        <row r="20">
          <cell r="A20" t="str">
            <v>סברא סמיר</v>
          </cell>
          <cell r="B20">
            <v>4617.3900000000003</v>
          </cell>
          <cell r="C20">
            <v>3573.2400000000002</v>
          </cell>
          <cell r="D20">
            <v>191253.03</v>
          </cell>
          <cell r="E20">
            <v>49255.67</v>
          </cell>
          <cell r="F20">
            <v>9841.73</v>
          </cell>
          <cell r="G20">
            <v>4572.0200000000004</v>
          </cell>
          <cell r="H20">
            <v>93601.24</v>
          </cell>
          <cell r="I20">
            <v>0</v>
          </cell>
        </row>
        <row r="21">
          <cell r="A21" t="str">
            <v>מחמוד פארס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</row>
        <row r="22">
          <cell r="A22" t="str">
            <v>ריזק חלבי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שלבי מיסון</v>
          </cell>
          <cell r="B23">
            <v>96391.169999999984</v>
          </cell>
          <cell r="C23">
            <v>2880.71</v>
          </cell>
          <cell r="F23">
            <v>103641.60000000001</v>
          </cell>
          <cell r="G23">
            <v>2177.16</v>
          </cell>
          <cell r="H23">
            <v>7024.02</v>
          </cell>
          <cell r="I23">
            <v>67844.820000000007</v>
          </cell>
        </row>
        <row r="24">
          <cell r="A24" t="str">
            <v>בחוס יוסף</v>
          </cell>
          <cell r="B24">
            <v>395911.49999999977</v>
          </cell>
          <cell r="C24">
            <v>46149.52</v>
          </cell>
          <cell r="D24">
            <v>132198.01</v>
          </cell>
          <cell r="E24">
            <v>641396.8600000001</v>
          </cell>
          <cell r="F24">
            <v>85557.209999999977</v>
          </cell>
          <cell r="G24">
            <v>32232.66</v>
          </cell>
          <cell r="H24">
            <v>50718.720000000001</v>
          </cell>
          <cell r="I24">
            <v>493385</v>
          </cell>
        </row>
        <row r="25">
          <cell r="A25" t="str">
            <v>חוסאם עוז אלדין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קליין סיון</v>
          </cell>
          <cell r="B26">
            <v>53480.7</v>
          </cell>
          <cell r="C26">
            <v>2993.9100000000003</v>
          </cell>
          <cell r="E26">
            <v>64035.98</v>
          </cell>
          <cell r="F26">
            <v>338264.61</v>
          </cell>
          <cell r="G26">
            <v>4802.2100000000009</v>
          </cell>
          <cell r="H26">
            <v>0</v>
          </cell>
          <cell r="I26">
            <v>371593.58999999997</v>
          </cell>
        </row>
        <row r="27">
          <cell r="A27" t="str">
            <v>צקותאי אורי</v>
          </cell>
          <cell r="C27">
            <v>7.82</v>
          </cell>
          <cell r="F27">
            <v>0</v>
          </cell>
          <cell r="G27">
            <v>1965.8400000000001</v>
          </cell>
          <cell r="H27">
            <v>0</v>
          </cell>
          <cell r="I27">
            <v>0</v>
          </cell>
        </row>
        <row r="28">
          <cell r="A28" t="str">
            <v>סמיר בלאן</v>
          </cell>
          <cell r="B28">
            <v>50.6</v>
          </cell>
          <cell r="C28">
            <v>2397.5</v>
          </cell>
          <cell r="F28">
            <v>31941.4</v>
          </cell>
          <cell r="G28">
            <v>4780.59</v>
          </cell>
          <cell r="H28">
            <v>0</v>
          </cell>
          <cell r="I28">
            <v>0</v>
          </cell>
        </row>
        <row r="29">
          <cell r="A29" t="str">
            <v>רפלוביץ מרינה</v>
          </cell>
          <cell r="C29">
            <v>3802.88</v>
          </cell>
          <cell r="F29">
            <v>9294.26</v>
          </cell>
          <cell r="G29">
            <v>234.43</v>
          </cell>
          <cell r="H29">
            <v>0</v>
          </cell>
          <cell r="I29">
            <v>0</v>
          </cell>
        </row>
        <row r="30">
          <cell r="A30" t="str">
            <v>רן בסין</v>
          </cell>
          <cell r="C30">
            <v>7.3</v>
          </cell>
          <cell r="F30">
            <v>0</v>
          </cell>
          <cell r="G30">
            <v>1.36</v>
          </cell>
          <cell r="H30">
            <v>0</v>
          </cell>
          <cell r="I30">
            <v>0</v>
          </cell>
        </row>
        <row r="31">
          <cell r="A31" t="str">
            <v>אלקרינאוי ראוף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</row>
        <row r="32">
          <cell r="A32" t="str">
            <v>דאי גדי</v>
          </cell>
          <cell r="B32">
            <v>597.52</v>
          </cell>
          <cell r="C32">
            <v>133.95000000000002</v>
          </cell>
          <cell r="D32">
            <v>10020.129999999999</v>
          </cell>
          <cell r="F32">
            <v>589219.95000000019</v>
          </cell>
          <cell r="G32">
            <v>59717.899999999965</v>
          </cell>
          <cell r="H32">
            <v>276102.74</v>
          </cell>
          <cell r="I32">
            <v>1174189.5299999998</v>
          </cell>
        </row>
        <row r="33">
          <cell r="A33" t="str">
            <v>מילאד אבו שקארה</v>
          </cell>
          <cell r="B33">
            <v>439.94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A34" t="str">
            <v>דראושה אדהם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A35" t="str">
            <v>בדארנה עומר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</row>
        <row r="36">
          <cell r="A36" t="str">
            <v>וסים חאטר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</row>
        <row r="37">
          <cell r="A37" t="str">
            <v>ערן שמילוביץ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A38" t="str">
            <v>לוי חיים</v>
          </cell>
          <cell r="B38">
            <v>2495.94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A39" t="str">
            <v>סה"כ סוכנים ערן</v>
          </cell>
          <cell r="B39">
            <v>632910.87999999954</v>
          </cell>
          <cell r="C39">
            <v>72043.650000000009</v>
          </cell>
          <cell r="D39">
            <v>333471.17000000004</v>
          </cell>
          <cell r="E39">
            <v>979451.67000000016</v>
          </cell>
          <cell r="F39">
            <v>1257722.5500000003</v>
          </cell>
          <cell r="G39">
            <v>128777.13999999996</v>
          </cell>
          <cell r="H39">
            <v>489111.74</v>
          </cell>
          <cell r="I39">
            <v>2545421.1799999997</v>
          </cell>
        </row>
        <row r="40">
          <cell r="A40" t="str">
            <v>טל אופטובסקי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גולדר אבי</v>
          </cell>
          <cell r="B41">
            <v>446.12</v>
          </cell>
          <cell r="F41">
            <v>0</v>
          </cell>
          <cell r="G41">
            <v>521.93999999999994</v>
          </cell>
          <cell r="H41">
            <v>0</v>
          </cell>
          <cell r="I41">
            <v>0</v>
          </cell>
        </row>
        <row r="42">
          <cell r="A42" t="str">
            <v>א.ד. אבידן ביטוחים בע"מ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</row>
        <row r="43">
          <cell r="A43" t="str">
            <v>אטיאס סיון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</row>
        <row r="44">
          <cell r="A44" t="str">
            <v>מטאנס זוהיר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</row>
        <row r="45">
          <cell r="A45" t="str">
            <v>סטולרז אסף</v>
          </cell>
          <cell r="B45">
            <v>15981.96</v>
          </cell>
          <cell r="C45">
            <v>1905.4</v>
          </cell>
          <cell r="D45">
            <v>74228.38</v>
          </cell>
          <cell r="F45">
            <v>19417.03</v>
          </cell>
          <cell r="G45">
            <v>72855.239999999976</v>
          </cell>
          <cell r="H45">
            <v>201630.52000000002</v>
          </cell>
          <cell r="I45">
            <v>101760.04000000001</v>
          </cell>
        </row>
        <row r="46">
          <cell r="A46" t="str">
            <v>גולן זכריה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חיים דנינו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</row>
        <row r="48">
          <cell r="A48" t="str">
            <v>לירון דדון</v>
          </cell>
          <cell r="F48">
            <v>0</v>
          </cell>
          <cell r="G48">
            <v>6654.8</v>
          </cell>
          <cell r="H48">
            <v>0</v>
          </cell>
          <cell r="I48">
            <v>0</v>
          </cell>
        </row>
        <row r="49">
          <cell r="A49" t="str">
            <v>דני פחימה</v>
          </cell>
          <cell r="B49">
            <v>38885.67</v>
          </cell>
          <cell r="D49">
            <v>10000.34</v>
          </cell>
          <cell r="E49">
            <v>103647.97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</row>
        <row r="50">
          <cell r="A50" t="str">
            <v>עאטף עדווי</v>
          </cell>
          <cell r="B50">
            <v>43394.77</v>
          </cell>
          <cell r="C50">
            <v>2419.58</v>
          </cell>
          <cell r="D50">
            <v>11988.66</v>
          </cell>
          <cell r="F50">
            <v>32366.7</v>
          </cell>
          <cell r="G50">
            <v>2046.1999999999998</v>
          </cell>
          <cell r="H50">
            <v>0</v>
          </cell>
          <cell r="I50">
            <v>0</v>
          </cell>
        </row>
        <row r="51">
          <cell r="A51" t="str">
            <v>דר סוכנות לביטוח</v>
          </cell>
          <cell r="B51">
            <v>55.53</v>
          </cell>
          <cell r="C51">
            <v>349.26</v>
          </cell>
          <cell r="F51">
            <v>148.27000000000001</v>
          </cell>
          <cell r="G51">
            <v>737.40000000000009</v>
          </cell>
          <cell r="H51">
            <v>0</v>
          </cell>
          <cell r="I51">
            <v>0</v>
          </cell>
        </row>
        <row r="52">
          <cell r="A52" t="str">
            <v>מכלול סוכנות לביטוח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</row>
        <row r="53">
          <cell r="A53" t="str">
            <v>גול זאב</v>
          </cell>
          <cell r="B53">
            <v>4343.32</v>
          </cell>
          <cell r="F53">
            <v>0</v>
          </cell>
          <cell r="G53">
            <v>502.92</v>
          </cell>
          <cell r="H53">
            <v>0</v>
          </cell>
          <cell r="I53">
            <v>0</v>
          </cell>
        </row>
        <row r="54">
          <cell r="A54" t="str">
            <v>עבוד כיתי</v>
          </cell>
        </row>
        <row r="55">
          <cell r="A55" t="str">
            <v>יעקב ישראל שטרן</v>
          </cell>
        </row>
        <row r="56">
          <cell r="A56" t="str">
            <v>בדר צבי</v>
          </cell>
          <cell r="C56">
            <v>1081.1799999999998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</row>
        <row r="57">
          <cell r="A57" t="str">
            <v>סוכנים לא מפוקחים</v>
          </cell>
          <cell r="B57">
            <v>103107.37</v>
          </cell>
          <cell r="C57">
            <v>5755.42</v>
          </cell>
          <cell r="D57">
            <v>96217.38</v>
          </cell>
          <cell r="E57">
            <v>103647.97</v>
          </cell>
          <cell r="F57">
            <v>51931.999999999993</v>
          </cell>
          <cell r="G57">
            <v>83318.499999999971</v>
          </cell>
          <cell r="H57">
            <v>201630.52000000002</v>
          </cell>
          <cell r="I57">
            <v>101760.04000000001</v>
          </cell>
        </row>
        <row r="58">
          <cell r="A58" t="str">
            <v>גלידר אנה</v>
          </cell>
          <cell r="B58">
            <v>26833.41</v>
          </cell>
          <cell r="C58">
            <v>1194.6300000000003</v>
          </cell>
          <cell r="D58">
            <v>165041.63</v>
          </cell>
          <cell r="E58">
            <v>582006.29</v>
          </cell>
          <cell r="F58">
            <v>57978.310000000005</v>
          </cell>
          <cell r="G58">
            <v>17568.280000000002</v>
          </cell>
          <cell r="H58">
            <v>6485.07</v>
          </cell>
          <cell r="I58">
            <v>373205.18</v>
          </cell>
        </row>
        <row r="59">
          <cell r="A59" t="str">
            <v>אביב מור יוסף</v>
          </cell>
          <cell r="D59">
            <v>61687.47</v>
          </cell>
        </row>
        <row r="60">
          <cell r="A60" t="str">
            <v>אריאל בר-חיים</v>
          </cell>
          <cell r="B60">
            <v>3734.56</v>
          </cell>
          <cell r="C60">
            <v>878.33</v>
          </cell>
          <cell r="F60">
            <v>0</v>
          </cell>
          <cell r="G60">
            <v>600.14</v>
          </cell>
          <cell r="H60">
            <v>0</v>
          </cell>
          <cell r="I60">
            <v>0</v>
          </cell>
        </row>
        <row r="61">
          <cell r="A61" t="str">
            <v>יונתן מנחם</v>
          </cell>
          <cell r="B61">
            <v>91915.12</v>
          </cell>
          <cell r="D61">
            <v>21600</v>
          </cell>
          <cell r="F61">
            <v>0</v>
          </cell>
          <cell r="G61">
            <v>3041.08</v>
          </cell>
          <cell r="H61">
            <v>13145.21</v>
          </cell>
          <cell r="I61">
            <v>0</v>
          </cell>
        </row>
        <row r="62">
          <cell r="A62" t="str">
            <v>שלי מזרחי</v>
          </cell>
          <cell r="B62">
            <v>174632.44</v>
          </cell>
          <cell r="C62">
            <v>5694.29</v>
          </cell>
          <cell r="D62">
            <v>254775.22</v>
          </cell>
          <cell r="E62">
            <v>515317.41000000003</v>
          </cell>
          <cell r="F62">
            <v>36475.199999999997</v>
          </cell>
          <cell r="G62">
            <v>21147.940000000002</v>
          </cell>
          <cell r="H62">
            <v>0</v>
          </cell>
          <cell r="I62">
            <v>0</v>
          </cell>
        </row>
        <row r="63">
          <cell r="A63" t="str">
            <v xml:space="preserve">אריאל דוברושין </v>
          </cell>
        </row>
        <row r="64">
          <cell r="A64" t="str">
            <v>חנה כצנלסון</v>
          </cell>
        </row>
        <row r="65">
          <cell r="A65" t="str">
            <v>ינאי חיים בוני</v>
          </cell>
        </row>
        <row r="66">
          <cell r="A66" t="str">
            <v xml:space="preserve">מיכאל וקסלר </v>
          </cell>
        </row>
        <row r="67">
          <cell r="A67" t="str">
            <v xml:space="preserve">שני לוי </v>
          </cell>
          <cell r="C67">
            <v>6118.12</v>
          </cell>
        </row>
        <row r="68">
          <cell r="A68" t="str">
            <v>אורטל לנג</v>
          </cell>
          <cell r="B68">
            <v>60276.61</v>
          </cell>
          <cell r="C68">
            <v>8068.49</v>
          </cell>
          <cell r="D68">
            <v>1613987.93</v>
          </cell>
          <cell r="E68">
            <v>1470077.86</v>
          </cell>
          <cell r="F68">
            <v>162235.41</v>
          </cell>
          <cell r="G68">
            <v>11111.62</v>
          </cell>
          <cell r="H68">
            <v>214955.97</v>
          </cell>
          <cell r="I68">
            <v>1156460.74</v>
          </cell>
        </row>
        <row r="69">
          <cell r="A69" t="str">
            <v>נעם זילברמן</v>
          </cell>
          <cell r="B69">
            <v>36833.300000000003</v>
          </cell>
          <cell r="C69">
            <v>6287.7699999999995</v>
          </cell>
          <cell r="D69">
            <v>809901.84</v>
          </cell>
          <cell r="E69">
            <v>626836.18999999994</v>
          </cell>
          <cell r="F69">
            <v>19441.599999999999</v>
          </cell>
          <cell r="G69">
            <v>3583.35</v>
          </cell>
          <cell r="H69">
            <v>30200.31</v>
          </cell>
          <cell r="I69">
            <v>107833.23</v>
          </cell>
        </row>
        <row r="70">
          <cell r="A70" t="str">
            <v>נור אבו ראס</v>
          </cell>
          <cell r="F70">
            <v>0</v>
          </cell>
          <cell r="G70">
            <v>6209.68</v>
          </cell>
          <cell r="H70">
            <v>0</v>
          </cell>
          <cell r="I70">
            <v>0</v>
          </cell>
        </row>
        <row r="71">
          <cell r="A71" t="str">
            <v>יהונתן שיוביץ</v>
          </cell>
          <cell r="F71">
            <v>0</v>
          </cell>
          <cell r="G71">
            <v>3759.17</v>
          </cell>
          <cell r="H71">
            <v>0</v>
          </cell>
          <cell r="I71">
            <v>0</v>
          </cell>
        </row>
        <row r="72">
          <cell r="A72" t="str">
            <v>רפאל גלעד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</row>
        <row r="73">
          <cell r="A73" t="str">
            <v>אחמד עלי אחמד</v>
          </cell>
        </row>
        <row r="74">
          <cell r="A74" t="str">
            <v>סיון פיינרו</v>
          </cell>
        </row>
        <row r="75">
          <cell r="A75" t="str">
            <v>לילי שרון</v>
          </cell>
          <cell r="C75">
            <v>119.23</v>
          </cell>
          <cell r="F75">
            <v>9468.4599999999991</v>
          </cell>
          <cell r="G75">
            <v>0</v>
          </cell>
          <cell r="H75">
            <v>0</v>
          </cell>
          <cell r="I75">
            <v>502560.61</v>
          </cell>
        </row>
        <row r="76">
          <cell r="A76" t="str">
            <v>שירלי בוכריס</v>
          </cell>
          <cell r="B76">
            <v>126084.63</v>
          </cell>
          <cell r="C76">
            <v>880.88</v>
          </cell>
          <cell r="D76">
            <v>223691.63</v>
          </cell>
        </row>
        <row r="77">
          <cell r="A77" t="str">
            <v>אלרם סוכנות לביטוח</v>
          </cell>
          <cell r="B77">
            <v>179768.45999999993</v>
          </cell>
          <cell r="C77">
            <v>6337.17</v>
          </cell>
          <cell r="D77">
            <v>186905.53999999998</v>
          </cell>
          <cell r="E77">
            <v>74723.38</v>
          </cell>
          <cell r="F77">
            <v>79051.149999999994</v>
          </cell>
          <cell r="G77">
            <v>17444.550000000003</v>
          </cell>
          <cell r="H77">
            <v>88906.07</v>
          </cell>
          <cell r="I77">
            <v>0</v>
          </cell>
        </row>
        <row r="78">
          <cell r="A78" t="str">
            <v>רכס אורן</v>
          </cell>
          <cell r="B78">
            <v>1.63</v>
          </cell>
          <cell r="C78">
            <v>2917.21</v>
          </cell>
          <cell r="D78">
            <v>219211.43</v>
          </cell>
          <cell r="F78">
            <v>0</v>
          </cell>
          <cell r="G78">
            <v>723.41000000000008</v>
          </cell>
          <cell r="H78">
            <v>0</v>
          </cell>
          <cell r="I78">
            <v>0</v>
          </cell>
        </row>
        <row r="79">
          <cell r="A79" t="str">
            <v>סה"כ פרימיום</v>
          </cell>
          <cell r="B79">
            <v>700080.15999999992</v>
          </cell>
          <cell r="C79">
            <v>38496.120000000003</v>
          </cell>
          <cell r="D79">
            <v>3556802.69</v>
          </cell>
          <cell r="E79">
            <v>3268961.1300000004</v>
          </cell>
          <cell r="F79">
            <v>364650.13</v>
          </cell>
          <cell r="G79">
            <v>85189.220000000016</v>
          </cell>
          <cell r="H79">
            <v>353692.63</v>
          </cell>
          <cell r="I79">
            <v>2140059.7599999998</v>
          </cell>
        </row>
        <row r="80">
          <cell r="A80" t="str">
            <v>סה"כ כולל</v>
          </cell>
          <cell r="B80">
            <v>1892839.0099999993</v>
          </cell>
          <cell r="C80">
            <v>235566.2</v>
          </cell>
          <cell r="D80">
            <v>6735164.7299999995</v>
          </cell>
          <cell r="E80">
            <v>7212605.5900000017</v>
          </cell>
          <cell r="F80">
            <v>1727329.05</v>
          </cell>
          <cell r="G80">
            <v>526211.93999999994</v>
          </cell>
          <cell r="H80">
            <v>1217814.51</v>
          </cell>
          <cell r="I80">
            <v>4991263.6099999994</v>
          </cell>
        </row>
      </sheetData>
      <sheetData sheetId="7">
        <row r="1">
          <cell r="B1">
            <v>2024</v>
          </cell>
        </row>
        <row r="2">
          <cell r="A2" t="str">
            <v>שם סוכן</v>
          </cell>
          <cell r="B2" t="str">
            <v>פנסיוני</v>
          </cell>
          <cell r="C2" t="str">
            <v xml:space="preserve">סיכונים </v>
          </cell>
          <cell r="D2" t="str">
            <v>פיננסים</v>
          </cell>
          <cell r="E2" t="str">
            <v>ניודי פנסיה</v>
          </cell>
        </row>
        <row r="3">
          <cell r="A3" t="str">
            <v>גל אלמגור סוכ</v>
          </cell>
          <cell r="B3">
            <v>221519.86261958827</v>
          </cell>
          <cell r="C3">
            <v>-546.82934858745284</v>
          </cell>
          <cell r="D3">
            <v>43171.035303008299</v>
          </cell>
          <cell r="E3">
            <v>523474.11999999988</v>
          </cell>
        </row>
        <row r="4">
          <cell r="A4" t="str">
            <v>דניאלה אביב</v>
          </cell>
          <cell r="B4">
            <v>6685.6731398647171</v>
          </cell>
          <cell r="C4">
            <v>0</v>
          </cell>
          <cell r="D4">
            <v>0</v>
          </cell>
          <cell r="E4">
            <v>566732.81000000006</v>
          </cell>
        </row>
        <row r="5">
          <cell r="A5" t="str">
            <v>סה"כ ישיר</v>
          </cell>
          <cell r="B5">
            <v>228205.53575945299</v>
          </cell>
          <cell r="C5">
            <v>-546.82934858745284</v>
          </cell>
          <cell r="D5">
            <v>43171.035303008299</v>
          </cell>
          <cell r="E5">
            <v>1090206.93</v>
          </cell>
        </row>
        <row r="6">
          <cell r="A6" t="str">
            <v>בראשית סוכנות לביטוח</v>
          </cell>
          <cell r="B6">
            <v>2415.028462434479</v>
          </cell>
          <cell r="C6">
            <v>0</v>
          </cell>
          <cell r="D6">
            <v>0</v>
          </cell>
        </row>
        <row r="7">
          <cell r="A7" t="str">
            <v>גל אלמגור דאוד סוכ' לב</v>
          </cell>
          <cell r="B7">
            <v>-14730.4846490663</v>
          </cell>
          <cell r="C7">
            <v>6725.1303066414775</v>
          </cell>
          <cell r="D7">
            <v>4895.04</v>
          </cell>
          <cell r="E7">
            <v>8305.619999999999</v>
          </cell>
        </row>
        <row r="8">
          <cell r="A8" t="str">
            <v>גל אלמגור -וייס סוכנות</v>
          </cell>
          <cell r="B8">
            <v>-10335.43759839992</v>
          </cell>
          <cell r="C8">
            <v>-3492.9180031201249</v>
          </cell>
          <cell r="D8">
            <v>0</v>
          </cell>
          <cell r="E8">
            <v>-914536.28</v>
          </cell>
        </row>
        <row r="9">
          <cell r="A9" t="str">
            <v>גל אלמגור דרום סוכ ל</v>
          </cell>
        </row>
        <row r="10">
          <cell r="A10" t="str">
            <v>משה שטרן גל אלמגור</v>
          </cell>
          <cell r="B10">
            <v>0</v>
          </cell>
          <cell r="C10">
            <v>-6914.2207680558586</v>
          </cell>
          <cell r="D10">
            <v>0</v>
          </cell>
          <cell r="E10">
            <v>266743.92</v>
          </cell>
        </row>
        <row r="11">
          <cell r="A11" t="str">
            <v>מקסימום סוכנות לבטוח פ</v>
          </cell>
          <cell r="B11">
            <v>952.10254002213799</v>
          </cell>
          <cell r="C11">
            <v>0</v>
          </cell>
          <cell r="D11">
            <v>0</v>
          </cell>
          <cell r="E11">
            <v>-16765.080000000002</v>
          </cell>
        </row>
        <row r="12">
          <cell r="A12" t="str">
            <v>סה"כ חברות בנות</v>
          </cell>
          <cell r="B12">
            <v>-21698.791245009605</v>
          </cell>
          <cell r="C12">
            <v>-3682.0084645345059</v>
          </cell>
          <cell r="D12">
            <v>4895.04</v>
          </cell>
          <cell r="E12">
            <v>-656251.81999999995</v>
          </cell>
        </row>
        <row r="13">
          <cell r="A13" t="str">
            <v>מועלם אלפרד</v>
          </cell>
          <cell r="B13">
            <v>0</v>
          </cell>
          <cell r="C13">
            <v>212.03674695256279</v>
          </cell>
          <cell r="D13">
            <v>0</v>
          </cell>
        </row>
        <row r="14">
          <cell r="A14" t="str">
            <v>יעקובסון רומן</v>
          </cell>
        </row>
        <row r="15">
          <cell r="A15" t="str">
            <v>רוקח מזל מלי</v>
          </cell>
        </row>
        <row r="16">
          <cell r="A16" t="str">
            <v>גרניק בנימין</v>
          </cell>
          <cell r="B16">
            <v>15313.54062453752</v>
          </cell>
          <cell r="C16">
            <v>0</v>
          </cell>
          <cell r="D16">
            <v>0</v>
          </cell>
          <cell r="E16">
            <v>-125703.22</v>
          </cell>
        </row>
        <row r="17">
          <cell r="A17" t="str">
            <v>סאוסן שלבי</v>
          </cell>
          <cell r="B17">
            <v>0</v>
          </cell>
          <cell r="C17">
            <v>4137.2871133333801</v>
          </cell>
          <cell r="D17">
            <v>11877.248911193539</v>
          </cell>
          <cell r="E17">
            <v>-2249.4099999999962</v>
          </cell>
        </row>
        <row r="18">
          <cell r="A18" t="str">
            <v>יוספוביץ טלי</v>
          </cell>
        </row>
        <row r="19">
          <cell r="A19" t="str">
            <v>דורי כדורי דאי</v>
          </cell>
        </row>
        <row r="20">
          <cell r="A20" t="str">
            <v>סברא סמיר</v>
          </cell>
        </row>
        <row r="21">
          <cell r="A21" t="str">
            <v>מחמוד פארס</v>
          </cell>
        </row>
        <row r="22">
          <cell r="A22" t="str">
            <v>ריזק חלבי</v>
          </cell>
          <cell r="B22">
            <v>0</v>
          </cell>
          <cell r="C22">
            <v>13645.49102121997</v>
          </cell>
          <cell r="D22">
            <v>0</v>
          </cell>
        </row>
        <row r="23">
          <cell r="A23" t="str">
            <v>שלבי מיסון</v>
          </cell>
        </row>
        <row r="24">
          <cell r="A24" t="str">
            <v>בחוס יוסף</v>
          </cell>
          <cell r="E24">
            <v>-384475.39</v>
          </cell>
        </row>
        <row r="25">
          <cell r="A25" t="str">
            <v>חוסאם עוז אלדין</v>
          </cell>
        </row>
        <row r="26">
          <cell r="A26" t="str">
            <v>קליין סיון</v>
          </cell>
          <cell r="B26">
            <v>12415.159379341459</v>
          </cell>
          <cell r="C26">
            <v>0</v>
          </cell>
          <cell r="D26">
            <v>0</v>
          </cell>
          <cell r="E26">
            <v>-145443.79999999999</v>
          </cell>
        </row>
        <row r="27">
          <cell r="A27" t="str">
            <v>צקותאי אורי</v>
          </cell>
        </row>
        <row r="28">
          <cell r="A28" t="str">
            <v>סמיר בלאן</v>
          </cell>
          <cell r="B28">
            <v>36000</v>
          </cell>
          <cell r="C28">
            <v>0</v>
          </cell>
          <cell r="D28">
            <v>42546.798651358811</v>
          </cell>
        </row>
        <row r="29">
          <cell r="A29" t="str">
            <v>רפלוביץ מרינה</v>
          </cell>
        </row>
        <row r="30">
          <cell r="A30" t="str">
            <v>רן בסין</v>
          </cell>
        </row>
        <row r="31">
          <cell r="A31" t="str">
            <v>אלקרינאוי ראוף</v>
          </cell>
        </row>
        <row r="32">
          <cell r="A32" t="str">
            <v>דאי גדי</v>
          </cell>
          <cell r="B32">
            <v>640999.44526268926</v>
          </cell>
          <cell r="C32">
            <v>122864.3456109962</v>
          </cell>
          <cell r="D32">
            <v>4059324.1758453152</v>
          </cell>
          <cell r="E32">
            <v>5254343.8000000026</v>
          </cell>
        </row>
        <row r="33">
          <cell r="A33" t="str">
            <v>מילאד אבו שקארה</v>
          </cell>
        </row>
        <row r="34">
          <cell r="A34" t="str">
            <v>דראושה אדהם</v>
          </cell>
        </row>
        <row r="35">
          <cell r="A35" t="str">
            <v>בדארנה עומר</v>
          </cell>
          <cell r="B35">
            <v>-17347.69979534551</v>
          </cell>
          <cell r="C35">
            <v>0</v>
          </cell>
          <cell r="D35">
            <v>0</v>
          </cell>
        </row>
        <row r="36">
          <cell r="A36" t="str">
            <v>וסים חאטר</v>
          </cell>
        </row>
        <row r="37">
          <cell r="A37" t="str">
            <v>ערן שמילוביץ</v>
          </cell>
        </row>
        <row r="38">
          <cell r="A38" t="str">
            <v>לוי חיים</v>
          </cell>
        </row>
        <row r="39">
          <cell r="A39" t="str">
            <v>סה"כ סוכנים ערן</v>
          </cell>
          <cell r="B39">
            <v>687380.44547122275</v>
          </cell>
          <cell r="C39">
            <v>140859.16049250212</v>
          </cell>
          <cell r="D39">
            <v>4113748.2234078674</v>
          </cell>
          <cell r="E39">
            <v>4596471.9800000023</v>
          </cell>
        </row>
        <row r="40">
          <cell r="A40" t="str">
            <v>טל אופטובסקי</v>
          </cell>
        </row>
        <row r="41">
          <cell r="A41" t="str">
            <v>גולדר אבי</v>
          </cell>
        </row>
        <row r="42">
          <cell r="A42" t="str">
            <v>א.ד. אבידן ביטוחים בע"מ</v>
          </cell>
        </row>
        <row r="43">
          <cell r="A43" t="str">
            <v>אטיאס סיון</v>
          </cell>
        </row>
        <row r="44">
          <cell r="A44" t="str">
            <v>מטאנס זוהיר</v>
          </cell>
        </row>
        <row r="45">
          <cell r="A45" t="str">
            <v>סטולרז אסף</v>
          </cell>
          <cell r="B45">
            <v>-8229.1559308530632</v>
          </cell>
          <cell r="C45">
            <v>0</v>
          </cell>
          <cell r="D45">
            <v>4513.0794942595548</v>
          </cell>
        </row>
        <row r="46">
          <cell r="A46" t="str">
            <v>גולן זכריה</v>
          </cell>
        </row>
        <row r="47">
          <cell r="A47" t="str">
            <v>חיים דנינו</v>
          </cell>
        </row>
        <row r="48">
          <cell r="A48" t="str">
            <v>לירון דדון</v>
          </cell>
        </row>
        <row r="49">
          <cell r="A49" t="str">
            <v>דני פחימה</v>
          </cell>
        </row>
        <row r="50">
          <cell r="A50" t="str">
            <v>עאטף עדווי</v>
          </cell>
        </row>
        <row r="51">
          <cell r="A51" t="str">
            <v>דר סוכנות לביטוח</v>
          </cell>
        </row>
        <row r="52">
          <cell r="A52" t="str">
            <v>מכלול סוכנות לביטוח</v>
          </cell>
        </row>
        <row r="53">
          <cell r="A53" t="str">
            <v>גול זאב</v>
          </cell>
        </row>
        <row r="54">
          <cell r="A54" t="str">
            <v>עבוד כיתי</v>
          </cell>
        </row>
        <row r="55">
          <cell r="A55" t="str">
            <v>יעקב ישראל שטרן</v>
          </cell>
        </row>
        <row r="56">
          <cell r="A56" t="str">
            <v>בדר צבי</v>
          </cell>
        </row>
        <row r="57">
          <cell r="A57" t="str">
            <v>סוכנים לא מפוקחים</v>
          </cell>
          <cell r="B57">
            <v>-8229.1559308530632</v>
          </cell>
          <cell r="C57">
            <v>0</v>
          </cell>
          <cell r="D57">
            <v>4513.0794942595548</v>
          </cell>
          <cell r="E57">
            <v>0</v>
          </cell>
        </row>
        <row r="58">
          <cell r="A58" t="str">
            <v>גלידר אנה</v>
          </cell>
          <cell r="B58">
            <v>0</v>
          </cell>
          <cell r="C58">
            <v>118795.7968816926</v>
          </cell>
          <cell r="D58">
            <v>204.19177445138789</v>
          </cell>
          <cell r="E58">
            <v>-11955.66</v>
          </cell>
        </row>
        <row r="59">
          <cell r="A59" t="str">
            <v>אביב מור יוסף</v>
          </cell>
          <cell r="B59">
            <v>87053.444878900278</v>
          </cell>
          <cell r="C59">
            <v>27865.22216228877</v>
          </cell>
          <cell r="D59">
            <v>1179477.5519183259</v>
          </cell>
          <cell r="E59">
            <v>1835168.9000000006</v>
          </cell>
        </row>
        <row r="60">
          <cell r="A60" t="str">
            <v>אריאל בר-חיים</v>
          </cell>
        </row>
        <row r="61">
          <cell r="A61" t="str">
            <v>יונתן מנחם</v>
          </cell>
        </row>
        <row r="62">
          <cell r="A62" t="str">
            <v>שלי מזרחי</v>
          </cell>
          <cell r="B62">
            <v>28425.028107762882</v>
          </cell>
          <cell r="C62">
            <v>2689.3585755364129</v>
          </cell>
          <cell r="D62">
            <v>0</v>
          </cell>
          <cell r="E62">
            <v>-177565.77999999997</v>
          </cell>
        </row>
        <row r="63">
          <cell r="A63" t="str">
            <v xml:space="preserve">אריאל דוברושין </v>
          </cell>
          <cell r="B63">
            <v>0</v>
          </cell>
          <cell r="C63">
            <v>8931.747178886133</v>
          </cell>
          <cell r="D63">
            <v>0</v>
          </cell>
        </row>
        <row r="64">
          <cell r="A64" t="str">
            <v>חנה כצנלסון</v>
          </cell>
        </row>
        <row r="65">
          <cell r="A65" t="str">
            <v>ינאי חיים בוני</v>
          </cell>
        </row>
        <row r="66">
          <cell r="A66" t="str">
            <v xml:space="preserve">מיכאל וקסלר </v>
          </cell>
        </row>
        <row r="67">
          <cell r="A67" t="str">
            <v xml:space="preserve">שני לוי </v>
          </cell>
        </row>
        <row r="68">
          <cell r="A68" t="str">
            <v>אורטל לנג</v>
          </cell>
          <cell r="B68">
            <v>1758.874117390355</v>
          </cell>
          <cell r="C68">
            <v>14510.363029144999</v>
          </cell>
          <cell r="D68">
            <v>0</v>
          </cell>
        </row>
        <row r="69">
          <cell r="A69" t="str">
            <v>נעם זילברמן</v>
          </cell>
          <cell r="B69">
            <v>6863.5160608044207</v>
          </cell>
          <cell r="C69">
            <v>0</v>
          </cell>
          <cell r="D69">
            <v>0</v>
          </cell>
        </row>
        <row r="70">
          <cell r="A70" t="str">
            <v>נור אבו ראס</v>
          </cell>
        </row>
        <row r="71">
          <cell r="A71" t="str">
            <v>יהונתן שיוביץ</v>
          </cell>
          <cell r="B71">
            <v>0</v>
          </cell>
          <cell r="C71">
            <v>-12688.12954195676</v>
          </cell>
          <cell r="D71">
            <v>0</v>
          </cell>
        </row>
        <row r="72">
          <cell r="A72" t="str">
            <v>רפאל גלעד</v>
          </cell>
        </row>
        <row r="73">
          <cell r="A73" t="str">
            <v>אחמד עלי אחמד</v>
          </cell>
        </row>
        <row r="74">
          <cell r="A74" t="str">
            <v>סיון פיינרו</v>
          </cell>
        </row>
        <row r="75">
          <cell r="A75" t="str">
            <v>לילי שרון</v>
          </cell>
        </row>
        <row r="76">
          <cell r="A76" t="str">
            <v>שירלי בוכריס</v>
          </cell>
          <cell r="B76">
            <v>20805.621145035886</v>
          </cell>
          <cell r="C76">
            <v>344.6588664438309</v>
          </cell>
          <cell r="D76">
            <v>0</v>
          </cell>
          <cell r="E76">
            <v>-224287.45</v>
          </cell>
        </row>
        <row r="77">
          <cell r="A77" t="str">
            <v>אלרם סוכנות לביטוח</v>
          </cell>
          <cell r="B77">
            <v>21685.656740126549</v>
          </cell>
          <cell r="C77">
            <v>-744.06734299354696</v>
          </cell>
          <cell r="D77">
            <v>0</v>
          </cell>
          <cell r="E77">
            <v>403000.35999999993</v>
          </cell>
        </row>
        <row r="78">
          <cell r="A78" t="str">
            <v>רכס אורן</v>
          </cell>
          <cell r="B78">
            <v>103620.00622772195</v>
          </cell>
          <cell r="C78">
            <v>-2090.2942040220305</v>
          </cell>
          <cell r="D78">
            <v>63129.672774888728</v>
          </cell>
          <cell r="E78">
            <v>-156647.75</v>
          </cell>
        </row>
        <row r="79">
          <cell r="A79" t="str">
            <v>סה"כ פרימיום</v>
          </cell>
          <cell r="B79">
            <v>270212.14727774233</v>
          </cell>
          <cell r="C79">
            <v>157614.65560502038</v>
          </cell>
          <cell r="D79">
            <v>1242811.4164676662</v>
          </cell>
          <cell r="E79">
            <v>1667712.6200000006</v>
          </cell>
        </row>
        <row r="80">
          <cell r="A80" t="str">
            <v>סה"כ כולל</v>
          </cell>
          <cell r="B80">
            <v>1155870.1813325554</v>
          </cell>
          <cell r="C80">
            <v>294244.97828440054</v>
          </cell>
          <cell r="D80">
            <v>5409138.7946728021</v>
          </cell>
          <cell r="E80">
            <v>6698139.7100000028</v>
          </cell>
        </row>
      </sheetData>
      <sheetData sheetId="8"/>
      <sheetData sheetId="9">
        <row r="1">
          <cell r="B1">
            <v>2024</v>
          </cell>
        </row>
        <row r="2">
          <cell r="A2" t="str">
            <v>שם סוכן</v>
          </cell>
          <cell r="B2" t="str">
            <v>פנסיוני</v>
          </cell>
          <cell r="C2" t="str">
            <v xml:space="preserve">סיכונים </v>
          </cell>
          <cell r="D2" t="str">
            <v>פיננסים</v>
          </cell>
          <cell r="E2" t="str">
            <v>ניודי פנסיה</v>
          </cell>
        </row>
        <row r="3">
          <cell r="A3" t="str">
            <v>גל אלמגור סוכ</v>
          </cell>
          <cell r="B3">
            <v>22080.000315000001</v>
          </cell>
          <cell r="C3">
            <v>2265.1889969999975</v>
          </cell>
          <cell r="D3">
            <v>0</v>
          </cell>
          <cell r="E3">
            <v>0</v>
          </cell>
        </row>
        <row r="4">
          <cell r="A4" t="str">
            <v>דניאלה אביב</v>
          </cell>
          <cell r="B4">
            <v>2797.1928029999999</v>
          </cell>
        </row>
        <row r="5">
          <cell r="A5" t="str">
            <v>סה"כ ישיר</v>
          </cell>
          <cell r="B5">
            <v>24877.193118000003</v>
          </cell>
          <cell r="C5">
            <v>2265.1889969999975</v>
          </cell>
          <cell r="D5">
            <v>0</v>
          </cell>
          <cell r="E5">
            <v>0</v>
          </cell>
        </row>
        <row r="6">
          <cell r="A6" t="str">
            <v>בראשית סוכנות לביטוח</v>
          </cell>
        </row>
        <row r="7">
          <cell r="A7" t="str">
            <v>גל אלמגור דאוד סוכ' לב</v>
          </cell>
          <cell r="C7">
            <v>17330.793237000002</v>
          </cell>
        </row>
        <row r="8">
          <cell r="A8" t="str">
            <v>גל אלמגור -וייס סוכנות</v>
          </cell>
        </row>
        <row r="9">
          <cell r="A9" t="str">
            <v>גל אלמגור דרום סוכ ל</v>
          </cell>
        </row>
        <row r="10">
          <cell r="A10" t="str">
            <v>משה שטרן גל אלמגור</v>
          </cell>
          <cell r="B10">
            <v>0</v>
          </cell>
          <cell r="C10">
            <v>19302.771059999995</v>
          </cell>
          <cell r="D10">
            <v>0</v>
          </cell>
          <cell r="E10">
            <v>0</v>
          </cell>
        </row>
        <row r="11">
          <cell r="A11" t="str">
            <v>מקסימום סוכנות לבטוח פ</v>
          </cell>
          <cell r="D11">
            <v>14985.832542</v>
          </cell>
        </row>
        <row r="12">
          <cell r="A12" t="str">
            <v>סה"כ חברות בנות</v>
          </cell>
          <cell r="B12">
            <v>0</v>
          </cell>
          <cell r="C12">
            <v>36633.564296999997</v>
          </cell>
          <cell r="D12">
            <v>14985.832542</v>
          </cell>
          <cell r="E12">
            <v>0</v>
          </cell>
        </row>
        <row r="13">
          <cell r="A13" t="str">
            <v>מועלם אלפרד</v>
          </cell>
          <cell r="B13">
            <v>399962.36971200001</v>
          </cell>
          <cell r="C13">
            <v>13651.643331000001</v>
          </cell>
          <cell r="D13">
            <v>65983.004637000005</v>
          </cell>
        </row>
        <row r="14">
          <cell r="A14" t="str">
            <v>יעקובסון רומן</v>
          </cell>
        </row>
        <row r="15">
          <cell r="A15" t="str">
            <v>רוקח מזל מלי</v>
          </cell>
        </row>
        <row r="16">
          <cell r="A16" t="str">
            <v>גרניק בנימין</v>
          </cell>
          <cell r="B16">
            <v>24780.001436999999</v>
          </cell>
          <cell r="C16">
            <v>4973.0682960000004</v>
          </cell>
          <cell r="D16">
            <v>80596.954227000009</v>
          </cell>
          <cell r="E16">
            <v>6786.4376549999997</v>
          </cell>
        </row>
        <row r="17">
          <cell r="A17" t="str">
            <v>סאוסן שלבי</v>
          </cell>
        </row>
        <row r="18">
          <cell r="A18" t="str">
            <v>יוספוביץ טלי</v>
          </cell>
        </row>
        <row r="19">
          <cell r="A19" t="str">
            <v>דורי כדורי דאי</v>
          </cell>
        </row>
        <row r="20">
          <cell r="A20" t="str">
            <v>סברא סמיר</v>
          </cell>
          <cell r="C20">
            <v>2834.4663419999997</v>
          </cell>
        </row>
        <row r="21">
          <cell r="A21" t="str">
            <v>מחמוד פארס</v>
          </cell>
        </row>
        <row r="22">
          <cell r="A22" t="str">
            <v>ריזק חלבי</v>
          </cell>
          <cell r="B22">
            <v>57836.887125000001</v>
          </cell>
          <cell r="C22">
            <v>1203.2162370000001</v>
          </cell>
          <cell r="E22">
            <v>108668.260029</v>
          </cell>
        </row>
        <row r="23">
          <cell r="A23" t="str">
            <v>שלבי מיסון</v>
          </cell>
          <cell r="C23">
            <v>16313.270993999999</v>
          </cell>
        </row>
        <row r="24">
          <cell r="A24" t="str">
            <v>בחוס יוסף</v>
          </cell>
          <cell r="C24">
            <v>1477.976253</v>
          </cell>
        </row>
        <row r="25">
          <cell r="A25" t="str">
            <v>חוסאם עוז אלדין</v>
          </cell>
        </row>
        <row r="26">
          <cell r="A26" t="str">
            <v>קליין סיון</v>
          </cell>
          <cell r="B26">
            <v>146573.15310900001</v>
          </cell>
          <cell r="C26">
            <v>6506.3567759999987</v>
          </cell>
          <cell r="D26">
            <v>476342.83561499999</v>
          </cell>
          <cell r="E26">
            <v>297924.01497299998</v>
          </cell>
        </row>
        <row r="27">
          <cell r="A27" t="str">
            <v>צקותאי אורי</v>
          </cell>
        </row>
        <row r="28">
          <cell r="A28" t="str">
            <v>סמיר בלאן</v>
          </cell>
        </row>
        <row r="29">
          <cell r="A29" t="str">
            <v>רפלוביץ מרינה</v>
          </cell>
          <cell r="B29">
            <v>0</v>
          </cell>
          <cell r="C29">
            <v>3974.8084019999997</v>
          </cell>
        </row>
        <row r="30">
          <cell r="A30" t="str">
            <v>רן בסין</v>
          </cell>
          <cell r="C30">
            <v>-1692.8731230000001</v>
          </cell>
        </row>
        <row r="31">
          <cell r="A31" t="str">
            <v>אלקרינאוי ראוף</v>
          </cell>
        </row>
        <row r="32">
          <cell r="A32" t="str">
            <v>דאי גדי</v>
          </cell>
        </row>
        <row r="33">
          <cell r="A33" t="str">
            <v>מילאד אבו שקארה</v>
          </cell>
        </row>
        <row r="34">
          <cell r="A34" t="str">
            <v>דראושה אדהם</v>
          </cell>
          <cell r="E34">
            <v>3931.1965740000001</v>
          </cell>
        </row>
        <row r="35">
          <cell r="A35" t="str">
            <v>בדארנה עומר</v>
          </cell>
        </row>
        <row r="36">
          <cell r="A36" t="str">
            <v>וסים חאטר</v>
          </cell>
        </row>
        <row r="37">
          <cell r="A37" t="str">
            <v>ערן שמילוביץ</v>
          </cell>
        </row>
        <row r="38">
          <cell r="A38" t="str">
            <v>לוי חיים</v>
          </cell>
        </row>
        <row r="39">
          <cell r="A39" t="str">
            <v>סה"כ סוכנים ערן</v>
          </cell>
          <cell r="B39">
            <v>629152.41138299997</v>
          </cell>
          <cell r="C39">
            <v>49241.933508000009</v>
          </cell>
          <cell r="D39">
            <v>622922.79447900003</v>
          </cell>
          <cell r="E39">
            <v>417309.909231</v>
          </cell>
        </row>
        <row r="40">
          <cell r="A40" t="str">
            <v>טל אופטובסקי</v>
          </cell>
        </row>
        <row r="41">
          <cell r="A41" t="str">
            <v>גולדר אבי</v>
          </cell>
          <cell r="D41">
            <v>8787.0408960000004</v>
          </cell>
        </row>
        <row r="42">
          <cell r="A42" t="str">
            <v>א.ד. אבידן ביטוחים בע"מ</v>
          </cell>
        </row>
        <row r="43">
          <cell r="A43" t="str">
            <v>אטיאס סיון</v>
          </cell>
        </row>
        <row r="44">
          <cell r="A44" t="str">
            <v>מטאנס זוהיר</v>
          </cell>
        </row>
        <row r="45">
          <cell r="A45" t="str">
            <v>סטולרז אסף</v>
          </cell>
        </row>
        <row r="46">
          <cell r="A46" t="str">
            <v>גולן זכריה</v>
          </cell>
        </row>
        <row r="47">
          <cell r="A47" t="str">
            <v>חיים דנינו</v>
          </cell>
        </row>
        <row r="48">
          <cell r="A48" t="str">
            <v>לירון דדון</v>
          </cell>
        </row>
        <row r="49">
          <cell r="A49" t="str">
            <v>דני פחימה</v>
          </cell>
        </row>
        <row r="50">
          <cell r="A50" t="str">
            <v>עאטף עדווי</v>
          </cell>
        </row>
        <row r="51">
          <cell r="A51" t="str">
            <v>דר סוכנות לביטוח</v>
          </cell>
        </row>
        <row r="52">
          <cell r="A52" t="str">
            <v>מכלול סוכנות לביטוח</v>
          </cell>
        </row>
        <row r="53">
          <cell r="A53" t="str">
            <v>גול זאב</v>
          </cell>
          <cell r="B53">
            <v>36787.195623</v>
          </cell>
          <cell r="C53">
            <v>0</v>
          </cell>
          <cell r="D53">
            <v>89.011026000000001</v>
          </cell>
          <cell r="E53">
            <v>15623.53866</v>
          </cell>
        </row>
        <row r="54">
          <cell r="A54" t="str">
            <v>עבוד כיתי</v>
          </cell>
        </row>
        <row r="55">
          <cell r="A55" t="str">
            <v>יעקב ישראל שטרן</v>
          </cell>
        </row>
        <row r="56">
          <cell r="A56" t="str">
            <v>בדר צבי</v>
          </cell>
        </row>
        <row r="57">
          <cell r="A57" t="str">
            <v>סוכנים לא מפוקחים</v>
          </cell>
          <cell r="B57">
            <v>36787.195623</v>
          </cell>
          <cell r="C57">
            <v>0</v>
          </cell>
          <cell r="D57">
            <v>8876.0519220000006</v>
          </cell>
          <cell r="E57">
            <v>15623.53866</v>
          </cell>
        </row>
        <row r="58">
          <cell r="A58" t="str">
            <v>גלידר אנה</v>
          </cell>
        </row>
        <row r="59">
          <cell r="A59" t="str">
            <v>אביב מור יוסף</v>
          </cell>
          <cell r="C59">
            <v>0</v>
          </cell>
          <cell r="E59">
            <v>4175.5850490000003</v>
          </cell>
        </row>
        <row r="60">
          <cell r="A60" t="str">
            <v>אריאל בר-חיים</v>
          </cell>
          <cell r="C60">
            <v>0</v>
          </cell>
          <cell r="D60">
            <v>31984.106213999999</v>
          </cell>
        </row>
        <row r="61">
          <cell r="A61" t="str">
            <v>יונתן מנחם</v>
          </cell>
        </row>
        <row r="62">
          <cell r="A62" t="str">
            <v>שלי מזרחי</v>
          </cell>
          <cell r="B62">
            <v>103893.369819</v>
          </cell>
          <cell r="C62">
            <v>80557.219616999966</v>
          </cell>
          <cell r="D62">
            <v>193421.86693200003</v>
          </cell>
          <cell r="E62">
            <v>251782.040997</v>
          </cell>
        </row>
        <row r="63">
          <cell r="A63" t="str">
            <v xml:space="preserve">אריאל דוברושין </v>
          </cell>
        </row>
        <row r="64">
          <cell r="A64" t="str">
            <v>חנה כצנלסון</v>
          </cell>
          <cell r="C64">
            <v>3495.68325</v>
          </cell>
        </row>
        <row r="65">
          <cell r="A65" t="str">
            <v>ינאי חיים בוני</v>
          </cell>
          <cell r="B65">
            <v>5999.9948549999999</v>
          </cell>
          <cell r="D65">
            <v>19019.239182000001</v>
          </cell>
        </row>
        <row r="66">
          <cell r="A66" t="str">
            <v xml:space="preserve">מיכאל וקסלר </v>
          </cell>
        </row>
        <row r="67">
          <cell r="A67" t="str">
            <v xml:space="preserve">שני לוי </v>
          </cell>
          <cell r="C67">
            <v>16122.833595000004</v>
          </cell>
        </row>
        <row r="68">
          <cell r="A68" t="str">
            <v>אורטל לנג</v>
          </cell>
          <cell r="C68">
            <v>-2651.7971280000002</v>
          </cell>
          <cell r="D68">
            <v>18920.631354000001</v>
          </cell>
          <cell r="E68">
            <v>708.84344399999998</v>
          </cell>
        </row>
        <row r="69">
          <cell r="A69" t="str">
            <v>נעם זילברמן</v>
          </cell>
        </row>
        <row r="70">
          <cell r="A70" t="str">
            <v>נור אבו ראס</v>
          </cell>
        </row>
        <row r="71">
          <cell r="A71" t="str">
            <v>יהונתן שיוביץ</v>
          </cell>
        </row>
        <row r="72">
          <cell r="A72" t="str">
            <v>רפאל גלעד</v>
          </cell>
        </row>
        <row r="73">
          <cell r="A73" t="str">
            <v>אחמד עלי אחמד</v>
          </cell>
          <cell r="B73">
            <v>9600.0055169999996</v>
          </cell>
          <cell r="C73">
            <v>12241.353405</v>
          </cell>
        </row>
        <row r="74">
          <cell r="A74" t="str">
            <v>סיון פיינרו</v>
          </cell>
          <cell r="E74">
            <v>4700.6318609999998</v>
          </cell>
        </row>
        <row r="75">
          <cell r="A75" t="str">
            <v>לילי שרון</v>
          </cell>
        </row>
        <row r="76">
          <cell r="A76" t="str">
            <v>שירלי בוכריס</v>
          </cell>
          <cell r="C76">
            <v>1279.8944100000001</v>
          </cell>
          <cell r="D76">
            <v>7994.3285519999999</v>
          </cell>
        </row>
        <row r="77">
          <cell r="A77" t="str">
            <v>אלרם סוכנות לביטוח</v>
          </cell>
        </row>
        <row r="78">
          <cell r="A78" t="str">
            <v>רכס אורן</v>
          </cell>
          <cell r="C78">
            <v>-203.45770200000001</v>
          </cell>
          <cell r="D78">
            <v>54746.772228000002</v>
          </cell>
        </row>
        <row r="79">
          <cell r="A79" t="str">
            <v>סה"כ פרימיום</v>
          </cell>
          <cell r="B79">
            <v>119493.37019099999</v>
          </cell>
          <cell r="C79">
            <v>110841.72944699996</v>
          </cell>
          <cell r="D79">
            <v>326086.94446199998</v>
          </cell>
          <cell r="E79">
            <v>261367.10135099999</v>
          </cell>
        </row>
        <row r="80">
          <cell r="A80" t="str">
            <v>סה"כ כולל</v>
          </cell>
          <cell r="B80">
            <v>810310.170315</v>
          </cell>
          <cell r="C80">
            <v>198982.41624899997</v>
          </cell>
          <cell r="D80">
            <v>972871.62340500008</v>
          </cell>
          <cell r="E80">
            <v>694300.54924199998</v>
          </cell>
        </row>
      </sheetData>
      <sheetData sheetId="10">
        <row r="1">
          <cell r="B1">
            <v>2024</v>
          </cell>
        </row>
        <row r="2">
          <cell r="A2" t="str">
            <v>שם סוכן</v>
          </cell>
          <cell r="B2" t="str">
            <v>פנסיוני</v>
          </cell>
          <cell r="C2" t="str">
            <v xml:space="preserve">סיכונים </v>
          </cell>
          <cell r="D2" t="str">
            <v>פיננסים</v>
          </cell>
          <cell r="E2" t="str">
            <v>ניודי פנסיה</v>
          </cell>
        </row>
        <row r="3">
          <cell r="A3" t="str">
            <v>גל אלמגור סוכ</v>
          </cell>
          <cell r="B3">
            <v>0</v>
          </cell>
          <cell r="C3">
            <v>978.612573</v>
          </cell>
          <cell r="D3">
            <v>287021.54999999993</v>
          </cell>
          <cell r="E3">
            <v>5664</v>
          </cell>
        </row>
        <row r="4">
          <cell r="A4" t="str">
            <v>דניאלה אביב</v>
          </cell>
          <cell r="D4">
            <v>621131.62</v>
          </cell>
        </row>
        <row r="5">
          <cell r="A5" t="str">
            <v>סה"כ ישיר</v>
          </cell>
          <cell r="B5">
            <v>0</v>
          </cell>
          <cell r="C5">
            <v>978.612573</v>
          </cell>
          <cell r="D5">
            <v>908153.16999999993</v>
          </cell>
          <cell r="E5">
            <v>5664</v>
          </cell>
        </row>
        <row r="6">
          <cell r="A6" t="str">
            <v>בראשית סוכנות לביטוח</v>
          </cell>
        </row>
        <row r="7">
          <cell r="A7" t="str">
            <v>גל אלמגור דאוד סוכ' לב</v>
          </cell>
        </row>
        <row r="8">
          <cell r="A8" t="str">
            <v>גל אלמגור -וייס סוכנות</v>
          </cell>
        </row>
        <row r="9">
          <cell r="A9" t="str">
            <v>גל אלמגור דרום סוכ ל</v>
          </cell>
        </row>
        <row r="10">
          <cell r="A10" t="str">
            <v>משה שטרן גל אלמגור</v>
          </cell>
          <cell r="D10">
            <v>64075.95</v>
          </cell>
        </row>
        <row r="11">
          <cell r="A11" t="str">
            <v>מקסימום סוכנות לבטוח פ</v>
          </cell>
        </row>
        <row r="12">
          <cell r="A12" t="str">
            <v>סה"כ חברות בנות</v>
          </cell>
          <cell r="B12">
            <v>0</v>
          </cell>
          <cell r="C12">
            <v>0</v>
          </cell>
          <cell r="D12">
            <v>64075.95</v>
          </cell>
          <cell r="E12">
            <v>0</v>
          </cell>
        </row>
        <row r="13">
          <cell r="A13" t="str">
            <v>מועלם אלפרד</v>
          </cell>
        </row>
        <row r="14">
          <cell r="A14" t="str">
            <v>יעקובסון רומן</v>
          </cell>
        </row>
        <row r="15">
          <cell r="A15" t="str">
            <v>רוקח מזל מלי</v>
          </cell>
        </row>
        <row r="16">
          <cell r="A16" t="str">
            <v>גרניק בנימין</v>
          </cell>
        </row>
        <row r="17">
          <cell r="A17" t="str">
            <v>סאוסן שלבי</v>
          </cell>
        </row>
        <row r="18">
          <cell r="A18" t="str">
            <v>יוספוביץ טלי</v>
          </cell>
        </row>
        <row r="19">
          <cell r="A19" t="str">
            <v>דורי כדורי דאי</v>
          </cell>
        </row>
        <row r="20">
          <cell r="A20" t="str">
            <v>סברא סמיר</v>
          </cell>
          <cell r="B20">
            <v>44511.040097999998</v>
          </cell>
          <cell r="C20">
            <v>1371.6964829999999</v>
          </cell>
          <cell r="E20">
            <v>217702</v>
          </cell>
        </row>
        <row r="21">
          <cell r="A21" t="str">
            <v>מחמוד פארס</v>
          </cell>
        </row>
        <row r="22">
          <cell r="A22" t="str">
            <v>ריזק חלבי</v>
          </cell>
          <cell r="C22">
            <v>13890.628449</v>
          </cell>
        </row>
        <row r="23">
          <cell r="A23" t="str">
            <v>שלבי מיסון</v>
          </cell>
        </row>
        <row r="24">
          <cell r="A24" t="str">
            <v>בחוס יוסף</v>
          </cell>
        </row>
        <row r="25">
          <cell r="A25" t="str">
            <v>חוסאם עוז אלדין</v>
          </cell>
        </row>
        <row r="26">
          <cell r="A26" t="str">
            <v>קליין סיון</v>
          </cell>
        </row>
        <row r="27">
          <cell r="A27" t="str">
            <v>צקותאי אורי</v>
          </cell>
        </row>
        <row r="28">
          <cell r="A28" t="str">
            <v>סמיר בלאן</v>
          </cell>
        </row>
        <row r="29">
          <cell r="A29" t="str">
            <v>רפלוביץ מרינה</v>
          </cell>
        </row>
        <row r="30">
          <cell r="A30" t="str">
            <v>רן בסין</v>
          </cell>
        </row>
        <row r="31">
          <cell r="A31" t="str">
            <v>אלקרינאוי ראוף</v>
          </cell>
        </row>
        <row r="32">
          <cell r="A32" t="str">
            <v>דאי גדי</v>
          </cell>
        </row>
        <row r="33">
          <cell r="A33" t="str">
            <v>מילאד אבו שקארה</v>
          </cell>
        </row>
        <row r="34">
          <cell r="A34" t="str">
            <v>דראושה אדהם</v>
          </cell>
        </row>
        <row r="35">
          <cell r="A35" t="str">
            <v>בדארנה עומר</v>
          </cell>
        </row>
        <row r="36">
          <cell r="A36" t="str">
            <v>וסים חאטר</v>
          </cell>
        </row>
        <row r="37">
          <cell r="A37" t="str">
            <v>ערן שמילוביץ</v>
          </cell>
        </row>
        <row r="38">
          <cell r="A38" t="str">
            <v>לוי חיים</v>
          </cell>
        </row>
        <row r="39">
          <cell r="A39" t="str">
            <v>סה"כ סוכנים ערן</v>
          </cell>
          <cell r="B39">
            <v>44511.040097999998</v>
          </cell>
          <cell r="C39">
            <v>15262.324932</v>
          </cell>
          <cell r="D39">
            <v>0</v>
          </cell>
          <cell r="E39">
            <v>217702</v>
          </cell>
        </row>
        <row r="40">
          <cell r="A40" t="str">
            <v>טל אופטובסקי</v>
          </cell>
        </row>
        <row r="41">
          <cell r="A41" t="str">
            <v>גולדר אבי</v>
          </cell>
        </row>
        <row r="42">
          <cell r="A42" t="str">
            <v>א.ד. אבידן ביטוחים בע"מ</v>
          </cell>
        </row>
        <row r="43">
          <cell r="A43" t="str">
            <v>אטיאס סיון</v>
          </cell>
        </row>
        <row r="44">
          <cell r="A44" t="str">
            <v>מטאנס זוהיר</v>
          </cell>
        </row>
        <row r="45">
          <cell r="A45" t="str">
            <v>סטולרז אסף</v>
          </cell>
        </row>
        <row r="46">
          <cell r="A46" t="str">
            <v>גולן זכריה</v>
          </cell>
        </row>
        <row r="47">
          <cell r="A47" t="str">
            <v>חיים דנינו</v>
          </cell>
        </row>
        <row r="48">
          <cell r="A48" t="str">
            <v>לירון דדון</v>
          </cell>
        </row>
        <row r="49">
          <cell r="A49" t="str">
            <v>דני פחימה</v>
          </cell>
        </row>
        <row r="50">
          <cell r="A50" t="str">
            <v>עאטף עדווי</v>
          </cell>
        </row>
        <row r="51">
          <cell r="A51" t="str">
            <v>דר סוכנות לביטוח</v>
          </cell>
        </row>
        <row r="52">
          <cell r="A52" t="str">
            <v>מכלול סוכנות לביטוח</v>
          </cell>
        </row>
        <row r="53">
          <cell r="A53" t="str">
            <v>גול זאב</v>
          </cell>
        </row>
        <row r="54">
          <cell r="A54" t="str">
            <v>עבוד כיתי</v>
          </cell>
        </row>
        <row r="55">
          <cell r="A55" t="str">
            <v>יעקב ישראל שטרן</v>
          </cell>
          <cell r="D55">
            <v>79000</v>
          </cell>
        </row>
        <row r="56">
          <cell r="A56" t="str">
            <v>בדר צבי</v>
          </cell>
        </row>
        <row r="57">
          <cell r="A57" t="str">
            <v>סוכנים לא מפוקחים</v>
          </cell>
          <cell r="B57">
            <v>0</v>
          </cell>
          <cell r="C57">
            <v>0</v>
          </cell>
          <cell r="D57">
            <v>79000</v>
          </cell>
          <cell r="E57">
            <v>0</v>
          </cell>
        </row>
        <row r="58">
          <cell r="A58" t="str">
            <v>גלידר אנה</v>
          </cell>
        </row>
        <row r="59">
          <cell r="A59" t="str">
            <v>אביב מור יוסף</v>
          </cell>
          <cell r="D59">
            <v>23977.321068000001</v>
          </cell>
          <cell r="E59">
            <v>1937</v>
          </cell>
        </row>
        <row r="60">
          <cell r="A60" t="str">
            <v>אריאל בר-חיים</v>
          </cell>
          <cell r="B60">
            <v>4247.0386020000005</v>
          </cell>
          <cell r="D60">
            <v>165836.57000000004</v>
          </cell>
        </row>
        <row r="61">
          <cell r="A61" t="str">
            <v>יונתן מנחם</v>
          </cell>
        </row>
        <row r="62">
          <cell r="A62" t="str">
            <v>שלי מזרחי</v>
          </cell>
        </row>
        <row r="63">
          <cell r="A63" t="str">
            <v xml:space="preserve">אריאל דוברושין </v>
          </cell>
        </row>
        <row r="64">
          <cell r="A64" t="str">
            <v>חנה כצנלסון</v>
          </cell>
          <cell r="D64">
            <v>77999.75</v>
          </cell>
        </row>
        <row r="65">
          <cell r="A65" t="str">
            <v>ינאי חיים בוני</v>
          </cell>
          <cell r="B65">
            <v>8987.5975589999998</v>
          </cell>
          <cell r="E65">
            <v>55089</v>
          </cell>
        </row>
        <row r="66">
          <cell r="A66" t="str">
            <v xml:space="preserve">מיכאל וקסלר </v>
          </cell>
        </row>
        <row r="67">
          <cell r="A67" t="str">
            <v xml:space="preserve">שני לוי </v>
          </cell>
          <cell r="E67">
            <v>90372</v>
          </cell>
        </row>
        <row r="68">
          <cell r="A68" t="str">
            <v>אורטל לנג</v>
          </cell>
          <cell r="B68">
            <v>20350.513605</v>
          </cell>
          <cell r="E68">
            <v>25523</v>
          </cell>
        </row>
        <row r="69">
          <cell r="A69" t="str">
            <v>נעם זילברמן</v>
          </cell>
        </row>
        <row r="70">
          <cell r="A70" t="str">
            <v>נור אבו ראס</v>
          </cell>
        </row>
        <row r="71">
          <cell r="A71" t="str">
            <v>יהונתן שיוביץ</v>
          </cell>
        </row>
        <row r="72">
          <cell r="A72" t="str">
            <v>רפאל גלעד</v>
          </cell>
        </row>
        <row r="73">
          <cell r="A73" t="str">
            <v>אחמד עלי אחמד</v>
          </cell>
          <cell r="D73">
            <v>30000</v>
          </cell>
        </row>
        <row r="74">
          <cell r="A74" t="str">
            <v>סיון פיינרו</v>
          </cell>
        </row>
        <row r="75">
          <cell r="A75" t="str">
            <v>לילי שרון</v>
          </cell>
        </row>
        <row r="76">
          <cell r="A76" t="str">
            <v>שירלי בוכריס</v>
          </cell>
        </row>
        <row r="77">
          <cell r="A77" t="str">
            <v>אלרם סוכנות לביטוח</v>
          </cell>
          <cell r="D77">
            <v>560983.42999999993</v>
          </cell>
          <cell r="E77">
            <v>58281</v>
          </cell>
        </row>
        <row r="78">
          <cell r="A78" t="str">
            <v>רכס אורן</v>
          </cell>
          <cell r="C78">
            <v>1715.5589729999999</v>
          </cell>
          <cell r="D78">
            <v>1364370.14</v>
          </cell>
          <cell r="E78">
            <v>83824</v>
          </cell>
        </row>
        <row r="79">
          <cell r="A79" t="str">
            <v>סה"כ פרימיום</v>
          </cell>
          <cell r="B79">
            <v>33585.149766000002</v>
          </cell>
          <cell r="C79">
            <v>1715.5589729999999</v>
          </cell>
          <cell r="D79">
            <v>2223167.2110679997</v>
          </cell>
          <cell r="E79">
            <v>315026</v>
          </cell>
        </row>
        <row r="80">
          <cell r="A80" t="str">
            <v>סה"כ כולל</v>
          </cell>
          <cell r="B80">
            <v>78096.189864</v>
          </cell>
          <cell r="C80">
            <v>17956.496477999997</v>
          </cell>
          <cell r="D80">
            <v>3274396.3310679998</v>
          </cell>
          <cell r="E80">
            <v>538392</v>
          </cell>
        </row>
      </sheetData>
      <sheetData sheetId="11"/>
      <sheetData sheetId="12">
        <row r="1">
          <cell r="B1">
            <v>2024</v>
          </cell>
          <cell r="F1">
            <v>2023</v>
          </cell>
        </row>
        <row r="2">
          <cell r="A2" t="str">
            <v>שם סוכן</v>
          </cell>
          <cell r="B2" t="str">
            <v>פנסיוני</v>
          </cell>
          <cell r="C2" t="str">
            <v xml:space="preserve">סיכונים </v>
          </cell>
          <cell r="D2" t="str">
            <v>פיננסים</v>
          </cell>
          <cell r="E2" t="str">
            <v>ניודי פנסיה</v>
          </cell>
          <cell r="F2" t="str">
            <v>פנסיוני</v>
          </cell>
          <cell r="G2" t="str">
            <v xml:space="preserve">סיכונים </v>
          </cell>
          <cell r="H2" t="str">
            <v>פיננסים</v>
          </cell>
          <cell r="I2" t="str">
            <v xml:space="preserve">ניודי פנסיה </v>
          </cell>
        </row>
        <row r="3">
          <cell r="A3" t="str">
            <v>גל אלמגור סוכ</v>
          </cell>
          <cell r="D3">
            <v>44490.34</v>
          </cell>
          <cell r="H3">
            <v>866268.94000000006</v>
          </cell>
        </row>
        <row r="4">
          <cell r="A4" t="str">
            <v>דניאלה אביב</v>
          </cell>
          <cell r="H4">
            <v>0</v>
          </cell>
        </row>
        <row r="5">
          <cell r="A5" t="str">
            <v>סה"כ ישיר</v>
          </cell>
          <cell r="B5">
            <v>0</v>
          </cell>
          <cell r="C5">
            <v>0</v>
          </cell>
          <cell r="D5">
            <v>44490.34</v>
          </cell>
          <cell r="E5">
            <v>0</v>
          </cell>
          <cell r="F5">
            <v>0</v>
          </cell>
          <cell r="G5">
            <v>0</v>
          </cell>
          <cell r="H5">
            <v>866268.94000000006</v>
          </cell>
          <cell r="I5">
            <v>0</v>
          </cell>
        </row>
        <row r="6">
          <cell r="A6" t="str">
            <v>בראשית סוכנות לביטוח</v>
          </cell>
          <cell r="H6">
            <v>0</v>
          </cell>
        </row>
        <row r="7">
          <cell r="A7" t="str">
            <v>גל אלמגור דאוד סוכ' לב</v>
          </cell>
          <cell r="H7">
            <v>0</v>
          </cell>
        </row>
        <row r="8">
          <cell r="A8" t="str">
            <v>גל אלמגור -וייס סוכנות</v>
          </cell>
          <cell r="H8">
            <v>9426.7999999999993</v>
          </cell>
        </row>
        <row r="9">
          <cell r="A9" t="str">
            <v>גל אלמגור דרום סוכ ל</v>
          </cell>
          <cell r="H9">
            <v>0</v>
          </cell>
        </row>
        <row r="10">
          <cell r="A10" t="str">
            <v>משה שטרן גל אלמגור</v>
          </cell>
          <cell r="H10">
            <v>0</v>
          </cell>
        </row>
        <row r="11">
          <cell r="A11" t="str">
            <v>מקסימום סוכנות לבטוח פ</v>
          </cell>
          <cell r="H11">
            <v>6284.6</v>
          </cell>
        </row>
        <row r="12">
          <cell r="A12" t="str">
            <v>סה"כ חברות בנות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15711.4</v>
          </cell>
          <cell r="I12">
            <v>0</v>
          </cell>
        </row>
        <row r="13">
          <cell r="A13" t="str">
            <v>מועלם אלפרד</v>
          </cell>
          <cell r="H13">
            <v>0</v>
          </cell>
        </row>
        <row r="14">
          <cell r="A14" t="str">
            <v>יעקובסון רומן</v>
          </cell>
          <cell r="H14">
            <v>0</v>
          </cell>
        </row>
        <row r="15">
          <cell r="A15" t="str">
            <v>רוקח מזל מלי</v>
          </cell>
          <cell r="H15">
            <v>0</v>
          </cell>
        </row>
        <row r="16">
          <cell r="A16" t="str">
            <v>גרניק בנימין</v>
          </cell>
          <cell r="H16">
            <v>0</v>
          </cell>
        </row>
        <row r="17">
          <cell r="A17" t="str">
            <v>סאוסן שלבי</v>
          </cell>
          <cell r="H17">
            <v>0</v>
          </cell>
        </row>
        <row r="18">
          <cell r="A18" t="str">
            <v>יוספוביץ טלי</v>
          </cell>
          <cell r="H18">
            <v>0</v>
          </cell>
        </row>
        <row r="19">
          <cell r="A19" t="str">
            <v>דורי כדורי דאי</v>
          </cell>
          <cell r="H19">
            <v>0</v>
          </cell>
        </row>
        <row r="20">
          <cell r="A20" t="str">
            <v>סברא סמיר</v>
          </cell>
          <cell r="H20">
            <v>0</v>
          </cell>
        </row>
        <row r="21">
          <cell r="A21" t="str">
            <v>מחמוד פארס</v>
          </cell>
          <cell r="H21">
            <v>0</v>
          </cell>
        </row>
        <row r="22">
          <cell r="A22" t="str">
            <v>ריזק חלבי</v>
          </cell>
          <cell r="H22">
            <v>0</v>
          </cell>
        </row>
        <row r="23">
          <cell r="A23" t="str">
            <v>שלבי מיסון</v>
          </cell>
          <cell r="H23">
            <v>0</v>
          </cell>
        </row>
        <row r="24">
          <cell r="A24" t="str">
            <v>בחוס יוסף</v>
          </cell>
          <cell r="H24">
            <v>0</v>
          </cell>
        </row>
        <row r="25">
          <cell r="A25" t="str">
            <v>חוסאם עוז אלדין</v>
          </cell>
          <cell r="H25">
            <v>0</v>
          </cell>
        </row>
        <row r="26">
          <cell r="A26" t="str">
            <v>קליין סיון</v>
          </cell>
          <cell r="H26">
            <v>0</v>
          </cell>
        </row>
        <row r="27">
          <cell r="A27" t="str">
            <v>צקותאי אורי</v>
          </cell>
          <cell r="H27">
            <v>0</v>
          </cell>
        </row>
        <row r="28">
          <cell r="A28" t="str">
            <v>סמיר בלאן</v>
          </cell>
          <cell r="H28">
            <v>0</v>
          </cell>
        </row>
        <row r="29">
          <cell r="A29" t="str">
            <v>רפלוביץ מרינה</v>
          </cell>
          <cell r="H29">
            <v>7400</v>
          </cell>
        </row>
        <row r="30">
          <cell r="A30" t="str">
            <v>רן בסין</v>
          </cell>
          <cell r="H30">
            <v>0</v>
          </cell>
        </row>
        <row r="31">
          <cell r="A31" t="str">
            <v>אלקרינאוי ראוף</v>
          </cell>
          <cell r="H31">
            <v>0</v>
          </cell>
        </row>
        <row r="32">
          <cell r="A32" t="str">
            <v>דאי גדי</v>
          </cell>
          <cell r="H32">
            <v>0</v>
          </cell>
        </row>
        <row r="33">
          <cell r="A33" t="str">
            <v>מילאד אבו שקארה</v>
          </cell>
          <cell r="H33">
            <v>0</v>
          </cell>
        </row>
        <row r="34">
          <cell r="A34" t="str">
            <v>דראושה אדהם</v>
          </cell>
          <cell r="H34">
            <v>0</v>
          </cell>
        </row>
        <row r="35">
          <cell r="A35" t="str">
            <v>בדארנה עומר</v>
          </cell>
          <cell r="H35">
            <v>0</v>
          </cell>
        </row>
        <row r="36">
          <cell r="A36" t="str">
            <v>וסים חאטר</v>
          </cell>
          <cell r="H36">
            <v>0</v>
          </cell>
        </row>
        <row r="37">
          <cell r="A37" t="str">
            <v>ערן שמילוביץ</v>
          </cell>
          <cell r="H37">
            <v>0</v>
          </cell>
        </row>
        <row r="38">
          <cell r="A38" t="str">
            <v>לוי חיים</v>
          </cell>
          <cell r="H38">
            <v>0</v>
          </cell>
        </row>
        <row r="39">
          <cell r="A39" t="str">
            <v>סה"כ סוכנים ערן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7400</v>
          </cell>
          <cell r="I39">
            <v>0</v>
          </cell>
        </row>
        <row r="40">
          <cell r="A40" t="str">
            <v>טל אופטובסקי</v>
          </cell>
          <cell r="H40">
            <v>3142.4</v>
          </cell>
        </row>
        <row r="41">
          <cell r="A41" t="str">
            <v>גולדר אבי</v>
          </cell>
          <cell r="H41">
            <v>0</v>
          </cell>
        </row>
        <row r="42">
          <cell r="A42" t="str">
            <v>א.ד. אבידן ביטוחים בע"מ</v>
          </cell>
          <cell r="H42">
            <v>0</v>
          </cell>
        </row>
        <row r="43">
          <cell r="A43" t="str">
            <v>אטיאס סיון</v>
          </cell>
          <cell r="H43">
            <v>0</v>
          </cell>
        </row>
        <row r="44">
          <cell r="A44" t="str">
            <v>מטאנס זוהיר</v>
          </cell>
          <cell r="H44">
            <v>0</v>
          </cell>
        </row>
        <row r="45">
          <cell r="A45" t="str">
            <v>סטולרז אסף</v>
          </cell>
          <cell r="H45">
            <v>0</v>
          </cell>
        </row>
        <row r="46">
          <cell r="A46" t="str">
            <v>גולן זכריה</v>
          </cell>
          <cell r="H46">
            <v>0</v>
          </cell>
        </row>
        <row r="47">
          <cell r="A47" t="str">
            <v>חיים דנינו</v>
          </cell>
          <cell r="H47">
            <v>0</v>
          </cell>
        </row>
        <row r="48">
          <cell r="A48" t="str">
            <v>לירון דדון</v>
          </cell>
          <cell r="H48">
            <v>0</v>
          </cell>
        </row>
        <row r="49">
          <cell r="A49" t="str">
            <v>דני פחימה</v>
          </cell>
          <cell r="H49">
            <v>0</v>
          </cell>
        </row>
        <row r="50">
          <cell r="A50" t="str">
            <v>עאטף עדווי</v>
          </cell>
          <cell r="H50">
            <v>0</v>
          </cell>
        </row>
        <row r="51">
          <cell r="A51" t="str">
            <v>דר סוכנות לביטוח</v>
          </cell>
          <cell r="H51">
            <v>0</v>
          </cell>
        </row>
        <row r="52">
          <cell r="A52" t="str">
            <v>מכלול סוכנות לביטוח</v>
          </cell>
        </row>
        <row r="53">
          <cell r="A53" t="str">
            <v>גול זאב</v>
          </cell>
        </row>
        <row r="54">
          <cell r="A54" t="str">
            <v>עבוד כיתי</v>
          </cell>
        </row>
        <row r="55">
          <cell r="A55" t="str">
            <v>יעקב ישראל שטרן</v>
          </cell>
        </row>
        <row r="56">
          <cell r="A56" t="str">
            <v>בדר צבי</v>
          </cell>
          <cell r="H56">
            <v>0</v>
          </cell>
        </row>
        <row r="57">
          <cell r="A57" t="str">
            <v>סוכנים לא מפוקחים</v>
          </cell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3142.4</v>
          </cell>
          <cell r="I57">
            <v>0</v>
          </cell>
        </row>
        <row r="58">
          <cell r="A58" t="str">
            <v>גלידר אנה</v>
          </cell>
          <cell r="D58">
            <v>164956.01999999996</v>
          </cell>
          <cell r="H58">
            <v>134169.01</v>
          </cell>
        </row>
        <row r="59">
          <cell r="A59" t="str">
            <v>אביב מור יוסף</v>
          </cell>
          <cell r="D59">
            <v>559461.71</v>
          </cell>
        </row>
        <row r="60">
          <cell r="A60" t="str">
            <v>אריאל בר-חיים</v>
          </cell>
        </row>
        <row r="61">
          <cell r="A61" t="str">
            <v>יונתן מנחם</v>
          </cell>
        </row>
        <row r="62">
          <cell r="A62" t="str">
            <v>שלי מזרחי</v>
          </cell>
        </row>
        <row r="63">
          <cell r="A63" t="str">
            <v xml:space="preserve">אריאל דוברושין </v>
          </cell>
        </row>
        <row r="64">
          <cell r="A64" t="str">
            <v>חנה כצנלסון</v>
          </cell>
        </row>
        <row r="65">
          <cell r="A65" t="str">
            <v>ינאי חיים בוני</v>
          </cell>
        </row>
        <row r="66">
          <cell r="A66" t="str">
            <v xml:space="preserve">מיכאל וקסלר </v>
          </cell>
        </row>
        <row r="67">
          <cell r="A67" t="str">
            <v xml:space="preserve">שני לוי </v>
          </cell>
        </row>
        <row r="68">
          <cell r="A68" t="str">
            <v>אורטל לנג</v>
          </cell>
          <cell r="D68">
            <v>323787.42</v>
          </cell>
        </row>
        <row r="69">
          <cell r="A69" t="str">
            <v>נעם זילברמן</v>
          </cell>
        </row>
        <row r="70">
          <cell r="A70" t="str">
            <v>נור אבו ראס</v>
          </cell>
        </row>
        <row r="71">
          <cell r="A71" t="str">
            <v>יהונתן שיוביץ</v>
          </cell>
        </row>
        <row r="72">
          <cell r="A72" t="str">
            <v>רפאל גלעד</v>
          </cell>
        </row>
        <row r="73">
          <cell r="A73" t="str">
            <v>אחמד עלי אחמד</v>
          </cell>
        </row>
        <row r="74">
          <cell r="A74" t="str">
            <v>סיון פיינרו</v>
          </cell>
        </row>
        <row r="75">
          <cell r="A75" t="str">
            <v>לילי שרון</v>
          </cell>
        </row>
        <row r="76">
          <cell r="A76" t="str">
            <v>שירלי בוכריס</v>
          </cell>
        </row>
        <row r="77">
          <cell r="A77" t="str">
            <v>אלרם סוכנות לביטוח</v>
          </cell>
          <cell r="D77">
            <v>209244.09999999998</v>
          </cell>
          <cell r="H77">
            <v>1606.62</v>
          </cell>
        </row>
        <row r="78">
          <cell r="A78" t="str">
            <v>רכס אורן</v>
          </cell>
          <cell r="D78">
            <v>18480.599999999999</v>
          </cell>
          <cell r="H78">
            <v>769634.78999999992</v>
          </cell>
        </row>
        <row r="79">
          <cell r="A79" t="str">
            <v>סה"כ פרימיום</v>
          </cell>
          <cell r="B79">
            <v>0</v>
          </cell>
          <cell r="C79">
            <v>0</v>
          </cell>
          <cell r="D79">
            <v>1275929.8500000001</v>
          </cell>
          <cell r="E79">
            <v>0</v>
          </cell>
          <cell r="F79">
            <v>0</v>
          </cell>
          <cell r="G79">
            <v>0</v>
          </cell>
          <cell r="H79">
            <v>905410.41999999993</v>
          </cell>
          <cell r="I79">
            <v>0</v>
          </cell>
        </row>
        <row r="80">
          <cell r="A80" t="str">
            <v>סה"כ כולל</v>
          </cell>
          <cell r="B80">
            <v>0</v>
          </cell>
          <cell r="C80">
            <v>0</v>
          </cell>
          <cell r="D80">
            <v>1320420.1900000002</v>
          </cell>
          <cell r="E80">
            <v>0</v>
          </cell>
          <cell r="F80">
            <v>0</v>
          </cell>
          <cell r="G80">
            <v>0</v>
          </cell>
          <cell r="H80">
            <v>1797933.1600000001</v>
          </cell>
          <cell r="I80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דוח הנהלה"/>
      <sheetName val="תפוקה מצטברת מול אשתקד"/>
      <sheetName val="תפוקה מצטברת מול יעד מצטבר"/>
      <sheetName val="תפוקה מול יעד חודשי"/>
      <sheetName val="עולים יורדים"/>
      <sheetName val="הכשרה"/>
      <sheetName val="מגדל"/>
      <sheetName val="מנורה"/>
      <sheetName val="איילון"/>
      <sheetName val="הראל"/>
      <sheetName val="הפניקס"/>
      <sheetName val="כלל"/>
      <sheetName val="מור"/>
      <sheetName val="אלטשולר שח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/>
        </row>
      </sheetData>
      <sheetData sheetId="8">
        <row r="1">
          <cell r="A1"/>
          <cell r="B1">
            <v>2024</v>
          </cell>
          <cell r="C1"/>
          <cell r="D1"/>
          <cell r="E1"/>
        </row>
        <row r="2">
          <cell r="A2" t="str">
            <v>שם סוכן</v>
          </cell>
          <cell r="B2" t="str">
            <v>פנסיוני</v>
          </cell>
          <cell r="C2" t="str">
            <v xml:space="preserve">סיכונים </v>
          </cell>
          <cell r="D2" t="str">
            <v>פיננסים</v>
          </cell>
          <cell r="E2" t="str">
            <v>ניודי פנסיה</v>
          </cell>
        </row>
        <row r="3">
          <cell r="A3" t="str">
            <v>גל אלמגור סוכ</v>
          </cell>
          <cell r="B3"/>
          <cell r="C3">
            <v>23925.17</v>
          </cell>
          <cell r="D3"/>
          <cell r="E3"/>
        </row>
        <row r="4">
          <cell r="A4" t="str">
            <v>דניאלה אביב</v>
          </cell>
          <cell r="B4"/>
          <cell r="C4"/>
          <cell r="D4"/>
          <cell r="E4"/>
        </row>
        <row r="5">
          <cell r="A5" t="str">
            <v>סה"כ ישיר</v>
          </cell>
          <cell r="B5">
            <v>0</v>
          </cell>
          <cell r="C5">
            <v>23925.17</v>
          </cell>
          <cell r="D5">
            <v>0</v>
          </cell>
          <cell r="E5">
            <v>0</v>
          </cell>
        </row>
        <row r="6">
          <cell r="A6" t="str">
            <v>בראשית סוכנות לביטוח</v>
          </cell>
          <cell r="B6"/>
          <cell r="C6"/>
          <cell r="D6"/>
          <cell r="E6"/>
        </row>
        <row r="7">
          <cell r="A7" t="str">
            <v>גל אלמגור דאוד סוכ' לב</v>
          </cell>
          <cell r="B7"/>
          <cell r="C7"/>
          <cell r="D7"/>
          <cell r="E7"/>
        </row>
        <row r="8">
          <cell r="A8" t="str">
            <v>גל אלמגור -וייס סוכנות</v>
          </cell>
          <cell r="B8"/>
          <cell r="C8"/>
          <cell r="D8"/>
          <cell r="E8"/>
        </row>
        <row r="9">
          <cell r="A9" t="str">
            <v>גל אלמגור דרום סוכ ל</v>
          </cell>
          <cell r="B9"/>
          <cell r="C9"/>
          <cell r="D9"/>
          <cell r="E9"/>
        </row>
        <row r="10">
          <cell r="A10" t="str">
            <v>משה שטרן גל אלמגור</v>
          </cell>
          <cell r="B10"/>
          <cell r="C10">
            <v>4856.829999999999</v>
          </cell>
          <cell r="D10"/>
          <cell r="E10"/>
        </row>
        <row r="11">
          <cell r="A11" t="str">
            <v>מקסימום סוכנות לבטוח פ</v>
          </cell>
          <cell r="B11"/>
          <cell r="C11">
            <v>1281.3899999999999</v>
          </cell>
          <cell r="D11"/>
          <cell r="E11"/>
        </row>
        <row r="12">
          <cell r="A12" t="str">
            <v>סה"כ חברות בנות</v>
          </cell>
          <cell r="B12">
            <v>0</v>
          </cell>
          <cell r="C12">
            <v>6138.2199999999993</v>
          </cell>
          <cell r="D12">
            <v>0</v>
          </cell>
          <cell r="E12">
            <v>0</v>
          </cell>
        </row>
        <row r="13">
          <cell r="A13" t="str">
            <v>מועלם אלפרד</v>
          </cell>
          <cell r="B13"/>
          <cell r="C13"/>
          <cell r="D13"/>
          <cell r="E13"/>
        </row>
        <row r="14">
          <cell r="A14" t="str">
            <v>יעקובסון רומן</v>
          </cell>
          <cell r="B14"/>
          <cell r="C14"/>
          <cell r="D14"/>
          <cell r="E14"/>
        </row>
        <row r="15">
          <cell r="A15" t="str">
            <v>רוקח מזל מלי</v>
          </cell>
          <cell r="B15"/>
          <cell r="C15"/>
          <cell r="D15"/>
          <cell r="E15"/>
        </row>
        <row r="16">
          <cell r="A16" t="str">
            <v>גרניק בנימין</v>
          </cell>
          <cell r="B16"/>
          <cell r="C16"/>
          <cell r="D16"/>
          <cell r="E16"/>
        </row>
        <row r="17">
          <cell r="A17" t="str">
            <v>סאוסן שלבי</v>
          </cell>
          <cell r="B17"/>
          <cell r="C17"/>
          <cell r="D17"/>
          <cell r="E17"/>
        </row>
        <row r="18">
          <cell r="A18" t="str">
            <v>יוספוביץ טלי</v>
          </cell>
          <cell r="B18"/>
          <cell r="C18"/>
          <cell r="D18"/>
          <cell r="E18"/>
        </row>
        <row r="19">
          <cell r="A19" t="str">
            <v>דורי כדורי דאי</v>
          </cell>
          <cell r="B19"/>
          <cell r="C19"/>
          <cell r="D19"/>
          <cell r="E19"/>
        </row>
        <row r="20">
          <cell r="A20" t="str">
            <v>סברא סמיר</v>
          </cell>
          <cell r="B20"/>
          <cell r="C20">
            <v>9695.5499999999975</v>
          </cell>
          <cell r="D20"/>
          <cell r="E20"/>
        </row>
        <row r="21">
          <cell r="A21" t="str">
            <v>מחמוד פארס</v>
          </cell>
          <cell r="B21"/>
          <cell r="C21"/>
          <cell r="D21"/>
          <cell r="E21"/>
        </row>
        <row r="22">
          <cell r="A22" t="str">
            <v>ריזק חלבי</v>
          </cell>
          <cell r="B22"/>
          <cell r="C22"/>
          <cell r="D22"/>
          <cell r="E22"/>
        </row>
        <row r="23">
          <cell r="A23" t="str">
            <v>שלבי מיסון</v>
          </cell>
          <cell r="B23"/>
          <cell r="C23"/>
          <cell r="D23"/>
          <cell r="E23"/>
        </row>
        <row r="24">
          <cell r="A24" t="str">
            <v>בחוס יוסף</v>
          </cell>
          <cell r="B24"/>
          <cell r="C24"/>
          <cell r="D24"/>
          <cell r="E24"/>
        </row>
        <row r="25">
          <cell r="A25" t="str">
            <v>חוסאם עוז אלדין</v>
          </cell>
          <cell r="B25"/>
          <cell r="C25"/>
          <cell r="D25"/>
          <cell r="E25"/>
        </row>
        <row r="26">
          <cell r="A26" t="str">
            <v>קליין סיון</v>
          </cell>
          <cell r="B26"/>
          <cell r="C26"/>
          <cell r="D26"/>
          <cell r="E26"/>
        </row>
        <row r="27">
          <cell r="A27" t="str">
            <v>צקותאי אורי</v>
          </cell>
          <cell r="B27"/>
          <cell r="C27"/>
          <cell r="D27"/>
          <cell r="E27"/>
        </row>
        <row r="28">
          <cell r="A28" t="str">
            <v>סמיר בלאן</v>
          </cell>
          <cell r="B28"/>
          <cell r="C28"/>
          <cell r="D28"/>
          <cell r="E28"/>
        </row>
        <row r="29">
          <cell r="A29" t="str">
            <v>רפלוביץ מרינה</v>
          </cell>
          <cell r="B29"/>
          <cell r="C29"/>
          <cell r="D29"/>
          <cell r="E29"/>
        </row>
        <row r="30">
          <cell r="A30" t="str">
            <v>רן בסין</v>
          </cell>
          <cell r="B30"/>
          <cell r="C30"/>
          <cell r="D30"/>
          <cell r="E30"/>
        </row>
        <row r="31">
          <cell r="A31" t="str">
            <v>אלקרינאוי ראוף</v>
          </cell>
          <cell r="B31"/>
          <cell r="C31"/>
          <cell r="D31"/>
          <cell r="E31"/>
        </row>
        <row r="32">
          <cell r="A32" t="str">
            <v>דאי גדי</v>
          </cell>
          <cell r="B32"/>
          <cell r="C32"/>
          <cell r="D32"/>
          <cell r="E32"/>
        </row>
        <row r="33">
          <cell r="A33" t="str">
            <v>מילאד אבו שקארה</v>
          </cell>
          <cell r="B33"/>
          <cell r="C33"/>
          <cell r="D33"/>
          <cell r="E33"/>
        </row>
        <row r="34">
          <cell r="A34" t="str">
            <v>דראושה אדהם</v>
          </cell>
          <cell r="B34"/>
          <cell r="C34"/>
          <cell r="D34"/>
          <cell r="E34"/>
        </row>
        <row r="35">
          <cell r="A35" t="str">
            <v>בדארנה עומר</v>
          </cell>
          <cell r="B35"/>
          <cell r="C35"/>
          <cell r="D35"/>
          <cell r="E35"/>
        </row>
        <row r="36">
          <cell r="A36" t="str">
            <v>וסים חאטר</v>
          </cell>
          <cell r="B36"/>
          <cell r="C36"/>
          <cell r="D36"/>
          <cell r="E36"/>
        </row>
        <row r="37">
          <cell r="A37" t="str">
            <v>ערן שמילוביץ</v>
          </cell>
          <cell r="B37"/>
          <cell r="C37"/>
          <cell r="D37"/>
          <cell r="E37"/>
        </row>
        <row r="38">
          <cell r="A38" t="str">
            <v>לוי חיים</v>
          </cell>
          <cell r="B38"/>
          <cell r="C38"/>
          <cell r="D38"/>
          <cell r="E38"/>
        </row>
        <row r="39">
          <cell r="A39" t="str">
            <v>סה"כ סוכנים ערן</v>
          </cell>
          <cell r="B39">
            <v>0</v>
          </cell>
          <cell r="C39">
            <v>9695.5499999999975</v>
          </cell>
          <cell r="D39">
            <v>0</v>
          </cell>
          <cell r="E39">
            <v>0</v>
          </cell>
        </row>
        <row r="40">
          <cell r="A40" t="str">
            <v>טל אופטובסקי</v>
          </cell>
          <cell r="B40"/>
          <cell r="C40"/>
          <cell r="D40"/>
          <cell r="E40"/>
        </row>
        <row r="41">
          <cell r="A41" t="str">
            <v>גולדר אבי</v>
          </cell>
          <cell r="B41"/>
          <cell r="C41"/>
          <cell r="D41"/>
          <cell r="E41"/>
        </row>
        <row r="42">
          <cell r="A42" t="str">
            <v>א.ד. אבידן ביטוחים בע"מ</v>
          </cell>
          <cell r="B42"/>
          <cell r="C42"/>
          <cell r="D42"/>
          <cell r="E42"/>
        </row>
        <row r="43">
          <cell r="A43" t="str">
            <v>אטיאס סיון</v>
          </cell>
          <cell r="B43"/>
          <cell r="C43"/>
          <cell r="D43"/>
          <cell r="E43"/>
        </row>
        <row r="44">
          <cell r="A44" t="str">
            <v>מטאנס זוהיר</v>
          </cell>
          <cell r="B44"/>
          <cell r="C44"/>
          <cell r="D44"/>
          <cell r="E44"/>
        </row>
        <row r="45">
          <cell r="A45" t="str">
            <v>סטולרז אסף</v>
          </cell>
          <cell r="B45"/>
          <cell r="C45"/>
          <cell r="D45"/>
          <cell r="E45"/>
        </row>
        <row r="46">
          <cell r="A46" t="str">
            <v>גולן זכריה</v>
          </cell>
          <cell r="B46"/>
          <cell r="C46"/>
          <cell r="D46"/>
          <cell r="E46"/>
        </row>
        <row r="47">
          <cell r="A47" t="str">
            <v>חיים דנינו</v>
          </cell>
          <cell r="B47"/>
          <cell r="C47"/>
          <cell r="D47"/>
          <cell r="E47"/>
        </row>
        <row r="48">
          <cell r="A48" t="str">
            <v>לירון דדון</v>
          </cell>
          <cell r="B48"/>
          <cell r="C48"/>
          <cell r="D48"/>
          <cell r="E48"/>
        </row>
        <row r="49">
          <cell r="A49" t="str">
            <v>דני פחימה</v>
          </cell>
          <cell r="B49"/>
          <cell r="C49"/>
          <cell r="D49"/>
          <cell r="E49"/>
        </row>
        <row r="50">
          <cell r="A50" t="str">
            <v>עאטף עדווי</v>
          </cell>
          <cell r="B50"/>
          <cell r="C50"/>
          <cell r="D50"/>
          <cell r="E50"/>
        </row>
        <row r="51">
          <cell r="A51" t="str">
            <v>דר סוכנות לביטוח</v>
          </cell>
          <cell r="B51"/>
          <cell r="C51"/>
          <cell r="D51"/>
          <cell r="E51"/>
        </row>
        <row r="52">
          <cell r="A52" t="str">
            <v>מכלול סוכנות לביטוח</v>
          </cell>
          <cell r="B52"/>
          <cell r="C52"/>
          <cell r="D52"/>
          <cell r="E52"/>
        </row>
        <row r="53">
          <cell r="A53" t="str">
            <v>גול זאב</v>
          </cell>
          <cell r="B53"/>
          <cell r="C53"/>
          <cell r="D53"/>
          <cell r="E53"/>
        </row>
        <row r="54">
          <cell r="A54" t="str">
            <v>עבוד כיתי</v>
          </cell>
          <cell r="B54"/>
          <cell r="C54"/>
          <cell r="D54"/>
          <cell r="E54"/>
        </row>
        <row r="55">
          <cell r="A55" t="str">
            <v>יעקב ישראל שטרן</v>
          </cell>
          <cell r="B55"/>
          <cell r="C55"/>
          <cell r="D55"/>
          <cell r="E55"/>
        </row>
        <row r="56">
          <cell r="A56" t="str">
            <v>בדר צבי</v>
          </cell>
          <cell r="B56"/>
          <cell r="C56"/>
          <cell r="D56"/>
          <cell r="E56"/>
        </row>
        <row r="57">
          <cell r="A57" t="str">
            <v>סוכנים לא מפוקחים</v>
          </cell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A58" t="str">
            <v>גלידר אנה</v>
          </cell>
          <cell r="B58"/>
          <cell r="C58"/>
          <cell r="D58"/>
          <cell r="E58"/>
        </row>
        <row r="59">
          <cell r="A59" t="str">
            <v>אביב מור יוסף</v>
          </cell>
          <cell r="B59"/>
          <cell r="C59"/>
          <cell r="D59"/>
          <cell r="E59"/>
        </row>
        <row r="60">
          <cell r="A60" t="str">
            <v>אריאל בר-חיים</v>
          </cell>
          <cell r="B60"/>
          <cell r="C60">
            <v>1566.4699999999998</v>
          </cell>
          <cell r="D60"/>
          <cell r="E60"/>
        </row>
        <row r="61">
          <cell r="A61" t="str">
            <v>יונתן מנחם</v>
          </cell>
          <cell r="B61"/>
          <cell r="C61"/>
          <cell r="D61"/>
          <cell r="E61"/>
        </row>
        <row r="62">
          <cell r="A62" t="str">
            <v>שלי מזרחי</v>
          </cell>
          <cell r="B62"/>
          <cell r="C62"/>
          <cell r="D62"/>
          <cell r="E62"/>
        </row>
        <row r="63">
          <cell r="A63" t="str">
            <v xml:space="preserve">אריאל דוברושין </v>
          </cell>
          <cell r="B63"/>
          <cell r="C63">
            <v>2517</v>
          </cell>
          <cell r="D63"/>
          <cell r="E63"/>
        </row>
        <row r="64">
          <cell r="A64" t="str">
            <v>חנה כצנלסון</v>
          </cell>
          <cell r="B64"/>
          <cell r="C64"/>
          <cell r="D64"/>
          <cell r="E64"/>
        </row>
        <row r="65">
          <cell r="A65" t="str">
            <v>ינאי חיים בוני</v>
          </cell>
          <cell r="B65"/>
          <cell r="C65"/>
          <cell r="D65"/>
          <cell r="E65"/>
        </row>
        <row r="66">
          <cell r="A66" t="str">
            <v xml:space="preserve">מיכאל וקסלר </v>
          </cell>
          <cell r="B66"/>
          <cell r="C66"/>
          <cell r="D66"/>
          <cell r="E66"/>
        </row>
        <row r="67">
          <cell r="A67" t="str">
            <v xml:space="preserve">שני לוי </v>
          </cell>
          <cell r="B67"/>
          <cell r="C67">
            <v>16011.65</v>
          </cell>
          <cell r="D67"/>
          <cell r="E67"/>
        </row>
        <row r="68">
          <cell r="A68" t="str">
            <v>אורטל לנג</v>
          </cell>
          <cell r="B68"/>
          <cell r="C68"/>
          <cell r="D68"/>
          <cell r="E68"/>
        </row>
        <row r="69">
          <cell r="A69" t="str">
            <v>נעם זילברמן</v>
          </cell>
          <cell r="B69"/>
          <cell r="C69">
            <v>2624.7599999999998</v>
          </cell>
          <cell r="D69"/>
          <cell r="E69"/>
        </row>
        <row r="70">
          <cell r="A70" t="str">
            <v>נור אבו ראס</v>
          </cell>
          <cell r="B70"/>
          <cell r="C70"/>
          <cell r="D70"/>
          <cell r="E70"/>
        </row>
        <row r="71">
          <cell r="A71" t="str">
            <v>יהונתן שיוביץ</v>
          </cell>
          <cell r="B71"/>
          <cell r="C71"/>
          <cell r="D71"/>
          <cell r="E71"/>
        </row>
        <row r="72">
          <cell r="A72" t="str">
            <v>רפאל גלעד</v>
          </cell>
          <cell r="B72"/>
          <cell r="C72"/>
          <cell r="D72"/>
          <cell r="E72"/>
        </row>
        <row r="73">
          <cell r="A73" t="str">
            <v>אחמד עלי אחמד</v>
          </cell>
          <cell r="B73"/>
          <cell r="C73"/>
          <cell r="D73"/>
          <cell r="E73"/>
        </row>
        <row r="74">
          <cell r="A74" t="str">
            <v>סיון פיינרו</v>
          </cell>
          <cell r="B74"/>
          <cell r="C74"/>
          <cell r="D74"/>
          <cell r="E74"/>
        </row>
        <row r="75">
          <cell r="A75" t="str">
            <v>לילי שרון</v>
          </cell>
          <cell r="B75"/>
          <cell r="C75"/>
          <cell r="D75"/>
          <cell r="E75"/>
        </row>
        <row r="76">
          <cell r="A76" t="str">
            <v>שירלי בוכריס</v>
          </cell>
          <cell r="B76"/>
          <cell r="C76">
            <v>2268.2200000000003</v>
          </cell>
          <cell r="D76"/>
          <cell r="E76"/>
        </row>
        <row r="77">
          <cell r="A77" t="str">
            <v>אלרם סוכנות לביטוח</v>
          </cell>
          <cell r="B77"/>
          <cell r="C77">
            <v>1769.38</v>
          </cell>
          <cell r="D77"/>
          <cell r="E77"/>
        </row>
        <row r="78">
          <cell r="A78" t="str">
            <v>רכס אורן</v>
          </cell>
          <cell r="B78"/>
          <cell r="C78">
            <v>1162.51</v>
          </cell>
          <cell r="D78"/>
          <cell r="E78"/>
        </row>
        <row r="79">
          <cell r="A79" t="str">
            <v>סה"כ פרימיום</v>
          </cell>
          <cell r="B79">
            <v>0</v>
          </cell>
          <cell r="C79">
            <v>27919.989999999998</v>
          </cell>
          <cell r="D79">
            <v>0</v>
          </cell>
          <cell r="E79">
            <v>0</v>
          </cell>
        </row>
        <row r="80">
          <cell r="A80" t="str">
            <v>סה"כ כולל</v>
          </cell>
          <cell r="B80">
            <v>0</v>
          </cell>
          <cell r="C80">
            <v>67678.929999999993</v>
          </cell>
          <cell r="D80">
            <v>0</v>
          </cell>
          <cell r="E80">
            <v>0</v>
          </cell>
        </row>
        <row r="82">
          <cell r="C82"/>
        </row>
      </sheetData>
      <sheetData sheetId="9"/>
      <sheetData sheetId="10"/>
      <sheetData sheetId="11"/>
      <sheetData sheetId="12"/>
      <sheetData sheetId="13">
        <row r="1">
          <cell r="A1"/>
          <cell r="B1">
            <v>2024</v>
          </cell>
          <cell r="C1"/>
          <cell r="D1"/>
          <cell r="E1"/>
        </row>
        <row r="2">
          <cell r="A2" t="str">
            <v>שם סוכן</v>
          </cell>
          <cell r="B2" t="str">
            <v>פנסיוני</v>
          </cell>
          <cell r="C2" t="str">
            <v xml:space="preserve">סיכונים </v>
          </cell>
          <cell r="D2" t="str">
            <v>פיננסים</v>
          </cell>
          <cell r="E2" t="str">
            <v>ניודי פנסיה</v>
          </cell>
        </row>
        <row r="3">
          <cell r="A3" t="str">
            <v>גל אלמגור סוכ</v>
          </cell>
          <cell r="B3"/>
          <cell r="C3"/>
          <cell r="D3">
            <v>1600</v>
          </cell>
          <cell r="E3"/>
        </row>
        <row r="4">
          <cell r="A4" t="str">
            <v>דניאלה אביב</v>
          </cell>
          <cell r="B4"/>
          <cell r="C4"/>
          <cell r="D4"/>
          <cell r="E4"/>
        </row>
        <row r="5">
          <cell r="A5" t="str">
            <v>סה"כ ישיר</v>
          </cell>
          <cell r="B5">
            <v>0</v>
          </cell>
          <cell r="C5">
            <v>0</v>
          </cell>
          <cell r="D5">
            <v>1600</v>
          </cell>
          <cell r="E5">
            <v>0</v>
          </cell>
        </row>
        <row r="6">
          <cell r="A6" t="str">
            <v>בראשית סוכנות לביטוח</v>
          </cell>
          <cell r="B6"/>
          <cell r="C6"/>
          <cell r="D6"/>
          <cell r="E6"/>
        </row>
        <row r="7">
          <cell r="A7" t="str">
            <v>גל אלמגור דאוד סוכ' לב</v>
          </cell>
          <cell r="B7"/>
          <cell r="C7"/>
          <cell r="D7"/>
          <cell r="E7"/>
        </row>
        <row r="8">
          <cell r="A8" t="str">
            <v>גל אלמגור -וייס סוכנות</v>
          </cell>
          <cell r="B8"/>
          <cell r="C8"/>
          <cell r="D8"/>
          <cell r="E8"/>
        </row>
        <row r="9">
          <cell r="A9" t="str">
            <v>גל אלמגור דרום סוכ ל</v>
          </cell>
          <cell r="B9"/>
          <cell r="C9"/>
          <cell r="D9"/>
          <cell r="E9"/>
        </row>
        <row r="10">
          <cell r="A10" t="str">
            <v>משה שטרן גל אלמגור</v>
          </cell>
          <cell r="B10"/>
          <cell r="C10"/>
          <cell r="D10"/>
          <cell r="E10"/>
        </row>
        <row r="11">
          <cell r="A11" t="str">
            <v>מקסימום סוכנות לבטוח פ</v>
          </cell>
          <cell r="B11"/>
          <cell r="C11"/>
          <cell r="D11"/>
          <cell r="E11"/>
        </row>
        <row r="12">
          <cell r="A12" t="str">
            <v>סה"כ חברות בנות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</row>
        <row r="13">
          <cell r="A13" t="str">
            <v>מועלם אלפרד</v>
          </cell>
          <cell r="B13"/>
          <cell r="C13"/>
          <cell r="D13"/>
          <cell r="E13"/>
        </row>
        <row r="14">
          <cell r="A14" t="str">
            <v>יעקובסון רומן</v>
          </cell>
          <cell r="B14"/>
          <cell r="C14"/>
          <cell r="D14">
            <v>500</v>
          </cell>
          <cell r="E14"/>
        </row>
        <row r="15">
          <cell r="A15" t="str">
            <v>רוקח מזל מלי</v>
          </cell>
          <cell r="B15"/>
          <cell r="C15"/>
          <cell r="D15"/>
          <cell r="E15"/>
        </row>
        <row r="16">
          <cell r="A16" t="str">
            <v>גרניק בנימין</v>
          </cell>
          <cell r="B16"/>
          <cell r="C16"/>
          <cell r="D16"/>
          <cell r="E16"/>
        </row>
        <row r="17">
          <cell r="A17" t="str">
            <v>סאוסן שלבי</v>
          </cell>
          <cell r="B17"/>
          <cell r="C17"/>
          <cell r="D17"/>
          <cell r="E17"/>
        </row>
        <row r="18">
          <cell r="A18" t="str">
            <v>יוספוביץ טלי</v>
          </cell>
          <cell r="B18"/>
          <cell r="C18"/>
          <cell r="D18"/>
          <cell r="E18"/>
        </row>
        <row r="19">
          <cell r="A19" t="str">
            <v>דורי כדורי דאי</v>
          </cell>
          <cell r="B19"/>
          <cell r="C19"/>
          <cell r="D19"/>
          <cell r="E19"/>
        </row>
        <row r="20">
          <cell r="A20" t="str">
            <v>סברא סמיר</v>
          </cell>
          <cell r="B20"/>
          <cell r="C20"/>
          <cell r="D20"/>
          <cell r="E20"/>
        </row>
        <row r="21">
          <cell r="A21" t="str">
            <v>מחמוד פארס</v>
          </cell>
          <cell r="B21"/>
          <cell r="C21"/>
          <cell r="D21"/>
          <cell r="E21"/>
        </row>
        <row r="22">
          <cell r="A22" t="str">
            <v>ריזק חלבי</v>
          </cell>
          <cell r="B22"/>
          <cell r="C22"/>
          <cell r="D22"/>
          <cell r="E22"/>
        </row>
        <row r="23">
          <cell r="A23" t="str">
            <v>שלבי מיסון</v>
          </cell>
          <cell r="B23"/>
          <cell r="C23"/>
          <cell r="D23"/>
          <cell r="E23"/>
        </row>
        <row r="24">
          <cell r="A24" t="str">
            <v>בחוס יוסף</v>
          </cell>
          <cell r="B24"/>
          <cell r="C24"/>
          <cell r="D24"/>
          <cell r="E24"/>
        </row>
        <row r="25">
          <cell r="A25" t="str">
            <v>חוסאם עוז אלדין</v>
          </cell>
          <cell r="B25"/>
          <cell r="C25"/>
          <cell r="D25"/>
          <cell r="E25"/>
        </row>
        <row r="26">
          <cell r="A26" t="str">
            <v>קליין סיון</v>
          </cell>
          <cell r="B26"/>
          <cell r="C26"/>
          <cell r="D26">
            <v>200</v>
          </cell>
          <cell r="E26"/>
        </row>
        <row r="27">
          <cell r="A27" t="str">
            <v>צקותאי אורי</v>
          </cell>
          <cell r="B27"/>
          <cell r="C27"/>
          <cell r="D27"/>
          <cell r="E27"/>
        </row>
        <row r="28">
          <cell r="A28" t="str">
            <v>סמיר בלאן</v>
          </cell>
          <cell r="B28"/>
          <cell r="C28"/>
          <cell r="D28"/>
          <cell r="E28"/>
        </row>
        <row r="29">
          <cell r="A29" t="str">
            <v>רפלוביץ מרינה</v>
          </cell>
          <cell r="B29"/>
          <cell r="C29"/>
          <cell r="D29"/>
          <cell r="E29"/>
        </row>
        <row r="30">
          <cell r="A30" t="str">
            <v>רן בסין</v>
          </cell>
          <cell r="B30"/>
          <cell r="C30"/>
          <cell r="D30"/>
          <cell r="E30"/>
        </row>
        <row r="31">
          <cell r="A31" t="str">
            <v>אלקרינאוי ראוף</v>
          </cell>
          <cell r="B31"/>
          <cell r="C31"/>
          <cell r="D31"/>
          <cell r="E31"/>
        </row>
        <row r="32">
          <cell r="A32" t="str">
            <v>דאי גדי</v>
          </cell>
          <cell r="B32"/>
          <cell r="C32"/>
          <cell r="D32"/>
          <cell r="E32"/>
        </row>
        <row r="33">
          <cell r="A33" t="str">
            <v>מילאד אבו שקארה</v>
          </cell>
          <cell r="B33"/>
          <cell r="C33"/>
          <cell r="D33"/>
          <cell r="E33"/>
        </row>
        <row r="34">
          <cell r="A34" t="str">
            <v>דראושה אדהם</v>
          </cell>
          <cell r="B34"/>
          <cell r="C34"/>
          <cell r="D34"/>
          <cell r="E34"/>
        </row>
        <row r="35">
          <cell r="A35" t="str">
            <v>בדארנה עומר</v>
          </cell>
          <cell r="B35"/>
          <cell r="C35"/>
          <cell r="D35"/>
          <cell r="E35"/>
        </row>
        <row r="36">
          <cell r="A36" t="str">
            <v>וסים חאטר</v>
          </cell>
          <cell r="B36"/>
          <cell r="C36"/>
          <cell r="D36"/>
          <cell r="E36"/>
        </row>
        <row r="37">
          <cell r="A37" t="str">
            <v>ערן שמילוביץ</v>
          </cell>
          <cell r="B37"/>
          <cell r="C37"/>
          <cell r="D37"/>
          <cell r="E37"/>
        </row>
        <row r="38">
          <cell r="A38" t="str">
            <v>לוי חיים</v>
          </cell>
          <cell r="B38"/>
          <cell r="C38"/>
          <cell r="D38"/>
          <cell r="E38"/>
        </row>
        <row r="39">
          <cell r="A39" t="str">
            <v>סה"כ סוכנים ערן</v>
          </cell>
          <cell r="B39">
            <v>0</v>
          </cell>
          <cell r="C39">
            <v>0</v>
          </cell>
          <cell r="D39">
            <v>700</v>
          </cell>
          <cell r="E39">
            <v>0</v>
          </cell>
        </row>
        <row r="40">
          <cell r="A40" t="str">
            <v>טל אופטובסקי</v>
          </cell>
          <cell r="B40"/>
          <cell r="C40"/>
          <cell r="D40"/>
          <cell r="E40"/>
        </row>
        <row r="41">
          <cell r="A41" t="str">
            <v>גולדר אבי</v>
          </cell>
          <cell r="B41"/>
          <cell r="C41"/>
          <cell r="D41"/>
          <cell r="E41"/>
        </row>
        <row r="42">
          <cell r="A42" t="str">
            <v>א.ד. אבידן ביטוחים בע"מ</v>
          </cell>
          <cell r="B42"/>
          <cell r="C42"/>
          <cell r="D42"/>
          <cell r="E42"/>
        </row>
        <row r="43">
          <cell r="A43" t="str">
            <v>אטיאס סיון</v>
          </cell>
          <cell r="B43"/>
          <cell r="C43"/>
          <cell r="D43"/>
          <cell r="E43"/>
        </row>
        <row r="44">
          <cell r="A44" t="str">
            <v>מטאנס זוהיר</v>
          </cell>
          <cell r="B44"/>
          <cell r="C44"/>
          <cell r="D44"/>
          <cell r="E44"/>
        </row>
        <row r="45">
          <cell r="A45" t="str">
            <v>סטולרז אסף</v>
          </cell>
          <cell r="B45"/>
          <cell r="C45"/>
          <cell r="D45"/>
          <cell r="E45"/>
        </row>
        <row r="46">
          <cell r="A46" t="str">
            <v>גולן זכריה</v>
          </cell>
          <cell r="B46"/>
          <cell r="C46"/>
          <cell r="D46"/>
          <cell r="E46"/>
        </row>
        <row r="47">
          <cell r="A47" t="str">
            <v>חיים דנינו</v>
          </cell>
          <cell r="B47"/>
          <cell r="C47"/>
          <cell r="D47"/>
          <cell r="E47"/>
        </row>
        <row r="48">
          <cell r="A48" t="str">
            <v>לירון דדון</v>
          </cell>
          <cell r="B48"/>
          <cell r="C48"/>
          <cell r="D48"/>
          <cell r="E48"/>
        </row>
        <row r="49">
          <cell r="A49" t="str">
            <v>דני פחימה</v>
          </cell>
          <cell r="B49"/>
          <cell r="C49"/>
          <cell r="D49"/>
          <cell r="E49"/>
        </row>
        <row r="50">
          <cell r="A50" t="str">
            <v>עאטף עדווי</v>
          </cell>
          <cell r="B50"/>
          <cell r="C50"/>
          <cell r="D50"/>
          <cell r="E50"/>
        </row>
        <row r="51">
          <cell r="A51" t="str">
            <v>דר סוכנות לביטוח</v>
          </cell>
          <cell r="B51"/>
          <cell r="C51"/>
          <cell r="D51"/>
          <cell r="E51"/>
        </row>
        <row r="52">
          <cell r="A52" t="str">
            <v>מכלול סוכנות לביטוח</v>
          </cell>
          <cell r="B52"/>
          <cell r="C52"/>
          <cell r="D52"/>
          <cell r="E52"/>
        </row>
        <row r="53">
          <cell r="A53" t="str">
            <v>גול זאב</v>
          </cell>
          <cell r="B53"/>
          <cell r="C53"/>
          <cell r="D53">
            <v>250</v>
          </cell>
          <cell r="E53"/>
        </row>
        <row r="54">
          <cell r="A54" t="str">
            <v>עבוד כיתי</v>
          </cell>
          <cell r="B54"/>
          <cell r="C54"/>
          <cell r="D54"/>
          <cell r="E54"/>
        </row>
        <row r="55">
          <cell r="A55" t="str">
            <v>יעקב ישראל שטרן</v>
          </cell>
          <cell r="B55"/>
          <cell r="C55"/>
          <cell r="D55"/>
          <cell r="E55"/>
        </row>
        <row r="56">
          <cell r="A56" t="str">
            <v>בדר צבי</v>
          </cell>
          <cell r="B56"/>
          <cell r="C56"/>
          <cell r="D56"/>
          <cell r="E56"/>
        </row>
        <row r="57">
          <cell r="A57" t="str">
            <v>סוכנים לא מפוקחים</v>
          </cell>
          <cell r="B57">
            <v>0</v>
          </cell>
          <cell r="C57">
            <v>0</v>
          </cell>
          <cell r="D57">
            <v>250</v>
          </cell>
          <cell r="E57">
            <v>0</v>
          </cell>
        </row>
        <row r="58">
          <cell r="A58" t="str">
            <v>גלידר אנה</v>
          </cell>
          <cell r="B58"/>
          <cell r="C58"/>
          <cell r="D58"/>
          <cell r="E58"/>
        </row>
        <row r="59">
          <cell r="A59" t="str">
            <v>אביב מור יוסף</v>
          </cell>
          <cell r="B59"/>
          <cell r="C59"/>
          <cell r="D59"/>
          <cell r="E59"/>
        </row>
        <row r="60">
          <cell r="A60" t="str">
            <v>אריאל בר-חיים</v>
          </cell>
          <cell r="B60"/>
          <cell r="C60"/>
          <cell r="D60"/>
          <cell r="E60"/>
        </row>
        <row r="61">
          <cell r="A61" t="str">
            <v>יונתן מנחם</v>
          </cell>
          <cell r="B61"/>
          <cell r="C61"/>
          <cell r="D61"/>
          <cell r="E61"/>
        </row>
        <row r="62">
          <cell r="A62" t="str">
            <v>שלי מזרחי</v>
          </cell>
          <cell r="B62"/>
          <cell r="C62"/>
          <cell r="D62"/>
          <cell r="E62"/>
        </row>
        <row r="63">
          <cell r="A63" t="str">
            <v xml:space="preserve">אריאל דוברושין </v>
          </cell>
          <cell r="B63"/>
          <cell r="C63"/>
          <cell r="D63"/>
          <cell r="E63"/>
        </row>
        <row r="64">
          <cell r="A64" t="str">
            <v>חנה כצנלסון</v>
          </cell>
          <cell r="B64"/>
          <cell r="C64"/>
          <cell r="D64"/>
          <cell r="E64"/>
        </row>
        <row r="65">
          <cell r="A65" t="str">
            <v>ינאי חיים בוני</v>
          </cell>
          <cell r="B65"/>
          <cell r="C65"/>
          <cell r="D65"/>
          <cell r="E65"/>
        </row>
        <row r="66">
          <cell r="A66" t="str">
            <v xml:space="preserve">מיכאל וקסלר </v>
          </cell>
          <cell r="B66"/>
          <cell r="C66"/>
          <cell r="D66"/>
          <cell r="E66"/>
        </row>
        <row r="67">
          <cell r="A67" t="str">
            <v xml:space="preserve">שני לוי </v>
          </cell>
          <cell r="B67"/>
          <cell r="C67"/>
          <cell r="D67"/>
          <cell r="E67"/>
        </row>
        <row r="68">
          <cell r="A68" t="str">
            <v>אורטל לנג</v>
          </cell>
          <cell r="B68"/>
          <cell r="C68"/>
          <cell r="D68"/>
          <cell r="E68"/>
        </row>
        <row r="69">
          <cell r="A69" t="str">
            <v>נעם זילברמן</v>
          </cell>
          <cell r="B69"/>
          <cell r="C69"/>
          <cell r="D69"/>
          <cell r="E69"/>
        </row>
        <row r="70">
          <cell r="A70" t="str">
            <v>נור אבו ראס</v>
          </cell>
          <cell r="B70"/>
          <cell r="C70"/>
          <cell r="D70"/>
          <cell r="E70"/>
        </row>
        <row r="71">
          <cell r="A71" t="str">
            <v>יהונתן שיוביץ</v>
          </cell>
          <cell r="B71"/>
          <cell r="C71"/>
          <cell r="D71"/>
          <cell r="E71"/>
        </row>
        <row r="72">
          <cell r="A72" t="str">
            <v>רפאל גלעד</v>
          </cell>
          <cell r="B72"/>
          <cell r="C72"/>
          <cell r="D72"/>
          <cell r="E72"/>
        </row>
        <row r="73">
          <cell r="A73" t="str">
            <v>אחמד עלי אחמד</v>
          </cell>
          <cell r="B73"/>
          <cell r="C73"/>
          <cell r="D73"/>
          <cell r="E73"/>
        </row>
        <row r="74">
          <cell r="A74" t="str">
            <v>סיון פיינרו</v>
          </cell>
          <cell r="B74"/>
          <cell r="C74"/>
          <cell r="D74"/>
          <cell r="E74"/>
        </row>
        <row r="75">
          <cell r="A75" t="str">
            <v>לילי שרון</v>
          </cell>
          <cell r="B75"/>
          <cell r="C75"/>
          <cell r="D75"/>
          <cell r="E75"/>
        </row>
        <row r="76">
          <cell r="A76" t="str">
            <v>שירלי בוכריס</v>
          </cell>
          <cell r="B76"/>
          <cell r="C76"/>
          <cell r="D76"/>
          <cell r="E76"/>
        </row>
        <row r="77">
          <cell r="A77" t="str">
            <v>אלרם סוכנות לביטוח</v>
          </cell>
          <cell r="B77"/>
          <cell r="C77"/>
          <cell r="D77">
            <v>2100</v>
          </cell>
          <cell r="E77"/>
        </row>
        <row r="78">
          <cell r="A78" t="str">
            <v>רכס אורן</v>
          </cell>
          <cell r="B78"/>
          <cell r="C78"/>
          <cell r="D78"/>
          <cell r="E78"/>
        </row>
        <row r="79">
          <cell r="A79" t="str">
            <v>סה"כ פרימיום</v>
          </cell>
          <cell r="B79">
            <v>0</v>
          </cell>
          <cell r="C79">
            <v>0</v>
          </cell>
          <cell r="D79">
            <v>2100</v>
          </cell>
          <cell r="E79">
            <v>0</v>
          </cell>
        </row>
        <row r="80">
          <cell r="A80" t="str">
            <v>סה"כ כולל</v>
          </cell>
          <cell r="B80">
            <v>0</v>
          </cell>
          <cell r="C80">
            <v>0</v>
          </cell>
          <cell r="D80">
            <v>4650</v>
          </cell>
          <cell r="E80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דוח הנהלה"/>
      <sheetName val="תפוקה מצטברת מול אשתקד"/>
      <sheetName val="תפוקה מצטברת מול יעד מצטבר"/>
      <sheetName val="תפוקה מול יעד חודשי"/>
      <sheetName val="עולים יורדים"/>
      <sheetName val="הכשרה"/>
      <sheetName val="מגדל"/>
      <sheetName val="מנורה"/>
      <sheetName val="איילון"/>
      <sheetName val="הראל"/>
      <sheetName val="הפניקס"/>
      <sheetName val="כלל"/>
      <sheetName val="מור"/>
      <sheetName val="אלטשולר שחם"/>
      <sheetName val="מדיהו "/>
      <sheetName val="אנליסט "/>
      <sheetName val="מיטב דש"/>
      <sheetName val="אינפניטי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A1"/>
        </row>
      </sheetData>
      <sheetData sheetId="11"/>
      <sheetData sheetId="12">
        <row r="1">
          <cell r="A1"/>
          <cell r="B1"/>
          <cell r="C1"/>
          <cell r="D1">
            <v>2024</v>
          </cell>
          <cell r="E1"/>
          <cell r="F1"/>
          <cell r="G1"/>
          <cell r="H1">
            <v>2023</v>
          </cell>
          <cell r="I1"/>
          <cell r="J1"/>
          <cell r="K1"/>
        </row>
        <row r="2">
          <cell r="A2" t="str">
            <v>שם סוכן</v>
          </cell>
          <cell r="B2" t="str">
            <v xml:space="preserve">מפקח </v>
          </cell>
          <cell r="C2" t="str">
            <v>מחלקה</v>
          </cell>
          <cell r="D2" t="str">
            <v>פנסיוני</v>
          </cell>
          <cell r="E2" t="str">
            <v xml:space="preserve">סיכונים </v>
          </cell>
          <cell r="F2" t="str">
            <v>פיננסים</v>
          </cell>
          <cell r="G2" t="str">
            <v>ניודי פנסיה</v>
          </cell>
          <cell r="H2" t="str">
            <v>פנסיוני</v>
          </cell>
          <cell r="I2" t="str">
            <v xml:space="preserve">סיכונים </v>
          </cell>
          <cell r="J2" t="str">
            <v>פיננסים</v>
          </cell>
          <cell r="K2" t="str">
            <v xml:space="preserve">ניודי פנסיה </v>
          </cell>
        </row>
        <row r="3">
          <cell r="A3" t="str">
            <v>גל אלמגור סוכ</v>
          </cell>
          <cell r="B3" t="str">
            <v>יוסי אביב</v>
          </cell>
          <cell r="C3" t="str">
            <v xml:space="preserve">ישירים </v>
          </cell>
          <cell r="D3"/>
          <cell r="E3"/>
          <cell r="F3">
            <v>840757.6</v>
          </cell>
          <cell r="G3"/>
          <cell r="H3"/>
          <cell r="I3"/>
          <cell r="J3">
            <v>1994154.1800000002</v>
          </cell>
          <cell r="K3"/>
        </row>
        <row r="4">
          <cell r="A4" t="str">
            <v>דניאלה אביב</v>
          </cell>
          <cell r="B4" t="str">
            <v>יוסי אביב</v>
          </cell>
          <cell r="C4" t="str">
            <v xml:space="preserve">ישירים </v>
          </cell>
          <cell r="D4"/>
          <cell r="E4"/>
          <cell r="F4">
            <v>189399.24</v>
          </cell>
          <cell r="G4"/>
          <cell r="H4"/>
          <cell r="I4"/>
          <cell r="J4">
            <v>0</v>
          </cell>
          <cell r="K4"/>
        </row>
        <row r="5">
          <cell r="A5" t="str">
            <v xml:space="preserve">רותי </v>
          </cell>
          <cell r="B5" t="str">
            <v>יוסי אביב</v>
          </cell>
          <cell r="C5" t="str">
            <v xml:space="preserve">ישירים </v>
          </cell>
          <cell r="D5"/>
          <cell r="E5"/>
          <cell r="F5"/>
          <cell r="G5"/>
          <cell r="H5"/>
          <cell r="I5"/>
          <cell r="J5">
            <v>0</v>
          </cell>
          <cell r="K5"/>
        </row>
        <row r="6">
          <cell r="A6" t="str">
            <v xml:space="preserve">אילנית </v>
          </cell>
          <cell r="B6" t="str">
            <v>יוסי אביב</v>
          </cell>
          <cell r="C6" t="str">
            <v xml:space="preserve">ישירים </v>
          </cell>
          <cell r="D6"/>
          <cell r="E6"/>
          <cell r="F6"/>
          <cell r="G6"/>
          <cell r="H6"/>
          <cell r="I6"/>
          <cell r="J6">
            <v>0</v>
          </cell>
          <cell r="K6"/>
        </row>
        <row r="7">
          <cell r="A7" t="str">
            <v>סה"כ ישיר</v>
          </cell>
          <cell r="B7"/>
          <cell r="C7"/>
          <cell r="D7">
            <v>0</v>
          </cell>
          <cell r="E7">
            <v>0</v>
          </cell>
          <cell r="F7">
            <v>1030156.84</v>
          </cell>
          <cell r="G7">
            <v>0</v>
          </cell>
          <cell r="H7">
            <v>0</v>
          </cell>
          <cell r="I7">
            <v>0</v>
          </cell>
          <cell r="J7">
            <v>1994154.1800000002</v>
          </cell>
          <cell r="K7">
            <v>0</v>
          </cell>
        </row>
        <row r="8">
          <cell r="A8" t="str">
            <v>בראשית סוכנות לביטוח</v>
          </cell>
          <cell r="B8" t="str">
            <v>יוסי אביב</v>
          </cell>
          <cell r="C8" t="str">
            <v xml:space="preserve">שותפים </v>
          </cell>
          <cell r="D8"/>
          <cell r="E8"/>
          <cell r="F8"/>
          <cell r="G8"/>
          <cell r="H8"/>
          <cell r="I8"/>
          <cell r="J8">
            <v>0</v>
          </cell>
          <cell r="K8"/>
        </row>
        <row r="9">
          <cell r="A9" t="str">
            <v>גל אלמגור דאוד סוכ' לב</v>
          </cell>
          <cell r="B9" t="str">
            <v>יוסי אביב</v>
          </cell>
          <cell r="C9" t="str">
            <v xml:space="preserve">שותפים </v>
          </cell>
          <cell r="D9"/>
          <cell r="E9"/>
          <cell r="F9"/>
          <cell r="G9"/>
          <cell r="H9"/>
          <cell r="I9"/>
          <cell r="J9">
            <v>0</v>
          </cell>
          <cell r="K9"/>
        </row>
        <row r="10">
          <cell r="A10" t="str">
            <v>גל אלמגור -וייס סוכנות</v>
          </cell>
          <cell r="B10" t="str">
            <v>יוסי אביב</v>
          </cell>
          <cell r="C10" t="str">
            <v xml:space="preserve">שותפים </v>
          </cell>
          <cell r="D10"/>
          <cell r="E10"/>
          <cell r="F10">
            <v>363690.87</v>
          </cell>
          <cell r="G10"/>
          <cell r="H10"/>
          <cell r="I10"/>
          <cell r="J10">
            <v>62300</v>
          </cell>
          <cell r="K10"/>
        </row>
        <row r="11">
          <cell r="A11" t="str">
            <v>גל אלמגור דרום סוכ ל</v>
          </cell>
          <cell r="B11" t="str">
            <v>יוסי אביב</v>
          </cell>
          <cell r="C11" t="str">
            <v xml:space="preserve">שותפים </v>
          </cell>
          <cell r="D11"/>
          <cell r="E11"/>
          <cell r="F11"/>
          <cell r="G11"/>
          <cell r="H11"/>
          <cell r="I11"/>
          <cell r="J11">
            <v>0</v>
          </cell>
          <cell r="K11"/>
        </row>
        <row r="12">
          <cell r="A12" t="str">
            <v>משה שטרן גל אלמגור</v>
          </cell>
          <cell r="B12" t="str">
            <v>יוסי אביב</v>
          </cell>
          <cell r="C12" t="str">
            <v xml:space="preserve">שותפים </v>
          </cell>
          <cell r="D12"/>
          <cell r="E12"/>
          <cell r="F12"/>
          <cell r="G12"/>
          <cell r="H12"/>
          <cell r="I12"/>
          <cell r="J12">
            <v>0</v>
          </cell>
          <cell r="K12"/>
        </row>
        <row r="13">
          <cell r="A13" t="str">
            <v>מקסימום סוכנות לבטוח פ</v>
          </cell>
          <cell r="B13" t="str">
            <v>יוסי אביב</v>
          </cell>
          <cell r="C13" t="str">
            <v xml:space="preserve">שותפים </v>
          </cell>
          <cell r="D13"/>
          <cell r="E13"/>
          <cell r="F13"/>
          <cell r="G13"/>
          <cell r="H13"/>
          <cell r="I13"/>
          <cell r="J13">
            <v>38920</v>
          </cell>
          <cell r="K13"/>
        </row>
        <row r="14">
          <cell r="A14" t="str">
            <v>א.ד. אבידן ביטוחים בע"מ</v>
          </cell>
          <cell r="B14" t="str">
            <v>לא מפוקחים</v>
          </cell>
          <cell r="C14" t="str">
            <v xml:space="preserve">שותפים </v>
          </cell>
          <cell r="D14"/>
          <cell r="E14"/>
          <cell r="F14"/>
          <cell r="G14"/>
          <cell r="H14"/>
          <cell r="I14"/>
          <cell r="J14">
            <v>0</v>
          </cell>
          <cell r="K14"/>
        </row>
        <row r="15">
          <cell r="A15" t="str">
            <v xml:space="preserve">גל אלמגור -ראם </v>
          </cell>
          <cell r="B15" t="str">
            <v>יוסי אביב</v>
          </cell>
          <cell r="C15" t="str">
            <v xml:space="preserve">שותפים </v>
          </cell>
          <cell r="D15"/>
          <cell r="E15"/>
          <cell r="F15"/>
          <cell r="G15"/>
          <cell r="H15"/>
          <cell r="I15"/>
          <cell r="J15">
            <v>0</v>
          </cell>
          <cell r="K15"/>
        </row>
        <row r="16">
          <cell r="A16" t="str">
            <v>אלרם סוכנות לביטוח</v>
          </cell>
          <cell r="B16" t="str">
            <v>יוסי אביב</v>
          </cell>
          <cell r="C16" t="str">
            <v xml:space="preserve">שותפים </v>
          </cell>
          <cell r="D16"/>
          <cell r="E16"/>
          <cell r="F16">
            <v>6697946.6799999997</v>
          </cell>
          <cell r="G16"/>
          <cell r="H16"/>
          <cell r="I16"/>
          <cell r="J16">
            <v>1269345.4900000002</v>
          </cell>
          <cell r="K16"/>
        </row>
        <row r="17">
          <cell r="A17" t="str">
            <v>רכס אורן</v>
          </cell>
          <cell r="B17" t="str">
            <v>יוסי אביב</v>
          </cell>
          <cell r="C17" t="str">
            <v xml:space="preserve">שותפים </v>
          </cell>
          <cell r="D17"/>
          <cell r="E17"/>
          <cell r="F17">
            <v>360852.25</v>
          </cell>
          <cell r="G17"/>
          <cell r="H17"/>
          <cell r="I17"/>
          <cell r="J17">
            <v>992902.2</v>
          </cell>
          <cell r="K17"/>
        </row>
        <row r="18">
          <cell r="A18" t="str">
            <v>גולדר אבי</v>
          </cell>
          <cell r="B18" t="str">
            <v>יוסי אביב</v>
          </cell>
          <cell r="C18" t="str">
            <v xml:space="preserve">שותפים </v>
          </cell>
          <cell r="D18"/>
          <cell r="E18"/>
          <cell r="F18"/>
          <cell r="G18"/>
          <cell r="H18"/>
          <cell r="I18"/>
          <cell r="J18">
            <v>0</v>
          </cell>
          <cell r="K18"/>
        </row>
        <row r="19">
          <cell r="A19" t="str">
            <v>בדר צבי</v>
          </cell>
          <cell r="B19" t="str">
            <v>יוסי אביב</v>
          </cell>
          <cell r="C19" t="str">
            <v xml:space="preserve">שותפים </v>
          </cell>
          <cell r="D19"/>
          <cell r="E19"/>
          <cell r="F19"/>
          <cell r="G19"/>
          <cell r="H19"/>
          <cell r="I19"/>
          <cell r="J19">
            <v>0</v>
          </cell>
          <cell r="K19"/>
        </row>
        <row r="20">
          <cell r="A20" t="str">
            <v>סה"כ חברות בנות</v>
          </cell>
          <cell r="B20"/>
          <cell r="C20"/>
          <cell r="D20">
            <v>0</v>
          </cell>
          <cell r="E20">
            <v>0</v>
          </cell>
          <cell r="F20">
            <v>7422489.7999999998</v>
          </cell>
          <cell r="G20">
            <v>0</v>
          </cell>
          <cell r="H20">
            <v>0</v>
          </cell>
          <cell r="I20">
            <v>0</v>
          </cell>
          <cell r="J20">
            <v>2363467.6900000004</v>
          </cell>
          <cell r="K20">
            <v>0</v>
          </cell>
        </row>
        <row r="21">
          <cell r="A21" t="str">
            <v>מועלם אלפרד</v>
          </cell>
          <cell r="B21" t="str">
            <v xml:space="preserve">ערן גירוני </v>
          </cell>
          <cell r="C21" t="str">
            <v xml:space="preserve">סוכנים </v>
          </cell>
          <cell r="D21"/>
          <cell r="E21"/>
          <cell r="F21"/>
          <cell r="G21"/>
          <cell r="H21"/>
          <cell r="I21"/>
          <cell r="J21">
            <v>0</v>
          </cell>
          <cell r="K21"/>
        </row>
        <row r="22">
          <cell r="A22" t="str">
            <v>גרניק בנימין</v>
          </cell>
          <cell r="B22" t="str">
            <v xml:space="preserve">ערן גירוני </v>
          </cell>
          <cell r="C22" t="str">
            <v xml:space="preserve">סוכנים </v>
          </cell>
          <cell r="D22"/>
          <cell r="E22"/>
          <cell r="F22"/>
          <cell r="G22"/>
          <cell r="H22"/>
          <cell r="I22"/>
          <cell r="J22">
            <v>0</v>
          </cell>
          <cell r="K22"/>
        </row>
        <row r="23">
          <cell r="A23" t="str">
            <v>סאוסן שלבי</v>
          </cell>
          <cell r="B23" t="str">
            <v xml:space="preserve">ערן גירוני </v>
          </cell>
          <cell r="C23" t="str">
            <v xml:space="preserve">סוכנים </v>
          </cell>
          <cell r="D23"/>
          <cell r="E23"/>
          <cell r="F23"/>
          <cell r="G23"/>
          <cell r="H23"/>
          <cell r="I23"/>
          <cell r="J23">
            <v>0</v>
          </cell>
          <cell r="K23"/>
        </row>
        <row r="24">
          <cell r="A24" t="str">
            <v>יוספוביץ טלי</v>
          </cell>
          <cell r="B24" t="str">
            <v xml:space="preserve">ערן גירוני </v>
          </cell>
          <cell r="C24" t="str">
            <v xml:space="preserve">סוכנים </v>
          </cell>
          <cell r="D24"/>
          <cell r="E24"/>
          <cell r="F24"/>
          <cell r="G24"/>
          <cell r="H24"/>
          <cell r="I24"/>
          <cell r="J24">
            <v>0</v>
          </cell>
          <cell r="K24"/>
        </row>
        <row r="25">
          <cell r="A25" t="str">
            <v>דורי כדורי דאי</v>
          </cell>
          <cell r="B25" t="str">
            <v>לא מפוקחים</v>
          </cell>
          <cell r="C25" t="str">
            <v xml:space="preserve">סוכנים </v>
          </cell>
          <cell r="D25"/>
          <cell r="E25"/>
          <cell r="F25"/>
          <cell r="G25"/>
          <cell r="H25"/>
          <cell r="I25"/>
          <cell r="J25">
            <v>0</v>
          </cell>
          <cell r="K25"/>
        </row>
        <row r="26">
          <cell r="A26" t="str">
            <v>סברא סמיר</v>
          </cell>
          <cell r="B26" t="str">
            <v xml:space="preserve">ערן גירוני </v>
          </cell>
          <cell r="C26" t="str">
            <v xml:space="preserve">סוכנים </v>
          </cell>
          <cell r="D26"/>
          <cell r="E26"/>
          <cell r="F26"/>
          <cell r="G26"/>
          <cell r="H26"/>
          <cell r="I26"/>
          <cell r="J26">
            <v>0</v>
          </cell>
          <cell r="K26"/>
        </row>
        <row r="27">
          <cell r="A27" t="str">
            <v>מחמוד פארס</v>
          </cell>
          <cell r="B27" t="str">
            <v xml:space="preserve">ערן גירוני </v>
          </cell>
          <cell r="C27" t="str">
            <v xml:space="preserve">סוכנים </v>
          </cell>
          <cell r="D27"/>
          <cell r="E27"/>
          <cell r="F27"/>
          <cell r="G27"/>
          <cell r="H27"/>
          <cell r="I27"/>
          <cell r="J27">
            <v>0</v>
          </cell>
          <cell r="K27"/>
        </row>
        <row r="28">
          <cell r="A28" t="str">
            <v>ריזק חלבי</v>
          </cell>
          <cell r="B28" t="str">
            <v xml:space="preserve">ערן גירוני </v>
          </cell>
          <cell r="C28" t="str">
            <v xml:space="preserve">סוכנים </v>
          </cell>
          <cell r="D28"/>
          <cell r="E28"/>
          <cell r="F28"/>
          <cell r="G28"/>
          <cell r="H28"/>
          <cell r="I28"/>
          <cell r="J28">
            <v>0</v>
          </cell>
          <cell r="K28"/>
        </row>
        <row r="29">
          <cell r="A29" t="str">
            <v>שלבי מיסון</v>
          </cell>
          <cell r="B29" t="str">
            <v xml:space="preserve">ערן גירוני </v>
          </cell>
          <cell r="C29" t="str">
            <v xml:space="preserve">סוכנים </v>
          </cell>
          <cell r="D29"/>
          <cell r="E29"/>
          <cell r="F29"/>
          <cell r="G29"/>
          <cell r="H29"/>
          <cell r="I29"/>
          <cell r="J29">
            <v>0</v>
          </cell>
          <cell r="K29"/>
        </row>
        <row r="30">
          <cell r="A30" t="str">
            <v>בחוס יוסף</v>
          </cell>
          <cell r="B30" t="str">
            <v xml:space="preserve">ערן גירוני </v>
          </cell>
          <cell r="C30" t="str">
            <v xml:space="preserve">סוכנים </v>
          </cell>
          <cell r="D30"/>
          <cell r="E30"/>
          <cell r="F30"/>
          <cell r="G30"/>
          <cell r="H30"/>
          <cell r="I30"/>
          <cell r="J30">
            <v>0</v>
          </cell>
          <cell r="K30"/>
        </row>
        <row r="31">
          <cell r="A31" t="str">
            <v>קליין סיון</v>
          </cell>
          <cell r="B31" t="str">
            <v xml:space="preserve">ערן גירוני </v>
          </cell>
          <cell r="C31" t="str">
            <v xml:space="preserve">סוכנים </v>
          </cell>
          <cell r="D31"/>
          <cell r="E31"/>
          <cell r="F31"/>
          <cell r="G31"/>
          <cell r="H31"/>
          <cell r="I31"/>
          <cell r="J31">
            <v>0</v>
          </cell>
          <cell r="K31"/>
        </row>
        <row r="32">
          <cell r="A32" t="str">
            <v>צקותאי אורי</v>
          </cell>
          <cell r="B32" t="str">
            <v xml:space="preserve">ערן גירוני </v>
          </cell>
          <cell r="C32" t="str">
            <v xml:space="preserve">סוכנים </v>
          </cell>
          <cell r="D32"/>
          <cell r="E32"/>
          <cell r="F32"/>
          <cell r="G32"/>
          <cell r="H32"/>
          <cell r="I32"/>
          <cell r="J32">
            <v>0</v>
          </cell>
          <cell r="K32"/>
        </row>
        <row r="33">
          <cell r="A33" t="str">
            <v>סמיר בלאן</v>
          </cell>
          <cell r="B33" t="str">
            <v xml:space="preserve">ערן גירוני </v>
          </cell>
          <cell r="C33" t="str">
            <v xml:space="preserve">סוכנים </v>
          </cell>
          <cell r="D33"/>
          <cell r="E33"/>
          <cell r="F33"/>
          <cell r="G33"/>
          <cell r="H33"/>
          <cell r="I33"/>
          <cell r="J33">
            <v>0</v>
          </cell>
          <cell r="K33"/>
        </row>
        <row r="34">
          <cell r="A34" t="str">
            <v>רפלוביץ מרינה</v>
          </cell>
          <cell r="B34" t="str">
            <v xml:space="preserve">ערן גירוני </v>
          </cell>
          <cell r="C34" t="str">
            <v xml:space="preserve">סוכנים </v>
          </cell>
          <cell r="D34"/>
          <cell r="E34"/>
          <cell r="F34">
            <v>72500</v>
          </cell>
          <cell r="G34"/>
          <cell r="H34"/>
          <cell r="I34"/>
          <cell r="J34">
            <v>55000</v>
          </cell>
          <cell r="K34"/>
        </row>
        <row r="35">
          <cell r="A35" t="str">
            <v>רן בסין</v>
          </cell>
          <cell r="B35" t="str">
            <v xml:space="preserve">ערן גירוני </v>
          </cell>
          <cell r="C35" t="str">
            <v xml:space="preserve">סוכנים </v>
          </cell>
          <cell r="D35"/>
          <cell r="E35"/>
          <cell r="F35"/>
          <cell r="G35"/>
          <cell r="H35"/>
          <cell r="I35"/>
          <cell r="J35">
            <v>0</v>
          </cell>
          <cell r="K35"/>
        </row>
        <row r="36">
          <cell r="A36" t="str">
            <v>אלקרינאוי ראוף</v>
          </cell>
          <cell r="B36" t="str">
            <v xml:space="preserve">ערן גירוני </v>
          </cell>
          <cell r="C36" t="str">
            <v xml:space="preserve">סוכנים </v>
          </cell>
          <cell r="D36"/>
          <cell r="E36"/>
          <cell r="F36"/>
          <cell r="G36"/>
          <cell r="H36"/>
          <cell r="I36"/>
          <cell r="J36">
            <v>0</v>
          </cell>
          <cell r="K36"/>
        </row>
        <row r="37">
          <cell r="A37" t="str">
            <v>דאי גדי</v>
          </cell>
          <cell r="B37" t="str">
            <v xml:space="preserve">ערן גירוני </v>
          </cell>
          <cell r="C37" t="str">
            <v xml:space="preserve">סוכנים </v>
          </cell>
          <cell r="D37"/>
          <cell r="E37"/>
          <cell r="F37"/>
          <cell r="G37"/>
          <cell r="H37"/>
          <cell r="I37"/>
          <cell r="J37">
            <v>0</v>
          </cell>
          <cell r="K37"/>
        </row>
        <row r="38">
          <cell r="A38" t="str">
            <v>מילאד אבו שקארה</v>
          </cell>
          <cell r="B38" t="str">
            <v xml:space="preserve">ערן גירוני </v>
          </cell>
          <cell r="C38" t="str">
            <v xml:space="preserve">סוכנים </v>
          </cell>
          <cell r="D38"/>
          <cell r="E38"/>
          <cell r="F38"/>
          <cell r="G38"/>
          <cell r="H38"/>
          <cell r="I38"/>
          <cell r="J38">
            <v>0</v>
          </cell>
          <cell r="K38"/>
        </row>
        <row r="39">
          <cell r="A39" t="str">
            <v>דראושה אדהם</v>
          </cell>
          <cell r="B39" t="str">
            <v xml:space="preserve">ערן גירוני </v>
          </cell>
          <cell r="C39" t="str">
            <v xml:space="preserve">סוכנים </v>
          </cell>
          <cell r="D39"/>
          <cell r="E39"/>
          <cell r="F39"/>
          <cell r="G39"/>
          <cell r="H39"/>
          <cell r="I39"/>
          <cell r="J39">
            <v>0</v>
          </cell>
          <cell r="K39"/>
        </row>
        <row r="40">
          <cell r="A40" t="str">
            <v>בדארנה עומר</v>
          </cell>
          <cell r="B40" t="str">
            <v xml:space="preserve">ערן גירוני </v>
          </cell>
          <cell r="C40" t="str">
            <v xml:space="preserve">סוכנים </v>
          </cell>
          <cell r="D40"/>
          <cell r="E40"/>
          <cell r="F40"/>
          <cell r="G40"/>
          <cell r="H40"/>
          <cell r="I40"/>
          <cell r="J40">
            <v>0</v>
          </cell>
          <cell r="K40"/>
        </row>
        <row r="41">
          <cell r="A41" t="str">
            <v>ערן שמילוביץ</v>
          </cell>
          <cell r="B41" t="str">
            <v>לא מפוקחים</v>
          </cell>
          <cell r="C41" t="str">
            <v xml:space="preserve">סוכנים </v>
          </cell>
          <cell r="D41"/>
          <cell r="E41"/>
          <cell r="F41"/>
          <cell r="G41"/>
          <cell r="H41"/>
          <cell r="I41"/>
          <cell r="J41">
            <v>0</v>
          </cell>
          <cell r="K41"/>
        </row>
        <row r="42">
          <cell r="A42" t="str">
            <v>לוי חיים</v>
          </cell>
          <cell r="B42" t="str">
            <v xml:space="preserve">ערן גירוני </v>
          </cell>
          <cell r="C42" t="str">
            <v xml:space="preserve">סוכנים </v>
          </cell>
          <cell r="D42"/>
          <cell r="E42"/>
          <cell r="F42"/>
          <cell r="G42"/>
          <cell r="H42"/>
          <cell r="I42"/>
          <cell r="J42">
            <v>0</v>
          </cell>
          <cell r="K42"/>
        </row>
        <row r="43">
          <cell r="A43" t="str">
            <v xml:space="preserve">אבו חיט ניזאם </v>
          </cell>
          <cell r="B43" t="str">
            <v>לא מפוקחים</v>
          </cell>
          <cell r="C43" t="str">
            <v xml:space="preserve">סוכנים </v>
          </cell>
          <cell r="D43"/>
          <cell r="E43"/>
          <cell r="F43"/>
          <cell r="G43"/>
          <cell r="H43"/>
          <cell r="I43"/>
          <cell r="J43">
            <v>0</v>
          </cell>
          <cell r="K43"/>
        </row>
        <row r="44">
          <cell r="A44" t="str">
            <v>מטאנס זוהיר</v>
          </cell>
          <cell r="B44" t="str">
            <v>לא מפוקחים</v>
          </cell>
          <cell r="C44" t="str">
            <v xml:space="preserve">סוכנים </v>
          </cell>
          <cell r="D44"/>
          <cell r="E44"/>
          <cell r="F44"/>
          <cell r="G44"/>
          <cell r="H44"/>
          <cell r="I44"/>
          <cell r="J44">
            <v>0</v>
          </cell>
          <cell r="K44"/>
        </row>
        <row r="45">
          <cell r="A45" t="str">
            <v>דאי דניאל</v>
          </cell>
          <cell r="B45" t="str">
            <v xml:space="preserve">ערן גירוני </v>
          </cell>
          <cell r="C45" t="str">
            <v xml:space="preserve">סוכנים </v>
          </cell>
          <cell r="D45"/>
          <cell r="E45"/>
          <cell r="F45"/>
          <cell r="G45"/>
          <cell r="H45"/>
          <cell r="I45"/>
          <cell r="J45">
            <v>0</v>
          </cell>
          <cell r="K45"/>
        </row>
        <row r="46">
          <cell r="A46" t="str">
            <v>דני פחימה</v>
          </cell>
          <cell r="B46" t="str">
            <v>לא מפוקחים</v>
          </cell>
          <cell r="C46" t="str">
            <v xml:space="preserve">סוכנים </v>
          </cell>
          <cell r="D46"/>
          <cell r="E46"/>
          <cell r="F46"/>
          <cell r="G46"/>
          <cell r="H46"/>
          <cell r="I46"/>
          <cell r="J46">
            <v>0</v>
          </cell>
          <cell r="K46"/>
        </row>
        <row r="47">
          <cell r="A47" t="str">
            <v>עאטף עדווי</v>
          </cell>
          <cell r="B47" t="str">
            <v>לא מפוקחים</v>
          </cell>
          <cell r="C47" t="str">
            <v xml:space="preserve">סוכנים </v>
          </cell>
          <cell r="D47"/>
          <cell r="E47"/>
          <cell r="F47"/>
          <cell r="G47"/>
          <cell r="H47"/>
          <cell r="I47"/>
          <cell r="J47">
            <v>0</v>
          </cell>
          <cell r="K47"/>
        </row>
        <row r="48">
          <cell r="A48" t="str">
            <v>אביב מור יוסף</v>
          </cell>
          <cell r="B48" t="str">
            <v>לא מפוקחים</v>
          </cell>
          <cell r="C48" t="str">
            <v xml:space="preserve">סוכנים </v>
          </cell>
          <cell r="D48"/>
          <cell r="E48"/>
          <cell r="F48">
            <v>591461.71</v>
          </cell>
          <cell r="G48"/>
          <cell r="H48"/>
          <cell r="I48"/>
          <cell r="J48">
            <v>0</v>
          </cell>
          <cell r="K48"/>
        </row>
        <row r="49">
          <cell r="A49" t="str">
            <v>אחמד עלי אחמד</v>
          </cell>
          <cell r="B49" t="str">
            <v xml:space="preserve">ערן גירוני </v>
          </cell>
          <cell r="C49" t="str">
            <v xml:space="preserve">סוכנים </v>
          </cell>
          <cell r="D49"/>
          <cell r="E49"/>
          <cell r="F49"/>
          <cell r="G49"/>
          <cell r="H49"/>
          <cell r="I49"/>
          <cell r="J49">
            <v>0</v>
          </cell>
          <cell r="K49"/>
        </row>
        <row r="50">
          <cell r="A50" t="str">
            <v>לילי שרון</v>
          </cell>
          <cell r="B50" t="str">
            <v xml:space="preserve">ערן גירוני </v>
          </cell>
          <cell r="C50" t="str">
            <v xml:space="preserve">סוכנים </v>
          </cell>
          <cell r="D50"/>
          <cell r="E50"/>
          <cell r="F50"/>
          <cell r="G50"/>
          <cell r="H50"/>
          <cell r="I50"/>
          <cell r="J50">
            <v>0</v>
          </cell>
          <cell r="K50"/>
        </row>
        <row r="51">
          <cell r="A51" t="str">
            <v>אילנית כהן</v>
          </cell>
          <cell r="B51" t="str">
            <v xml:space="preserve">ערן גירוני </v>
          </cell>
          <cell r="C51" t="str">
            <v xml:space="preserve">סוכנים </v>
          </cell>
          <cell r="D51"/>
          <cell r="E51"/>
          <cell r="F51"/>
          <cell r="G51"/>
          <cell r="H51"/>
          <cell r="I51"/>
          <cell r="J51">
            <v>0</v>
          </cell>
          <cell r="K51"/>
        </row>
        <row r="52">
          <cell r="A52" t="str">
            <v>מכלול סוכנות לביטוח</v>
          </cell>
          <cell r="B52" t="str">
            <v>לא מפוקחים</v>
          </cell>
          <cell r="C52" t="str">
            <v xml:space="preserve">סוכנים </v>
          </cell>
          <cell r="D52"/>
          <cell r="E52"/>
          <cell r="F52"/>
          <cell r="G52"/>
          <cell r="H52"/>
          <cell r="I52"/>
          <cell r="J52">
            <v>0</v>
          </cell>
          <cell r="K52"/>
        </row>
        <row r="53">
          <cell r="A53" t="str">
            <v>דורון ענק הביטוח</v>
          </cell>
          <cell r="B53" t="str">
            <v>לא מפוקחים</v>
          </cell>
          <cell r="C53" t="str">
            <v xml:space="preserve">סוכנים </v>
          </cell>
          <cell r="D53"/>
          <cell r="E53"/>
          <cell r="F53"/>
          <cell r="G53"/>
          <cell r="H53"/>
          <cell r="I53"/>
          <cell r="J53">
            <v>0</v>
          </cell>
          <cell r="K53"/>
        </row>
        <row r="54">
          <cell r="A54" t="str">
            <v>גול זאב</v>
          </cell>
          <cell r="B54" t="str">
            <v>לא מפוקחים</v>
          </cell>
          <cell r="C54" t="str">
            <v xml:space="preserve">סוכנים </v>
          </cell>
          <cell r="D54"/>
          <cell r="E54"/>
          <cell r="F54">
            <v>30000</v>
          </cell>
          <cell r="G54"/>
          <cell r="H54"/>
          <cell r="I54"/>
          <cell r="J54">
            <v>0</v>
          </cell>
          <cell r="K54"/>
        </row>
        <row r="55">
          <cell r="A55" t="str">
            <v>עבוד כיתי</v>
          </cell>
          <cell r="B55" t="str">
            <v xml:space="preserve">ערן גירוני </v>
          </cell>
          <cell r="C55" t="str">
            <v xml:space="preserve">סוכנים </v>
          </cell>
          <cell r="D55"/>
          <cell r="E55"/>
          <cell r="F55"/>
          <cell r="G55"/>
          <cell r="H55"/>
          <cell r="I55"/>
          <cell r="J55">
            <v>0</v>
          </cell>
          <cell r="K55"/>
        </row>
        <row r="56">
          <cell r="A56" t="str">
            <v>יעקב ישראל שטרן</v>
          </cell>
          <cell r="B56" t="str">
            <v xml:space="preserve">ערן גירוני </v>
          </cell>
          <cell r="C56" t="str">
            <v xml:space="preserve">סוכנים </v>
          </cell>
          <cell r="D56"/>
          <cell r="E56"/>
          <cell r="F56"/>
          <cell r="G56"/>
          <cell r="H56"/>
          <cell r="I56"/>
          <cell r="J56">
            <v>0</v>
          </cell>
          <cell r="K56"/>
        </row>
        <row r="57">
          <cell r="A57" t="str">
            <v xml:space="preserve">ניר יבלונקה </v>
          </cell>
          <cell r="B57" t="str">
            <v xml:space="preserve">ערן גירוני </v>
          </cell>
          <cell r="C57" t="str">
            <v xml:space="preserve">סוכנים </v>
          </cell>
          <cell r="D57"/>
          <cell r="E57"/>
          <cell r="F57"/>
          <cell r="G57"/>
          <cell r="H57"/>
          <cell r="I57"/>
          <cell r="J57">
            <v>0</v>
          </cell>
          <cell r="K57"/>
          <cell r="O57"/>
        </row>
        <row r="58">
          <cell r="A58" t="str">
            <v>גלידר אנה</v>
          </cell>
          <cell r="B58" t="str">
            <v>יוסי אביב</v>
          </cell>
          <cell r="C58" t="str">
            <v xml:space="preserve">סוכנים </v>
          </cell>
          <cell r="D58"/>
          <cell r="E58"/>
          <cell r="F58">
            <v>1135989.81</v>
          </cell>
          <cell r="G58"/>
          <cell r="H58"/>
          <cell r="I58"/>
          <cell r="J58">
            <v>1177733.8399999999</v>
          </cell>
          <cell r="K58"/>
        </row>
        <row r="59">
          <cell r="A59" t="str">
            <v>יונתן מנחם</v>
          </cell>
          <cell r="B59" t="str">
            <v xml:space="preserve">ערן גירוני </v>
          </cell>
          <cell r="C59" t="str">
            <v xml:space="preserve">סוכנים </v>
          </cell>
          <cell r="D59"/>
          <cell r="E59"/>
          <cell r="F59"/>
          <cell r="G59"/>
          <cell r="H59"/>
          <cell r="I59"/>
          <cell r="J59">
            <v>0</v>
          </cell>
          <cell r="K59"/>
        </row>
        <row r="60">
          <cell r="A60" t="str">
            <v>ינאי חיים בוני</v>
          </cell>
          <cell r="B60" t="str">
            <v xml:space="preserve">ערן גירוני </v>
          </cell>
          <cell r="C60" t="str">
            <v xml:space="preserve">סוכנים </v>
          </cell>
          <cell r="D60"/>
          <cell r="E60"/>
          <cell r="F60"/>
          <cell r="G60"/>
          <cell r="H60"/>
          <cell r="I60"/>
          <cell r="J60">
            <v>0</v>
          </cell>
          <cell r="K60"/>
        </row>
        <row r="61">
          <cell r="A61" t="str">
            <v>יהונתן שיוביץ</v>
          </cell>
          <cell r="B61" t="str">
            <v xml:space="preserve">ערן גירוני </v>
          </cell>
          <cell r="C61" t="str">
            <v xml:space="preserve">סוכנים </v>
          </cell>
          <cell r="D61"/>
          <cell r="E61"/>
          <cell r="F61"/>
          <cell r="G61"/>
          <cell r="H61"/>
          <cell r="I61"/>
          <cell r="J61">
            <v>0</v>
          </cell>
          <cell r="K61"/>
        </row>
        <row r="62">
          <cell r="A62" t="str">
            <v>שירלי בוכריס</v>
          </cell>
          <cell r="B62" t="str">
            <v xml:space="preserve">ערן גירוני </v>
          </cell>
          <cell r="C62" t="str">
            <v xml:space="preserve">סוכנים </v>
          </cell>
          <cell r="D62"/>
          <cell r="E62"/>
          <cell r="F62">
            <v>120104.22</v>
          </cell>
          <cell r="G62"/>
          <cell r="H62"/>
          <cell r="I62"/>
          <cell r="J62">
            <v>95175.1</v>
          </cell>
          <cell r="K62"/>
          <cell r="N62"/>
        </row>
        <row r="63">
          <cell r="A63" t="str">
            <v>סיון פיינרו</v>
          </cell>
          <cell r="B63" t="str">
            <v xml:space="preserve">ערן גירוני </v>
          </cell>
          <cell r="C63" t="str">
            <v xml:space="preserve">סוכנים </v>
          </cell>
          <cell r="D63"/>
          <cell r="E63"/>
          <cell r="F63"/>
          <cell r="G63"/>
          <cell r="H63"/>
          <cell r="I63"/>
          <cell r="J63">
            <v>0</v>
          </cell>
          <cell r="K63"/>
        </row>
        <row r="64">
          <cell r="A64" t="str">
            <v>יתר הסוכנים</v>
          </cell>
          <cell r="B64"/>
          <cell r="C64"/>
          <cell r="D64">
            <v>0</v>
          </cell>
          <cell r="E64">
            <v>0</v>
          </cell>
          <cell r="F64">
            <v>1950055.74</v>
          </cell>
          <cell r="G64">
            <v>0</v>
          </cell>
          <cell r="H64">
            <v>0</v>
          </cell>
          <cell r="I64">
            <v>0</v>
          </cell>
          <cell r="J64">
            <v>1327908.94</v>
          </cell>
          <cell r="K64">
            <v>0</v>
          </cell>
        </row>
        <row r="65">
          <cell r="A65" t="str">
            <v>אריאל בר-חיים</v>
          </cell>
          <cell r="B65" t="str">
            <v>יוסי אביב</v>
          </cell>
          <cell r="C65" t="str">
            <v>פרמיום</v>
          </cell>
          <cell r="D65"/>
          <cell r="E65"/>
          <cell r="F65"/>
          <cell r="G65"/>
          <cell r="H65"/>
          <cell r="I65"/>
          <cell r="J65">
            <v>15787.51</v>
          </cell>
          <cell r="K65"/>
        </row>
        <row r="66">
          <cell r="A66" t="str">
            <v>שלי מזרחי</v>
          </cell>
          <cell r="B66" t="str">
            <v xml:space="preserve">ערן גירוני </v>
          </cell>
          <cell r="C66" t="str">
            <v xml:space="preserve">פרמיום </v>
          </cell>
          <cell r="D66"/>
          <cell r="E66"/>
          <cell r="F66">
            <v>488859.09</v>
          </cell>
          <cell r="G66"/>
          <cell r="H66"/>
          <cell r="I66"/>
          <cell r="J66">
            <v>0</v>
          </cell>
          <cell r="K66"/>
        </row>
        <row r="67">
          <cell r="A67" t="str">
            <v>חנה כצנלסון</v>
          </cell>
          <cell r="B67" t="str">
            <v>יוסי אביב</v>
          </cell>
          <cell r="C67" t="str">
            <v xml:space="preserve">פרמיום </v>
          </cell>
          <cell r="D67"/>
          <cell r="E67"/>
          <cell r="F67"/>
          <cell r="G67"/>
          <cell r="H67"/>
          <cell r="I67"/>
          <cell r="J67">
            <v>0</v>
          </cell>
          <cell r="K67"/>
        </row>
        <row r="68">
          <cell r="A68" t="str">
            <v xml:space="preserve">מיכאל וקסלר </v>
          </cell>
          <cell r="B68" t="str">
            <v xml:space="preserve">ערן גירוני </v>
          </cell>
          <cell r="C68" t="str">
            <v xml:space="preserve">פרמיום </v>
          </cell>
          <cell r="D68"/>
          <cell r="E68"/>
          <cell r="F68"/>
          <cell r="G68"/>
          <cell r="H68"/>
          <cell r="I68"/>
          <cell r="J68">
            <v>0</v>
          </cell>
          <cell r="K68"/>
        </row>
        <row r="69">
          <cell r="A69" t="str">
            <v xml:space="preserve">שני לוי </v>
          </cell>
          <cell r="B69" t="str">
            <v xml:space="preserve">ערן גירוני </v>
          </cell>
          <cell r="C69" t="str">
            <v xml:space="preserve">פרמיום </v>
          </cell>
          <cell r="D69"/>
          <cell r="E69"/>
          <cell r="F69"/>
          <cell r="G69"/>
          <cell r="H69"/>
          <cell r="I69"/>
          <cell r="J69">
            <v>0</v>
          </cell>
          <cell r="K69"/>
        </row>
        <row r="70">
          <cell r="A70" t="str">
            <v>נעם הלשטוק</v>
          </cell>
          <cell r="B70" t="str">
            <v xml:space="preserve">ערן גירוני </v>
          </cell>
          <cell r="C70" t="str">
            <v xml:space="preserve">פרמיום </v>
          </cell>
          <cell r="D70"/>
          <cell r="E70"/>
          <cell r="F70"/>
          <cell r="G70"/>
          <cell r="H70"/>
          <cell r="I70"/>
          <cell r="J70">
            <v>0</v>
          </cell>
          <cell r="K70"/>
        </row>
        <row r="71">
          <cell r="A71" t="str">
            <v>אורטל / לנג ביג סוכנות לביטוח פנסיוני</v>
          </cell>
          <cell r="B71" t="str">
            <v xml:space="preserve">ערן גירוני </v>
          </cell>
          <cell r="C71" t="str">
            <v xml:space="preserve">פרמיום </v>
          </cell>
          <cell r="D71"/>
          <cell r="E71"/>
          <cell r="F71">
            <v>629203.72</v>
          </cell>
          <cell r="G71"/>
          <cell r="H71"/>
          <cell r="I71"/>
          <cell r="J71">
            <v>1106486.74</v>
          </cell>
          <cell r="K71"/>
        </row>
        <row r="72">
          <cell r="A72" t="str">
            <v>סטולרז אסף</v>
          </cell>
          <cell r="B72" t="str">
            <v>לא מפוקחים</v>
          </cell>
          <cell r="C72" t="str">
            <v>פרמיום</v>
          </cell>
          <cell r="D72"/>
          <cell r="E72"/>
          <cell r="F72"/>
          <cell r="G72"/>
          <cell r="H72"/>
          <cell r="I72"/>
          <cell r="J72">
            <v>59070.9</v>
          </cell>
          <cell r="K72"/>
        </row>
        <row r="73">
          <cell r="A73" t="str">
            <v>נור אבו ראס</v>
          </cell>
          <cell r="B73" t="str">
            <v xml:space="preserve">ערן גירוני </v>
          </cell>
          <cell r="C73" t="str">
            <v xml:space="preserve">פרמיום </v>
          </cell>
          <cell r="D73"/>
          <cell r="E73"/>
          <cell r="F73"/>
          <cell r="G73"/>
          <cell r="H73"/>
          <cell r="I73"/>
          <cell r="J73">
            <v>0</v>
          </cell>
          <cell r="K73"/>
        </row>
        <row r="74">
          <cell r="A74" t="str">
            <v>סה"כ פרימיום</v>
          </cell>
          <cell r="B74"/>
          <cell r="C74"/>
          <cell r="D74">
            <v>0</v>
          </cell>
          <cell r="E74">
            <v>0</v>
          </cell>
          <cell r="F74">
            <v>1118062.81</v>
          </cell>
          <cell r="G74">
            <v>0</v>
          </cell>
          <cell r="H74">
            <v>0</v>
          </cell>
          <cell r="I74">
            <v>0</v>
          </cell>
          <cell r="J74">
            <v>1181345.1499999999</v>
          </cell>
          <cell r="K74">
            <v>0</v>
          </cell>
        </row>
        <row r="75">
          <cell r="A75" t="str">
            <v>סה"כ כולל</v>
          </cell>
          <cell r="B75"/>
          <cell r="C75"/>
          <cell r="D75">
            <v>0</v>
          </cell>
          <cell r="E75">
            <v>0</v>
          </cell>
          <cell r="F75">
            <v>11520765.189999999</v>
          </cell>
          <cell r="G75">
            <v>0</v>
          </cell>
          <cell r="H75">
            <v>0</v>
          </cell>
          <cell r="I75">
            <v>0</v>
          </cell>
          <cell r="J75">
            <v>6866875.9600000009</v>
          </cell>
          <cell r="K75">
            <v>0</v>
          </cell>
        </row>
        <row r="76">
          <cell r="H76"/>
          <cell r="I76"/>
          <cell r="J76"/>
        </row>
        <row r="78">
          <cell r="F78"/>
        </row>
      </sheetData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31F58-CA45-44F1-9046-68576443EBCE}">
  <sheetPr>
    <tabColor theme="4" tint="0.39997558519241921"/>
  </sheetPr>
  <dimension ref="A1:Z52"/>
  <sheetViews>
    <sheetView showGridLines="0" rightToLeft="1" topLeftCell="A31" workbookViewId="0">
      <selection activeCell="O50" sqref="O50"/>
    </sheetView>
  </sheetViews>
  <sheetFormatPr defaultColWidth="23.5703125" defaultRowHeight="15" x14ac:dyDescent="0.25"/>
  <cols>
    <col min="1" max="1" width="13.42578125" style="50" bestFit="1" customWidth="1"/>
    <col min="2" max="3" width="12.140625" style="50" bestFit="1" customWidth="1"/>
    <col min="4" max="5" width="13.42578125" style="50" bestFit="1" customWidth="1"/>
    <col min="6" max="8" width="8.7109375" style="50" bestFit="1" customWidth="1"/>
    <col min="9" max="10" width="10.140625" style="50" bestFit="1" customWidth="1"/>
    <col min="11" max="12" width="10.42578125" style="50" bestFit="1" customWidth="1"/>
    <col min="13" max="13" width="10.85546875" style="50" bestFit="1" customWidth="1"/>
    <col min="14" max="14" width="15" style="32" bestFit="1" customWidth="1"/>
    <col min="15" max="15" width="11.140625" style="32" bestFit="1" customWidth="1"/>
    <col min="16" max="16" width="15.85546875" style="32" bestFit="1" customWidth="1"/>
    <col min="17" max="17" width="14.140625" style="32" bestFit="1" customWidth="1"/>
    <col min="18" max="18" width="15" style="32" bestFit="1" customWidth="1"/>
    <col min="19" max="19" width="13.5703125" style="32" bestFit="1" customWidth="1"/>
    <col min="20" max="21" width="16.42578125" style="32" bestFit="1" customWidth="1"/>
    <col min="22" max="22" width="3.42578125" style="32" customWidth="1"/>
    <col min="23" max="23" width="14" style="32" bestFit="1" customWidth="1"/>
    <col min="24" max="24" width="18.28515625" style="32" bestFit="1" customWidth="1"/>
    <col min="25" max="25" width="15.85546875" style="32" bestFit="1" customWidth="1"/>
    <col min="26" max="26" width="14.7109375" style="33" bestFit="1" customWidth="1"/>
  </cols>
  <sheetData>
    <row r="1" spans="1:21" ht="15.75" thickBot="1" x14ac:dyDescent="0.3"/>
    <row r="2" spans="1:21" ht="48" thickBot="1" x14ac:dyDescent="0.3">
      <c r="A2" s="60" t="s">
        <v>86</v>
      </c>
      <c r="J2" s="132"/>
      <c r="O2" s="53" t="s">
        <v>75</v>
      </c>
      <c r="P2" s="54"/>
      <c r="Q2" s="54"/>
      <c r="R2" s="55"/>
    </row>
    <row r="3" spans="1:21" ht="48" thickBot="1" x14ac:dyDescent="0.3">
      <c r="A3" s="252" t="s">
        <v>57</v>
      </c>
      <c r="B3" s="254" t="s">
        <v>129</v>
      </c>
      <c r="C3" s="255"/>
      <c r="D3" s="255"/>
      <c r="E3" s="255"/>
      <c r="F3" s="257" t="s">
        <v>63</v>
      </c>
      <c r="G3" s="258"/>
      <c r="H3" s="258"/>
      <c r="I3" s="259"/>
      <c r="J3" s="133"/>
      <c r="O3" s="113" t="s">
        <v>76</v>
      </c>
      <c r="P3" s="114" t="s">
        <v>77</v>
      </c>
      <c r="Q3" s="114" t="s">
        <v>78</v>
      </c>
      <c r="R3" s="114" t="s">
        <v>126</v>
      </c>
    </row>
    <row r="4" spans="1:21" ht="32.25" thickBot="1" x14ac:dyDescent="0.3">
      <c r="A4" s="253"/>
      <c r="B4" s="199" t="s">
        <v>46</v>
      </c>
      <c r="C4" s="197" t="s">
        <v>47</v>
      </c>
      <c r="D4" s="197" t="s">
        <v>48</v>
      </c>
      <c r="E4" s="192" t="s">
        <v>49</v>
      </c>
      <c r="F4" s="93" t="s">
        <v>46</v>
      </c>
      <c r="G4" s="41" t="s">
        <v>50</v>
      </c>
      <c r="H4" s="87" t="s">
        <v>51</v>
      </c>
      <c r="I4" s="81" t="s">
        <v>49</v>
      </c>
      <c r="J4" s="134"/>
      <c r="O4" s="115"/>
      <c r="P4" s="20"/>
      <c r="Q4" s="21"/>
      <c r="R4" s="22"/>
    </row>
    <row r="5" spans="1:21" x14ac:dyDescent="0.25">
      <c r="A5" s="64" t="s">
        <v>58</v>
      </c>
      <c r="B5" s="193">
        <f>'תפוקה מול יעד חודשי'!L8</f>
        <v>4523633.35603307</v>
      </c>
      <c r="C5" s="193">
        <f>'תפוקה מול יעד חודשי'!M8</f>
        <v>101250.45843233881</v>
      </c>
      <c r="D5" s="193" t="e">
        <f>'תפוקה מול יעד חודשי'!N8</f>
        <v>#VALUE!</v>
      </c>
      <c r="E5" s="193">
        <f>'תפוקה מול יעד חודשי'!O8</f>
        <v>12763310.189999999</v>
      </c>
      <c r="F5" s="90">
        <f>'תפוקה מול יעד חודשי'!D5</f>
        <v>0</v>
      </c>
      <c r="G5" s="47">
        <f>'תפוקה מול יעד חודשי'!E5</f>
        <v>-0.62233228070175439</v>
      </c>
      <c r="H5" s="88">
        <f>'תפוקה מול יעד חודשי'!F5</f>
        <v>0</v>
      </c>
      <c r="I5" s="49">
        <f>'תפוקה מול יעד חודשי'!G5</f>
        <v>0</v>
      </c>
      <c r="J5" s="135"/>
      <c r="O5" s="85"/>
      <c r="P5" s="20"/>
      <c r="Q5" s="21"/>
      <c r="R5" s="22"/>
    </row>
    <row r="6" spans="1:21" x14ac:dyDescent="0.25">
      <c r="A6" s="65" t="s">
        <v>59</v>
      </c>
      <c r="B6" s="194">
        <f>'תפוקה מול יעד חודשי'!L8</f>
        <v>4523633.35603307</v>
      </c>
      <c r="C6" s="194">
        <f>'תפוקה מול יעד חודשי'!M21</f>
        <v>208214.4700098593</v>
      </c>
      <c r="D6" s="194">
        <f>'תפוקה מול יעד חודשי'!N21</f>
        <v>3700558.6862930814</v>
      </c>
      <c r="E6" s="194">
        <f>'תפוקה מול יעד חודשי'!O21</f>
        <v>1049038.3799999999</v>
      </c>
      <c r="F6" s="90">
        <f>'תפוקה מול יעד חודשי'!D13</f>
        <v>0</v>
      </c>
      <c r="G6" s="47">
        <f>'תפוקה מול יעד חודשי'!E13</f>
        <v>-0.82042378529351312</v>
      </c>
      <c r="H6" s="88">
        <f>'תפוקה מול יעד חודשי'!F13</f>
        <v>0</v>
      </c>
      <c r="I6" s="49">
        <f>'תפוקה מול יעד חודשי'!G13</f>
        <v>0</v>
      </c>
      <c r="J6" s="135"/>
      <c r="O6" s="19"/>
      <c r="P6" s="20"/>
      <c r="Q6" s="21"/>
      <c r="R6" s="22"/>
    </row>
    <row r="7" spans="1:21" x14ac:dyDescent="0.25">
      <c r="A7" s="66" t="s">
        <v>60</v>
      </c>
      <c r="B7" s="195">
        <f>'תפוקה מול יעד חודשי'!L71</f>
        <v>1633988.4341011026</v>
      </c>
      <c r="C7" s="195">
        <f>'תפוקה מול יעד חודשי'!M71</f>
        <v>354410.19484036462</v>
      </c>
      <c r="D7" s="195">
        <f>'תפוקה מול יעד חודשי'!N71</f>
        <v>7826366.9100000001</v>
      </c>
      <c r="E7" s="195">
        <f>'תפוקה מול יעד חודשי'!O71</f>
        <v>5886428.7899999991</v>
      </c>
      <c r="F7" s="91">
        <f>'תפוקה מול יעד חודשי'!D70</f>
        <v>-0.19134766666666669</v>
      </c>
      <c r="G7" s="45">
        <f>'תפוקה מול יעד חודשי'!E70</f>
        <v>-0.59457824561403505</v>
      </c>
      <c r="H7" s="89">
        <f>'תפוקה מול יעד חודשי'!F70</f>
        <v>0</v>
      </c>
      <c r="I7" s="83">
        <f>'תפוקה מול יעד חודשי'!G70</f>
        <v>0</v>
      </c>
      <c r="J7" s="135"/>
      <c r="O7" s="85"/>
      <c r="P7" s="20"/>
      <c r="Q7" s="21"/>
      <c r="R7" s="22"/>
    </row>
    <row r="8" spans="1:21" x14ac:dyDescent="0.25">
      <c r="A8" s="198" t="s">
        <v>124</v>
      </c>
      <c r="B8" s="194">
        <f>'תפוקה מול יעד חודשי'!L54</f>
        <v>1170745.5517884102</v>
      </c>
      <c r="C8" s="194">
        <f>'תפוקה מול יעד חודשי'!M54</f>
        <v>161329.82734223345</v>
      </c>
      <c r="D8" s="194">
        <f>'תפוקה מול יעד חודשי'!N54</f>
        <v>3185106.0580577524</v>
      </c>
      <c r="E8" s="194">
        <f>'תפוקה מול יעד חודשי'!O54</f>
        <v>1368862.9</v>
      </c>
      <c r="F8" s="90">
        <f>'תפוקה מול יעד חודשי'!D71</f>
        <v>0.60194944519715943</v>
      </c>
      <c r="G8" s="47">
        <f>'תפוקה מול יעד חודשי'!E71</f>
        <v>1.8697181768450575</v>
      </c>
      <c r="H8" s="47">
        <f>'תפוקה מול יעד חודשי'!F71</f>
        <v>0.15740415705412603</v>
      </c>
      <c r="I8" s="49">
        <f>'תפוקה מול יעד חודשי'!G71</f>
        <v>0.70621124347826059</v>
      </c>
      <c r="J8" s="135"/>
      <c r="O8" s="19"/>
      <c r="P8" s="20"/>
      <c r="Q8" s="21"/>
      <c r="R8" s="22"/>
    </row>
    <row r="9" spans="1:21" x14ac:dyDescent="0.25">
      <c r="A9" s="198" t="s">
        <v>125</v>
      </c>
      <c r="B9" s="194">
        <f>'תפוקה מול יעד חודשי'!L62</f>
        <v>479457.34681596066</v>
      </c>
      <c r="C9" s="194">
        <f>'תפוקה מול יעד חודשי'!M62</f>
        <v>36763.604679804404</v>
      </c>
      <c r="D9" s="194">
        <f>'תפוקה מול יעד חודשי'!N62</f>
        <v>2601598.4438323355</v>
      </c>
      <c r="E9" s="194">
        <f>'תפוקה מול יעד חודשי'!O62</f>
        <v>1524051.36</v>
      </c>
      <c r="F9" s="90">
        <f>'תפוקה מול יעד חודשי'!D72</f>
        <v>1.67217088884275E-2</v>
      </c>
      <c r="G9" s="47">
        <f>'תפוקה מול יעד חודשי'!E72</f>
        <v>2.7559820354772224E-2</v>
      </c>
      <c r="H9" s="47" t="e">
        <f>'תפוקה מול יעד חודשי'!F72</f>
        <v>#VALUE!</v>
      </c>
      <c r="I9" s="49">
        <f>'תפוקה מול יעד חודשי'!G72</f>
        <v>-0.24139059179863276</v>
      </c>
      <c r="J9" s="135"/>
      <c r="O9" s="183"/>
      <c r="P9" s="184"/>
      <c r="Q9" s="185"/>
      <c r="R9" s="186"/>
    </row>
    <row r="10" spans="1:21" ht="42.75" thickBot="1" x14ac:dyDescent="0.3">
      <c r="A10" s="160" t="s">
        <v>61</v>
      </c>
      <c r="B10" s="196">
        <f>SUM(B5:B8)</f>
        <v>11852000.697955653</v>
      </c>
      <c r="C10" s="196">
        <f t="shared" ref="C10:E10" si="0">SUM(C5:C8)</f>
        <v>825204.9506247961</v>
      </c>
      <c r="D10" s="196" t="e">
        <f t="shared" si="0"/>
        <v>#VALUE!</v>
      </c>
      <c r="E10" s="196">
        <f t="shared" si="0"/>
        <v>21067640.259999998</v>
      </c>
      <c r="F10" s="187">
        <f>'תפוקה מול יעד חודשי'!D71</f>
        <v>0.60194944519715943</v>
      </c>
      <c r="G10" s="130">
        <f>'תפוקה מול יעד חודשי'!E71</f>
        <v>1.8697181768450575</v>
      </c>
      <c r="H10" s="131">
        <f>'תפוקה מול יעד חודשי'!F71</f>
        <v>0.15740415705412603</v>
      </c>
      <c r="I10" s="157">
        <f>'תפוקה מול יעד חודשי'!G71</f>
        <v>0.70621124347826059</v>
      </c>
      <c r="J10" s="136"/>
      <c r="O10"/>
      <c r="P10"/>
      <c r="Q10"/>
      <c r="R10"/>
    </row>
    <row r="11" spans="1:21" x14ac:dyDescent="0.25">
      <c r="J11" s="132"/>
      <c r="R11" s="33"/>
    </row>
    <row r="12" spans="1:21" x14ac:dyDescent="0.25">
      <c r="J12" s="132"/>
      <c r="R12" s="33"/>
    </row>
    <row r="13" spans="1:21" ht="15.75" thickBot="1" x14ac:dyDescent="0.3">
      <c r="K13" s="126"/>
      <c r="L13" s="126"/>
      <c r="M13" s="126"/>
      <c r="R13" s="33"/>
    </row>
    <row r="14" spans="1:21" ht="46.5" thickBot="1" x14ac:dyDescent="0.3">
      <c r="A14" s="60" t="s">
        <v>85</v>
      </c>
      <c r="K14" s="126"/>
      <c r="L14" s="127"/>
      <c r="M14" s="126"/>
      <c r="O14" s="56" t="s">
        <v>79</v>
      </c>
      <c r="P14" s="54"/>
      <c r="Q14" s="54"/>
      <c r="R14" s="55"/>
    </row>
    <row r="15" spans="1:21" ht="31.9" customHeight="1" thickBot="1" x14ac:dyDescent="0.4">
      <c r="A15" s="252" t="s">
        <v>57</v>
      </c>
      <c r="B15" s="254" t="s">
        <v>130</v>
      </c>
      <c r="C15" s="255"/>
      <c r="D15" s="255"/>
      <c r="E15" s="256"/>
      <c r="F15" s="246" t="s">
        <v>52</v>
      </c>
      <c r="G15" s="247"/>
      <c r="H15" s="247"/>
      <c r="I15" s="248"/>
      <c r="J15" s="243" t="s">
        <v>74</v>
      </c>
      <c r="K15" s="244"/>
      <c r="L15" s="244"/>
      <c r="M15" s="245"/>
      <c r="N15" s="34"/>
      <c r="O15" s="57" t="s">
        <v>76</v>
      </c>
      <c r="P15" s="58" t="s">
        <v>77</v>
      </c>
      <c r="Q15" s="58" t="s">
        <v>80</v>
      </c>
      <c r="R15" s="58" t="s">
        <v>126</v>
      </c>
      <c r="S15" s="34"/>
      <c r="T15" s="34"/>
      <c r="U15" s="34"/>
    </row>
    <row r="16" spans="1:21" ht="32.25" thickBot="1" x14ac:dyDescent="0.3">
      <c r="A16" s="253"/>
      <c r="B16" s="80" t="s">
        <v>46</v>
      </c>
      <c r="C16" s="40" t="s">
        <v>47</v>
      </c>
      <c r="D16" s="40" t="s">
        <v>48</v>
      </c>
      <c r="E16" s="200" t="s">
        <v>49</v>
      </c>
      <c r="F16" s="93" t="s">
        <v>46</v>
      </c>
      <c r="G16" s="41" t="s">
        <v>50</v>
      </c>
      <c r="H16" s="87" t="s">
        <v>51</v>
      </c>
      <c r="I16" s="81" t="s">
        <v>97</v>
      </c>
      <c r="J16" s="98" t="s">
        <v>46</v>
      </c>
      <c r="K16" s="99" t="s">
        <v>50</v>
      </c>
      <c r="L16" s="99" t="s">
        <v>51</v>
      </c>
      <c r="M16" s="100" t="s">
        <v>49</v>
      </c>
      <c r="N16" s="35"/>
      <c r="O16" s="85"/>
      <c r="P16" s="20"/>
      <c r="Q16" s="21"/>
      <c r="R16" s="22"/>
      <c r="S16" s="35"/>
      <c r="T16" s="35"/>
      <c r="U16" s="35"/>
    </row>
    <row r="17" spans="1:26" x14ac:dyDescent="0.25">
      <c r="A17" s="64" t="s">
        <v>58</v>
      </c>
      <c r="B17" s="52">
        <f>'תפוקה מצטברת מול אשתקד'!H8</f>
        <v>4523633.35603307</v>
      </c>
      <c r="C17" s="48">
        <f>'תפוקה מצטברת מול אשתקד'!I8</f>
        <v>101644.52843233882</v>
      </c>
      <c r="D17" s="48" t="e">
        <f>'תפוקה מצטברת מול אשתקד'!J8</f>
        <v>#VALUE!</v>
      </c>
      <c r="E17" s="201">
        <f>'תפוקה מצטברת מול אשתקד'!K8</f>
        <v>12763310.189999999</v>
      </c>
      <c r="F17" s="90">
        <f>'תפוקה מצטברת מול אשתקד'!D8</f>
        <v>28.730436585221295</v>
      </c>
      <c r="G17" s="47">
        <f>'תפוקה מצטברת מול אשתקד'!E8</f>
        <v>-0.24073705920543575</v>
      </c>
      <c r="H17" s="47" t="e">
        <f>'תפוקה מצטברת מול אשתקד'!F8</f>
        <v>#VALUE!</v>
      </c>
      <c r="I17" s="49">
        <f>'תפוקה מצטברת מול אשתקד'!G8</f>
        <v>26.051120351839568</v>
      </c>
      <c r="J17" s="90">
        <f>'תפוקה מצטברת מול יעד מצטבר'!D8</f>
        <v>-0.76801880225471442</v>
      </c>
      <c r="K17" s="47">
        <f>'תפוקה מצטברת מול יעד מצטבר'!E8</f>
        <v>-0.92211503197512401</v>
      </c>
      <c r="L17" s="47" t="e">
        <f>'תפוקה מצטברת מול יעד מצטבר'!F8</f>
        <v>#VALUE!</v>
      </c>
      <c r="M17" s="49">
        <f>'תפוקה מצטברת מול יעד מצטבר'!G8</f>
        <v>8.8179309153846148</v>
      </c>
      <c r="N17" s="36"/>
      <c r="O17" s="19"/>
      <c r="P17" s="20"/>
      <c r="Q17" s="21"/>
      <c r="R17" s="22"/>
      <c r="S17" s="36"/>
      <c r="T17" s="36"/>
      <c r="U17" s="36"/>
    </row>
    <row r="18" spans="1:26" x14ac:dyDescent="0.25">
      <c r="A18" s="65" t="s">
        <v>59</v>
      </c>
      <c r="B18" s="52">
        <f>'תפוקה מצטברת מול אשתקד'!H21</f>
        <v>604530.73060430482</v>
      </c>
      <c r="C18" s="48">
        <f>'תפוקה מצטברת מול אשתקד'!I21</f>
        <v>208214.4700098593</v>
      </c>
      <c r="D18" s="48">
        <f>'תפוקה מצטברת מול אשתקד'!J21</f>
        <v>3700558.6862930814</v>
      </c>
      <c r="E18" s="201">
        <f>'תפוקה מצטברת מול אשתקד'!K21</f>
        <v>1049038.3799999999</v>
      </c>
      <c r="F18" s="90">
        <f>'תפוקה מצטברת מול אשתקד'!D21</f>
        <v>15.119026306509895</v>
      </c>
      <c r="G18" s="47">
        <f>'תפוקה מצטברת מול אשתקד'!E21</f>
        <v>1.9064375476225486</v>
      </c>
      <c r="H18" s="47">
        <f>'תפוקה מצטברת מול אשתקד'!F21</f>
        <v>0.56557977402262316</v>
      </c>
      <c r="I18" s="49">
        <f>'תפוקה מצטברת מול אשתקד'!G21</f>
        <v>-4.9173303261485746</v>
      </c>
      <c r="J18" s="90">
        <f>'תפוקה מצטברת מול יעד מצטבר'!D21</f>
        <v>-0.92249606017893526</v>
      </c>
      <c r="K18" s="47">
        <f>'תפוקה מצטברת מול יעד מצטבר'!E21</f>
        <v>-0.9214285018830719</v>
      </c>
      <c r="L18" s="47">
        <f>'תפוקה מצטברת מול יעד מצטבר'!F21</f>
        <v>-0.93780573636482212</v>
      </c>
      <c r="M18" s="49">
        <f>'תפוקה מצטברת מול יעד מצטבר'!G21</f>
        <v>-0.63826262758620689</v>
      </c>
      <c r="N18" s="36"/>
      <c r="O18" s="85"/>
      <c r="P18" s="20"/>
      <c r="Q18" s="21"/>
      <c r="R18" s="22"/>
      <c r="S18" s="36"/>
      <c r="T18" s="36"/>
      <c r="U18" s="36"/>
    </row>
    <row r="19" spans="1:26" x14ac:dyDescent="0.25">
      <c r="A19" s="65" t="s">
        <v>60</v>
      </c>
      <c r="B19" s="52">
        <f>'תפוקה מצטברת מול אשתקד'!H71</f>
        <v>9047266.71206614</v>
      </c>
      <c r="C19" s="48">
        <f>'תפוקה מצטברת מול אשתקד'!I71</f>
        <v>203289.05686467764</v>
      </c>
      <c r="D19" s="48" t="e">
        <f>'תפוקה מצטברת מול אשתקד'!J71</f>
        <v>#VALUE!</v>
      </c>
      <c r="E19" s="201">
        <f>'תפוקה מצטברת מול אשתקד'!K71</f>
        <v>25526620.379999999</v>
      </c>
      <c r="F19" s="90">
        <f>'תפוקה מצטברת מול אשתקד'!D71</f>
        <v>28.730436585221295</v>
      </c>
      <c r="G19" s="47">
        <f>'תפוקה מצטברת מול אשתקד'!E71</f>
        <v>-0.24073705920543575</v>
      </c>
      <c r="H19" s="47" t="e">
        <f>'תפוקה מצטברת מול אשתקד'!F71</f>
        <v>#VALUE!</v>
      </c>
      <c r="I19" s="49">
        <f>'תפוקה מצטברת מול אשתקד'!G62</f>
        <v>-6.6498251309618506E-2</v>
      </c>
      <c r="J19" s="90">
        <f>'תפוקה מצטברת מול יעד מצטבר'!D62</f>
        <v>-0.99982408462784222</v>
      </c>
      <c r="K19" s="47">
        <f>'תפוקה מצטברת מול יעד מצטבר'!E62</f>
        <v>-0.96209937661875833</v>
      </c>
      <c r="L19" s="47">
        <f>'תפוקה מצטברת מול יעד מצטבר'!F62</f>
        <v>-0.90708576986313083</v>
      </c>
      <c r="M19" s="49">
        <f>'תפוקה מצטברת מול יעד מצטבר'!G62</f>
        <v>0.57118696907216515</v>
      </c>
      <c r="N19" s="36"/>
      <c r="O19" s="19"/>
      <c r="P19" s="20"/>
      <c r="Q19" s="21"/>
      <c r="R19" s="22"/>
      <c r="S19" s="36"/>
      <c r="T19" s="36"/>
      <c r="U19" s="36"/>
    </row>
    <row r="20" spans="1:26" x14ac:dyDescent="0.25">
      <c r="A20" s="198" t="s">
        <v>124</v>
      </c>
      <c r="B20" s="52">
        <f>'תפוקה מצטברת מול אשתקד'!H54</f>
        <v>1170745.5517884102</v>
      </c>
      <c r="C20" s="48">
        <f>'תפוקה מצטברת מול אשתקד'!I54</f>
        <v>161329.82734223345</v>
      </c>
      <c r="D20" s="48">
        <f>'תפוקה מצטברת מול אשתקד'!J54</f>
        <v>3185106.0580577524</v>
      </c>
      <c r="E20" s="201">
        <f>'תפוקה מצטברת מול אשתקד'!K54</f>
        <v>1368862.9</v>
      </c>
      <c r="F20" s="90">
        <f>'תפוקה מצטברת מול אשתקד'!D72</f>
        <v>6.8334605679745453</v>
      </c>
      <c r="G20" s="47">
        <f>'תפוקה מצטברת מול אשתקד'!E72</f>
        <v>-9.6915817941594318E-2</v>
      </c>
      <c r="H20" s="47" t="e">
        <f>'תפוקה מצטברת מול אשתקד'!F72</f>
        <v>#VALUE!</v>
      </c>
      <c r="I20" s="49">
        <f>'תפוקה מצטברת מול אשתקד'!G71</f>
        <v>26.051120351839568</v>
      </c>
      <c r="J20" s="90">
        <f>'תפוקה מצטברת מול יעד מצטבר'!D71</f>
        <v>-0.80776606657634087</v>
      </c>
      <c r="K20" s="47">
        <f>'תפוקה מצטברת מול יעד מצטבר'!E71</f>
        <v>-0.7273767731997195</v>
      </c>
      <c r="L20" s="47">
        <f>'תפוקה מצטברת מול יעד מצטבר'!F71</f>
        <v>-0.84502243742574257</v>
      </c>
      <c r="M20" s="49">
        <f>'תפוקה מצטברת מול יעד מצטבר'!G71</f>
        <v>3.5280221461538455</v>
      </c>
      <c r="N20" s="36"/>
      <c r="O20" s="19"/>
      <c r="P20" s="20"/>
      <c r="Q20" s="21"/>
      <c r="R20" s="22"/>
      <c r="S20" s="36"/>
      <c r="T20" s="36"/>
      <c r="U20" s="36"/>
    </row>
    <row r="21" spans="1:26" ht="15.75" thickBot="1" x14ac:dyDescent="0.3">
      <c r="A21" s="205" t="s">
        <v>125</v>
      </c>
      <c r="B21" s="182">
        <f>'תפוקה מצטברת מול אשתקד'!H62</f>
        <v>479457.34681596066</v>
      </c>
      <c r="C21" s="181">
        <f>'תפוקה מצטברת מול אשתקד'!I62</f>
        <v>36763.604679804404</v>
      </c>
      <c r="D21" s="181">
        <f>'תפוקה מצטברת מול אשתקד'!J62</f>
        <v>2601598.4438323355</v>
      </c>
      <c r="E21" s="202">
        <f>'תפוקה מצטברת מול אשתקד'!K62</f>
        <v>1524051.36</v>
      </c>
      <c r="F21" s="91">
        <f>'תפוקה מצטברת מול אשתקד'!D73</f>
        <v>0</v>
      </c>
      <c r="G21" s="45">
        <f>'תפוקה מצטברת מול אשתקד'!E73</f>
        <v>0</v>
      </c>
      <c r="H21" s="45">
        <f>'תפוקה מצטברת מול אשתקד'!F73</f>
        <v>0</v>
      </c>
      <c r="I21" s="83">
        <f>'תפוקה מצטברת מול אשתקד'!G72</f>
        <v>4.2786101878717542</v>
      </c>
      <c r="J21" s="91">
        <f>'תפוקה מצטברת מול יעד מצטבר'!D72</f>
        <v>-0.99418316731078082</v>
      </c>
      <c r="K21" s="45">
        <f>'תפוקה מצטברת מול יעד מצטבר'!E72</f>
        <v>-0.8975585357338951</v>
      </c>
      <c r="L21" s="45" t="e">
        <f>'תפוקה מצטברת מול יעד מצטבר'!F72</f>
        <v>#VALUE!</v>
      </c>
      <c r="M21" s="83">
        <f>'תפוקה מצטברת מול יעד מצטבר'!G72</f>
        <v>4.5786932100238653</v>
      </c>
      <c r="N21" s="36"/>
      <c r="O21" s="183"/>
      <c r="P21" s="184"/>
      <c r="Q21" s="191"/>
      <c r="R21" s="191"/>
      <c r="S21" s="36"/>
      <c r="T21" s="36"/>
      <c r="U21" s="36"/>
    </row>
    <row r="22" spans="1:26" ht="42.75" thickBot="1" x14ac:dyDescent="0.3">
      <c r="A22" s="79" t="s">
        <v>61</v>
      </c>
      <c r="B22" s="82">
        <f>SUM(B17:B21)</f>
        <v>15825633.697307885</v>
      </c>
      <c r="C22" s="42">
        <f>SUM(C17:C21)</f>
        <v>711241.48732891364</v>
      </c>
      <c r="D22" s="42" t="e">
        <f t="shared" ref="D22:E22" si="1">SUM(D17:D20)</f>
        <v>#VALUE!</v>
      </c>
      <c r="E22" s="203">
        <f t="shared" si="1"/>
        <v>40707831.850000001</v>
      </c>
      <c r="F22" s="94">
        <f>'תפוקה מצטברת מול אשתקד'!D72</f>
        <v>6.8334605679745453</v>
      </c>
      <c r="G22" s="43">
        <f>'תפוקה מצטברת מול אשתקד'!E72</f>
        <v>-9.6915817941594318E-2</v>
      </c>
      <c r="H22" s="44" t="e">
        <f>'תפוקה מצטברת מול אשתקד'!F72</f>
        <v>#VALUE!</v>
      </c>
      <c r="I22" s="206">
        <f>'תפוקה מצטברת מול יעד מצטבר'!D71</f>
        <v>-0.80776606657634087</v>
      </c>
      <c r="J22" s="207">
        <f>'תפוקה מצטברת מול יעד מצטבר'!D72</f>
        <v>-0.99418316731078082</v>
      </c>
      <c r="K22" s="207">
        <f>'תפוקה מצטברת מול יעד מצטבר'!E72</f>
        <v>-0.8975585357338951</v>
      </c>
      <c r="L22" s="207" t="e">
        <f>'תפוקה מצטברת מול יעד מצטבר'!F72</f>
        <v>#VALUE!</v>
      </c>
      <c r="M22" s="206">
        <f>'תפוקה מצטברת מול יעד מצטבר'!G72</f>
        <v>4.5786932100238653</v>
      </c>
      <c r="N22" s="37"/>
      <c r="O22" s="37"/>
      <c r="P22" s="37"/>
      <c r="Q22" s="37"/>
      <c r="R22" s="37"/>
      <c r="S22" s="37"/>
      <c r="T22" s="37"/>
      <c r="U22" s="37"/>
    </row>
    <row r="23" spans="1:26" ht="18.75" x14ac:dyDescent="0.25">
      <c r="A23" s="38"/>
      <c r="B23" s="38"/>
      <c r="C23" s="38"/>
      <c r="D23" s="38"/>
      <c r="E23" s="38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</row>
    <row r="24" spans="1:26" ht="19.5" thickBot="1" x14ac:dyDescent="0.3">
      <c r="A24" s="38"/>
      <c r="B24" s="38"/>
      <c r="C24" s="38"/>
      <c r="D24" s="38"/>
      <c r="E24" s="38"/>
      <c r="F24" s="37"/>
      <c r="G24" s="37"/>
      <c r="H24" s="37"/>
      <c r="I24" s="37"/>
      <c r="J24" s="37"/>
      <c r="K24" s="37"/>
      <c r="L24" s="37"/>
      <c r="M24" s="37"/>
      <c r="N24" s="74"/>
      <c r="O24" s="74"/>
      <c r="P24" s="74"/>
      <c r="Q24" s="74"/>
      <c r="R24" s="74"/>
      <c r="S24" s="74"/>
      <c r="T24" s="74"/>
      <c r="U24" s="74"/>
    </row>
    <row r="25" spans="1:26" ht="48" thickBot="1" x14ac:dyDescent="0.3">
      <c r="A25" s="59" t="s">
        <v>87</v>
      </c>
      <c r="B25" s="61"/>
      <c r="C25" s="61"/>
      <c r="D25"/>
      <c r="E25"/>
      <c r="F25"/>
      <c r="G25"/>
      <c r="H25" s="62"/>
      <c r="I25" s="62"/>
      <c r="J25" s="62"/>
      <c r="K25" s="63"/>
      <c r="L25" s="63"/>
      <c r="M25" s="54"/>
      <c r="N25" s="75"/>
      <c r="O25" s="61"/>
      <c r="P25"/>
      <c r="Q25"/>
      <c r="R25"/>
      <c r="S25"/>
      <c r="T25"/>
      <c r="U25"/>
      <c r="V25"/>
      <c r="W25"/>
      <c r="X25"/>
      <c r="Y25"/>
      <c r="Z25"/>
    </row>
    <row r="26" spans="1:26" ht="24" customHeight="1" thickBot="1" x14ac:dyDescent="0.3">
      <c r="A26" s="260" t="s">
        <v>54</v>
      </c>
      <c r="B26" s="254" t="s">
        <v>130</v>
      </c>
      <c r="C26" s="255"/>
      <c r="D26" s="255"/>
      <c r="E26" s="256"/>
      <c r="F26" s="246" t="s">
        <v>52</v>
      </c>
      <c r="G26" s="247"/>
      <c r="H26" s="247"/>
      <c r="I26" s="248"/>
      <c r="J26" s="243" t="s">
        <v>74</v>
      </c>
      <c r="K26" s="244"/>
      <c r="L26" s="244"/>
      <c r="M26" s="244"/>
      <c r="N26" s="249" t="s">
        <v>131</v>
      </c>
      <c r="O26" s="250"/>
      <c r="P26" s="250"/>
      <c r="Q26" s="251"/>
      <c r="R26" s="240" t="s">
        <v>83</v>
      </c>
      <c r="S26" s="241"/>
      <c r="T26" s="241"/>
      <c r="U26" s="242"/>
    </row>
    <row r="27" spans="1:26" ht="32.25" thickBot="1" x14ac:dyDescent="0.3">
      <c r="A27" s="261"/>
      <c r="B27" s="80" t="s">
        <v>46</v>
      </c>
      <c r="C27" s="40" t="s">
        <v>47</v>
      </c>
      <c r="D27" s="40" t="s">
        <v>48</v>
      </c>
      <c r="E27" s="200" t="s">
        <v>49</v>
      </c>
      <c r="F27" s="93" t="s">
        <v>46</v>
      </c>
      <c r="G27" s="41" t="s">
        <v>50</v>
      </c>
      <c r="H27" s="87" t="s">
        <v>51</v>
      </c>
      <c r="I27" s="81" t="s">
        <v>97</v>
      </c>
      <c r="J27" s="128" t="s">
        <v>46</v>
      </c>
      <c r="K27" s="129" t="s">
        <v>50</v>
      </c>
      <c r="L27" s="129" t="s">
        <v>51</v>
      </c>
      <c r="M27" s="211" t="s">
        <v>49</v>
      </c>
      <c r="N27" s="215" t="s">
        <v>46</v>
      </c>
      <c r="O27" s="216" t="s">
        <v>50</v>
      </c>
      <c r="P27" s="216" t="s">
        <v>48</v>
      </c>
      <c r="Q27" s="217" t="s">
        <v>97</v>
      </c>
      <c r="R27" s="78" t="s">
        <v>46</v>
      </c>
      <c r="S27" s="78" t="s">
        <v>50</v>
      </c>
      <c r="T27" s="155" t="s">
        <v>48</v>
      </c>
      <c r="U27" s="156" t="s">
        <v>97</v>
      </c>
    </row>
    <row r="28" spans="1:26" ht="21.75" customHeight="1" x14ac:dyDescent="0.25">
      <c r="A28" s="209" t="s">
        <v>56</v>
      </c>
      <c r="B28" s="52">
        <f>SUMIF('תפוקה מצטברת מול אשתקד'!$B:$B,'דוח הנהלה'!A28,'תפוקה מצטברת מול אשתקד'!$H:$H)</f>
        <v>2790102.7858895129</v>
      </c>
      <c r="C28" s="52">
        <f>SUMIF('תפוקה מצטברת מול אשתקד'!$B:$B,'דוח הנהלה'!B28,'תפוקה מצטברת מול אשתקד'!$H:$H)</f>
        <v>0</v>
      </c>
      <c r="D28" s="52">
        <f>SUMIF('תפוקה מצטברת מול אשתקד'!$B:$B,'דוח הנהלה'!C28,'תפוקה מצטברת מול אשתקד'!$H:$H)</f>
        <v>0</v>
      </c>
      <c r="E28" s="52">
        <f>SUMIF('תפוקה מצטברת מול אשתקד'!$B:$B,'דוח הנהלה'!D28,'תפוקה מצטברת מול אשתקד'!$H:$H)</f>
        <v>0</v>
      </c>
      <c r="F28" s="90">
        <f t="shared" ref="F28:G30" si="2">(B28-N28)/N28</f>
        <v>0.80782665688744881</v>
      </c>
      <c r="G28" s="47" t="e">
        <f>(C28-O28)/O28</f>
        <v>#DIV/0!</v>
      </c>
      <c r="H28" s="47" t="e">
        <f t="shared" ref="H28:I30" si="3">(D28-P28)/P28</f>
        <v>#DIV/0!</v>
      </c>
      <c r="I28" s="49" t="e">
        <f t="shared" si="3"/>
        <v>#DIV/0!</v>
      </c>
      <c r="J28" s="90" t="e">
        <f t="shared" ref="J28:M32" si="4">(B28-R28)/R28</f>
        <v>#VALUE!</v>
      </c>
      <c r="K28" s="47" t="e">
        <f>(C28-S28)/S28</f>
        <v>#VALUE!</v>
      </c>
      <c r="L28" s="47" t="e">
        <f t="shared" si="4"/>
        <v>#VALUE!</v>
      </c>
      <c r="M28" s="88" t="e">
        <f t="shared" si="4"/>
        <v>#VALUE!</v>
      </c>
      <c r="N28" s="76">
        <f>SUMIF('תפוקה מצטברת מול אשתקד'!$B:$B,'דוח הנהלה'!A28,'תפוקה מצטברת מול אשתקד'!$L:$L)</f>
        <v>1543346.4128099857</v>
      </c>
      <c r="O28" s="76"/>
      <c r="P28" s="76"/>
      <c r="Q28" s="76"/>
      <c r="R28" s="76" t="e">
        <f>SUMIF([1]גיליון1!$B:$B,A28,[1]גיליון1!$I:$I)</f>
        <v>#VALUE!</v>
      </c>
      <c r="S28" s="76" t="e">
        <f>SUMIF([1]גיליון1!$B:$B,A28,[1]גיליון1!$J:$J)</f>
        <v>#VALUE!</v>
      </c>
      <c r="T28" s="76" t="e">
        <f>SUMIF([1]גיליון1!$B:$B,A28,[1]גיליון1!$K:$K)</f>
        <v>#VALUE!</v>
      </c>
      <c r="U28" s="76" t="e">
        <f>SUMIF([1]גיליון1!$B:$B,A28,[1]גיליון1!$L:$L)</f>
        <v>#VALUE!</v>
      </c>
    </row>
    <row r="29" spans="1:26" ht="15.75" x14ac:dyDescent="0.25">
      <c r="A29" s="209" t="s">
        <v>55</v>
      </c>
      <c r="B29" s="52">
        <f>SUMIF('תפוקה מצטברת מול אשתקד'!B:B,'דוח הנהלה'!A29,'תפוקה מצטברת מול אשתקד'!H:H)</f>
        <v>18.82</v>
      </c>
      <c r="C29" s="52">
        <f>SUMIF('תפוקה מצטברת מול אשתקד'!C:C,'דוח הנהלה'!B29,'תפוקה מצטברת מול אשתקד'!I:I)</f>
        <v>0</v>
      </c>
      <c r="D29" s="52"/>
      <c r="E29" s="52"/>
      <c r="F29" s="90" t="e">
        <f t="shared" si="2"/>
        <v>#DIV/0!</v>
      </c>
      <c r="G29" s="47" t="e">
        <f>(C29-O29)/O29</f>
        <v>#DIV/0!</v>
      </c>
      <c r="H29" s="47" t="e">
        <f t="shared" si="3"/>
        <v>#DIV/0!</v>
      </c>
      <c r="I29" s="49" t="e">
        <f t="shared" si="3"/>
        <v>#DIV/0!</v>
      </c>
      <c r="J29" s="90" t="e">
        <f t="shared" si="4"/>
        <v>#VALUE!</v>
      </c>
      <c r="K29" s="47" t="e">
        <f>(C29-S29)/S29</f>
        <v>#VALUE!</v>
      </c>
      <c r="L29" s="47" t="e">
        <f t="shared" si="4"/>
        <v>#VALUE!</v>
      </c>
      <c r="M29" s="88" t="e">
        <f t="shared" si="4"/>
        <v>#VALUE!</v>
      </c>
      <c r="N29" s="76">
        <f>SUMIF('תפוקה מצטברת מול אשתקד'!$B:$B,'דוח הנהלה'!A29,'תפוקה מצטברת מול אשתקד'!$L:$L)</f>
        <v>0</v>
      </c>
      <c r="O29" s="76">
        <f>SUMIF('תפוקה מצטברת מול אשתקד'!$B:$B,'דוח הנהלה'!B29,'תפוקה מצטברת מול אשתקד'!$L:$L)</f>
        <v>0</v>
      </c>
      <c r="P29" s="76">
        <f>SUMIF('תפוקה מצטברת מול אשתקד'!$B:$B,'דוח הנהלה'!C29,'תפוקה מצטברת מול אשתקד'!$L:$L)</f>
        <v>0</v>
      </c>
      <c r="Q29" s="76">
        <f>SUMIF('תפוקה מצטברת מול אשתקד'!$B:$B,'דוח הנהלה'!D29,'תפוקה מצטברת מול אשתקד'!$L:$L)</f>
        <v>0</v>
      </c>
      <c r="R29" s="76" t="e">
        <f>SUMIF([1]גיליון1!$B:$B,A29,[1]גיליון1!$I:$I)</f>
        <v>#VALUE!</v>
      </c>
      <c r="S29" s="76" t="e">
        <f>SUMIF([1]גיליון1!$B:$B,A29,[1]גיליון1!$J:$J)</f>
        <v>#VALUE!</v>
      </c>
      <c r="T29" s="76" t="e">
        <f>SUMIF([1]גיליון1!$B:$B,A29,[1]גיליון1!$K:$K)</f>
        <v>#VALUE!</v>
      </c>
      <c r="U29" s="76" t="e">
        <f>SUMIF([1]גיליון1!$B:$B,A29,[1]גיליון1!$L:$L)</f>
        <v>#VALUE!</v>
      </c>
    </row>
    <row r="30" spans="1:26" ht="15.75" x14ac:dyDescent="0.25">
      <c r="A30" s="209" t="s">
        <v>116</v>
      </c>
      <c r="B30" s="52">
        <f>SUMIF('תפוקה מצטברת מול אשתקד'!B:B,'דוח הנהלה'!A30,'תפוקה מצטברת מול אשתקד'!H:H)</f>
        <v>5142776.4666373748</v>
      </c>
      <c r="C30" s="52">
        <f>SUMIF('תפוקה מצטברת מול אשתקד'!C:C,'דוח הנהלה'!B30,'תפוקה מצטברת מול אשתקד'!I:I)</f>
        <v>0</v>
      </c>
      <c r="D30" s="52"/>
      <c r="E30" s="52"/>
      <c r="F30" s="90">
        <f t="shared" si="2"/>
        <v>19.286626566932629</v>
      </c>
      <c r="G30" s="47" t="e">
        <f t="shared" si="2"/>
        <v>#DIV/0!</v>
      </c>
      <c r="H30" s="47" t="e">
        <f t="shared" si="3"/>
        <v>#DIV/0!</v>
      </c>
      <c r="I30" s="49" t="e">
        <f t="shared" si="3"/>
        <v>#DIV/0!</v>
      </c>
      <c r="J30" s="90" t="e">
        <f t="shared" si="4"/>
        <v>#VALUE!</v>
      </c>
      <c r="K30" s="47" t="e">
        <f t="shared" si="4"/>
        <v>#VALUE!</v>
      </c>
      <c r="L30" s="47" t="e">
        <f t="shared" si="4"/>
        <v>#VALUE!</v>
      </c>
      <c r="M30" s="88" t="e">
        <f t="shared" si="4"/>
        <v>#VALUE!</v>
      </c>
      <c r="N30" s="76">
        <f>SUMIF('תפוקה מצטברת מול אשתקד'!$B:$B,'דוח הנהלה'!A30,'תפוקה מצטברת מול אשתקד'!$L:$L)</f>
        <v>253505.74920229192</v>
      </c>
      <c r="O30" s="76">
        <f>SUMIF('תפוקה מצטברת מול אשתקד'!$B:$B,'דוח הנהלה'!B30,'תפוקה מצטברת מול אשתקד'!$L:$L)</f>
        <v>0</v>
      </c>
      <c r="P30" s="76">
        <f>SUMIF('תפוקה מצטברת מול אשתקד'!$B:$B,'דוח הנהלה'!C30,'תפוקה מצטברת מול אשתקד'!$L:$L)</f>
        <v>0</v>
      </c>
      <c r="Q30" s="76">
        <f>SUMIF('תפוקה מצטברת מול אשתקד'!$B:$B,'דוח הנהלה'!D30,'תפוקה מצטברת מול אשתקד'!$L:$L)</f>
        <v>0</v>
      </c>
      <c r="R30" s="76" t="e">
        <f>SUMIF([1]גיליון1!$B:$B,A30,[1]גיליון1!$I:$I)</f>
        <v>#VALUE!</v>
      </c>
      <c r="S30" s="76" t="e">
        <f>SUMIF([1]גיליון1!$B:$B,A30,[1]גיליון1!$J:$J)</f>
        <v>#VALUE!</v>
      </c>
      <c r="T30" s="76" t="e">
        <f>SUMIF([1]גיליון1!$B:$B,A30,[1]גיליון1!$K:$K)</f>
        <v>#VALUE!</v>
      </c>
      <c r="U30" s="76" t="e">
        <f>SUMIF([1]גיליון1!$B:$B,A30,[1]גיליון1!$L:$L)</f>
        <v>#VALUE!</v>
      </c>
    </row>
    <row r="31" spans="1:26" ht="16.5" thickBot="1" x14ac:dyDescent="0.3">
      <c r="A31" s="209" t="s">
        <v>123</v>
      </c>
      <c r="B31" s="52">
        <f>SUMIF('תפוקה מצטברת מול אשתקד'!B:B,'דוח הנהלה'!A31,'תפוקה מצטברת מול אשתקד'!H:H)</f>
        <v>479457.34681596066</v>
      </c>
      <c r="C31" s="52">
        <f>SUMIF('תפוקה מצטברת מול אשתקד'!C:C,'דוח הנהלה'!B31,'תפוקה מצטברת מול אשתקד'!I:I)</f>
        <v>0</v>
      </c>
      <c r="D31" s="52"/>
      <c r="E31" s="52"/>
      <c r="F31" s="90">
        <f t="shared" ref="F31" si="5">(B31-N31)/N31</f>
        <v>2.7191778229837347</v>
      </c>
      <c r="G31" s="47" t="e">
        <f t="shared" ref="G31" si="6">(C31-O31)/O31</f>
        <v>#DIV/0!</v>
      </c>
      <c r="H31" s="47" t="e">
        <f t="shared" ref="H31" si="7">(D31-P31)/P31</f>
        <v>#DIV/0!</v>
      </c>
      <c r="I31" s="49" t="e">
        <f t="shared" ref="I31" si="8">(E31-Q31)/Q31</f>
        <v>#DIV/0!</v>
      </c>
      <c r="J31" s="90" t="e">
        <f t="shared" ref="J31" si="9">(B31-R31)/R31</f>
        <v>#VALUE!</v>
      </c>
      <c r="K31" s="47" t="e">
        <f t="shared" ref="K31" si="10">(C31-S31)/S31</f>
        <v>#VALUE!</v>
      </c>
      <c r="L31" s="47" t="e">
        <f t="shared" ref="L31" si="11">(D31-T31)/T31</f>
        <v>#VALUE!</v>
      </c>
      <c r="M31" s="88" t="e">
        <f t="shared" ref="M31" si="12">(E31-U31)/U31</f>
        <v>#VALUE!</v>
      </c>
      <c r="N31" s="76">
        <f>SUMIF('תפוקה מצטברת מול אשתקד'!$B:$B,'דוח הנהלה'!A31,'תפוקה מצטברת מול אשתקד'!$L:$L)</f>
        <v>128914.8757160831</v>
      </c>
      <c r="O31" s="76">
        <f>SUMIF('תפוקה מצטברת מול אשתקד'!$B:$B,'דוח הנהלה'!B31,'תפוקה מצטברת מול אשתקד'!$L:$L)</f>
        <v>0</v>
      </c>
      <c r="P31" s="76">
        <f>SUMIF('תפוקה מצטברת מול אשתקד'!$B:$B,'דוח הנהלה'!C31,'תפוקה מצטברת מול אשתקד'!$L:$L)</f>
        <v>0</v>
      </c>
      <c r="Q31" s="76">
        <f>SUMIF('תפוקה מצטברת מול אשתקד'!$B:$B,'דוח הנהלה'!D31,'תפוקה מצטברת מול אשתקד'!$L:$L)</f>
        <v>0</v>
      </c>
      <c r="R31" s="76" t="e">
        <f>SUMIF([1]גיליון1!$B:$B,A31,[1]גיליון1!$I:$I)</f>
        <v>#VALUE!</v>
      </c>
      <c r="S31" s="76" t="e">
        <f>SUMIF([1]גיליון1!$B:$B,A31,[1]גיליון1!$J:$J)</f>
        <v>#VALUE!</v>
      </c>
      <c r="T31" s="76" t="e">
        <f>SUMIF([1]גיליון1!$B:$B,A31,[1]גיליון1!$K:$K)</f>
        <v>#VALUE!</v>
      </c>
      <c r="U31" s="76" t="e">
        <f>SUMIF([1]גיליון1!$B:$B,A31,[1]גיליון1!$L:$L)</f>
        <v>#VALUE!</v>
      </c>
    </row>
    <row r="32" spans="1:26" ht="21.75" thickBot="1" x14ac:dyDescent="0.3">
      <c r="A32" s="210"/>
      <c r="B32" s="82">
        <f>SUM(B28:B30)</f>
        <v>7932898.0725268871</v>
      </c>
      <c r="C32" s="42">
        <f>SUM(C28:C30)</f>
        <v>0</v>
      </c>
      <c r="D32" s="42">
        <f t="shared" ref="D32:E32" si="13">SUM(D28:D30)</f>
        <v>0</v>
      </c>
      <c r="E32" s="203">
        <f t="shared" si="13"/>
        <v>0</v>
      </c>
      <c r="F32" s="187">
        <f>(B32-N32)/N32</f>
        <v>3.4148863441513799</v>
      </c>
      <c r="G32" s="130" t="e">
        <f>(C32-O32)/O32</f>
        <v>#DIV/0!</v>
      </c>
      <c r="H32" s="131" t="e">
        <f>(D32-P32)/P32</f>
        <v>#DIV/0!</v>
      </c>
      <c r="I32" s="204" t="e">
        <f>(B32-R32)/R32</f>
        <v>#VALUE!</v>
      </c>
      <c r="J32" s="95" t="e">
        <f t="shared" si="4"/>
        <v>#VALUE!</v>
      </c>
      <c r="K32" s="96" t="e">
        <f t="shared" si="4"/>
        <v>#VALUE!</v>
      </c>
      <c r="L32" s="97" t="e">
        <f t="shared" si="4"/>
        <v>#VALUE!</v>
      </c>
      <c r="M32" s="131" t="e">
        <f t="shared" si="4"/>
        <v>#VALUE!</v>
      </c>
      <c r="N32" s="212">
        <f>SUM(N28:N30)</f>
        <v>1796852.1620122776</v>
      </c>
      <c r="O32" s="213">
        <f>SUM(O28:O30)</f>
        <v>0</v>
      </c>
      <c r="P32" s="213">
        <f t="shared" ref="P32:U32" si="14">SUM(P28:P30)</f>
        <v>0</v>
      </c>
      <c r="Q32" s="214">
        <f t="shared" si="14"/>
        <v>0</v>
      </c>
      <c r="R32" s="190" t="e">
        <f t="shared" si="14"/>
        <v>#VALUE!</v>
      </c>
      <c r="S32" s="188" t="e">
        <f t="shared" si="14"/>
        <v>#VALUE!</v>
      </c>
      <c r="T32" s="189" t="e">
        <f t="shared" si="14"/>
        <v>#VALUE!</v>
      </c>
      <c r="U32" s="190" t="e">
        <f t="shared" si="14"/>
        <v>#VALUE!</v>
      </c>
    </row>
    <row r="33" spans="1:26" x14ac:dyDescent="0.25">
      <c r="N33" s="77"/>
      <c r="O33" s="77"/>
      <c r="P33" s="77"/>
      <c r="Q33" s="77"/>
      <c r="R33" s="77"/>
      <c r="S33" s="77"/>
      <c r="T33" s="77"/>
      <c r="U33" s="77"/>
    </row>
    <row r="34" spans="1:26" x14ac:dyDescent="0.25">
      <c r="N34" s="77"/>
      <c r="O34" s="77"/>
      <c r="P34" s="77"/>
      <c r="Q34" s="77"/>
      <c r="R34" s="77"/>
      <c r="S34" s="77"/>
      <c r="T34" s="77"/>
      <c r="U34" s="77"/>
    </row>
    <row r="35" spans="1:26" ht="15.75" thickBot="1" x14ac:dyDescent="0.3">
      <c r="N35" s="77"/>
      <c r="O35" s="77"/>
      <c r="P35" s="77"/>
      <c r="Q35" s="77"/>
      <c r="R35" s="77"/>
      <c r="S35" s="77"/>
      <c r="T35" s="77"/>
      <c r="U35" s="77"/>
    </row>
    <row r="36" spans="1:26" ht="48" thickBot="1" x14ac:dyDescent="0.3">
      <c r="A36" s="146" t="s">
        <v>88</v>
      </c>
      <c r="B36" s="61"/>
      <c r="C36" s="61"/>
      <c r="D36"/>
      <c r="E36"/>
      <c r="F36"/>
      <c r="G36"/>
      <c r="H36" s="62"/>
      <c r="I36" s="62"/>
      <c r="J36" s="62"/>
      <c r="K36" s="63"/>
      <c r="L36" s="63"/>
      <c r="M36" s="54"/>
      <c r="N36" s="54"/>
      <c r="O36" s="55"/>
      <c r="P36"/>
      <c r="Q36"/>
      <c r="R36"/>
      <c r="S36"/>
      <c r="T36"/>
      <c r="U36"/>
      <c r="V36"/>
      <c r="W36"/>
      <c r="X36"/>
      <c r="Y36"/>
      <c r="Z36"/>
    </row>
    <row r="37" spans="1:26" ht="21.6" customHeight="1" thickBot="1" x14ac:dyDescent="0.3">
      <c r="A37" s="252" t="s">
        <v>57</v>
      </c>
      <c r="B37" s="254" t="s">
        <v>130</v>
      </c>
      <c r="C37" s="255"/>
      <c r="D37" s="255"/>
      <c r="E37" s="256"/>
      <c r="F37" s="246" t="s">
        <v>52</v>
      </c>
      <c r="G37" s="247"/>
      <c r="H37" s="247"/>
      <c r="I37" s="248"/>
    </row>
    <row r="38" spans="1:26" ht="32.25" thickBot="1" x14ac:dyDescent="0.3">
      <c r="A38" s="253"/>
      <c r="B38" s="80" t="s">
        <v>46</v>
      </c>
      <c r="C38" s="40" t="s">
        <v>47</v>
      </c>
      <c r="D38" s="40" t="s">
        <v>48</v>
      </c>
      <c r="E38" s="92" t="s">
        <v>49</v>
      </c>
      <c r="F38" s="84" t="s">
        <v>46</v>
      </c>
      <c r="G38" s="84" t="s">
        <v>50</v>
      </c>
      <c r="H38" s="84" t="s">
        <v>51</v>
      </c>
      <c r="I38" s="84" t="s">
        <v>49</v>
      </c>
    </row>
    <row r="39" spans="1:26" x14ac:dyDescent="0.25">
      <c r="A39" s="64" t="s">
        <v>64</v>
      </c>
      <c r="B39" s="51">
        <f>מנורה!D72</f>
        <v>1025410.523512848</v>
      </c>
      <c r="C39" s="51">
        <f>מנורה!E72</f>
        <v>175481.88122460066</v>
      </c>
      <c r="D39" s="51">
        <f>מנורה!F72</f>
        <v>1259568.6352983855</v>
      </c>
      <c r="E39" s="51">
        <f>מנורה!G72</f>
        <v>0</v>
      </c>
      <c r="F39" s="46">
        <f>מנורה!D72/מנורה!H72-1</f>
        <v>-0.10619960969279363</v>
      </c>
      <c r="G39" s="46">
        <f>מנורה!E72/מנורה!I72-1</f>
        <v>0.15443235532023003</v>
      </c>
      <c r="H39" s="46">
        <f>מנורה!F72/מנורה!J72-1</f>
        <v>-0.76713184244759547</v>
      </c>
      <c r="I39" s="46">
        <f>מנורה!G72/מנורה!K72-1</f>
        <v>-1</v>
      </c>
    </row>
    <row r="40" spans="1:26" x14ac:dyDescent="0.25">
      <c r="A40" s="65" t="s">
        <v>65</v>
      </c>
      <c r="B40" s="52">
        <f>מגדל!D72</f>
        <v>3593862.48</v>
      </c>
      <c r="C40" s="52">
        <f>מגדל!E72</f>
        <v>190669.33000000002</v>
      </c>
      <c r="D40" s="52">
        <f>מגדל!F72</f>
        <v>12313198.18</v>
      </c>
      <c r="E40" s="52">
        <f>מגדל!G72</f>
        <v>22591691.619999997</v>
      </c>
      <c r="F40" s="47">
        <f>מגדל!D72/מגדל!H72-1</f>
        <v>-41.13847387548779</v>
      </c>
      <c r="G40" s="47">
        <f>מגדל!E72/מגדל!I72-1</f>
        <v>-0.11671208201009908</v>
      </c>
      <c r="H40" s="47">
        <f>מגדל!F72/מגדל!J72-1</f>
        <v>-242.17639576658308</v>
      </c>
      <c r="I40" s="46">
        <f>מגדל!G72/מגדל!K72-1</f>
        <v>-33.50402474437189</v>
      </c>
    </row>
    <row r="41" spans="1:26" x14ac:dyDescent="0.25">
      <c r="A41" s="65" t="s">
        <v>66</v>
      </c>
      <c r="B41" s="52">
        <f>כלל!D72</f>
        <v>0</v>
      </c>
      <c r="C41" s="52">
        <f>כלל!E72</f>
        <v>0</v>
      </c>
      <c r="D41" s="52">
        <f>כלל!F72</f>
        <v>0</v>
      </c>
      <c r="E41" s="52">
        <f>כלל!G72</f>
        <v>0</v>
      </c>
      <c r="F41" s="47" t="e">
        <f>כלל!D72/כלל!H72-1</f>
        <v>#DIV/0!</v>
      </c>
      <c r="G41" s="47" t="e">
        <f>כלל!E72/כלל!I72-1</f>
        <v>#DIV/0!</v>
      </c>
      <c r="H41" s="47" t="e">
        <f>כלל!F72/כלל!J72-1</f>
        <v>#DIV/0!</v>
      </c>
      <c r="I41" s="46" t="e">
        <f>מגדל!#REF!/מגדל!#REF!-1</f>
        <v>#REF!</v>
      </c>
    </row>
    <row r="42" spans="1:26" x14ac:dyDescent="0.25">
      <c r="A42" s="65" t="s">
        <v>67</v>
      </c>
      <c r="B42" s="52">
        <f>'אלטשולר שחם'!D72</f>
        <v>0</v>
      </c>
      <c r="C42" s="52">
        <f>'אלטשולר שחם'!E72</f>
        <v>0</v>
      </c>
      <c r="D42" s="52">
        <f>'אלטשולר שחם'!F72</f>
        <v>0</v>
      </c>
      <c r="E42" s="52">
        <f>'אלטשולר שחם'!G72</f>
        <v>0</v>
      </c>
      <c r="F42" s="47" t="e">
        <f>'אלטשולר שחם'!D72/'אלטשולר שחם'!H72-1</f>
        <v>#DIV/0!</v>
      </c>
      <c r="G42" s="47">
        <v>0</v>
      </c>
      <c r="H42" s="47" t="e">
        <f>'אלטשולר שחם'!F72/'אלטשולר שחם'!J72-1</f>
        <v>#DIV/0!</v>
      </c>
      <c r="I42" s="46">
        <v>0</v>
      </c>
    </row>
    <row r="43" spans="1:26" x14ac:dyDescent="0.25">
      <c r="A43" s="65" t="s">
        <v>68</v>
      </c>
      <c r="B43" s="52">
        <f>מור!D72</f>
        <v>0</v>
      </c>
      <c r="C43" s="52">
        <f>מור!E72</f>
        <v>0</v>
      </c>
      <c r="D43" s="52">
        <f>מור!F72</f>
        <v>654025.80000000005</v>
      </c>
      <c r="E43" s="52">
        <f>מור!G72</f>
        <v>0</v>
      </c>
      <c r="F43" s="47">
        <v>0</v>
      </c>
      <c r="G43" s="47">
        <v>0</v>
      </c>
      <c r="H43" s="47">
        <f>מור!F72/מור!J72-1</f>
        <v>-0.23354250391129849</v>
      </c>
      <c r="I43" s="46">
        <v>0</v>
      </c>
    </row>
    <row r="44" spans="1:26" x14ac:dyDescent="0.25">
      <c r="A44" s="65" t="s">
        <v>69</v>
      </c>
      <c r="B44" s="52">
        <f>הראל!D72</f>
        <v>346294</v>
      </c>
      <c r="C44" s="52">
        <f>הראל!E72</f>
        <v>62427</v>
      </c>
      <c r="D44" s="52">
        <f>הראל!F72</f>
        <v>425167</v>
      </c>
      <c r="E44" s="52">
        <f>הראל!G72</f>
        <v>0</v>
      </c>
      <c r="F44" s="47">
        <f>הראל!D72/הראל!H72-1</f>
        <v>-0.57264019052681814</v>
      </c>
      <c r="G44" s="47">
        <f>הראל!E72/הראל!I72-1</f>
        <v>-0.68416883574097676</v>
      </c>
      <c r="H44" s="47">
        <f>הראל!F72/הראל!J72-1</f>
        <v>-0.55430938953594611</v>
      </c>
      <c r="I44" s="46">
        <f>הראל!G72/הראל!K72-1</f>
        <v>-1</v>
      </c>
    </row>
    <row r="45" spans="1:26" x14ac:dyDescent="0.25">
      <c r="A45" s="65" t="s">
        <v>70</v>
      </c>
      <c r="B45" s="52">
        <f>הפניקס!D72</f>
        <v>3446788.4158300003</v>
      </c>
      <c r="C45" s="52">
        <f>הפניקס!E72</f>
        <v>383484.82408000005</v>
      </c>
      <c r="D45" s="52">
        <f>הפניקס!F72</f>
        <v>6057156.5449999999</v>
      </c>
      <c r="E45" s="52">
        <f>הפניקס!G72</f>
        <v>0</v>
      </c>
      <c r="F45" s="47">
        <f>הפניקס!D72/הפניקס!H72-1</f>
        <v>58.689116815785809</v>
      </c>
      <c r="G45" s="47">
        <f>הפניקס!E72/הפניקס!I72-1</f>
        <v>20.356327753013474</v>
      </c>
      <c r="H45" s="47">
        <f>הפניקס!F72/הפניקס!J72-1</f>
        <v>0.84985442584598658</v>
      </c>
      <c r="I45" s="46">
        <f>הפניקס!G72/הפניקס!K72-1</f>
        <v>-1</v>
      </c>
    </row>
    <row r="46" spans="1:26" x14ac:dyDescent="0.25">
      <c r="A46" s="65" t="s">
        <v>71</v>
      </c>
      <c r="B46" s="52">
        <f>איילון!D72</f>
        <v>0</v>
      </c>
      <c r="C46" s="52">
        <f>איילון!E72</f>
        <v>34901.83</v>
      </c>
      <c r="D46" s="52">
        <f>איילון!F72</f>
        <v>0</v>
      </c>
      <c r="E46" s="52">
        <f>איילון!G72</f>
        <v>0</v>
      </c>
      <c r="F46" s="47">
        <v>1</v>
      </c>
      <c r="G46" s="47">
        <f>איילון!E72/איילון!I72-1</f>
        <v>-9.9021613355009253E-3</v>
      </c>
      <c r="H46" s="47">
        <v>0</v>
      </c>
      <c r="I46" s="46">
        <v>0</v>
      </c>
    </row>
    <row r="47" spans="1:26" x14ac:dyDescent="0.25">
      <c r="A47" s="165" t="s">
        <v>72</v>
      </c>
      <c r="B47" s="48">
        <f>הכשרה!D72</f>
        <v>0</v>
      </c>
      <c r="C47" s="48">
        <f>הכשרה!E72</f>
        <v>0</v>
      </c>
      <c r="D47" s="48">
        <f>הכשרה!F72</f>
        <v>0</v>
      </c>
      <c r="E47" s="48">
        <f>הכשרה!G72</f>
        <v>0</v>
      </c>
      <c r="F47" s="47">
        <v>0</v>
      </c>
      <c r="G47" s="47" t="e">
        <f>הכשרה!E72/הכשרה!I72-1</f>
        <v>#DIV/0!</v>
      </c>
      <c r="H47" s="47">
        <v>1</v>
      </c>
      <c r="I47" s="47">
        <v>0</v>
      </c>
    </row>
    <row r="48" spans="1:26" x14ac:dyDescent="0.25">
      <c r="A48" s="165" t="s">
        <v>118</v>
      </c>
      <c r="B48" s="48">
        <f>'מדיהו '!D72</f>
        <v>0</v>
      </c>
      <c r="C48" s="48">
        <f>'מדיהו '!E72</f>
        <v>2699</v>
      </c>
      <c r="D48" s="48">
        <f>'מדיהו '!F72</f>
        <v>0</v>
      </c>
      <c r="E48" s="50">
        <f>'מדיהו '!G72</f>
        <v>0</v>
      </c>
      <c r="F48" s="47">
        <v>0</v>
      </c>
      <c r="G48" s="47">
        <f>'מדיהו '!E72/'מדיהו '!I72-1</f>
        <v>-50.981481481481481</v>
      </c>
      <c r="H48" s="47" t="s">
        <v>122</v>
      </c>
      <c r="I48" s="47">
        <v>0</v>
      </c>
    </row>
    <row r="49" spans="1:9" x14ac:dyDescent="0.25">
      <c r="A49" s="165" t="s">
        <v>119</v>
      </c>
      <c r="B49" s="48">
        <f>'אנליסט '!D72</f>
        <v>0</v>
      </c>
      <c r="C49" s="48">
        <f>'אנליסט '!E72</f>
        <v>0</v>
      </c>
      <c r="D49" s="48">
        <f>'אנליסט '!F72</f>
        <v>521281.47</v>
      </c>
      <c r="E49" s="48">
        <f>'אנליסט '!G72</f>
        <v>0</v>
      </c>
      <c r="F49" s="47">
        <v>0</v>
      </c>
      <c r="G49" s="47">
        <v>0</v>
      </c>
      <c r="H49" s="47">
        <v>0</v>
      </c>
      <c r="I49" s="47">
        <v>0</v>
      </c>
    </row>
    <row r="50" spans="1:9" x14ac:dyDescent="0.25">
      <c r="A50" s="165" t="s">
        <v>120</v>
      </c>
      <c r="B50" s="48">
        <f>'מיטב דש'!D72</f>
        <v>0</v>
      </c>
      <c r="C50" s="48">
        <f>'מיטב דש'!E72</f>
        <v>0</v>
      </c>
      <c r="D50" s="48">
        <f>'מיטב דש'!F72</f>
        <v>0</v>
      </c>
      <c r="E50" s="48">
        <f>'מיטב דש'!G72</f>
        <v>0</v>
      </c>
      <c r="F50" s="47">
        <v>0</v>
      </c>
      <c r="G50" s="47">
        <v>0</v>
      </c>
      <c r="H50" s="47">
        <v>0</v>
      </c>
      <c r="I50" s="47">
        <v>0</v>
      </c>
    </row>
    <row r="51" spans="1:9" x14ac:dyDescent="0.25">
      <c r="A51" s="165" t="s">
        <v>121</v>
      </c>
      <c r="B51" s="48">
        <f>אינפניטי!D72</f>
        <v>0</v>
      </c>
      <c r="C51" s="48">
        <f>אינפניטי!E72</f>
        <v>0</v>
      </c>
      <c r="D51" s="48">
        <f>אינפניטי!F72</f>
        <v>0</v>
      </c>
      <c r="E51" s="48">
        <f>אינפניטי!G72</f>
        <v>0</v>
      </c>
      <c r="F51" s="47">
        <v>0</v>
      </c>
      <c r="G51" s="47">
        <v>0</v>
      </c>
      <c r="H51" s="47">
        <v>0</v>
      </c>
      <c r="I51" s="47">
        <v>0</v>
      </c>
    </row>
    <row r="52" spans="1:9" ht="21.75" thickBot="1" x14ac:dyDescent="0.3">
      <c r="A52" s="160" t="s">
        <v>73</v>
      </c>
      <c r="B52" s="161">
        <f>SUM(B39:B47)</f>
        <v>8412355.4193428494</v>
      </c>
      <c r="C52" s="162">
        <f t="shared" ref="C52:D52" si="15">SUM(C39:C47)</f>
        <v>846964.86530460068</v>
      </c>
      <c r="D52" s="162">
        <f t="shared" si="15"/>
        <v>20709116.160298385</v>
      </c>
      <c r="E52" s="163">
        <f>SUM(E39:E47)</f>
        <v>22591691.619999997</v>
      </c>
      <c r="F52" s="164">
        <f>('תפוקה מצטברת מול אשתקד'!H72-'תפוקה מצטברת מול אשתקד'!L72)/'תפוקה מצטברת מול אשתקד'!L72</f>
        <v>6.8334605679745453</v>
      </c>
      <c r="G52" s="164">
        <f>('תפוקה מצטברת מול אשתקד'!I72-'תפוקה מצטברת מול אשתקד'!M72)/'תפוקה מצטברת מול אשתקד'!M72</f>
        <v>-9.6915817941594304E-2</v>
      </c>
      <c r="H52" s="164" t="e">
        <f>('תפוקה מצטברת מול אשתקד'!J72-'תפוקה מצטברת מול אשתקד'!N72)/'תפוקה מצטברת מול אשתקד'!N72</f>
        <v>#VALUE!</v>
      </c>
      <c r="I52" s="164">
        <f>('תפוקה מצטברת מול אשתקד'!K72-'תפוקה מצטברת מול אשתקד'!O72)/'תפוקה מצטברת מול אשתקד'!O72</f>
        <v>4.2786101878717542</v>
      </c>
    </row>
  </sheetData>
  <mergeCells count="16">
    <mergeCell ref="A37:A38"/>
    <mergeCell ref="B37:E37"/>
    <mergeCell ref="A26:A27"/>
    <mergeCell ref="B26:E26"/>
    <mergeCell ref="F26:I26"/>
    <mergeCell ref="F37:I37"/>
    <mergeCell ref="A3:A4"/>
    <mergeCell ref="B3:E3"/>
    <mergeCell ref="A15:A16"/>
    <mergeCell ref="B15:E15"/>
    <mergeCell ref="F3:I3"/>
    <mergeCell ref="R26:U26"/>
    <mergeCell ref="J15:M15"/>
    <mergeCell ref="F15:I15"/>
    <mergeCell ref="J26:M26"/>
    <mergeCell ref="N26:Q26"/>
  </mergeCells>
  <conditionalFormatting sqref="F39:I51">
    <cfRule type="cellIs" dxfId="301" priority="3" operator="lessThan">
      <formula>-0.0001</formula>
    </cfRule>
    <cfRule type="cellIs" dxfId="300" priority="4" operator="greaterThan">
      <formula>0.1</formula>
    </cfRule>
  </conditionalFormatting>
  <conditionalFormatting sqref="F5:J9">
    <cfRule type="cellIs" dxfId="299" priority="25" operator="lessThan">
      <formula>-0.0001</formula>
    </cfRule>
    <cfRule type="cellIs" dxfId="298" priority="26" operator="greaterThan">
      <formula>0.1</formula>
    </cfRule>
  </conditionalFormatting>
  <conditionalFormatting sqref="F17:M21">
    <cfRule type="cellIs" dxfId="297" priority="29" operator="lessThan">
      <formula>-0.0001</formula>
    </cfRule>
    <cfRule type="cellIs" dxfId="296" priority="30" operator="greaterThan">
      <formula>0.1</formula>
    </cfRule>
  </conditionalFormatting>
  <conditionalFormatting sqref="F28:M31">
    <cfRule type="cellIs" dxfId="295" priority="1" operator="lessThan">
      <formula>-0.0001</formula>
    </cfRule>
    <cfRule type="cellIs" dxfId="294" priority="2" operator="greaterThan">
      <formula>0.1</formula>
    </cfRule>
  </conditionalFormatting>
  <conditionalFormatting sqref="P4:P9">
    <cfRule type="cellIs" dxfId="293" priority="5" operator="lessThan">
      <formula>-0.0001</formula>
    </cfRule>
    <cfRule type="cellIs" dxfId="292" priority="6" operator="greaterThan">
      <formula>0.1</formula>
    </cfRule>
  </conditionalFormatting>
  <conditionalFormatting sqref="P16:P21">
    <cfRule type="cellIs" dxfId="291" priority="13" operator="lessThan">
      <formula>-0.0001</formula>
    </cfRule>
    <cfRule type="cellIs" dxfId="290" priority="14" operator="greaterThan">
      <formula>0.1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B721E-4C57-46C7-85BA-332EA5413B68}">
  <sheetPr>
    <tabColor theme="4" tint="0.39997558519241921"/>
  </sheetPr>
  <dimension ref="A1:R78"/>
  <sheetViews>
    <sheetView rightToLeft="1" workbookViewId="0">
      <selection activeCell="L5" sqref="L5"/>
    </sheetView>
  </sheetViews>
  <sheetFormatPr defaultColWidth="27.7109375" defaultRowHeight="15.75" customHeight="1" x14ac:dyDescent="0.25"/>
  <cols>
    <col min="1" max="1" width="27.5703125" style="108" bestFit="1" customWidth="1"/>
    <col min="2" max="2" width="10.140625" style="4" bestFit="1" customWidth="1"/>
    <col min="3" max="3" width="10.42578125" style="4" bestFit="1" customWidth="1"/>
    <col min="4" max="4" width="10.7109375" style="3" bestFit="1" customWidth="1"/>
    <col min="5" max="5" width="11" style="3" bestFit="1" customWidth="1"/>
    <col min="6" max="6" width="11.7109375" style="3" bestFit="1" customWidth="1"/>
    <col min="7" max="9" width="13.5703125" style="3" bestFit="1" customWidth="1"/>
    <col min="10" max="12" width="15" style="3" bestFit="1" customWidth="1"/>
    <col min="13" max="13" width="13.5703125" style="3" bestFit="1" customWidth="1"/>
    <col min="14" max="15" width="16.42578125" style="3" bestFit="1" customWidth="1"/>
    <col min="16" max="16384" width="27.7109375" style="3"/>
  </cols>
  <sheetData>
    <row r="1" spans="1:16" ht="15.75" customHeight="1" x14ac:dyDescent="0.25">
      <c r="A1" s="27"/>
      <c r="B1" s="27"/>
      <c r="C1" s="27"/>
      <c r="D1" s="265" t="s">
        <v>52</v>
      </c>
      <c r="E1" s="265"/>
      <c r="F1" s="265"/>
      <c r="G1" s="117"/>
      <c r="H1" s="262" t="s">
        <v>132</v>
      </c>
      <c r="I1" s="263"/>
      <c r="J1" s="263"/>
      <c r="K1" s="264"/>
      <c r="L1" s="266" t="s">
        <v>131</v>
      </c>
      <c r="M1" s="267"/>
      <c r="N1" s="267"/>
      <c r="O1" s="267"/>
    </row>
    <row r="2" spans="1:16" ht="15.75" customHeight="1" x14ac:dyDescent="0.25">
      <c r="A2" s="11" t="s">
        <v>0</v>
      </c>
      <c r="B2" s="24" t="s">
        <v>53</v>
      </c>
      <c r="C2" s="24" t="s">
        <v>117</v>
      </c>
      <c r="D2" s="25" t="s">
        <v>46</v>
      </c>
      <c r="E2" s="25" t="s">
        <v>50</v>
      </c>
      <c r="F2" s="25" t="s">
        <v>51</v>
      </c>
      <c r="G2" s="25" t="s">
        <v>49</v>
      </c>
      <c r="H2" s="26" t="s">
        <v>46</v>
      </c>
      <c r="I2" s="26" t="s">
        <v>50</v>
      </c>
      <c r="J2" s="26" t="s">
        <v>48</v>
      </c>
      <c r="K2" s="26" t="s">
        <v>49</v>
      </c>
      <c r="L2" s="30" t="s">
        <v>46</v>
      </c>
      <c r="M2" s="30" t="s">
        <v>47</v>
      </c>
      <c r="N2" s="30" t="s">
        <v>48</v>
      </c>
      <c r="O2" s="30" t="s">
        <v>97</v>
      </c>
      <c r="P2" s="5"/>
    </row>
    <row r="3" spans="1:16" ht="15.75" customHeight="1" x14ac:dyDescent="0.25">
      <c r="A3" s="27" t="s">
        <v>1</v>
      </c>
      <c r="B3" s="27" t="s">
        <v>116</v>
      </c>
      <c r="C3" s="27" t="s">
        <v>58</v>
      </c>
      <c r="D3" s="20">
        <f>IF(H3=0,0%,IF(L3=0,100%,H3/L3-1))</f>
        <v>29.362022478757087</v>
      </c>
      <c r="E3" s="20">
        <f>IF(I3=0,0%,IF(M3=0,100%,I3/M3-1))</f>
        <v>-0.3328170094895162</v>
      </c>
      <c r="F3" s="20">
        <f>IF(J3=0,0%,IF(N3=G28,100%,J3/N3-1))</f>
        <v>8.4234271461945998</v>
      </c>
      <c r="G3" s="20">
        <f>IF(K3=0,0%,IF(O3=H28,100%,K3/O3-1))</f>
        <v>-130.35516021651432</v>
      </c>
      <c r="H3" s="68">
        <f>VLOOKUP(A3,הכשרה!A:G,4,0)+VLOOKUP('תפוקה מצטברת מול אשתקד'!A3,מגדל!A:G,4,0)+VLOOKUP('תפוקה מצטברת מול אשתקד'!A3,מנורה!A:G,4,0)+VLOOKUP('תפוקה מצטברת מול אשתקד'!A3,איילון!A:G,4,0)+VLOOKUP('תפוקה מצטברת מול אשתקד'!A3,הראל!A:G,4,0)+VLOOKUP('תפוקה מצטברת מול אשתקד'!A3,הפניקס!A:G,4,0)+VLOOKUP('תפוקה מצטברת מול אשתקד'!A3,כלל!A:G,4,0)+VLOOKUP('תפוקה מצטברת מול אשתקד'!A3,מור!A:G,4,0)+VLOOKUP('תפוקה מצטברת מול אשתקד'!A3,'אלטשולר שחם'!A:G,4,0)+VLOOKUP('תפוקה מצטברת מול אשתקד'!A3,'מדיהו '!A:G,4,0)+VLOOKUP('תפוקה מצטברת מול אשתקד'!A3,'אנליסט '!A:G,4,0)+VLOOKUP('תפוקה מצטברת מול אשתקד'!A3,'מיטב דש'!A:G,4,0)+VLOOKUP('תפוקה מצטברת מול אשתקד'!A3,אינפניטי!A:G,4,0)</f>
        <v>4286891.4660330694</v>
      </c>
      <c r="I3" s="68">
        <f>VLOOKUP(A3,הכשרה!A:G,5,0)+VLOOKUP('תפוקה מצטברת מול אשתקד'!A3,מגדל!A:G,5,0)+VLOOKUP('תפוקה מצטברת מול אשתקד'!A3,מנורה!A:G,5,0)+VLOOKUP('תפוקה מצטברת מול אשתקד'!A3,איילון!A:G,5,0)+VLOOKUP('תפוקה מצטברת מול אשתקד'!A3,הראל!A:G,5,0)+VLOOKUP('תפוקה מצטברת מול אשתקד'!A3,הפניקס!A:G,5,0)+VLOOKUP('תפוקה מצטברת מול אשתקד'!A3,כלל!A:G,5,0)+VLOOKUP('תפוקה מצטברת מול אשתקד'!A3,מור!A:G,5,0)+VLOOKUP('תפוקה מצטברת מול אשתקד'!A3,'אלטשולר שחם'!A:G,5,0)+VLOOKUP('תפוקה מצטברת מול אשתקד'!A3,'מדיהו '!A:G,5,0)+VLOOKUP('תפוקה מצטברת מול אשתקד'!A3,'אנליסט '!A:G,5,0)+VLOOKUP('תפוקה מצטברת מול אשתקד'!A3,'מיטב דש'!A:G,5,0)+VLOOKUP('תפוקה מצטברת מול אשתקד'!A3,אינפניטי!A:G,5,0)</f>
        <v>81842.698432338817</v>
      </c>
      <c r="J3" s="68">
        <f>VLOOKUP(A3,הכשרה!A:G,6,0)+VLOOKUP('תפוקה מצטברת מול אשתקד'!A3,מגדל!A:G,6,0)+VLOOKUP('תפוקה מצטברת מול אשתקד'!A3,מנורה!A:G,6,0)+VLOOKUP('תפוקה מצטברת מול אשתקד'!A3,איילון!A:G,6,0)+VLOOKUP(A3,הראל!A:G,6,0)+VLOOKUP('תפוקה מצטברת מול אשתקד'!A3,הפניקס!A:G,6,0)+VLOOKUP('תפוקה מצטברת מול אשתקד'!A3,כלל!A:G,6,0)+VLOOKUP('תפוקה מצטברת מול אשתקד'!A3,מור!A:G,6,0)+VLOOKUP('תפוקה מצטברת מול אשתקד'!A3,'אלטשולר שחם'!A:G,6,0)+VLOOKUP('תפוקה מצטברת מול אשתקד'!A3,'מדיהו '!A:G,6,0)+VLOOKUP('תפוקה מצטברת מול אשתקד'!A3,'אנליסט '!A:G,6,0)+VLOOKUP('תפוקה מצטברת מול אשתקד'!A3,'מיטב דש'!A:G,6,0)+VLOOKUP('תפוקה מצטברת מול אשתקד'!A3,אינפניטי!A:G,6,0)</f>
        <v>3320734.4521152172</v>
      </c>
      <c r="K3" s="68">
        <f>VLOOKUP(A3,הכשרה!A:G,7,0)+VLOOKUP('תפוקה מצטברת מול אשתקד'!A3,מגדל!A:G,7,0)+VLOOKUP('תפוקה מצטברת מול אשתקד'!A3,מנורה!A:G,7,0)+VLOOKUP('תפוקה מצטברת מול אשתקד'!A3,איילון!A:G,7,0)+VLOOKUP('תפוקה מצטברת מול אשתקד'!A3,הראל!A:G,7,0)+VLOOKUP('תפוקה מצטברת מול אשתקד'!A3,הפניקס!A:G,7,0)+VLOOKUP('תפוקה מצטברת מול אשתקד'!A3,כלל!A:G,7,0)+VLOOKUP('תפוקה מצטברת מול אשתקד'!A3,מור!A:G,7,0)+VLOOKUP('תפוקה מצטברת מול אשתקד'!A3,'אלטשולר שחם'!A:G,7,0)+VLOOKUP('תפוקה מצטברת מול אשתקד'!A3,'מדיהו '!A:K,7,0)+VLOOKUP(A3,'אנליסט '!A:G,7,0)+VLOOKUP('תפוקה מצטברת מול אשתקד'!A3,'מיטב דש'!A:G,7,0)+VLOOKUP('תפוקה מצטברת מול אשתקד'!A3,אינפניטי!A:G,7,0)</f>
        <v>12277219.85</v>
      </c>
      <c r="L3" s="12">
        <f>VLOOKUP(A3,הכשרה!A:K,8,0)+VLOOKUP('תפוקה מצטברת מול אשתקד'!A3,מגדל!A:K,8,0)+VLOOKUP('תפוקה מצטברת מול אשתקד'!A3,מנורה!A:K,8,0)+VLOOKUP('תפוקה מצטברת מול אשתקד'!A3,איילון!A:K,8,0)+VLOOKUP('תפוקה מצטברת מול אשתקד'!A3,הראל!A:K,8,0)+VLOOKUP('תפוקה מצטברת מול אשתקד'!A3,הפניקס!A:K,8,0)+VLOOKUP('תפוקה מצטברת מול אשתקד'!A3,כלל!A:K,8,0)+VLOOKUP('תפוקה מצטברת מול אשתקד'!A3,מור!A:K,8,0)+VLOOKUP('תפוקה מצטברת מול אשתקד'!A3,'אלטשולר שחם'!A:K,8,0)+VLOOKUP('תפוקה מצטברת מול אשתקד'!A3,'מדיהו '!A:K,8,0)+VLOOKUP('תפוקה מצטברת מול אשתקד'!A3,'אנליסט '!A:K,8,0)+VLOOKUP('תפוקה מצטברת מול אשתקד'!A3,'מיטב דש'!A:K,8,0)+VLOOKUP('תפוקה מצטברת מול אשתקד'!A3,אינפניטי!A:K,8,0)</f>
        <v>141192.55293458828</v>
      </c>
      <c r="M3" s="12">
        <f>VLOOKUP(A3,הכשרה!A:K,9,0)+VLOOKUP('תפוקה מצטברת מול אשתקד'!A3,מגדל!A:K,9,0)+VLOOKUP('תפוקה מצטברת מול אשתקד'!A3,מנורה!A:K,9,0)+VLOOKUP('תפוקה מצטברת מול אשתקד'!A3,איילון!A:K,9,0)+VLOOKUP('תפוקה מצטברת מול אשתקד'!A3,הראל!A:K,9,0)+VLOOKUP('תפוקה מצטברת מול אשתקד'!A3,הפניקס!A:K,9,0)+VLOOKUP('תפוקה מצטברת מול אשתקד'!A3,כלל!A:K,9,0)+VLOOKUP('תפוקה מצטברת מול אשתקד'!A3,מור!A:K,9,0)+VLOOKUP('תפוקה מצטברת מול אשתקד'!A3,'אלטשולר שחם'!A:K,9,0)+VLOOKUP('תפוקה מצטברת מול אשתקד'!A3,'מדיהו '!A:K,9,0)+VLOOKUP('תפוקה מצטברת מול אשתקד'!A3,'אנליסט '!A:K,9,0)+VLOOKUP('תפוקה מצטברת מול אשתקד'!A3,'מיטב דש'!A:K,9,0)+VLOOKUP('תפוקה מצטברת מול אשתקד'!A3,אינפניטי!A:K,9,0)</f>
        <v>122669.04222141254</v>
      </c>
      <c r="N3" s="12">
        <f>VLOOKUP(A3,הכשרה!A:K,10,0)+VLOOKUP('תפוקה מצטברת מול אשתקד'!A3,מגדל!A:K,10,0)+VLOOKUP('תפוקה מצטברת מול אשתקד'!A3,מנורה!A:K,10,0)+VLOOKUP('תפוקה מצטברת מול אשתקד'!A3,איילון!A:K,10,0)+VLOOKUP('תפוקה מצטברת מול אשתקד'!A3,הראל!A:K,10,0)+VLOOKUP('תפוקה מצטברת מול אשתקד'!A3,הפניקס!A:K,10,0)+VLOOKUP('תפוקה מצטברת מול אשתקד'!A3,כלל!A:K,10,0)+VLOOKUP('תפוקה מצטברת מול אשתקד'!A3,מור!A:K,10,0)+VLOOKUP('תפוקה מצטברת מול אשתקד'!A3,'אלטשולר שחם'!A:K,10,0)+VLOOKUP('תפוקה מצטברת מול אשתקד'!A3,'מדיהו '!A:K,10,0)+VLOOKUP('תפוקה מצטברת מול אשתקד'!A3,'אנליסט '!A:K,10,0)+VLOOKUP('תפוקה מצטברת מול אשתקד'!A3,'מיטב דש'!A:K,10,0)+VLOOKUP('תפוקה מצטברת מול אשתקד'!A3,אינפניטי!A:K,10,0)</f>
        <v>352391.37530300824</v>
      </c>
      <c r="O3" s="12">
        <f>VLOOKUP(A3,הכשרה!A:K,11,0)+VLOOKUP('תפוקה מצטברת מול אשתקד'!A3,מגדל!A:K,11,0)+VLOOKUP('תפוקה מצטברת מול אשתקד'!A3,מנורה!A:K,11,0)+VLOOKUP('תפוקה מצטברת מול אשתקד'!A3,איילון!A:K,11,0)+VLOOKUP('תפוקה מצטברת מול אשתקד'!A3,הראל!A:K,11,0)+VLOOKUP('תפוקה מצטברת מול אשתקד'!A3,הפניקס!A:K,11,0)+VLOOKUP('תפוקה מצטברת מול אשתקד'!A3,כלל!A:K,11,0)+VLOOKUP('תפוקה מצטברת מול אשתקד'!A3,מור!A:K,11,0)+VLOOKUP('תפוקה מצטברת מול אשתקד'!A3,'אלטשולר שחם'!A:K,11,0)+VLOOKUP('תפוקה מצטברת מול אשתקד'!A3,'מדיהו '!A:K,11,0)+VLOOKUP('תפוקה מצטברת מול אשתקד'!A3,'אנליסט '!A:K,11,0)+VLOOKUP('תפוקה מצטברת מול אשתקד'!A3,'מיטב דש'!A:K,11,0)+VLOOKUP('תפוקה מצטברת מול אשתקד'!A3,אינפניטי!A:K,11,0)</f>
        <v>-94910.940000000177</v>
      </c>
      <c r="P3" s="103"/>
    </row>
    <row r="4" spans="1:16" ht="15.75" customHeight="1" x14ac:dyDescent="0.25">
      <c r="A4" s="27" t="s">
        <v>2</v>
      </c>
      <c r="B4" s="27" t="s">
        <v>116</v>
      </c>
      <c r="C4" s="27" t="s">
        <v>58</v>
      </c>
      <c r="D4" s="20">
        <f t="shared" ref="D4:F65" si="0">IF(H4=0,0%,IF(L4=0,100%,H4/L4-1))</f>
        <v>4.258032682283762</v>
      </c>
      <c r="E4" s="20">
        <f t="shared" ref="E4:E25" si="1">IF(I4=0,0%,IF(M4=0,100%,I4/M4-1))</f>
        <v>1</v>
      </c>
      <c r="F4" s="20" t="e">
        <f t="shared" ref="F4:F25" si="2">IF(J4=0,0%,IF(N4=0,100%,J4/N4-1))</f>
        <v>#VALUE!</v>
      </c>
      <c r="G4" s="20">
        <f>IF(K4=0,0%,IF(O4=H29,100%,K4/O4-1))</f>
        <v>-0.21496913157365993</v>
      </c>
      <c r="H4" s="68">
        <f>VLOOKUP(A4,הכשרה!A:G,4,0)+VLOOKUP('תפוקה מצטברת מול אשתקד'!A4,מגדל!A:G,4,0)+VLOOKUP('תפוקה מצטברת מול אשתקד'!A4,מנורה!A:G,4,0)+VLOOKUP('תפוקה מצטברת מול אשתקד'!A4,איילון!A:G,4,0)+VLOOKUP('תפוקה מצטברת מול אשתקד'!A4,הראל!A:G,4,0)+VLOOKUP('תפוקה מצטברת מול אשתקד'!A4,הפניקס!A:G,4,0)+VLOOKUP('תפוקה מצטברת מול אשתקד'!A4,כלל!A:G,4,0)+VLOOKUP('תפוקה מצטברת מול אשתקד'!A4,מור!A:G,4,0)+VLOOKUP('תפוקה מצטברת מול אשתקד'!A4,'אלטשולר שחם'!A:G,4,0)+VLOOKUP('תפוקה מצטברת מול אשתקד'!A4,'מדיהו '!A:G,4,0)+VLOOKUP('תפוקה מצטברת מול אשתקד'!A4,'אנליסט '!A:G,4,0)+VLOOKUP('תפוקה מצטברת מול אשתקד'!A4,'מיטב דש'!A:G,4,0)+VLOOKUP('תפוקה מצטברת מול אשתקד'!A4,אינפניטי!A:G,4,0)</f>
        <v>58602.12</v>
      </c>
      <c r="I4" s="68">
        <f>VLOOKUP(A4,הכשרה!A:G,5,0)+VLOOKUP('תפוקה מצטברת מול אשתקד'!A4,מגדל!A:G,5,0)+VLOOKUP('תפוקה מצטברת מול אשתקד'!A4,מנורה!A:G,5,0)+VLOOKUP('תפוקה מצטברת מול אשתקד'!A4,איילון!A:G,5,0)+VLOOKUP('תפוקה מצטברת מול אשתקד'!A4,הראל!A:G,5,0)+VLOOKUP('תפוקה מצטברת מול אשתקד'!A4,הפניקס!A:G,5,0)+VLOOKUP('תפוקה מצטברת מול אשתקד'!A4,כלל!A:G,5,0)+VLOOKUP('תפוקה מצטברת מול אשתקד'!A4,מור!A:G,5,0)+VLOOKUP('תפוקה מצטברת מול אשתקד'!A4,'אלטשולר שחם'!A:G,5,0)+VLOOKUP('תפוקה מצטברת מול אשתקד'!A4,'מדיהו '!A:G,5,0)+VLOOKUP('תפוקה מצטברת מול אשתקד'!A4,'אנליסט '!A:G,5,0)+VLOOKUP('תפוקה מצטברת מול אשתקד'!A4,'מיטב דש'!A:G,5,0)+VLOOKUP('תפוקה מצטברת מול אשתקד'!A4,אינפניטי!A:G,5,0)</f>
        <v>6.26</v>
      </c>
      <c r="J4" s="68" t="e">
        <f>VLOOKUP(A4,הכשרה!A:G,6,0)+VLOOKUP('תפוקה מצטברת מול אשתקד'!A4,מגדל!A:G,6,0)+VLOOKUP('תפוקה מצטברת מול אשתקד'!A4,מנורה!A:G,6,0)+VLOOKUP('תפוקה מצטברת מול אשתקד'!A4,איילון!A:G,6,0)+VLOOKUP(A4,הראל!A:G,6,0)+VLOOKUP('תפוקה מצטברת מול אשתקד'!A4,הפניקס!A:G,6,0)+VLOOKUP('תפוקה מצטברת מול אשתקד'!A4,כלל!A:G,6,0)+VLOOKUP('תפוקה מצטברת מול אשתקד'!A4,מור!A:G,6,0)+VLOOKUP('תפוקה מצטברת מול אשתקד'!A4,'אלטשולר שחם'!A:G,6,0)+VLOOKUP('תפוקה מצטברת מול אשתקד'!A4,'מדיהו '!A:G,6,0)+VLOOKUP('תפוקה מצטברת מול אשתקד'!A4,'אנליסט '!A:G,6,0)+VLOOKUP('תפוקה מצטברת מול אשתקד'!A4,'מיטב דש'!A:G,6,0)+VLOOKUP('תפוקה מצטברת מול אשתקד'!A4,אינפניטי!A:G,6,0)</f>
        <v>#VALUE!</v>
      </c>
      <c r="K4" s="68">
        <f>VLOOKUP(A4,הכשרה!A:G,7,0)+VLOOKUP('תפוקה מצטברת מול אשתקד'!A4,מגדל!A:G,7,0)+VLOOKUP('תפוקה מצטברת מול אשתקד'!A4,מנורה!A:G,7,0)+VLOOKUP('תפוקה מצטברת מול אשתקד'!A4,איילון!A:G,7,0)+VLOOKUP('תפוקה מצטברת מול אשתקד'!A4,הראל!A:G,7,0)+VLOOKUP('תפוקה מצטברת מול אשתקד'!A4,הפניקס!A:G,7,0)+VLOOKUP('תפוקה מצטברת מול אשתקד'!A4,כלל!A:G,7,0)+VLOOKUP('תפוקה מצטברת מול אשתקד'!A4,מור!A:G,7,0)+VLOOKUP('תפוקה מצטברת מול אשתקד'!A4,'אלטשולר שחם'!A:G,7,0)+VLOOKUP('תפוקה מצטברת מול אשתקד'!A4,'מדיהו '!A:K,7,0)+VLOOKUP(A4,'אנליסט '!A:G,7,0)+VLOOKUP('תפוקה מצטברת מול אשתקד'!A4,'מיטב דש'!A:G,7,0)+VLOOKUP('תפוקה מצטברת מול אשתקד'!A4,אינפניטי!A:G,7,0)</f>
        <v>444902.75</v>
      </c>
      <c r="L4" s="12">
        <f>VLOOKUP(A4,הכשרה!A:K,8,0)+VLOOKUP('תפוקה מצטברת מול אשתקד'!A4,מגדל!A:K,8,0)+VLOOKUP('תפוקה מצטברת מול אשתקד'!A4,מנורה!A:K,8,0)+VLOOKUP('תפוקה מצטברת מול אשתקד'!A4,איילון!A:K,8,0)+VLOOKUP('תפוקה מצטברת מול אשתקד'!A4,הראל!A:K,8,0)+VLOOKUP('תפוקה מצטברת מול אשתקד'!A4,הפניקס!A:K,8,0)+VLOOKUP('תפוקה מצטברת מול אשתקד'!A4,כלל!A:K,8,0)+VLOOKUP('תפוקה מצטברת מול אשתקד'!A4,מור!A:K,8,0)+VLOOKUP('תפוקה מצטברת מול אשתקד'!A4,'אלטשולר שחם'!A:K,8,0)+VLOOKUP('תפוקה מצטברת מול אשתקד'!A4,'מדיהו '!A:K,8,0)+VLOOKUP('תפוקה מצטברת מול אשתקד'!A4,'אנליסט '!A:K,8,0)+VLOOKUP('תפוקה מצטברת מול אשתקד'!A4,'מיטב דש'!A:K,8,0)+VLOOKUP('תפוקה מצטברת מול אשתקד'!A4,אינפניטי!A:K,8,0)</f>
        <v>11145.255942864716</v>
      </c>
      <c r="M4" s="12">
        <f>VLOOKUP(A4,הכשרה!A:K,9,0)+VLOOKUP('תפוקה מצטברת מול אשתקד'!A4,מגדל!A:K,9,0)+VLOOKUP('תפוקה מצטברת מול אשתקד'!A4,מנורה!A:K,9,0)+VLOOKUP('תפוקה מצטברת מול אשתקד'!A4,איילון!A:K,9,0)+VLOOKUP('תפוקה מצטברת מול אשתקד'!A4,הראל!A:K,9,0)+VLOOKUP('תפוקה מצטברת מול אשתקד'!A4,הפניקס!A:K,9,0)+VLOOKUP('תפוקה מצטברת מול אשתקד'!A4,כלל!A:K,9,0)+VLOOKUP('תפוקה מצטברת מול אשתקד'!A4,מור!A:K,9,0)+VLOOKUP('תפוקה מצטברת מול אשתקד'!A4,'אלטשולר שחם'!A:K,9,0)+VLOOKUP('תפוקה מצטברת מול אשתקד'!A4,'מדיהו '!A:K,9,0)+VLOOKUP('תפוקה מצטברת מול אשתקד'!A4,'אנליסט '!A:K,9,0)+VLOOKUP('תפוקה מצטברת מול אשתקד'!A4,'מיטב דש'!A:K,9,0)+VLOOKUP('תפוקה מצטברת מול אשתקד'!A4,אינפניטי!A:K,9,0)</f>
        <v>0</v>
      </c>
      <c r="N4" s="12">
        <f>VLOOKUP(A4,הכשרה!A:K,10,0)+VLOOKUP('תפוקה מצטברת מול אשתקד'!A4,מגדל!A:K,10,0)+VLOOKUP('תפוקה מצטברת מול אשתקד'!A4,מנורה!A:K,10,0)+VLOOKUP('תפוקה מצטברת מול אשתקד'!A4,איילון!A:K,10,0)+VLOOKUP('תפוקה מצטברת מול אשתקד'!A4,הראל!A:K,10,0)+VLOOKUP('תפוקה מצטברת מול אשתקד'!A4,הפניקס!A:K,10,0)+VLOOKUP('תפוקה מצטברת מול אשתקד'!A4,כלל!A:K,10,0)+VLOOKUP('תפוקה מצטברת מול אשתקד'!A4,מור!A:K,10,0)+VLOOKUP('תפוקה מצטברת מול אשתקד'!A4,'אלטשולר שחם'!A:K,10,0)+VLOOKUP('תפוקה מצטברת מול אשתקד'!A4,'מדיהו '!A:K,10,0)+VLOOKUP('תפוקה מצטברת מול אשתקד'!A4,'אנליסט '!A:K,10,0)+VLOOKUP('תפוקה מצטברת מול אשתקד'!A4,'מיטב דש'!A:K,10,0)+VLOOKUP('תפוקה מצטברת מול אשתקד'!A4,אינפניטי!A:K,10,0)</f>
        <v>621131.62</v>
      </c>
      <c r="O4" s="12">
        <f>VLOOKUP(A4,הכשרה!A:K,11,0)+VLOOKUP('תפוקה מצטברת מול אשתקד'!A4,מגדל!A:K,11,0)+VLOOKUP('תפוקה מצטברת מול אשתקד'!A4,מנורה!A:K,11,0)+VLOOKUP('תפוקה מצטברת מול אשתקד'!A4,איילון!A:K,11,0)+VLOOKUP('תפוקה מצטברת מול אשתקד'!A4,הראל!A:K,11,0)+VLOOKUP('תפוקה מצטברת מול אשתקד'!A4,הפניקס!A:K,11,0)+VLOOKUP('תפוקה מצטברת מול אשתקד'!A4,כלל!A:K,11,0)+VLOOKUP('תפוקה מצטברת מול אשתקד'!A4,מור!A:K,11,0)+VLOOKUP('תפוקה מצטברת מול אשתקד'!A4,'אלטשולר שחם'!A:K,11,0)+VLOOKUP('תפוקה מצטברת מול אשתקד'!A4,'מדיהו '!A:K,11,0)+VLOOKUP('תפוקה מצטברת מול אשתקד'!A4,'אנליסט '!A:K,11,0)+VLOOKUP('תפוקה מצטברת מול אשתקד'!A4,'מיטב דש'!A:K,11,0)+VLOOKUP('תפוקה מצטברת מול אשתקד'!A4,אינפניטי!A:K,11,0)</f>
        <v>566732.81000000006</v>
      </c>
      <c r="P4" s="103"/>
    </row>
    <row r="5" spans="1:16" ht="15.75" customHeight="1" x14ac:dyDescent="0.25">
      <c r="A5" s="27" t="s">
        <v>112</v>
      </c>
      <c r="B5" s="27" t="s">
        <v>116</v>
      </c>
      <c r="C5" s="27" t="s">
        <v>58</v>
      </c>
      <c r="D5" s="20">
        <f t="shared" si="0"/>
        <v>0</v>
      </c>
      <c r="E5" s="20">
        <f t="shared" si="1"/>
        <v>1</v>
      </c>
      <c r="F5" s="20">
        <f t="shared" si="2"/>
        <v>0</v>
      </c>
      <c r="G5" s="20">
        <f>IF(K5=0,0%,IF(O5=H30,100%,K5/O5-1))</f>
        <v>0</v>
      </c>
      <c r="H5" s="68">
        <f>VLOOKUP(A5,הכשרה!A:G,4,0)+VLOOKUP('תפוקה מצטברת מול אשתקד'!A5,מגדל!A:G,4,0)+VLOOKUP('תפוקה מצטברת מול אשתקד'!A5,מנורה!A:G,4,0)+VLOOKUP('תפוקה מצטברת מול אשתקד'!A5,איילון!A:G,4,0)+VLOOKUP('תפוקה מצטברת מול אשתקד'!A5,הראל!A:G,4,0)+VLOOKUP('תפוקה מצטברת מול אשתקד'!A5,הפניקס!A:G,4,0)+VLOOKUP('תפוקה מצטברת מול אשתקד'!A5,כלל!A:G,4,0)+VLOOKUP('תפוקה מצטברת מול אשתקד'!A5,מור!A:G,4,0)+VLOOKUP('תפוקה מצטברת מול אשתקד'!A5,'אלטשולר שחם'!A:G,4,0)+VLOOKUP('תפוקה מצטברת מול אשתקד'!A5,'מדיהו '!A:G,4,0)+VLOOKUP('תפוקה מצטברת מול אשתקד'!A5,'אנליסט '!A:G,4,0)+VLOOKUP('תפוקה מצטברת מול אשתקד'!A5,'מיטב דש'!A:G,4,0)+VLOOKUP('תפוקה מצטברת מול אשתקד'!A5,אינפניטי!A:G,4,0)</f>
        <v>0</v>
      </c>
      <c r="I5" s="68">
        <f>VLOOKUP(A5,הכשרה!A:G,5,0)+VLOOKUP('תפוקה מצטברת מול אשתקד'!A5,מגדל!A:G,5,0)+VLOOKUP('תפוקה מצטברת מול אשתקד'!A5,מנורה!A:G,5,0)+VLOOKUP('תפוקה מצטברת מול אשתקד'!A5,איילון!A:G,5,0)+VLOOKUP('תפוקה מצטברת מול אשתקד'!A5,הראל!A:G,5,0)+VLOOKUP('תפוקה מצטברת מול אשתקד'!A5,הפניקס!A:G,5,0)+VLOOKUP('תפוקה מצטברת מול אשתקד'!A5,כלל!A:G,5,0)+VLOOKUP('תפוקה מצטברת מול אשתקד'!A5,מור!A:G,5,0)+VLOOKUP('תפוקה מצטברת מול אשתקד'!A5,'אלטשולר שחם'!A:G,5,0)+VLOOKUP('תפוקה מצטברת מול אשתקד'!A5,'מדיהו '!A:G,5,0)+VLOOKUP('תפוקה מצטברת מול אשתקד'!A5,'אנליסט '!A:G,5,0)+VLOOKUP('תפוקה מצטברת מול אשתקד'!A5,'מיטב דש'!A:G,5,0)+VLOOKUP('תפוקה מצטברת מול אשתקד'!A5,אינפניטי!A:G,5,0)</f>
        <v>10763.53</v>
      </c>
      <c r="J5" s="68">
        <f>VLOOKUP(A5,הכשרה!A:G,6,0)+VLOOKUP('תפוקה מצטברת מול אשתקד'!A5,מגדל!A:G,6,0)+VLOOKUP('תפוקה מצטברת מול אשתקד'!A5,מנורה!A:G,6,0)+VLOOKUP('תפוקה מצטברת מול אשתקד'!A5,איילון!A:G,6,0)+VLOOKUP(A5,הראל!A:G,6,0)+VLOOKUP('תפוקה מצטברת מול אשתקד'!A5,הפניקס!A:G,6,0)+VLOOKUP('תפוקה מצטברת מול אשתקד'!A5,כלל!A:G,6,0)+VLOOKUP('תפוקה מצטברת מול אשתקד'!A5,מור!A:G,6,0)+VLOOKUP('תפוקה מצטברת מול אשתקד'!A5,'אלטשולר שחם'!A:G,6,0)+VLOOKUP('תפוקה מצטברת מול אשתקד'!A5,'מדיהו '!A:G,6,0)+VLOOKUP('תפוקה מצטברת מול אשתקד'!A5,'אנליסט '!A:G,6,0)+VLOOKUP('תפוקה מצטברת מול אשתקד'!A5,'מיטב דש'!A:G,6,0)+VLOOKUP('תפוקה מצטברת מול אשתקד'!A5,אינפניטי!A:G,6,0)</f>
        <v>0</v>
      </c>
      <c r="K5" s="68">
        <f>VLOOKUP(A5,הכשרה!A:G,7,0)+VLOOKUP('תפוקה מצטברת מול אשתקד'!A5,מגדל!A:G,7,0)+VLOOKUP('תפוקה מצטברת מול אשתקד'!A5,מנורה!A:G,7,0)+VLOOKUP('תפוקה מצטברת מול אשתקד'!A5,איילון!A:G,7,0)+VLOOKUP('תפוקה מצטברת מול אשתקד'!A5,הראל!A:G,7,0)+VLOOKUP('תפוקה מצטברת מול אשתקד'!A5,הפניקס!A:G,7,0)+VLOOKUP('תפוקה מצטברת מול אשתקד'!A5,כלל!A:G,7,0)+VLOOKUP('תפוקה מצטברת מול אשתקד'!A5,מור!A:G,7,0)+VLOOKUP('תפוקה מצטברת מול אשתקד'!A5,'אלטשולר שחם'!A:G,7,0)+VLOOKUP('תפוקה מצטברת מול אשתקד'!A5,'מדיהו '!A:K,7,0)+VLOOKUP(A5,'אנליסט '!A:G,7,0)+VLOOKUP('תפוקה מצטברת מול אשתקד'!A5,'מיטב דש'!A:G,7,0)+VLOOKUP('תפוקה מצטברת מול אשתקד'!A5,אינפניטי!A:G,7,0)</f>
        <v>0</v>
      </c>
      <c r="L5" s="12">
        <f>VLOOKUP(A5,הכשרה!A:K,8,0)+VLOOKUP('תפוקה מצטברת מול אשתקד'!A5,מגדל!A:K,8,0)+VLOOKUP('תפוקה מצטברת מול אשתקד'!A5,מנורה!A:K,8,0)+VLOOKUP('תפוקה מצטברת מול אשתקד'!A5,איילון!A:K,8,0)+VLOOKUP('תפוקה מצטברת מול אשתקד'!A5,הראל!A:K,8,0)+VLOOKUP('תפוקה מצטברת מול אשתקד'!A5,הפניקס!A:K,8,0)+VLOOKUP('תפוקה מצטברת מול אשתקד'!A5,כלל!A:K,8,0)+VLOOKUP('תפוקה מצטברת מול אשתקד'!A5,מור!A:K,8,0)+VLOOKUP('תפוקה מצטברת מול אשתקד'!A5,'אלטשולר שחם'!A:K,8,0)+VLOOKUP('תפוקה מצטברת מול אשתקד'!A5,'מדיהו '!A:K,8,0)+VLOOKUP('תפוקה מצטברת מול אשתקד'!A5,'אנליסט '!A:K,8,0)+VLOOKUP('תפוקה מצטברת מול אשתקד'!A5,'מיטב דש'!A:K,8,0)+VLOOKUP('תפוקה מצטברת מול אשתקד'!A5,אינפניטי!A:K,8,0)</f>
        <v>0</v>
      </c>
      <c r="M5" s="12">
        <f>VLOOKUP(A5,הכשרה!A:K,9,0)+VLOOKUP('תפוקה מצטברת מול אשתקד'!A5,מגדל!A:K,9,0)+VLOOKUP('תפוקה מצטברת מול אשתקד'!A5,מנורה!A:K,9,0)+VLOOKUP('תפוקה מצטברת מול אשתקד'!A5,איילון!A:K,9,0)+VLOOKUP('תפוקה מצטברת מול אשתקד'!A5,הראל!A:K,9,0)+VLOOKUP('תפוקה מצטברת מול אשתקד'!A5,הפניקס!A:K,9,0)+VLOOKUP('תפוקה מצטברת מול אשתקד'!A5,כלל!A:K,9,0)+VLOOKUP('תפוקה מצטברת מול אשתקד'!A5,מור!A:K,9,0)+VLOOKUP('תפוקה מצטברת מול אשתקד'!A5,'אלטשולר שחם'!A:K,9,0)+VLOOKUP('תפוקה מצטברת מול אשתקד'!A5,'מדיהו '!A:K,9,0)+VLOOKUP('תפוקה מצטברת מול אשתקד'!A5,'אנליסט '!A:K,9,0)+VLOOKUP('תפוקה מצטברת מול אשתקד'!A5,'מיטב דש'!A:K,9,0)+VLOOKUP('תפוקה מצטברת מול אשתקד'!A5,אינפניטי!A:K,9,0)</f>
        <v>0</v>
      </c>
      <c r="N5" s="12">
        <f>VLOOKUP(A5,הכשרה!A:K,10,0)+VLOOKUP('תפוקה מצטברת מול אשתקד'!A5,מגדל!A:K,10,0)+VLOOKUP('תפוקה מצטברת מול אשתקד'!A5,מנורה!A:K,10,0)+VLOOKUP('תפוקה מצטברת מול אשתקד'!A5,איילון!A:K,10,0)+VLOOKUP('תפוקה מצטברת מול אשתקד'!A5,הראל!A:K,10,0)+VLOOKUP('תפוקה מצטברת מול אשתקד'!A5,הפניקס!A:K,10,0)+VLOOKUP('תפוקה מצטברת מול אשתקד'!A5,כלל!A:K,10,0)+VLOOKUP('תפוקה מצטברת מול אשתקד'!A5,מור!A:K,10,0)+VLOOKUP('תפוקה מצטברת מול אשתקד'!A5,'אלטשולר שחם'!A:K,10,0)+VLOOKUP('תפוקה מצטברת מול אשתקד'!A5,'מדיהו '!A:K,10,0)+VLOOKUP('תפוקה מצטברת מול אשתקד'!A5,'אנליסט '!A:K,10,0)+VLOOKUP('תפוקה מצטברת מול אשתקד'!A5,'מיטב דש'!A:K,10,0)+VLOOKUP('תפוקה מצטברת מול אשתקד'!A5,אינפניטי!A:K,10,0)</f>
        <v>0</v>
      </c>
      <c r="O5" s="12">
        <f>VLOOKUP(A5,הכשרה!A:K,11,0)+VLOOKUP('תפוקה מצטברת מול אשתקד'!A5,מגדל!A:K,11,0)+VLOOKUP('תפוקה מצטברת מול אשתקד'!A5,מנורה!A:K,11,0)+VLOOKUP('תפוקה מצטברת מול אשתקד'!A5,איילון!A:K,11,0)+VLOOKUP('תפוקה מצטברת מול אשתקד'!A5,הראל!A:K,11,0)+VLOOKUP('תפוקה מצטברת מול אשתקד'!A5,הפניקס!A:K,11,0)+VLOOKUP('תפוקה מצטברת מול אשתקד'!A5,כלל!A:K,11,0)+VLOOKUP('תפוקה מצטברת מול אשתקד'!A5,מור!A:K,11,0)+VLOOKUP('תפוקה מצטברת מול אשתקד'!A5,'אלטשולר שחם'!A:K,11,0)+VLOOKUP('תפוקה מצטברת מול אשתקד'!A5,'מדיהו '!A:K,11,0)+VLOOKUP('תפוקה מצטברת מול אשתקד'!A5,'אנליסט '!A:K,11,0)+VLOOKUP('תפוקה מצטברת מול אשתקד'!A5,'מיטב דש'!A:K,11,0)+VLOOKUP('תפוקה מצטברת מול אשתקד'!A5,אינפניטי!A:K,11,0)</f>
        <v>0</v>
      </c>
      <c r="P5" s="103"/>
    </row>
    <row r="6" spans="1:16" ht="15.75" customHeight="1" x14ac:dyDescent="0.25">
      <c r="A6" s="29" t="s">
        <v>113</v>
      </c>
      <c r="B6" s="27" t="s">
        <v>116</v>
      </c>
      <c r="C6" s="29" t="s">
        <v>58</v>
      </c>
      <c r="D6" s="118">
        <f t="shared" si="0"/>
        <v>-975.23992343450925</v>
      </c>
      <c r="E6" s="118">
        <f t="shared" si="1"/>
        <v>-0.17269540565649222</v>
      </c>
      <c r="F6" s="118">
        <f t="shared" si="2"/>
        <v>1</v>
      </c>
      <c r="G6" s="20" t="e">
        <f>IF(K6=0,0%,IF(O6=H31,100%,K6/O6-1))</f>
        <v>#DIV/0!</v>
      </c>
      <c r="H6" s="68">
        <f>VLOOKUP(A6,הכשרה!A:G,4,0)+VLOOKUP('תפוקה מצטברת מול אשתקד'!A6,מגדל!A:G,4,0)+VLOOKUP('תפוקה מצטברת מול אשתקד'!A6,מנורה!A:G,4,0)+VLOOKUP('תפוקה מצטברת מול אשתקד'!A6,איילון!A:G,4,0)+VLOOKUP('תפוקה מצטברת מול אשתקד'!A6,הראל!A:G,4,0)+VLOOKUP('תפוקה מצטברת מול אשתקד'!A6,הפניקס!A:G,4,0)+VLOOKUP('תפוקה מצטברת מול אשתקד'!A6,כלל!A:G,4,0)+VLOOKUP('תפוקה מצטברת מול אשתקד'!A6,מור!A:G,4,0)+VLOOKUP('תפוקה מצטברת מול אשתקד'!A6,'אלטשולר שחם'!A:G,4,0)+VLOOKUP('תפוקה מצטברת מול אשתקד'!A6,'מדיהו '!A:G,4,0)+VLOOKUP('תפוקה מצטברת מול אשתקד'!A6,'אנליסט '!A:G,4,0)+VLOOKUP('תפוקה מצטברת מול אשתקד'!A6,'מיטב דש'!A:G,4,0)+VLOOKUP('תפוקה מצטברת מול אשתקד'!A6,אינפניטי!A:G,4,0)</f>
        <v>178139.77000000002</v>
      </c>
      <c r="I6" s="68">
        <f>VLOOKUP(A6,הכשרה!A:G,5,0)+VLOOKUP('תפוקה מצטברת מול אשתקד'!A6,מגדל!A:G,5,0)+VLOOKUP('תפוקה מצטברת מול אשתקד'!A6,מנורה!A:G,5,0)+VLOOKUP('תפוקה מצטברת מול אשתקד'!A6,איילון!A:G,5,0)+VLOOKUP('תפוקה מצטברת מול אשתקד'!A6,הראל!A:G,5,0)+VLOOKUP('תפוקה מצטברת מול אשתקד'!A6,הפניקס!A:G,5,0)+VLOOKUP('תפוקה מצטברת מול אשתקד'!A6,כלל!A:G,5,0)+VLOOKUP('תפוקה מצטברת מול אשתקד'!A6,מור!A:G,5,0)+VLOOKUP('תפוקה מצטברת מול אשתקד'!A6,'אלטשולר שחם'!A:G,5,0)+VLOOKUP('תפוקה מצטברת מול אשתקד'!A6,'מדיהו '!A:G,5,0)+VLOOKUP('תפוקה מצטברת מול אשתקד'!A6,'אנליסט '!A:G,5,0)+VLOOKUP('תפוקה מצטברת מול אשתקד'!A6,'מיטב דש'!A:G,5,0)+VLOOKUP('תפוקה מצטברת מול אשתקד'!A6,אינפניטי!A:G,5,0)</f>
        <v>8637.9699999999993</v>
      </c>
      <c r="J6" s="68">
        <f>VLOOKUP(A6,הכשרה!A:G,6,0)+VLOOKUP('תפוקה מצטברת מול אשתקד'!A6,מגדל!A:G,6,0)+VLOOKUP('תפוקה מצטברת מול אשתקד'!A6,מנורה!A:G,6,0)+VLOOKUP('תפוקה מצטברת מול אשתקד'!A6,איילון!A:G,6,0)+VLOOKUP(A6,הראל!A:G,6,0)+VLOOKUP('תפוקה מצטברת מול אשתקד'!A6,הפניקס!A:G,6,0)+VLOOKUP('תפוקה מצטברת מול אשתקד'!A6,כלל!A:G,6,0)+VLOOKUP('תפוקה מצטברת מול אשתקד'!A6,מור!A:G,6,0)+VLOOKUP('תפוקה מצטברת מול אשתקד'!A6,'אלטשולר שחם'!A:G,6,0)+VLOOKUP('תפוקה מצטברת מול אשתקד'!A6,'מדיהו '!A:G,6,0)+VLOOKUP('תפוקה מצטברת מול אשתקד'!A6,'אנליסט '!A:G,6,0)+VLOOKUP('תפוקה מצטברת מול אשתקד'!A6,'מיטב דש'!A:G,6,0)+VLOOKUP('תפוקה מצטברת מול אשתקד'!A6,אינפניטי!A:G,6,0)</f>
        <v>240809.92</v>
      </c>
      <c r="K6" s="68">
        <f>VLOOKUP(A6,הכשרה!A:G,7,0)+VLOOKUP('תפוקה מצטברת מול אשתקד'!A6,מגדל!A:G,7,0)+VLOOKUP('תפוקה מצטברת מול אשתקד'!A6,מנורה!A:G,7,0)+VLOOKUP('תפוקה מצטברת מול אשתקד'!A6,איילון!A:G,7,0)+VLOOKUP('תפוקה מצטברת מול אשתקד'!A6,הראל!A:G,7,0)+VLOOKUP('תפוקה מצטברת מול אשתקד'!A6,הפניקס!A:G,7,0)+VLOOKUP('תפוקה מצטברת מול אשתקד'!A6,כלל!A:G,7,0)+VLOOKUP('תפוקה מצטברת מול אשתקד'!A6,מור!A:G,7,0)+VLOOKUP('תפוקה מצטברת מול אשתקד'!A6,'אלטשולר שחם'!A:G,7,0)+VLOOKUP('תפוקה מצטברת מול אשתקד'!A6,'מדיהו '!A:K,7,0)+VLOOKUP(A6,'אנליסט '!A:G,7,0)+VLOOKUP('תפוקה מצטברת מול אשתקד'!A6,'מיטב דש'!A:G,7,0)+VLOOKUP('תפוקה מצטברת מול אשתקד'!A6,אינפניטי!A:G,7,0)</f>
        <v>41187.589999999997</v>
      </c>
      <c r="L6" s="12">
        <f>VLOOKUP(A6,הכשרה!A:K,8,0)+VLOOKUP('תפוקה מצטברת מול אשתקד'!A6,מגדל!A:K,8,0)+VLOOKUP('תפוקה מצטברת מול אשתקד'!A6,מנורה!A:K,8,0)+VLOOKUP('תפוקה מצטברת מול אשתקד'!A6,איילון!A:K,8,0)+VLOOKUP('תפוקה מצטברת מול אשתקד'!A6,הראל!A:K,8,0)+VLOOKUP('תפוקה מצטברת מול אשתקד'!A6,הפניקס!A:K,8,0)+VLOOKUP('תפוקה מצטברת מול אשתקד'!A6,כלל!A:K,8,0)+VLOOKUP('תפוקה מצטברת מול אשתקד'!A6,מור!A:K,8,0)+VLOOKUP('תפוקה מצטברת מול אשתקד'!A6,'אלטשולר שחם'!A:K,8,0)+VLOOKUP('תפוקה מצטברת מול אשתקד'!A6,'מדיהו '!A:K,8,0)+VLOOKUP('תפוקה מצטברת מול אשתקד'!A6,'אנליסט '!A:K,8,0)+VLOOKUP('תפוקה מצטברת מול אשתקד'!A6,'מיטב דש'!A:K,8,0)+VLOOKUP('תפוקה מצטברת מול אשתקד'!A6,אינפניטי!A:K,8,0)</f>
        <v>-182.85</v>
      </c>
      <c r="M6" s="12">
        <f>VLOOKUP(A6,הכשרה!A:K,9,0)+VLOOKUP('תפוקה מצטברת מול אשתקד'!A6,מגדל!A:K,9,0)+VLOOKUP('תפוקה מצטברת מול אשתקד'!A6,מנורה!A:K,9,0)+VLOOKUP('תפוקה מצטברת מול אשתקד'!A6,איילון!A:K,9,0)+VLOOKUP('תפוקה מצטברת מול אשתקד'!A6,הראל!A:K,9,0)+VLOOKUP('תפוקה מצטברת מול אשתקד'!A6,הפניקס!A:K,9,0)+VLOOKUP('תפוקה מצטברת מול אשתקד'!A6,כלל!A:K,9,0)+VLOOKUP('תפוקה מצטברת מול אשתקד'!A6,מור!A:K,9,0)+VLOOKUP('תפוקה מצטברת מול אשתקד'!A6,'אלטשולר שחם'!A:K,9,0)+VLOOKUP('תפוקה מצטברת מול אשתקד'!A6,'מדיהו '!A:K,9,0)+VLOOKUP('תפוקה מצטברת מול אשתקד'!A6,'אנליסט '!A:K,9,0)+VLOOKUP('תפוקה מצטברת מול אשתקד'!A6,'מיטב דש'!A:K,9,0)+VLOOKUP('תפוקה מצטברת מול אשתקד'!A6,אינפניטי!A:K,9,0)</f>
        <v>10441.1</v>
      </c>
      <c r="N6" s="12">
        <f>VLOOKUP(A6,הכשרה!A:K,10,0)+VLOOKUP('תפוקה מצטברת מול אשתקד'!A6,מגדל!A:K,10,0)+VLOOKUP('תפוקה מצטברת מול אשתקד'!A6,מנורה!A:K,10,0)+VLOOKUP('תפוקה מצטברת מול אשתקד'!A6,איילון!A:K,10,0)+VLOOKUP('תפוקה מצטברת מול אשתקד'!A6,הראל!A:K,10,0)+VLOOKUP('תפוקה מצטברת מול אשתקד'!A6,הפניקס!A:K,10,0)+VLOOKUP('תפוקה מצטברת מול אשתקד'!A6,כלל!A:K,10,0)+VLOOKUP('תפוקה מצטברת מול אשתקד'!A6,מור!A:K,10,0)+VLOOKUP('תפוקה מצטברת מול אשתקד'!A6,'אלטשולר שחם'!A:K,10,0)+VLOOKUP('תפוקה מצטברת מול אשתקד'!A6,'מדיהו '!A:K,10,0)+VLOOKUP('תפוקה מצטברת מול אשתקד'!A6,'אנליסט '!A:K,10,0)+VLOOKUP('תפוקה מצטברת מול אשתקד'!A6,'מיטב דש'!A:K,10,0)+VLOOKUP('תפוקה מצטברת מול אשתקד'!A6,אינפניטי!A:K,10,0)</f>
        <v>0</v>
      </c>
      <c r="O6" s="12">
        <f>VLOOKUP(A6,הכשרה!A:K,11,0)+VLOOKUP('תפוקה מצטברת מול אשתקד'!A6,מגדל!A:K,11,0)+VLOOKUP('תפוקה מצטברת מול אשתקד'!A6,מנורה!A:K,11,0)+VLOOKUP('תפוקה מצטברת מול אשתקד'!A6,איילון!A:K,11,0)+VLOOKUP('תפוקה מצטברת מול אשתקד'!A6,הראל!A:K,11,0)+VLOOKUP('תפוקה מצטברת מול אשתקד'!A6,הפניקס!A:K,11,0)+VLOOKUP('תפוקה מצטברת מול אשתקד'!A6,כלל!A:K,11,0)+VLOOKUP('תפוקה מצטברת מול אשתקד'!A6,מור!A:K,11,0)+VLOOKUP('תפוקה מצטברת מול אשתקד'!A6,'אלטשולר שחם'!A:K,11,0)+VLOOKUP('תפוקה מצטברת מול אשתקד'!A6,'מדיהו '!A:K,11,0)+VLOOKUP('תפוקה מצטברת מול אשתקד'!A6,'אנליסט '!A:K,11,0)+VLOOKUP('תפוקה מצטברת מול אשתקד'!A6,'מיטב דש'!A:K,11,0)+VLOOKUP('תפוקה מצטברת מול אשתקד'!A6,אינפניטי!A:K,11,0)</f>
        <v>0</v>
      </c>
      <c r="P6" s="103"/>
    </row>
    <row r="7" spans="1:16" ht="15.75" customHeight="1" thickBot="1" x14ac:dyDescent="0.3">
      <c r="A7" s="27" t="s">
        <v>34</v>
      </c>
      <c r="B7" s="27" t="s">
        <v>116</v>
      </c>
      <c r="C7" s="28" t="s">
        <v>58</v>
      </c>
      <c r="D7" s="20">
        <f>IF(H7=0,0%,IF(L7=0,100%,H7/L7-1))</f>
        <v>0</v>
      </c>
      <c r="E7" s="20">
        <f>IF(I7=0,0%,IF(M7=0,100%,I7/M7-1))</f>
        <v>-0.48318010728009553</v>
      </c>
      <c r="F7" s="20">
        <f>IF(J7=0,0%,IF(N7=0,100%,J7/N7-1))</f>
        <v>0</v>
      </c>
      <c r="G7" s="20">
        <f>IF(K7=0,0%,IF(O7=H70,100%,K7/O7-1))</f>
        <v>0</v>
      </c>
      <c r="H7" s="68">
        <f>VLOOKUP(A7,הכשרה!A:G,4,0)+VLOOKUP('תפוקה מצטברת מול אשתקד'!A7,מגדל!A:G,4,0)+VLOOKUP('תפוקה מצטברת מול אשתקד'!A7,מנורה!A:G,4,0)+VLOOKUP('תפוקה מצטברת מול אשתקד'!A7,איילון!A:G,4,0)+VLOOKUP('תפוקה מצטברת מול אשתקד'!A7,הראל!A:G,4,0)+VLOOKUP('תפוקה מצטברת מול אשתקד'!A7,הפניקס!A:G,4,0)+VLOOKUP('תפוקה מצטברת מול אשתקד'!A7,כלל!A:G,4,0)+VLOOKUP('תפוקה מצטברת מול אשתקד'!A7,מור!A:G,4,0)+VLOOKUP('תפוקה מצטברת מול אשתקד'!A7,'אלטשולר שחם'!A:G,4,0)+VLOOKUP('תפוקה מצטברת מול אשתקד'!A7,'מדיהו '!A:G,4,0)+VLOOKUP('תפוקה מצטברת מול אשתקד'!A7,'אנליסט '!A:G,4,0)+VLOOKUP('תפוקה מצטברת מול אשתקד'!A7,'מיטב דש'!A:G,4,0)+VLOOKUP('תפוקה מצטברת מול אשתקד'!A7,אינפניטי!A:G,4,0)</f>
        <v>0</v>
      </c>
      <c r="I7" s="68">
        <f>VLOOKUP(A7,הכשרה!A:G,5,0)+VLOOKUP('תפוקה מצטברת מול אשתקד'!A7,מגדל!A:G,5,0)+VLOOKUP('תפוקה מצטברת מול אשתקד'!A7,מנורה!A:G,5,0)+VLOOKUP('תפוקה מצטברת מול אשתקד'!A7,איילון!A:G,5,0)+VLOOKUP('תפוקה מצטברת מול אשתקד'!A7,הראל!A:G,5,0)+VLOOKUP('תפוקה מצטברת מול אשתקד'!A7,הפניקס!A:G,5,0)+VLOOKUP('תפוקה מצטברת מול אשתקד'!A7,כלל!A:G,5,0)+VLOOKUP('תפוקה מצטברת מול אשתקד'!A7,מור!A:G,5,0)+VLOOKUP('תפוקה מצטברת מול אשתקד'!A7,'אלטשולר שחם'!A:G,5,0)+VLOOKUP('תפוקה מצטברת מול אשתקד'!A7,'מדיהו '!A:G,5,0)+VLOOKUP('תפוקה מצטברת מול אשתקד'!A7,'אנליסט '!A:G,5,0)+VLOOKUP('תפוקה מצטברת מול אשתקד'!A7,'מיטב דש'!A:G,5,0)+VLOOKUP('תפוקה מצטברת מול אשתקד'!A7,אינפניטי!A:G,5,0)</f>
        <v>394.07</v>
      </c>
      <c r="J7" s="68">
        <f>VLOOKUP(A7,הכשרה!A:G,6,0)+VLOOKUP('תפוקה מצטברת מול אשתקד'!A7,מגדל!A:G,6,0)+VLOOKUP('תפוקה מצטברת מול אשתקד'!A7,מנורה!A:G,6,0)+VLOOKUP('תפוקה מצטברת מול אשתקד'!A7,איילון!A:G,6,0)+VLOOKUP(A7,הראל!A:G,6,0)+VLOOKUP('תפוקה מצטברת מול אשתקד'!A7,הפניקס!A:G,6,0)+VLOOKUP('תפוקה מצטברת מול אשתקד'!A7,כלל!A:G,6,0)+VLOOKUP('תפוקה מצטברת מול אשתקד'!A7,מור!A:G,6,0)+VLOOKUP('תפוקה מצטברת מול אשתקד'!A7,'אלטשולר שחם'!A:G,6,0)+VLOOKUP('תפוקה מצטברת מול אשתקד'!A7,'מדיהו '!A:G,6,0)+VLOOKUP('תפוקה מצטברת מול אשתקד'!A7,'אנליסט '!A:G,6,0)+VLOOKUP('תפוקה מצטברת מול אשתקד'!A7,'מיטב דש'!A:G,6,0)+VLOOKUP('תפוקה מצטברת מול אשתקד'!A7,אינפניטי!A:G,6,0)</f>
        <v>0</v>
      </c>
      <c r="K7" s="68">
        <f>VLOOKUP(A7,הכשרה!A:G,7,0)+VLOOKUP('תפוקה מצטברת מול אשתקד'!A7,מגדל!A:G,7,0)+VLOOKUP('תפוקה מצטברת מול אשתקד'!A7,מנורה!A:G,7,0)+VLOOKUP('תפוקה מצטברת מול אשתקד'!A7,איילון!A:G,7,0)+VLOOKUP('תפוקה מצטברת מול אשתקד'!A7,הראל!A:G,7,0)+VLOOKUP('תפוקה מצטברת מול אשתקד'!A7,הפניקס!A:G,7,0)+VLOOKUP('תפוקה מצטברת מול אשתקד'!A7,כלל!A:G,7,0)+VLOOKUP('תפוקה מצטברת מול אשתקד'!A7,מור!A:G,7,0)+VLOOKUP('תפוקה מצטברת מול אשתקד'!A7,'אלטשולר שחם'!A:G,7,0)+VLOOKUP('תפוקה מצטברת מול אשתקד'!A7,'מדיהו '!A:K,7,0)+VLOOKUP(A7,'אנליסט '!A:G,7,0)+VLOOKUP('תפוקה מצטברת מול אשתקד'!A7,'מיטב דש'!A:G,7,0)+VLOOKUP('תפוקה מצטברת מול אשתקד'!A7,אינפניטי!A:G,7,0)</f>
        <v>0</v>
      </c>
      <c r="L7" s="12">
        <f>VLOOKUP(A7,הכשרה!A:K,8,0)+VLOOKUP('תפוקה מצטברת מול אשתקד'!A7,מגדל!A:K,8,0)+VLOOKUP('תפוקה מצטברת מול אשתקד'!A7,מנורה!A:K,8,0)+VLOOKUP('תפוקה מצטברת מול אשתקד'!A7,איילון!A:K,8,0)+VLOOKUP('תפוקה מצטברת מול אשתקד'!A7,הראל!A:K,8,0)+VLOOKUP('תפוקה מצטברת מול אשתקד'!A7,הפניקס!A:K,8,0)+VLOOKUP('תפוקה מצטברת מול אשתקד'!A7,כלל!A:K,8,0)+VLOOKUP('תפוקה מצטברת מול אשתקד'!A7,מור!A:K,8,0)+VLOOKUP('תפוקה מצטברת מול אשתקד'!A7,'אלטשולר שחם'!A:K,8,0)+VLOOKUP('תפוקה מצטברת מול אשתקד'!A7,'מדיהו '!A:K,8,0)+VLOOKUP('תפוקה מצטברת מול אשתקד'!A7,'אנליסט '!A:K,8,0)+VLOOKUP('תפוקה מצטברת מול אשתקד'!A7,'מיטב דש'!A:K,8,0)+VLOOKUP('תפוקה מצטברת מול אשתקד'!A7,אינפניטי!A:K,8,0)</f>
        <v>0</v>
      </c>
      <c r="M7" s="12">
        <f>VLOOKUP(A7,הכשרה!A:K,9,0)+VLOOKUP('תפוקה מצטברת מול אשתקד'!A7,מגדל!A:K,9,0)+VLOOKUP('תפוקה מצטברת מול אשתקד'!A7,מנורה!A:K,9,0)+VLOOKUP('תפוקה מצטברת מול אשתקד'!A7,איילון!A:K,9,0)+VLOOKUP('תפוקה מצטברת מול אשתקד'!A7,הראל!A:K,9,0)+VLOOKUP('תפוקה מצטברת מול אשתקד'!A7,הפניקס!A:K,9,0)+VLOOKUP('תפוקה מצטברת מול אשתקד'!A7,כלל!A:K,9,0)+VLOOKUP('תפוקה מצטברת מול אשתקד'!A7,מור!A:K,9,0)+VLOOKUP('תפוקה מצטברת מול אשתקד'!A7,'אלטשולר שחם'!A:K,9,0)+VLOOKUP('תפוקה מצטברת מול אשתקד'!A7,'מדיהו '!A:K,9,0)+VLOOKUP('תפוקה מצטברת מול אשתקד'!A7,'אנליסט '!A:K,9,0)+VLOOKUP('תפוקה מצטברת מול אשתקד'!A7,'מיטב דש'!A:K,9,0)+VLOOKUP('תפוקה מצטברת מול אשתקד'!A7,אינפניטי!A:K,9,0)</f>
        <v>762.49</v>
      </c>
      <c r="N7" s="12">
        <f>VLOOKUP(A7,הכשרה!A:K,10,0)+VLOOKUP('תפוקה מצטברת מול אשתקד'!A7,מגדל!A:K,10,0)+VLOOKUP('תפוקה מצטברת מול אשתקד'!A7,מנורה!A:K,10,0)+VLOOKUP('תפוקה מצטברת מול אשתקד'!A7,איילון!A:K,10,0)+VLOOKUP('תפוקה מצטברת מול אשתקד'!A7,הראל!A:K,10,0)+VLOOKUP('תפוקה מצטברת מול אשתקד'!A7,הפניקס!A:K,10,0)+VLOOKUP('תפוקה מצטברת מול אשתקד'!A7,כלל!A:K,10,0)+VLOOKUP('תפוקה מצטברת מול אשתקד'!A7,מור!A:K,10,0)+VLOOKUP('תפוקה מצטברת מול אשתקד'!A7,'אלטשולר שחם'!A:K,10,0)+VLOOKUP('תפוקה מצטברת מול אשתקד'!A7,'מדיהו '!A:K,10,0)+VLOOKUP('תפוקה מצטברת מול אשתקד'!A7,'אנליסט '!A:K,10,0)+VLOOKUP('תפוקה מצטברת מול אשתקד'!A7,'מיטב דש'!A:K,10,0)+VLOOKUP('תפוקה מצטברת מול אשתקד'!A7,אינפניטי!A:K,10,0)</f>
        <v>0</v>
      </c>
      <c r="O7" s="12">
        <f>VLOOKUP(A7,הכשרה!A:K,11,0)+VLOOKUP('תפוקה מצטברת מול אשתקד'!A7,מגדל!A:K,11,0)+VLOOKUP('תפוקה מצטברת מול אשתקד'!A7,מנורה!A:K,11,0)+VLOOKUP('תפוקה מצטברת מול אשתקד'!A7,איילון!A:K,11,0)+VLOOKUP('תפוקה מצטברת מול אשתקד'!A7,הראל!A:K,11,0)+VLOOKUP('תפוקה מצטברת מול אשתקד'!A7,הפניקס!A:K,11,0)+VLOOKUP('תפוקה מצטברת מול אשתקד'!A7,כלל!A:K,11,0)+VLOOKUP('תפוקה מצטברת מול אשתקד'!A7,מור!A:K,11,0)+VLOOKUP('תפוקה מצטברת מול אשתקד'!A7,'אלטשולר שחם'!A:K,11,0)+VLOOKUP('תפוקה מצטברת מול אשתקד'!A7,'מדיהו '!A:K,11,0)+VLOOKUP('תפוקה מצטברת מול אשתקד'!A7,'אנליסט '!A:K,11,0)+VLOOKUP('תפוקה מצטברת מול אשתקד'!A7,'מיטב דש'!A:K,11,0)+VLOOKUP('תפוקה מצטברת מול אשתקד'!A7,אינפניטי!A:K,11,0)</f>
        <v>0</v>
      </c>
    </row>
    <row r="8" spans="1:16" ht="26.45" customHeight="1" thickBot="1" x14ac:dyDescent="0.3">
      <c r="A8" s="143" t="s">
        <v>3</v>
      </c>
      <c r="B8" s="142"/>
      <c r="C8" s="142"/>
      <c r="D8" s="147">
        <f t="shared" si="0"/>
        <v>28.730436585221295</v>
      </c>
      <c r="E8" s="147">
        <f t="shared" si="1"/>
        <v>-0.24073705920543575</v>
      </c>
      <c r="F8" s="147" t="e">
        <f t="shared" si="2"/>
        <v>#VALUE!</v>
      </c>
      <c r="G8" s="20">
        <f>IF(K8=0,0%,IF(O8=H71,100%,K8/O8-1))</f>
        <v>26.051120351839568</v>
      </c>
      <c r="H8" s="145">
        <f>VLOOKUP(A8,הכשרה!A:G,4,0)+VLOOKUP('תפוקה מצטברת מול אשתקד'!A8,מגדל!A:G,4,0)+VLOOKUP('תפוקה מצטברת מול אשתקד'!A8,מנורה!A:G,4,0)+VLOOKUP('תפוקה מצטברת מול אשתקד'!A8,איילון!A:G,4,0)+VLOOKUP('תפוקה מצטברת מול אשתקד'!A8,הראל!A:G,4,0)+VLOOKUP('תפוקה מצטברת מול אשתקד'!A8,הפניקס!A:G,4,0)+VLOOKUP('תפוקה מצטברת מול אשתקד'!A8,כלל!A:G,4,0)+VLOOKUP('תפוקה מצטברת מול אשתקד'!A8,מור!A:G,4,0)+VLOOKUP('תפוקה מצטברת מול אשתקד'!A8,'אלטשולר שחם'!A:G,4,0)+VLOOKUP('תפוקה מצטברת מול אשתקד'!A8,'מדיהו '!A:G,4,0)+VLOOKUP('תפוקה מצטברת מול אשתקד'!A8,'אנליסט '!A:G,4,0)+VLOOKUP('תפוקה מצטברת מול אשתקד'!A8,'מיטב דש'!A:G,4,0)+VLOOKUP('תפוקה מצטברת מול אשתקד'!A8,אינפניטי!A:G,4,0)</f>
        <v>4523633.35603307</v>
      </c>
      <c r="I8" s="230">
        <f>SUM(I3:I7)</f>
        <v>101644.52843233882</v>
      </c>
      <c r="J8" s="230" t="e">
        <f>SUM(J3:J7)</f>
        <v>#VALUE!</v>
      </c>
      <c r="K8" s="230">
        <f t="shared" ref="K8:O8" si="3">SUM(K3:K7)</f>
        <v>12763310.189999999</v>
      </c>
      <c r="L8" s="230">
        <f t="shared" si="3"/>
        <v>152154.958877453</v>
      </c>
      <c r="M8" s="230">
        <f t="shared" si="3"/>
        <v>133872.63222141252</v>
      </c>
      <c r="N8" s="230">
        <f t="shared" si="3"/>
        <v>973522.99530300824</v>
      </c>
      <c r="O8" s="230">
        <f t="shared" si="3"/>
        <v>471821.86999999988</v>
      </c>
    </row>
    <row r="9" spans="1:16" ht="15.75" customHeight="1" x14ac:dyDescent="0.25">
      <c r="A9" s="28" t="s">
        <v>4</v>
      </c>
      <c r="B9" s="27" t="s">
        <v>116</v>
      </c>
      <c r="C9" s="28" t="s">
        <v>114</v>
      </c>
      <c r="D9" s="120">
        <f t="shared" si="0"/>
        <v>7.3016090084670946</v>
      </c>
      <c r="E9" s="120">
        <f t="shared" si="1"/>
        <v>-0.66334164588528677</v>
      </c>
      <c r="F9" s="120">
        <f t="shared" si="2"/>
        <v>0</v>
      </c>
      <c r="G9" s="120">
        <f t="shared" ref="G9:G14" si="4">IF(K9=0,0%,IF(O9=H32,100%,K9/O9-1))</f>
        <v>0</v>
      </c>
      <c r="H9" s="68">
        <f>VLOOKUP(A9,הכשרה!A:G,4,0)+VLOOKUP('תפוקה מצטברת מול אשתקד'!A9,מגדל!A:G,4,0)+VLOOKUP('תפוקה מצטברת מול אשתקד'!A9,מנורה!A:G,4,0)+VLOOKUP('תפוקה מצטברת מול אשתקד'!A9,איילון!A:G,4,0)+VLOOKUP('תפוקה מצטברת מול אשתקד'!A9,הראל!A:G,4,0)+VLOOKUP('תפוקה מצטברת מול אשתקד'!A9,הפניקס!A:G,4,0)+VLOOKUP('תפוקה מצטברת מול אשתקד'!A9,כלל!A:G,4,0)+VLOOKUP('תפוקה מצטברת מול אשתקד'!A9,מור!A:G,4,0)+VLOOKUP('תפוקה מצטברת מול אשתקד'!A9,'אלטשולר שחם'!A:G,4,0)+VLOOKUP('תפוקה מצטברת מול אשתקד'!A9,'מדיהו '!A:G,4,0)+VLOOKUP('תפוקה מצטברת מול אשתקד'!A9,'אנליסט '!A:G,4,0)+VLOOKUP('תפוקה מצטברת מול אשתקד'!A9,'מיטב דש'!A:G,4,0)+VLOOKUP('תפוקה מצטברת מול אשתקד'!A9,אינפניטי!A:G,4,0)</f>
        <v>20048.622039450507</v>
      </c>
      <c r="I9" s="68">
        <f>VLOOKUP(A9,הכשרה!A:G,5,0)+VLOOKUP('תפוקה מצטברת מול אשתקד'!A9,מגדל!A:G,5,0)+VLOOKUP('תפוקה מצטברת מול אשתקד'!A9,מנורה!A:G,5,0)+VLOOKUP('תפוקה מצטברת מול אשתקד'!A9,איילון!A:G,5,0)+VLOOKUP('תפוקה מצטברת מול אשתקד'!A9,הראל!A:G,5,0)+VLOOKUP('תפוקה מצטברת מול אשתקד'!A9,הפניקס!A:G,5,0)+VLOOKUP('תפוקה מצטברת מול אשתקד'!A9,כלל!A:G,5,0)+VLOOKUP('תפוקה מצטברת מול אשתקד'!A9,מור!A:G,5,0)+VLOOKUP('תפוקה מצטברת מול אשתקד'!A9,'אלטשולר שחם'!A:G,5,0)+VLOOKUP('תפוקה מצטברת מול אשתקד'!A9,'מדיהו '!A:G,5,0)+VLOOKUP('תפוקה מצטברת מול אשתקד'!A9,'אנליסט '!A:G,5,0)+VLOOKUP('תפוקה מצטברת מול אשתקד'!A9,'מיטב דש'!A:G,5,0)+VLOOKUP('תפוקה מצטברת מול אשתקד'!A9,אינפניטי!A:G,5,0)</f>
        <v>27</v>
      </c>
      <c r="J9" s="68">
        <f>VLOOKUP(A9,הכשרה!A:G,6,0)+VLOOKUP('תפוקה מצטברת מול אשתקד'!A9,מגדל!A:G,6,0)+VLOOKUP('תפוקה מצטברת מול אשתקד'!A9,מנורה!A:G,6,0)+VLOOKUP('תפוקה מצטברת מול אשתקד'!A9,איילון!A:G,6,0)+VLOOKUP(A9,הראל!A:G,6,0)+VLOOKUP('תפוקה מצטברת מול אשתקד'!A9,הפניקס!A:G,6,0)+VLOOKUP('תפוקה מצטברת מול אשתקד'!A9,כלל!A:G,6,0)+VLOOKUP('תפוקה מצטברת מול אשתקד'!A9,מור!A:G,6,0)+VLOOKUP('תפוקה מצטברת מול אשתקד'!A9,'אלטשולר שחם'!A:G,6,0)+VLOOKUP('תפוקה מצטברת מול אשתקד'!A9,'מדיהו '!A:G,6,0)+VLOOKUP('תפוקה מצטברת מול אשתקד'!A9,'אנליסט '!A:G,6,0)+VLOOKUP('תפוקה מצטברת מול אשתקד'!A9,'מיטב דש'!A:G,6,0)+VLOOKUP('תפוקה מצטברת מול אשתקד'!A9,אינפניטי!A:G,6,0)</f>
        <v>0</v>
      </c>
      <c r="K9" s="68">
        <f>VLOOKUP(A9,הכשרה!A:G,7,0)+VLOOKUP('תפוקה מצטברת מול אשתקד'!A9,מגדל!A:G,7,0)+VLOOKUP('תפוקה מצטברת מול אשתקד'!A9,מנורה!A:G,7,0)+VLOOKUP('תפוקה מצטברת מול אשתקד'!A9,איילון!A:G,7,0)+VLOOKUP('תפוקה מצטברת מול אשתקד'!A9,הראל!A:G,7,0)+VLOOKUP('תפוקה מצטברת מול אשתקד'!A9,הפניקס!A:G,7,0)+VLOOKUP('תפוקה מצטברת מול אשתקד'!A9,כלל!A:G,7,0)+VLOOKUP('תפוקה מצטברת מול אשתקד'!A9,מור!A:G,7,0)+VLOOKUP('תפוקה מצטברת מול אשתקד'!A9,'אלטשולר שחם'!A:G,7,0)+VLOOKUP('תפוקה מצטברת מול אשתקד'!A9,'מדיהו '!A:K,7,0)+VLOOKUP(A9,'אנליסט '!A:G,7,0)+VLOOKUP('תפוקה מצטברת מול אשתקד'!A9,'מיטב דש'!A:G,7,0)+VLOOKUP('תפוקה מצטברת מול אשתקד'!A9,אינפניטי!A:G,7,0)</f>
        <v>0</v>
      </c>
      <c r="L9" s="12">
        <f>VLOOKUP(A9,הכשרה!A:K,8,0)+VLOOKUP('תפוקה מצטברת מול אשתקד'!A9,מגדל!A:K,8,0)+VLOOKUP('תפוקה מצטברת מול אשתקד'!A9,מנורה!A:K,8,0)+VLOOKUP('תפוקה מצטברת מול אשתקד'!A9,איילון!A:K,8,0)+VLOOKUP('תפוקה מצטברת מול אשתקד'!A9,הראל!A:K,8,0)+VLOOKUP('תפוקה מצטברת מול אשתקד'!A9,הפניקס!A:K,8,0)+VLOOKUP('תפוקה מצטברת מול אשתקד'!A9,כלל!A:K,8,0)+VLOOKUP('תפוקה מצטברת מול אשתקד'!A9,מור!A:K,8,0)+VLOOKUP('תפוקה מצטברת מול אשתקד'!A9,'אלטשולר שחם'!A:K,8,0)+VLOOKUP('תפוקה מצטברת מול אשתקד'!A9,'מדיהו '!A:K,8,0)+VLOOKUP('תפוקה מצטברת מול אשתקד'!A9,'אנליסט '!A:K,8,0)+VLOOKUP('תפוקה מצטברת מול אשתקד'!A9,'מיטב דש'!A:K,8,0)+VLOOKUP('תפוקה מצטברת מול אשתקד'!A9,אינפניטי!A:K,8,0)</f>
        <v>2415.028462434479</v>
      </c>
      <c r="M9" s="12">
        <f>VLOOKUP(A9,הכשרה!A:K,9,0)+VLOOKUP('תפוקה מצטברת מול אשתקד'!A9,מגדל!A:K,9,0)+VLOOKUP('תפוקה מצטברת מול אשתקד'!A9,מנורה!A:K,9,0)+VLOOKUP('תפוקה מצטברת מול אשתקד'!A9,איילון!A:K,9,0)+VLOOKUP('תפוקה מצטברת מול אשתקד'!A9,הראל!A:K,9,0)+VLOOKUP('תפוקה מצטברת מול אשתקד'!A9,הפניקס!A:K,9,0)+VLOOKUP('תפוקה מצטברת מול אשתקד'!A9,כלל!A:K,9,0)+VLOOKUP('תפוקה מצטברת מול אשתקד'!A9,מור!A:K,9,0)+VLOOKUP('תפוקה מצטברת מול אשתקד'!A9,'אלטשולר שחם'!A:K,9,0)+VLOOKUP('תפוקה מצטברת מול אשתקד'!A9,'מדיהו '!A:K,9,0)+VLOOKUP('תפוקה מצטברת מול אשתקד'!A9,'אנליסט '!A:K,9,0)+VLOOKUP('תפוקה מצטברת מול אשתקד'!A9,'מיטב דש'!A:K,9,0)+VLOOKUP('תפוקה מצטברת מול אשתקד'!A9,אינפניטי!A:K,9,0)</f>
        <v>80.2</v>
      </c>
      <c r="N9" s="12">
        <f>VLOOKUP(A9,הכשרה!A:K,10,0)+VLOOKUP('תפוקה מצטברת מול אשתקד'!A9,מגדל!A:K,10,0)+VLOOKUP('תפוקה מצטברת מול אשתקד'!A9,מנורה!A:K,10,0)+VLOOKUP('תפוקה מצטברת מול אשתקד'!A9,איילון!A:K,10,0)+VLOOKUP('תפוקה מצטברת מול אשתקד'!A9,הראל!A:K,10,0)+VLOOKUP('תפוקה מצטברת מול אשתקד'!A9,הפניקס!A:K,10,0)+VLOOKUP('תפוקה מצטברת מול אשתקד'!A9,כלל!A:K,10,0)+VLOOKUP('תפוקה מצטברת מול אשתקד'!A9,מור!A:K,10,0)+VLOOKUP('תפוקה מצטברת מול אשתקד'!A9,'אלטשולר שחם'!A:K,10,0)+VLOOKUP('תפוקה מצטברת מול אשתקד'!A9,'מדיהו '!A:K,10,0)+VLOOKUP('תפוקה מצטברת מול אשתקד'!A9,'אנליסט '!A:K,10,0)+VLOOKUP('תפוקה מצטברת מול אשתקד'!A9,'מיטב דש'!A:K,10,0)+VLOOKUP('תפוקה מצטברת מול אשתקד'!A9,אינפניטי!A:K,10,0)</f>
        <v>0</v>
      </c>
      <c r="O9" s="12">
        <f>VLOOKUP(A9,הכשרה!A:K,11,0)+VLOOKUP('תפוקה מצטברת מול אשתקד'!A9,מגדל!A:K,11,0)+VLOOKUP('תפוקה מצטברת מול אשתקד'!A9,מנורה!A:K,11,0)+VLOOKUP('תפוקה מצטברת מול אשתקד'!A9,איילון!A:K,11,0)+VLOOKUP('תפוקה מצטברת מול אשתקד'!A9,הראל!A:K,11,0)+VLOOKUP('תפוקה מצטברת מול אשתקד'!A9,הפניקס!A:K,11,0)+VLOOKUP('תפוקה מצטברת מול אשתקד'!A9,כלל!A:K,11,0)+VLOOKUP('תפוקה מצטברת מול אשתקד'!A9,מור!A:K,11,0)+VLOOKUP('תפוקה מצטברת מול אשתקד'!A9,'אלטשולר שחם'!A:K,11,0)+VLOOKUP('תפוקה מצטברת מול אשתקד'!A9,'מדיהו '!A:K,11,0)+VLOOKUP('תפוקה מצטברת מול אשתקד'!A9,'אנליסט '!A:K,11,0)+VLOOKUP('תפוקה מצטברת מול אשתקד'!A9,'מיטב דש'!A:K,11,0)+VLOOKUP('תפוקה מצטברת מול אשתקד'!A9,אינפניטי!A:K,11,0)</f>
        <v>0</v>
      </c>
    </row>
    <row r="10" spans="1:16" ht="15.75" customHeight="1" x14ac:dyDescent="0.25">
      <c r="A10" s="27" t="s">
        <v>5</v>
      </c>
      <c r="B10" s="27" t="s">
        <v>116</v>
      </c>
      <c r="C10" s="27" t="s">
        <v>114</v>
      </c>
      <c r="D10" s="20">
        <f t="shared" si="0"/>
        <v>-0.88955126308284727</v>
      </c>
      <c r="E10" s="20">
        <f t="shared" si="1"/>
        <v>1.5080716481649405</v>
      </c>
      <c r="F10" s="20">
        <f t="shared" si="2"/>
        <v>0</v>
      </c>
      <c r="G10" s="20">
        <f t="shared" si="4"/>
        <v>0</v>
      </c>
      <c r="H10" s="68">
        <f>VLOOKUP(A10,הכשרה!A:G,4,0)+VLOOKUP('תפוקה מצטברת מול אשתקד'!A10,מגדל!A:G,4,0)+VLOOKUP('תפוקה מצטברת מול אשתקד'!A10,מנורה!A:G,4,0)+VLOOKUP('תפוקה מצטברת מול אשתקד'!A10,איילון!A:G,4,0)+VLOOKUP('תפוקה מצטברת מול אשתקד'!A10,הראל!A:G,4,0)+VLOOKUP('תפוקה מצטברת מול אשתקד'!A10,הפניקס!A:G,4,0)+VLOOKUP('תפוקה מצטברת מול אשתקד'!A10,כלל!A:G,4,0)+VLOOKUP('תפוקה מצטברת מול אשתקד'!A10,מור!A:G,4,0)+VLOOKUP('תפוקה מצטברת מול אשתקד'!A10,'אלטשולר שחם'!A:G,4,0)+VLOOKUP('תפוקה מצטברת מול אשתקד'!A10,'מדיהו '!A:G,4,0)+VLOOKUP('תפוקה מצטברת מול אשתקד'!A10,'אנליסט '!A:G,4,0)+VLOOKUP('תפוקה מצטברת מול אשתקד'!A10,'מיטב דש'!A:G,4,0)+VLOOKUP('תפוקה מצטברת מול אשתקד'!A10,אינפניטי!A:G,4,0)</f>
        <v>-1626.9634236668799</v>
      </c>
      <c r="I10" s="68">
        <f>VLOOKUP(A10,הכשרה!A:G,5,0)+VLOOKUP('תפוקה מצטברת מול אשתקד'!A10,מגדל!A:G,5,0)+VLOOKUP('תפוקה מצטברת מול אשתקד'!A10,מנורה!A:G,5,0)+VLOOKUP('תפוקה מצטברת מול אשתקד'!A10,איילון!A:G,5,0)+VLOOKUP('תפוקה מצטברת מול אשתקד'!A10,הראל!A:G,5,0)+VLOOKUP('תפוקה מצטברת מול אשתקד'!A10,הפניקס!A:G,5,0)+VLOOKUP('תפוקה מצטברת מול אשתקד'!A10,כלל!A:G,5,0)+VLOOKUP('תפוקה מצטברת מול אשתקד'!A10,מור!A:G,5,0)+VLOOKUP('תפוקה מצטברת מול אשתקד'!A10,'אלטשולר שחם'!A:G,5,0)+VLOOKUP('תפוקה מצטברת מול אשתקד'!A10,'מדיהו '!A:G,5,0)+VLOOKUP('תפוקה מצטברת מול אשתקד'!A10,'אנליסט '!A:G,5,0)+VLOOKUP('תפוקה מצטברת מול אשתקד'!A10,'מיטב דש'!A:G,5,0)+VLOOKUP('תפוקה מצטברת מול אשתקד'!A10,אינפניטי!A:G,5,0)</f>
        <v>60333.979810230681</v>
      </c>
      <c r="J10" s="68">
        <f>VLOOKUP(A10,הכשרה!A:G,6,0)+VLOOKUP('תפוקה מצטברת מול אשתקד'!A10,מגדל!A:G,6,0)+VLOOKUP('תפוקה מצטברת מול אשתקד'!A10,מנורה!A:G,6,0)+VLOOKUP('תפוקה מצטברת מול אשתקד'!A10,איילון!A:G,6,0)+VLOOKUP(A10,הראל!A:G,6,0)+VLOOKUP('תפוקה מצטברת מול אשתקד'!A10,הפניקס!A:G,6,0)+VLOOKUP('תפוקה מצטברת מול אשתקד'!A10,כלל!A:G,6,0)+VLOOKUP('תפוקה מצטברת מול אשתקד'!A10,מור!A:G,6,0)+VLOOKUP('תפוקה מצטברת מול אשתקד'!A10,'אלטשולר שחם'!A:G,6,0)+VLOOKUP('תפוקה מצטברת מול אשתקד'!A10,'מדיהו '!A:G,6,0)+VLOOKUP('תפוקה מצטברת מול אשתקד'!A10,'אנליסט '!A:G,6,0)+VLOOKUP('תפוקה מצטברת מול אשתקד'!A10,'מיטב דש'!A:G,6,0)+VLOOKUP('תפוקה מצטברת מול אשתקד'!A10,אינפניטי!A:G,6,0)</f>
        <v>0</v>
      </c>
      <c r="K10" s="68">
        <f>VLOOKUP(A10,הכשרה!A:G,7,0)+VLOOKUP('תפוקה מצטברת מול אשתקד'!A10,מגדל!A:G,7,0)+VLOOKUP('תפוקה מצטברת מול אשתקד'!A10,מנורה!A:G,7,0)+VLOOKUP('תפוקה מצטברת מול אשתקד'!A10,איילון!A:G,7,0)+VLOOKUP('תפוקה מצטברת מול אשתקד'!A10,הראל!A:G,7,0)+VLOOKUP('תפוקה מצטברת מול אשתקד'!A10,הפניקס!A:G,7,0)+VLOOKUP('תפוקה מצטברת מול אשתקד'!A10,כלל!A:G,7,0)+VLOOKUP('תפוקה מצטברת מול אשתקד'!A10,מור!A:G,7,0)+VLOOKUP('תפוקה מצטברת מול אשתקד'!A10,'אלטשולר שחם'!A:G,7,0)+VLOOKUP('תפוקה מצטברת מול אשתקד'!A10,'מדיהו '!A:K,7,0)+VLOOKUP(A10,'אנליסט '!A:G,7,0)+VLOOKUP('תפוקה מצטברת מול אשתקד'!A10,'מיטב דש'!A:G,7,0)+VLOOKUP('תפוקה מצטברת מול אשתקד'!A10,אינפניטי!A:G,7,0)</f>
        <v>0</v>
      </c>
      <c r="L10" s="12">
        <f>VLOOKUP(A10,הכשרה!A:K,8,0)+VLOOKUP('תפוקה מצטברת מול אשתקד'!A10,מגדל!A:K,8,0)+VLOOKUP('תפוקה מצטברת מול אשתקד'!A10,מנורה!A:K,8,0)+VLOOKUP('תפוקה מצטברת מול אשתקד'!A10,איילון!A:K,8,0)+VLOOKUP('תפוקה מצטברת מול אשתקד'!A10,הראל!A:K,8,0)+VLOOKUP('תפוקה מצטברת מול אשתקד'!A10,הפניקס!A:K,8,0)+VLOOKUP('תפוקה מצטברת מול אשתקד'!A10,כלל!A:K,8,0)+VLOOKUP('תפוקה מצטברת מול אשתקד'!A10,מור!A:K,8,0)+VLOOKUP('תפוקה מצטברת מול אשתקד'!A10,'אלטשולר שחם'!A:K,8,0)+VLOOKUP('תפוקה מצטברת מול אשתקד'!A10,'מדיהו '!A:K,8,0)+VLOOKUP('תפוקה מצטברת מול אשתקד'!A10,'אנליסט '!A:K,8,0)+VLOOKUP('תפוקה מצטברת מול אשתקד'!A10,'מיטב דש'!A:K,8,0)+VLOOKUP('תפוקה מצטברת מול אשתקד'!A10,אינפניטי!A:K,8,0)</f>
        <v>-14730.484649066299</v>
      </c>
      <c r="M10" s="12">
        <f>VLOOKUP(A10,הכשרה!A:K,9,0)+VLOOKUP('תפוקה מצטברת מול אשתקד'!A10,מגדל!A:K,9,0)+VLOOKUP('תפוקה מצטברת מול אשתקד'!A10,מנורה!A:K,9,0)+VLOOKUP('תפוקה מצטברת מול אשתקד'!A10,איילון!A:K,9,0)+VLOOKUP('תפוקה מצטברת מול אשתקד'!A10,הראל!A:K,9,0)+VLOOKUP('תפוקה מצטברת מול אשתקד'!A10,הפניקס!A:K,9,0)+VLOOKUP('תפוקה מצטברת מול אשתקד'!A10,כלל!A:K,9,0)+VLOOKUP('תפוקה מצטברת מול אשתקד'!A10,מור!A:K,9,0)+VLOOKUP('תפוקה מצטברת מול אשתקד'!A10,'אלטשולר שחם'!A:K,9,0)+VLOOKUP('תפוקה מצטברת מול אשתקד'!A10,'מדיהו '!A:K,9,0)+VLOOKUP('תפוקה מצטברת מול אשתקד'!A10,'אנליסט '!A:K,9,0)+VLOOKUP('תפוקה מצטברת מול אשתקד'!A10,'מיטב דש'!A:K,9,0)+VLOOKUP('תפוקה מצטברת מול אשתקד'!A10,אינפניטי!A:K,9,0)</f>
        <v>24055.923543641478</v>
      </c>
      <c r="N10" s="12">
        <f>VLOOKUP(A10,הכשרה!A:K,10,0)+VLOOKUP('תפוקה מצטברת מול אשתקד'!A10,מגדל!A:K,10,0)+VLOOKUP('תפוקה מצטברת מול אשתקד'!A10,מנורה!A:K,10,0)+VLOOKUP('תפוקה מצטברת מול אשתקד'!A10,איילון!A:K,10,0)+VLOOKUP('תפוקה מצטברת מול אשתקד'!A10,הראל!A:K,10,0)+VLOOKUP('תפוקה מצטברת מול אשתקד'!A10,הפניקס!A:K,10,0)+VLOOKUP('תפוקה מצטברת מול אשתקד'!A10,כלל!A:K,10,0)+VLOOKUP('תפוקה מצטברת מול אשתקד'!A10,מור!A:K,10,0)+VLOOKUP('תפוקה מצטברת מול אשתקד'!A10,'אלטשולר שחם'!A:K,10,0)+VLOOKUP('תפוקה מצטברת מול אשתקד'!A10,'מדיהו '!A:K,10,0)+VLOOKUP('תפוקה מצטברת מול אשתקד'!A10,'אנליסט '!A:K,10,0)+VLOOKUP('תפוקה מצטברת מול אשתקד'!A10,'מיטב דש'!A:K,10,0)+VLOOKUP('תפוקה מצטברת מול אשתקד'!A10,אינפניטי!A:K,10,0)</f>
        <v>4895.04</v>
      </c>
      <c r="O10" s="12">
        <f>VLOOKUP(A10,הכשרה!A:K,11,0)+VLOOKUP('תפוקה מצטברת מול אשתקד'!A10,מגדל!A:K,11,0)+VLOOKUP('תפוקה מצטברת מול אשתקד'!A10,מנורה!A:K,11,0)+VLOOKUP('תפוקה מצטברת מול אשתקד'!A10,איילון!A:K,11,0)+VLOOKUP('תפוקה מצטברת מול אשתקד'!A10,הראל!A:K,11,0)+VLOOKUP('תפוקה מצטברת מול אשתקד'!A10,הפניקס!A:K,11,0)+VLOOKUP('תפוקה מצטברת מול אשתקד'!A10,כלל!A:K,11,0)+VLOOKUP('תפוקה מצטברת מול אשתקד'!A10,מור!A:K,11,0)+VLOOKUP('תפוקה מצטברת מול אשתקד'!A10,'אלטשולר שחם'!A:K,11,0)+VLOOKUP('תפוקה מצטברת מול אשתקד'!A10,'מדיהו '!A:K,11,0)+VLOOKUP('תפוקה מצטברת מול אשתקד'!A10,'אנליסט '!A:K,11,0)+VLOOKUP('תפוקה מצטברת מול אשתקד'!A10,'מיטב דש'!A:K,11,0)+VLOOKUP('תפוקה מצטברת מול אשתקד'!A10,אינפניטי!A:K,11,0)</f>
        <v>8305.619999999999</v>
      </c>
    </row>
    <row r="11" spans="1:16" ht="15.75" customHeight="1" x14ac:dyDescent="0.25">
      <c r="A11" s="27" t="s">
        <v>6</v>
      </c>
      <c r="B11" s="27" t="s">
        <v>116</v>
      </c>
      <c r="C11" s="27" t="s">
        <v>114</v>
      </c>
      <c r="D11" s="20">
        <f t="shared" si="0"/>
        <v>-8.8019872886442556</v>
      </c>
      <c r="E11" s="20">
        <f t="shared" si="1"/>
        <v>-0.32122602652218935</v>
      </c>
      <c r="F11" s="20">
        <f t="shared" si="2"/>
        <v>1</v>
      </c>
      <c r="G11" s="20">
        <f t="shared" si="4"/>
        <v>-1.4522366788991685</v>
      </c>
      <c r="H11" s="68">
        <f>VLOOKUP(A11,הכשרה!A:G,4,0)+VLOOKUP('תפוקה מצטברת מול אשתקד'!A11,מגדל!A:G,4,0)+VLOOKUP('תפוקה מצטברת מול אשתקד'!A11,מנורה!A:G,4,0)+VLOOKUP('תפוקה מצטברת מול אשתקד'!A11,איילון!A:G,4,0)+VLOOKUP('תפוקה מצטברת מול אשתקד'!A11,הראל!A:G,4,0)+VLOOKUP('תפוקה מצטברת מול אשתקד'!A11,הפניקס!A:G,4,0)+VLOOKUP('תפוקה מצטברת מול אשתקד'!A11,כלל!A:G,4,0)+VLOOKUP('תפוקה מצטברת מול אשתקד'!A11,מור!A:G,4,0)+VLOOKUP('תפוקה מצטברת מול אשתקד'!A11,'אלטשולר שחם'!A:G,4,0)+VLOOKUP('תפוקה מצטברת מול אשתקד'!A11,'מדיהו '!A:G,4,0)+VLOOKUP('תפוקה מצטברת מול אשתקד'!A11,'אנליסט '!A:G,4,0)+VLOOKUP('תפוקה מצטברת מול אשתקד'!A11,'מיטב דש'!A:G,4,0)+VLOOKUP('תפוקה מצטברת מול אשתקד'!A11,אינפניטי!A:G,4,0)</f>
        <v>80636.952765292095</v>
      </c>
      <c r="I11" s="68">
        <f>VLOOKUP(A11,הכשרה!A:G,5,0)+VLOOKUP('תפוקה מצטברת מול אשתקד'!A11,מגדל!A:G,5,0)+VLOOKUP('תפוקה מצטברת מול אשתקד'!A11,מנורה!A:G,5,0)+VLOOKUP('תפוקה מצטברת מול אשתקד'!A11,איילון!A:G,5,0)+VLOOKUP('תפוקה מצטברת מול אשתקד'!A11,הראל!A:G,5,0)+VLOOKUP('תפוקה מצטברת מול אשתקד'!A11,הפניקס!A:G,5,0)+VLOOKUP('תפוקה מצטברת מול אשתקד'!A11,כלל!A:G,5,0)+VLOOKUP('תפוקה מצטברת מול אשתקד'!A11,מור!A:G,5,0)+VLOOKUP('תפוקה מצטברת מול אשתקד'!A11,'אלטשולר שחם'!A:G,5,0)+VLOOKUP('תפוקה מצטברת מול אשתקד'!A11,'מדיהו '!A:G,5,0)+VLOOKUP('תפוקה מצטברת מול אשתקד'!A11,'אנליסט '!A:G,5,0)+VLOOKUP('תפוקה מצטברת מול אשתקד'!A11,'מיטב דש'!A:G,5,0)+VLOOKUP('תפוקה מצטברת מול אשתקד'!A11,אינפניטי!A:G,5,0)</f>
        <v>2286.980928789405</v>
      </c>
      <c r="J11" s="68">
        <f>VLOOKUP(A11,הכשרה!A:G,6,0)+VLOOKUP('תפוקה מצטברת מול אשתקד'!A11,מגדל!A:G,6,0)+VLOOKUP('תפוקה מצטברת מול אשתקד'!A11,מנורה!A:G,6,0)+VLOOKUP('תפוקה מצטברת מול אשתקד'!A11,איילון!A:G,6,0)+VLOOKUP(A11,הראל!A:G,6,0)+VLOOKUP('תפוקה מצטברת מול אשתקד'!A11,הפניקס!A:G,6,0)+VLOOKUP('תפוקה מצטברת מול אשתקד'!A11,כלל!A:G,6,0)+VLOOKUP('תפוקה מצטברת מול אשתקד'!A11,מור!A:G,6,0)+VLOOKUP('תפוקה מצטברת מול אשתקד'!A11,'אלטשולר שחם'!A:G,6,0)+VLOOKUP('תפוקה מצטברת מול אשתקד'!A11,'מדיהו '!A:G,6,0)+VLOOKUP('תפוקה מצטברת מול אשתקד'!A11,'אנליסט '!A:G,6,0)+VLOOKUP('תפוקה מצטברת מול אשתקד'!A11,'מיטב דש'!A:G,6,0)+VLOOKUP('תפוקה מצטברת מול אשתקד'!A11,אינפניטי!A:G,6,0)</f>
        <v>275386.1628659346</v>
      </c>
      <c r="K11" s="68">
        <f>VLOOKUP(A11,הכשרה!A:G,7,0)+VLOOKUP('תפוקה מצטברת מול אשתקד'!A11,מגדל!A:G,7,0)+VLOOKUP('תפוקה מצטברת מול אשתקד'!A11,מנורה!A:G,7,0)+VLOOKUP('תפוקה מצטברת מול אשתקד'!A11,איילון!A:G,7,0)+VLOOKUP('תפוקה מצטברת מול אשתקד'!A11,הראל!A:G,7,0)+VLOOKUP('תפוקה מצטברת מול אשתקד'!A11,הפניקס!A:G,7,0)+VLOOKUP('תפוקה מצטברת מול אשתקד'!A11,כלל!A:G,7,0)+VLOOKUP('תפוקה מצטברת מול אשתקד'!A11,מור!A:G,7,0)+VLOOKUP('תפוקה מצטברת מול אשתקד'!A11,'אלטשולר שחם'!A:G,7,0)+VLOOKUP('תפוקה מצטברת מול אשתקד'!A11,'מדיהו '!A:K,7,0)+VLOOKUP(A11,'אנליסט '!A:G,7,0)+VLOOKUP('תפוקה מצטברת מול אשתקד'!A11,'מיטב דש'!A:G,7,0)+VLOOKUP('תפוקה מצטברת מול אשתקד'!A11,אינפניטי!A:G,7,0)</f>
        <v>413586.85</v>
      </c>
      <c r="L11" s="12">
        <f>VLOOKUP(A11,הכשרה!A:K,8,0)+VLOOKUP('תפוקה מצטברת מול אשתקד'!A11,מגדל!A:K,8,0)+VLOOKUP('תפוקה מצטברת מול אשתקד'!A11,מנורה!A:K,8,0)+VLOOKUP('תפוקה מצטברת מול אשתקד'!A11,איילון!A:K,8,0)+VLOOKUP('תפוקה מצטברת מול אשתקד'!A11,הראל!A:K,8,0)+VLOOKUP('תפוקה מצטברת מול אשתקד'!A11,הפניקס!A:K,8,0)+VLOOKUP('תפוקה מצטברת מול אשתקד'!A11,כלל!A:K,8,0)+VLOOKUP('תפוקה מצטברת מול אשתקד'!A11,מור!A:K,8,0)+VLOOKUP('תפוקה מצטברת מול אשתקד'!A11,'אלטשולר שחם'!A:K,8,0)+VLOOKUP('תפוקה מצטברת מול אשתקד'!A11,'מדיהו '!A:K,8,0)+VLOOKUP('תפוקה מצטברת מול אשתקד'!A11,'אנליסט '!A:K,8,0)+VLOOKUP('תפוקה מצטברת מול אשתקד'!A11,'מיטב דש'!A:K,8,0)+VLOOKUP('תפוקה מצטברת מול אשתקד'!A11,אינפניטי!A:K,8,0)</f>
        <v>-10335.43759839992</v>
      </c>
      <c r="M11" s="12">
        <f>VLOOKUP(A11,הכשרה!A:K,9,0)+VLOOKUP('תפוקה מצטברת מול אשתקד'!A11,מגדל!A:K,9,0)+VLOOKUP('תפוקה מצטברת מול אשתקד'!A11,מנורה!A:K,9,0)+VLOOKUP('תפוקה מצטברת מול אשתקד'!A11,איילון!A:K,9,0)+VLOOKUP('תפוקה מצטברת מול אשתקד'!A11,הראל!A:K,9,0)+VLOOKUP('תפוקה מצטברת מול אשתקד'!A11,הפניקס!A:K,9,0)+VLOOKUP('תפוקה מצטברת מול אשתקד'!A11,כלל!A:K,9,0)+VLOOKUP('תפוקה מצטברת מול אשתקד'!A11,מור!A:K,9,0)+VLOOKUP('תפוקה מצטברת מול אשתקד'!A11,'אלטשולר שחם'!A:K,9,0)+VLOOKUP('תפוקה מצטברת מול אשתקד'!A11,'מדיהו '!A:K,9,0)+VLOOKUP('תפוקה מצטברת מול אשתקד'!A11,'אנליסט '!A:K,9,0)+VLOOKUP('תפוקה מצטברת מול אשתקד'!A11,'מיטב דש'!A:K,9,0)+VLOOKUP('תפוקה מצטברת מול אשתקד'!A11,אינפניטי!A:K,9,0)</f>
        <v>3369.2819968798749</v>
      </c>
      <c r="N11" s="12">
        <f>VLOOKUP(A11,הכשרה!A:K,10,0)+VLOOKUP('תפוקה מצטברת מול אשתקד'!A11,מגדל!A:K,10,0)+VLOOKUP('תפוקה מצטברת מול אשתקד'!A11,מנורה!A:K,10,0)+VLOOKUP('תפוקה מצטברת מול אשתקד'!A11,איילון!A:K,10,0)+VLOOKUP('תפוקה מצטברת מול אשתקד'!A11,הראל!A:K,10,0)+VLOOKUP('תפוקה מצטברת מול אשתקד'!A11,הפניקס!A:K,10,0)+VLOOKUP('תפוקה מצטברת מול אשתקד'!A11,כלל!A:K,10,0)+VLOOKUP('תפוקה מצטברת מול אשתקד'!A11,מור!A:K,10,0)+VLOOKUP('תפוקה מצטברת מול אשתקד'!A11,'אלטשולר שחם'!A:K,10,0)+VLOOKUP('תפוקה מצטברת מול אשתקד'!A11,'מדיהו '!A:K,10,0)+VLOOKUP('תפוקה מצטברת מול אשתקד'!A11,'אנליסט '!A:K,10,0)+VLOOKUP('תפוקה מצטברת מול אשתקד'!A11,'מיטב דש'!A:K,10,0)+VLOOKUP('תפוקה מצטברת מול אשתקד'!A11,אינפניטי!A:K,10,0)</f>
        <v>0</v>
      </c>
      <c r="O11" s="12">
        <f>VLOOKUP(A11,הכשרה!A:K,11,0)+VLOOKUP('תפוקה מצטברת מול אשתקד'!A11,מגדל!A:K,11,0)+VLOOKUP('תפוקה מצטברת מול אשתקד'!A11,מנורה!A:K,11,0)+VLOOKUP('תפוקה מצטברת מול אשתקד'!A11,איילון!A:K,11,0)+VLOOKUP('תפוקה מצטברת מול אשתקד'!A11,הראל!A:K,11,0)+VLOOKUP('תפוקה מצטברת מול אשתקד'!A11,הפניקס!A:K,11,0)+VLOOKUP('תפוקה מצטברת מול אשתקד'!A11,כלל!A:K,11,0)+VLOOKUP('תפוקה מצטברת מול אשתקד'!A11,מור!A:K,11,0)+VLOOKUP('תפוקה מצטברת מול אשתקד'!A11,'אלטשולר שחם'!A:K,11,0)+VLOOKUP('תפוקה מצטברת מול אשתקד'!A11,'מדיהו '!A:K,11,0)+VLOOKUP('תפוקה מצטברת מול אשתקד'!A11,'אנליסט '!A:K,11,0)+VLOOKUP('תפוקה מצטברת מול אשתקד'!A11,'מיטב דש'!A:K,11,0)+VLOOKUP('תפוקה מצטברת מול אשתקד'!A11,אינפניטי!A:K,11,0)</f>
        <v>-914536.28</v>
      </c>
    </row>
    <row r="12" spans="1:16" ht="15.75" customHeight="1" x14ac:dyDescent="0.25">
      <c r="A12" s="27" t="s">
        <v>7</v>
      </c>
      <c r="B12" s="27" t="s">
        <v>116</v>
      </c>
      <c r="C12" s="27" t="s">
        <v>114</v>
      </c>
      <c r="D12" s="20">
        <f t="shared" si="0"/>
        <v>0</v>
      </c>
      <c r="E12" s="20">
        <f t="shared" si="1"/>
        <v>-0.64626971052012228</v>
      </c>
      <c r="F12" s="20">
        <f t="shared" si="2"/>
        <v>0</v>
      </c>
      <c r="G12" s="20">
        <f t="shared" si="4"/>
        <v>0</v>
      </c>
      <c r="H12" s="68">
        <f>VLOOKUP(A12,הכשרה!A:G,4,0)+VLOOKUP('תפוקה מצטברת מול אשתקד'!A12,מגדל!A:G,4,0)+VLOOKUP('תפוקה מצטברת מול אשתקד'!A12,מנורה!A:G,4,0)+VLOOKUP('תפוקה מצטברת מול אשתקד'!A12,איילון!A:G,4,0)+VLOOKUP('תפוקה מצטברת מול אשתקד'!A12,הראל!A:G,4,0)+VLOOKUP('תפוקה מצטברת מול אשתקד'!A12,הפניקס!A:G,4,0)+VLOOKUP('תפוקה מצטברת מול אשתקד'!A12,כלל!A:G,4,0)+VLOOKUP('תפוקה מצטברת מול אשתקד'!A12,מור!A:G,4,0)+VLOOKUP('תפוקה מצטברת מול אשתקד'!A12,'אלטשולר שחם'!A:G,4,0)+VLOOKUP('תפוקה מצטברת מול אשתקד'!A12,'מדיהו '!A:G,4,0)+VLOOKUP('תפוקה מצטברת מול אשתקד'!A12,'אנליסט '!A:G,4,0)+VLOOKUP('תפוקה מצטברת מול אשתקד'!A12,'מיטב דש'!A:G,4,0)+VLOOKUP('תפוקה מצטברת מול אשתקד'!A12,אינפניטי!A:G,4,0)</f>
        <v>0</v>
      </c>
      <c r="I12" s="68">
        <f>VLOOKUP(A12,הכשרה!A:G,5,0)+VLOOKUP('תפוקה מצטברת מול אשתקד'!A12,מגדל!A:G,5,0)+VLOOKUP('תפוקה מצטברת מול אשתקד'!A12,מנורה!A:G,5,0)+VLOOKUP('תפוקה מצטברת מול אשתקד'!A12,איילון!A:G,5,0)+VLOOKUP('תפוקה מצטברת מול אשתקד'!A12,הראל!A:G,5,0)+VLOOKUP('תפוקה מצטברת מול אשתקד'!A12,הפניקס!A:G,5,0)+VLOOKUP('תפוקה מצטברת מול אשתקד'!A12,כלל!A:G,5,0)+VLOOKUP('תפוקה מצטברת מול אשתקד'!A12,מור!A:G,5,0)+VLOOKUP('תפוקה מצטברת מול אשתקד'!A12,'אלטשולר שחם'!A:G,5,0)+VLOOKUP('תפוקה מצטברת מול אשתקד'!A12,'מדיהו '!A:G,5,0)+VLOOKUP('תפוקה מצטברת מול אשתקד'!A12,'אנליסט '!A:G,5,0)+VLOOKUP('תפוקה מצטברת מול אשתקד'!A12,'מיטב דש'!A:G,5,0)+VLOOKUP('תפוקה מצטברת מול אשתקד'!A12,אינפניטי!A:G,5,0)</f>
        <v>60.12</v>
      </c>
      <c r="J12" s="68">
        <f>VLOOKUP(A12,הכשרה!A:G,6,0)+VLOOKUP('תפוקה מצטברת מול אשתקד'!A12,מגדל!A:G,6,0)+VLOOKUP('תפוקה מצטברת מול אשתקד'!A12,מנורה!A:G,6,0)+VLOOKUP('תפוקה מצטברת מול אשתקד'!A12,איילון!A:G,6,0)+VLOOKUP(A12,הראל!A:G,6,0)+VLOOKUP('תפוקה מצטברת מול אשתקד'!A12,הפניקס!A:G,6,0)+VLOOKUP('תפוקה מצטברת מול אשתקד'!A12,כלל!A:G,6,0)+VLOOKUP('תפוקה מצטברת מול אשתקד'!A12,מור!A:G,6,0)+VLOOKUP('תפוקה מצטברת מול אשתקד'!A12,'אלטשולר שחם'!A:G,6,0)+VLOOKUP('תפוקה מצטברת מול אשתקד'!A12,'מדיהו '!A:G,6,0)+VLOOKUP('תפוקה מצטברת מול אשתקד'!A12,'אנליסט '!A:G,6,0)+VLOOKUP('תפוקה מצטברת מול אשתקד'!A12,'מיטב דש'!A:G,6,0)+VLOOKUP('תפוקה מצטברת מול אשתקד'!A12,אינפניטי!A:G,6,0)</f>
        <v>0</v>
      </c>
      <c r="K12" s="68">
        <f>VLOOKUP(A12,הכשרה!A:G,7,0)+VLOOKUP('תפוקה מצטברת מול אשתקד'!A12,מגדל!A:G,7,0)+VLOOKUP('תפוקה מצטברת מול אשתקד'!A12,מנורה!A:G,7,0)+VLOOKUP('תפוקה מצטברת מול אשתקד'!A12,איילון!A:G,7,0)+VLOOKUP('תפוקה מצטברת מול אשתקד'!A12,הראל!A:G,7,0)+VLOOKUP('תפוקה מצטברת מול אשתקד'!A12,הפניקס!A:G,7,0)+VLOOKUP('תפוקה מצטברת מול אשתקד'!A12,כלל!A:G,7,0)+VLOOKUP('תפוקה מצטברת מול אשתקד'!A12,מור!A:G,7,0)+VLOOKUP('תפוקה מצטברת מול אשתקד'!A12,'אלטשולר שחם'!A:G,7,0)+VLOOKUP('תפוקה מצטברת מול אשתקד'!A12,'מדיהו '!A:K,7,0)+VLOOKUP(A12,'אנליסט '!A:G,7,0)+VLOOKUP('תפוקה מצטברת מול אשתקד'!A12,'מיטב דש'!A:G,7,0)+VLOOKUP('תפוקה מצטברת מול אשתקד'!A12,אינפניטי!A:G,7,0)</f>
        <v>0</v>
      </c>
      <c r="L12" s="12">
        <f>VLOOKUP(A12,הכשרה!A:K,8,0)+VLOOKUP('תפוקה מצטברת מול אשתקד'!A12,מגדל!A:K,8,0)+VLOOKUP('תפוקה מצטברת מול אשתקד'!A12,מנורה!A:K,8,0)+VLOOKUP('תפוקה מצטברת מול אשתקד'!A12,איילון!A:K,8,0)+VLOOKUP('תפוקה מצטברת מול אשתקד'!A12,הראל!A:K,8,0)+VLOOKUP('תפוקה מצטברת מול אשתקד'!A12,הפניקס!A:K,8,0)+VLOOKUP('תפוקה מצטברת מול אשתקד'!A12,כלל!A:K,8,0)+VLOOKUP('תפוקה מצטברת מול אשתקד'!A12,מור!A:K,8,0)+VLOOKUP('תפוקה מצטברת מול אשתקד'!A12,'אלטשולר שחם'!A:K,8,0)+VLOOKUP('תפוקה מצטברת מול אשתקד'!A12,'מדיהו '!A:K,8,0)+VLOOKUP('תפוקה מצטברת מול אשתקד'!A12,'אנליסט '!A:K,8,0)+VLOOKUP('תפוקה מצטברת מול אשתקד'!A12,'מיטב דש'!A:K,8,0)+VLOOKUP('תפוקה מצטברת מול אשתקד'!A12,אינפניטי!A:K,8,0)</f>
        <v>0</v>
      </c>
      <c r="M12" s="12">
        <f>VLOOKUP(A12,הכשרה!A:K,9,0)+VLOOKUP('תפוקה מצטברת מול אשתקד'!A12,מגדל!A:K,9,0)+VLOOKUP('תפוקה מצטברת מול אשתקד'!A12,מנורה!A:K,9,0)+VLOOKUP('תפוקה מצטברת מול אשתקד'!A12,איילון!A:K,9,0)+VLOOKUP('תפוקה מצטברת מול אשתקד'!A12,הראל!A:K,9,0)+VLOOKUP('תפוקה מצטברת מול אשתקד'!A12,הפניקס!A:K,9,0)+VLOOKUP('תפוקה מצטברת מול אשתקד'!A12,כלל!A:K,9,0)+VLOOKUP('תפוקה מצטברת מול אשתקד'!A12,מור!A:K,9,0)+VLOOKUP('תפוקה מצטברת מול אשתקד'!A12,'אלטשולר שחם'!A:K,9,0)+VLOOKUP('תפוקה מצטברת מול אשתקד'!A12,'מדיהו '!A:K,9,0)+VLOOKUP('תפוקה מצטברת מול אשתקד'!A12,'אנליסט '!A:K,9,0)+VLOOKUP('תפוקה מצטברת מול אשתקד'!A12,'מיטב דש'!A:K,9,0)+VLOOKUP('תפוקה מצטברת מול אשתקד'!A12,אינפניטי!A:K,9,0)</f>
        <v>169.95999999999998</v>
      </c>
      <c r="N12" s="12">
        <f>VLOOKUP(A12,הכשרה!A:K,10,0)+VLOOKUP('תפוקה מצטברת מול אשתקד'!A12,מגדל!A:K,10,0)+VLOOKUP('תפוקה מצטברת מול אשתקד'!A12,מנורה!A:K,10,0)+VLOOKUP('תפוקה מצטברת מול אשתקד'!A12,איילון!A:K,10,0)+VLOOKUP('תפוקה מצטברת מול אשתקד'!A12,הראל!A:K,10,0)+VLOOKUP('תפוקה מצטברת מול אשתקד'!A12,הפניקס!A:K,10,0)+VLOOKUP('תפוקה מצטברת מול אשתקד'!A12,כלל!A:K,10,0)+VLOOKUP('תפוקה מצטברת מול אשתקד'!A12,מור!A:K,10,0)+VLOOKUP('תפוקה מצטברת מול אשתקד'!A12,'אלטשולר שחם'!A:K,10,0)+VLOOKUP('תפוקה מצטברת מול אשתקד'!A12,'מדיהו '!A:K,10,0)+VLOOKUP('תפוקה מצטברת מול אשתקד'!A12,'אנליסט '!A:K,10,0)+VLOOKUP('תפוקה מצטברת מול אשתקד'!A12,'מיטב דש'!A:K,10,0)+VLOOKUP('תפוקה מצטברת מול אשתקד'!A12,אינפניטי!A:K,10,0)</f>
        <v>0</v>
      </c>
      <c r="O12" s="12">
        <f>VLOOKUP(A12,הכשרה!A:K,11,0)+VLOOKUP('תפוקה מצטברת מול אשתקד'!A12,מגדל!A:K,11,0)+VLOOKUP('תפוקה מצטברת מול אשתקד'!A12,מנורה!A:K,11,0)+VLOOKUP('תפוקה מצטברת מול אשתקד'!A12,איילון!A:K,11,0)+VLOOKUP('תפוקה מצטברת מול אשתקד'!A12,הראל!A:K,11,0)+VLOOKUP('תפוקה מצטברת מול אשתקד'!A12,הפניקס!A:K,11,0)+VLOOKUP('תפוקה מצטברת מול אשתקד'!A12,כלל!A:K,11,0)+VLOOKUP('תפוקה מצטברת מול אשתקד'!A12,מור!A:K,11,0)+VLOOKUP('תפוקה מצטברת מול אשתקד'!A12,'אלטשולר שחם'!A:K,11,0)+VLOOKUP('תפוקה מצטברת מול אשתקד'!A12,'מדיהו '!A:K,11,0)+VLOOKUP('תפוקה מצטברת מול אשתקד'!A12,'אנליסט '!A:K,11,0)+VLOOKUP('תפוקה מצטברת מול אשתקד'!A12,'מיטב דש'!A:K,11,0)+VLOOKUP('תפוקה מצטברת מול אשתקד'!A12,אינפניטי!A:K,11,0)</f>
        <v>0</v>
      </c>
    </row>
    <row r="13" spans="1:16" ht="15.75" customHeight="1" x14ac:dyDescent="0.25">
      <c r="A13" s="27" t="s">
        <v>8</v>
      </c>
      <c r="B13" s="27" t="s">
        <v>116</v>
      </c>
      <c r="C13" s="27" t="s">
        <v>114</v>
      </c>
      <c r="D13" s="20">
        <f t="shared" si="0"/>
        <v>0</v>
      </c>
      <c r="E13" s="20">
        <f t="shared" si="1"/>
        <v>-0.5504314532792145</v>
      </c>
      <c r="F13" s="20">
        <f t="shared" si="2"/>
        <v>0</v>
      </c>
      <c r="G13" s="20">
        <f t="shared" si="4"/>
        <v>0</v>
      </c>
      <c r="H13" s="68">
        <f>VLOOKUP(A13,הכשרה!A:G,4,0)+VLOOKUP('תפוקה מצטברת מול אשתקד'!A13,מגדל!A:G,4,0)+VLOOKUP('תפוקה מצטברת מול אשתקד'!A13,מנורה!A:G,4,0)+VLOOKUP('תפוקה מצטברת מול אשתקד'!A13,איילון!A:G,4,0)+VLOOKUP('תפוקה מצטברת מול אשתקד'!A13,הראל!A:G,4,0)+VLOOKUP('תפוקה מצטברת מול אשתקד'!A13,הפניקס!A:G,4,0)+VLOOKUP('תפוקה מצטברת מול אשתקד'!A13,כלל!A:G,4,0)+VLOOKUP('תפוקה מצטברת מול אשתקד'!A13,מור!A:G,4,0)+VLOOKUP('תפוקה מצטברת מול אשתקד'!A13,'אלטשולר שחם'!A:G,4,0)+VLOOKUP('תפוקה מצטברת מול אשתקד'!A13,'מדיהו '!A:G,4,0)+VLOOKUP('תפוקה מצטברת מול אשתקד'!A13,'אנליסט '!A:G,4,0)+VLOOKUP('תפוקה מצטברת מול אשתקד'!A13,'מיטב דש'!A:G,4,0)+VLOOKUP('תפוקה מצטברת מול אשתקד'!A13,אינפניטי!A:G,4,0)</f>
        <v>0</v>
      </c>
      <c r="I13" s="68">
        <f>VLOOKUP(A13,הכשרה!A:G,5,0)+VLOOKUP('תפוקה מצטברת מול אשתקד'!A13,מגדל!A:G,5,0)+VLOOKUP('תפוקה מצטברת מול אשתקד'!A13,מנורה!A:G,5,0)+VLOOKUP('תפוקה מצטברת מול אשתקד'!A13,איילון!A:G,5,0)+VLOOKUP('תפוקה מצטברת מול אשתקד'!A13,הראל!A:G,5,0)+VLOOKUP('תפוקה מצטברת מול אשתקד'!A13,הפניקס!A:G,5,0)+VLOOKUP('תפוקה מצטברת מול אשתקד'!A13,כלל!A:G,5,0)+VLOOKUP('תפוקה מצטברת מול אשתקד'!A13,מור!A:G,5,0)+VLOOKUP('תפוקה מצטברת מול אשתקד'!A13,'אלטשולר שחם'!A:G,5,0)+VLOOKUP('תפוקה מצטברת מול אשתקד'!A13,'מדיהו '!A:G,5,0)+VLOOKUP('תפוקה מצטברת מול אשתקד'!A13,'אנליסט '!A:G,5,0)+VLOOKUP('תפוקה מצטברת מול אשתקד'!A13,'מיטב דש'!A:G,5,0)+VLOOKUP('תפוקה מצטברת מול אשתקד'!A13,אינפניטי!A:G,5,0)</f>
        <v>10235.844238269754</v>
      </c>
      <c r="J13" s="68">
        <f>VLOOKUP(A13,הכשרה!A:G,6,0)+VLOOKUP('תפוקה מצטברת מול אשתקד'!A13,מגדל!A:G,6,0)+VLOOKUP('תפוקה מצטברת מול אשתקד'!A13,מנורה!A:G,6,0)+VLOOKUP('תפוקה מצטברת מול אשתקד'!A13,איילון!A:G,6,0)+VLOOKUP(A13,הראל!A:G,6,0)+VLOOKUP('תפוקה מצטברת מול אשתקד'!A13,הפניקס!A:G,6,0)+VLOOKUP('תפוקה מצטברת מול אשתקד'!A13,כלל!A:G,6,0)+VLOOKUP('תפוקה מצטברת מול אשתקד'!A13,מור!A:G,6,0)+VLOOKUP('תפוקה מצטברת מול אשתקד'!A13,'אלטשולר שחם'!A:G,6,0)+VLOOKUP('תפוקה מצטברת מול אשתקד'!A13,'מדיהו '!A:G,6,0)+VLOOKUP('תפוקה מצטברת מול אשתקד'!A13,'אנליסט '!A:G,6,0)+VLOOKUP('תפוקה מצטברת מול אשתקד'!A13,'מיטב דש'!A:G,6,0)+VLOOKUP('תפוקה מצטברת מול אשתקד'!A13,אינפניטי!A:G,6,0)</f>
        <v>0</v>
      </c>
      <c r="K13" s="68">
        <f>VLOOKUP(A13,הכשרה!A:G,7,0)+VLOOKUP('תפוקה מצטברת מול אשתקד'!A13,מגדל!A:G,7,0)+VLOOKUP('תפוקה מצטברת מול אשתקד'!A13,מנורה!A:G,7,0)+VLOOKUP('תפוקה מצטברת מול אשתקד'!A13,איילון!A:G,7,0)+VLOOKUP('תפוקה מצטברת מול אשתקד'!A13,הראל!A:G,7,0)+VLOOKUP('תפוקה מצטברת מול אשתקד'!A13,הפניקס!A:G,7,0)+VLOOKUP('תפוקה מצטברת מול אשתקד'!A13,כלל!A:G,7,0)+VLOOKUP('תפוקה מצטברת מול אשתקד'!A13,מור!A:G,7,0)+VLOOKUP('תפוקה מצטברת מול אשתקד'!A13,'אלטשולר שחם'!A:G,7,0)+VLOOKUP('תפוקה מצטברת מול אשתקד'!A13,'מדיהו '!A:K,7,0)+VLOOKUP(A13,'אנליסט '!A:G,7,0)+VLOOKUP('תפוקה מצטברת מול אשתקד'!A13,'מיטב דש'!A:G,7,0)+VLOOKUP('תפוקה מצטברת מול אשתקד'!A13,אינפניטי!A:G,7,0)</f>
        <v>0</v>
      </c>
      <c r="L13" s="12">
        <f>VLOOKUP(A13,הכשרה!A:K,8,0)+VLOOKUP('תפוקה מצטברת מול אשתקד'!A13,מגדל!A:K,8,0)+VLOOKUP('תפוקה מצטברת מול אשתקד'!A13,מנורה!A:K,8,0)+VLOOKUP('תפוקה מצטברת מול אשתקד'!A13,איילון!A:K,8,0)+VLOOKUP('תפוקה מצטברת מול אשתקד'!A13,הראל!A:K,8,0)+VLOOKUP('תפוקה מצטברת מול אשתקד'!A13,הפניקס!A:K,8,0)+VLOOKUP('תפוקה מצטברת מול אשתקד'!A13,כלל!A:K,8,0)+VLOOKUP('תפוקה מצטברת מול אשתקד'!A13,מור!A:K,8,0)+VLOOKUP('תפוקה מצטברת מול אשתקד'!A13,'אלטשולר שחם'!A:K,8,0)+VLOOKUP('תפוקה מצטברת מול אשתקד'!A13,'מדיהו '!A:K,8,0)+VLOOKUP('תפוקה מצטברת מול אשתקד'!A13,'אנליסט '!A:K,8,0)+VLOOKUP('תפוקה מצטברת מול אשתקד'!A13,'מיטב דש'!A:K,8,0)+VLOOKUP('תפוקה מצטברת מול אשתקד'!A13,אינפניטי!A:K,8,0)</f>
        <v>0</v>
      </c>
      <c r="M13" s="12">
        <f>VLOOKUP(A13,הכשרה!A:K,9,0)+VLOOKUP('תפוקה מצטברת מול אשתקד'!A13,מגדל!A:K,9,0)+VLOOKUP('תפוקה מצטברת מול אשתקד'!A13,מנורה!A:K,9,0)+VLOOKUP('תפוקה מצטברת מול אשתקד'!A13,איילון!A:K,9,0)+VLOOKUP('תפוקה מצטברת מול אשתקד'!A13,הראל!A:K,9,0)+VLOOKUP('תפוקה מצטברת מול אשתקד'!A13,הפניקס!A:K,9,0)+VLOOKUP('תפוקה מצטברת מול אשתקד'!A13,כלל!A:K,9,0)+VLOOKUP('תפוקה מצטברת מול אשתקד'!A13,מור!A:K,9,0)+VLOOKUP('תפוקה מצטברת מול אשתקד'!A13,'אלטשולר שחם'!A:K,9,0)+VLOOKUP('תפוקה מצטברת מול אשתקד'!A13,'מדיהו '!A:K,9,0)+VLOOKUP('תפוקה מצטברת מול אשתקד'!A13,'אנליסט '!A:K,9,0)+VLOOKUP('תפוקה מצטברת מול אשתקד'!A13,'מיטב דש'!A:K,9,0)+VLOOKUP('תפוקה מצטברת מול אשתקד'!A13,אינפניטי!A:K,9,0)</f>
        <v>22768.150291944137</v>
      </c>
      <c r="N13" s="12">
        <f>VLOOKUP(A13,הכשרה!A:K,10,0)+VLOOKUP('תפוקה מצטברת מול אשתקד'!A13,מגדל!A:K,10,0)+VLOOKUP('תפוקה מצטברת מול אשתקד'!A13,מנורה!A:K,10,0)+VLOOKUP('תפוקה מצטברת מול אשתקד'!A13,איילון!A:K,10,0)+VLOOKUP('תפוקה מצטברת מול אשתקד'!A13,הראל!A:K,10,0)+VLOOKUP('תפוקה מצטברת מול אשתקד'!A13,הפניקס!A:K,10,0)+VLOOKUP('תפוקה מצטברת מול אשתקד'!A13,כלל!A:K,10,0)+VLOOKUP('תפוקה מצטברת מול אשתקד'!A13,מור!A:K,10,0)+VLOOKUP('תפוקה מצטברת מול אשתקד'!A13,'אלטשולר שחם'!A:K,10,0)+VLOOKUP('תפוקה מצטברת מול אשתקד'!A13,'מדיהו '!A:K,10,0)+VLOOKUP('תפוקה מצטברת מול אשתקד'!A13,'אנליסט '!A:K,10,0)+VLOOKUP('תפוקה מצטברת מול אשתקד'!A13,'מיטב דש'!A:K,10,0)+VLOOKUP('תפוקה מצטברת מול אשתקד'!A13,אינפניטי!A:K,10,0)</f>
        <v>64075.95</v>
      </c>
      <c r="O13" s="12">
        <f>VLOOKUP(A13,הכשרה!A:K,11,0)+VLOOKUP('תפוקה מצטברת מול אשתקד'!A13,מגדל!A:K,11,0)+VLOOKUP('תפוקה מצטברת מול אשתקד'!A13,מנורה!A:K,11,0)+VLOOKUP('תפוקה מצטברת מול אשתקד'!A13,איילון!A:K,11,0)+VLOOKUP('תפוקה מצטברת מול אשתקד'!A13,הראל!A:K,11,0)+VLOOKUP('תפוקה מצטברת מול אשתקד'!A13,הפניקס!A:K,11,0)+VLOOKUP('תפוקה מצטברת מול אשתקד'!A13,כלל!A:K,11,0)+VLOOKUP('תפוקה מצטברת מול אשתקד'!A13,מור!A:K,11,0)+VLOOKUP('תפוקה מצטברת מול אשתקד'!A13,'אלטשולר שחם'!A:K,11,0)+VLOOKUP('תפוקה מצטברת מול אשתקד'!A13,'מדיהו '!A:K,11,0)+VLOOKUP('תפוקה מצטברת מול אשתקד'!A13,'אנליסט '!A:K,11,0)+VLOOKUP('תפוקה מצטברת מול אשתקד'!A13,'מיטב דש'!A:K,11,0)+VLOOKUP('תפוקה מצטברת מול אשתקד'!A13,אינפניטי!A:K,11,0)</f>
        <v>266743.92</v>
      </c>
    </row>
    <row r="14" spans="1:16" ht="15.75" customHeight="1" x14ac:dyDescent="0.25">
      <c r="A14" s="27" t="s">
        <v>9</v>
      </c>
      <c r="B14" s="27" t="s">
        <v>116</v>
      </c>
      <c r="C14" s="27" t="s">
        <v>114</v>
      </c>
      <c r="D14" s="20">
        <f t="shared" si="0"/>
        <v>-2.2046552417157836</v>
      </c>
      <c r="E14" s="20">
        <f t="shared" si="1"/>
        <v>-0.89696031026493406</v>
      </c>
      <c r="F14" s="20">
        <f t="shared" si="2"/>
        <v>0</v>
      </c>
      <c r="G14" s="20">
        <f t="shared" si="4"/>
        <v>-18.75922035564399</v>
      </c>
      <c r="H14" s="68">
        <f>VLOOKUP(A14,הכשרה!A:G,4,0)+VLOOKUP('תפוקה מצטברת מול אשתקד'!A14,מגדל!A:G,4,0)+VLOOKUP('תפוקה מצטברת מול אשתקד'!A14,מנורה!A:G,4,0)+VLOOKUP('תפוקה מצטברת מול אשתקד'!A14,איילון!A:G,4,0)+VLOOKUP('תפוקה מצטברת מול אשתקד'!A14,הראל!A:G,4,0)+VLOOKUP('תפוקה מצטברת מול אשתקד'!A14,הפניקס!A:G,4,0)+VLOOKUP('תפוקה מצטברת מול אשתקד'!A14,כלל!A:G,4,0)+VLOOKUP('תפוקה מצטברת מול אשתקד'!A14,מור!A:G,4,0)+VLOOKUP('תפוקה מצטברת מול אשתקד'!A14,'אלטשולר שחם'!A:G,4,0)+VLOOKUP('תפוקה מצטברת מול אשתקד'!A14,'מדיהו '!A:G,4,0)+VLOOKUP('תפוקה מצטברת מול אשתקד'!A14,'אנליסט '!A:G,4,0)+VLOOKUP('תפוקה מצטברת מול אשתקד'!A14,'מיטב דש'!A:G,4,0)+VLOOKUP('תפוקה מצטברת מול אשתקד'!A14,אינפניטי!A:G,4,0)</f>
        <v>61079.246171187042</v>
      </c>
      <c r="I14" s="68">
        <f>VLOOKUP(A14,הכשרה!A:G,5,0)+VLOOKUP('תפוקה מצטברת מול אשתקד'!A14,מגדל!A:G,5,0)+VLOOKUP('תפוקה מצטברת מול אשתקד'!A14,מנורה!A:G,5,0)+VLOOKUP('תפוקה מצטברת מול אשתקד'!A14,איילון!A:G,5,0)+VLOOKUP('תפוקה מצטברת מול אשתקד'!A14,הראל!A:G,5,0)+VLOOKUP('תפוקה מצטברת מול אשתקד'!A14,הפניקס!A:G,5,0)+VLOOKUP('תפוקה מצטברת מול אשתקד'!A14,כלל!A:G,5,0)+VLOOKUP('תפוקה מצטברת מול אשתקד'!A14,מור!A:G,5,0)+VLOOKUP('תפוקה מצטברת מול אשתקד'!A14,'אלטשולר שחם'!A:G,5,0)+VLOOKUP('תפוקה מצטברת מול אשתקד'!A14,'מדיהו '!A:G,5,0)+VLOOKUP('תפוקה מצטברת מול אשתקד'!A14,'אנליסט '!A:G,5,0)+VLOOKUP('תפוקה מצטברת מול אשתקד'!A14,'מיטב דש'!A:G,5,0)+VLOOKUP('תפוקה מצטברת מול אשתקד'!A14,אינפניטי!A:G,5,0)</f>
        <v>245.49</v>
      </c>
      <c r="J14" s="68">
        <f>VLOOKUP(A14,הכשרה!A:G,6,0)+VLOOKUP('תפוקה מצטברת מול אשתקד'!A14,מגדל!A:G,6,0)+VLOOKUP('תפוקה מצטברת מול אשתקד'!A14,מנורה!A:G,6,0)+VLOOKUP('תפוקה מצטברת מול אשתקד'!A14,איילון!A:G,6,0)+VLOOKUP(A14,הראל!A:G,6,0)+VLOOKUP('תפוקה מצטברת מול אשתקד'!A14,הפניקס!A:G,6,0)+VLOOKUP('תפוקה מצטברת מול אשתקד'!A14,כלל!A:G,6,0)+VLOOKUP('תפוקה מצטברת מול אשתקד'!A14,מור!A:G,6,0)+VLOOKUP('תפוקה מצטברת מול אשתקד'!A14,'אלטשולר שחם'!A:G,6,0)+VLOOKUP('תפוקה מצטברת מול אשתקד'!A14,'מדיהו '!A:G,6,0)+VLOOKUP('תפוקה מצטברת מול אשתקד'!A14,'אנליסט '!A:G,6,0)+VLOOKUP('תפוקה מצטברת מול אשתקד'!A14,'מיטב דש'!A:G,6,0)+VLOOKUP('תפוקה מצטברת מול אשתקד'!A14,אינפניטי!A:G,6,0)</f>
        <v>0</v>
      </c>
      <c r="K14" s="68">
        <f>VLOOKUP(A14,הכשרה!A:G,7,0)+VLOOKUP('תפוקה מצטברת מול אשתקד'!A14,מגדל!A:G,7,0)+VLOOKUP('תפוקה מצטברת מול אשתקד'!A14,מנורה!A:G,7,0)+VLOOKUP('תפוקה מצטברת מול אשתקד'!A14,איילון!A:G,7,0)+VLOOKUP('תפוקה מצטברת מול אשתקד'!A14,הראל!A:G,7,0)+VLOOKUP('תפוקה מצטברת מול אשתקד'!A14,הפניקס!A:G,7,0)+VLOOKUP('תפוקה מצטברת מול אשתקד'!A14,כלל!A:G,7,0)+VLOOKUP('תפוקה מצטברת מול אשתקד'!A14,מור!A:G,7,0)+VLOOKUP('תפוקה מצטברת מול אשתקד'!A14,'אלטשולר שחם'!A:G,7,0)+VLOOKUP('תפוקה מצטברת מול אשתקד'!A14,'מדיהו '!A:K,7,0)+VLOOKUP(A14,'אנליסט '!A:G,7,0)+VLOOKUP('תפוקה מצטברת מול אשתקד'!A14,'מיטב דש'!A:G,7,0)+VLOOKUP('תפוקה מצטברת מול אשתקד'!A14,אינפניטי!A:G,7,0)</f>
        <v>297734.75</v>
      </c>
      <c r="L14" s="12">
        <f>VLOOKUP(A14,הכשרה!A:K,8,0)+VLOOKUP('תפוקה מצטברת מול אשתקד'!A14,מגדל!A:K,8,0)+VLOOKUP('תפוקה מצטברת מול אשתקד'!A14,מנורה!A:K,8,0)+VLOOKUP('תפוקה מצטברת מול אשתקד'!A14,איילון!A:K,8,0)+VLOOKUP('תפוקה מצטברת מול אשתקד'!A14,הראל!A:K,8,0)+VLOOKUP('תפוקה מצטברת מול אשתקד'!A14,הפניקס!A:K,8,0)+VLOOKUP('תפוקה מצטברת מול אשתקד'!A14,כלל!A:K,8,0)+VLOOKUP('תפוקה מצטברת מול אשתקד'!A14,מור!A:K,8,0)+VLOOKUP('תפוקה מצטברת מול אשתקד'!A14,'אלטשולר שחם'!A:K,8,0)+VLOOKUP('תפוקה מצטברת מול אשתקד'!A14,'מדיהו '!A:K,8,0)+VLOOKUP('תפוקה מצטברת מול אשתקד'!A14,'אנליסט '!A:K,8,0)+VLOOKUP('תפוקה מצטברת מול אשתקד'!A14,'מיטב דש'!A:K,8,0)+VLOOKUP('תפוקה מצטברת מול אשתקד'!A14,אינפניטי!A:K,8,0)</f>
        <v>-50702.677459977858</v>
      </c>
      <c r="M14" s="12">
        <f>VLOOKUP(A14,הכשרה!A:K,9,0)+VLOOKUP('תפוקה מצטברת מול אשתקד'!A14,מגדל!A:K,9,0)+VLOOKUP('תפוקה מצטברת מול אשתקד'!A14,מנורה!A:K,9,0)+VLOOKUP('תפוקה מצטברת מול אשתקד'!A14,איילון!A:K,9,0)+VLOOKUP('תפוקה מצטברת מול אשתקד'!A14,הראל!A:K,9,0)+VLOOKUP('תפוקה מצטברת מול אשתקד'!A14,הפניקס!A:K,9,0)+VLOOKUP('תפוקה מצטברת מול אשתקד'!A14,כלל!A:K,9,0)+VLOOKUP('תפוקה מצטברת מול אשתקד'!A14,מור!A:K,9,0)+VLOOKUP('תפוקה מצטברת מול אשתקד'!A14,'אלטשולר שחם'!A:K,9,0)+VLOOKUP('תפוקה מצטברת מול אשתקד'!A14,'מדיהו '!A:K,9,0)+VLOOKUP('תפוקה מצטברת מול אשתקד'!A14,'אנליסט '!A:K,9,0)+VLOOKUP('תפוקה מצטברת מול אשתקד'!A14,'מיטב דש'!A:K,9,0)+VLOOKUP('תפוקה מצטברת מול אשתקד'!A14,אינפניטי!A:K,9,0)</f>
        <v>2382.48</v>
      </c>
      <c r="N14" s="12">
        <f>VLOOKUP(A14,הכשרה!A:K,10,0)+VLOOKUP('תפוקה מצטברת מול אשתקד'!A14,מגדל!A:K,10,0)+VLOOKUP('תפוקה מצטברת מול אשתקד'!A14,מנורה!A:K,10,0)+VLOOKUP('תפוקה מצטברת מול אשתקד'!A14,איילון!A:K,10,0)+VLOOKUP('תפוקה מצטברת מול אשתקד'!A14,הראל!A:K,10,0)+VLOOKUP('תפוקה מצטברת מול אשתקד'!A14,הפניקס!A:K,10,0)+VLOOKUP('תפוקה מצטברת מול אשתקד'!A14,כלל!A:K,10,0)+VLOOKUP('תפוקה מצטברת מול אשתקד'!A14,מור!A:K,10,0)+VLOOKUP('תפוקה מצטברת מול אשתקד'!A14,'אלטשולר שחם'!A:K,10,0)+VLOOKUP('תפוקה מצטברת מול אשתקד'!A14,'מדיהו '!A:K,10,0)+VLOOKUP('תפוקה מצטברת מול אשתקד'!A14,'אנליסט '!A:K,10,0)+VLOOKUP('תפוקה מצטברת מול אשתקד'!A14,'מיטב דש'!A:K,10,0)+VLOOKUP('תפוקה מצטברת מול אשתקד'!A14,אינפניטי!A:K,10,0)</f>
        <v>14985.832542</v>
      </c>
      <c r="O14" s="12">
        <f>VLOOKUP(A14,הכשרה!A:K,11,0)+VLOOKUP('תפוקה מצטברת מול אשתקד'!A14,מגדל!A:K,11,0)+VLOOKUP('תפוקה מצטברת מול אשתקד'!A14,מנורה!A:K,11,0)+VLOOKUP('תפוקה מצטברת מול אשתקד'!A14,איילון!A:K,11,0)+VLOOKUP('תפוקה מצטברת מול אשתקד'!A14,הראל!A:K,11,0)+VLOOKUP('תפוקה מצטברת מול אשתקד'!A14,הפניקס!A:K,11,0)+VLOOKUP('תפוקה מצטברת מול אשתקד'!A14,כלל!A:K,11,0)+VLOOKUP('תפוקה מצטברת מול אשתקד'!A14,מור!A:K,11,0)+VLOOKUP('תפוקה מצטברת מול אשתקד'!A14,'אלטשולר שחם'!A:K,11,0)+VLOOKUP('תפוקה מצטברת מול אשתקד'!A14,'מדיהו '!A:K,11,0)+VLOOKUP('תפוקה מצטברת מול אשתקד'!A14,'אנליסט '!A:K,11,0)+VLOOKUP('תפוקה מצטברת מול אשתקד'!A14,'מיטב דש'!A:K,11,0)+VLOOKUP('תפוקה מצטברת מול אשתקד'!A14,אינפניטי!A:K,11,0)</f>
        <v>-16765.080000000002</v>
      </c>
    </row>
    <row r="15" spans="1:16" ht="15.75" customHeight="1" x14ac:dyDescent="0.25">
      <c r="A15" s="27" t="s">
        <v>31</v>
      </c>
      <c r="B15" s="27" t="s">
        <v>116</v>
      </c>
      <c r="C15" s="27" t="s">
        <v>114</v>
      </c>
      <c r="D15" s="20">
        <f t="shared" si="0"/>
        <v>0</v>
      </c>
      <c r="E15" s="20">
        <f t="shared" si="1"/>
        <v>0</v>
      </c>
      <c r="F15" s="20">
        <f t="shared" si="2"/>
        <v>1</v>
      </c>
      <c r="G15" s="20">
        <f>IF(K15=0,0%,IF(O15=#REF!,100%,K15/O15-1))</f>
        <v>0</v>
      </c>
      <c r="H15" s="68">
        <f>VLOOKUP(A15,הכשרה!A:G,4,0)+VLOOKUP('תפוקה מצטברת מול אשתקד'!A15,מגדל!A:G,4,0)+VLOOKUP('תפוקה מצטברת מול אשתקד'!A15,מנורה!A:G,4,0)+VLOOKUP('תפוקה מצטברת מול אשתקד'!A15,איילון!A:G,4,0)+VLOOKUP('תפוקה מצטברת מול אשתקד'!A15,הראל!A:G,4,0)+VLOOKUP('תפוקה מצטברת מול אשתקד'!A15,הפניקס!A:G,4,0)+VLOOKUP('תפוקה מצטברת מול אשתקד'!A15,כלל!A:G,4,0)+VLOOKUP('תפוקה מצטברת מול אשתקד'!A15,מור!A:G,4,0)+VLOOKUP('תפוקה מצטברת מול אשתקד'!A15,'אלטשולר שחם'!A:G,4,0)+VLOOKUP('תפוקה מצטברת מול אשתקד'!A15,'מדיהו '!A:G,4,0)+VLOOKUP('תפוקה מצטברת מול אשתקד'!A15,'אנליסט '!A:G,4,0)+VLOOKUP('תפוקה מצטברת מול אשתקד'!A15,'מיטב דש'!A:G,4,0)+VLOOKUP('תפוקה מצטברת מול אשתקד'!A15,אינפניטי!A:G,4,0)</f>
        <v>0</v>
      </c>
      <c r="I15" s="68">
        <f>VLOOKUP(A15,הכשרה!A:G,5,0)+VLOOKUP('תפוקה מצטברת מול אשתקד'!A15,מגדל!A:G,5,0)+VLOOKUP('תפוקה מצטברת מול אשתקד'!A15,מנורה!A:G,5,0)+VLOOKUP('תפוקה מצטברת מול אשתקד'!A15,איילון!A:G,5,0)+VLOOKUP('תפוקה מצטברת מול אשתקד'!A15,הראל!A:G,5,0)+VLOOKUP('תפוקה מצטברת מול אשתקד'!A15,הפניקס!A:G,5,0)+VLOOKUP('תפוקה מצטברת מול אשתקד'!A15,כלל!A:G,5,0)+VLOOKUP('תפוקה מצטברת מול אשתקד'!A15,מור!A:G,5,0)+VLOOKUP('תפוקה מצטברת מול אשתקד'!A15,'אלטשולר שחם'!A:G,5,0)+VLOOKUP('תפוקה מצטברת מול אשתקד'!A15,'מדיהו '!A:G,5,0)+VLOOKUP('תפוקה מצטברת מול אשתקד'!A15,'אנליסט '!A:G,5,0)+VLOOKUP('תפוקה מצטברת מול אשתקד'!A15,'מיטב דש'!A:G,5,0)+VLOOKUP('תפוקה מצטברת מול אשתקד'!A15,אינפניטי!A:G,5,0)</f>
        <v>0</v>
      </c>
      <c r="J15" s="68">
        <f>VLOOKUP(A15,הכשרה!A:G,6,0)+VLOOKUP('תפוקה מצטברת מול אשתקד'!A15,מגדל!A:G,6,0)+VLOOKUP('תפוקה מצטברת מול אשתקד'!A15,מנורה!A:G,6,0)+VLOOKUP('תפוקה מצטברת מול אשתקד'!A15,איילון!A:G,6,0)+VLOOKUP(A15,הראל!A:G,6,0)+VLOOKUP('תפוקה מצטברת מול אשתקד'!A15,הפניקס!A:G,6,0)+VLOOKUP('תפוקה מצטברת מול אשתקד'!A15,כלל!A:G,6,0)+VLOOKUP('תפוקה מצטברת מול אשתקד'!A15,מור!A:G,6,0)+VLOOKUP('תפוקה מצטברת מול אשתקד'!A15,'אלטשולר שחם'!A:G,6,0)+VLOOKUP('תפוקה מצטברת מול אשתקד'!A15,'מדיהו '!A:G,6,0)+VLOOKUP('תפוקה מצטברת מול אשתקד'!A15,'אנליסט '!A:G,6,0)+VLOOKUP('תפוקה מצטברת מול אשתקד'!A15,'מיטב דש'!A:G,6,0)+VLOOKUP('תפוקה מצטברת מול אשתקד'!A15,אינפניטי!A:G,6,0)</f>
        <v>234152.14</v>
      </c>
      <c r="K15" s="68">
        <f>VLOOKUP(A15,הכשרה!A:G,7,0)+VLOOKUP('תפוקה מצטברת מול אשתקד'!A15,מגדל!A:G,7,0)+VLOOKUP('תפוקה מצטברת מול אשתקד'!A15,מנורה!A:G,7,0)+VLOOKUP('תפוקה מצטברת מול אשתקד'!A15,איילון!A:G,7,0)+VLOOKUP('תפוקה מצטברת מול אשתקד'!A15,הראל!A:G,7,0)+VLOOKUP('תפוקה מצטברת מול אשתקד'!A15,הפניקס!A:G,7,0)+VLOOKUP('תפוקה מצטברת מול אשתקד'!A15,כלל!A:G,7,0)+VLOOKUP('תפוקה מצטברת מול אשתקד'!A15,מור!A:G,7,0)+VLOOKUP('תפוקה מצטברת מול אשתקד'!A15,'אלטשולר שחם'!A:G,7,0)+VLOOKUP('תפוקה מצטברת מול אשתקד'!A15,'מדיהו '!A:K,7,0)+VLOOKUP(A15,'אנליסט '!A:G,7,0)+VLOOKUP('תפוקה מצטברת מול אשתקד'!A15,'מיטב דש'!A:G,7,0)+VLOOKUP('תפוקה מצטברת מול אשתקד'!A15,אינפניטי!A:G,7,0)</f>
        <v>0</v>
      </c>
      <c r="L15" s="12">
        <f>VLOOKUP(A15,הכשרה!A:K,8,0)+VLOOKUP('תפוקה מצטברת מול אשתקד'!A15,מגדל!A:K,8,0)+VLOOKUP('תפוקה מצטברת מול אשתקד'!A15,מנורה!A:K,8,0)+VLOOKUP('תפוקה מצטברת מול אשתקד'!A15,איילון!A:K,8,0)+VLOOKUP('תפוקה מצטברת מול אשתקד'!A15,הראל!A:K,8,0)+VLOOKUP('תפוקה מצטברת מול אשתקד'!A15,הפניקס!A:K,8,0)+VLOOKUP('תפוקה מצטברת מול אשתקד'!A15,כלל!A:K,8,0)+VLOOKUP('תפוקה מצטברת מול אשתקד'!A15,מור!A:K,8,0)+VLOOKUP('תפוקה מצטברת מול אשתקד'!A15,'אלטשולר שחם'!A:K,8,0)+VLOOKUP('תפוקה מצטברת מול אשתקד'!A15,'מדיהו '!A:K,8,0)+VLOOKUP('תפוקה מצטברת מול אשתקד'!A15,'אנליסט '!A:K,8,0)+VLOOKUP('תפוקה מצטברת מול אשתקד'!A15,'מיטב דש'!A:K,8,0)+VLOOKUP('תפוקה מצטברת מול אשתקד'!A15,אינפניטי!A:K,8,0)</f>
        <v>0</v>
      </c>
      <c r="M15" s="12">
        <f>VLOOKUP(A15,הכשרה!A:K,9,0)+VLOOKUP('תפוקה מצטברת מול אשתקד'!A15,מגדל!A:K,9,0)+VLOOKUP('תפוקה מצטברת מול אשתקד'!A15,מנורה!A:K,9,0)+VLOOKUP('תפוקה מצטברת מול אשתקד'!A15,איילון!A:K,9,0)+VLOOKUP('תפוקה מצטברת מול אשתקד'!A15,הראל!A:K,9,0)+VLOOKUP('תפוקה מצטברת מול אשתקד'!A15,הפניקס!A:K,9,0)+VLOOKUP('תפוקה מצטברת מול אשתקד'!A15,כלל!A:K,9,0)+VLOOKUP('תפוקה מצטברת מול אשתקד'!A15,מור!A:K,9,0)+VLOOKUP('תפוקה מצטברת מול אשתקד'!A15,'אלטשולר שחם'!A:K,9,0)+VLOOKUP('תפוקה מצטברת מול אשתקד'!A15,'מדיהו '!A:K,9,0)+VLOOKUP('תפוקה מצטברת מול אשתקד'!A15,'אנליסט '!A:K,9,0)+VLOOKUP('תפוקה מצטברת מול אשתקד'!A15,'מיטב דש'!A:K,9,0)+VLOOKUP('תפוקה מצטברת מול אשתקד'!A15,אינפניטי!A:K,9,0)</f>
        <v>0</v>
      </c>
      <c r="N15" s="12">
        <f>VLOOKUP(A15,הכשרה!A:K,10,0)+VLOOKUP('תפוקה מצטברת מול אשתקד'!A15,מגדל!A:K,10,0)+VLOOKUP('תפוקה מצטברת מול אשתקד'!A15,מנורה!A:K,10,0)+VLOOKUP('תפוקה מצטברת מול אשתקד'!A15,איילון!A:K,10,0)+VLOOKUP('תפוקה מצטברת מול אשתקד'!A15,הראל!A:K,10,0)+VLOOKUP('תפוקה מצטברת מול אשתקד'!A15,הפניקס!A:K,10,0)+VLOOKUP('תפוקה מצטברת מול אשתקד'!A15,כלל!A:K,10,0)+VLOOKUP('תפוקה מצטברת מול אשתקד'!A15,מור!A:K,10,0)+VLOOKUP('תפוקה מצטברת מול אשתקד'!A15,'אלטשולר שחם'!A:K,10,0)+VLOOKUP('תפוקה מצטברת מול אשתקד'!A15,'מדיהו '!A:K,10,0)+VLOOKUP('תפוקה מצטברת מול אשתקד'!A15,'אנליסט '!A:K,10,0)+VLOOKUP('תפוקה מצטברת מול אשתקד'!A15,'מיטב דש'!A:K,10,0)+VLOOKUP('תפוקה מצטברת מול אשתקד'!A15,אינפניטי!A:K,10,0)</f>
        <v>0</v>
      </c>
      <c r="O15" s="12">
        <f>VLOOKUP(A15,הכשרה!A:K,11,0)+VLOOKUP('תפוקה מצטברת מול אשתקד'!A15,מגדל!A:K,11,0)+VLOOKUP('תפוקה מצטברת מול אשתקד'!A15,מנורה!A:K,11,0)+VLOOKUP('תפוקה מצטברת מול אשתקד'!A15,איילון!A:K,11,0)+VLOOKUP('תפוקה מצטברת מול אשתקד'!A15,הראל!A:K,11,0)+VLOOKUP('תפוקה מצטברת מול אשתקד'!A15,הפניקס!A:K,11,0)+VLOOKUP('תפוקה מצטברת מול אשתקד'!A15,כלל!A:K,11,0)+VLOOKUP('תפוקה מצטברת מול אשתקד'!A15,מור!A:K,11,0)+VLOOKUP('תפוקה מצטברת מול אשתקד'!A15,'אלטשולר שחם'!A:K,11,0)+VLOOKUP('תפוקה מצטברת מול אשתקד'!A15,'מדיהו '!A:K,11,0)+VLOOKUP('תפוקה מצטברת מול אשתקד'!A15,'אנליסט '!A:K,11,0)+VLOOKUP('תפוקה מצטברת מול אשתקד'!A15,'מיטב דש'!A:K,11,0)+VLOOKUP('תפוקה מצטברת מול אשתקד'!A15,אינפניטי!A:K,11,0)</f>
        <v>0</v>
      </c>
    </row>
    <row r="16" spans="1:16" ht="15.75" customHeight="1" x14ac:dyDescent="0.25">
      <c r="A16" s="27" t="s">
        <v>104</v>
      </c>
      <c r="B16" s="27" t="s">
        <v>116</v>
      </c>
      <c r="C16" s="27" t="s">
        <v>114</v>
      </c>
      <c r="D16" s="20">
        <f t="shared" si="0"/>
        <v>1</v>
      </c>
      <c r="E16" s="20">
        <f t="shared" si="1"/>
        <v>1</v>
      </c>
      <c r="F16" s="20">
        <f t="shared" si="2"/>
        <v>1</v>
      </c>
      <c r="G16" s="20">
        <f>IF(K16=0,0%,IF(O16=#REF!,100%,K16/O16-1))</f>
        <v>0</v>
      </c>
      <c r="H16" s="68">
        <f>VLOOKUP(A16,הכשרה!A:G,4,0)+VLOOKUP('תפוקה מצטברת מול אשתקד'!A16,מגדל!A:G,4,0)+VLOOKUP('תפוקה מצטברת מול אשתקד'!A16,מנורה!A:G,4,0)+VLOOKUP('תפוקה מצטברת מול אשתקד'!A16,איילון!A:G,4,0)+VLOOKUP('תפוקה מצטברת מול אשתקד'!A16,הראל!A:G,4,0)+VLOOKUP('תפוקה מצטברת מול אשתקד'!A16,הפניקס!A:G,4,0)+VLOOKUP('תפוקה מצטברת מול אשתקד'!A16,כלל!A:G,4,0)+VLOOKUP('תפוקה מצטברת מול אשתקד'!A16,מור!A:G,4,0)+VLOOKUP('תפוקה מצטברת מול אשתקד'!A16,'אלטשולר שחם'!A:G,4,0)+VLOOKUP('תפוקה מצטברת מול אשתקד'!A16,'מדיהו '!A:G,4,0)+VLOOKUP('תפוקה מצטברת מול אשתקד'!A16,'אנליסט '!A:G,4,0)+VLOOKUP('תפוקה מצטברת מול אשתקד'!A16,'מיטב דש'!A:G,4,0)+VLOOKUP('תפוקה מצטברת מול אשתקד'!A16,אינפניטי!A:G,4,0)</f>
        <v>23351.458979999999</v>
      </c>
      <c r="I16" s="68">
        <f>VLOOKUP(A16,הכשרה!A:G,5,0)+VLOOKUP('תפוקה מצטברת מול אשתקד'!A16,מגדל!A:G,5,0)+VLOOKUP('תפוקה מצטברת מול אשתקד'!A16,מנורה!A:G,5,0)+VLOOKUP('תפוקה מצטברת מול אשתקד'!A16,איילון!A:G,5,0)+VLOOKUP('תפוקה מצטברת מול אשתקד'!A16,הראל!A:G,5,0)+VLOOKUP('תפוקה מצטברת מול אשתקד'!A16,הפניקס!A:G,5,0)+VLOOKUP('תפוקה מצטברת מול אשתקד'!A16,כלל!A:G,5,0)+VLOOKUP('תפוקה מצטברת מול אשתקד'!A16,מור!A:G,5,0)+VLOOKUP('תפוקה מצטברת מול אשתקד'!A16,'אלטשולר שחם'!A:G,5,0)+VLOOKUP('תפוקה מצטברת מול אשתקד'!A16,'מדיהו '!A:G,5,0)+VLOOKUP('תפוקה מצטברת מול אשתקד'!A16,'אנליסט '!A:G,5,0)+VLOOKUP('תפוקה מצטברת מול אשתקד'!A16,'מיטב דש'!A:G,5,0)+VLOOKUP('תפוקה מצטברת מול אשתקד'!A16,אינפניטי!A:G,5,0)</f>
        <v>7267.32</v>
      </c>
      <c r="J16" s="68">
        <f>VLOOKUP(A16,הכשרה!A:G,6,0)+VLOOKUP('תפוקה מצטברת מול אשתקד'!A16,מגדל!A:G,6,0)+VLOOKUP('תפוקה מצטברת מול אשתקד'!A16,מנורה!A:G,6,0)+VLOOKUP('תפוקה מצטברת מול אשתקד'!A16,איילון!A:G,6,0)+VLOOKUP(A16,הראל!A:G,6,0)+VLOOKUP('תפוקה מצטברת מול אשתקד'!A16,הפניקס!A:G,6,0)+VLOOKUP('תפוקה מצטברת מול אשתקד'!A16,כלל!A:G,6,0)+VLOOKUP('תפוקה מצטברת מול אשתקד'!A16,מור!A:G,6,0)+VLOOKUP('תפוקה מצטברת מול אשתקד'!A16,'אלטשולר שחם'!A:G,6,0)+VLOOKUP('תפוקה מצטברת מול אשתקד'!A16,'מדיהו '!A:G,6,0)+VLOOKUP('תפוקה מצטברת מול אשתקד'!A16,'אנליסט '!A:G,6,0)+VLOOKUP('תפוקה מצטברת מול אשתקד'!A16,'מיטב דש'!A:G,6,0)+VLOOKUP('תפוקה מצטברת מול אשתקד'!A16,אינפניטי!A:G,6,0)</f>
        <v>6017.28</v>
      </c>
      <c r="K16" s="68">
        <f>VLOOKUP(A16,הכשרה!A:G,7,0)+VLOOKUP('תפוקה מצטברת מול אשתקד'!A16,מגדל!A:G,7,0)+VLOOKUP('תפוקה מצטברת מול אשתקד'!A16,מנורה!A:G,7,0)+VLOOKUP('תפוקה מצטברת מול אשתקד'!A16,איילון!A:G,7,0)+VLOOKUP('תפוקה מצטברת מול אשתקד'!A16,הראל!A:G,7,0)+VLOOKUP('תפוקה מצטברת מול אשתקד'!A16,הפניקס!A:G,7,0)+VLOOKUP('תפוקה מצטברת מול אשתקד'!A16,כלל!A:G,7,0)+VLOOKUP('תפוקה מצטברת מול אשתקד'!A16,מור!A:G,7,0)+VLOOKUP('תפוקה מצטברת מול אשתקד'!A16,'אלטשולר שחם'!A:G,7,0)+VLOOKUP('תפוקה מצטברת מול אשתקד'!A16,'מדיהו '!A:K,7,0)+VLOOKUP(A16,'אנליסט '!A:G,7,0)+VLOOKUP('תפוקה מצטברת מול אשתקד'!A16,'מיטב דש'!A:G,7,0)+VLOOKUP('תפוקה מצטברת מול אשתקד'!A16,אינפניטי!A:G,7,0)</f>
        <v>0</v>
      </c>
      <c r="L16" s="12">
        <f>VLOOKUP(A16,הכשרה!A:K,8,0)+VLOOKUP('תפוקה מצטברת מול אשתקד'!A16,מגדל!A:K,8,0)+VLOOKUP('תפוקה מצטברת מול אשתקד'!A16,מנורה!A:K,8,0)+VLOOKUP('תפוקה מצטברת מול אשתקד'!A16,איילון!A:K,8,0)+VLOOKUP('תפוקה מצטברת מול אשתקד'!A16,הראל!A:K,8,0)+VLOOKUP('תפוקה מצטברת מול אשתקד'!A16,הפניקס!A:K,8,0)+VLOOKUP('תפוקה מצטברת מול אשתקד'!A16,כלל!A:K,8,0)+VLOOKUP('תפוקה מצטברת מול אשתקד'!A16,מור!A:K,8,0)+VLOOKUP('תפוקה מצטברת מול אשתקד'!A16,'אלטשולר שחם'!A:K,8,0)+VLOOKUP('תפוקה מצטברת מול אשתקד'!A16,'מדיהו '!A:K,8,0)+VLOOKUP('תפוקה מצטברת מול אשתקד'!A16,'אנליסט '!A:K,8,0)+VLOOKUP('תפוקה מצטברת מול אשתקד'!A16,'מיטב דש'!A:K,8,0)+VLOOKUP('תפוקה מצטברת מול אשתקד'!A16,אינפניטי!A:K,8,0)</f>
        <v>0</v>
      </c>
      <c r="M16" s="12">
        <f>VLOOKUP(A16,הכשרה!A:K,9,0)+VLOOKUP('תפוקה מצטברת מול אשתקד'!A16,מגדל!A:K,9,0)+VLOOKUP('תפוקה מצטברת מול אשתקד'!A16,מנורה!A:K,9,0)+VLOOKUP('תפוקה מצטברת מול אשתקד'!A16,איילון!A:K,9,0)+VLOOKUP('תפוקה מצטברת מול אשתקד'!A16,הראל!A:K,9,0)+VLOOKUP('תפוקה מצטברת מול אשתקד'!A16,הפניקס!A:K,9,0)+VLOOKUP('תפוקה מצטברת מול אשתקד'!A16,כלל!A:K,9,0)+VLOOKUP('תפוקה מצטברת מול אשתקד'!A16,מור!A:K,9,0)+VLOOKUP('תפוקה מצטברת מול אשתקד'!A16,'אלטשולר שחם'!A:K,9,0)+VLOOKUP('תפוקה מצטברת מול אשתקד'!A16,'מדיהו '!A:K,9,0)+VLOOKUP('תפוקה מצטברת מול אשתקד'!A16,'אנליסט '!A:K,9,0)+VLOOKUP('תפוקה מצטברת מול אשתקד'!A16,'מיטב דש'!A:K,9,0)+VLOOKUP('תפוקה מצטברת מול אשתקד'!A16,אינפניטי!A:K,9,0)</f>
        <v>0</v>
      </c>
      <c r="N16" s="12">
        <f>VLOOKUP(A16,הכשרה!A:K,10,0)+VLOOKUP('תפוקה מצטברת מול אשתקד'!A16,מגדל!A:K,10,0)+VLOOKUP('תפוקה מצטברת מול אשתקד'!A16,מנורה!A:K,10,0)+VLOOKUP('תפוקה מצטברת מול אשתקד'!A16,איילון!A:K,10,0)+VLOOKUP('תפוקה מצטברת מול אשתקד'!A16,הראל!A:K,10,0)+VLOOKUP('תפוקה מצטברת מול אשתקד'!A16,הפניקס!A:K,10,0)+VLOOKUP('תפוקה מצטברת מול אשתקד'!A16,כלל!A:K,10,0)+VLOOKUP('תפוקה מצטברת מול אשתקד'!A16,מור!A:K,10,0)+VLOOKUP('תפוקה מצטברת מול אשתקד'!A16,'אלטשולר שחם'!A:K,10,0)+VLOOKUP('תפוקה מצטברת מול אשתקד'!A16,'מדיהו '!A:K,10,0)+VLOOKUP('תפוקה מצטברת מול אשתקד'!A16,'אנליסט '!A:K,10,0)+VLOOKUP('תפוקה מצטברת מול אשתקד'!A16,'מיטב דש'!A:K,10,0)+VLOOKUP('תפוקה מצטברת מול אשתקד'!A16,אינפניטי!A:K,10,0)</f>
        <v>0</v>
      </c>
      <c r="O16" s="12">
        <f>VLOOKUP(A16,הכשרה!A:K,11,0)+VLOOKUP('תפוקה מצטברת מול אשתקד'!A16,מגדל!A:K,11,0)+VLOOKUP('תפוקה מצטברת מול אשתקד'!A16,מנורה!A:K,11,0)+VLOOKUP('תפוקה מצטברת מול אשתקד'!A16,איילון!A:K,11,0)+VLOOKUP('תפוקה מצטברת מול אשתקד'!A16,הראל!A:K,11,0)+VLOOKUP('תפוקה מצטברת מול אשתקד'!A16,הפניקס!A:K,11,0)+VLOOKUP('תפוקה מצטברת מול אשתקד'!A16,כלל!A:K,11,0)+VLOOKUP('תפוקה מצטברת מול אשתקד'!A16,מור!A:K,11,0)+VLOOKUP('תפוקה מצטברת מול אשתקד'!A16,'אלטשולר שחם'!A:K,11,0)+VLOOKUP('תפוקה מצטברת מול אשתקד'!A16,'מדיהו '!A:K,11,0)+VLOOKUP('תפוקה מצטברת מול אשתקד'!A16,'אנליסט '!A:K,11,0)+VLOOKUP('תפוקה מצטברת מול אשתקד'!A16,'מיטב דש'!A:K,11,0)+VLOOKUP('תפוקה מצטברת מול אשתקד'!A16,אינפניטי!A:K,11,0)</f>
        <v>0</v>
      </c>
    </row>
    <row r="17" spans="1:18" ht="15.75" customHeight="1" x14ac:dyDescent="0.25">
      <c r="A17" s="27" t="s">
        <v>42</v>
      </c>
      <c r="B17" s="27" t="s">
        <v>116</v>
      </c>
      <c r="C17" s="27" t="s">
        <v>114</v>
      </c>
      <c r="D17" s="20">
        <f t="shared" si="0"/>
        <v>37.018123742872788</v>
      </c>
      <c r="E17" s="20">
        <f t="shared" si="1"/>
        <v>2.6450437257566755</v>
      </c>
      <c r="F17" s="20">
        <f t="shared" si="2"/>
        <v>-0.11577221863259013</v>
      </c>
      <c r="G17" s="20" t="e">
        <f>IF(K17=0,0%,IF(O17=#REF!,100%,K17/O17-1))</f>
        <v>#REF!</v>
      </c>
      <c r="H17" s="68">
        <f>VLOOKUP(A17,הכשרה!A:G,4,0)+VLOOKUP('תפוקה מצטברת מול אשתקד'!A17,מגדל!A:G,4,0)+VLOOKUP('תפוקה מצטברת מול אשתקד'!A17,מנורה!A:G,4,0)+VLOOKUP('תפוקה מצטברת מול אשתקד'!A17,איילון!A:G,4,0)+VLOOKUP('תפוקה מצטברת מול אשתקד'!A17,הראל!A:G,4,0)+VLOOKUP('תפוקה מצטברת מול אשתקד'!A17,הפניקס!A:G,4,0)+VLOOKUP('תפוקה מצטברת מול אשתקד'!A17,כלל!A:G,4,0)+VLOOKUP('תפוקה מצטברת מול אשתקד'!A17,מור!A:G,4,0)+VLOOKUP('תפוקה מצטברת מול אשתקד'!A17,'אלטשולר שחם'!A:G,4,0)+VLOOKUP('תפוקה מצטברת מול אשתקד'!A17,'מדיהו '!A:G,4,0)+VLOOKUP('תפוקה מצטברת מול אשתקד'!A17,'אנליסט '!A:G,4,0)+VLOOKUP('תפוקה מצטברת מול אשתקד'!A17,'מיטב דש'!A:G,4,0)+VLOOKUP('תפוקה מצטברת מול אשתקד'!A17,אינפניטי!A:G,4,0)</f>
        <v>275165.17100446788</v>
      </c>
      <c r="I17" s="68">
        <f>VLOOKUP(A17,הכשרה!A:G,5,0)+VLOOKUP('תפוקה מצטברת מול אשתקד'!A17,מגדל!A:G,5,0)+VLOOKUP('תפוקה מצטברת מול אשתקד'!A17,מנורה!A:G,5,0)+VLOOKUP('תפוקה מצטברת מול אשתקד'!A17,איילון!A:G,5,0)+VLOOKUP('תפוקה מצטברת מול אשתקד'!A17,הראל!A:G,5,0)+VLOOKUP('תפוקה מצטברת מול אשתקד'!A17,הפניקס!A:G,5,0)+VLOOKUP('תפוקה מצטברת מול אשתקד'!A17,כלל!A:G,5,0)+VLOOKUP('תפוקה מצטברת מול אשתקד'!A17,מור!A:G,5,0)+VLOOKUP('תפוקה מצטברת מול אשתקד'!A17,'אלטשולר שחם'!A:G,5,0)+VLOOKUP('תפוקה מצטברת מול אשתקד'!A17,'מדיהו '!A:G,5,0)+VLOOKUP('תפוקה מצטברת מול אשתקד'!A17,'אנליסט '!A:G,5,0)+VLOOKUP('תפוקה מצטברת מול אשתקד'!A17,'מיטב דש'!A:G,5,0)+VLOOKUP('תפוקה מצטברת מול אשתקד'!A17,אינפניטי!A:G,5,0)</f>
        <v>54408.884820966698</v>
      </c>
      <c r="J17" s="68">
        <f>VLOOKUP(A17,הכשרה!A:G,6,0)+VLOOKUP('תפוקה מצטברת מול אשתקד'!A17,מגדל!A:G,6,0)+VLOOKUP('תפוקה מצטברת מול אשתקד'!A17,מנורה!A:G,6,0)+VLOOKUP('תפוקה מצטברת מול אשתקד'!A17,איילון!A:G,6,0)+VLOOKUP(A17,הראל!A:G,6,0)+VLOOKUP('תפוקה מצטברת מול אשתקד'!A17,הפניקס!A:G,6,0)+VLOOKUP('תפוקה מצטברת מול אשתקד'!A17,כלל!A:G,6,0)+VLOOKUP('תפוקה מצטברת מול אשתקד'!A17,מור!A:G,6,0)+VLOOKUP('תפוקה מצטברת מול אשתקד'!A17,'אלטשולר שחם'!A:G,6,0)+VLOOKUP('תפוקה מצטברת מול אשתקד'!A17,'מדיהו '!A:G,6,0)+VLOOKUP('תפוקה מצטברת מול אשתקד'!A17,'אנליסט '!A:G,6,0)+VLOOKUP('תפוקה מצטברת מול אשתקד'!A17,'מיטב דש'!A:G,6,0)+VLOOKUP('תפוקה מצטברת מול אשתקד'!A17,אינפניטי!A:G,6,0)</f>
        <v>681056.58000000007</v>
      </c>
      <c r="K17" s="68">
        <f>VLOOKUP(A17,הכשרה!A:G,7,0)+VLOOKUP('תפוקה מצטברת מול אשתקד'!A17,מגדל!A:G,7,0)+VLOOKUP('תפוקה מצטברת מול אשתקד'!A17,מנורה!A:G,7,0)+VLOOKUP('תפוקה מצטברת מול אשתקד'!A17,איילון!A:G,7,0)+VLOOKUP('תפוקה מצטברת מול אשתקד'!A17,הראל!A:G,7,0)+VLOOKUP('תפוקה מצטברת מול אשתקד'!A17,הפניקס!A:G,7,0)+VLOOKUP('תפוקה מצטברת מול אשתקד'!A17,כלל!A:G,7,0)+VLOOKUP('תפוקה מצטברת מול אשתקד'!A17,מור!A:G,7,0)+VLOOKUP('תפוקה מצטברת מול אשתקד'!A17,'אלטשולר שחם'!A:G,7,0)+VLOOKUP('תפוקה מצטברת מול אשתקד'!A17,'מדיהו '!A:K,7,0)+VLOOKUP(A17,'אנליסט '!A:G,7,0)+VLOOKUP('תפוקה מצטברת מול אשתקד'!A17,'מיטב דש'!A:G,7,0)+VLOOKUP('תפוקה מצטברת מול אשתקד'!A17,אינפניטי!A:G,7,0)</f>
        <v>337716.78</v>
      </c>
      <c r="L17" s="12">
        <f>VLOOKUP(A17,הכשרה!A:K,8,0)+VLOOKUP('תפוקה מצטברת מול אשתקד'!A17,מגדל!A:K,8,0)+VLOOKUP('תפוקה מצטברת מול אשתקד'!A17,מנורה!A:K,8,0)+VLOOKUP('תפוקה מצטברת מול אשתקד'!A17,איילון!A:K,8,0)+VLOOKUP('תפוקה מצטברת מול אשתקד'!A17,הראל!A:K,8,0)+VLOOKUP('תפוקה מצטברת מול אשתקד'!A17,הפניקס!A:K,8,0)+VLOOKUP('תפוקה מצטברת מול אשתקד'!A17,כלל!A:K,8,0)+VLOOKUP('תפוקה מצטברת מול אשתקד'!A17,מור!A:K,8,0)+VLOOKUP('תפוקה מצטברת מול אשתקד'!A17,'אלטשולר שחם'!A:K,8,0)+VLOOKUP('תפוקה מצטברת מול אשתקד'!A17,'מדיהו '!A:K,8,0)+VLOOKUP('תפוקה מצטברת מול אשתקד'!A17,'אנליסט '!A:K,8,0)+VLOOKUP('תפוקה מצטברת מול אשתקד'!A17,'מיטב דש'!A:K,8,0)+VLOOKUP('תפוקה מצטברת מול אשתקד'!A17,אינפניטי!A:K,8,0)</f>
        <v>7237.7367401265492</v>
      </c>
      <c r="M17" s="12">
        <f>VLOOKUP(A17,הכשרה!A:K,9,0)+VLOOKUP('תפוקה מצטברת מול אשתקד'!A17,מגדל!A:K,9,0)+VLOOKUP('תפוקה מצטברת מול אשתקד'!A17,מנורה!A:K,9,0)+VLOOKUP('תפוקה מצטברת מול אשתקד'!A17,איילון!A:K,9,0)+VLOOKUP('תפוקה מצטברת מול אשתקד'!A17,הראל!A:K,9,0)+VLOOKUP('תפוקה מצטברת מול אשתקד'!A17,הפניקס!A:K,9,0)+VLOOKUP('תפוקה מצטברת מול אשתקד'!A17,כלל!A:K,9,0)+VLOOKUP('תפוקה מצטברת מול אשתקד'!A17,מור!A:K,9,0)+VLOOKUP('תפוקה מצטברת מול אשתקד'!A17,'אלטשולר שחם'!A:K,9,0)+VLOOKUP('תפוקה מצטברת מול אשתקד'!A17,'מדיהו '!A:K,9,0)+VLOOKUP('תפוקה מצטברת מול אשתקד'!A17,'אנליסט '!A:K,9,0)+VLOOKUP('תפוקה מצטברת מול אשתקד'!A17,'מיטב דש'!A:K,9,0)+VLOOKUP('תפוקה מצטברת מול אשתקד'!A17,אינפניטי!A:K,9,0)</f>
        <v>14926.812657006452</v>
      </c>
      <c r="N17" s="12">
        <f>VLOOKUP(A17,הכשרה!A:K,10,0)+VLOOKUP('תפוקה מצטברת מול אשתקד'!A17,מגדל!A:K,10,0)+VLOOKUP('תפוקה מצטברת מול אשתקד'!A17,מנורה!A:K,10,0)+VLOOKUP('תפוקה מצטברת מול אשתקד'!A17,איילון!A:K,10,0)+VLOOKUP('תפוקה מצטברת מול אשתקד'!A17,הראל!A:K,10,0)+VLOOKUP('תפוקה מצטברת מול אשתקד'!A17,הפניקס!A:K,10,0)+VLOOKUP('תפוקה מצטברת מול אשתקד'!A17,כלל!A:K,10,0)+VLOOKUP('תפוקה מצטברת מול אשתקד'!A17,מור!A:K,10,0)+VLOOKUP('תפוקה מצטברת מול אשתקד'!A17,'אלטשולר שחם'!A:K,10,0)+VLOOKUP('תפוקה מצטברת מול אשתקד'!A17,'מדיהו '!A:K,10,0)+VLOOKUP('תפוקה מצטברת מול אשתקד'!A17,'אנליסט '!A:K,10,0)+VLOOKUP('תפוקה מצטברת מול אשתקד'!A17,'מיטב דש'!A:K,10,0)+VLOOKUP('תפוקה מצטברת מול אשתקד'!A17,אינפניטי!A:K,10,0)</f>
        <v>770227.52999999991</v>
      </c>
      <c r="O17" s="12">
        <f>VLOOKUP(A17,הכשרה!A:K,11,0)+VLOOKUP('תפוקה מצטברת מול אשתקד'!A17,מגדל!A:K,11,0)+VLOOKUP('תפוקה מצטברת מול אשתקד'!A17,מנורה!A:K,11,0)+VLOOKUP('תפוקה מצטברת מול אשתקד'!A17,איילון!A:K,11,0)+VLOOKUP('תפוקה מצטברת מול אשתקד'!A17,הראל!A:K,11,0)+VLOOKUP('תפוקה מצטברת מול אשתקד'!A17,הפניקס!A:K,11,0)+VLOOKUP('תפוקה מצטברת מול אשתקד'!A17,כלל!A:K,11,0)+VLOOKUP('תפוקה מצטברת מול אשתקד'!A17,מור!A:K,11,0)+VLOOKUP('תפוקה מצטברת מול אשתקד'!A17,'אלטשולר שחם'!A:K,11,0)+VLOOKUP('תפוקה מצטברת מול אשתקד'!A17,'מדיהו '!A:K,11,0)+VLOOKUP('תפוקה מצטברת מול אשתקד'!A17,'אנליסט '!A:K,11,0)+VLOOKUP('תפוקה מצטברת מול אשתקד'!A17,'מיטב דש'!A:K,11,0)+VLOOKUP('תפוקה מצטברת מול אשתקד'!A17,אינפניטי!A:K,11,0)</f>
        <v>461281.35999999993</v>
      </c>
    </row>
    <row r="18" spans="1:18" ht="15.75" customHeight="1" x14ac:dyDescent="0.25">
      <c r="A18" s="27" t="s">
        <v>43</v>
      </c>
      <c r="B18" s="27" t="s">
        <v>116</v>
      </c>
      <c r="C18" s="27" t="s">
        <v>114</v>
      </c>
      <c r="D18" s="20">
        <f t="shared" si="0"/>
        <v>0.40332661964916139</v>
      </c>
      <c r="E18" s="20">
        <f t="shared" si="1"/>
        <v>25.148604284382341</v>
      </c>
      <c r="F18" s="20">
        <f t="shared" si="2"/>
        <v>0.66848881558864193</v>
      </c>
      <c r="G18" s="20">
        <f>IF(K18=0,0%,IF(O18=#REF!,100%,K18/O18-1))</f>
        <v>0</v>
      </c>
      <c r="H18" s="68">
        <f>VLOOKUP(A18,הכשרה!A:G,4,0)+VLOOKUP('תפוקה מצטברת מול אשתקד'!A18,מגדל!A:G,4,0)+VLOOKUP('תפוקה מצטברת מול אשתקד'!A18,מנורה!A:G,4,0)+VLOOKUP('תפוקה מצטברת מול אשתקד'!A18,איילון!A:G,4,0)+VLOOKUP('תפוקה מצטברת מול אשתקד'!A18,הראל!A:G,4,0)+VLOOKUP('תפוקה מצטברת מול אשתקד'!A18,הפניקס!A:G,4,0)+VLOOKUP('תפוקה מצטברת מול אשתקד'!A18,כלל!A:G,4,0)+VLOOKUP('תפוקה מצטברת מול אשתקד'!A18,מור!A:G,4,0)+VLOOKUP('תפוקה מצטברת מול אשתקד'!A18,'אלטשולר שחם'!A:G,4,0)+VLOOKUP('תפוקה מצטברת מול אשתקד'!A18,'מדיהו '!A:G,4,0)+VLOOKUP('תפוקה מצטברת מול אשתקד'!A18,'אנליסט '!A:G,4,0)+VLOOKUP('תפוקה מצטברת מול אשתקד'!A18,'מיטב דש'!A:G,4,0)+VLOOKUP('תפוקה מצטברת מול אשתקד'!A18,אינפניטי!A:G,4,0)</f>
        <v>145412.71306757411</v>
      </c>
      <c r="I18" s="68">
        <f>VLOOKUP(A18,הכשרה!A:G,5,0)+VLOOKUP('תפוקה מצטברת מול אשתקד'!A18,מגדל!A:G,5,0)+VLOOKUP('תפוקה מצטברת מול אשתקד'!A18,מנורה!A:G,5,0)+VLOOKUP('תפוקה מצטברת מול אשתקד'!A18,איילון!A:G,5,0)+VLOOKUP('תפוקה מצטברת מול אשתקד'!A18,הראל!A:G,5,0)+VLOOKUP('תפוקה מצטברת מול אשתקד'!A18,הפניקס!A:G,5,0)+VLOOKUP('תפוקה מצטברת מול אשתקד'!A18,כלל!A:G,5,0)+VLOOKUP('תפוקה מצטברת מול אשתקד'!A18,מור!A:G,5,0)+VLOOKUP('תפוקה מצטברת מול אשתקד'!A18,'אלטשולר שחם'!A:G,5,0)+VLOOKUP('תפוקה מצטברת מול אשתקד'!A18,'מדיהו '!A:G,5,0)+VLOOKUP('תפוקה מצטברת מול אשתקד'!A18,'אנליסט '!A:G,5,0)+VLOOKUP('תפוקה מצטברת מול אשתקד'!A18,'מיטב דש'!A:G,5,0)+VLOOKUP('תפוקה מצטברת מול אשתקד'!A18,אינפניטי!A:G,5,0)</f>
        <v>73348.850211602781</v>
      </c>
      <c r="J18" s="68">
        <f>VLOOKUP(A18,הכשרה!A:G,6,0)+VLOOKUP('תפוקה מצטברת מול אשתקד'!A18,מגדל!A:G,6,0)+VLOOKUP('תפוקה מצטברת מול אשתקד'!A18,מנורה!A:G,6,0)+VLOOKUP('תפוקה מצטברת מול אשתקד'!A18,איילון!A:G,6,0)+VLOOKUP(A18,הראל!A:G,6,0)+VLOOKUP('תפוקה מצטברת מול אשתקד'!A18,הפניקס!A:G,6,0)+VLOOKUP('תפוקה מצטברת מול אשתקד'!A18,כלל!A:G,6,0)+VLOOKUP('תפוקה מצטברת מול אשתקד'!A18,מור!A:G,6,0)+VLOOKUP('תפוקה מצטברת מול אשתקד'!A18,'אלטשולר שחם'!A:G,6,0)+VLOOKUP('תפוקה מצטברת מול אשתקד'!A18,'מדיהו '!A:G,6,0)+VLOOKUP('תפוקה מצטברת מול אשתקד'!A18,'אנליסט '!A:G,6,0)+VLOOKUP('תפוקה מצטברת מול אשתקד'!A18,'מיטב דש'!A:G,6,0)+VLOOKUP('תפוקה מצטברת מול אשתקד'!A18,אינפניטי!A:G,6,0)</f>
        <v>2503946.5234271465</v>
      </c>
      <c r="K18" s="68">
        <f>VLOOKUP(A18,הכשרה!A:G,7,0)+VLOOKUP('תפוקה מצטברת מול אשתקד'!A18,מגדל!A:G,7,0)+VLOOKUP('תפוקה מצטברת מול אשתקד'!A18,מנורה!A:G,7,0)+VLOOKUP('תפוקה מצטברת מול אשתקד'!A18,איילון!A:G,7,0)+VLOOKUP('תפוקה מצטברת מול אשתקד'!A18,הראל!A:G,7,0)+VLOOKUP('תפוקה מצטברת מול אשתקד'!A18,הפניקס!A:G,7,0)+VLOOKUP('תפוקה מצטברת מול אשתקד'!A18,כלל!A:G,7,0)+VLOOKUP('תפוקה מצטברת מול אשתקד'!A18,מור!A:G,7,0)+VLOOKUP('תפוקה מצטברת מול אשתקד'!A18,'אלטשולר שחם'!A:G,7,0)+VLOOKUP('תפוקה מצטברת מול אשתקד'!A18,'מדיהו '!A:K,7,0)+VLOOKUP(A18,'אנליסט '!A:G,7,0)+VLOOKUP('תפוקה מצטברת מול אשתקד'!A18,'מיטב דש'!A:G,7,0)+VLOOKUP('תפוקה מצטברת מול אשתקד'!A18,אינפניטי!A:G,7,0)</f>
        <v>0</v>
      </c>
      <c r="L18" s="12">
        <f>VLOOKUP(A18,הכשרה!A:K,8,0)+VLOOKUP('תפוקה מצטברת מול אשתקד'!A18,מגדל!A:K,8,0)+VLOOKUP('תפוקה מצטברת מול אשתקד'!A18,מנורה!A:K,8,0)+VLOOKUP('תפוקה מצטברת מול אשתקד'!A18,איילון!A:K,8,0)+VLOOKUP('תפוקה מצטברת מול אשתקד'!A18,הראל!A:K,8,0)+VLOOKUP('תפוקה מצטברת מול אשתקד'!A18,הפניקס!A:K,8,0)+VLOOKUP('תפוקה מצטברת מול אשתקד'!A18,כלל!A:K,8,0)+VLOOKUP('תפוקה מצטברת מול אשתקד'!A18,מור!A:K,8,0)+VLOOKUP('תפוקה מצטברת מול אשתקד'!A18,'אלטשולר שחם'!A:K,8,0)+VLOOKUP('תפוקה מצטברת מול אשתקד'!A18,'מדיהו '!A:K,8,0)+VLOOKUP('תפוקה מצטברת מול אשתקד'!A18,'אנליסט '!A:K,8,0)+VLOOKUP('תפוקה מצטברת מול אשתקד'!A18,'מיטב דש'!A:K,8,0)+VLOOKUP('תפוקה מצטברת מול אשתקד'!A18,אינפניטי!A:K,8,0)</f>
        <v>103620.00622772195</v>
      </c>
      <c r="M18" s="12">
        <f>VLOOKUP(A18,הכשרה!A:K,9,0)+VLOOKUP('תפוקה מצטברת מול אשתקד'!A18,מגדל!A:K,9,0)+VLOOKUP('תפוקה מצטברת מול אשתקד'!A18,מנורה!A:K,9,0)+VLOOKUP('תפוקה מצטברת מול אשתקד'!A18,איילון!A:K,9,0)+VLOOKUP('תפוקה מצטברת מול אשתקד'!A18,הראל!A:K,9,0)+VLOOKUP('תפוקה מצטברת מול אשתקד'!A18,הפניקס!A:K,9,0)+VLOOKUP('תפוקה מצטברת מול אשתקד'!A18,כלל!A:K,9,0)+VLOOKUP('תפוקה מצטברת מול אשתקד'!A18,מור!A:K,9,0)+VLOOKUP('תפוקה מצטברת מול אשתקד'!A18,'אלטשולר שחם'!A:K,9,0)+VLOOKUP('תפוקה מצטברת מול אשתקד'!A18,'מדיהו '!A:K,9,0)+VLOOKUP('תפוקה מצטברת מול אשתקד'!A18,'אנליסט '!A:K,9,0)+VLOOKUP('תפוקה מצטברת מול אשתקד'!A18,'מיטב דש'!A:K,9,0)+VLOOKUP('תפוקה מצטברת מול אשתקד'!A18,אינפניטי!A:K,9,0)</f>
        <v>2805.0770669779695</v>
      </c>
      <c r="N18" s="12">
        <f>VLOOKUP(A18,הכשרה!A:K,10,0)+VLOOKUP('תפוקה מצטברת מול אשתקד'!A18,מגדל!A:K,10,0)+VLOOKUP('תפוקה מצטברת מול אשתקד'!A18,מנורה!A:K,10,0)+VLOOKUP('תפוקה מצטברת מול אשתקד'!A18,איילון!A:K,10,0)+VLOOKUP('תפוקה מצטברת מול אשתקד'!A18,הראל!A:K,10,0)+VLOOKUP('תפוקה מצטברת מול אשתקד'!A18,הפניקס!A:K,10,0)+VLOOKUP('תפוקה מצטברת מול אשתקד'!A18,כלל!A:K,10,0)+VLOOKUP('תפוקה מצטברת מול אשתקד'!A18,מור!A:K,10,0)+VLOOKUP('תפוקה מצטברת מול אשתקד'!A18,'אלטשולר שחם'!A:K,10,0)+VLOOKUP('תפוקה מצטברת מול אשתקד'!A18,'מדיהו '!A:K,10,0)+VLOOKUP('תפוקה מצטברת מול אשתקד'!A18,'אנליסט '!A:K,10,0)+VLOOKUP('תפוקה מצטברת מול אשתקד'!A18,'מיטב דש'!A:K,10,0)+VLOOKUP('תפוקה מצטברת מול אשתקד'!A18,אינפניטי!A:K,10,0)</f>
        <v>1500727.1850028888</v>
      </c>
      <c r="O18" s="12">
        <f>VLOOKUP(A18,הכשרה!A:K,11,0)+VLOOKUP('תפוקה מצטברת מול אשתקד'!A18,מגדל!A:K,11,0)+VLOOKUP('תפוקה מצטברת מול אשתקד'!A18,מנורה!A:K,11,0)+VLOOKUP('תפוקה מצטברת מול אשתקד'!A18,איילון!A:K,11,0)+VLOOKUP('תפוקה מצטברת מול אשתקד'!A18,הראל!A:K,11,0)+VLOOKUP('תפוקה מצטברת מול אשתקד'!A18,הפניקס!A:K,11,0)+VLOOKUP('תפוקה מצטברת מול אשתקד'!A18,כלל!A:K,11,0)+VLOOKUP('תפוקה מצטברת מול אשתקד'!A18,מור!A:K,11,0)+VLOOKUP('תפוקה מצטברת מול אשתקד'!A18,'אלטשולר שחם'!A:K,11,0)+VLOOKUP('תפוקה מצטברת מול אשתקד'!A18,'מדיהו '!A:K,11,0)+VLOOKUP('תפוקה מצטברת מול אשתקד'!A18,'אנליסט '!A:K,11,0)+VLOOKUP('תפוקה מצטברת מול אשתקד'!A18,'מיטב דש'!A:K,11,0)+VLOOKUP('תפוקה מצטברת מול אשתקד'!A18,אינפניטי!A:K,11,0)</f>
        <v>-72823.75</v>
      </c>
    </row>
    <row r="19" spans="1:18" ht="15.75" customHeight="1" x14ac:dyDescent="0.25">
      <c r="A19" s="27" t="s">
        <v>30</v>
      </c>
      <c r="B19" s="27" t="s">
        <v>116</v>
      </c>
      <c r="C19" s="27" t="s">
        <v>114</v>
      </c>
      <c r="D19" s="20">
        <f t="shared" si="0"/>
        <v>1</v>
      </c>
      <c r="E19" s="20">
        <f t="shared" si="1"/>
        <v>0</v>
      </c>
      <c r="F19" s="20">
        <f t="shared" si="2"/>
        <v>0</v>
      </c>
      <c r="G19" s="20">
        <f>IF(K19=0,0%,IF(O19=#REF!,100%,K19/O19-1))</f>
        <v>0</v>
      </c>
      <c r="H19" s="68">
        <f>VLOOKUP(A19,הכשרה!A:G,4,0)+VLOOKUP('תפוקה מצטברת מול אשתקד'!A19,מגדל!A:G,4,0)+VLOOKUP('תפוקה מצטברת מול אשתקד'!A19,מנורה!A:G,4,0)+VLOOKUP('תפוקה מצטברת מול אשתקד'!A19,איילון!A:G,4,0)+VLOOKUP('תפוקה מצטברת מול אשתקד'!A19,הראל!A:G,4,0)+VLOOKUP('תפוקה מצטברת מול אשתקד'!A19,הפניקס!A:G,4,0)+VLOOKUP('תפוקה מצטברת מול אשתקד'!A19,כלל!A:G,4,0)+VLOOKUP('תפוקה מצטברת מול אשתקד'!A19,מור!A:G,4,0)+VLOOKUP('תפוקה מצטברת מול אשתקד'!A19,'אלטשולר שחם'!A:G,4,0)+VLOOKUP('תפוקה מצטברת מול אשתקד'!A19,'מדיהו '!A:G,4,0)+VLOOKUP('תפוקה מצטברת מול אשתקד'!A19,'אנליסט '!A:G,4,0)+VLOOKUP('תפוקה מצטברת מול אשתקד'!A19,'מיטב דש'!A:G,4,0)+VLOOKUP('תפוקה מצטברת מול אשתקד'!A19,אינפניטי!A:G,4,0)</f>
        <v>463.53</v>
      </c>
      <c r="I19" s="68">
        <f>VLOOKUP(A19,הכשרה!A:G,5,0)+VLOOKUP('תפוקה מצטברת מול אשתקד'!A19,מגדל!A:G,5,0)+VLOOKUP('תפוקה מצטברת מול אשתקד'!A19,מנורה!A:G,5,0)+VLOOKUP('תפוקה מצטברת מול אשתקד'!A19,איילון!A:G,5,0)+VLOOKUP('תפוקה מצטברת מול אשתקד'!A19,הראל!A:G,5,0)+VLOOKUP('תפוקה מצטברת מול אשתקד'!A19,הפניקס!A:G,5,0)+VLOOKUP('תפוקה מצטברת מול אשתקד'!A19,כלל!A:G,5,0)+VLOOKUP('תפוקה מצטברת מול אשתקד'!A19,מור!A:G,5,0)+VLOOKUP('תפוקה מצטברת מול אשתקד'!A19,'אלטשולר שחם'!A:G,5,0)+VLOOKUP('תפוקה מצטברת מול אשתקד'!A19,'מדיהו '!A:G,5,0)+VLOOKUP('תפוקה מצטברת מול אשתקד'!A19,'אנליסט '!A:G,5,0)+VLOOKUP('תפוקה מצטברת מול אשתקד'!A19,'מיטב דש'!A:G,5,0)+VLOOKUP('תפוקה מצטברת מול אשתקד'!A19,אינפניטי!A:G,5,0)</f>
        <v>0</v>
      </c>
      <c r="J19" s="68">
        <f>VLOOKUP(A19,הכשרה!A:G,6,0)+VLOOKUP('תפוקה מצטברת מול אשתקד'!A19,מגדל!A:G,6,0)+VLOOKUP('תפוקה מצטברת מול אשתקד'!A19,מנורה!A:G,6,0)+VLOOKUP('תפוקה מצטברת מול אשתקד'!A19,איילון!A:G,6,0)+VLOOKUP(A19,הראל!A:G,6,0)+VLOOKUP('תפוקה מצטברת מול אשתקד'!A19,הפניקס!A:G,6,0)+VLOOKUP('תפוקה מצטברת מול אשתקד'!A19,כלל!A:G,6,0)+VLOOKUP('תפוקה מצטברת מול אשתקד'!A19,מור!A:G,6,0)+VLOOKUP('תפוקה מצטברת מול אשתקד'!A19,'אלטשולר שחם'!A:G,6,0)+VLOOKUP('תפוקה מצטברת מול אשתקד'!A19,'מדיהו '!A:G,6,0)+VLOOKUP('תפוקה מצטברת מול אשתקד'!A19,'אנליסט '!A:G,6,0)+VLOOKUP('תפוקה מצטברת מול אשתקד'!A19,'מיטב דש'!A:G,6,0)+VLOOKUP('תפוקה מצטברת מול אשתקד'!A19,אינפניטי!A:G,6,0)</f>
        <v>0</v>
      </c>
      <c r="K19" s="68">
        <f>VLOOKUP(A19,הכשרה!A:G,7,0)+VLOOKUP('תפוקה מצטברת מול אשתקד'!A19,מגדל!A:G,7,0)+VLOOKUP('תפוקה מצטברת מול אשתקד'!A19,מנורה!A:G,7,0)+VLOOKUP('תפוקה מצטברת מול אשתקד'!A19,איילון!A:G,7,0)+VLOOKUP('תפוקה מצטברת מול אשתקד'!A19,הראל!A:G,7,0)+VLOOKUP('תפוקה מצטברת מול אשתקד'!A19,הפניקס!A:G,7,0)+VLOOKUP('תפוקה מצטברת מול אשתקד'!A19,כלל!A:G,7,0)+VLOOKUP('תפוקה מצטברת מול אשתקד'!A19,מור!A:G,7,0)+VLOOKUP('תפוקה מצטברת מול אשתקד'!A19,'אלטשולר שחם'!A:G,7,0)+VLOOKUP('תפוקה מצטברת מול אשתקד'!A19,'מדיהו '!A:K,7,0)+VLOOKUP(A19,'אנליסט '!A:G,7,0)+VLOOKUP('תפוקה מצטברת מול אשתקד'!A19,'מיטב דש'!A:G,7,0)+VLOOKUP('תפוקה מצטברת מול אשתקד'!A19,אינפניטי!A:G,7,0)</f>
        <v>0</v>
      </c>
      <c r="L19" s="12">
        <f>VLOOKUP(A19,הכשרה!A:K,8,0)+VLOOKUP('תפוקה מצטברת מול אשתקד'!A19,מגדל!A:K,8,0)+VLOOKUP('תפוקה מצטברת מול אשתקד'!A19,מנורה!A:K,8,0)+VLOOKUP('תפוקה מצטברת מול אשתקד'!A19,איילון!A:K,8,0)+VLOOKUP('תפוקה מצטברת מול אשתקד'!A19,הראל!A:K,8,0)+VLOOKUP('תפוקה מצטברת מול אשתקד'!A19,הפניקס!A:K,8,0)+VLOOKUP('תפוקה מצטברת מול אשתקד'!A19,כלל!A:K,8,0)+VLOOKUP('תפוקה מצטברת מול אשתקד'!A19,מור!A:K,8,0)+VLOOKUP('תפוקה מצטברת מול אשתקד'!A19,'אלטשולר שחם'!A:K,8,0)+VLOOKUP('תפוקה מצטברת מול אשתקד'!A19,'מדיהו '!A:K,8,0)+VLOOKUP('תפוקה מצטברת מול אשתקד'!A19,'אנליסט '!A:K,8,0)+VLOOKUP('תפוקה מצטברת מול אשתקד'!A19,'מיטב דש'!A:K,8,0)+VLOOKUP('תפוקה מצטברת מול אשתקד'!A19,אינפניטי!A:K,8,0)</f>
        <v>0</v>
      </c>
      <c r="M19" s="12">
        <f>VLOOKUP(A19,הכשרה!A:K,9,0)+VLOOKUP('תפוקה מצטברת מול אשתקד'!A19,מגדל!A:K,9,0)+VLOOKUP('תפוקה מצטברת מול אשתקד'!A19,מנורה!A:K,9,0)+VLOOKUP('תפוקה מצטברת מול אשתקד'!A19,איילון!A:K,9,0)+VLOOKUP('תפוקה מצטברת מול אשתקד'!A19,הראל!A:K,9,0)+VLOOKUP('תפוקה מצטברת מול אשתקד'!A19,הפניקס!A:K,9,0)+VLOOKUP('תפוקה מצטברת מול אשתקד'!A19,כלל!A:K,9,0)+VLOOKUP('תפוקה מצטברת מול אשתקד'!A19,מור!A:K,9,0)+VLOOKUP('תפוקה מצטברת מול אשתקד'!A19,'אלטשולר שחם'!A:K,9,0)+VLOOKUP('תפוקה מצטברת מול אשתקד'!A19,'מדיהו '!A:K,9,0)+VLOOKUP('תפוקה מצטברת מול אשתקד'!A19,'אנליסט '!A:K,9,0)+VLOOKUP('תפוקה מצטברת מול אשתקד'!A19,'מיטב דש'!A:K,9,0)+VLOOKUP('תפוקה מצטברת מול אשתקד'!A19,אינפניטי!A:K,9,0)</f>
        <v>0</v>
      </c>
      <c r="N19" s="12">
        <f>VLOOKUP(A19,הכשרה!A:K,10,0)+VLOOKUP('תפוקה מצטברת מול אשתקד'!A19,מגדל!A:K,10,0)+VLOOKUP('תפוקה מצטברת מול אשתקד'!A19,מנורה!A:K,10,0)+VLOOKUP('תפוקה מצטברת מול אשתקד'!A19,איילון!A:K,10,0)+VLOOKUP('תפוקה מצטברת מול אשתקד'!A19,הראל!A:K,10,0)+VLOOKUP('תפוקה מצטברת מול אשתקד'!A19,הפניקס!A:K,10,0)+VLOOKUP('תפוקה מצטברת מול אשתקד'!A19,כלל!A:K,10,0)+VLOOKUP('תפוקה מצטברת מול אשתקד'!A19,מור!A:K,10,0)+VLOOKUP('תפוקה מצטברת מול אשתקד'!A19,'אלטשולר שחם'!A:K,10,0)+VLOOKUP('תפוקה מצטברת מול אשתקד'!A19,'מדיהו '!A:K,10,0)+VLOOKUP('תפוקה מצטברת מול אשתקד'!A19,'אנליסט '!A:K,10,0)+VLOOKUP('תפוקה מצטברת מול אשתקד'!A19,'מיטב דש'!A:K,10,0)+VLOOKUP('תפוקה מצטברת מול אשתקד'!A19,אינפניטי!A:K,10,0)</f>
        <v>8787.0408960000004</v>
      </c>
      <c r="O19" s="12">
        <f>VLOOKUP(A19,הכשרה!A:K,11,0)+VLOOKUP('תפוקה מצטברת מול אשתקד'!A19,מגדל!A:K,11,0)+VLOOKUP('תפוקה מצטברת מול אשתקד'!A19,מנורה!A:K,11,0)+VLOOKUP('תפוקה מצטברת מול אשתקד'!A19,איילון!A:K,11,0)+VLOOKUP('תפוקה מצטברת מול אשתקד'!A19,הראל!A:K,11,0)+VLOOKUP('תפוקה מצטברת מול אשתקד'!A19,הפניקס!A:K,11,0)+VLOOKUP('תפוקה מצטברת מול אשתקד'!A19,כלל!A:K,11,0)+VLOOKUP('תפוקה מצטברת מול אשתקד'!A19,מור!A:K,11,0)+VLOOKUP('תפוקה מצטברת מול אשתקד'!A19,'אלטשולר שחם'!A:K,11,0)+VLOOKUP('תפוקה מצטברת מול אשתקד'!A19,'מדיהו '!A:K,11,0)+VLOOKUP('תפוקה מצטברת מול אשתקד'!A19,'אנליסט '!A:K,11,0)+VLOOKUP('תפוקה מצטברת מול אשתקד'!A19,'מיטב דש'!A:K,11,0)+VLOOKUP('תפוקה מצטברת מול אשתקד'!A19,אינפניטי!A:K,11,0)</f>
        <v>0</v>
      </c>
    </row>
    <row r="20" spans="1:18" ht="15.75" customHeight="1" thickBot="1" x14ac:dyDescent="0.3">
      <c r="A20" s="29" t="s">
        <v>38</v>
      </c>
      <c r="B20" s="27" t="s">
        <v>116</v>
      </c>
      <c r="C20" s="29" t="s">
        <v>114</v>
      </c>
      <c r="D20" s="118">
        <f t="shared" si="0"/>
        <v>0</v>
      </c>
      <c r="E20" s="118">
        <f t="shared" si="1"/>
        <v>0</v>
      </c>
      <c r="F20" s="118">
        <f t="shared" si="2"/>
        <v>0</v>
      </c>
      <c r="G20" s="20">
        <f>IF(K20=0,0%,IF(O20=#REF!,100%,K20/O20-1))</f>
        <v>0</v>
      </c>
      <c r="H20" s="68">
        <f>VLOOKUP(A20,הכשרה!A:G,4,0)+VLOOKUP('תפוקה מצטברת מול אשתקד'!A20,מגדל!A:G,4,0)+VLOOKUP('תפוקה מצטברת מול אשתקד'!A20,מנורה!A:G,4,0)+VLOOKUP('תפוקה מצטברת מול אשתקד'!A20,איילון!A:G,4,0)+VLOOKUP('תפוקה מצטברת מול אשתקד'!A20,הראל!A:G,4,0)+VLOOKUP('תפוקה מצטברת מול אשתקד'!A20,הפניקס!A:G,4,0)+VLOOKUP('תפוקה מצטברת מול אשתקד'!A20,כלל!A:G,4,0)+VLOOKUP('תפוקה מצטברת מול אשתקד'!A20,מור!A:G,4,0)+VLOOKUP('תפוקה מצטברת מול אשתקד'!A20,'אלטשולר שחם'!A:G,4,0)+VLOOKUP('תפוקה מצטברת מול אשתקד'!A20,'מדיהו '!A:G,4,0)+VLOOKUP('תפוקה מצטברת מול אשתקד'!A20,'אנליסט '!A:G,4,0)+VLOOKUP('תפוקה מצטברת מול אשתקד'!A20,'מיטב דש'!A:G,4,0)+VLOOKUP('תפוקה מצטברת מול אשתקד'!A20,אינפניטי!A:G,4,0)</f>
        <v>0</v>
      </c>
      <c r="I20" s="68">
        <f>VLOOKUP(A20,הכשרה!A:G,5,0)+VLOOKUP('תפוקה מצטברת מול אשתקד'!A20,מגדל!A:G,5,0)+VLOOKUP('תפוקה מצטברת מול אשתקד'!A20,מנורה!A:G,5,0)+VLOOKUP('תפוקה מצטברת מול אשתקד'!A20,איילון!A:G,5,0)+VLOOKUP('תפוקה מצטברת מול אשתקד'!A20,הראל!A:G,5,0)+VLOOKUP('תפוקה מצטברת מול אשתקד'!A20,הפניקס!A:G,5,0)+VLOOKUP('תפוקה מצטברת מול אשתקד'!A20,כלל!A:G,5,0)+VLOOKUP('תפוקה מצטברת מול אשתקד'!A20,מור!A:G,5,0)+VLOOKUP('תפוקה מצטברת מול אשתקד'!A20,'אלטשולר שחם'!A:G,5,0)+VLOOKUP('תפוקה מצטברת מול אשתקד'!A20,'מדיהו '!A:G,5,0)+VLOOKUP('תפוקה מצטברת מול אשתקד'!A20,'אנליסט '!A:G,5,0)+VLOOKUP('תפוקה מצטברת מול אשתקד'!A20,'מיטב דש'!A:G,5,0)+VLOOKUP('תפוקה מצטברת מול אשתקד'!A20,אינפניטי!A:G,5,0)</f>
        <v>0</v>
      </c>
      <c r="J20" s="68">
        <f>VLOOKUP(A20,הכשרה!A:G,6,0)+VLOOKUP('תפוקה מצטברת מול אשתקד'!A20,מגדל!A:G,6,0)+VLOOKUP('תפוקה מצטברת מול אשתקד'!A20,מנורה!A:G,6,0)+VLOOKUP('תפוקה מצטברת מול אשתקד'!A20,איילון!A:G,6,0)+VLOOKUP(A20,הראל!A:G,6,0)+VLOOKUP('תפוקה מצטברת מול אשתקד'!A20,הפניקס!A:G,6,0)+VLOOKUP('תפוקה מצטברת מול אשתקד'!A20,כלל!A:G,6,0)+VLOOKUP('תפוקה מצטברת מול אשתקד'!A20,מור!A:G,6,0)+VLOOKUP('תפוקה מצטברת מול אשתקד'!A20,'אלטשולר שחם'!A:G,6,0)+VLOOKUP('תפוקה מצטברת מול אשתקד'!A20,'מדיהו '!A:G,6,0)+VLOOKUP('תפוקה מצטברת מול אשתקד'!A20,'אנליסט '!A:G,6,0)+VLOOKUP('תפוקה מצטברת מול אשתקד'!A20,'מיטב דש'!A:G,6,0)+VLOOKUP('תפוקה מצטברת מול אשתקד'!A20,אינפניטי!A:G,6,0)</f>
        <v>0</v>
      </c>
      <c r="K20" s="68">
        <f>VLOOKUP(A20,הכשרה!A:G,7,0)+VLOOKUP('תפוקה מצטברת מול אשתקד'!A20,מגדל!A:G,7,0)+VLOOKUP('תפוקה מצטברת מול אשתקד'!A20,מנורה!A:G,7,0)+VLOOKUP('תפוקה מצטברת מול אשתקד'!A20,איילון!A:G,7,0)+VLOOKUP('תפוקה מצטברת מול אשתקד'!A20,הראל!A:G,7,0)+VLOOKUP('תפוקה מצטברת מול אשתקד'!A20,הפניקס!A:G,7,0)+VLOOKUP('תפוקה מצטברת מול אשתקד'!A20,כלל!A:G,7,0)+VLOOKUP('תפוקה מצטברת מול אשתקד'!A20,מור!A:G,7,0)+VLOOKUP('תפוקה מצטברת מול אשתקד'!A20,'אלטשולר שחם'!A:G,7,0)+VLOOKUP('תפוקה מצטברת מול אשתקד'!A20,'מדיהו '!A:K,7,0)+VLOOKUP(A20,'אנליסט '!A:G,7,0)+VLOOKUP('תפוקה מצטברת מול אשתקד'!A20,'מיטב דש'!A:G,7,0)+VLOOKUP('תפוקה מצטברת מול אשתקד'!A20,אינפניטי!A:G,7,0)</f>
        <v>0</v>
      </c>
      <c r="L20" s="12">
        <f>VLOOKUP(A20,הכשרה!A:K,8,0)+VLOOKUP('תפוקה מצטברת מול אשתקד'!A20,מגדל!A:K,8,0)+VLOOKUP('תפוקה מצטברת מול אשתקד'!A20,מנורה!A:K,8,0)+VLOOKUP('תפוקה מצטברת מול אשתקד'!A20,איילון!A:K,8,0)+VLOOKUP('תפוקה מצטברת מול אשתקד'!A20,הראל!A:K,8,0)+VLOOKUP('תפוקה מצטברת מול אשתקד'!A20,הפניקס!A:K,8,0)+VLOOKUP('תפוקה מצטברת מול אשתקד'!A20,כלל!A:K,8,0)+VLOOKUP('תפוקה מצטברת מול אשתקד'!A20,מור!A:K,8,0)+VLOOKUP('תפוקה מצטברת מול אשתקד'!A20,'אלטשולר שחם'!A:K,8,0)+VLOOKUP('תפוקה מצטברת מול אשתקד'!A20,'מדיהו '!A:K,8,0)+VLOOKUP('תפוקה מצטברת מול אשתקד'!A20,'אנליסט '!A:K,8,0)+VLOOKUP('תפוקה מצטברת מול אשתקד'!A20,'מיטב דש'!A:K,8,0)+VLOOKUP('תפוקה מצטברת מול אשתקד'!A20,אינפניטי!A:K,8,0)</f>
        <v>0</v>
      </c>
      <c r="M20" s="12">
        <f>VLOOKUP(A20,הכשרה!A:K,9,0)+VLOOKUP('תפוקה מצטברת מול אשתקד'!A20,מגדל!A:K,9,0)+VLOOKUP('תפוקה מצטברת מול אשתקד'!A20,מנורה!A:K,9,0)+VLOOKUP('תפוקה מצטברת מול אשתקד'!A20,איילון!A:K,9,0)+VLOOKUP('תפוקה מצטברת מול אשתקד'!A20,הראל!A:K,9,0)+VLOOKUP('תפוקה מצטברת מול אשתקד'!A20,הפניקס!A:K,9,0)+VLOOKUP('תפוקה מצטברת מול אשתקד'!A20,כלל!A:K,9,0)+VLOOKUP('תפוקה מצטברת מול אשתקד'!A20,מור!A:K,9,0)+VLOOKUP('תפוקה מצטברת מול אשתקד'!A20,'אלטשולר שחם'!A:K,9,0)+VLOOKUP('תפוקה מצטברת מול אשתקד'!A20,'מדיהו '!A:K,9,0)+VLOOKUP('תפוקה מצטברת מול אשתקד'!A20,'אנליסט '!A:K,9,0)+VLOOKUP('תפוקה מצטברת מול אשתקד'!A20,'מיטב דש'!A:K,9,0)+VLOOKUP('תפוקה מצטברת מול אשתקד'!A20,אינפניטי!A:K,9,0)</f>
        <v>1081.1799999999998</v>
      </c>
      <c r="N20" s="12">
        <f>VLOOKUP(A20,הכשרה!A:K,10,0)+VLOOKUP('תפוקה מצטברת מול אשתקד'!A20,מגדל!A:K,10,0)+VLOOKUP('תפוקה מצטברת מול אשתקד'!A20,מנורה!A:K,10,0)+VLOOKUP('תפוקה מצטברת מול אשתקד'!A20,איילון!A:K,10,0)+VLOOKUP('תפוקה מצטברת מול אשתקד'!A20,הראל!A:K,10,0)+VLOOKUP('תפוקה מצטברת מול אשתקד'!A20,הפניקס!A:K,10,0)+VLOOKUP('תפוקה מצטברת מול אשתקד'!A20,כלל!A:K,10,0)+VLOOKUP('תפוקה מצטברת מול אשתקד'!A20,מור!A:K,10,0)+VLOOKUP('תפוקה מצטברת מול אשתקד'!A20,'אלטשולר שחם'!A:K,10,0)+VLOOKUP('תפוקה מצטברת מול אשתקד'!A20,'מדיהו '!A:K,10,0)+VLOOKUP('תפוקה מצטברת מול אשתקד'!A20,'אנליסט '!A:K,10,0)+VLOOKUP('תפוקה מצטברת מול אשתקד'!A20,'מיטב דש'!A:K,10,0)+VLOOKUP('תפוקה מצטברת מול אשתקד'!A20,אינפניטי!A:K,10,0)</f>
        <v>0</v>
      </c>
      <c r="O20" s="12">
        <f>VLOOKUP(A20,הכשרה!A:K,11,0)+VLOOKUP('תפוקה מצטברת מול אשתקד'!A20,מגדל!A:K,11,0)+VLOOKUP('תפוקה מצטברת מול אשתקד'!A20,מנורה!A:K,11,0)+VLOOKUP('תפוקה מצטברת מול אשתקד'!A20,איילון!A:K,11,0)+VLOOKUP('תפוקה מצטברת מול אשתקד'!A20,הראל!A:K,11,0)+VLOOKUP('תפוקה מצטברת מול אשתקד'!A20,הפניקס!A:K,11,0)+VLOOKUP('תפוקה מצטברת מול אשתקד'!A20,כלל!A:K,11,0)+VLOOKUP('תפוקה מצטברת מול אשתקד'!A20,מור!A:K,11,0)+VLOOKUP('תפוקה מצטברת מול אשתקד'!A20,'אלטשולר שחם'!A:K,11,0)+VLOOKUP('תפוקה מצטברת מול אשתקד'!A20,'מדיהו '!A:K,11,0)+VLOOKUP('תפוקה מצטברת מול אשתקד'!A20,'אנליסט '!A:K,11,0)+VLOOKUP('תפוקה מצטברת מול אשתקד'!A20,'מיטב דש'!A:K,11,0)+VLOOKUP('תפוקה מצטברת מול אשתקד'!A20,אינפניטי!A:K,11,0)</f>
        <v>0</v>
      </c>
    </row>
    <row r="21" spans="1:18" ht="18" customHeight="1" thickBot="1" x14ac:dyDescent="0.3">
      <c r="A21" s="143" t="s">
        <v>10</v>
      </c>
      <c r="B21" s="142"/>
      <c r="C21" s="142"/>
      <c r="D21" s="147">
        <f t="shared" si="0"/>
        <v>15.119026306509895</v>
      </c>
      <c r="E21" s="147">
        <f t="shared" si="1"/>
        <v>1.9064375476225486</v>
      </c>
      <c r="F21" s="147">
        <f t="shared" si="2"/>
        <v>0.56557977402262316</v>
      </c>
      <c r="G21" s="147">
        <f>IF(K21=0,0%,IF(O21=H55,100%,K21/O21-1))</f>
        <v>-4.9173303261485746</v>
      </c>
      <c r="H21" s="145">
        <f>SUM(H9:H20)</f>
        <v>604530.73060430482</v>
      </c>
      <c r="I21" s="145">
        <f t="shared" ref="I21:O21" si="5">SUM(I9:I20)</f>
        <v>208214.4700098593</v>
      </c>
      <c r="J21" s="145">
        <f t="shared" si="5"/>
        <v>3700558.6862930814</v>
      </c>
      <c r="K21" s="145">
        <f t="shared" si="5"/>
        <v>1049038.3799999999</v>
      </c>
      <c r="L21" s="145">
        <f t="shared" si="5"/>
        <v>37504.171722838902</v>
      </c>
      <c r="M21" s="145">
        <f t="shared" si="5"/>
        <v>71639.065556449917</v>
      </c>
      <c r="N21" s="145">
        <f t="shared" si="5"/>
        <v>2363698.5784408883</v>
      </c>
      <c r="O21" s="145">
        <f t="shared" si="5"/>
        <v>-267794.21000000002</v>
      </c>
      <c r="P21" s="39"/>
      <c r="Q21" s="39"/>
      <c r="R21" s="39"/>
    </row>
    <row r="22" spans="1:18" ht="15.75" customHeight="1" x14ac:dyDescent="0.25">
      <c r="A22" s="28" t="s">
        <v>11</v>
      </c>
      <c r="B22" s="28" t="s">
        <v>56</v>
      </c>
      <c r="C22" s="28" t="s">
        <v>115</v>
      </c>
      <c r="D22" s="120">
        <f t="shared" si="0"/>
        <v>-0.74498323010909839</v>
      </c>
      <c r="E22" s="120">
        <f t="shared" si="1"/>
        <v>-0.78383756669728999</v>
      </c>
      <c r="F22" s="120">
        <f t="shared" si="2"/>
        <v>-0.24154711845393539</v>
      </c>
      <c r="G22" s="120">
        <f>IF(K22=0,0%,IF(O22=H56,100%,K22/O22-1))</f>
        <v>0</v>
      </c>
      <c r="H22" s="68">
        <f>VLOOKUP(A22,הכשרה!A:G,4,0)+VLOOKUP('תפוקה מצטברת מול אשתקד'!A22,מגדל!A:G,4,0)+VLOOKUP('תפוקה מצטברת מול אשתקד'!A22,מנורה!A:G,4,0)+VLOOKUP('תפוקה מצטברת מול אשתקד'!A22,איילון!A:G,4,0)+VLOOKUP('תפוקה מצטברת מול אשתקד'!A22,הראל!A:G,4,0)+VLOOKUP('תפוקה מצטברת מול אשתקד'!A22,הפניקס!A:G,4,0)+VLOOKUP('תפוקה מצטברת מול אשתקד'!A22,כלל!A:G,4,0)+VLOOKUP('תפוקה מצטברת מול אשתקד'!A22,מור!A:G,4,0)+VLOOKUP('תפוקה מצטברת מול אשתקד'!A22,'אלטשולר שחם'!A:G,4,0)+VLOOKUP('תפוקה מצטברת מול אשתקד'!A22,'מדיהו '!A:G,4,0)+VLOOKUP('תפוקה מצטברת מול אשתקד'!A22,'אנליסט '!A:G,4,0)+VLOOKUP('תפוקה מצטברת מול אשתקד'!A22,'מיטב דש'!A:G,4,0)+VLOOKUP('תפוקה מצטברת מול אשתקד'!A22,אינפניטי!A:G,4,0)</f>
        <v>101923.33014999999</v>
      </c>
      <c r="I22" s="68">
        <f>VLOOKUP(A22,הכשרה!A:G,5,0)+VLOOKUP('תפוקה מצטברת מול אשתקד'!A22,מגדל!A:G,5,0)+VLOOKUP('תפוקה מצטברת מול אשתקד'!A22,מנורה!A:G,5,0)+VLOOKUP('תפוקה מצטברת מול אשתקד'!A22,איילון!A:G,5,0)+VLOOKUP('תפוקה מצטברת מול אשתקד'!A22,הראל!A:G,5,0)+VLOOKUP('תפוקה מצטברת מול אשתקד'!A22,הפניקס!A:G,5,0)+VLOOKUP('תפוקה מצטברת מול אשתקד'!A22,כלל!A:G,5,0)+VLOOKUP('תפוקה מצטברת מול אשתקד'!A22,מור!A:G,5,0)+VLOOKUP('תפוקה מצטברת מול אשתקד'!A22,'אלטשולר שחם'!A:G,5,0)+VLOOKUP('תפוקה מצטברת מול אשתקד'!A22,'מדיהו '!A:G,5,0)+VLOOKUP('תפוקה מצטברת מול אשתקד'!A22,'אנליסט '!A:G,5,0)+VLOOKUP('תפוקה מצטברת מול אשתקד'!A22,'מיטב דש'!A:G,5,0)+VLOOKUP('תפוקה מצטברת מול אשתקד'!A22,אינפניטי!A:G,5,0)</f>
        <v>5179.3599999999997</v>
      </c>
      <c r="J22" s="68">
        <f>VLOOKUP(A22,הכשרה!A:G,6,0)+VLOOKUP('תפוקה מצטברת מול אשתקד'!A22,מגדל!A:G,6,0)+VLOOKUP('תפוקה מצטברת מול אשתקד'!A22,מנורה!A:G,6,0)+VLOOKUP('תפוקה מצטברת מול אשתקד'!A22,איילון!A:G,6,0)+VLOOKUP(A22,הראל!A:G,6,0)+VLOOKUP('תפוקה מצטברת מול אשתקד'!A22,הפניקס!A:G,6,0)+VLOOKUP('תפוקה מצטברת מול אשתקד'!A22,כלל!A:G,6,0)+VLOOKUP('תפוקה מצטברת מול אשתקד'!A22,מור!A:G,6,0)+VLOOKUP('תפוקה מצטברת מול אשתקד'!A22,'אלטשולר שחם'!A:G,6,0)+VLOOKUP('תפוקה מצטברת מול אשתקד'!A22,'מדיהו '!A:G,6,0)+VLOOKUP('תפוקה מצטברת מול אשתקד'!A22,'אנליסט '!A:G,6,0)+VLOOKUP('תפוקה מצטברת מול אשתקד'!A22,'מיטב דש'!A:G,6,0)+VLOOKUP('תפוקה מצטברת מול אשתקד'!A22,אינפניטי!A:G,6,0)</f>
        <v>50045</v>
      </c>
      <c r="K22" s="68">
        <f>VLOOKUP(A22,הכשרה!A:G,7,0)+VLOOKUP('תפוקה מצטברת מול אשתקד'!A22,מגדל!A:G,7,0)+VLOOKUP('תפוקה מצטברת מול אשתקד'!A22,מנורה!A:G,7,0)+VLOOKUP('תפוקה מצטברת מול אשתקד'!A22,איילון!A:G,7,0)+VLOOKUP('תפוקה מצטברת מול אשתקד'!A22,הראל!A:G,7,0)+VLOOKUP('תפוקה מצטברת מול אשתקד'!A22,הפניקס!A:G,7,0)+VLOOKUP('תפוקה מצטברת מול אשתקד'!A22,כלל!A:G,7,0)+VLOOKUP('תפוקה מצטברת מול אשתקד'!A22,מור!A:G,7,0)+VLOOKUP('תפוקה מצטברת מול אשתקד'!A22,'אלטשולר שחם'!A:G,7,0)+VLOOKUP('תפוקה מצטברת מול אשתקד'!A22,'מדיהו '!A:K,7,0)+VLOOKUP(A22,'אנליסט '!A:G,7,0)+VLOOKUP('תפוקה מצטברת מול אשתקד'!A22,'מיטב דש'!A:G,7,0)+VLOOKUP('תפוקה מצטברת מול אשתקד'!A22,אינפניטי!A:G,7,0)</f>
        <v>0</v>
      </c>
      <c r="L22" s="12">
        <f>VLOOKUP(A22,הכשרה!A:K,8,0)+VLOOKUP('תפוקה מצטברת מול אשתקד'!A22,מגדל!A:K,8,0)+VLOOKUP('תפוקה מצטברת מול אשתקד'!A22,מנורה!A:K,8,0)+VLOOKUP('תפוקה מצטברת מול אשתקד'!A22,איילון!A:K,8,0)+VLOOKUP('תפוקה מצטברת מול אשתקד'!A22,הראל!A:K,8,0)+VLOOKUP('תפוקה מצטברת מול אשתקד'!A22,הפניקס!A:K,8,0)+VLOOKUP('תפוקה מצטברת מול אשתקד'!A22,כלל!A:K,8,0)+VLOOKUP('תפוקה מצטברת מול אשתקד'!A22,מור!A:K,8,0)+VLOOKUP('תפוקה מצטברת מול אשתקד'!A22,'אלטשולר שחם'!A:K,8,0)+VLOOKUP('תפוקה מצטברת מול אשתקד'!A22,'מדיהו '!A:K,8,0)+VLOOKUP('תפוקה מצטברת מול אשתקד'!A22,'אנליסט '!A:K,8,0)+VLOOKUP('תפוקה מצטברת מול אשתקד'!A22,'מיטב דש'!A:K,8,0)+VLOOKUP('תפוקה מצטברת מול אשתקד'!A22,אינפניטי!A:K,8,0)</f>
        <v>399673.04971200001</v>
      </c>
      <c r="M22" s="12">
        <f>VLOOKUP(A22,הכשרה!A:K,9,0)+VLOOKUP('תפוקה מצטברת מול אשתקד'!A22,מגדל!A:K,9,0)+VLOOKUP('תפוקה מצטברת מול אשתקד'!A22,מנורה!A:K,9,0)+VLOOKUP('תפוקה מצטברת מול אשתקד'!A22,איילון!A:K,9,0)+VLOOKUP('תפוקה מצטברת מול אשתקד'!A22,הראל!A:K,9,0)+VLOOKUP('תפוקה מצטברת מול אשתקד'!A22,הפניקס!A:K,9,0)+VLOOKUP('תפוקה מצטברת מול אשתקד'!A22,כלל!A:K,9,0)+VLOOKUP('תפוקה מצטברת מול אשתקד'!A22,מור!A:K,9,0)+VLOOKUP('תפוקה מצטברת מול אשתקד'!A22,'אלטשולר שחם'!A:K,9,0)+VLOOKUP('תפוקה מצטברת מול אשתקד'!A22,'מדיהו '!A:K,9,0)+VLOOKUP('תפוקה מצטברת מול אשתקד'!A22,'אנליסט '!A:K,9,0)+VLOOKUP('תפוקה מצטברת מול אשתקד'!A22,'מיטב דש'!A:K,9,0)+VLOOKUP('תפוקה מצטברת מול אשתקד'!A22,אינפניטי!A:K,9,0)</f>
        <v>23960.500077952565</v>
      </c>
      <c r="N22" s="12">
        <f>VLOOKUP(A22,הכשרה!A:K,10,0)+VLOOKUP('תפוקה מצטברת מול אשתקד'!A22,מגדל!A:K,10,0)+VLOOKUP('תפוקה מצטברת מול אשתקד'!A22,מנורה!A:K,10,0)+VLOOKUP('תפוקה מצטברת מול אשתקד'!A22,איילון!A:K,10,0)+VLOOKUP('תפוקה מצטברת מול אשתקד'!A22,הראל!A:K,10,0)+VLOOKUP('תפוקה מצטברת מול אשתקד'!A22,הפניקס!A:K,10,0)+VLOOKUP('תפוקה מצטברת מול אשתקד'!A22,כלל!A:K,10,0)+VLOOKUP('תפוקה מצטברת מול אשתקד'!A22,מור!A:K,10,0)+VLOOKUP('תפוקה מצטברת מול אשתקד'!A22,'אלטשולר שחם'!A:K,10,0)+VLOOKUP('תפוקה מצטברת מול אשתקד'!A22,'מדיהו '!A:K,10,0)+VLOOKUP('תפוקה מצטברת מול אשתקד'!A22,'אנליסט '!A:K,10,0)+VLOOKUP('תפוקה מצטברת מול אשתקד'!A22,'מיטב דש'!A:K,10,0)+VLOOKUP('תפוקה מצטברת מול אשתקד'!A22,אינפניטי!A:K,10,0)</f>
        <v>65983.004637000005</v>
      </c>
      <c r="O22" s="12">
        <f>VLOOKUP(A22,הכשרה!A:K,11,0)+VLOOKUP('תפוקה מצטברת מול אשתקד'!A22,מגדל!A:K,11,0)+VLOOKUP('תפוקה מצטברת מול אשתקד'!A22,מנורה!A:K,11,0)+VLOOKUP('תפוקה מצטברת מול אשתקד'!A22,איילון!A:K,11,0)+VLOOKUP('תפוקה מצטברת מול אשתקד'!A22,הראל!A:K,11,0)+VLOOKUP('תפוקה מצטברת מול אשתקד'!A22,הפניקס!A:K,11,0)+VLOOKUP('תפוקה מצטברת מול אשתקד'!A22,כלל!A:K,11,0)+VLOOKUP('תפוקה מצטברת מול אשתקד'!A22,מור!A:K,11,0)+VLOOKUP('תפוקה מצטברת מול אשתקד'!A22,'אלטשולר שחם'!A:K,11,0)+VLOOKUP('תפוקה מצטברת מול אשתקד'!A22,'מדיהו '!A:K,11,0)+VLOOKUP('תפוקה מצטברת מול אשתקד'!A22,'אנליסט '!A:K,11,0)+VLOOKUP('תפוקה מצטברת מול אשתקד'!A22,'מיטב דש'!A:K,11,0)+VLOOKUP('תפוקה מצטברת מול אשתקד'!A22,אינפניטי!A:K,11,0)</f>
        <v>-47476.13</v>
      </c>
    </row>
    <row r="23" spans="1:18" customFormat="1" ht="15.75" customHeight="1" x14ac:dyDescent="0.25">
      <c r="A23" s="31" t="s">
        <v>12</v>
      </c>
      <c r="B23" s="27" t="s">
        <v>56</v>
      </c>
      <c r="C23" s="28" t="s">
        <v>115</v>
      </c>
      <c r="D23" s="20">
        <f t="shared" si="0"/>
        <v>0</v>
      </c>
      <c r="E23" s="20">
        <f t="shared" si="1"/>
        <v>-0.39186916259916593</v>
      </c>
      <c r="F23" s="20">
        <f t="shared" si="2"/>
        <v>0</v>
      </c>
      <c r="G23" s="20">
        <f>IF(K23=0,0%,IF(O23=H40,100%,K23/O23-1))</f>
        <v>0</v>
      </c>
      <c r="H23" s="68">
        <f>VLOOKUP(A23,הכשרה!A:G,4,0)+VLOOKUP('תפוקה מצטברת מול אשתקד'!A23,מגדל!A:G,4,0)+VLOOKUP('תפוקה מצטברת מול אשתקד'!A23,מנורה!A:G,4,0)+VLOOKUP('תפוקה מצטברת מול אשתקד'!A23,איילון!A:G,4,0)+VLOOKUP('תפוקה מצטברת מול אשתקד'!A23,הראל!A:G,4,0)+VLOOKUP('תפוקה מצטברת מול אשתקד'!A23,הפניקס!A:G,4,0)+VLOOKUP('תפוקה מצטברת מול אשתקד'!A23,כלל!A:G,4,0)+VLOOKUP('תפוקה מצטברת מול אשתקד'!A23,מור!A:G,4,0)+VLOOKUP('תפוקה מצטברת מול אשתקד'!A23,'אלטשולר שחם'!A:G,4,0)+VLOOKUP('תפוקה מצטברת מול אשתקד'!A23,'מדיהו '!A:G,4,0)+VLOOKUP('תפוקה מצטברת מול אשתקד'!A23,'אנליסט '!A:G,4,0)+VLOOKUP('תפוקה מצטברת מול אשתקד'!A23,'מיטב דש'!A:G,4,0)+VLOOKUP('תפוקה מצטברת מול אשתקד'!A23,אינפניטי!A:G,4,0)</f>
        <v>0</v>
      </c>
      <c r="I23" s="68">
        <f>VLOOKUP(A23,הכשרה!A:G,5,0)+VLOOKUP('תפוקה מצטברת מול אשתקד'!A23,מגדל!A:G,5,0)+VLOOKUP('תפוקה מצטברת מול אשתקד'!A23,מנורה!A:G,5,0)+VLOOKUP('תפוקה מצטברת מול אשתקד'!A23,איילון!A:G,5,0)+VLOOKUP('תפוקה מצטברת מול אשתקד'!A23,הראל!A:G,5,0)+VLOOKUP('תפוקה מצטברת מול אשתקד'!A23,הפניקס!A:G,5,0)+VLOOKUP('תפוקה מצטברת מול אשתקד'!A23,כלל!A:G,5,0)+VLOOKUP('תפוקה מצטברת מול אשתקד'!A23,מור!A:G,5,0)+VLOOKUP('תפוקה מצטברת מול אשתקד'!A23,'אלטשולר שחם'!A:G,5,0)+VLOOKUP('תפוקה מצטברת מול אשתקד'!A23,'מדיהו '!A:G,5,0)+VLOOKUP('תפוקה מצטברת מול אשתקד'!A23,'אנליסט '!A:G,5,0)+VLOOKUP('תפוקה מצטברת מול אשתקד'!A23,'מיטב דש'!A:G,5,0)+VLOOKUP('תפוקה מצטברת מול אשתקד'!A23,אינפניטי!A:G,5,0)</f>
        <v>3024.2761872980191</v>
      </c>
      <c r="J23" s="68">
        <f>VLOOKUP(A23,הכשרה!A:G,6,0)+VLOOKUP('תפוקה מצטברת מול אשתקד'!A23,מגדל!A:G,6,0)+VLOOKUP('תפוקה מצטברת מול אשתקד'!A23,מנורה!A:G,6,0)+VLOOKUP('תפוקה מצטברת מול אשתקד'!A23,איילון!A:G,6,0)+VLOOKUP(A23,הראל!A:G,6,0)+VLOOKUP('תפוקה מצטברת מול אשתקד'!A23,הפניקס!A:G,6,0)+VLOOKUP('תפוקה מצטברת מול אשתקד'!A23,כלל!A:G,6,0)+VLOOKUP('תפוקה מצטברת מול אשתקד'!A23,מור!A:G,6,0)+VLOOKUP('תפוקה מצטברת מול אשתקד'!A23,'אלטשולר שחם'!A:G,6,0)+VLOOKUP('תפוקה מצטברת מול אשתקד'!A23,'מדיהו '!A:G,6,0)+VLOOKUP('תפוקה מצטברת מול אשתקד'!A23,'אנליסט '!A:G,6,0)+VLOOKUP('תפוקה מצטברת מול אשתקד'!A23,'מיטב דש'!A:G,6,0)+VLOOKUP('תפוקה מצטברת מול אשתקד'!A23,אינפניטי!A:G,6,0)</f>
        <v>0</v>
      </c>
      <c r="K23" s="68">
        <f>VLOOKUP(A23,הכשרה!A:G,7,0)+VLOOKUP('תפוקה מצטברת מול אשתקד'!A23,מגדל!A:G,7,0)+VLOOKUP('תפוקה מצטברת מול אשתקד'!A23,מנורה!A:G,7,0)+VLOOKUP('תפוקה מצטברת מול אשתקד'!A23,איילון!A:G,7,0)+VLOOKUP('תפוקה מצטברת מול אשתקד'!A23,הראל!A:G,7,0)+VLOOKUP('תפוקה מצטברת מול אשתקד'!A23,הפניקס!A:G,7,0)+VLOOKUP('תפוקה מצטברת מול אשתקד'!A23,כלל!A:G,7,0)+VLOOKUP('תפוקה מצטברת מול אשתקד'!A23,מור!A:G,7,0)+VLOOKUP('תפוקה מצטברת מול אשתקד'!A23,'אלטשולר שחם'!A:G,7,0)+VLOOKUP('תפוקה מצטברת מול אשתקד'!A23,'מדיהו '!A:K,7,0)+VLOOKUP(A23,'אנליסט '!A:G,7,0)+VLOOKUP('תפוקה מצטברת מול אשתקד'!A23,'מיטב דש'!A:G,7,0)+VLOOKUP('תפוקה מצטברת מול אשתקד'!A23,אינפניטי!A:G,7,0)</f>
        <v>0</v>
      </c>
      <c r="L23" s="12">
        <f>VLOOKUP(A23,הכשרה!A:K,8,0)+VLOOKUP('תפוקה מצטברת מול אשתקד'!A23,מגדל!A:K,8,0)+VLOOKUP('תפוקה מצטברת מול אשתקד'!A23,מנורה!A:K,8,0)+VLOOKUP('תפוקה מצטברת מול אשתקד'!A23,איילון!A:K,8,0)+VLOOKUP('תפוקה מצטברת מול אשתקד'!A23,הראל!A:K,8,0)+VLOOKUP('תפוקה מצטברת מול אשתקד'!A23,הפניקס!A:K,8,0)+VLOOKUP('תפוקה מצטברת מול אשתקד'!A23,כלל!A:K,8,0)+VLOOKUP('תפוקה מצטברת מול אשתקד'!A23,מור!A:K,8,0)+VLOOKUP('תפוקה מצטברת מול אשתקד'!A23,'אלטשולר שחם'!A:K,8,0)+VLOOKUP('תפוקה מצטברת מול אשתקד'!A23,'מדיהו '!A:K,8,0)+VLOOKUP('תפוקה מצטברת מול אשתקד'!A23,'אנליסט '!A:K,8,0)+VLOOKUP('תפוקה מצטברת מול אשתקד'!A23,'מיטב דש'!A:K,8,0)+VLOOKUP('תפוקה מצטברת מול אשתקד'!A23,אינפניטי!A:K,8,0)</f>
        <v>40093.542061537519</v>
      </c>
      <c r="M23" s="12">
        <f>VLOOKUP(A23,הכשרה!A:K,9,0)+VLOOKUP('תפוקה מצטברת מול אשתקד'!A23,מגדל!A:K,9,0)+VLOOKUP('תפוקה מצטברת מול אשתקד'!A23,מנורה!A:K,9,0)+VLOOKUP('תפוקה מצטברת מול אשתקד'!A23,איילון!A:K,9,0)+VLOOKUP('תפוקה מצטברת מול אשתקד'!A23,הראל!A:K,9,0)+VLOOKUP('תפוקה מצטברת מול אשתקד'!A23,הפניקס!A:K,9,0)+VLOOKUP('תפוקה מצטברת מול אשתקד'!A23,כלל!A:K,9,0)+VLOOKUP('תפוקה מצטברת מול אשתקד'!A23,מור!A:K,9,0)+VLOOKUP('תפוקה מצטברת מול אשתקד'!A23,'אלטשולר שחם'!A:K,9,0)+VLOOKUP('תפוקה מצטברת מול אשתקד'!A23,'מדיהו '!A:K,9,0)+VLOOKUP('תפוקה מצטברת מול אשתקד'!A23,'אנליסט '!A:K,9,0)+VLOOKUP('תפוקה מצטברת מול אשתקד'!A23,'מיטב דש'!A:K,9,0)+VLOOKUP('תפוקה מצטברת מול אשתקד'!A23,אינפניטי!A:K,9,0)</f>
        <v>4973.0682960000004</v>
      </c>
      <c r="N23" s="12">
        <f>VLOOKUP(A23,הכשרה!A:K,10,0)+VLOOKUP('תפוקה מצטברת מול אשתקד'!A23,מגדל!A:K,10,0)+VLOOKUP('תפוקה מצטברת מול אשתקד'!A23,מנורה!A:K,10,0)+VLOOKUP('תפוקה מצטברת מול אשתקד'!A23,איילון!A:K,10,0)+VLOOKUP('תפוקה מצטברת מול אשתקד'!A23,הראל!A:K,10,0)+VLOOKUP('תפוקה מצטברת מול אשתקד'!A23,הפניקס!A:K,10,0)+VLOOKUP('תפוקה מצטברת מול אשתקד'!A23,כלל!A:K,10,0)+VLOOKUP('תפוקה מצטברת מול אשתקד'!A23,מור!A:K,10,0)+VLOOKUP('תפוקה מצטברת מול אשתקד'!A23,'אלטשולר שחם'!A:K,10,0)+VLOOKUP('תפוקה מצטברת מול אשתקד'!A23,'מדיהו '!A:K,10,0)+VLOOKUP('תפוקה מצטברת מול אשתקד'!A23,'אנליסט '!A:K,10,0)+VLOOKUP('תפוקה מצטברת מול אשתקד'!A23,'מיטב דש'!A:K,10,0)+VLOOKUP('תפוקה מצטברת מול אשתקד'!A23,אינפניטי!A:K,10,0)</f>
        <v>80596.954227000009</v>
      </c>
      <c r="O23" s="12">
        <f>VLOOKUP(A23,הכשרה!A:K,11,0)+VLOOKUP('תפוקה מצטברת מול אשתקד'!A23,מגדל!A:K,11,0)+VLOOKUP('תפוקה מצטברת מול אשתקד'!A23,מנורה!A:K,11,0)+VLOOKUP('תפוקה מצטברת מול אשתקד'!A23,איילון!A:K,11,0)+VLOOKUP('תפוקה מצטברת מול אשתקד'!A23,הראל!A:K,11,0)+VLOOKUP('תפוקה מצטברת מול אשתקד'!A23,הפניקס!A:K,11,0)+VLOOKUP('תפוקה מצטברת מול אשתקד'!A23,כלל!A:K,11,0)+VLOOKUP('תפוקה מצטברת מול אשתקד'!A23,מור!A:K,11,0)+VLOOKUP('תפוקה מצטברת מול אשתקד'!A23,'אלטשולר שחם'!A:K,11,0)+VLOOKUP('תפוקה מצטברת מול אשתקד'!A23,'מדיהו '!A:K,11,0)+VLOOKUP('תפוקה מצטברת מול אשתקד'!A23,'אנליסט '!A:K,11,0)+VLOOKUP('תפוקה מצטברת מול אשתקד'!A23,'מיטב דש'!A:K,11,0)+VLOOKUP('תפוקה מצטברת מול אשתקד'!A23,אינפניטי!A:K,11,0)</f>
        <v>-118916.782345</v>
      </c>
    </row>
    <row r="24" spans="1:18" ht="15.75" customHeight="1" x14ac:dyDescent="0.25">
      <c r="A24" s="31" t="s">
        <v>13</v>
      </c>
      <c r="B24" s="27" t="s">
        <v>56</v>
      </c>
      <c r="C24" s="28" t="s">
        <v>115</v>
      </c>
      <c r="D24" s="20">
        <f t="shared" si="0"/>
        <v>1</v>
      </c>
      <c r="E24" s="20">
        <f t="shared" si="1"/>
        <v>-0.2736786406929117</v>
      </c>
      <c r="F24" s="20">
        <f t="shared" si="2"/>
        <v>0</v>
      </c>
      <c r="G24" s="20">
        <f>IF(K24=0,0%,IF(O24=H41,100%,K24/O24-1))</f>
        <v>0</v>
      </c>
      <c r="H24" s="68">
        <f>VLOOKUP(A24,הכשרה!A:G,4,0)+VLOOKUP('תפוקה מצטברת מול אשתקד'!A24,מגדל!A:G,4,0)+VLOOKUP('תפוקה מצטברת מול אשתקד'!A24,מנורה!A:G,4,0)+VLOOKUP('תפוקה מצטברת מול אשתקד'!A24,איילון!A:G,4,0)+VLOOKUP('תפוקה מצטברת מול אשתקד'!A24,הראל!A:G,4,0)+VLOOKUP('תפוקה מצטברת מול אשתקד'!A24,הפניקס!A:G,4,0)+VLOOKUP('תפוקה מצטברת מול אשתקד'!A24,כלל!A:G,4,0)+VLOOKUP('תפוקה מצטברת מול אשתקד'!A24,מור!A:G,4,0)+VLOOKUP('תפוקה מצטברת מול אשתקד'!A24,'אלטשולר שחם'!A:G,4,0)+VLOOKUP('תפוקה מצטברת מול אשתקד'!A24,'מדיהו '!A:G,4,0)+VLOOKUP('תפוקה מצטברת מול אשתקד'!A24,'אנליסט '!A:G,4,0)+VLOOKUP('תפוקה מצטברת מול אשתקד'!A24,'מיטב דש'!A:G,4,0)+VLOOKUP('תפוקה מצטברת מול אשתקד'!A24,אינפניטי!A:G,4,0)</f>
        <v>-5815.0658521631894</v>
      </c>
      <c r="I24" s="68">
        <f>VLOOKUP(A24,הכשרה!A:G,5,0)+VLOOKUP('תפוקה מצטברת מול אשתקד'!A24,מגדל!A:G,5,0)+VLOOKUP('תפוקה מצטברת מול אשתקד'!A24,מנורה!A:G,5,0)+VLOOKUP('תפוקה מצטברת מול אשתקד'!A24,איילון!A:G,5,0)+VLOOKUP('תפוקה מצטברת מול אשתקד'!A24,הראל!A:G,5,0)+VLOOKUP('תפוקה מצטברת מול אשתקד'!A24,הפניקס!A:G,5,0)+VLOOKUP('תפוקה מצטברת מול אשתקד'!A24,כלל!A:G,5,0)+VLOOKUP('תפוקה מצטברת מול אשתקד'!A24,מור!A:G,5,0)+VLOOKUP('תפוקה מצטברת מול אשתקד'!A24,'אלטשולר שחם'!A:G,5,0)+VLOOKUP('תפוקה מצטברת מול אשתקד'!A24,'מדיהו '!A:G,5,0)+VLOOKUP('תפוקה מצטברת מול אשתקד'!A24,'אנליסט '!A:G,5,0)+VLOOKUP('תפוקה מצטברת מול אשתקד'!A24,'מיטב דש'!A:G,5,0)+VLOOKUP('תפוקה מצטברת מול אשתקד'!A24,אינפניטי!A:G,5,0)</f>
        <v>3005</v>
      </c>
      <c r="J24" s="68">
        <f>VLOOKUP(A24,הכשרה!A:G,6,0)+VLOOKUP('תפוקה מצטברת מול אשתקד'!A24,מגדל!A:G,6,0)+VLOOKUP('תפוקה מצטברת מול אשתקד'!A24,מנורה!A:G,6,0)+VLOOKUP('תפוקה מצטברת מול אשתקד'!A24,איילון!A:G,6,0)+VLOOKUP(A24,הראל!A:G,6,0)+VLOOKUP('תפוקה מצטברת מול אשתקד'!A24,הפניקס!A:G,6,0)+VLOOKUP('תפוקה מצטברת מול אשתקד'!A24,כלל!A:G,6,0)+VLOOKUP('תפוקה מצטברת מול אשתקד'!A24,מור!A:G,6,0)+VLOOKUP('תפוקה מצטברת מול אשתקד'!A24,'אלטשולר שחם'!A:G,6,0)+VLOOKUP('תפוקה מצטברת מול אשתקד'!A24,'מדיהו '!A:G,6,0)+VLOOKUP('תפוקה מצטברת מול אשתקד'!A24,'אנליסט '!A:G,6,0)+VLOOKUP('תפוקה מצטברת מול אשתקד'!A24,'מיטב דש'!A:G,6,0)+VLOOKUP('תפוקה מצטברת מול אשתקד'!A24,אינפניטי!A:G,6,0)</f>
        <v>0</v>
      </c>
      <c r="K24" s="68">
        <f>VLOOKUP(A24,הכשרה!A:G,7,0)+VLOOKUP('תפוקה מצטברת מול אשתקד'!A24,מגדל!A:G,7,0)+VLOOKUP('תפוקה מצטברת מול אשתקד'!A24,מנורה!A:G,7,0)+VLOOKUP('תפוקה מצטברת מול אשתקד'!A24,איילון!A:G,7,0)+VLOOKUP('תפוקה מצטברת מול אשתקד'!A24,הראל!A:G,7,0)+VLOOKUP('תפוקה מצטברת מול אשתקד'!A24,הפניקס!A:G,7,0)+VLOOKUP('תפוקה מצטברת מול אשתקד'!A24,כלל!A:G,7,0)+VLOOKUP('תפוקה מצטברת מול אשתקד'!A24,מור!A:G,7,0)+VLOOKUP('תפוקה מצטברת מול אשתקד'!A24,'אלטשולר שחם'!A:G,7,0)+VLOOKUP('תפוקה מצטברת מול אשתקד'!A24,'מדיהו '!A:K,7,0)+VLOOKUP(A24,'אנליסט '!A:G,7,0)+VLOOKUP('תפוקה מצטברת מול אשתקד'!A24,'מיטב דש'!A:G,7,0)+VLOOKUP('תפוקה מצטברת מול אשתקד'!A24,אינפניטי!A:G,7,0)</f>
        <v>0</v>
      </c>
      <c r="L24" s="12">
        <f>VLOOKUP(A24,הכשרה!A:K,8,0)+VLOOKUP('תפוקה מצטברת מול אשתקד'!A24,מגדל!A:K,8,0)+VLOOKUP('תפוקה מצטברת מול אשתקד'!A24,מנורה!A:K,8,0)+VLOOKUP('תפוקה מצטברת מול אשתקד'!A24,איילון!A:K,8,0)+VLOOKUP('תפוקה מצטברת מול אשתקד'!A24,הראל!A:K,8,0)+VLOOKUP('תפוקה מצטברת מול אשתקד'!A24,הפניקס!A:K,8,0)+VLOOKUP('תפוקה מצטברת מול אשתקד'!A24,כלל!A:K,8,0)+VLOOKUP('תפוקה מצטברת מול אשתקד'!A24,מור!A:K,8,0)+VLOOKUP('תפוקה מצטברת מול אשתקד'!A24,'אלטשולר שחם'!A:K,8,0)+VLOOKUP('תפוקה מצטברת מול אשתקד'!A24,'מדיהו '!A:K,8,0)+VLOOKUP('תפוקה מצטברת מול אשתקד'!A24,'אנליסט '!A:K,8,0)+VLOOKUP('תפוקה מצטברת מול אשתקד'!A24,'מיטב דש'!A:K,8,0)+VLOOKUP('תפוקה מצטברת מול אשתקד'!A24,אינפניטי!A:K,8,0)</f>
        <v>0</v>
      </c>
      <c r="M24" s="12">
        <f>VLOOKUP(A24,הכשרה!A:K,9,0)+VLOOKUP('תפוקה מצטברת מול אשתקד'!A24,מגדל!A:K,9,0)+VLOOKUP('תפוקה מצטברת מול אשתקד'!A24,מנורה!A:K,9,0)+VLOOKUP('תפוקה מצטברת מול אשתקד'!A24,איילון!A:K,9,0)+VLOOKUP('תפוקה מצטברת מול אשתקד'!A24,הראל!A:K,9,0)+VLOOKUP('תפוקה מצטברת מול אשתקד'!A24,הפניקס!A:K,9,0)+VLOOKUP('תפוקה מצטברת מול אשתקד'!A24,כלל!A:K,9,0)+VLOOKUP('תפוקה מצטברת מול אשתקד'!A24,מור!A:K,9,0)+VLOOKUP('תפוקה מצטברת מול אשתקד'!A24,'אלטשולר שחם'!A:K,9,0)+VLOOKUP('תפוקה מצטברת מול אשתקד'!A24,'מדיהו '!A:K,9,0)+VLOOKUP('תפוקה מצטברת מול אשתקד'!A24,'אנליסט '!A:K,9,0)+VLOOKUP('תפוקה מצטברת מול אשתקד'!A24,'מיטב דש'!A:K,9,0)+VLOOKUP('תפוקה מצטברת מול אשתקד'!A24,אינפניטי!A:K,9,0)</f>
        <v>4137.2871133333801</v>
      </c>
      <c r="N24" s="12">
        <f>VLOOKUP(A24,הכשרה!A:K,10,0)+VLOOKUP('תפוקה מצטברת מול אשתקד'!A24,מגדל!A:K,10,0)+VLOOKUP('תפוקה מצטברת מול אשתקד'!A24,מנורה!A:K,10,0)+VLOOKUP('תפוקה מצטברת מול אשתקד'!A24,איילון!A:K,10,0)+VLOOKUP('תפוקה מצטברת מול אשתקד'!A24,הראל!A:K,10,0)+VLOOKUP('תפוקה מצטברת מול אשתקד'!A24,הפניקס!A:K,10,0)+VLOOKUP('תפוקה מצטברת מול אשתקד'!A24,כלל!A:K,10,0)+VLOOKUP('תפוקה מצטברת מול אשתקד'!A24,מור!A:K,10,0)+VLOOKUP('תפוקה מצטברת מול אשתקד'!A24,'אלטשולר שחם'!A:K,10,0)+VLOOKUP('תפוקה מצטברת מול אשתקד'!A24,'מדיהו '!A:K,10,0)+VLOOKUP('תפוקה מצטברת מול אשתקד'!A24,'אנליסט '!A:K,10,0)+VLOOKUP('תפוקה מצטברת מול אשתקד'!A24,'מיטב דש'!A:K,10,0)+VLOOKUP('תפוקה מצטברת מול אשתקד'!A24,אינפניטי!A:K,10,0)</f>
        <v>11877.248911193539</v>
      </c>
      <c r="O24" s="12">
        <f>VLOOKUP(A24,הכשרה!A:K,11,0)+VLOOKUP('תפוקה מצטברת מול אשתקד'!A24,מגדל!A:K,11,0)+VLOOKUP('תפוקה מצטברת מול אשתקד'!A24,מנורה!A:K,11,0)+VLOOKUP('תפוקה מצטברת מול אשתקד'!A24,איילון!A:K,11,0)+VLOOKUP('תפוקה מצטברת מול אשתקד'!A24,הראל!A:K,11,0)+VLOOKUP('תפוקה מצטברת מול אשתקד'!A24,הפניקס!A:K,11,0)+VLOOKUP('תפוקה מצטברת מול אשתקד'!A24,כלל!A:K,11,0)+VLOOKUP('תפוקה מצטברת מול אשתקד'!A24,מור!A:K,11,0)+VLOOKUP('תפוקה מצטברת מול אשתקד'!A24,'אלטשולר שחם'!A:K,11,0)+VLOOKUP('תפוקה מצטברת מול אשתקד'!A24,'מדיהו '!A:K,11,0)+VLOOKUP('תפוקה מצטברת מול אשתקד'!A24,'אנליסט '!A:K,11,0)+VLOOKUP('תפוקה מצטברת מול אשתקד'!A24,'מיטב דש'!A:K,11,0)+VLOOKUP('תפוקה מצטברת מול אשתקד'!A24,אינפניטי!A:K,11,0)</f>
        <v>-2249.4099999999962</v>
      </c>
    </row>
    <row r="25" spans="1:18" ht="15.75" customHeight="1" x14ac:dyDescent="0.25">
      <c r="A25" s="31" t="s">
        <v>15</v>
      </c>
      <c r="B25" s="27" t="s">
        <v>56</v>
      </c>
      <c r="C25" s="28" t="s">
        <v>115</v>
      </c>
      <c r="D25" s="20">
        <f t="shared" si="0"/>
        <v>-0.87678306322740751</v>
      </c>
      <c r="E25" s="20">
        <f t="shared" si="1"/>
        <v>-0.33883220759424815</v>
      </c>
      <c r="F25" s="20">
        <f t="shared" si="2"/>
        <v>1</v>
      </c>
      <c r="G25" s="20">
        <f>IF(K25=0,0%,IF(O25=H51,100%,K25/O25-1))</f>
        <v>0</v>
      </c>
      <c r="H25" s="68">
        <f>VLOOKUP(A25,הכשרה!A:G,4,0)+VLOOKUP('תפוקה מצטברת מול אשתקד'!A25,מגדל!A:G,4,0)+VLOOKUP('תפוקה מצטברת מול אשתקד'!A25,מנורה!A:G,4,0)+VLOOKUP('תפוקה מצטברת מול אשתקד'!A25,איילון!A:G,4,0)+VLOOKUP('תפוקה מצטברת מול אשתקד'!A25,הראל!A:G,4,0)+VLOOKUP('תפוקה מצטברת מול אשתקד'!A25,הפניקס!A:G,4,0)+VLOOKUP('תפוקה מצטברת מול אשתקד'!A25,כלל!A:G,4,0)+VLOOKUP('תפוקה מצטברת מול אשתקד'!A25,מור!A:G,4,0)+VLOOKUP('תפוקה מצטברת מול אשתקד'!A25,'אלטשולר שחם'!A:G,4,0)+VLOOKUP('תפוקה מצטברת מול אשתקד'!A25,'מדיהו '!A:G,4,0)+VLOOKUP('תפוקה מצטברת מול אשתקד'!A25,'אנליסט '!A:G,4,0)+VLOOKUP('תפוקה מצטברת מול אשתקד'!A25,'מיטב דש'!A:G,4,0)+VLOOKUP('תפוקה מצטברת מול אשתקד'!A25,אינפניטי!A:G,4,0)</f>
        <v>5468.12</v>
      </c>
      <c r="I25" s="68">
        <f>VLOOKUP(A25,הכשרה!A:G,5,0)+VLOOKUP('תפוקה מצטברת מול אשתקד'!A25,מגדל!A:G,5,0)+VLOOKUP('תפוקה מצטברת מול אשתקד'!A25,מנורה!A:G,5,0)+VLOOKUP('תפוקה מצטברת מול אשתקד'!A25,איילון!A:G,5,0)+VLOOKUP('תפוקה מצטברת מול אשתקד'!A25,הראל!A:G,5,0)+VLOOKUP('תפוקה מצטברת מול אשתקד'!A25,הפניקס!A:G,5,0)+VLOOKUP('תפוקה מצטברת מול אשתקד'!A25,כלל!A:G,5,0)+VLOOKUP('תפוקה מצטברת מול אשתקד'!A25,מור!A:G,5,0)+VLOOKUP('תפוקה מצטברת מול אשתקד'!A25,'אלטשולר שחם'!A:G,5,0)+VLOOKUP('תפוקה מצטברת מול אשתקד'!A25,'מדיהו '!A:G,5,0)+VLOOKUP('תפוקה מצטברת מול אשתקד'!A25,'אנליסט '!A:G,5,0)+VLOOKUP('תפוקה מצטברת מול אשתקד'!A25,'מיטב דש'!A:G,5,0)+VLOOKUP('תפוקה מצטברת מול אשתקד'!A25,אינפניטי!A:G,5,0)</f>
        <v>10283.290000000001</v>
      </c>
      <c r="J25" s="68">
        <f>VLOOKUP(A25,הכשרה!A:G,6,0)+VLOOKUP('תפוקה מצטברת מול אשתקד'!A25,מגדל!A:G,6,0)+VLOOKUP('תפוקה מצטברת מול אשתקד'!A25,מנורה!A:G,6,0)+VLOOKUP('תפוקה מצטברת מול אשתקד'!A25,איילון!A:G,6,0)+VLOOKUP(A25,הראל!A:G,6,0)+VLOOKUP('תפוקה מצטברת מול אשתקד'!A25,הפניקס!A:G,6,0)+VLOOKUP('תפוקה מצטברת מול אשתקד'!A25,כלל!A:G,6,0)+VLOOKUP('תפוקה מצטברת מול אשתקד'!A25,מור!A:G,6,0)+VLOOKUP('תפוקה מצטברת מול אשתקד'!A25,'אלטשולר שחם'!A:G,6,0)+VLOOKUP('תפוקה מצטברת מול אשתקד'!A25,'מדיהו '!A:G,6,0)+VLOOKUP('תפוקה מצטברת מול אשתקד'!A25,'אנליסט '!A:G,6,0)+VLOOKUP('תפוקה מצטברת מול אשתקד'!A25,'מיטב דש'!A:G,6,0)+VLOOKUP('תפוקה מצטברת מול אשתקד'!A25,אינפניטי!A:G,6,0)</f>
        <v>61343.93</v>
      </c>
      <c r="K25" s="68">
        <f>VLOOKUP(A25,הכשרה!A:G,7,0)+VLOOKUP('תפוקה מצטברת מול אשתקד'!A25,מגדל!A:G,7,0)+VLOOKUP('תפוקה מצטברת מול אשתקד'!A25,מנורה!A:G,7,0)+VLOOKUP('תפוקה מצטברת מול אשתקד'!A25,איילון!A:G,7,0)+VLOOKUP('תפוקה מצטברת מול אשתקד'!A25,הראל!A:G,7,0)+VLOOKUP('תפוקה מצטברת מול אשתקד'!A25,הפניקס!A:G,7,0)+VLOOKUP('תפוקה מצטברת מול אשתקד'!A25,כלל!A:G,7,0)+VLOOKUP('תפוקה מצטברת מול אשתקד'!A25,מור!A:G,7,0)+VLOOKUP('תפוקה מצטברת מול אשתקד'!A25,'אלטשולר שחם'!A:G,7,0)+VLOOKUP('תפוקה מצטברת מול אשתקד'!A25,'מדיהו '!A:K,7,0)+VLOOKUP(A25,'אנליסט '!A:G,7,0)+VLOOKUP('תפוקה מצטברת מול אשתקד'!A25,'מיטב דש'!A:G,7,0)+VLOOKUP('תפוקה מצטברת מול אשתקד'!A25,אינפניטי!A:G,7,0)</f>
        <v>0</v>
      </c>
      <c r="L25" s="12">
        <f>VLOOKUP(A25,הכשרה!A:K,8,0)+VLOOKUP('תפוקה מצטברת מול אשתקד'!A25,מגדל!A:K,8,0)+VLOOKUP('תפוקה מצטברת מול אשתקד'!A25,מנורה!A:K,8,0)+VLOOKUP('תפוקה מצטברת מול אשתקד'!A25,איילון!A:K,8,0)+VLOOKUP('תפוקה מצטברת מול אשתקד'!A25,הראל!A:K,8,0)+VLOOKUP('תפוקה מצטברת מול אשתקד'!A25,הפניקס!A:K,8,0)+VLOOKUP('תפוקה מצטברת מול אשתקד'!A25,כלל!A:K,8,0)+VLOOKUP('תפוקה מצטברת מול אשתקד'!A25,מור!A:K,8,0)+VLOOKUP('תפוקה מצטברת מול אשתקד'!A25,'אלטשולר שחם'!A:K,8,0)+VLOOKUP('תפוקה מצטברת מול אשתקד'!A25,'מדיהו '!A:K,8,0)+VLOOKUP('תפוקה מצטברת מול אשתקד'!A25,'אנליסט '!A:K,8,0)+VLOOKUP('תפוקה מצטברת מול אשתקד'!A25,'מיטב דש'!A:K,8,0)+VLOOKUP('תפוקה מצטברת מול אשתקד'!A25,אינפניטי!A:K,8,0)</f>
        <v>44377.990097999995</v>
      </c>
      <c r="M25" s="12">
        <f>VLOOKUP(A25,הכשרה!A:K,9,0)+VLOOKUP('תפוקה מצטברת מול אשתקד'!A25,מגדל!A:K,9,0)+VLOOKUP('תפוקה מצטברת מול אשתקד'!A25,מנורה!A:K,9,0)+VLOOKUP('תפוקה מצטברת מול אשתקד'!A25,איילון!A:K,9,0)+VLOOKUP('תפוקה מצטברת מול אשתקד'!A25,הראל!A:K,9,0)+VLOOKUP('תפוקה מצטברת מול אשתקד'!A25,הפניקס!A:K,9,0)+VLOOKUP('תפוקה מצטברת מול אשתקד'!A25,כלל!A:K,9,0)+VLOOKUP('תפוקה מצטברת מול אשתקד'!A25,מור!A:K,9,0)+VLOOKUP('תפוקה מצטברת מול אשתקד'!A25,'אלטשולר שחם'!A:K,9,0)+VLOOKUP('תפוקה מצטברת מול אשתקד'!A25,'מדיהו '!A:K,9,0)+VLOOKUP('תפוקה מצטברת מול אשתקד'!A25,'אנליסט '!A:K,9,0)+VLOOKUP('תפוקה מצטברת מול אשתקד'!A25,'מיטב דש'!A:K,9,0)+VLOOKUP('תפוקה מצטברת מול אשתקד'!A25,אינפניטי!A:K,9,0)</f>
        <v>15553.222824999999</v>
      </c>
      <c r="N25" s="12">
        <f>VLOOKUP(A25,הכשרה!A:K,10,0)+VLOOKUP('תפוקה מצטברת מול אשתקד'!A25,מגדל!A:K,10,0)+VLOOKUP('תפוקה מצטברת מול אשתקד'!A25,מנורה!A:K,10,0)+VLOOKUP('תפוקה מצטברת מול אשתקד'!A25,איילון!A:K,10,0)+VLOOKUP('תפוקה מצטברת מול אשתקד'!A25,הראל!A:K,10,0)+VLOOKUP('תפוקה מצטברת מול אשתקד'!A25,הפניקס!A:K,10,0)+VLOOKUP('תפוקה מצטברת מול אשתקד'!A25,כלל!A:K,10,0)+VLOOKUP('תפוקה מצטברת מול אשתקד'!A25,מור!A:K,10,0)+VLOOKUP('תפוקה מצטברת מול אשתקד'!A25,'אלטשולר שחם'!A:K,10,0)+VLOOKUP('תפוקה מצטברת מול אשתקד'!A25,'מדיהו '!A:K,10,0)+VLOOKUP('תפוקה מצטברת מול אשתקד'!A25,'אנליסט '!A:K,10,0)+VLOOKUP('תפוקה מצטברת מול אשתקד'!A25,'מיטב דש'!A:K,10,0)+VLOOKUP('תפוקה מצטברת מול אשתקד'!A25,אינפניטי!A:K,10,0)</f>
        <v>0</v>
      </c>
      <c r="O25" s="12">
        <f>VLOOKUP(A25,הכשרה!A:K,11,0)+VLOOKUP('תפוקה מצטברת מול אשתקד'!A25,מגדל!A:K,11,0)+VLOOKUP('תפוקה מצטברת מול אשתקד'!A25,מנורה!A:K,11,0)+VLOOKUP('תפוקה מצטברת מול אשתקד'!A25,איילון!A:K,11,0)+VLOOKUP('תפוקה מצטברת מול אשתקד'!A25,הראל!A:K,11,0)+VLOOKUP('תפוקה מצטברת מול אשתקד'!A25,הפניקס!A:K,11,0)+VLOOKUP('תפוקה מצטברת מול אשתקד'!A25,כלל!A:K,11,0)+VLOOKUP('תפוקה מצטברת מול אשתקד'!A25,מור!A:K,11,0)+VLOOKUP('תפוקה מצטברת מול אשתקד'!A25,'אלטשולר שחם'!A:K,11,0)+VLOOKUP('תפוקה מצטברת מול אשתקד'!A25,'מדיהו '!A:K,11,0)+VLOOKUP('תפוקה מצטברת מול אשתקד'!A25,'אנליסט '!A:K,11,0)+VLOOKUP('תפוקה מצטברת מול אשתקד'!A25,'מיטב דש'!A:K,11,0)+VLOOKUP('תפוקה מצטברת מול אשתקד'!A25,אינפניטי!A:K,11,0)</f>
        <v>194184.29</v>
      </c>
    </row>
    <row r="26" spans="1:18" ht="15.75" customHeight="1" x14ac:dyDescent="0.25">
      <c r="A26" s="31" t="s">
        <v>17</v>
      </c>
      <c r="B26" s="27" t="s">
        <v>56</v>
      </c>
      <c r="C26" s="28" t="s">
        <v>115</v>
      </c>
      <c r="D26" s="20">
        <f t="shared" si="0"/>
        <v>-0.50059900943585967</v>
      </c>
      <c r="E26" s="20">
        <f t="shared" si="0"/>
        <v>-0.19168022435956367</v>
      </c>
      <c r="F26" s="20">
        <f t="shared" si="0"/>
        <v>1</v>
      </c>
      <c r="G26" s="20">
        <f>IF(K26=0,0%,IF(O26=H42,100%,K26/O26-1))</f>
        <v>0</v>
      </c>
      <c r="H26" s="68">
        <f>VLOOKUP(A26,הכשרה!A:G,4,0)+VLOOKUP('תפוקה מצטברת מול אשתקד'!A26,מגדל!A:G,4,0)+VLOOKUP('תפוקה מצטברת מול אשתקד'!A26,מנורה!A:G,4,0)+VLOOKUP('תפוקה מצטברת מול אשתקד'!A26,איילון!A:G,4,0)+VLOOKUP('תפוקה מצטברת מול אשתקד'!A26,הראל!A:G,4,0)+VLOOKUP('תפוקה מצטברת מול אשתקד'!A26,הפניקס!A:G,4,0)+VLOOKUP('תפוקה מצטברת מול אשתקד'!A26,כלל!A:G,4,0)+VLOOKUP('תפוקה מצטברת מול אשתקד'!A26,מור!A:G,4,0)+VLOOKUP('תפוקה מצטברת מול אשתקד'!A26,'אלטשולר שחם'!A:G,4,0)+VLOOKUP('תפוקה מצטברת מול אשתקד'!A26,'מדיהו '!A:G,4,0)+VLOOKUP('תפוקה מצטברת מול אשתקד'!A26,'אנליסט '!A:G,4,0)+VLOOKUP('תפוקה מצטברת מול אשתקד'!A26,'מיטב דש'!A:G,4,0)+VLOOKUP('תפוקה מצטברת מול אשתקד'!A26,אינפניטי!A:G,4,0)</f>
        <v>28883.798721371371</v>
      </c>
      <c r="I26" s="68">
        <f>VLOOKUP(A26,הכשרה!A:G,5,0)+VLOOKUP('תפוקה מצטברת מול אשתקד'!A26,מגדל!A:G,5,0)+VLOOKUP('תפוקה מצטברת מול אשתקד'!A26,מנורה!A:G,5,0)+VLOOKUP('תפוקה מצטברת מול אשתקד'!A26,איילון!A:G,5,0)+VLOOKUP('תפוקה מצטברת מול אשתקד'!A26,הראל!A:G,5,0)+VLOOKUP('תפוקה מצטברת מול אשתקד'!A26,הפניקס!A:G,5,0)+VLOOKUP('תפוקה מצטברת מול אשתקד'!A26,כלל!A:G,5,0)+VLOOKUP('תפוקה מצטברת מול אשתקד'!A26,מור!A:G,5,0)+VLOOKUP('תפוקה מצטברת מול אשתקד'!A26,'אלטשולר שחם'!A:G,5,0)+VLOOKUP('תפוקה מצטברת מול אשתקד'!A26,'מדיהו '!A:G,5,0)+VLOOKUP('תפוקה מצטברת מול אשתקד'!A26,'אנליסט '!A:G,5,0)+VLOOKUP('תפוקה מצטברת מול אשתקד'!A26,'מיטב דש'!A:G,5,0)+VLOOKUP('תפוקה מצטברת מול אשתקד'!A26,אינפניטי!A:G,5,0)</f>
        <v>23230.57339091523</v>
      </c>
      <c r="J26" s="68">
        <f>VLOOKUP(A26,הכשרה!A:G,6,0)+VLOOKUP('תפוקה מצטברת מול אשתקד'!A26,מגדל!A:G,6,0)+VLOOKUP('תפוקה מצטברת מול אשתקד'!A26,מנורה!A:G,6,0)+VLOOKUP('תפוקה מצטברת מול אשתקד'!A26,איילון!A:G,6,0)+VLOOKUP(A26,הראל!A:G,6,0)+VLOOKUP('תפוקה מצטברת מול אשתקד'!A26,הפניקס!A:G,6,0)+VLOOKUP('תפוקה מצטברת מול אשתקד'!A26,כלל!A:G,6,0)+VLOOKUP('תפוקה מצטברת מול אשתקד'!A26,מור!A:G,6,0)+VLOOKUP('תפוקה מצטברת מול אשתקד'!A26,'אלטשולר שחם'!A:G,6,0)+VLOOKUP('תפוקה מצטברת מול אשתקד'!A26,'מדיהו '!A:G,6,0)+VLOOKUP('תפוקה מצטברת מול אשתקד'!A26,'אנליסט '!A:G,6,0)+VLOOKUP('תפוקה מצטברת מול אשתקד'!A26,'מיטב דש'!A:G,6,0)+VLOOKUP('תפוקה מצטברת מול אשתקד'!A26,אינפניטי!A:G,6,0)</f>
        <v>100000</v>
      </c>
      <c r="K26" s="68">
        <f>VLOOKUP(A26,הכשרה!A:G,7,0)+VLOOKUP('תפוקה מצטברת מול אשתקד'!A26,מגדל!A:G,7,0)+VLOOKUP('תפוקה מצטברת מול אשתקד'!A26,מנורה!A:G,7,0)+VLOOKUP('תפוקה מצטברת מול אשתקד'!A26,איילון!A:G,7,0)+VLOOKUP('תפוקה מצטברת מול אשתקד'!A26,הראל!A:G,7,0)+VLOOKUP('תפוקה מצטברת מול אשתקד'!A26,הפניקס!A:G,7,0)+VLOOKUP('תפוקה מצטברת מול אשתקד'!A26,כלל!A:G,7,0)+VLOOKUP('תפוקה מצטברת מול אשתקד'!A26,מור!A:G,7,0)+VLOOKUP('תפוקה מצטברת מול אשתקד'!A26,'אלטשולר שחם'!A:G,7,0)+VLOOKUP('תפוקה מצטברת מול אשתקד'!A26,'מדיהו '!A:K,7,0)+VLOOKUP(A26,'אנליסט '!A:G,7,0)+VLOOKUP('תפוקה מצטברת מול אשתקד'!A26,'מיטב דש'!A:G,7,0)+VLOOKUP('תפוקה מצטברת מול אשתקד'!A26,אינפניטי!A:G,7,0)</f>
        <v>0</v>
      </c>
      <c r="L26" s="12">
        <f>VLOOKUP(A26,הכשרה!A:K,8,0)+VLOOKUP('תפוקה מצטברת מול אשתקד'!A26,מגדל!A:K,8,0)+VLOOKUP('תפוקה מצטברת מול אשתקד'!A26,מנורה!A:K,8,0)+VLOOKUP('תפוקה מצטברת מול אשתקד'!A26,איילון!A:K,8,0)+VLOOKUP('תפוקה מצטברת מול אשתקד'!A26,הראל!A:K,8,0)+VLOOKUP('תפוקה מצטברת מול אשתקד'!A26,הפניקס!A:K,8,0)+VLOOKUP('תפוקה מצטברת מול אשתקד'!A26,כלל!A:K,8,0)+VLOOKUP('תפוקה מצטברת מול אשתקד'!A26,מור!A:K,8,0)+VLOOKUP('תפוקה מצטברת מול אשתקד'!A26,'אלטשולר שחם'!A:K,8,0)+VLOOKUP('תפוקה מצטברת מול אשתקד'!A26,'מדיהו '!A:K,8,0)+VLOOKUP('תפוקה מצטברת מול אשתקד'!A26,'אנליסט '!A:K,8,0)+VLOOKUP('תפוקה מצטברת מול אשתקד'!A26,'מיטב דש'!A:K,8,0)+VLOOKUP('תפוקה מצטברת מול אשתקד'!A26,אינפניטי!A:K,8,0)</f>
        <v>57836.887125000001</v>
      </c>
      <c r="M26" s="12">
        <f>VLOOKUP(A26,הכשרה!A:K,9,0)+VLOOKUP('תפוקה מצטברת מול אשתקד'!A26,מגדל!A:K,9,0)+VLOOKUP('תפוקה מצטברת מול אשתקד'!A26,מנורה!A:K,9,0)+VLOOKUP('תפוקה מצטברת מול אשתקד'!A26,איילון!A:K,9,0)+VLOOKUP('תפוקה מצטברת מול אשתקד'!A26,הראל!A:K,9,0)+VLOOKUP('תפוקה מצטברת מול אשתקד'!A26,הפניקס!A:K,9,0)+VLOOKUP('תפוקה מצטברת מול אשתקד'!A26,כלל!A:K,9,0)+VLOOKUP('תפוקה מצטברת מול אשתקד'!A26,מור!A:K,9,0)+VLOOKUP('תפוקה מצטברת מול אשתקד'!A26,'אלטשולר שחם'!A:K,9,0)+VLOOKUP('תפוקה מצטברת מול אשתקד'!A26,'מדיהו '!A:K,9,0)+VLOOKUP('תפוקה מצטברת מול אשתקד'!A26,'אנליסט '!A:K,9,0)+VLOOKUP('תפוקה מצטברת מול אשתקד'!A26,'מיטב דש'!A:K,9,0)+VLOOKUP('תפוקה מצטברת מול אשתקד'!A26,אינפניטי!A:K,9,0)</f>
        <v>28739.335707219972</v>
      </c>
      <c r="N26" s="12">
        <f>VLOOKUP(A26,הכשרה!A:K,10,0)+VLOOKUP('תפוקה מצטברת מול אשתקד'!A26,מגדל!A:K,10,0)+VLOOKUP('תפוקה מצטברת מול אשתקד'!A26,מנורה!A:K,10,0)+VLOOKUP('תפוקה מצטברת מול אשתקד'!A26,איילון!A:K,10,0)+VLOOKUP('תפוקה מצטברת מול אשתקד'!A26,הראל!A:K,10,0)+VLOOKUP('תפוקה מצטברת מול אשתקד'!A26,הפניקס!A:K,10,0)+VLOOKUP('תפוקה מצטברת מול אשתקד'!A26,כלל!A:K,10,0)+VLOOKUP('תפוקה מצטברת מול אשתקד'!A26,מור!A:K,10,0)+VLOOKUP('תפוקה מצטברת מול אשתקד'!A26,'אלטשולר שחם'!A:K,10,0)+VLOOKUP('תפוקה מצטברת מול אשתקד'!A26,'מדיהו '!A:K,10,0)+VLOOKUP('תפוקה מצטברת מול אשתקד'!A26,'אנליסט '!A:K,10,0)+VLOOKUP('תפוקה מצטברת מול אשתקד'!A26,'מיטב דש'!A:K,10,0)+VLOOKUP('תפוקה מצטברת מול אשתקד'!A26,אינפניטי!A:K,10,0)</f>
        <v>0</v>
      </c>
      <c r="O26" s="12">
        <f>VLOOKUP(A26,הכשרה!A:K,11,0)+VLOOKUP('תפוקה מצטברת מול אשתקד'!A26,מגדל!A:K,11,0)+VLOOKUP('תפוקה מצטברת מול אשתקד'!A26,מנורה!A:K,11,0)+VLOOKUP('תפוקה מצטברת מול אשתקד'!A26,איילון!A:K,11,0)+VLOOKUP('תפוקה מצטברת מול אשתקד'!A26,הראל!A:K,11,0)+VLOOKUP('תפוקה מצטברת מול אשתקד'!A26,הפניקס!A:K,11,0)+VLOOKUP('תפוקה מצטברת מול אשתקד'!A26,כלל!A:K,11,0)+VLOOKUP('תפוקה מצטברת מול אשתקד'!A26,מור!A:K,11,0)+VLOOKUP('תפוקה מצטברת מול אשתקד'!A26,'אלטשולר שחם'!A:K,11,0)+VLOOKUP('תפוקה מצטברת מול אשתקד'!A26,'מדיהו '!A:K,11,0)+VLOOKUP('תפוקה מצטברת מול אשתקד'!A26,'אנליסט '!A:K,11,0)+VLOOKUP('תפוקה מצטברת מול אשתקד'!A26,'מיטב דש'!A:K,11,0)+VLOOKUP('תפוקה מצטברת מול אשתקד'!A26,אינפניטי!A:K,11,0)</f>
        <v>108668.260029</v>
      </c>
    </row>
    <row r="27" spans="1:18" ht="15.75" customHeight="1" x14ac:dyDescent="0.25">
      <c r="A27" s="31" t="s">
        <v>18</v>
      </c>
      <c r="B27" s="27" t="s">
        <v>56</v>
      </c>
      <c r="C27" s="28" t="s">
        <v>115</v>
      </c>
      <c r="D27" s="20">
        <f t="shared" si="0"/>
        <v>-30.59885776448191</v>
      </c>
      <c r="E27" s="20">
        <f t="shared" si="0"/>
        <v>9.9153948656869328E-2</v>
      </c>
      <c r="F27" s="20">
        <f t="shared" si="0"/>
        <v>1</v>
      </c>
      <c r="G27" s="20">
        <f>IF(K27=0,0%,IF(O27=H43,100%,K27/O27-1))</f>
        <v>0</v>
      </c>
      <c r="H27" s="68">
        <f>VLOOKUP(A27,הכשרה!A:G,4,0)+VLOOKUP('תפוקה מצטברת מול אשתקד'!A27,מגדל!A:G,4,0)+VLOOKUP('תפוקה מצטברת מול אשתקד'!A27,מנורה!A:G,4,0)+VLOOKUP('תפוקה מצטברת מול אשתקד'!A27,איילון!A:G,4,0)+VLOOKUP('תפוקה מצטברת מול אשתקד'!A27,הראל!A:G,4,0)+VLOOKUP('תפוקה מצטברת מול אשתקד'!A27,הפניקס!A:G,4,0)+VLOOKUP('תפוקה מצטברת מול אשתקד'!A27,כלל!A:G,4,0)+VLOOKUP('תפוקה מצטברת מול אשתקד'!A27,מור!A:G,4,0)+VLOOKUP('תפוקה מצטברת מול אשתקד'!A27,'אלטשולר שחם'!A:G,4,0)+VLOOKUP('תפוקה מצטברת מול אשתקד'!A27,'מדיהו '!A:G,4,0)+VLOOKUP('תפוקה מצטברת מול אשתקד'!A27,'אנליסט '!A:G,4,0)+VLOOKUP('תפוקה מצטברת מול אשתקד'!A27,'מיטב דש'!A:G,4,0)+VLOOKUP('תפוקה מצטברת מול אשתקד'!A27,אינפניטי!A:G,4,0)</f>
        <v>4353.3999999999996</v>
      </c>
      <c r="I27" s="68">
        <f>VLOOKUP(A27,הכשרה!A:G,5,0)+VLOOKUP('תפוקה מצטברת מול אשתקד'!A27,מגדל!A:G,5,0)+VLOOKUP('תפוקה מצטברת מול אשתקד'!A27,מנורה!A:G,5,0)+VLOOKUP('תפוקה מצטברת מול אשתקד'!A27,איילון!A:G,5,0)+VLOOKUP('תפוקה מצטברת מול אשתקד'!A27,הראל!A:G,5,0)+VLOOKUP('תפוקה מצטברת מול אשתקד'!A27,הפניקס!A:G,5,0)+VLOOKUP('תפוקה מצטברת מול אשתקד'!A27,כלל!A:G,5,0)+VLOOKUP('תפוקה מצטברת מול אשתקד'!A27,מור!A:G,5,0)+VLOOKUP('תפוקה מצטברת מול אשתקד'!A27,'אלטשולר שחם'!A:G,5,0)+VLOOKUP('תפוקה מצטברת מול אשתקד'!A27,'מדיהו '!A:G,5,0)+VLOOKUP('תפוקה מצטברת מול אשתקד'!A27,'אנליסט '!A:G,5,0)+VLOOKUP('תפוקה מצטברת מול אשתקד'!A27,'מיטב דש'!A:G,5,0)+VLOOKUP('תפוקה מצטברת מול אשתקד'!A27,אינפניטי!A:G,5,0)</f>
        <v>21097.14</v>
      </c>
      <c r="J27" s="68">
        <f>VLOOKUP(A27,הכשרה!A:G,6,0)+VLOOKUP('תפוקה מצטברת מול אשתקד'!A27,מגדל!A:G,6,0)+VLOOKUP('תפוקה מצטברת מול אשתקד'!A27,מנורה!A:G,6,0)+VLOOKUP('תפוקה מצטברת מול אשתקד'!A27,איילון!A:G,6,0)+VLOOKUP(A27,הראל!A:G,6,0)+VLOOKUP('תפוקה מצטברת מול אשתקד'!A27,הפניקס!A:G,6,0)+VLOOKUP('תפוקה מצטברת מול אשתקד'!A27,כלל!A:G,6,0)+VLOOKUP('תפוקה מצטברת מול אשתקד'!A27,מור!A:G,6,0)+VLOOKUP('תפוקה מצטברת מול אשתקד'!A27,'אלטשולר שחם'!A:G,6,0)+VLOOKUP('תפוקה מצטברת מול אשתקד'!A27,'מדיהו '!A:G,6,0)+VLOOKUP('תפוקה מצטברת מול אשתקד'!A27,'אנליסט '!A:G,6,0)+VLOOKUP('תפוקה מצטברת מול אשתקד'!A27,'מיטב דש'!A:G,6,0)+VLOOKUP('תפוקה מצטברת מול אשתקד'!A27,אינפניטי!A:G,6,0)</f>
        <v>1593.98</v>
      </c>
      <c r="K27" s="68">
        <f>VLOOKUP(A27,הכשרה!A:G,7,0)+VLOOKUP('תפוקה מצטברת מול אשתקד'!A27,מגדל!A:G,7,0)+VLOOKUP('תפוקה מצטברת מול אשתקד'!A27,מנורה!A:G,7,0)+VLOOKUP('תפוקה מצטברת מול אשתקד'!A27,איילון!A:G,7,0)+VLOOKUP('תפוקה מצטברת מול אשתקד'!A27,הראל!A:G,7,0)+VLOOKUP('תפוקה מצטברת מול אשתקד'!A27,הפניקס!A:G,7,0)+VLOOKUP('תפוקה מצטברת מול אשתקד'!A27,כלל!A:G,7,0)+VLOOKUP('תפוקה מצטברת מול אשתקד'!A27,מור!A:G,7,0)+VLOOKUP('תפוקה מצטברת מול אשתקד'!A27,'אלטשולר שחם'!A:G,7,0)+VLOOKUP('תפוקה מצטברת מול אשתקד'!A27,'מדיהו '!A:K,7,0)+VLOOKUP(A27,'אנליסט '!A:G,7,0)+VLOOKUP('תפוקה מצטברת מול אשתקד'!A27,'מיטב דש'!A:G,7,0)+VLOOKUP('תפוקה מצטברת מול אשתקד'!A27,אינפניטי!A:G,7,0)</f>
        <v>0</v>
      </c>
      <c r="L27" s="12">
        <f>VLOOKUP(A27,הכשרה!A:K,8,0)+VLOOKUP('תפוקה מצטברת מול אשתקד'!A27,מגדל!A:K,8,0)+VLOOKUP('תפוקה מצטברת מול אשתקד'!A27,מנורה!A:K,8,0)+VLOOKUP('תפוקה מצטברת מול אשתקד'!A27,איילון!A:K,8,0)+VLOOKUP('תפוקה מצטברת מול אשתקד'!A27,הראל!A:K,8,0)+VLOOKUP('תפוקה מצטברת מול אשתקד'!A27,הפניקס!A:K,8,0)+VLOOKUP('תפוקה מצטברת מול אשתקד'!A27,כלל!A:K,8,0)+VLOOKUP('תפוקה מצטברת מול אשתקד'!A27,מור!A:K,8,0)+VLOOKUP('תפוקה מצטברת מול אשתקד'!A27,'אלטשולר שחם'!A:K,8,0)+VLOOKUP('תפוקה מצטברת מול אשתקד'!A27,'מדיהו '!A:K,8,0)+VLOOKUP('תפוקה מצטברת מול אשתקד'!A27,'אנליסט '!A:K,8,0)+VLOOKUP('תפוקה מצטברת מול אשתקד'!A27,'מיטב דש'!A:K,8,0)+VLOOKUP('תפוקה מצטברת מול אשתקד'!A27,אינפניטי!A:K,8,0)</f>
        <v>-147.08000000000001</v>
      </c>
      <c r="M27" s="12">
        <f>VLOOKUP(A27,הכשרה!A:K,9,0)+VLOOKUP('תפוקה מצטברת מול אשתקד'!A27,מגדל!A:K,9,0)+VLOOKUP('תפוקה מצטברת מול אשתקד'!A27,מנורה!A:K,9,0)+VLOOKUP('תפוקה מצטברת מול אשתקד'!A27,איילון!A:K,9,0)+VLOOKUP('תפוקה מצטברת מול אשתקד'!A27,הראל!A:K,9,0)+VLOOKUP('תפוקה מצטברת מול אשתקד'!A27,הפניקס!A:K,9,0)+VLOOKUP('תפוקה מצטברת מול אשתקד'!A27,כלל!A:K,9,0)+VLOOKUP('תפוקה מצטברת מול אשתקד'!A27,מור!A:K,9,0)+VLOOKUP('תפוקה מצטברת מול אשתקד'!A27,'אלטשולר שחם'!A:K,9,0)+VLOOKUP('תפוקה מצטברת מול אשתקד'!A27,'מדיהו '!A:K,9,0)+VLOOKUP('תפוקה מצטברת מול אשתקד'!A27,'אנליסט '!A:K,9,0)+VLOOKUP('תפוקה מצטברת מול אשתקד'!A27,'מיטב דש'!A:K,9,0)+VLOOKUP('תפוקה מצטברת מול אשתקד'!A27,אינפניטי!A:K,9,0)</f>
        <v>19193.980993999998</v>
      </c>
      <c r="N27" s="12">
        <f>VLOOKUP(A27,הכשרה!A:K,10,0)+VLOOKUP('תפוקה מצטברת מול אשתקד'!A27,מגדל!A:K,10,0)+VLOOKUP('תפוקה מצטברת מול אשתקד'!A27,מנורה!A:K,10,0)+VLOOKUP('תפוקה מצטברת מול אשתקד'!A27,איילון!A:K,10,0)+VLOOKUP('תפוקה מצטברת מול אשתקד'!A27,הראל!A:K,10,0)+VLOOKUP('תפוקה מצטברת מול אשתקד'!A27,הפניקס!A:K,10,0)+VLOOKUP('תפוקה מצטברת מול אשתקד'!A27,כלל!A:K,10,0)+VLOOKUP('תפוקה מצטברת מול אשתקד'!A27,מור!A:K,10,0)+VLOOKUP('תפוקה מצטברת מול אשתקד'!A27,'אלטשולר שחם'!A:K,10,0)+VLOOKUP('תפוקה מצטברת מול אשתקד'!A27,'מדיהו '!A:K,10,0)+VLOOKUP('תפוקה מצטברת מול אשתקד'!A27,'אנליסט '!A:K,10,0)+VLOOKUP('תפוקה מצטברת מול אשתקד'!A27,'מיטב דש'!A:K,10,0)+VLOOKUP('תפוקה מצטברת מול אשתקד'!A27,אינפניטי!A:K,10,0)</f>
        <v>0</v>
      </c>
      <c r="O27" s="12">
        <f>VLOOKUP(A27,הכשרה!A:K,11,0)+VLOOKUP('תפוקה מצטברת מול אשתקד'!A27,מגדל!A:K,11,0)+VLOOKUP('תפוקה מצטברת מול אשתקד'!A27,מנורה!A:K,11,0)+VLOOKUP('תפוקה מצטברת מול אשתקד'!A27,איילון!A:K,11,0)+VLOOKUP('תפוקה מצטברת מול אשתקד'!A27,הראל!A:K,11,0)+VLOOKUP('תפוקה מצטברת מול אשתקד'!A27,הפניקס!A:K,11,0)+VLOOKUP('תפוקה מצטברת מול אשתקד'!A27,כלל!A:K,11,0)+VLOOKUP('תפוקה מצטברת מול אשתקד'!A27,מור!A:K,11,0)+VLOOKUP('תפוקה מצטברת מול אשתקד'!A27,'אלטשולר שחם'!A:K,11,0)+VLOOKUP('תפוקה מצטברת מול אשתקד'!A27,'מדיהו '!A:K,11,0)+VLOOKUP('תפוקה מצטברת מול אשתקד'!A27,'אנליסט '!A:K,11,0)+VLOOKUP('תפוקה מצטברת מול אשתקד'!A27,'מיטב דש'!A:K,11,0)+VLOOKUP('תפוקה מצטברת מול אשתקד'!A27,אינפניטי!A:K,11,0)</f>
        <v>0</v>
      </c>
    </row>
    <row r="28" spans="1:18" ht="15.75" customHeight="1" x14ac:dyDescent="0.25">
      <c r="A28" s="27" t="s">
        <v>19</v>
      </c>
      <c r="B28" s="27" t="s">
        <v>56</v>
      </c>
      <c r="C28" s="28" t="s">
        <v>115</v>
      </c>
      <c r="D28" s="20">
        <f t="shared" si="0"/>
        <v>2.1286553350826858</v>
      </c>
      <c r="E28" s="20">
        <f t="shared" si="0"/>
        <v>-0.59154329892420843</v>
      </c>
      <c r="F28" s="20">
        <f t="shared" si="0"/>
        <v>-19.21798928310276</v>
      </c>
      <c r="G28" s="20">
        <f>IF(K28=0,0%,IF(O28=H44,100%,K28/O28-1))</f>
        <v>-1.6905077071382903</v>
      </c>
      <c r="H28" s="68">
        <f>VLOOKUP(A28,הכשרה!A:G,4,0)+VLOOKUP('תפוקה מצטברת מול אשתקד'!A28,מגדל!A:G,4,0)+VLOOKUP('תפוקה מצטברת מול אשתקד'!A28,מנורה!A:G,4,0)+VLOOKUP('תפוקה מצטברת מול אשתקד'!A28,איילון!A:G,4,0)+VLOOKUP('תפוקה מצטברת מול אשתקד'!A28,הראל!A:G,4,0)+VLOOKUP('תפוקה מצטברת מול אשתקד'!A28,הפניקס!A:G,4,0)+VLOOKUP('תפוקה מצטברת מול אשתקד'!A28,כלל!A:G,4,0)+VLOOKUP('תפוקה מצטברת מול אשתקד'!A28,מור!A:G,4,0)+VLOOKUP('תפוקה מצטברת מול אשתקד'!A28,'אלטשולר שחם'!A:G,4,0)+VLOOKUP('תפוקה מצטברת מול אשתקד'!A28,'מדיהו '!A:G,4,0)+VLOOKUP('תפוקה מצטברת מול אשתקד'!A28,'אנליסט '!A:G,4,0)+VLOOKUP('תפוקה מצטברת מול אשתקד'!A28,'מיטב דש'!A:G,4,0)+VLOOKUP('תפוקה מצטברת מול אשתקד'!A28,אינפניטי!A:G,4,0)</f>
        <v>119873.8034326261</v>
      </c>
      <c r="I28" s="68">
        <f>VLOOKUP(A28,הכשרה!A:G,5,0)+VLOOKUP('תפוקה מצטברת מול אשתקד'!A28,מגדל!A:G,5,0)+VLOOKUP('תפוקה מצטברת מול אשתקד'!A28,מנורה!A:G,5,0)+VLOOKUP('תפוקה מצטברת מול אשתקד'!A28,איילון!A:G,5,0)+VLOOKUP('תפוקה מצטברת מול אשתקד'!A28,הראל!A:G,5,0)+VLOOKUP('תפוקה מצטברת מול אשתקד'!A28,הפניקס!A:G,5,0)+VLOOKUP('תפוקה מצטברת מול אשתקד'!A28,כלל!A:G,5,0)+VLOOKUP('תפוקה מצטברת מול אשתקד'!A28,מור!A:G,5,0)+VLOOKUP('תפוקה מצטברת מול אשתקד'!A28,'אלטשולר שחם'!A:G,5,0)+VLOOKUP('תפוקה מצטברת מול אשתקד'!A28,'מדיהו '!A:G,5,0)+VLOOKUP('תפוקה מצטברת מול אשתקד'!A28,'אנליסט '!A:G,5,0)+VLOOKUP('תפוקה מצטברת מול אשתקד'!A28,'מיטב דש'!A:G,5,0)+VLOOKUP('תפוקה מצטברת מול אשתקד'!A28,אינפניטי!A:G,5,0)</f>
        <v>19453.77</v>
      </c>
      <c r="J28" s="68">
        <f>VLOOKUP(A28,הכשרה!A:G,6,0)+VLOOKUP('תפוקה מצטברת מול אשתקד'!A28,מגדל!A:G,6,0)+VLOOKUP('תפוקה מצטברת מול אשתקד'!A28,מנורה!A:G,6,0)+VLOOKUP('תפוקה מצטברת מול אשתקד'!A28,איילון!A:G,6,0)+VLOOKUP(A28,הראל!A:G,6,0)+VLOOKUP('תפוקה מצטברת מול אשתקד'!A28,הפניקס!A:G,6,0)+VLOOKUP('תפוקה מצטברת מול אשתקד'!A28,כלל!A:G,6,0)+VLOOKUP('תפוקה מצטברת מול אשתקד'!A28,מור!A:G,6,0)+VLOOKUP('תפוקה מצטברת מול אשתקד'!A28,'אלטשולר שחם'!A:G,6,0)+VLOOKUP('תפוקה מצטברת מול אשתקד'!A28,'מדיהו '!A:G,6,0)+VLOOKUP('תפוקה מצטברת מול אשתקד'!A28,'אנליסט '!A:G,6,0)+VLOOKUP('תפוקה מצטברת מול אשתקד'!A28,'מיטב דש'!A:G,6,0)+VLOOKUP('תפוקה מצטברת מול אשתקד'!A28,אינפניטי!A:G,6,0)</f>
        <v>531670.52</v>
      </c>
      <c r="K28" s="68">
        <f>VLOOKUP(A28,הכשרה!A:G,7,0)+VLOOKUP('תפוקה מצטברת מול אשתקד'!A28,מגדל!A:G,7,0)+VLOOKUP('תפוקה מצטברת מול אשתקד'!A28,מנורה!A:G,7,0)+VLOOKUP('תפוקה מצטברת מול אשתקד'!A28,איילון!A:G,7,0)+VLOOKUP('תפוקה מצטברת מול אשתקד'!A28,הראל!A:G,7,0)+VLOOKUP('תפוקה מצטברת מול אשתקד'!A28,הפניקס!A:G,7,0)+VLOOKUP('תפוקה מצטברת מול אשתקד'!A28,כלל!A:G,7,0)+VLOOKUP('תפוקה מצטברת מול אשתקד'!A28,מור!A:G,7,0)+VLOOKUP('תפוקה מצטברת מול אשתקד'!A28,'אלטשולר שחם'!A:G,7,0)+VLOOKUP('תפוקה מצטברת מול אשתקד'!A28,'מדיהו '!A:K,7,0)+VLOOKUP(A28,'אנליסט '!A:G,7,0)+VLOOKUP('תפוקה מצטברת מול אשתקד'!A28,'מיטב דש'!A:G,7,0)+VLOOKUP('תפוקה מצטברת מול אשתקד'!A28,אינפניטי!A:G,7,0)</f>
        <v>265483.21999999997</v>
      </c>
      <c r="L28" s="12">
        <f>VLOOKUP(A28,הכשרה!A:K,8,0)+VLOOKUP('תפוקה מצטברת מול אשתקד'!A28,מגדל!A:K,8,0)+VLOOKUP('תפוקה מצטברת מול אשתקד'!A28,מנורה!A:K,8,0)+VLOOKUP('תפוקה מצטברת מול אשתקד'!A28,איילון!A:K,8,0)+VLOOKUP('תפוקה מצטברת מול אשתקד'!A28,הראל!A:K,8,0)+VLOOKUP('תפוקה מצטברת מול אשתקד'!A28,הפניקס!A:K,8,0)+VLOOKUP('תפוקה מצטברת מול אשתקד'!A28,כלל!A:K,8,0)+VLOOKUP('תפוקה מצטברת מול אשתקד'!A28,מור!A:K,8,0)+VLOOKUP('תפוקה מצטברת מול אשתקד'!A28,'אלטשולר שחם'!A:K,8,0)+VLOOKUP('תפוקה מצטברת מול אשתקד'!A28,'מדיהו '!A:K,8,0)+VLOOKUP('תפוקה מצטברת מול אשתקד'!A28,'אנליסט '!A:K,8,0)+VLOOKUP('תפוקה מצטברת מול אשתקד'!A28,'מיטב דש'!A:K,8,0)+VLOOKUP('תפוקה מצטברת מול אשתקד'!A28,אינפניטי!A:K,8,0)</f>
        <v>38314.800000000003</v>
      </c>
      <c r="M28" s="12">
        <f>VLOOKUP(A28,הכשרה!A:K,9,0)+VLOOKUP('תפוקה מצטברת מול אשתקד'!A28,מגדל!A:K,9,0)+VLOOKUP('תפוקה מצטברת מול אשתקד'!A28,מנורה!A:K,9,0)+VLOOKUP('תפוקה מצטברת מול אשתקד'!A28,איילון!A:K,9,0)+VLOOKUP('תפוקה מצטברת מול אשתקד'!A28,הראל!A:K,9,0)+VLOOKUP('תפוקה מצטברת מול אשתקד'!A28,הפניקס!A:K,9,0)+VLOOKUP('תפוקה מצטברת מול אשתקד'!A28,כלל!A:K,9,0)+VLOOKUP('תפוקה מצטברת מול אשתקד'!A28,מור!A:K,9,0)+VLOOKUP('תפוקה מצטברת מול אשתקד'!A28,'אלטשולר שחם'!A:K,9,0)+VLOOKUP('תפוקה מצטברת מול אשתקד'!A28,'מדיהו '!A:K,9,0)+VLOOKUP('תפוקה מצטברת מול אשתקד'!A28,'אנליסט '!A:K,9,0)+VLOOKUP('תפוקה מצטברת מול אשתקד'!A28,'מיטב דש'!A:K,9,0)+VLOOKUP('תפוקה מצטברת מול אשתקד'!A28,אינפניטי!A:K,9,0)</f>
        <v>47627.496252999998</v>
      </c>
      <c r="N28" s="12">
        <f>VLOOKUP(A28,הכשרה!A:K,10,0)+VLOOKUP('תפוקה מצטברת מול אשתקד'!A28,מגדל!A:K,10,0)+VLOOKUP('תפוקה מצטברת מול אשתקד'!A28,מנורה!A:K,10,0)+VLOOKUP('תפוקה מצטברת מול אשתקד'!A28,איילון!A:K,10,0)+VLOOKUP('תפוקה מצטברת מול אשתקד'!A28,הראל!A:K,10,0)+VLOOKUP('תפוקה מצטברת מול אשתקד'!A28,הפניקס!A:K,10,0)+VLOOKUP('תפוקה מצטברת מול אשתקד'!A28,כלל!A:K,10,0)+VLOOKUP('תפוקה מצטברת מול אשתקד'!A28,מור!A:K,10,0)+VLOOKUP('תפוקה מצטברת מול אשתקד'!A28,'אלטשולר שחם'!A:K,10,0)+VLOOKUP('תפוקה מצטברת מול אשתקד'!A28,'מדיהו '!A:K,10,0)+VLOOKUP('תפוקה מצטברת מול אשתקד'!A28,'אנליסט '!A:K,10,0)+VLOOKUP('תפוקה מצטברת מול אשתקד'!A28,'מיטב דש'!A:K,10,0)+VLOOKUP('תפוקה מצטברת מול אשתקד'!A28,אינפניטי!A:K,10,0)</f>
        <v>-29183.82</v>
      </c>
      <c r="O28" s="12">
        <f>VLOOKUP(A28,הכשרה!A:K,11,0)+VLOOKUP('תפוקה מצטברת מול אשתקד'!A28,מגדל!A:K,11,0)+VLOOKUP('תפוקה מצטברת מול אשתקד'!A28,מנורה!A:K,11,0)+VLOOKUP('תפוקה מצטברת מול אשתקד'!A28,איילון!A:K,11,0)+VLOOKUP('תפוקה מצטברת מול אשתקד'!A28,הראל!A:K,11,0)+VLOOKUP('תפוקה מצטברת מול אשתקד'!A28,הפניקס!A:K,11,0)+VLOOKUP('תפוקה מצטברת מול אשתקד'!A28,כלל!A:K,11,0)+VLOOKUP('תפוקה מצטברת מול אשתקד'!A28,מור!A:K,11,0)+VLOOKUP('תפוקה מצטברת מול אשתקד'!A28,'אלטשולר שחם'!A:K,11,0)+VLOOKUP('תפוקה מצטברת מול אשתקד'!A28,'מדיהו '!A:K,11,0)+VLOOKUP('תפוקה מצטברת מול אשתקד'!A28,'אנליסט '!A:K,11,0)+VLOOKUP('תפוקה מצטברת מול אשתקד'!A28,'מיטב דש'!A:K,11,0)+VLOOKUP('תפוקה מצטברת מול אשתקד'!A28,אינפניטי!A:K,11,0)</f>
        <v>-384475.39</v>
      </c>
    </row>
    <row r="29" spans="1:18" ht="15.75" customHeight="1" x14ac:dyDescent="0.25">
      <c r="A29" s="27" t="s">
        <v>20</v>
      </c>
      <c r="B29" s="27" t="s">
        <v>56</v>
      </c>
      <c r="C29" s="28" t="s">
        <v>115</v>
      </c>
      <c r="D29" s="20">
        <f t="shared" si="0"/>
        <v>1.1439930774210927</v>
      </c>
      <c r="E29" s="20">
        <f t="shared" si="0"/>
        <v>0.1141564900113996</v>
      </c>
      <c r="F29" s="20">
        <f t="shared" si="0"/>
        <v>-0.36397070062187042</v>
      </c>
      <c r="G29" s="20" t="e">
        <f>IF(K29=0,0%,IF(O29=#REF!,100%,K29/O29-1))</f>
        <v>#REF!</v>
      </c>
      <c r="H29" s="68">
        <f>VLOOKUP(A29,הכשרה!A:G,4,0)+VLOOKUP('תפוקה מצטברת מול אשתקד'!A29,מגדל!A:G,4,0)+VLOOKUP('תפוקה מצטברת מול אשתקד'!A29,מנורה!A:G,4,0)+VLOOKUP('תפוקה מצטברת מול אשתקד'!A29,איילון!A:G,4,0)+VLOOKUP('תפוקה מצטברת מול אשתקד'!A29,הראל!A:G,4,0)+VLOOKUP('תפוקה מצטברת מול אשתקד'!A29,הפניקס!A:G,4,0)+VLOOKUP('תפוקה מצטברת מול אשתקד'!A29,כלל!A:G,4,0)+VLOOKUP('תפוקה מצטברת מול אשתקד'!A29,מור!A:G,4,0)+VLOOKUP('תפוקה מצטברת מול אשתקד'!A29,'אלטשולר שחם'!A:G,4,0)+VLOOKUP('תפוקה מצטברת מול אשתקד'!A29,'מדיהו '!A:G,4,0)+VLOOKUP('תפוקה מצטברת מול אשתקד'!A29,'אנליסט '!A:G,4,0)+VLOOKUP('תפוקה מצטברת מול אשתקד'!A29,'מיטב דש'!A:G,4,0)+VLOOKUP('תפוקה מצטברת מול אשתקד'!A29,אינפניטי!A:G,4,0)</f>
        <v>335024.33</v>
      </c>
      <c r="I29" s="68">
        <f>VLOOKUP(A29,הכשרה!A:G,5,0)+VLOOKUP('תפוקה מצטברת מול אשתקד'!A29,מגדל!A:G,5,0)+VLOOKUP('תפוקה מצטברת מול אשתקד'!A29,מנורה!A:G,5,0)+VLOOKUP('תפוקה מצטברת מול אשתקד'!A29,איילון!A:G,5,0)+VLOOKUP('תפוקה מצטברת מול אשתקד'!A29,הראל!A:G,5,0)+VLOOKUP('תפוקה מצטברת מול אשתקד'!A29,הפניקס!A:G,5,0)+VLOOKUP('תפוקה מצטברת מול אשתקד'!A29,כלל!A:G,5,0)+VLOOKUP('תפוקה מצטברת מול אשתקד'!A29,מור!A:G,5,0)+VLOOKUP('תפוקה מצטברת מול אשתקד'!A29,'אלטשולר שחם'!A:G,5,0)+VLOOKUP('תפוקה מצטברת מול אשתקד'!A29,'מדיהו '!A:G,5,0)+VLOOKUP('תפוקה מצטברת מול אשתקד'!A29,'אנליסט '!A:G,5,0)+VLOOKUP('תפוקה מצטברת מול אשתקד'!A29,'מיטב דש'!A:G,5,0)+VLOOKUP('תפוקה מצטברת מול אשתקד'!A29,אינפניטי!A:G,5,0)</f>
        <v>10584.783885320074</v>
      </c>
      <c r="J29" s="68">
        <f>VLOOKUP(A29,הכשרה!A:G,6,0)+VLOOKUP('תפוקה מצטברת מול אשתקד'!A29,מגדל!A:G,6,0)+VLOOKUP('תפוקה מצטברת מול אשתקד'!A29,מנורה!A:G,6,0)+VLOOKUP('תפוקה מצטברת מול אשתקד'!A29,איילון!A:G,6,0)+VLOOKUP(A29,הראל!A:G,6,0)+VLOOKUP('תפוקה מצטברת מול אשתקד'!A29,הפניקס!A:G,6,0)+VLOOKUP('תפוקה מצטברת מול אשתקד'!A29,כלל!A:G,6,0)+VLOOKUP('תפוקה מצטברת מול אשתקד'!A29,מור!A:G,6,0)+VLOOKUP('תפוקה מצטברת מול אשתקד'!A29,'אלטשולר שחם'!A:G,6,0)+VLOOKUP('תפוקה מצטברת מול אשתקד'!A29,'מדיהו '!A:G,6,0)+VLOOKUP('תפוקה מצטברת מול אשתקד'!A29,'אנליסט '!A:G,6,0)+VLOOKUP('תפוקה מצטברת מול אשתקד'!A29,'מיטב דש'!A:G,6,0)+VLOOKUP('תפוקה מצטברת מול אשתקד'!A29,אינפניטי!A:G,6,0)</f>
        <v>302968</v>
      </c>
      <c r="K29" s="68">
        <f>VLOOKUP(A29,הכשרה!A:G,7,0)+VLOOKUP('תפוקה מצטברת מול אשתקד'!A29,מגדל!A:G,7,0)+VLOOKUP('תפוקה מצטברת מול אשתקד'!A29,מנורה!A:G,7,0)+VLOOKUP('תפוקה מצטברת מול אשתקד'!A29,איילון!A:G,7,0)+VLOOKUP('תפוקה מצטברת מול אשתקד'!A29,הראל!A:G,7,0)+VLOOKUP('תפוקה מצטברת מול אשתקד'!A29,הפניקס!A:G,7,0)+VLOOKUP('תפוקה מצטברת מול אשתקד'!A29,כלל!A:G,7,0)+VLOOKUP('תפוקה מצטברת מול אשתקד'!A29,מור!A:G,7,0)+VLOOKUP('תפוקה מצטברת מול אשתקד'!A29,'אלטשולר שחם'!A:G,7,0)+VLOOKUP('תפוקה מצטברת מול אשתקד'!A29,'מדיהו '!A:K,7,0)+VLOOKUP(A29,'אנליסט '!A:G,7,0)+VLOOKUP('תפוקה מצטברת מול אשתקד'!A29,'מיטב דש'!A:G,7,0)+VLOOKUP('תפוקה מצטברת מול אשתקד'!A29,אינפניטי!A:G,7,0)</f>
        <v>738313.1</v>
      </c>
      <c r="L29" s="12">
        <f>VLOOKUP(A29,הכשרה!A:K,8,0)+VLOOKUP('תפוקה מצטברת מול אשתקד'!A29,מגדל!A:K,8,0)+VLOOKUP('תפוקה מצטברת מול אשתקד'!A29,מנורה!A:K,8,0)+VLOOKUP('תפוקה מצטברת מול אשתקד'!A29,איילון!A:K,8,0)+VLOOKUP('תפוקה מצטברת מול אשתקד'!A29,הראל!A:K,8,0)+VLOOKUP('תפוקה מצטברת מול אשתקד'!A29,הפניקס!A:K,8,0)+VLOOKUP('תפוקה מצטברת מול אשתקד'!A29,כלל!A:K,8,0)+VLOOKUP('תפוקה מצטברת מול אשתקד'!A29,מור!A:K,8,0)+VLOOKUP('תפוקה מצטברת מול אשתקד'!A29,'אלטשולר שחם'!A:K,8,0)+VLOOKUP('תפוקה מצטברת מול אשתקד'!A29,'מדיהו '!A:K,8,0)+VLOOKUP('תפוקה מצטברת מול אשתקד'!A29,'אנליסט '!A:K,8,0)+VLOOKUP('תפוקה מצטברת מול אשתקד'!A29,'מיטב דש'!A:K,8,0)+VLOOKUP('תפוקה מצטברת מול אשתקד'!A29,אינפניטי!A:K,8,0)</f>
        <v>156261.85248834145</v>
      </c>
      <c r="M29" s="12">
        <f>VLOOKUP(A29,הכשרה!A:K,9,0)+VLOOKUP('תפוקה מצטברת מול אשתקד'!A29,מגדל!A:K,9,0)+VLOOKUP('תפוקה מצטברת מול אשתקד'!A29,מנורה!A:K,9,0)+VLOOKUP('תפוקה מצטברת מול אשתקד'!A29,איילון!A:K,9,0)+VLOOKUP('תפוקה מצטברת מול אשתקד'!A29,הראל!A:K,9,0)+VLOOKUP('תפוקה מצטברת מול אשתקד'!A29,הפניקס!A:K,9,0)+VLOOKUP('תפוקה מצטברת מול אשתקד'!A29,כלל!A:K,9,0)+VLOOKUP('תפוקה מצטברת מול אשתקד'!A29,מור!A:K,9,0)+VLOOKUP('תפוקה מצטברת מול אשתקד'!A29,'אלטשולר שחם'!A:K,9,0)+VLOOKUP('תפוקה מצטברת מול אשתקד'!A29,'מדיהו '!A:K,9,0)+VLOOKUP('תפוקה מצטברת מול אשתקד'!A29,'אנליסט '!A:K,9,0)+VLOOKUP('תפוקה מצטברת מול אשתקד'!A29,'מיטב דש'!A:K,9,0)+VLOOKUP('תפוקה מצטברת מול אשתקד'!A29,אינפניטי!A:K,9,0)</f>
        <v>9500.2667759999986</v>
      </c>
      <c r="N29" s="12">
        <f>VLOOKUP(A29,הכשרה!A:K,10,0)+VLOOKUP('תפוקה מצטברת מול אשתקד'!A29,מגדל!A:K,10,0)+VLOOKUP('תפוקה מצטברת מול אשתקד'!A29,מנורה!A:K,10,0)+VLOOKUP('תפוקה מצטברת מול אשתקד'!A29,איילון!A:K,10,0)+VLOOKUP('תפוקה מצטברת מול אשתקד'!A29,הראל!A:K,10,0)+VLOOKUP('תפוקה מצטברת מול אשתקד'!A29,הפניקס!A:K,10,0)+VLOOKUP('תפוקה מצטברת מול אשתקד'!A29,כלל!A:K,10,0)+VLOOKUP('תפוקה מצטברת מול אשתקד'!A29,מור!A:K,10,0)+VLOOKUP('תפוקה מצטברת מול אשתקד'!A29,'אלטשולר שחם'!A:K,10,0)+VLOOKUP('תפוקה מצטברת מול אשתקד'!A29,'מדיהו '!A:K,10,0)+VLOOKUP('תפוקה מצטברת מול אשתקד'!A29,'אנליסט '!A:K,10,0)+VLOOKUP('תפוקה מצטברת מול אשתקד'!A29,'מיטב דש'!A:K,10,0)+VLOOKUP('תפוקה מצטברת מול אשתקד'!A29,אינפניטי!A:K,10,0)</f>
        <v>476342.83561499999</v>
      </c>
      <c r="O29" s="12">
        <f>VLOOKUP(A29,הכשרה!A:K,11,0)+VLOOKUP('תפוקה מצטברת מול אשתקד'!A29,מגדל!A:K,11,0)+VLOOKUP('תפוקה מצטברת מול אשתקד'!A29,מנורה!A:K,11,0)+VLOOKUP('תפוקה מצטברת מול אשתקד'!A29,איילון!A:K,11,0)+VLOOKUP('תפוקה מצטברת מול אשתקד'!A29,הראל!A:K,11,0)+VLOOKUP('תפוקה מצטברת מול אשתקד'!A29,הפניקס!A:K,11,0)+VLOOKUP('תפוקה מצטברת מול אשתקד'!A29,כלל!A:K,11,0)+VLOOKUP('תפוקה מצטברת מול אשתקד'!A29,מור!A:K,11,0)+VLOOKUP('תפוקה מצטברת מול אשתקד'!A29,'אלטשולר שחם'!A:K,11,0)+VLOOKUP('תפוקה מצטברת מול אשתקד'!A29,'מדיהו '!A:K,11,0)+VLOOKUP('תפוקה מצטברת מול אשתקד'!A29,'אנליסט '!A:K,11,0)+VLOOKUP('תפוקה מצטברת מול אשתקד'!A29,'מיטב דש'!A:K,11,0)+VLOOKUP('תפוקה מצטברת מול אשתקד'!A29,אינפניטי!A:K,11,0)</f>
        <v>152480.21497299999</v>
      </c>
    </row>
    <row r="30" spans="1:18" ht="15.75" customHeight="1" x14ac:dyDescent="0.25">
      <c r="A30" s="27" t="s">
        <v>21</v>
      </c>
      <c r="B30" s="27" t="s">
        <v>56</v>
      </c>
      <c r="C30" s="28" t="s">
        <v>115</v>
      </c>
      <c r="D30" s="20">
        <f t="shared" si="0"/>
        <v>0</v>
      </c>
      <c r="E30" s="20">
        <f t="shared" si="0"/>
        <v>0</v>
      </c>
      <c r="F30" s="20">
        <f t="shared" si="0"/>
        <v>0</v>
      </c>
      <c r="G30" s="20">
        <f>IF(K30=0,0%,IF(O30=H45,100%,K30/O30-1))</f>
        <v>0</v>
      </c>
      <c r="H30" s="68">
        <f>VLOOKUP(A30,הכשרה!A:G,4,0)+VLOOKUP('תפוקה מצטברת מול אשתקד'!A30,מגדל!A:G,4,0)+VLOOKUP('תפוקה מצטברת מול אשתקד'!A30,מנורה!A:G,4,0)+VLOOKUP('תפוקה מצטברת מול אשתקד'!A30,איילון!A:G,4,0)+VLOOKUP('תפוקה מצטברת מול אשתקד'!A30,הראל!A:G,4,0)+VLOOKUP('תפוקה מצטברת מול אשתקד'!A30,הפניקס!A:G,4,0)+VLOOKUP('תפוקה מצטברת מול אשתקד'!A30,כלל!A:G,4,0)+VLOOKUP('תפוקה מצטברת מול אשתקד'!A30,מור!A:G,4,0)+VLOOKUP('תפוקה מצטברת מול אשתקד'!A30,'אלטשולר שחם'!A:G,4,0)+VLOOKUP('תפוקה מצטברת מול אשתקד'!A30,'מדיהו '!A:G,4,0)+VLOOKUP('תפוקה מצטברת מול אשתקד'!A30,'אנליסט '!A:G,4,0)+VLOOKUP('תפוקה מצטברת מול אשתקד'!A30,'מיטב דש'!A:G,4,0)+VLOOKUP('תפוקה מצטברת מול אשתקד'!A30,אינפניטי!A:G,4,0)</f>
        <v>0</v>
      </c>
      <c r="I30" s="68">
        <f>VLOOKUP(A30,הכשרה!A:G,5,0)+VLOOKUP('תפוקה מצטברת מול אשתקד'!A30,מגדל!A:G,5,0)+VLOOKUP('תפוקה מצטברת מול אשתקד'!A30,מנורה!A:G,5,0)+VLOOKUP('תפוקה מצטברת מול אשתקד'!A30,איילון!A:G,5,0)+VLOOKUP('תפוקה מצטברת מול אשתקד'!A30,הראל!A:G,5,0)+VLOOKUP('תפוקה מצטברת מול אשתקד'!A30,הפניקס!A:G,5,0)+VLOOKUP('תפוקה מצטברת מול אשתקד'!A30,כלל!A:G,5,0)+VLOOKUP('תפוקה מצטברת מול אשתקד'!A30,מור!A:G,5,0)+VLOOKUP('תפוקה מצטברת מול אשתקד'!A30,'אלטשולר שחם'!A:G,5,0)+VLOOKUP('תפוקה מצטברת מול אשתקד'!A30,'מדיהו '!A:G,5,0)+VLOOKUP('תפוקה מצטברת מול אשתקד'!A30,'אנליסט '!A:G,5,0)+VLOOKUP('תפוקה מצטברת מול אשתקד'!A30,'מיטב דש'!A:G,5,0)+VLOOKUP('תפוקה מצטברת מול אשתקד'!A30,אינפניטי!A:G,5,0)</f>
        <v>0</v>
      </c>
      <c r="J30" s="68">
        <f>VLOOKUP(A30,הכשרה!A:G,6,0)+VLOOKUP('תפוקה מצטברת מול אשתקד'!A30,מגדל!A:G,6,0)+VLOOKUP('תפוקה מצטברת מול אשתקד'!A30,מנורה!A:G,6,0)+VLOOKUP('תפוקה מצטברת מול אשתקד'!A30,איילון!A:G,6,0)+VLOOKUP(A30,הראל!A:G,6,0)+VLOOKUP('תפוקה מצטברת מול אשתקד'!A30,הפניקס!A:G,6,0)+VLOOKUP('תפוקה מצטברת מול אשתקד'!A30,כלל!A:G,6,0)+VLOOKUP('תפוקה מצטברת מול אשתקד'!A30,מור!A:G,6,0)+VLOOKUP('תפוקה מצטברת מול אשתקד'!A30,'אלטשולר שחם'!A:G,6,0)+VLOOKUP('תפוקה מצטברת מול אשתקד'!A30,'מדיהו '!A:G,6,0)+VLOOKUP('תפוקה מצטברת מול אשתקד'!A30,'אנליסט '!A:G,6,0)+VLOOKUP('תפוקה מצטברת מול אשתקד'!A30,'מיטב דש'!A:G,6,0)+VLOOKUP('תפוקה מצטברת מול אשתקד'!A30,אינפניטי!A:G,6,0)</f>
        <v>0</v>
      </c>
      <c r="K30" s="68">
        <f>VLOOKUP(A30,הכשרה!A:G,7,0)+VLOOKUP('תפוקה מצטברת מול אשתקד'!A30,מגדל!A:G,7,0)+VLOOKUP('תפוקה מצטברת מול אשתקד'!A30,מנורה!A:G,7,0)+VLOOKUP('תפוקה מצטברת מול אשתקד'!A30,איילון!A:G,7,0)+VLOOKUP('תפוקה מצטברת מול אשתקד'!A30,הראל!A:G,7,0)+VLOOKUP('תפוקה מצטברת מול אשתקד'!A30,הפניקס!A:G,7,0)+VLOOKUP('תפוקה מצטברת מול אשתקד'!A30,כלל!A:G,7,0)+VLOOKUP('תפוקה מצטברת מול אשתקד'!A30,מור!A:G,7,0)+VLOOKUP('תפוקה מצטברת מול אשתקד'!A30,'אלטשולר שחם'!A:G,7,0)+VLOOKUP('תפוקה מצטברת מול אשתקד'!A30,'מדיהו '!A:K,7,0)+VLOOKUP(A30,'אנליסט '!A:G,7,0)+VLOOKUP('תפוקה מצטברת מול אשתקד'!A30,'מיטב דש'!A:G,7,0)+VLOOKUP('תפוקה מצטברת מול אשתקד'!A30,אינפניטי!A:G,7,0)</f>
        <v>0</v>
      </c>
      <c r="L30" s="12">
        <f>VLOOKUP(A30,הכשרה!A:K,8,0)+VLOOKUP('תפוקה מצטברת מול אשתקד'!A30,מגדל!A:K,8,0)+VLOOKUP('תפוקה מצטברת מול אשתקד'!A30,מנורה!A:K,8,0)+VLOOKUP('תפוקה מצטברת מול אשתקד'!A30,איילון!A:K,8,0)+VLOOKUP('תפוקה מצטברת מול אשתקד'!A30,הראל!A:K,8,0)+VLOOKUP('תפוקה מצטברת מול אשתקד'!A30,הפניקס!A:K,8,0)+VLOOKUP('תפוקה מצטברת מול אשתקד'!A30,כלל!A:K,8,0)+VLOOKUP('תפוקה מצטברת מול אשתקד'!A30,מור!A:K,8,0)+VLOOKUP('תפוקה מצטברת מול אשתקד'!A30,'אלטשולר שחם'!A:K,8,0)+VLOOKUP('תפוקה מצטברת מול אשתקד'!A30,'מדיהו '!A:K,8,0)+VLOOKUP('תפוקה מצטברת מול אשתקד'!A30,'אנליסט '!A:K,8,0)+VLOOKUP('תפוקה מצטברת מול אשתקד'!A30,'מיטב דש'!A:K,8,0)+VLOOKUP('תפוקה מצטברת מול אשתקד'!A30,אינפניטי!A:K,8,0)</f>
        <v>0</v>
      </c>
      <c r="M30" s="12">
        <f>VLOOKUP(A30,הכשרה!A:K,9,0)+VLOOKUP('תפוקה מצטברת מול אשתקד'!A30,מגדל!A:K,9,0)+VLOOKUP('תפוקה מצטברת מול אשתקד'!A30,מנורה!A:K,9,0)+VLOOKUP('תפוקה מצטברת מול אשתקד'!A30,איילון!A:K,9,0)+VLOOKUP('תפוקה מצטברת מול אשתקד'!A30,הראל!A:K,9,0)+VLOOKUP('תפוקה מצטברת מול אשתקד'!A30,הפניקס!A:K,9,0)+VLOOKUP('תפוקה מצטברת מול אשתקד'!A30,כלל!A:K,9,0)+VLOOKUP('תפוקה מצטברת מול אשתקד'!A30,מור!A:K,9,0)+VLOOKUP('תפוקה מצטברת מול אשתקד'!A30,'אלטשולר שחם'!A:K,9,0)+VLOOKUP('תפוקה מצטברת מול אשתקד'!A30,'מדיהו '!A:K,9,0)+VLOOKUP('תפוקה מצטברת מול אשתקד'!A30,'אנליסט '!A:K,9,0)+VLOOKUP('תפוקה מצטברת מול אשתקד'!A30,'מיטב דש'!A:K,9,0)+VLOOKUP('תפוקה מצטברת מול אשתקד'!A30,אינפניטי!A:K,9,0)</f>
        <v>7.82</v>
      </c>
      <c r="N30" s="12">
        <f>VLOOKUP(A30,הכשרה!A:K,10,0)+VLOOKUP('תפוקה מצטברת מול אשתקד'!A30,מגדל!A:K,10,0)+VLOOKUP('תפוקה מצטברת מול אשתקד'!A30,מנורה!A:K,10,0)+VLOOKUP('תפוקה מצטברת מול אשתקד'!A30,איילון!A:K,10,0)+VLOOKUP('תפוקה מצטברת מול אשתקד'!A30,הראל!A:K,10,0)+VLOOKUP('תפוקה מצטברת מול אשתקד'!A30,הפניקס!A:K,10,0)+VLOOKUP('תפוקה מצטברת מול אשתקד'!A30,כלל!A:K,10,0)+VLOOKUP('תפוקה מצטברת מול אשתקד'!A30,מור!A:K,10,0)+VLOOKUP('תפוקה מצטברת מול אשתקד'!A30,'אלטשולר שחם'!A:K,10,0)+VLOOKUP('תפוקה מצטברת מול אשתקד'!A30,'מדיהו '!A:K,10,0)+VLOOKUP('תפוקה מצטברת מול אשתקד'!A30,'אנליסט '!A:K,10,0)+VLOOKUP('תפוקה מצטברת מול אשתקד'!A30,'מיטב דש'!A:K,10,0)+VLOOKUP('תפוקה מצטברת מול אשתקד'!A30,אינפניטי!A:K,10,0)</f>
        <v>0</v>
      </c>
      <c r="O30" s="12">
        <f>VLOOKUP(A30,הכשרה!A:K,11,0)+VLOOKUP('תפוקה מצטברת מול אשתקד'!A30,מגדל!A:K,11,0)+VLOOKUP('תפוקה מצטברת מול אשתקד'!A30,מנורה!A:K,11,0)+VLOOKUP('תפוקה מצטברת מול אשתקד'!A30,איילון!A:K,11,0)+VLOOKUP('תפוקה מצטברת מול אשתקד'!A30,הראל!A:K,11,0)+VLOOKUP('תפוקה מצטברת מול אשתקד'!A30,הפניקס!A:K,11,0)+VLOOKUP('תפוקה מצטברת מול אשתקד'!A30,כלל!A:K,11,0)+VLOOKUP('תפוקה מצטברת מול אשתקד'!A30,מור!A:K,11,0)+VLOOKUP('תפוקה מצטברת מול אשתקד'!A30,'אלטשולר שחם'!A:K,11,0)+VLOOKUP('תפוקה מצטברת מול אשתקד'!A30,'מדיהו '!A:K,11,0)+VLOOKUP('תפוקה מצטברת מול אשתקד'!A30,'אנליסט '!A:K,11,0)+VLOOKUP('תפוקה מצטברת מול אשתקד'!A30,'מיטב דש'!A:K,11,0)+VLOOKUP('תפוקה מצטברת מול אשתקד'!A30,אינפניטי!A:K,11,0)</f>
        <v>0</v>
      </c>
    </row>
    <row r="31" spans="1:18" ht="15.75" customHeight="1" x14ac:dyDescent="0.25">
      <c r="A31" s="27" t="s">
        <v>22</v>
      </c>
      <c r="B31" s="27" t="s">
        <v>56</v>
      </c>
      <c r="C31" s="28" t="s">
        <v>115</v>
      </c>
      <c r="D31" s="20">
        <f t="shared" si="0"/>
        <v>-4.0312844554225062</v>
      </c>
      <c r="E31" s="20">
        <f t="shared" si="0"/>
        <v>0</v>
      </c>
      <c r="F31" s="20">
        <f t="shared" si="0"/>
        <v>0</v>
      </c>
      <c r="G31" s="20">
        <f>IF(K31=0,0%,IF(O31=H46,100%,K31/O31-1))</f>
        <v>0</v>
      </c>
      <c r="H31" s="68">
        <f>VLOOKUP(A31,הכשרה!A:G,4,0)+VLOOKUP('תפוקה מצטברת מול אשתקד'!A31,מגדל!A:G,4,0)+VLOOKUP('תפוקה מצטברת מול אשתקד'!A31,מנורה!A:G,4,0)+VLOOKUP('תפוקה מצטברת מול אשתקד'!A31,איילון!A:G,4,0)+VLOOKUP('תפוקה מצטברת מול אשתקד'!A31,הראל!A:G,4,0)+VLOOKUP('תפוקה מצטברת מול אשתקד'!A31,הפניקס!A:G,4,0)+VLOOKUP('תפוקה מצטברת מול אשתקד'!A31,כלל!A:G,4,0)+VLOOKUP('תפוקה מצטברת מול אשתקד'!A31,מור!A:G,4,0)+VLOOKUP('תפוקה מצטברת מול אשתקד'!A31,'אלטשולר שחם'!A:G,4,0)+VLOOKUP('תפוקה מצטברת מול אשתקד'!A31,'מדיהו '!A:G,4,0)+VLOOKUP('תפוקה מצטברת מול אשתקד'!A31,'אנליסט '!A:G,4,0)+VLOOKUP('תפוקה מצטברת מול אשתקד'!A31,'מיטב דש'!A:G,4,0)+VLOOKUP('תפוקה מצטברת מול אשתקד'!A31,אינפניטי!A:G,4,0)</f>
        <v>-109126.2403952102</v>
      </c>
      <c r="I31" s="68">
        <f>VLOOKUP(A31,הכשרה!A:G,5,0)+VLOOKUP('תפוקה מצטברת מול אשתקד'!A31,מגדל!A:G,5,0)+VLOOKUP('תפוקה מצטברת מול אשתקד'!A31,מנורה!A:G,5,0)+VLOOKUP('תפוקה מצטברת מול אשתקד'!A31,איילון!A:G,5,0)+VLOOKUP('תפוקה מצטברת מול אשתקד'!A31,הראל!A:G,5,0)+VLOOKUP('תפוקה מצטברת מול אשתקד'!A31,הפניקס!A:G,5,0)+VLOOKUP('תפוקה מצטברת מול אשתקד'!A31,כלל!A:G,5,0)+VLOOKUP('תפוקה מצטברת מול אשתקד'!A31,מור!A:G,5,0)+VLOOKUP('תפוקה מצטברת מול אשתקד'!A31,'אלטשולר שחם'!A:G,5,0)+VLOOKUP('תפוקה מצטברת מול אשתקד'!A31,'מדיהו '!A:G,5,0)+VLOOKUP('תפוקה מצטברת מול אשתקד'!A31,'אנליסט '!A:G,5,0)+VLOOKUP('תפוקה מצטברת מול אשתקד'!A31,'מיטב דש'!A:G,5,0)+VLOOKUP('תפוקה מצטברת מול אשתקד'!A31,אינפניטי!A:G,5,0)</f>
        <v>0</v>
      </c>
      <c r="J31" s="68">
        <f>VLOOKUP(A31,הכשרה!A:G,6,0)+VLOOKUP('תפוקה מצטברת מול אשתקד'!A31,מגדל!A:G,6,0)+VLOOKUP('תפוקה מצטברת מול אשתקד'!A31,מנורה!A:G,6,0)+VLOOKUP('תפוקה מצטברת מול אשתקד'!A31,איילון!A:G,6,0)+VLOOKUP(A31,הראל!A:G,6,0)+VLOOKUP('תפוקה מצטברת מול אשתקד'!A31,הפניקס!A:G,6,0)+VLOOKUP('תפוקה מצטברת מול אשתקד'!A31,כלל!A:G,6,0)+VLOOKUP('תפוקה מצטברת מול אשתקד'!A31,מור!A:G,6,0)+VLOOKUP('תפוקה מצטברת מול אשתקד'!A31,'אלטשולר שחם'!A:G,6,0)+VLOOKUP('תפוקה מצטברת מול אשתקד'!A31,'מדיהו '!A:G,6,0)+VLOOKUP('תפוקה מצטברת מול אשתקד'!A31,'אנליסט '!A:G,6,0)+VLOOKUP('תפוקה מצטברת מול אשתקד'!A31,'מיטב דש'!A:G,6,0)+VLOOKUP('תפוקה מצטברת מול אשתקד'!A31,אינפניטי!A:G,6,0)</f>
        <v>0</v>
      </c>
      <c r="K31" s="68">
        <f>VLOOKUP(A31,הכשרה!A:G,7,0)+VLOOKUP('תפוקה מצטברת מול אשתקד'!A31,מגדל!A:G,7,0)+VLOOKUP('תפוקה מצטברת מול אשתקד'!A31,מנורה!A:G,7,0)+VLOOKUP('תפוקה מצטברת מול אשתקד'!A31,איילון!A:G,7,0)+VLOOKUP('תפוקה מצטברת מול אשתקד'!A31,הראל!A:G,7,0)+VLOOKUP('תפוקה מצטברת מול אשתקד'!A31,הפניקס!A:G,7,0)+VLOOKUP('תפוקה מצטברת מול אשתקד'!A31,כלל!A:G,7,0)+VLOOKUP('תפוקה מצטברת מול אשתקד'!A31,מור!A:G,7,0)+VLOOKUP('תפוקה מצטברת מול אשתקד'!A31,'אלטשולר שחם'!A:G,7,0)+VLOOKUP('תפוקה מצטברת מול אשתקד'!A31,'מדיהו '!A:K,7,0)+VLOOKUP(A31,'אנליסט '!A:G,7,0)+VLOOKUP('תפוקה מצטברת מול אשתקד'!A31,'מיטב דש'!A:G,7,0)+VLOOKUP('תפוקה מצטברת מול אשתקד'!A31,אינפניטי!A:G,7,0)</f>
        <v>0</v>
      </c>
      <c r="L31" s="12">
        <f>VLOOKUP(A31,הכשרה!A:K,8,0)+VLOOKUP('תפוקה מצטברת מול אשתקד'!A31,מגדל!A:K,8,0)+VLOOKUP('תפוקה מצטברת מול אשתקד'!A31,מנורה!A:K,8,0)+VLOOKUP('תפוקה מצטברת מול אשתקד'!A31,איילון!A:K,8,0)+VLOOKUP('תפוקה מצטברת מול אשתקד'!A31,הראל!A:K,8,0)+VLOOKUP('תפוקה מצטברת מול אשתקד'!A31,הפניקס!A:K,8,0)+VLOOKUP('תפוקה מצטברת מול אשתקד'!A31,כלל!A:K,8,0)+VLOOKUP('תפוקה מצטברת מול אשתקד'!A31,מור!A:K,8,0)+VLOOKUP('תפוקה מצטברת מול אשתקד'!A31,'אלטשולר שחם'!A:K,8,0)+VLOOKUP('תפוקה מצטברת מול אשתקד'!A31,'מדיהו '!A:K,8,0)+VLOOKUP('תפוקה מצטברת מול אשתקד'!A31,'אנליסט '!A:K,8,0)+VLOOKUP('תפוקה מצטברת מול אשתקד'!A31,'מיטב דש'!A:K,8,0)+VLOOKUP('תפוקה מצטברת מול אשתקד'!A31,אינפניטי!A:K,8,0)</f>
        <v>36000</v>
      </c>
      <c r="M31" s="12">
        <f>VLOOKUP(A31,הכשרה!A:K,9,0)+VLOOKUP('תפוקה מצטברת מול אשתקד'!A31,מגדל!A:K,9,0)+VLOOKUP('תפוקה מצטברת מול אשתקד'!A31,מנורה!A:K,9,0)+VLOOKUP('תפוקה מצטברת מול אשתקד'!A31,איילון!A:K,9,0)+VLOOKUP('תפוקה מצטברת מול אשתקד'!A31,הראל!A:K,9,0)+VLOOKUP('תפוקה מצטברת מול אשתקד'!A31,הפניקס!A:K,9,0)+VLOOKUP('תפוקה מצטברת מול אשתקד'!A31,כלל!A:K,9,0)+VLOOKUP('תפוקה מצטברת מול אשתקד'!A31,מור!A:K,9,0)+VLOOKUP('תפוקה מצטברת מול אשתקד'!A31,'אלטשולר שחם'!A:K,9,0)+VLOOKUP('תפוקה מצטברת מול אשתקד'!A31,'מדיהו '!A:K,9,0)+VLOOKUP('תפוקה מצטברת מול אשתקד'!A31,'אנליסט '!A:K,9,0)+VLOOKUP('תפוקה מצטברת מול אשתקד'!A31,'מיטב דש'!A:K,9,0)+VLOOKUP('תפוקה מצטברת מול אשתקד'!A31,אינפניטי!A:K,9,0)</f>
        <v>2397.5</v>
      </c>
      <c r="N31" s="12">
        <f>VLOOKUP(A31,הכשרה!A:K,10,0)+VLOOKUP('תפוקה מצטברת מול אשתקד'!A31,מגדל!A:K,10,0)+VLOOKUP('תפוקה מצטברת מול אשתקד'!A31,מנורה!A:K,10,0)+VLOOKUP('תפוקה מצטברת מול אשתקד'!A31,איילון!A:K,10,0)+VLOOKUP('תפוקה מצטברת מול אשתקד'!A31,הראל!A:K,10,0)+VLOOKUP('תפוקה מצטברת מול אשתקד'!A31,הפניקס!A:K,10,0)+VLOOKUP('תפוקה מצטברת מול אשתקד'!A31,כלל!A:K,10,0)+VLOOKUP('תפוקה מצטברת מול אשתקד'!A31,מור!A:K,10,0)+VLOOKUP('תפוקה מצטברת מול אשתקד'!A31,'אלטשולר שחם'!A:K,10,0)+VLOOKUP('תפוקה מצטברת מול אשתקד'!A31,'מדיהו '!A:K,10,0)+VLOOKUP('תפוקה מצטברת מול אשתקד'!A31,'אנליסט '!A:K,10,0)+VLOOKUP('תפוקה מצטברת מול אשתקד'!A31,'מיטב דש'!A:K,10,0)+VLOOKUP('תפוקה מצטברת מול אשתקד'!A31,אינפניטי!A:K,10,0)</f>
        <v>42546.798651358811</v>
      </c>
      <c r="O31" s="12">
        <f>VLOOKUP(A31,הכשרה!A:K,11,0)+VLOOKUP('תפוקה מצטברת מול אשתקד'!A31,מגדל!A:K,11,0)+VLOOKUP('תפוקה מצטברת מול אשתקד'!A31,מנורה!A:K,11,0)+VLOOKUP('תפוקה מצטברת מול אשתקד'!A31,איילון!A:K,11,0)+VLOOKUP('תפוקה מצטברת מול אשתקד'!A31,הראל!A:K,11,0)+VLOOKUP('תפוקה מצטברת מול אשתקד'!A31,הפניקס!A:K,11,0)+VLOOKUP('תפוקה מצטברת מול אשתקד'!A31,כלל!A:K,11,0)+VLOOKUP('תפוקה מצטברת מול אשתקד'!A31,מור!A:K,11,0)+VLOOKUP('תפוקה מצטברת מול אשתקד'!A31,'אלטשולר שחם'!A:K,11,0)+VLOOKUP('תפוקה מצטברת מול אשתקד'!A31,'מדיהו '!A:K,11,0)+VLOOKUP('תפוקה מצטברת מול אשתקד'!A31,'אנליסט '!A:K,11,0)+VLOOKUP('תפוקה מצטברת מול אשתקד'!A31,'מיטב דש'!A:K,11,0)+VLOOKUP('תפוקה מצטברת מול אשתקד'!A31,אינפניטי!A:K,11,0)</f>
        <v>0</v>
      </c>
      <c r="P31" s="10"/>
      <c r="Q31" s="123"/>
    </row>
    <row r="32" spans="1:18" ht="15.75" customHeight="1" x14ac:dyDescent="0.25">
      <c r="A32" s="27" t="s">
        <v>23</v>
      </c>
      <c r="B32" s="27" t="s">
        <v>56</v>
      </c>
      <c r="C32" s="28" t="s">
        <v>115</v>
      </c>
      <c r="D32" s="20">
        <f t="shared" si="0"/>
        <v>0</v>
      </c>
      <c r="E32" s="20">
        <f t="shared" si="0"/>
        <v>0</v>
      </c>
      <c r="F32" s="20">
        <f t="shared" si="0"/>
        <v>0</v>
      </c>
      <c r="G32" s="20">
        <f>IF(K32=0,0%,IF(O32=H59,100%,K32/O32-1))</f>
        <v>0</v>
      </c>
      <c r="H32" s="68">
        <f>VLOOKUP(A32,הכשרה!A:G,4,0)+VLOOKUP('תפוקה מצטברת מול אשתקד'!A32,מגדל!A:G,4,0)+VLOOKUP('תפוקה מצטברת מול אשתקד'!A32,מנורה!A:G,4,0)+VLOOKUP('תפוקה מצטברת מול אשתקד'!A32,איילון!A:G,4,0)+VLOOKUP('תפוקה מצטברת מול אשתקד'!A32,הראל!A:G,4,0)+VLOOKUP('תפוקה מצטברת מול אשתקד'!A32,הפניקס!A:G,4,0)+VLOOKUP('תפוקה מצטברת מול אשתקד'!A32,כלל!A:G,4,0)+VLOOKUP('תפוקה מצטברת מול אשתקד'!A32,מור!A:G,4,0)+VLOOKUP('תפוקה מצטברת מול אשתקד'!A32,'אלטשולר שחם'!A:G,4,0)+VLOOKUP('תפוקה מצטברת מול אשתקד'!A32,'מדיהו '!A:G,4,0)+VLOOKUP('תפוקה מצטברת מול אשתקד'!A32,'אנליסט '!A:G,4,0)+VLOOKUP('תפוקה מצטברת מול אשתקד'!A32,'מיטב דש'!A:G,4,0)+VLOOKUP('תפוקה מצטברת מול אשתקד'!A32,אינפניטי!A:G,4,0)</f>
        <v>0</v>
      </c>
      <c r="I32" s="68">
        <f>VLOOKUP(A32,הכשרה!A:G,5,0)+VLOOKUP('תפוקה מצטברת מול אשתקד'!A32,מגדל!A:G,5,0)+VLOOKUP('תפוקה מצטברת מול אשתקד'!A32,מנורה!A:G,5,0)+VLOOKUP('תפוקה מצטברת מול אשתקד'!A32,איילון!A:G,5,0)+VLOOKUP('תפוקה מצטברת מול אשתקד'!A32,הראל!A:G,5,0)+VLOOKUP('תפוקה מצטברת מול אשתקד'!A32,הפניקס!A:G,5,0)+VLOOKUP('תפוקה מצטברת מול אשתקד'!A32,כלל!A:G,5,0)+VLOOKUP('תפוקה מצטברת מול אשתקד'!A32,מור!A:G,5,0)+VLOOKUP('תפוקה מצטברת מול אשתקד'!A32,'אלטשולר שחם'!A:G,5,0)+VLOOKUP('תפוקה מצטברת מול אשתקד'!A32,'מדיהו '!A:G,5,0)+VLOOKUP('תפוקה מצטברת מול אשתקד'!A32,'אנליסט '!A:G,5,0)+VLOOKUP('תפוקה מצטברת מול אשתקד'!A32,'מיטב דש'!A:G,5,0)+VLOOKUP('תפוקה מצטברת מול אשתקד'!A32,אינפניטי!A:G,5,0)</f>
        <v>0</v>
      </c>
      <c r="J32" s="68">
        <f>VLOOKUP(A32,הכשרה!A:G,6,0)+VLOOKUP('תפוקה מצטברת מול אשתקד'!A32,מגדל!A:G,6,0)+VLOOKUP('תפוקה מצטברת מול אשתקד'!A32,מנורה!A:G,6,0)+VLOOKUP('תפוקה מצטברת מול אשתקד'!A32,איילון!A:G,6,0)+VLOOKUP(A32,הראל!A:G,6,0)+VLOOKUP('תפוקה מצטברת מול אשתקד'!A32,הפניקס!A:G,6,0)+VLOOKUP('תפוקה מצטברת מול אשתקד'!A32,כלל!A:G,6,0)+VLOOKUP('תפוקה מצטברת מול אשתקד'!A32,מור!A:G,6,0)+VLOOKUP('תפוקה מצטברת מול אשתקד'!A32,'אלטשולר שחם'!A:G,6,0)+VLOOKUP('תפוקה מצטברת מול אשתקד'!A32,'מדיהו '!A:G,6,0)+VLOOKUP('תפוקה מצטברת מול אשתקד'!A32,'אנליסט '!A:G,6,0)+VLOOKUP('תפוקה מצטברת מול אשתקד'!A32,'מיטב דש'!A:G,6,0)+VLOOKUP('תפוקה מצטברת מול אשתקד'!A32,אינפניטי!A:G,6,0)</f>
        <v>0</v>
      </c>
      <c r="K32" s="68">
        <f>VLOOKUP(A32,הכשרה!A:G,7,0)+VLOOKUP('תפוקה מצטברת מול אשתקד'!A32,מגדל!A:G,7,0)+VLOOKUP('תפוקה מצטברת מול אשתקד'!A32,מנורה!A:G,7,0)+VLOOKUP('תפוקה מצטברת מול אשתקד'!A32,איילון!A:G,7,0)+VLOOKUP('תפוקה מצטברת מול אשתקד'!A32,הראל!A:G,7,0)+VLOOKUP('תפוקה מצטברת מול אשתקד'!A32,הפניקס!A:G,7,0)+VLOOKUP('תפוקה מצטברת מול אשתקד'!A32,כלל!A:G,7,0)+VLOOKUP('תפוקה מצטברת מול אשתקד'!A32,מור!A:G,7,0)+VLOOKUP('תפוקה מצטברת מול אשתקד'!A32,'אלטשולר שחם'!A:G,7,0)+VLOOKUP('תפוקה מצטברת מול אשתקד'!A32,'מדיהו '!A:K,7,0)+VLOOKUP(A32,'אנליסט '!A:G,7,0)+VLOOKUP('תפוקה מצטברת מול אשתקד'!A32,'מיטב דש'!A:G,7,0)+VLOOKUP('תפוקה מצטברת מול אשתקד'!A32,אינפניטי!A:G,7,0)</f>
        <v>0</v>
      </c>
      <c r="L32" s="12">
        <f>VLOOKUP(A32,הכשרה!A:K,8,0)+VLOOKUP('תפוקה מצטברת מול אשתקד'!A32,מגדל!A:K,8,0)+VLOOKUP('תפוקה מצטברת מול אשתקד'!A32,מנורה!A:K,8,0)+VLOOKUP('תפוקה מצטברת מול אשתקד'!A32,איילון!A:K,8,0)+VLOOKUP('תפוקה מצטברת מול אשתקד'!A32,הראל!A:K,8,0)+VLOOKUP('תפוקה מצטברת מול אשתקד'!A32,הפניקס!A:K,8,0)+VLOOKUP('תפוקה מצטברת מול אשתקד'!A32,כלל!A:K,8,0)+VLOOKUP('תפוקה מצטברת מול אשתקד'!A32,מור!A:K,8,0)+VLOOKUP('תפוקה מצטברת מול אשתקד'!A32,'אלטשולר שחם'!A:K,8,0)+VLOOKUP('תפוקה מצטברת מול אשתקד'!A32,'מדיהו '!A:K,8,0)+VLOOKUP('תפוקה מצטברת מול אשתקד'!A32,'אנליסט '!A:K,8,0)+VLOOKUP('תפוקה מצטברת מול אשתקד'!A32,'מיטב דש'!A:K,8,0)+VLOOKUP('תפוקה מצטברת מול אשתקד'!A32,אינפניטי!A:K,8,0)</f>
        <v>0</v>
      </c>
      <c r="M32" s="12">
        <f>VLOOKUP(A32,הכשרה!A:K,9,0)+VLOOKUP('תפוקה מצטברת מול אשתקד'!A32,מגדל!A:K,9,0)+VLOOKUP('תפוקה מצטברת מול אשתקד'!A32,מנורה!A:K,9,0)+VLOOKUP('תפוקה מצטברת מול אשתקד'!A32,איילון!A:K,9,0)+VLOOKUP('תפוקה מצטברת מול אשתקד'!A32,הראל!A:K,9,0)+VLOOKUP('תפוקה מצטברת מול אשתקד'!A32,הפניקס!A:K,9,0)+VLOOKUP('תפוקה מצטברת מול אשתקד'!A32,כלל!A:K,9,0)+VLOOKUP('תפוקה מצטברת מול אשתקד'!A32,מור!A:K,9,0)+VLOOKUP('תפוקה מצטברת מול אשתקד'!A32,'אלטשולר שחם'!A:K,9,0)+VLOOKUP('תפוקה מצטברת מול אשתקד'!A32,'מדיהו '!A:K,9,0)+VLOOKUP('תפוקה מצטברת מול אשתקד'!A32,'אנליסט '!A:K,9,0)+VLOOKUP('תפוקה מצטברת מול אשתקד'!A32,'מיטב דש'!A:K,9,0)+VLOOKUP('תפוקה מצטברת מול אשתקד'!A32,אינפניטי!A:K,9,0)</f>
        <v>-1685.5731230000001</v>
      </c>
      <c r="N32" s="12">
        <f>VLOOKUP(A32,הכשרה!A:K,10,0)+VLOOKUP('תפוקה מצטברת מול אשתקד'!A32,מגדל!A:K,10,0)+VLOOKUP('תפוקה מצטברת מול אשתקד'!A32,מנורה!A:K,10,0)+VLOOKUP('תפוקה מצטברת מול אשתקד'!A32,איילון!A:K,10,0)+VLOOKUP('תפוקה מצטברת מול אשתקד'!A32,הראל!A:K,10,0)+VLOOKUP('תפוקה מצטברת מול אשתקד'!A32,הפניקס!A:K,10,0)+VLOOKUP('תפוקה מצטברת מול אשתקד'!A32,כלל!A:K,10,0)+VLOOKUP('תפוקה מצטברת מול אשתקד'!A32,מור!A:K,10,0)+VLOOKUP('תפוקה מצטברת מול אשתקד'!A32,'אלטשולר שחם'!A:K,10,0)+VLOOKUP('תפוקה מצטברת מול אשתקד'!A32,'מדיהו '!A:K,10,0)+VLOOKUP('תפוקה מצטברת מול אשתקד'!A32,'אנליסט '!A:K,10,0)+VLOOKUP('תפוקה מצטברת מול אשתקד'!A32,'מיטב דש'!A:K,10,0)+VLOOKUP('תפוקה מצטברת מול אשתקד'!A32,אינפניטי!A:K,10,0)</f>
        <v>0</v>
      </c>
      <c r="O32" s="12">
        <f>VLOOKUP(A32,הכשרה!A:K,11,0)+VLOOKUP('תפוקה מצטברת מול אשתקד'!A32,מגדל!A:K,11,0)+VLOOKUP('תפוקה מצטברת מול אשתקד'!A32,מנורה!A:K,11,0)+VLOOKUP('תפוקה מצטברת מול אשתקד'!A32,איילון!A:K,11,0)+VLOOKUP('תפוקה מצטברת מול אשתקד'!A32,הראל!A:K,11,0)+VLOOKUP('תפוקה מצטברת מול אשתקד'!A32,הפניקס!A:K,11,0)+VLOOKUP('תפוקה מצטברת מול אשתקד'!A32,כלל!A:K,11,0)+VLOOKUP('תפוקה מצטברת מול אשתקד'!A32,מור!A:K,11,0)+VLOOKUP('תפוקה מצטברת מול אשתקד'!A32,'אלטשולר שחם'!A:K,11,0)+VLOOKUP('תפוקה מצטברת מול אשתקד'!A32,'מדיהו '!A:K,11,0)+VLOOKUP('תפוקה מצטברת מול אשתקד'!A32,'אנליסט '!A:K,11,0)+VLOOKUP('תפוקה מצטברת מול אשתקד'!A32,'מיטב דש'!A:K,11,0)+VLOOKUP('תפוקה מצטברת מול אשתקד'!A32,אינפניטי!A:K,11,0)</f>
        <v>0</v>
      </c>
    </row>
    <row r="33" spans="1:15" ht="15.75" customHeight="1" x14ac:dyDescent="0.25">
      <c r="A33" s="27" t="s">
        <v>24</v>
      </c>
      <c r="B33" s="27" t="s">
        <v>56</v>
      </c>
      <c r="C33" s="28" t="s">
        <v>115</v>
      </c>
      <c r="D33" s="20">
        <f t="shared" si="0"/>
        <v>0</v>
      </c>
      <c r="E33" s="20">
        <f t="shared" si="0"/>
        <v>0</v>
      </c>
      <c r="F33" s="20">
        <f t="shared" si="0"/>
        <v>0</v>
      </c>
      <c r="G33" s="20">
        <f>IF(K33=0,0%,IF(O33=H48,100%,K33/O33-1))</f>
        <v>0</v>
      </c>
      <c r="H33" s="68">
        <f>VLOOKUP(A33,הכשרה!A:G,4,0)+VLOOKUP('תפוקה מצטברת מול אשתקד'!A33,מגדל!A:G,4,0)+VLOOKUP('תפוקה מצטברת מול אשתקד'!A33,מנורה!A:G,4,0)+VLOOKUP('תפוקה מצטברת מול אשתקד'!A33,איילון!A:G,4,0)+VLOOKUP('תפוקה מצטברת מול אשתקד'!A33,הראל!A:G,4,0)+VLOOKUP('תפוקה מצטברת מול אשתקד'!A33,הפניקס!A:G,4,0)+VLOOKUP('תפוקה מצטברת מול אשתקד'!A33,כלל!A:G,4,0)+VLOOKUP('תפוקה מצטברת מול אשתקד'!A33,מור!A:G,4,0)+VLOOKUP('תפוקה מצטברת מול אשתקד'!A33,'אלטשולר שחם'!A:G,4,0)+VLOOKUP('תפוקה מצטברת מול אשתקד'!A33,'מדיהו '!A:G,4,0)+VLOOKUP('תפוקה מצטברת מול אשתקד'!A33,'אנליסט '!A:G,4,0)+VLOOKUP('תפוקה מצטברת מול אשתקד'!A33,'מיטב דש'!A:G,4,0)+VLOOKUP('תפוקה מצטברת מול אשתקד'!A33,אינפניטי!A:G,4,0)</f>
        <v>0</v>
      </c>
      <c r="I33" s="68">
        <f>VLOOKUP(A33,הכשרה!A:G,5,0)+VLOOKUP('תפוקה מצטברת מול אשתקד'!A33,מגדל!A:G,5,0)+VLOOKUP('תפוקה מצטברת מול אשתקד'!A33,מנורה!A:G,5,0)+VLOOKUP('תפוקה מצטברת מול אשתקד'!A33,איילון!A:G,5,0)+VLOOKUP('תפוקה מצטברת מול אשתקד'!A33,הראל!A:G,5,0)+VLOOKUP('תפוקה מצטברת מול אשתקד'!A33,הפניקס!A:G,5,0)+VLOOKUP('תפוקה מצטברת מול אשתקד'!A33,כלל!A:G,5,0)+VLOOKUP('תפוקה מצטברת מול אשתקד'!A33,מור!A:G,5,0)+VLOOKUP('תפוקה מצטברת מול אשתקד'!A33,'אלטשולר שחם'!A:G,5,0)+VLOOKUP('תפוקה מצטברת מול אשתקד'!A33,'מדיהו '!A:G,5,0)+VLOOKUP('תפוקה מצטברת מול אשתקד'!A33,'אנליסט '!A:G,5,0)+VLOOKUP('תפוקה מצטברת מול אשתקד'!A33,'מיטב דש'!A:G,5,0)+VLOOKUP('תפוקה מצטברת מול אשתקד'!A33,אינפניטי!A:G,5,0)</f>
        <v>0</v>
      </c>
      <c r="J33" s="68">
        <f>VLOOKUP(A33,הכשרה!A:G,6,0)+VLOOKUP('תפוקה מצטברת מול אשתקד'!A33,מגדל!A:G,6,0)+VLOOKUP('תפוקה מצטברת מול אשתקד'!A33,מנורה!A:G,6,0)+VLOOKUP('תפוקה מצטברת מול אשתקד'!A33,איילון!A:G,6,0)+VLOOKUP(A33,הראל!A:G,6,0)+VLOOKUP('תפוקה מצטברת מול אשתקד'!A33,הפניקס!A:G,6,0)+VLOOKUP('תפוקה מצטברת מול אשתקד'!A33,כלל!A:G,6,0)+VLOOKUP('תפוקה מצטברת מול אשתקד'!A33,מור!A:G,6,0)+VLOOKUP('תפוקה מצטברת מול אשתקד'!A33,'אלטשולר שחם'!A:G,6,0)+VLOOKUP('תפוקה מצטברת מול אשתקד'!A33,'מדיהו '!A:G,6,0)+VLOOKUP('תפוקה מצטברת מול אשתקד'!A33,'אנליסט '!A:G,6,0)+VLOOKUP('תפוקה מצטברת מול אשתקד'!A33,'מיטב דש'!A:G,6,0)+VLOOKUP('תפוקה מצטברת מול אשתקד'!A33,אינפניטי!A:G,6,0)</f>
        <v>0</v>
      </c>
      <c r="K33" s="68">
        <f>VLOOKUP(A33,הכשרה!A:G,7,0)+VLOOKUP('תפוקה מצטברת מול אשתקד'!A33,מגדל!A:G,7,0)+VLOOKUP('תפוקה מצטברת מול אשתקד'!A33,מנורה!A:G,7,0)+VLOOKUP('תפוקה מצטברת מול אשתקד'!A33,איילון!A:G,7,0)+VLOOKUP('תפוקה מצטברת מול אשתקד'!A33,הראל!A:G,7,0)+VLOOKUP('תפוקה מצטברת מול אשתקד'!A33,הפניקס!A:G,7,0)+VLOOKUP('תפוקה מצטברת מול אשתקד'!A33,כלל!A:G,7,0)+VLOOKUP('תפוקה מצטברת מול אשתקד'!A33,מור!A:G,7,0)+VLOOKUP('תפוקה מצטברת מול אשתקד'!A33,'אלטשולר שחם'!A:G,7,0)+VLOOKUP('תפוקה מצטברת מול אשתקד'!A33,'מדיהו '!A:K,7,0)+VLOOKUP(A33,'אנליסט '!A:G,7,0)+VLOOKUP('תפוקה מצטברת מול אשתקד'!A33,'מיטב דש'!A:G,7,0)+VLOOKUP('תפוקה מצטברת מול אשתקד'!A33,אינפניטי!A:G,7,0)</f>
        <v>0</v>
      </c>
      <c r="L33" s="12">
        <f>VLOOKUP(A33,הכשרה!A:K,8,0)+VLOOKUP('תפוקה מצטברת מול אשתקד'!A33,מגדל!A:K,8,0)+VLOOKUP('תפוקה מצטברת מול אשתקד'!A33,מנורה!A:K,8,0)+VLOOKUP('תפוקה מצטברת מול אשתקד'!A33,איילון!A:K,8,0)+VLOOKUP('תפוקה מצטברת מול אשתקד'!A33,הראל!A:K,8,0)+VLOOKUP('תפוקה מצטברת מול אשתקד'!A33,הפניקס!A:K,8,0)+VLOOKUP('תפוקה מצטברת מול אשתקד'!A33,כלל!A:K,8,0)+VLOOKUP('תפוקה מצטברת מול אשתקד'!A33,מור!A:K,8,0)+VLOOKUP('תפוקה מצטברת מול אשתקד'!A33,'אלטשולר שחם'!A:K,8,0)+VLOOKUP('תפוקה מצטברת מול אשתקד'!A33,'מדיהו '!A:K,8,0)+VLOOKUP('תפוקה מצטברת מול אשתקד'!A33,'אנליסט '!A:K,8,0)+VLOOKUP('תפוקה מצטברת מול אשתקד'!A33,'מיטב דש'!A:K,8,0)+VLOOKUP('תפוקה מצטברת מול אשתקד'!A33,אינפניטי!A:K,8,0)</f>
        <v>0</v>
      </c>
      <c r="M33" s="12">
        <f>VLOOKUP(A33,הכשרה!A:K,9,0)+VLOOKUP('תפוקה מצטברת מול אשתקד'!A33,מגדל!A:K,9,0)+VLOOKUP('תפוקה מצטברת מול אשתקד'!A33,מנורה!A:K,9,0)+VLOOKUP('תפוקה מצטברת מול אשתקד'!A33,איילון!A:K,9,0)+VLOOKUP('תפוקה מצטברת מול אשתקד'!A33,הראל!A:K,9,0)+VLOOKUP('תפוקה מצטברת מול אשתקד'!A33,הפניקס!A:K,9,0)+VLOOKUP('תפוקה מצטברת מול אשתקד'!A33,כלל!A:K,9,0)+VLOOKUP('תפוקה מצטברת מול אשתקד'!A33,מור!A:K,9,0)+VLOOKUP('תפוקה מצטברת מול אשתקד'!A33,'אלטשולר שחם'!A:K,9,0)+VLOOKUP('תפוקה מצטברת מול אשתקד'!A33,'מדיהו '!A:K,9,0)+VLOOKUP('תפוקה מצטברת מול אשתקד'!A33,'אנליסט '!A:K,9,0)+VLOOKUP('תפוקה מצטברת מול אשתקד'!A33,'מיטב דש'!A:K,9,0)+VLOOKUP('תפוקה מצטברת מול אשתקד'!A33,אינפניטי!A:K,9,0)</f>
        <v>0</v>
      </c>
      <c r="N33" s="12">
        <f>VLOOKUP(A33,הכשרה!A:K,10,0)+VLOOKUP('תפוקה מצטברת מול אשתקד'!A33,מגדל!A:K,10,0)+VLOOKUP('תפוקה מצטברת מול אשתקד'!A33,מנורה!A:K,10,0)+VLOOKUP('תפוקה מצטברת מול אשתקד'!A33,איילון!A:K,10,0)+VLOOKUP('תפוקה מצטברת מול אשתקד'!A33,הראל!A:K,10,0)+VLOOKUP('תפוקה מצטברת מול אשתקד'!A33,הפניקס!A:K,10,0)+VLOOKUP('תפוקה מצטברת מול אשתקד'!A33,כלל!A:K,10,0)+VLOOKUP('תפוקה מצטברת מול אשתקד'!A33,מור!A:K,10,0)+VLOOKUP('תפוקה מצטברת מול אשתקד'!A33,'אלטשולר שחם'!A:K,10,0)+VLOOKUP('תפוקה מצטברת מול אשתקד'!A33,'מדיהו '!A:K,10,0)+VLOOKUP('תפוקה מצטברת מול אשתקד'!A33,'אנליסט '!A:K,10,0)+VLOOKUP('תפוקה מצטברת מול אשתקד'!A33,'מיטב דש'!A:K,10,0)+VLOOKUP('תפוקה מצטברת מול אשתקד'!A33,אינפניטי!A:K,10,0)</f>
        <v>0</v>
      </c>
      <c r="O33" s="12">
        <f>VLOOKUP(A33,הכשרה!A:K,11,0)+VLOOKUP('תפוקה מצטברת מול אשתקד'!A33,מגדל!A:K,11,0)+VLOOKUP('תפוקה מצטברת מול אשתקד'!A33,מנורה!A:K,11,0)+VLOOKUP('תפוקה מצטברת מול אשתקד'!A33,איילון!A:K,11,0)+VLOOKUP('תפוקה מצטברת מול אשתקד'!A33,הראל!A:K,11,0)+VLOOKUP('תפוקה מצטברת מול אשתקד'!A33,הפניקס!A:K,11,0)+VLOOKUP('תפוקה מצטברת מול אשתקד'!A33,כלל!A:K,11,0)+VLOOKUP('תפוקה מצטברת מול אשתקד'!A33,מור!A:K,11,0)+VLOOKUP('תפוקה מצטברת מול אשתקד'!A33,'אלטשולר שחם'!A:K,11,0)+VLOOKUP('תפוקה מצטברת מול אשתקד'!A33,'מדיהו '!A:K,11,0)+VLOOKUP('תפוקה מצטברת מול אשתקד'!A33,'אנליסט '!A:K,11,0)+VLOOKUP('תפוקה מצטברת מול אשתקד'!A33,'מיטב דש'!A:K,11,0)+VLOOKUP('תפוקה מצטברת מול אשתקד'!A33,אינפניטי!A:K,11,0)</f>
        <v>0</v>
      </c>
    </row>
    <row r="34" spans="1:15" ht="15.75" customHeight="1" x14ac:dyDescent="0.25">
      <c r="A34" s="31" t="s">
        <v>25</v>
      </c>
      <c r="B34" s="27" t="s">
        <v>56</v>
      </c>
      <c r="C34" s="28" t="s">
        <v>115</v>
      </c>
      <c r="D34" s="20">
        <f t="shared" si="0"/>
        <v>-0.29695683891185443</v>
      </c>
      <c r="E34" s="20">
        <f t="shared" si="0"/>
        <v>-0.73228572984932105</v>
      </c>
      <c r="F34" s="20">
        <f t="shared" si="0"/>
        <v>-0.76743970948666174</v>
      </c>
      <c r="G34" s="20">
        <f t="shared" ref="G34:G43" si="6">IF(K34=0,0%,IF(O34=H49,100%,K34/O34-1))</f>
        <v>0</v>
      </c>
      <c r="H34" s="68">
        <f>VLOOKUP(A34,הכשרה!A:G,4,0)+VLOOKUP('תפוקה מצטברת מול אשתקד'!A34,מגדל!A:G,4,0)+VLOOKUP('תפוקה מצטברת מול אשתקד'!A34,מנורה!A:G,4,0)+VLOOKUP('תפוקה מצטברת מול אשתקד'!A34,איילון!A:G,4,0)+VLOOKUP('תפוקה מצטברת מול אשתקד'!A34,הראל!A:G,4,0)+VLOOKUP('תפוקה מצטברת מול אשתקד'!A34,הפניקס!A:G,4,0)+VLOOKUP('תפוקה מצטברת מול אשתקד'!A34,כלל!A:G,4,0)+VLOOKUP('תפוקה מצטברת מול אשתקד'!A34,מור!A:G,4,0)+VLOOKUP('תפוקה מצטברת מול אשתקד'!A34,'אלטשולר שחם'!A:G,4,0)+VLOOKUP('תפוקה מצטברת מול אשתקד'!A34,'מדיהו '!A:G,4,0)+VLOOKUP('תפוקה מצטברת מול אשתקד'!A34,'אנליסט '!A:G,4,0)+VLOOKUP('תפוקה מצטברת מול אשתקד'!A34,'מיטב דש'!A:G,4,0)+VLOOKUP('תפוקה מצטברת מול אשתקד'!A34,אינפניטי!A:G,4,0)</f>
        <v>450633.37509563623</v>
      </c>
      <c r="I34" s="68">
        <f>VLOOKUP(A34,הכשרה!A:G,5,0)+VLOOKUP('תפוקה מצטברת מול אשתקד'!A34,מגדל!A:G,5,0)+VLOOKUP('תפוקה מצטברת מול אשתקד'!A34,מנורה!A:G,5,0)+VLOOKUP('תפוקה מצטברת מול אשתקד'!A34,איילון!A:G,5,0)+VLOOKUP('תפוקה מצטברת מול אשתקד'!A34,הראל!A:G,5,0)+VLOOKUP('תפוקה מצטברת מול אשתקד'!A34,הפניקס!A:G,5,0)+VLOOKUP('תפוקה מצטברת מול אשתקד'!A34,כלל!A:G,5,0)+VLOOKUP('תפוקה מצטברת מול אשתקד'!A34,מור!A:G,5,0)+VLOOKUP('תפוקה מצטברת מול אשתקד'!A34,'אלטשולר שחם'!A:G,5,0)+VLOOKUP('תפוקה מצטברת מול אשתקד'!A34,'מדיהו '!A:G,5,0)+VLOOKUP('תפוקה מצטברת מול אשתקד'!A34,'אנליסט '!A:G,5,0)+VLOOKUP('תפוקה מצטברת מול אשתקד'!A34,'מיטב דש'!A:G,5,0)+VLOOKUP('תפוקה מצטברת מול אשתקד'!A34,אינפניטי!A:G,5,0)</f>
        <v>32875.391513785464</v>
      </c>
      <c r="J34" s="68">
        <f>VLOOKUP(A34,הכשרה!A:G,6,0)+VLOOKUP('תפוקה מצטברת מול אשתקד'!A34,מגדל!A:G,6,0)+VLOOKUP('תפוקה מצטברת מול אשתקד'!A34,מנורה!A:G,6,0)+VLOOKUP('תפוקה מצטברת מול אשתקד'!A34,איילון!A:G,6,0)+VLOOKUP(A34,הראל!A:G,6,0)+VLOOKUP('תפוקה מצטברת מול אשתקד'!A34,הפניקס!A:G,6,0)+VLOOKUP('תפוקה מצטברת מול אשתקד'!A34,כלל!A:G,6,0)+VLOOKUP('תפוקה מצטברת מול אשתקד'!A34,מור!A:G,6,0)+VLOOKUP('תפוקה מצטברת מול אשתקד'!A34,'אלטשולר שחם'!A:G,6,0)+VLOOKUP('תפוקה מצטברת מול אשתקד'!A34,'מדיהו '!A:G,6,0)+VLOOKUP('תפוקה מצטברת מול אשתקד'!A34,'אנליסט '!A:G,6,0)+VLOOKUP('תפוקה מצטברת מול אשתקד'!A34,'מיטב דש'!A:G,6,0)+VLOOKUP('תפוקה מצטברת מול אשתקד'!A34,אינפניטי!A:G,6,0)</f>
        <v>944037.60962240398</v>
      </c>
      <c r="K34" s="68">
        <f>VLOOKUP(A34,הכשרה!A:G,7,0)+VLOOKUP('תפוקה מצטברת מול אשתקד'!A34,מגדל!A:G,7,0)+VLOOKUP('תפוקה מצטברת מול אשתקד'!A34,מנורה!A:G,7,0)+VLOOKUP('תפוקה מצטברת מול אשתקד'!A34,איילון!A:G,7,0)+VLOOKUP('תפוקה מצטברת מול אשתקד'!A34,הראל!A:G,7,0)+VLOOKUP('תפוקה מצטברת מול אשתקד'!A34,הפניקס!A:G,7,0)+VLOOKUP('תפוקה מצטברת מול אשתקד'!A34,כלל!A:G,7,0)+VLOOKUP('תפוקה מצטברת מול אשתקד'!A34,מור!A:G,7,0)+VLOOKUP('תפוקה מצטברת מול אשתקד'!A34,'אלטשולר שחם'!A:G,7,0)+VLOOKUP('תפוקה מצטברת מול אשתקד'!A34,'מדיהו '!A:K,7,0)+VLOOKUP(A34,'אנליסט '!A:G,7,0)+VLOOKUP('תפוקה מצטברת מול אשתקד'!A34,'מיטב דש'!A:G,7,0)+VLOOKUP('תפוקה מצטברת מול אשתקד'!A34,אינפניטי!A:G,7,0)</f>
        <v>0</v>
      </c>
      <c r="L34" s="12">
        <f>VLOOKUP(A34,הכשרה!A:K,8,0)+VLOOKUP('תפוקה מצטברת מול אשתקד'!A34,מגדל!A:K,8,0)+VLOOKUP('תפוקה מצטברת מול אשתקד'!A34,מנורה!A:K,8,0)+VLOOKUP('תפוקה מצטברת מול אשתקד'!A34,איילון!A:K,8,0)+VLOOKUP('תפוקה מצטברת מול אשתקד'!A34,הראל!A:K,8,0)+VLOOKUP('תפוקה מצטברת מול אשתקד'!A34,הפניקס!A:K,8,0)+VLOOKUP('תפוקה מצטברת מול אשתקד'!A34,כלל!A:K,8,0)+VLOOKUP('תפוקה מצטברת מול אשתקד'!A34,מור!A:K,8,0)+VLOOKUP('תפוקה מצטברת מול אשתקד'!A34,'אלטשולר שחם'!A:K,8,0)+VLOOKUP('תפוקה מצטברת מול אשתקד'!A34,'מדיהו '!A:K,8,0)+VLOOKUP('תפוקה מצטברת מול אשתקד'!A34,'אנליסט '!A:K,8,0)+VLOOKUP('תפוקה מצטברת מול אשתקד'!A34,'מיטב דש'!A:K,8,0)+VLOOKUP('תפוקה מצטברת מול אשתקד'!A34,אינפניטי!A:K,8,0)</f>
        <v>640975.40526268922</v>
      </c>
      <c r="M34" s="12">
        <f>VLOOKUP(A34,הכשרה!A:K,9,0)+VLOOKUP('תפוקה מצטברת מול אשתקד'!A34,מגדל!A:K,9,0)+VLOOKUP('תפוקה מצטברת מול אשתקד'!A34,מנורה!A:K,9,0)+VLOOKUP('תפוקה מצטברת מול אשתקד'!A34,איילון!A:K,9,0)+VLOOKUP('תפוקה מצטברת מול אשתקד'!A34,הראל!A:K,9,0)+VLOOKUP('תפוקה מצטברת מול אשתקד'!A34,הפניקס!A:K,9,0)+VLOOKUP('תפוקה מצטברת מול אשתקד'!A34,כלל!A:K,9,0)+VLOOKUP('תפוקה מצטברת מול אשתקד'!A34,מור!A:K,9,0)+VLOOKUP('תפוקה מצטברת מול אשתקד'!A34,'אלטשולר שחם'!A:K,9,0)+VLOOKUP('תפוקה מצטברת מול אשתקד'!A34,'מדיהו '!A:K,9,0)+VLOOKUP('תפוקה מצטברת מול אשתקד'!A34,'אנליסט '!A:K,9,0)+VLOOKUP('תפוקה מצטברת מול אשתקד'!A34,'מיטב דש'!A:K,9,0)+VLOOKUP('תפוקה מצטברת מול אשתקד'!A34,אינפניטי!A:K,9,0)</f>
        <v>122800.2956109962</v>
      </c>
      <c r="N34" s="12">
        <f>VLOOKUP(A34,הכשרה!A:K,10,0)+VLOOKUP('תפוקה מצטברת מול אשתקד'!A34,מגדל!A:K,10,0)+VLOOKUP('תפוקה מצטברת מול אשתקד'!A34,מנורה!A:K,10,0)+VLOOKUP('תפוקה מצטברת מול אשתקד'!A34,איילון!A:K,10,0)+VLOOKUP('תפוקה מצטברת מול אשתקד'!A34,הראל!A:K,10,0)+VLOOKUP('תפוקה מצטברת מול אשתקד'!A34,הפניקס!A:K,10,0)+VLOOKUP('תפוקה מצטברת מול אשתקד'!A34,כלל!A:K,10,0)+VLOOKUP('תפוקה מצטברת מול אשתקד'!A34,מור!A:K,10,0)+VLOOKUP('תפוקה מצטברת מול אשתקד'!A34,'אלטשולר שחם'!A:K,10,0)+VLOOKUP('תפוקה מצטברת מול אשתקד'!A34,'מדיהו '!A:K,10,0)+VLOOKUP('תפוקה מצטברת מול אשתקד'!A34,'אנליסט '!A:K,10,0)+VLOOKUP('תפוקה מצטברת מול אשתקד'!A34,'מיטב דש'!A:K,10,0)+VLOOKUP('תפוקה מצטברת מול אשתקד'!A34,אינפניטי!A:K,10,0)</f>
        <v>4059324.1758453152</v>
      </c>
      <c r="O34" s="12">
        <f>VLOOKUP(A34,הכשרה!A:K,11,0)+VLOOKUP('תפוקה מצטברת מול אשתקד'!A34,מגדל!A:K,11,0)+VLOOKUP('תפוקה מצטברת מול אשתקד'!A34,מנורה!A:K,11,0)+VLOOKUP('תפוקה מצטברת מול אשתקד'!A34,איילון!A:K,11,0)+VLOOKUP('תפוקה מצטברת מול אשתקד'!A34,הראל!A:K,11,0)+VLOOKUP('תפוקה מצטברת מול אשתקד'!A34,הפניקס!A:K,11,0)+VLOOKUP('תפוקה מצטברת מול אשתקד'!A34,כלל!A:K,11,0)+VLOOKUP('תפוקה מצטברת מול אשתקד'!A34,מור!A:K,11,0)+VLOOKUP('תפוקה מצטברת מול אשתקד'!A34,'אלטשולר שחם'!A:K,11,0)+VLOOKUP('תפוקה מצטברת מול אשתקד'!A34,'מדיהו '!A:K,11,0)+VLOOKUP('תפוקה מצטברת מול אשתקד'!A34,'אנליסט '!A:K,11,0)+VLOOKUP('תפוקה מצטברת מול אשתקד'!A34,'מיטב דש'!A:K,11,0)+VLOOKUP('תפוקה מצטברת מול אשתקד'!A34,אינפניטי!A:K,11,0)</f>
        <v>5254343.8000000026</v>
      </c>
    </row>
    <row r="35" spans="1:15" ht="15.75" customHeight="1" x14ac:dyDescent="0.25">
      <c r="A35" s="27" t="s">
        <v>26</v>
      </c>
      <c r="B35" s="27" t="s">
        <v>56</v>
      </c>
      <c r="C35" s="28" t="s">
        <v>115</v>
      </c>
      <c r="D35" s="20">
        <f t="shared" si="0"/>
        <v>0</v>
      </c>
      <c r="E35" s="20">
        <f t="shared" si="0"/>
        <v>0</v>
      </c>
      <c r="F35" s="20">
        <f t="shared" si="0"/>
        <v>0</v>
      </c>
      <c r="G35" s="20">
        <f t="shared" si="6"/>
        <v>0</v>
      </c>
      <c r="H35" s="68">
        <f>VLOOKUP(A35,הכשרה!A:G,4,0)+VLOOKUP('תפוקה מצטברת מול אשתקד'!A35,מגדל!A:G,4,0)+VLOOKUP('תפוקה מצטברת מול אשתקד'!A35,מנורה!A:G,4,0)+VLOOKUP('תפוקה מצטברת מול אשתקד'!A35,איילון!A:G,4,0)+VLOOKUP('תפוקה מצטברת מול אשתקד'!A35,הראל!A:G,4,0)+VLOOKUP('תפוקה מצטברת מול אשתקד'!A35,הפניקס!A:G,4,0)+VLOOKUP('תפוקה מצטברת מול אשתקד'!A35,כלל!A:G,4,0)+VLOOKUP('תפוקה מצטברת מול אשתקד'!A35,מור!A:G,4,0)+VLOOKUP('תפוקה מצטברת מול אשתקד'!A35,'אלטשולר שחם'!A:G,4,0)+VLOOKUP('תפוקה מצטברת מול אשתקד'!A35,'מדיהו '!A:G,4,0)+VLOOKUP('תפוקה מצטברת מול אשתקד'!A35,'אנליסט '!A:G,4,0)+VLOOKUP('תפוקה מצטברת מול אשתקד'!A35,'מיטב דש'!A:G,4,0)+VLOOKUP('תפוקה מצטברת מול אשתקד'!A35,אינפניטי!A:G,4,0)</f>
        <v>0</v>
      </c>
      <c r="I35" s="68">
        <f>VLOOKUP(A35,הכשרה!A:G,5,0)+VLOOKUP('תפוקה מצטברת מול אשתקד'!A35,מגדל!A:G,5,0)+VLOOKUP('תפוקה מצטברת מול אשתקד'!A35,מנורה!A:G,5,0)+VLOOKUP('תפוקה מצטברת מול אשתקד'!A35,איילון!A:G,5,0)+VLOOKUP('תפוקה מצטברת מול אשתקד'!A35,הראל!A:G,5,0)+VLOOKUP('תפוקה מצטברת מול אשתקד'!A35,הפניקס!A:G,5,0)+VLOOKUP('תפוקה מצטברת מול אשתקד'!A35,כלל!A:G,5,0)+VLOOKUP('תפוקה מצטברת מול אשתקד'!A35,מור!A:G,5,0)+VLOOKUP('תפוקה מצטברת מול אשתקד'!A35,'אלטשולר שחם'!A:G,5,0)+VLOOKUP('תפוקה מצטברת מול אשתקד'!A35,'מדיהו '!A:G,5,0)+VLOOKUP('תפוקה מצטברת מול אשתקד'!A35,'אנליסט '!A:G,5,0)+VLOOKUP('תפוקה מצטברת מול אשתקד'!A35,'מיטב דש'!A:G,5,0)+VLOOKUP('תפוקה מצטברת מול אשתקד'!A35,אינפניטי!A:G,5,0)</f>
        <v>0</v>
      </c>
      <c r="J35" s="68">
        <f>VLOOKUP(A35,הכשרה!A:G,6,0)+VLOOKUP('תפוקה מצטברת מול אשתקד'!A35,מגדל!A:G,6,0)+VLOOKUP('תפוקה מצטברת מול אשתקד'!A35,מנורה!A:G,6,0)+VLOOKUP('תפוקה מצטברת מול אשתקד'!A35,איילון!A:G,6,0)+VLOOKUP(A35,הראל!A:G,6,0)+VLOOKUP('תפוקה מצטברת מול אשתקד'!A35,הפניקס!A:G,6,0)+VLOOKUP('תפוקה מצטברת מול אשתקד'!A35,כלל!A:G,6,0)+VLOOKUP('תפוקה מצטברת מול אשתקד'!A35,מור!A:G,6,0)+VLOOKUP('תפוקה מצטברת מול אשתקד'!A35,'אלטשולר שחם'!A:G,6,0)+VLOOKUP('תפוקה מצטברת מול אשתקד'!A35,'מדיהו '!A:G,6,0)+VLOOKUP('תפוקה מצטברת מול אשתקד'!A35,'אנליסט '!A:G,6,0)+VLOOKUP('תפוקה מצטברת מול אשתקד'!A35,'מיטב דש'!A:G,6,0)+VLOOKUP('תפוקה מצטברת מול אשתקד'!A35,אינפניטי!A:G,6,0)</f>
        <v>0</v>
      </c>
      <c r="K35" s="68">
        <f>VLOOKUP(A35,הכשרה!A:G,7,0)+VLOOKUP('תפוקה מצטברת מול אשתקד'!A35,מגדל!A:G,7,0)+VLOOKUP('תפוקה מצטברת מול אשתקד'!A35,מנורה!A:G,7,0)+VLOOKUP('תפוקה מצטברת מול אשתקד'!A35,איילון!A:G,7,0)+VLOOKUP('תפוקה מצטברת מול אשתקד'!A35,הראל!A:G,7,0)+VLOOKUP('תפוקה מצטברת מול אשתקד'!A35,הפניקס!A:G,7,0)+VLOOKUP('תפוקה מצטברת מול אשתקד'!A35,כלל!A:G,7,0)+VLOOKUP('תפוקה מצטברת מול אשתקד'!A35,מור!A:G,7,0)+VLOOKUP('תפוקה מצטברת מול אשתקד'!A35,'אלטשולר שחם'!A:G,7,0)+VLOOKUP('תפוקה מצטברת מול אשתקד'!A35,'מדיהו '!A:K,7,0)+VLOOKUP(A35,'אנליסט '!A:G,7,0)+VLOOKUP('תפוקה מצטברת מול אשתקד'!A35,'מיטב דש'!A:G,7,0)+VLOOKUP('תפוקה מצטברת מול אשתקד'!A35,אינפניטי!A:G,7,0)</f>
        <v>0</v>
      </c>
      <c r="L35" s="12">
        <f>VLOOKUP(A35,הכשרה!A:K,8,0)+VLOOKUP('תפוקה מצטברת מול אשתקד'!A35,מגדל!A:K,8,0)+VLOOKUP('תפוקה מצטברת מול אשתקד'!A35,מנורה!A:K,8,0)+VLOOKUP('תפוקה מצטברת מול אשתקד'!A35,איילון!A:K,8,0)+VLOOKUP('תפוקה מצטברת מול אשתקד'!A35,הראל!A:K,8,0)+VLOOKUP('תפוקה מצטברת מול אשתקד'!A35,הפניקס!A:K,8,0)+VLOOKUP('תפוקה מצטברת מול אשתקד'!A35,כלל!A:K,8,0)+VLOOKUP('תפוקה מצטברת מול אשתקד'!A35,מור!A:K,8,0)+VLOOKUP('תפוקה מצטברת מול אשתקד'!A35,'אלטשולר שחם'!A:K,8,0)+VLOOKUP('תפוקה מצטברת מול אשתקד'!A35,'מדיהו '!A:K,8,0)+VLOOKUP('תפוקה מצטברת מול אשתקד'!A35,'אנליסט '!A:K,8,0)+VLOOKUP('תפוקה מצטברת מול אשתקד'!A35,'מיטב דש'!A:K,8,0)+VLOOKUP('תפוקה מצטברת מול אשתקד'!A35,אינפניטי!A:K,8,0)</f>
        <v>-111.8</v>
      </c>
      <c r="M35" s="12">
        <f>VLOOKUP(A35,הכשרה!A:K,9,0)+VLOOKUP('תפוקה מצטברת מול אשתקד'!A35,מגדל!A:K,9,0)+VLOOKUP('תפוקה מצטברת מול אשתקד'!A35,מנורה!A:K,9,0)+VLOOKUP('תפוקה מצטברת מול אשתקד'!A35,איילון!A:K,9,0)+VLOOKUP('תפוקה מצטברת מול אשתקד'!A35,הראל!A:K,9,0)+VLOOKUP('תפוקה מצטברת מול אשתקד'!A35,הפניקס!A:K,9,0)+VLOOKUP('תפוקה מצטברת מול אשתקד'!A35,כלל!A:K,9,0)+VLOOKUP('תפוקה מצטברת מול אשתקד'!A35,מור!A:K,9,0)+VLOOKUP('תפוקה מצטברת מול אשתקד'!A35,'אלטשולר שחם'!A:K,9,0)+VLOOKUP('תפוקה מצטברת מול אשתקד'!A35,'מדיהו '!A:K,9,0)+VLOOKUP('תפוקה מצטברת מול אשתקד'!A35,'אנליסט '!A:K,9,0)+VLOOKUP('תפוקה מצטברת מול אשתקד'!A35,'מיטב דש'!A:K,9,0)+VLOOKUP('תפוקה מצטברת מול אשתקד'!A35,אינפניטי!A:K,9,0)</f>
        <v>0</v>
      </c>
      <c r="N35" s="12">
        <f>VLOOKUP(A35,הכשרה!A:K,10,0)+VLOOKUP('תפוקה מצטברת מול אשתקד'!A35,מגדל!A:K,10,0)+VLOOKUP('תפוקה מצטברת מול אשתקד'!A35,מנורה!A:K,10,0)+VLOOKUP('תפוקה מצטברת מול אשתקד'!A35,איילון!A:K,10,0)+VLOOKUP('תפוקה מצטברת מול אשתקד'!A35,הראל!A:K,10,0)+VLOOKUP('תפוקה מצטברת מול אשתקד'!A35,הפניקס!A:K,10,0)+VLOOKUP('תפוקה מצטברת מול אשתקד'!A35,כלל!A:K,10,0)+VLOOKUP('תפוקה מצטברת מול אשתקד'!A35,מור!A:K,10,0)+VLOOKUP('תפוקה מצטברת מול אשתקד'!A35,'אלטשולר שחם'!A:K,10,0)+VLOOKUP('תפוקה מצטברת מול אשתקד'!A35,'מדיהו '!A:K,10,0)+VLOOKUP('תפוקה מצטברת מול אשתקד'!A35,'אנליסט '!A:K,10,0)+VLOOKUP('תפוקה מצטברת מול אשתקד'!A35,'מיטב דש'!A:K,10,0)+VLOOKUP('תפוקה מצטברת מול אשתקד'!A35,אינפניטי!A:K,10,0)</f>
        <v>0</v>
      </c>
      <c r="O35" s="12">
        <f>VLOOKUP(A35,הכשרה!A:K,11,0)+VLOOKUP('תפוקה מצטברת מול אשתקד'!A35,מגדל!A:K,11,0)+VLOOKUP('תפוקה מצטברת מול אשתקד'!A35,מנורה!A:K,11,0)+VLOOKUP('תפוקה מצטברת מול אשתקד'!A35,איילון!A:K,11,0)+VLOOKUP('תפוקה מצטברת מול אשתקד'!A35,הראל!A:K,11,0)+VLOOKUP('תפוקה מצטברת מול אשתקד'!A35,הפניקס!A:K,11,0)+VLOOKUP('תפוקה מצטברת מול אשתקד'!A35,כלל!A:K,11,0)+VLOOKUP('תפוקה מצטברת מול אשתקד'!A35,מור!A:K,11,0)+VLOOKUP('תפוקה מצטברת מול אשתקד'!A35,'אלטשולר שחם'!A:K,11,0)+VLOOKUP('תפוקה מצטברת מול אשתקד'!A35,'מדיהו '!A:K,11,0)+VLOOKUP('תפוקה מצטברת מול אשתקד'!A35,'אנליסט '!A:K,11,0)+VLOOKUP('תפוקה מצטברת מול אשתקד'!A35,'מיטב דש'!A:K,11,0)+VLOOKUP('תפוקה מצטברת מול אשתקד'!A35,אינפניטי!A:K,11,0)</f>
        <v>0</v>
      </c>
    </row>
    <row r="36" spans="1:15" ht="15.75" customHeight="1" x14ac:dyDescent="0.25">
      <c r="A36" s="27" t="s">
        <v>27</v>
      </c>
      <c r="B36" s="27" t="s">
        <v>56</v>
      </c>
      <c r="C36" s="28" t="s">
        <v>115</v>
      </c>
      <c r="D36" s="20">
        <f t="shared" si="0"/>
        <v>0</v>
      </c>
      <c r="E36" s="20">
        <f t="shared" si="0"/>
        <v>0</v>
      </c>
      <c r="F36" s="20">
        <f t="shared" si="0"/>
        <v>0</v>
      </c>
      <c r="G36" s="20">
        <f t="shared" si="6"/>
        <v>0</v>
      </c>
      <c r="H36" s="68">
        <f>VLOOKUP(A36,הכשרה!A:G,4,0)+VLOOKUP('תפוקה מצטברת מול אשתקד'!A36,מגדל!A:G,4,0)+VLOOKUP('תפוקה מצטברת מול אשתקד'!A36,מנורה!A:G,4,0)+VLOOKUP('תפוקה מצטברת מול אשתקד'!A36,איילון!A:G,4,0)+VLOOKUP('תפוקה מצטברת מול אשתקד'!A36,הראל!A:G,4,0)+VLOOKUP('תפוקה מצטברת מול אשתקד'!A36,הפניקס!A:G,4,0)+VLOOKUP('תפוקה מצטברת מול אשתקד'!A36,כלל!A:G,4,0)+VLOOKUP('תפוקה מצטברת מול אשתקד'!A36,מור!A:G,4,0)+VLOOKUP('תפוקה מצטברת מול אשתקד'!A36,'אלטשולר שחם'!A:G,4,0)+VLOOKUP('תפוקה מצטברת מול אשתקד'!A36,'מדיהו '!A:G,4,0)+VLOOKUP('תפוקה מצטברת מול אשתקד'!A36,'אנליסט '!A:G,4,0)+VLOOKUP('תפוקה מצטברת מול אשתקד'!A36,'מיטב דש'!A:G,4,0)+VLOOKUP('תפוקה מצטברת מול אשתקד'!A36,אינפניטי!A:G,4,0)</f>
        <v>0</v>
      </c>
      <c r="I36" s="68">
        <f>VLOOKUP(A36,הכשרה!A:G,5,0)+VLOOKUP('תפוקה מצטברת מול אשתקד'!A36,מגדל!A:G,5,0)+VLOOKUP('תפוקה מצטברת מול אשתקד'!A36,מנורה!A:G,5,0)+VLOOKUP('תפוקה מצטברת מול אשתקד'!A36,איילון!A:G,5,0)+VLOOKUP('תפוקה מצטברת מול אשתקד'!A36,הראל!A:G,5,0)+VLOOKUP('תפוקה מצטברת מול אשתקד'!A36,הפניקס!A:G,5,0)+VLOOKUP('תפוקה מצטברת מול אשתקד'!A36,כלל!A:G,5,0)+VLOOKUP('תפוקה מצטברת מול אשתקד'!A36,מור!A:G,5,0)+VLOOKUP('תפוקה מצטברת מול אשתקד'!A36,'אלטשולר שחם'!A:G,5,0)+VLOOKUP('תפוקה מצטברת מול אשתקד'!A36,'מדיהו '!A:G,5,0)+VLOOKUP('תפוקה מצטברת מול אשתקד'!A36,'אנליסט '!A:G,5,0)+VLOOKUP('תפוקה מצטברת מול אשתקד'!A36,'מיטב דש'!A:G,5,0)+VLOOKUP('תפוקה מצטברת מול אשתקד'!A36,אינפניטי!A:G,5,0)</f>
        <v>0</v>
      </c>
      <c r="J36" s="68">
        <f>VLOOKUP(A36,הכשרה!A:G,6,0)+VLOOKUP('תפוקה מצטברת מול אשתקד'!A36,מגדל!A:G,6,0)+VLOOKUP('תפוקה מצטברת מול אשתקד'!A36,מנורה!A:G,6,0)+VLOOKUP('תפוקה מצטברת מול אשתקד'!A36,איילון!A:G,6,0)+VLOOKUP(A36,הראל!A:G,6,0)+VLOOKUP('תפוקה מצטברת מול אשתקד'!A36,הפניקס!A:G,6,0)+VLOOKUP('תפוקה מצטברת מול אשתקד'!A36,כלל!A:G,6,0)+VLOOKUP('תפוקה מצטברת מול אשתקד'!A36,מור!A:G,6,0)+VLOOKUP('תפוקה מצטברת מול אשתקד'!A36,'אלטשולר שחם'!A:G,6,0)+VLOOKUP('תפוקה מצטברת מול אשתקד'!A36,'מדיהו '!A:G,6,0)+VLOOKUP('תפוקה מצטברת מול אשתקד'!A36,'אנליסט '!A:G,6,0)+VLOOKUP('תפוקה מצטברת מול אשתקד'!A36,'מיטב דש'!A:G,6,0)+VLOOKUP('תפוקה מצטברת מול אשתקד'!A36,אינפניטי!A:G,6,0)</f>
        <v>0</v>
      </c>
      <c r="K36" s="68">
        <f>VLOOKUP(A36,הכשרה!A:G,7,0)+VLOOKUP('תפוקה מצטברת מול אשתקד'!A36,מגדל!A:G,7,0)+VLOOKUP('תפוקה מצטברת מול אשתקד'!A36,מנורה!A:G,7,0)+VLOOKUP('תפוקה מצטברת מול אשתקד'!A36,איילון!A:G,7,0)+VLOOKUP('תפוקה מצטברת מול אשתקד'!A36,הראל!A:G,7,0)+VLOOKUP('תפוקה מצטברת מול אשתקד'!A36,הפניקס!A:G,7,0)+VLOOKUP('תפוקה מצטברת מול אשתקד'!A36,כלל!A:G,7,0)+VLOOKUP('תפוקה מצטברת מול אשתקד'!A36,מור!A:G,7,0)+VLOOKUP('תפוקה מצטברת מול אשתקד'!A36,'אלטשולר שחם'!A:G,7,0)+VLOOKUP('תפוקה מצטברת מול אשתקד'!A36,'מדיהו '!A:K,7,0)+VLOOKUP(A36,'אנליסט '!A:G,7,0)+VLOOKUP('תפוקה מצטברת מול אשתקד'!A36,'מיטב דש'!A:G,7,0)+VLOOKUP('תפוקה מצטברת מול אשתקד'!A36,אינפניטי!A:G,7,0)</f>
        <v>0</v>
      </c>
      <c r="L36" s="12">
        <f>VLOOKUP(A36,הכשרה!A:K,8,0)+VLOOKUP('תפוקה מצטברת מול אשתקד'!A36,מגדל!A:K,8,0)+VLOOKUP('תפוקה מצטברת מול אשתקד'!A36,מנורה!A:K,8,0)+VLOOKUP('תפוקה מצטברת מול אשתקד'!A36,איילון!A:K,8,0)+VLOOKUP('תפוקה מצטברת מול אשתקד'!A36,הראל!A:K,8,0)+VLOOKUP('תפוקה מצטברת מול אשתקד'!A36,הפניקס!A:K,8,0)+VLOOKUP('תפוקה מצטברת מול אשתקד'!A36,כלל!A:K,8,0)+VLOOKUP('תפוקה מצטברת מול אשתקד'!A36,מור!A:K,8,0)+VLOOKUP('תפוקה מצטברת מול אשתקד'!A36,'אלטשולר שחם'!A:K,8,0)+VLOOKUP('תפוקה מצטברת מול אשתקד'!A36,'מדיהו '!A:K,8,0)+VLOOKUP('תפוקה מצטברת מול אשתקד'!A36,'אנליסט '!A:K,8,0)+VLOOKUP('תפוקה מצטברת מול אשתקד'!A36,'מיטב דש'!A:K,8,0)+VLOOKUP('תפוקה מצטברת מול אשתקד'!A36,אינפניטי!A:K,8,0)</f>
        <v>0</v>
      </c>
      <c r="M36" s="12">
        <f>VLOOKUP(A36,הכשרה!A:K,9,0)+VLOOKUP('תפוקה מצטברת מול אשתקד'!A36,מגדל!A:K,9,0)+VLOOKUP('תפוקה מצטברת מול אשתקד'!A36,מנורה!A:K,9,0)+VLOOKUP('תפוקה מצטברת מול אשתקד'!A36,איילון!A:K,9,0)+VLOOKUP('תפוקה מצטברת מול אשתקד'!A36,הראל!A:K,9,0)+VLOOKUP('תפוקה מצטברת מול אשתקד'!A36,הפניקס!A:K,9,0)+VLOOKUP('תפוקה מצטברת מול אשתקד'!A36,כלל!A:K,9,0)+VLOOKUP('תפוקה מצטברת מול אשתקד'!A36,מור!A:K,9,0)+VLOOKUP('תפוקה מצטברת מול אשתקד'!A36,'אלטשולר שחם'!A:K,9,0)+VLOOKUP('תפוקה מצטברת מול אשתקד'!A36,'מדיהו '!A:K,9,0)+VLOOKUP('תפוקה מצטברת מול אשתקד'!A36,'אנליסט '!A:K,9,0)+VLOOKUP('תפוקה מצטברת מול אשתקד'!A36,'מיטב דש'!A:K,9,0)+VLOOKUP('תפוקה מצטברת מול אשתקד'!A36,אינפניטי!A:K,9,0)</f>
        <v>0</v>
      </c>
      <c r="N36" s="12">
        <f>VLOOKUP(A36,הכשרה!A:K,10,0)+VLOOKUP('תפוקה מצטברת מול אשתקד'!A36,מגדל!A:K,10,0)+VLOOKUP('תפוקה מצטברת מול אשתקד'!A36,מנורה!A:K,10,0)+VLOOKUP('תפוקה מצטברת מול אשתקד'!A36,איילון!A:K,10,0)+VLOOKUP('תפוקה מצטברת מול אשתקד'!A36,הראל!A:K,10,0)+VLOOKUP('תפוקה מצטברת מול אשתקד'!A36,הפניקס!A:K,10,0)+VLOOKUP('תפוקה מצטברת מול אשתקד'!A36,כלל!A:K,10,0)+VLOOKUP('תפוקה מצטברת מול אשתקד'!A36,מור!A:K,10,0)+VLOOKUP('תפוקה מצטברת מול אשתקד'!A36,'אלטשולר שחם'!A:K,10,0)+VLOOKUP('תפוקה מצטברת מול אשתקד'!A36,'מדיהו '!A:K,10,0)+VLOOKUP('תפוקה מצטברת מול אשתקד'!A36,'אנליסט '!A:K,10,0)+VLOOKUP('תפוקה מצטברת מול אשתקד'!A36,'מיטב דש'!A:K,10,0)+VLOOKUP('תפוקה מצטברת מול אשתקד'!A36,אינפניטי!A:K,10,0)</f>
        <v>0</v>
      </c>
      <c r="O36" s="12">
        <f>VLOOKUP(A36,הכשרה!A:K,11,0)+VLOOKUP('תפוקה מצטברת מול אשתקד'!A36,מגדל!A:K,11,0)+VLOOKUP('תפוקה מצטברת מול אשתקד'!A36,מנורה!A:K,11,0)+VLOOKUP('תפוקה מצטברת מול אשתקד'!A36,איילון!A:K,11,0)+VLOOKUP('תפוקה מצטברת מול אשתקד'!A36,הראל!A:K,11,0)+VLOOKUP('תפוקה מצטברת מול אשתקד'!A36,הפניקס!A:K,11,0)+VLOOKUP('תפוקה מצטברת מול אשתקד'!A36,כלל!A:K,11,0)+VLOOKUP('תפוקה מצטברת מול אשתקד'!A36,מור!A:K,11,0)+VLOOKUP('תפוקה מצטברת מול אשתקד'!A36,'אלטשולר שחם'!A:K,11,0)+VLOOKUP('תפוקה מצטברת מול אשתקד'!A36,'מדיהו '!A:K,11,0)+VLOOKUP('תפוקה מצטברת מול אשתקד'!A36,'אנליסט '!A:K,11,0)+VLOOKUP('תפוקה מצטברת מול אשתקד'!A36,'מיטב דש'!A:K,11,0)+VLOOKUP('תפוקה מצטברת מול אשתקד'!A36,אינפניטי!A:K,11,0)</f>
        <v>3931.1965740000001</v>
      </c>
    </row>
    <row r="37" spans="1:15" ht="15.75" customHeight="1" x14ac:dyDescent="0.25">
      <c r="A37" s="27" t="s">
        <v>28</v>
      </c>
      <c r="B37" s="27" t="s">
        <v>56</v>
      </c>
      <c r="C37" s="28" t="s">
        <v>115</v>
      </c>
      <c r="D37" s="20">
        <f t="shared" si="0"/>
        <v>0</v>
      </c>
      <c r="E37" s="20">
        <f t="shared" si="0"/>
        <v>0</v>
      </c>
      <c r="F37" s="20">
        <f t="shared" si="0"/>
        <v>0</v>
      </c>
      <c r="G37" s="20">
        <f t="shared" si="6"/>
        <v>0</v>
      </c>
      <c r="H37" s="68">
        <f>VLOOKUP(A37,הכשרה!A:G,4,0)+VLOOKUP('תפוקה מצטברת מול אשתקד'!A37,מגדל!A:G,4,0)+VLOOKUP('תפוקה מצטברת מול אשתקד'!A37,מנורה!A:G,4,0)+VLOOKUP('תפוקה מצטברת מול אשתקד'!A37,איילון!A:G,4,0)+VLOOKUP('תפוקה מצטברת מול אשתקד'!A37,הראל!A:G,4,0)+VLOOKUP('תפוקה מצטברת מול אשתקד'!A37,הפניקס!A:G,4,0)+VLOOKUP('תפוקה מצטברת מול אשתקד'!A37,כלל!A:G,4,0)+VLOOKUP('תפוקה מצטברת מול אשתקד'!A37,מור!A:G,4,0)+VLOOKUP('תפוקה מצטברת מול אשתקד'!A37,'אלטשולר שחם'!A:G,4,0)+VLOOKUP('תפוקה מצטברת מול אשתקד'!A37,'מדיהו '!A:G,4,0)+VLOOKUP('תפוקה מצטברת מול אשתקד'!A37,'אנליסט '!A:G,4,0)+VLOOKUP('תפוקה מצטברת מול אשתקד'!A37,'מיטב דש'!A:G,4,0)+VLOOKUP('תפוקה מצטברת מול אשתקד'!A37,אינפניטי!A:G,4,0)</f>
        <v>0</v>
      </c>
      <c r="I37" s="68">
        <f>VLOOKUP(A37,הכשרה!A:G,5,0)+VLOOKUP('תפוקה מצטברת מול אשתקד'!A37,מגדל!A:G,5,0)+VLOOKUP('תפוקה מצטברת מול אשתקד'!A37,מנורה!A:G,5,0)+VLOOKUP('תפוקה מצטברת מול אשתקד'!A37,איילון!A:G,5,0)+VLOOKUP('תפוקה מצטברת מול אשתקד'!A37,הראל!A:G,5,0)+VLOOKUP('תפוקה מצטברת מול אשתקד'!A37,הפניקס!A:G,5,0)+VLOOKUP('תפוקה מצטברת מול אשתקד'!A37,כלל!A:G,5,0)+VLOOKUP('תפוקה מצטברת מול אשתקד'!A37,מור!A:G,5,0)+VLOOKUP('תפוקה מצטברת מול אשתקד'!A37,'אלטשולר שחם'!A:G,5,0)+VLOOKUP('תפוקה מצטברת מול אשתקד'!A37,'מדיהו '!A:G,5,0)+VLOOKUP('תפוקה מצטברת מול אשתקד'!A37,'אנליסט '!A:G,5,0)+VLOOKUP('תפוקה מצטברת מול אשתקד'!A37,'מיטב דש'!A:G,5,0)+VLOOKUP('תפוקה מצטברת מול אשתקד'!A37,אינפניטי!A:G,5,0)</f>
        <v>0</v>
      </c>
      <c r="J37" s="68">
        <f>VLOOKUP(A37,הכשרה!A:G,6,0)+VLOOKUP('תפוקה מצטברת מול אשתקד'!A37,מגדל!A:G,6,0)+VLOOKUP('תפוקה מצטברת מול אשתקד'!A37,מנורה!A:G,6,0)+VLOOKUP('תפוקה מצטברת מול אשתקד'!A37,איילון!A:G,6,0)+VLOOKUP(A37,הראל!A:G,6,0)+VLOOKUP('תפוקה מצטברת מול אשתקד'!A37,הפניקס!A:G,6,0)+VLOOKUP('תפוקה מצטברת מול אשתקד'!A37,כלל!A:G,6,0)+VLOOKUP('תפוקה מצטברת מול אשתקד'!A37,מור!A:G,6,0)+VLOOKUP('תפוקה מצטברת מול אשתקד'!A37,'אלטשולר שחם'!A:G,6,0)+VLOOKUP('תפוקה מצטברת מול אשתקד'!A37,'מדיהו '!A:G,6,0)+VLOOKUP('תפוקה מצטברת מול אשתקד'!A37,'אנליסט '!A:G,6,0)+VLOOKUP('תפוקה מצטברת מול אשתקד'!A37,'מיטב דש'!A:G,6,0)+VLOOKUP('תפוקה מצטברת מול אשתקד'!A37,אינפניטי!A:G,6,0)</f>
        <v>0</v>
      </c>
      <c r="K37" s="68">
        <f>VLOOKUP(A37,הכשרה!A:G,7,0)+VLOOKUP('תפוקה מצטברת מול אשתקד'!A37,מגדל!A:G,7,0)+VLOOKUP('תפוקה מצטברת מול אשתקד'!A37,מנורה!A:G,7,0)+VLOOKUP('תפוקה מצטברת מול אשתקד'!A37,איילון!A:G,7,0)+VLOOKUP('תפוקה מצטברת מול אשתקד'!A37,הראל!A:G,7,0)+VLOOKUP('תפוקה מצטברת מול אשתקד'!A37,הפניקס!A:G,7,0)+VLOOKUP('תפוקה מצטברת מול אשתקד'!A37,כלל!A:G,7,0)+VLOOKUP('תפוקה מצטברת מול אשתקד'!A37,מור!A:G,7,0)+VLOOKUP('תפוקה מצטברת מול אשתקד'!A37,'אלטשולר שחם'!A:G,7,0)+VLOOKUP('תפוקה מצטברת מול אשתקד'!A37,'מדיהו '!A:K,7,0)+VLOOKUP(A37,'אנליסט '!A:G,7,0)+VLOOKUP('תפוקה מצטברת מול אשתקד'!A37,'מיטב דש'!A:G,7,0)+VLOOKUP('תפוקה מצטברת מול אשתקד'!A37,אינפניטי!A:G,7,0)</f>
        <v>0</v>
      </c>
      <c r="L37" s="12">
        <f>VLOOKUP(A37,הכשרה!A:K,8,0)+VLOOKUP('תפוקה מצטברת מול אשתקד'!A37,מגדל!A:K,8,0)+VLOOKUP('תפוקה מצטברת מול אשתקד'!A37,מנורה!A:K,8,0)+VLOOKUP('תפוקה מצטברת מול אשתקד'!A37,איילון!A:K,8,0)+VLOOKUP('תפוקה מצטברת מול אשתקד'!A37,הראל!A:K,8,0)+VLOOKUP('תפוקה מצטברת מול אשתקד'!A37,הפניקס!A:K,8,0)+VLOOKUP('תפוקה מצטברת מול אשתקד'!A37,כלל!A:K,8,0)+VLOOKUP('תפוקה מצטברת מול אשתקד'!A37,מור!A:K,8,0)+VLOOKUP('תפוקה מצטברת מול אשתקד'!A37,'אלטשולר שחם'!A:K,8,0)+VLOOKUP('תפוקה מצטברת מול אשתקד'!A37,'מדיהו '!A:K,8,0)+VLOOKUP('תפוקה מצטברת מול אשתקד'!A37,'אנליסט '!A:K,8,0)+VLOOKUP('תפוקה מצטברת מול אשתקד'!A37,'מיטב דש'!A:K,8,0)+VLOOKUP('תפוקה מצטברת מול אשתקד'!A37,אינפניטי!A:K,8,0)</f>
        <v>-17347.69979534551</v>
      </c>
      <c r="M37" s="12">
        <f>VLOOKUP(A37,הכשרה!A:K,9,0)+VLOOKUP('תפוקה מצטברת מול אשתקד'!A37,מגדל!A:K,9,0)+VLOOKUP('תפוקה מצטברת מול אשתקד'!A37,מנורה!A:K,9,0)+VLOOKUP('תפוקה מצטברת מול אשתקד'!A37,איילון!A:K,9,0)+VLOOKUP('תפוקה מצטברת מול אשתקד'!A37,הראל!A:K,9,0)+VLOOKUP('תפוקה מצטברת מול אשתקד'!A37,הפניקס!A:K,9,0)+VLOOKUP('תפוקה מצטברת מול אשתקד'!A37,כלל!A:K,9,0)+VLOOKUP('תפוקה מצטברת מול אשתקד'!A37,מור!A:K,9,0)+VLOOKUP('תפוקה מצטברת מול אשתקד'!A37,'אלטשולר שחם'!A:K,9,0)+VLOOKUP('תפוקה מצטברת מול אשתקד'!A37,'מדיהו '!A:K,9,0)+VLOOKUP('תפוקה מצטברת מול אשתקד'!A37,'אנליסט '!A:K,9,0)+VLOOKUP('תפוקה מצטברת מול אשתקד'!A37,'מיטב דש'!A:K,9,0)+VLOOKUP('תפוקה מצטברת מול אשתקד'!A37,אינפניטי!A:K,9,0)</f>
        <v>0</v>
      </c>
      <c r="N37" s="12">
        <f>VLOOKUP(A37,הכשרה!A:K,10,0)+VLOOKUP('תפוקה מצטברת מול אשתקד'!A37,מגדל!A:K,10,0)+VLOOKUP('תפוקה מצטברת מול אשתקד'!A37,מנורה!A:K,10,0)+VLOOKUP('תפוקה מצטברת מול אשתקד'!A37,איילון!A:K,10,0)+VLOOKUP('תפוקה מצטברת מול אשתקד'!A37,הראל!A:K,10,0)+VLOOKUP('תפוקה מצטברת מול אשתקד'!A37,הפניקס!A:K,10,0)+VLOOKUP('תפוקה מצטברת מול אשתקד'!A37,כלל!A:K,10,0)+VLOOKUP('תפוקה מצטברת מול אשתקד'!A37,מור!A:K,10,0)+VLOOKUP('תפוקה מצטברת מול אשתקד'!A37,'אלטשולר שחם'!A:K,10,0)+VLOOKUP('תפוקה מצטברת מול אשתקד'!A37,'מדיהו '!A:K,10,0)+VLOOKUP('תפוקה מצטברת מול אשתקד'!A37,'אנליסט '!A:K,10,0)+VLOOKUP('תפוקה מצטברת מול אשתקד'!A37,'מיטב דש'!A:K,10,0)+VLOOKUP('תפוקה מצטברת מול אשתקד'!A37,אינפניטי!A:K,10,0)</f>
        <v>0</v>
      </c>
      <c r="O37" s="12">
        <f>VLOOKUP(A37,הכשרה!A:K,11,0)+VLOOKUP('תפוקה מצטברת מול אשתקד'!A37,מגדל!A:K,11,0)+VLOOKUP('תפוקה מצטברת מול אשתקד'!A37,מנורה!A:K,11,0)+VLOOKUP('תפוקה מצטברת מול אשתקד'!A37,איילון!A:K,11,0)+VLOOKUP('תפוקה מצטברת מול אשתקד'!A37,הראל!A:K,11,0)+VLOOKUP('תפוקה מצטברת מול אשתקד'!A37,הפניקס!A:K,11,0)+VLOOKUP('תפוקה מצטברת מול אשתקד'!A37,כלל!A:K,11,0)+VLOOKUP('תפוקה מצטברת מול אשתקד'!A37,מור!A:K,11,0)+VLOOKUP('תפוקה מצטברת מול אשתקד'!A37,'אלטשולר שחם'!A:K,11,0)+VLOOKUP('תפוקה מצטברת מול אשתקד'!A37,'מדיהו '!A:K,11,0)+VLOOKUP('תפוקה מצטברת מול אשתקד'!A37,'אנליסט '!A:K,11,0)+VLOOKUP('תפוקה מצטברת מול אשתקד'!A37,'מיטב דש'!A:K,11,0)+VLOOKUP('תפוקה מצטברת מול אשתקד'!A37,אינפניטי!A:K,11,0)</f>
        <v>0</v>
      </c>
    </row>
    <row r="38" spans="1:15" ht="15.75" customHeight="1" x14ac:dyDescent="0.25">
      <c r="A38" s="27" t="s">
        <v>29</v>
      </c>
      <c r="B38" s="27" t="s">
        <v>56</v>
      </c>
      <c r="C38" s="28" t="s">
        <v>115</v>
      </c>
      <c r="D38" s="20">
        <f t="shared" si="0"/>
        <v>-1.899073591926622</v>
      </c>
      <c r="E38" s="20">
        <f t="shared" si="0"/>
        <v>1</v>
      </c>
      <c r="F38" s="20">
        <f t="shared" si="0"/>
        <v>1</v>
      </c>
      <c r="G38" s="20">
        <f t="shared" si="6"/>
        <v>1</v>
      </c>
      <c r="H38" s="68">
        <f>VLOOKUP(A38,הכשרה!A:G,4,0)+VLOOKUP('תפוקה מצטברת מול אשתקד'!A38,מגדל!A:G,4,0)+VLOOKUP('תפוקה מצטברת מול אשתקד'!A38,מנורה!A:G,4,0)+VLOOKUP('תפוקה מצטברת מול אשתקד'!A38,איילון!A:G,4,0)+VLOOKUP('תפוקה מצטברת מול אשתקד'!A38,הראל!A:G,4,0)+VLOOKUP('תפוקה מצטברת מול אשתקד'!A38,הפניקס!A:G,4,0)+VLOOKUP('תפוקה מצטברת מול אשתקד'!A38,כלל!A:G,4,0)+VLOOKUP('תפוקה מצטברת מול אשתקד'!A38,מור!A:G,4,0)+VLOOKUP('תפוקה מצטברת מול אשתקד'!A38,'אלטשולר שחם'!A:G,4,0)+VLOOKUP('תפוקה מצטברת מול אשתקד'!A38,'מדיהו '!A:G,4,0)+VLOOKUP('תפוקה מצטברת מול אשתקד'!A38,'אנליסט '!A:G,4,0)+VLOOKUP('תפוקה מצטברת מול אשתקד'!A38,'מיטב דש'!A:G,4,0)+VLOOKUP('תפוקה מצטברת מול אשתקד'!A38,אינפניטי!A:G,4,0)</f>
        <v>6854.6</v>
      </c>
      <c r="I38" s="68">
        <f>VLOOKUP(A38,הכשרה!A:G,5,0)+VLOOKUP('תפוקה מצטברת מול אשתקד'!A38,מגדל!A:G,5,0)+VLOOKUP('תפוקה מצטברת מול אשתקד'!A38,מנורה!A:G,5,0)+VLOOKUP('תפוקה מצטברת מול אשתקד'!A38,איילון!A:G,5,0)+VLOOKUP('תפוקה מצטברת מול אשתקד'!A38,הראל!A:G,5,0)+VLOOKUP('תפוקה מצטברת מול אשתקד'!A38,הפניקס!A:G,5,0)+VLOOKUP('תפוקה מצטברת מול אשתקד'!A38,כלל!A:G,5,0)+VLOOKUP('תפוקה מצטברת מול אשתקד'!A38,מור!A:G,5,0)+VLOOKUP('תפוקה מצטברת מול אשתקד'!A38,'אלטשולר שחם'!A:G,5,0)+VLOOKUP('תפוקה מצטברת מול אשתקד'!A38,'מדיהו '!A:G,5,0)+VLOOKUP('תפוקה מצטברת מול אשתקד'!A38,'אנליסט '!A:G,5,0)+VLOOKUP('תפוקה מצטברת מול אשתקד'!A38,'מיטב דש'!A:G,5,0)+VLOOKUP('תפוקה מצטברת מול אשתקד'!A38,אינפניטי!A:G,5,0)</f>
        <v>1921.6</v>
      </c>
      <c r="J38" s="68">
        <f>VLOOKUP(A38,הכשרה!A:G,6,0)+VLOOKUP('תפוקה מצטברת מול אשתקד'!A38,מגדל!A:G,6,0)+VLOOKUP('תפוקה מצטברת מול אשתקד'!A38,מנורה!A:G,6,0)+VLOOKUP('תפוקה מצטברת מול אשתקד'!A38,איילון!A:G,6,0)+VLOOKUP(A38,הראל!A:G,6,0)+VLOOKUP('תפוקה מצטברת מול אשתקד'!A38,הפניקס!A:G,6,0)+VLOOKUP('תפוקה מצטברת מול אשתקד'!A38,כלל!A:G,6,0)+VLOOKUP('תפוקה מצטברת מול אשתקד'!A38,מור!A:G,6,0)+VLOOKUP('תפוקה מצטברת מול אשתקד'!A38,'אלטשולר שחם'!A:G,6,0)+VLOOKUP('תפוקה מצטברת מול אשתקד'!A38,'מדיהו '!A:G,6,0)+VLOOKUP('תפוקה מצטברת מול אשתקד'!A38,'אנליסט '!A:G,6,0)+VLOOKUP('תפוקה מצטברת מול אשתקד'!A38,'מיטב דש'!A:G,6,0)+VLOOKUP('תפוקה מצטברת מול אשתקד'!A38,אינפניטי!A:G,6,0)</f>
        <v>248240.32</v>
      </c>
      <c r="K38" s="68">
        <f>VLOOKUP(A38,הכשרה!A:G,7,0)+VLOOKUP('תפוקה מצטברת מול אשתקד'!A38,מגדל!A:G,7,0)+VLOOKUP('תפוקה מצטברת מול אשתקד'!A38,מנורה!A:G,7,0)+VLOOKUP('תפוקה מצטברת מול אשתקד'!A38,איילון!A:G,7,0)+VLOOKUP('תפוקה מצטברת מול אשתקד'!A38,הראל!A:G,7,0)+VLOOKUP('תפוקה מצטברת מול אשתקד'!A38,הפניקס!A:G,7,0)+VLOOKUP('תפוקה מצטברת מול אשתקד'!A38,כלל!A:G,7,0)+VLOOKUP('תפוקה מצטברת מול אשתקד'!A38,מור!A:G,7,0)+VLOOKUP('תפוקה מצטברת מול אשתקד'!A38,'אלטשולר שחם'!A:G,7,0)+VLOOKUP('תפוקה מצטברת מול אשתקד'!A38,'מדיהו '!A:K,7,0)+VLOOKUP(A38,'אנליסט '!A:G,7,0)+VLOOKUP('תפוקה מצטברת מול אשתקד'!A38,'מיטב דש'!A:G,7,0)+VLOOKUP('תפוקה מצטברת מול אשתקד'!A38,אינפניטי!A:G,7,0)</f>
        <v>226444.66</v>
      </c>
      <c r="L38" s="12">
        <f>VLOOKUP(A38,הכשרה!A:K,8,0)+VLOOKUP('תפוקה מצטברת מול אשתקד'!A38,מגדל!A:K,8,0)+VLOOKUP('תפוקה מצטברת מול אשתקד'!A38,מנורה!A:K,8,0)+VLOOKUP('תפוקה מצטברת מול אשתקד'!A38,איילון!A:K,8,0)+VLOOKUP('תפוקה מצטברת מול אשתקד'!A38,הראל!A:K,8,0)+VLOOKUP('תפוקה מצטברת מול אשתקד'!A38,הפניקס!A:K,8,0)+VLOOKUP('תפוקה מצטברת מול אשתקד'!A38,כלל!A:K,8,0)+VLOOKUP('תפוקה מצטברת מול אשתקד'!A38,מור!A:K,8,0)+VLOOKUP('תפוקה מצטברת מול אשתקד'!A38,'אלטשולר שחם'!A:K,8,0)+VLOOKUP('תפוקה מצטברת מול אשתקד'!A38,'מדיהו '!A:K,8,0)+VLOOKUP('תפוקה מצטברת מול אשתקד'!A38,'אנליסט '!A:K,8,0)+VLOOKUP('תפוקה מצטברת מול אשתקד'!A38,'מיטב דש'!A:K,8,0)+VLOOKUP('תפוקה מצטברת מול אשתקד'!A38,אינפניטי!A:K,8,0)</f>
        <v>-7624.07</v>
      </c>
      <c r="M38" s="12">
        <f>VLOOKUP(A38,הכשרה!A:K,9,0)+VLOOKUP('תפוקה מצטברת מול אשתקד'!A38,מגדל!A:K,9,0)+VLOOKUP('תפוקה מצטברת מול אשתקד'!A38,מנורה!A:K,9,0)+VLOOKUP('תפוקה מצטברת מול אשתקד'!A38,איילון!A:K,9,0)+VLOOKUP('תפוקה מצטברת מול אשתקד'!A38,הראל!A:K,9,0)+VLOOKUP('תפוקה מצטברת מול אשתקד'!A38,הפניקס!A:K,9,0)+VLOOKUP('תפוקה מצטברת מול אשתקד'!A38,כלל!A:K,9,0)+VLOOKUP('תפוקה מצטברת מול אשתקד'!A38,מור!A:K,9,0)+VLOOKUP('תפוקה מצטברת מול אשתקד'!A38,'אלטשולר שחם'!A:K,9,0)+VLOOKUP('תפוקה מצטברת מול אשתקד'!A38,'מדיהו '!A:K,9,0)+VLOOKUP('תפוקה מצטברת מול אשתקד'!A38,'אנליסט '!A:K,9,0)+VLOOKUP('תפוקה מצטברת מול אשתקד'!A38,'מיטב דש'!A:K,9,0)+VLOOKUP('תפוקה מצטברת מול אשתקד'!A38,אינפניטי!A:K,9,0)</f>
        <v>0</v>
      </c>
      <c r="N38" s="12">
        <f>VLOOKUP(A38,הכשרה!A:K,10,0)+VLOOKUP('תפוקה מצטברת מול אשתקד'!A38,מגדל!A:K,10,0)+VLOOKUP('תפוקה מצטברת מול אשתקד'!A38,מנורה!A:K,10,0)+VLOOKUP('תפוקה מצטברת מול אשתקד'!A38,איילון!A:K,10,0)+VLOOKUP('תפוקה מצטברת מול אשתקד'!A38,הראל!A:K,10,0)+VLOOKUP('תפוקה מצטברת מול אשתקד'!A38,הפניקס!A:K,10,0)+VLOOKUP('תפוקה מצטברת מול אשתקד'!A38,כלל!A:K,10,0)+VLOOKUP('תפוקה מצטברת מול אשתקד'!A38,מור!A:K,10,0)+VLOOKUP('תפוקה מצטברת מול אשתקד'!A38,'אלטשולר שחם'!A:K,10,0)+VLOOKUP('תפוקה מצטברת מול אשתקד'!A38,'מדיהו '!A:K,10,0)+VLOOKUP('תפוקה מצטברת מול אשתקד'!A38,'אנליסט '!A:K,10,0)+VLOOKUP('תפוקה מצטברת מול אשתקד'!A38,'מיטב דש'!A:K,10,0)+VLOOKUP('תפוקה מצטברת מול אשתקד'!A38,אינפניטי!A:K,10,0)</f>
        <v>0</v>
      </c>
      <c r="O38" s="12">
        <f>VLOOKUP(A38,הכשרה!A:K,11,0)+VLOOKUP('תפוקה מצטברת מול אשתקד'!A38,מגדל!A:K,11,0)+VLOOKUP('תפוקה מצטברת מול אשתקד'!A38,מנורה!A:K,11,0)+VLOOKUP('תפוקה מצטברת מול אשתקד'!A38,איילון!A:K,11,0)+VLOOKUP('תפוקה מצטברת מול אשתקד'!A38,הראל!A:K,11,0)+VLOOKUP('תפוקה מצטברת מול אשתקד'!A38,הפניקס!A:K,11,0)+VLOOKUP('תפוקה מצטברת מול אשתקד'!A38,כלל!A:K,11,0)+VLOOKUP('תפוקה מצטברת מול אשתקד'!A38,מור!A:K,11,0)+VLOOKUP('תפוקה מצטברת מול אשתקד'!A38,'אלטשולר שחם'!A:K,11,0)+VLOOKUP('תפוקה מצטברת מול אשתקד'!A38,'מדיהו '!A:K,11,0)+VLOOKUP('תפוקה מצטברת מול אשתקד'!A38,'אנליסט '!A:K,11,0)+VLOOKUP('תפוקה מצטברת מול אשתקד'!A38,'מיטב דש'!A:K,11,0)+VLOOKUP('תפוקה מצטברת מול אשתקד'!A38,אינפניטי!A:K,11,0)</f>
        <v>0</v>
      </c>
    </row>
    <row r="39" spans="1:15" ht="15.75" customHeight="1" x14ac:dyDescent="0.25">
      <c r="A39" s="31" t="s">
        <v>103</v>
      </c>
      <c r="B39" s="27" t="s">
        <v>56</v>
      </c>
      <c r="C39" s="28" t="s">
        <v>115</v>
      </c>
      <c r="D39" s="20">
        <f t="shared" si="0"/>
        <v>1</v>
      </c>
      <c r="E39" s="20">
        <f t="shared" si="0"/>
        <v>1</v>
      </c>
      <c r="F39" s="20">
        <f t="shared" si="0"/>
        <v>1</v>
      </c>
      <c r="G39" s="20">
        <f t="shared" si="6"/>
        <v>0</v>
      </c>
      <c r="H39" s="68">
        <f>VLOOKUP(A39,הכשרה!A:G,4,0)+VLOOKUP('תפוקה מצטברת מול אשתקד'!A39,מגדל!A:G,4,0)+VLOOKUP('תפוקה מצטברת מול אשתקד'!A39,מנורה!A:G,4,0)+VLOOKUP('תפוקה מצטברת מול אשתקד'!A39,איילון!A:G,4,0)+VLOOKUP('תפוקה מצטברת מול אשתקד'!A39,הראל!A:G,4,0)+VLOOKUP('תפוקה מצטברת מול אשתקד'!A39,הפניקס!A:G,4,0)+VLOOKUP('תפוקה מצטברת מול אשתקד'!A39,כלל!A:G,4,0)+VLOOKUP('תפוקה מצטברת מול אשתקד'!A39,מור!A:G,4,0)+VLOOKUP('תפוקה מצטברת מול אשתקד'!A39,'אלטשולר שחם'!A:G,4,0)+VLOOKUP('תפוקה מצטברת מול אשתקד'!A39,'מדיהו '!A:G,4,0)+VLOOKUP('תפוקה מצטברת מול אשתקד'!A39,'אנליסט '!A:G,4,0)+VLOOKUP('תפוקה מצטברת מול אשתקד'!A39,'מיטב דש'!A:G,4,0)+VLOOKUP('תפוקה מצטברת מול אשתקד'!A39,אינפניטי!A:G,4,0)</f>
        <v>99450.848890197449</v>
      </c>
      <c r="I39" s="68">
        <f>VLOOKUP(A39,הכשרה!A:G,5,0)+VLOOKUP('תפוקה מצטברת מול אשתקד'!A39,מגדל!A:G,5,0)+VLOOKUP('תפוקה מצטברת מול אשתקד'!A39,מנורה!A:G,5,0)+VLOOKUP('תפוקה מצטברת מול אשתקד'!A39,איילון!A:G,5,0)+VLOOKUP('תפוקה מצטברת מול אשתקד'!A39,הראל!A:G,5,0)+VLOOKUP('תפוקה מצטברת מול אשתקד'!A39,הפניקס!A:G,5,0)+VLOOKUP('תפוקה מצטברת מול אשתקד'!A39,כלל!A:G,5,0)+VLOOKUP('תפוקה מצטברת מול אשתקד'!A39,מור!A:G,5,0)+VLOOKUP('תפוקה מצטברת מול אשתקד'!A39,'אלטשולר שחם'!A:G,5,0)+VLOOKUP('תפוקה מצטברת מול אשתקד'!A39,'מדיהו '!A:G,5,0)+VLOOKUP('תפוקה מצטברת מול אשתקד'!A39,'אנליסט '!A:G,5,0)+VLOOKUP('תפוקה מצטברת מול אשתקד'!A39,'מיטב דש'!A:G,5,0)+VLOOKUP('תפוקה מצטברת מול אשתקד'!A39,אינפניטי!A:G,5,0)</f>
        <v>17034.032364914659</v>
      </c>
      <c r="J39" s="68">
        <f>VLOOKUP(A39,הכשרה!A:G,6,0)+VLOOKUP('תפוקה מצטברת מול אשתקד'!A39,מגדל!A:G,6,0)+VLOOKUP('תפוקה מצטברת מול אשתקד'!A39,מנורה!A:G,6,0)+VLOOKUP('תפוקה מצטברת מול אשתקד'!A39,איילון!A:G,6,0)+VLOOKUP(A39,הראל!A:G,6,0)+VLOOKUP('תפוקה מצטברת מול אשתקד'!A39,הפניקס!A:G,6,0)+VLOOKUP('תפוקה מצטברת מול אשתקד'!A39,כלל!A:G,6,0)+VLOOKUP('תפוקה מצטברת מול אשתקד'!A39,מור!A:G,6,0)+VLOOKUP('תפוקה מצטברת מול אשתקד'!A39,'אלטשולר שחם'!A:G,6,0)+VLOOKUP('תפוקה מצטברת מול אשתקד'!A39,'מדיהו '!A:G,6,0)+VLOOKUP('תפוקה מצטברת מול אשתקד'!A39,'אנליסט '!A:G,6,0)+VLOOKUP('תפוקה מצטברת מול אשתקד'!A39,'מיטב דש'!A:G,6,0)+VLOOKUP('תפוקה מצטברת מול אשתקד'!A39,אינפניטי!A:G,6,0)</f>
        <v>88904.728435348312</v>
      </c>
      <c r="K39" s="68">
        <f>VLOOKUP(A39,הכשרה!A:G,7,0)+VLOOKUP('תפוקה מצטברת מול אשתקד'!A39,מגדל!A:G,7,0)+VLOOKUP('תפוקה מצטברת מול אשתקד'!A39,מנורה!A:G,7,0)+VLOOKUP('תפוקה מצטברת מול אשתקד'!A39,איילון!A:G,7,0)+VLOOKUP('תפוקה מצטברת מול אשתקד'!A39,הראל!A:G,7,0)+VLOOKUP('תפוקה מצטברת מול אשתקד'!A39,הפניקס!A:G,7,0)+VLOOKUP('תפוקה מצטברת מול אשתקד'!A39,כלל!A:G,7,0)+VLOOKUP('תפוקה מצטברת מול אשתקד'!A39,מור!A:G,7,0)+VLOOKUP('תפוקה מצטברת מול אשתקד'!A39,'אלטשולר שחם'!A:G,7,0)+VLOOKUP('תפוקה מצטברת מול אשתקד'!A39,'מדיהו '!A:K,7,0)+VLOOKUP(A39,'אנליסט '!A:G,7,0)+VLOOKUP('תפוקה מצטברת מול אשתקד'!A39,'מיטב דש'!A:G,7,0)+VLOOKUP('תפוקה מצטברת מול אשתקד'!A39,אינפניטי!A:G,7,0)</f>
        <v>0</v>
      </c>
      <c r="L39" s="12">
        <f>VLOOKUP(A39,הכשרה!A:K,8,0)+VLOOKUP('תפוקה מצטברת מול אשתקד'!A39,מגדל!A:K,8,0)+VLOOKUP('תפוקה מצטברת מול אשתקד'!A39,מנורה!A:K,8,0)+VLOOKUP('תפוקה מצטברת מול אשתקד'!A39,איילון!A:K,8,0)+VLOOKUP('תפוקה מצטברת מול אשתקד'!A39,הראל!A:K,8,0)+VLOOKUP('תפוקה מצטברת מול אשתקד'!A39,הפניקס!A:K,8,0)+VLOOKUP('תפוקה מצטברת מול אשתקד'!A39,כלל!A:K,8,0)+VLOOKUP('תפוקה מצטברת מול אשתקד'!A39,מור!A:K,8,0)+VLOOKUP('תפוקה מצטברת מול אשתקד'!A39,'אלטשולר שחם'!A:K,8,0)+VLOOKUP('תפוקה מצטברת מול אשתקד'!A39,'מדיהו '!A:K,8,0)+VLOOKUP('תפוקה מצטברת מול אשתקד'!A39,'אנליסט '!A:K,8,0)+VLOOKUP('תפוקה מצטברת מול אשתקד'!A39,'מיטב דש'!A:K,8,0)+VLOOKUP('תפוקה מצטברת מול אשתקד'!A39,אינפניטי!A:K,8,0)</f>
        <v>0</v>
      </c>
      <c r="M39" s="12">
        <f>VLOOKUP(A39,הכשרה!A:K,9,0)+VLOOKUP('תפוקה מצטברת מול אשתקד'!A39,מגדל!A:K,9,0)+VLOOKUP('תפוקה מצטברת מול אשתקד'!A39,מנורה!A:K,9,0)+VLOOKUP('תפוקה מצטברת מול אשתקד'!A39,איילון!A:K,9,0)+VLOOKUP('תפוקה מצטברת מול אשתקד'!A39,הראל!A:K,9,0)+VLOOKUP('תפוקה מצטברת מול אשתקד'!A39,הפניקס!A:K,9,0)+VLOOKUP('תפוקה מצטברת מול אשתקד'!A39,כלל!A:K,9,0)+VLOOKUP('תפוקה מצטברת מול אשתקד'!A39,מור!A:K,9,0)+VLOOKUP('תפוקה מצטברת מול אשתקד'!A39,'אלטשולר שחם'!A:K,9,0)+VLOOKUP('תפוקה מצטברת מול אשתקד'!A39,'מדיהו '!A:K,9,0)+VLOOKUP('תפוקה מצטברת מול אשתקד'!A39,'אנליסט '!A:K,9,0)+VLOOKUP('תפוקה מצטברת מול אשתקד'!A39,'מיטב דש'!A:K,9,0)+VLOOKUP('תפוקה מצטברת מול אשתקד'!A39,אינפניטי!A:K,9,0)</f>
        <v>0</v>
      </c>
      <c r="N39" s="12">
        <f>VLOOKUP(A39,הכשרה!A:K,10,0)+VLOOKUP('תפוקה מצטברת מול אשתקד'!A39,מגדל!A:K,10,0)+VLOOKUP('תפוקה מצטברת מול אשתקד'!A39,מנורה!A:K,10,0)+VLOOKUP('תפוקה מצטברת מול אשתקד'!A39,איילון!A:K,10,0)+VLOOKUP('תפוקה מצטברת מול אשתקד'!A39,הראל!A:K,10,0)+VLOOKUP('תפוקה מצטברת מול אשתקד'!A39,הפניקס!A:K,10,0)+VLOOKUP('תפוקה מצטברת מול אשתקד'!A39,כלל!A:K,10,0)+VLOOKUP('תפוקה מצטברת מול אשתקד'!A39,מור!A:K,10,0)+VLOOKUP('תפוקה מצטברת מול אשתקד'!A39,'אלטשולר שחם'!A:K,10,0)+VLOOKUP('תפוקה מצטברת מול אשתקד'!A39,'מדיהו '!A:K,10,0)+VLOOKUP('תפוקה מצטברת מול אשתקד'!A39,'אנליסט '!A:K,10,0)+VLOOKUP('תפוקה מצטברת מול אשתקד'!A39,'מיטב דש'!A:K,10,0)+VLOOKUP('תפוקה מצטברת מול אשתקד'!A39,אינפניטי!A:K,10,0)</f>
        <v>0</v>
      </c>
      <c r="O39" s="12">
        <f>VLOOKUP(A39,הכשרה!A:K,11,0)+VLOOKUP('תפוקה מצטברת מול אשתקד'!A39,מגדל!A:K,11,0)+VLOOKUP('תפוקה מצטברת מול אשתקד'!A39,מנורה!A:K,11,0)+VLOOKUP('תפוקה מצטברת מול אשתקד'!A39,איילון!A:K,11,0)+VLOOKUP('תפוקה מצטברת מול אשתקד'!A39,הראל!A:K,11,0)+VLOOKUP('תפוקה מצטברת מול אשתקד'!A39,הפניקס!A:K,11,0)+VLOOKUP('תפוקה מצטברת מול אשתקד'!A39,כלל!A:K,11,0)+VLOOKUP('תפוקה מצטברת מול אשתקד'!A39,מור!A:K,11,0)+VLOOKUP('תפוקה מצטברת מול אשתקד'!A39,'אלטשולר שחם'!A:K,11,0)+VLOOKUP('תפוקה מצטברת מול אשתקד'!A39,'מדיהו '!A:K,11,0)+VLOOKUP('תפוקה מצטברת מול אשתקד'!A39,'אנליסט '!A:K,11,0)+VLOOKUP('תפוקה מצטברת מול אשתקד'!A39,'מיטב דש'!A:K,11,0)+VLOOKUP('תפוקה מצטברת מול אשתקד'!A39,אינפניטי!A:K,11,0)</f>
        <v>0</v>
      </c>
    </row>
    <row r="40" spans="1:15" ht="15.75" customHeight="1" x14ac:dyDescent="0.25">
      <c r="A40" s="27" t="s">
        <v>91</v>
      </c>
      <c r="B40" s="27" t="s">
        <v>56</v>
      </c>
      <c r="C40" s="28" t="s">
        <v>115</v>
      </c>
      <c r="D40" s="20">
        <f t="shared" si="0"/>
        <v>-1.0082532925535774</v>
      </c>
      <c r="E40" s="20">
        <f t="shared" si="0"/>
        <v>0</v>
      </c>
      <c r="F40" s="20">
        <f t="shared" si="0"/>
        <v>-0.68754733333333329</v>
      </c>
      <c r="G40" s="20">
        <f t="shared" si="6"/>
        <v>0</v>
      </c>
      <c r="H40" s="68">
        <f>VLOOKUP(A40,הכשרה!A:G,4,0)+VLOOKUP('תפוקה מצטברת מול אשתקד'!A40,מגדל!A:G,4,0)+VLOOKUP('תפוקה מצטברת מול אשתקד'!A40,מנורה!A:G,4,0)+VLOOKUP('תפוקה מצטברת מול אשתקד'!A40,איילון!A:G,4,0)+VLOOKUP('תפוקה מצטברת מול אשתקד'!A40,הראל!A:G,4,0)+VLOOKUP('תפוקה מצטברת מול אשתקד'!A40,הפניקס!A:G,4,0)+VLOOKUP('תפוקה מצטברת מול אשתקד'!A40,כלל!A:G,4,0)+VLOOKUP('תפוקה מצטברת מול אשתקד'!A40,מור!A:G,4,0)+VLOOKUP('תפוקה מצטברת מול אשתקד'!A40,'אלטשולר שחם'!A:G,4,0)+VLOOKUP('תפוקה מצטברת מול אשתקד'!A40,'מדיהו '!A:G,4,0)+VLOOKUP('תפוקה מצטברת מול אשתקד'!A40,'אנליסט '!A:G,4,0)+VLOOKUP('תפוקה מצטברת מול אשתקד'!A40,'מיטב דש'!A:G,4,0)+VLOOKUP('תפוקה מצטברת מול אשתקד'!A40,אינפניטי!A:G,4,0)</f>
        <v>-79.231654047757715</v>
      </c>
      <c r="I40" s="68">
        <f>VLOOKUP(A40,הכשרה!A:G,5,0)+VLOOKUP('תפוקה מצטברת מול אשתקד'!A40,מגדל!A:G,5,0)+VLOOKUP('תפוקה מצטברת מול אשתקד'!A40,מנורה!A:G,5,0)+VLOOKUP('תפוקה מצטברת מול אשתקד'!A40,איילון!A:G,5,0)+VLOOKUP('תפוקה מצטברת מול אשתקד'!A40,הראל!A:G,5,0)+VLOOKUP('תפוקה מצטברת מול אשתקד'!A40,הפניקס!A:G,5,0)+VLOOKUP('תפוקה מצטברת מול אשתקד'!A40,כלל!A:G,5,0)+VLOOKUP('תפוקה מצטברת מול אשתקד'!A40,מור!A:G,5,0)+VLOOKUP('תפוקה מצטברת מול אשתקד'!A40,'אלטשולר שחם'!A:G,5,0)+VLOOKUP('תפוקה מצטברת מול אשתקד'!A40,'מדיהו '!A:G,5,0)+VLOOKUP('תפוקה מצטברת מול אשתקד'!A40,'אנליסט '!A:G,5,0)+VLOOKUP('תפוקה מצטברת מול אשתקד'!A40,'מיטב דש'!A:G,5,0)+VLOOKUP('תפוקה מצטברת מול אשתקד'!A40,אינפניטי!A:G,5,0)</f>
        <v>0</v>
      </c>
      <c r="J40" s="68">
        <f>VLOOKUP(A40,הכשרה!A:G,6,0)+VLOOKUP('תפוקה מצטברת מול אשתקד'!A40,מגדל!A:G,6,0)+VLOOKUP('תפוקה מצטברת מול אשתקד'!A40,מנורה!A:G,6,0)+VLOOKUP('תפוקה מצטברת מול אשתקד'!A40,איילון!A:G,6,0)+VLOOKUP(A40,הראל!A:G,6,0)+VLOOKUP('תפוקה מצטברת מול אשתקד'!A40,הפניקס!A:G,6,0)+VLOOKUP('תפוקה מצטברת מול אשתקד'!A40,כלל!A:G,6,0)+VLOOKUP('תפוקה מצטברת מול אשתקד'!A40,מור!A:G,6,0)+VLOOKUP('תפוקה מצטברת מול אשתקד'!A40,'אלטשולר שחם'!A:G,6,0)+VLOOKUP('תפוקה מצטברת מול אשתקד'!A40,'מדיהו '!A:G,6,0)+VLOOKUP('תפוקה מצטברת מול אשתקד'!A40,'אנליסט '!A:G,6,0)+VLOOKUP('תפוקה מצטברת מול אשתקד'!A40,'מיטב דש'!A:G,6,0)+VLOOKUP('תפוקה מצטברת מול אשתקד'!A40,אינפניטי!A:G,6,0)</f>
        <v>9373.58</v>
      </c>
      <c r="K40" s="68">
        <f>VLOOKUP(A40,הכשרה!A:G,7,0)+VLOOKUP('תפוקה מצטברת מול אשתקד'!A40,מגדל!A:G,7,0)+VLOOKUP('תפוקה מצטברת מול אשתקד'!A40,מנורה!A:G,7,0)+VLOOKUP('תפוקה מצטברת מול אשתקד'!A40,איילון!A:G,7,0)+VLOOKUP('תפוקה מצטברת מול אשתקד'!A40,הראל!A:G,7,0)+VLOOKUP('תפוקה מצטברת מול אשתקד'!A40,הפניקס!A:G,7,0)+VLOOKUP('תפוקה מצטברת מול אשתקד'!A40,כלל!A:G,7,0)+VLOOKUP('תפוקה מצטברת מול אשתקד'!A40,מור!A:G,7,0)+VLOOKUP('תפוקה מצטברת מול אשתקד'!A40,'אלטשולר שחם'!A:G,7,0)+VLOOKUP('תפוקה מצטברת מול אשתקד'!A40,'מדיהו '!A:K,7,0)+VLOOKUP(A40,'אנליסט '!A:G,7,0)+VLOOKUP('תפוקה מצטברת מול אשתקד'!A40,'מיטב דש'!A:G,7,0)+VLOOKUP('תפוקה מצטברת מול אשתקד'!A40,אינפניטי!A:G,7,0)</f>
        <v>0</v>
      </c>
      <c r="L40" s="12">
        <f>VLOOKUP(A40,הכשרה!A:K,8,0)+VLOOKUP('תפוקה מצטברת מול אשתקד'!A40,מגדל!A:K,8,0)+VLOOKUP('תפוקה מצטברת מול אשתקד'!A40,מנורה!A:K,8,0)+VLOOKUP('תפוקה מצטברת מול אשתקד'!A40,איילון!A:K,8,0)+VLOOKUP('תפוקה מצטברת מול אשתקד'!A40,הראל!A:K,8,0)+VLOOKUP('תפוקה מצטברת מול אשתקד'!A40,הפניקס!A:K,8,0)+VLOOKUP('תפוקה מצטברת מול אשתקד'!A40,כלל!A:K,8,0)+VLOOKUP('תפוקה מצטברת מול אשתקד'!A40,מור!A:K,8,0)+VLOOKUP('תפוקה מצטברת מול אשתקד'!A40,'אלטשולר שחם'!A:K,8,0)+VLOOKUP('תפוקה מצטברת מול אשתקד'!A40,'מדיהו '!A:K,8,0)+VLOOKUP('תפוקה מצטברת מול אשתקד'!A40,'אנליסט '!A:K,8,0)+VLOOKUP('תפוקה מצטברת מול אשתקד'!A40,'מיטב דש'!A:K,8,0)+VLOOKUP('תפוקה מצטברת מול אשתקד'!A40,אינפניטי!A:K,8,0)</f>
        <v>9600.0055169999996</v>
      </c>
      <c r="M40" s="12">
        <f>VLOOKUP(A40,הכשרה!A:K,9,0)+VLOOKUP('תפוקה מצטברת מול אשתקד'!A40,מגדל!A:K,9,0)+VLOOKUP('תפוקה מצטברת מול אשתקד'!A40,מנורה!A:K,9,0)+VLOOKUP('תפוקה מצטברת מול אשתקד'!A40,איילון!A:K,9,0)+VLOOKUP('תפוקה מצטברת מול אשתקד'!A40,הראל!A:K,9,0)+VLOOKUP('תפוקה מצטברת מול אשתקד'!A40,הפניקס!A:K,9,0)+VLOOKUP('תפוקה מצטברת מול אשתקד'!A40,כלל!A:K,9,0)+VLOOKUP('תפוקה מצטברת מול אשתקד'!A40,מור!A:K,9,0)+VLOOKUP('תפוקה מצטברת מול אשתקד'!A40,'אלטשולר שחם'!A:K,9,0)+VLOOKUP('תפוקה מצטברת מול אשתקד'!A40,'מדיהו '!A:K,9,0)+VLOOKUP('תפוקה מצטברת מול אשתקד'!A40,'אנליסט '!A:K,9,0)+VLOOKUP('תפוקה מצטברת מול אשתקד'!A40,'מיטב דש'!A:K,9,0)+VLOOKUP('תפוקה מצטברת מול אשתקד'!A40,אינפניטי!A:K,9,0)</f>
        <v>12241.353405</v>
      </c>
      <c r="N40" s="12">
        <f>VLOOKUP(A40,הכשרה!A:K,10,0)+VLOOKUP('תפוקה מצטברת מול אשתקד'!A40,מגדל!A:K,10,0)+VLOOKUP('תפוקה מצטברת מול אשתקד'!A40,מנורה!A:K,10,0)+VLOOKUP('תפוקה מצטברת מול אשתקד'!A40,איילון!A:K,10,0)+VLOOKUP('תפוקה מצטברת מול אשתקד'!A40,הראל!A:K,10,0)+VLOOKUP('תפוקה מצטברת מול אשתקד'!A40,הפניקס!A:K,10,0)+VLOOKUP('תפוקה מצטברת מול אשתקד'!A40,כלל!A:K,10,0)+VLOOKUP('תפוקה מצטברת מול אשתקד'!A40,מור!A:K,10,0)+VLOOKUP('תפוקה מצטברת מול אשתקד'!A40,'אלטשולר שחם'!A:K,10,0)+VLOOKUP('תפוקה מצטברת מול אשתקד'!A40,'מדיהו '!A:K,10,0)+VLOOKUP('תפוקה מצטברת מול אשתקד'!A40,'אנליסט '!A:K,10,0)+VLOOKUP('תפוקה מצטברת מול אשתקד'!A40,'מיטב דש'!A:K,10,0)+VLOOKUP('תפוקה מצטברת מול אשתקד'!A40,אינפניטי!A:K,10,0)</f>
        <v>30000</v>
      </c>
      <c r="O40" s="12">
        <f>VLOOKUP(A40,הכשרה!A:K,11,0)+VLOOKUP('תפוקה מצטברת מול אשתקד'!A40,מגדל!A:K,11,0)+VLOOKUP('תפוקה מצטברת מול אשתקד'!A40,מנורה!A:K,11,0)+VLOOKUP('תפוקה מצטברת מול אשתקד'!A40,איילון!A:K,11,0)+VLOOKUP('תפוקה מצטברת מול אשתקד'!A40,הראל!A:K,11,0)+VLOOKUP('תפוקה מצטברת מול אשתקד'!A40,הפניקס!A:K,11,0)+VLOOKUP('תפוקה מצטברת מול אשתקד'!A40,כלל!A:K,11,0)+VLOOKUP('תפוקה מצטברת מול אשתקד'!A40,מור!A:K,11,0)+VLOOKUP('תפוקה מצטברת מול אשתקד'!A40,'אלטשולר שחם'!A:K,11,0)+VLOOKUP('תפוקה מצטברת מול אשתקד'!A40,'מדיהו '!A:K,11,0)+VLOOKUP('תפוקה מצטברת מול אשתקד'!A40,'אנליסט '!A:K,11,0)+VLOOKUP('תפוקה מצטברת מול אשתקד'!A40,'מיטב דש'!A:K,11,0)+VLOOKUP('תפוקה מצטברת מול אשתקד'!A40,אינפניטי!A:K,11,0)</f>
        <v>0</v>
      </c>
    </row>
    <row r="41" spans="1:15" ht="15.75" customHeight="1" x14ac:dyDescent="0.25">
      <c r="A41" s="27" t="s">
        <v>90</v>
      </c>
      <c r="B41" s="27" t="s">
        <v>56</v>
      </c>
      <c r="C41" s="28" t="s">
        <v>115</v>
      </c>
      <c r="D41" s="20">
        <f t="shared" si="0"/>
        <v>0</v>
      </c>
      <c r="E41" s="20">
        <f t="shared" si="0"/>
        <v>0.72137884760546833</v>
      </c>
      <c r="F41" s="20">
        <f t="shared" si="0"/>
        <v>0</v>
      </c>
      <c r="G41" s="20">
        <f t="shared" si="6"/>
        <v>0</v>
      </c>
      <c r="H41" s="68">
        <f>VLOOKUP(A41,הכשרה!A:G,4,0)+VLOOKUP('תפוקה מצטברת מול אשתקד'!A41,מגדל!A:G,4,0)+VLOOKUP('תפוקה מצטברת מול אשתקד'!A41,מנורה!A:G,4,0)+VLOOKUP('תפוקה מצטברת מול אשתקד'!A41,איילון!A:G,4,0)+VLOOKUP('תפוקה מצטברת מול אשתקד'!A41,הראל!A:G,4,0)+VLOOKUP('תפוקה מצטברת מול אשתקד'!A41,הפניקס!A:G,4,0)+VLOOKUP('תפוקה מצטברת מול אשתקד'!A41,כלל!A:G,4,0)+VLOOKUP('תפוקה מצטברת מול אשתקד'!A41,מור!A:G,4,0)+VLOOKUP('תפוקה מצטברת מול אשתקד'!A41,'אלטשולר שחם'!A:G,4,0)+VLOOKUP('תפוקה מצטברת מול אשתקד'!A41,'מדיהו '!A:G,4,0)+VLOOKUP('תפוקה מצטברת מול אשתקד'!A41,'אנליסט '!A:G,4,0)+VLOOKUP('תפוקה מצטברת מול אשתקד'!A41,'מיטב דש'!A:G,4,0)+VLOOKUP('תפוקה מצטברת מול אשתקד'!A41,אינפניטי!A:G,4,0)</f>
        <v>0</v>
      </c>
      <c r="I41" s="68">
        <f>VLOOKUP(A41,הכשרה!A:G,5,0)+VLOOKUP('תפוקה מצטברת מול אשתקד'!A41,מגדל!A:G,5,0)+VLOOKUP('תפוקה מצטברת מול אשתקד'!A41,מנורה!A:G,5,0)+VLOOKUP('תפוקה מצטברת מול אשתקד'!A41,איילון!A:G,5,0)+VLOOKUP('תפוקה מצטברת מול אשתקד'!A41,הראל!A:G,5,0)+VLOOKUP('תפוקה מצטברת מול אשתקד'!A41,הפניקס!A:G,5,0)+VLOOKUP('תפוקה מצטברת מול אשתקד'!A41,כלל!A:G,5,0)+VLOOKUP('תפוקה מצטברת מול אשתקד'!A41,מור!A:G,5,0)+VLOOKUP('תפוקה מצטברת מול אשתקד'!A41,'אלטשולר שחם'!A:G,5,0)+VLOOKUP('תפוקה מצטברת מול אשתקד'!A41,'מדיהו '!A:G,5,0)+VLOOKUP('תפוקה מצטברת מול אשתקד'!A41,'אנליסט '!A:G,5,0)+VLOOKUP('תפוקה מצטברת מול אשתקד'!A41,'מיטב דש'!A:G,5,0)+VLOOKUP('תפוקה מצטברת מול אשתקד'!A41,אינפניטי!A:G,5,0)</f>
        <v>205.24</v>
      </c>
      <c r="J41" s="68">
        <f>VLOOKUP(A41,הכשרה!A:G,6,0)+VLOOKUP('תפוקה מצטברת מול אשתקד'!A41,מגדל!A:G,6,0)+VLOOKUP('תפוקה מצטברת מול אשתקד'!A41,מנורה!A:G,6,0)+VLOOKUP('תפוקה מצטברת מול אשתקד'!A41,איילון!A:G,6,0)+VLOOKUP(A41,הראל!A:G,6,0)+VLOOKUP('תפוקה מצטברת מול אשתקד'!A41,הפניקס!A:G,6,0)+VLOOKUP('תפוקה מצטברת מול אשתקד'!A41,כלל!A:G,6,0)+VLOOKUP('תפוקה מצטברת מול אשתקד'!A41,מור!A:G,6,0)+VLOOKUP('תפוקה מצטברת מול אשתקד'!A41,'אלטשולר שחם'!A:G,6,0)+VLOOKUP('תפוקה מצטברת מול אשתקד'!A41,'מדיהו '!A:G,6,0)+VLOOKUP('תפוקה מצטברת מול אשתקד'!A41,'אנליסט '!A:G,6,0)+VLOOKUP('תפוקה מצטברת מול אשתקד'!A41,'מיטב דש'!A:G,6,0)+VLOOKUP('תפוקה מצטברת מול אשתקד'!A41,אינפניטי!A:G,6,0)</f>
        <v>0</v>
      </c>
      <c r="K41" s="68">
        <f>VLOOKUP(A41,הכשרה!A:G,7,0)+VLOOKUP('תפוקה מצטברת מול אשתקד'!A41,מגדל!A:G,7,0)+VLOOKUP('תפוקה מצטברת מול אשתקד'!A41,מנורה!A:G,7,0)+VLOOKUP('תפוקה מצטברת מול אשתקד'!A41,איילון!A:G,7,0)+VLOOKUP('תפוקה מצטברת מול אשתקד'!A41,הראל!A:G,7,0)+VLOOKUP('תפוקה מצטברת מול אשתקד'!A41,הפניקס!A:G,7,0)+VLOOKUP('תפוקה מצטברת מול אשתקד'!A41,כלל!A:G,7,0)+VLOOKUP('תפוקה מצטברת מול אשתקד'!A41,מור!A:G,7,0)+VLOOKUP('תפוקה מצטברת מול אשתקד'!A41,'אלטשולר שחם'!A:G,7,0)+VLOOKUP('תפוקה מצטברת מול אשתקד'!A41,'מדיהו '!A:K,7,0)+VLOOKUP(A41,'אנליסט '!A:G,7,0)+VLOOKUP('תפוקה מצטברת מול אשתקד'!A41,'מיטב דש'!A:G,7,0)+VLOOKUP('תפוקה מצטברת מול אשתקד'!A41,אינפניטי!A:G,7,0)</f>
        <v>0</v>
      </c>
      <c r="L41" s="12">
        <f>VLOOKUP(A41,הכשרה!A:K,8,0)+VLOOKUP('תפוקה מצטברת מול אשתקד'!A41,מגדל!A:K,8,0)+VLOOKUP('תפוקה מצטברת מול אשתקד'!A41,מנורה!A:K,8,0)+VLOOKUP('תפוקה מצטברת מול אשתקד'!A41,איילון!A:K,8,0)+VLOOKUP('תפוקה מצטברת מול אשתקד'!A41,הראל!A:K,8,0)+VLOOKUP('תפוקה מצטברת מול אשתקד'!A41,הפניקס!A:K,8,0)+VLOOKUP('תפוקה מצטברת מול אשתקד'!A41,כלל!A:K,8,0)+VLOOKUP('תפוקה מצטברת מול אשתקד'!A41,מור!A:K,8,0)+VLOOKUP('תפוקה מצטברת מול אשתקד'!A41,'אלטשולר שחם'!A:K,8,0)+VLOOKUP('תפוקה מצטברת מול אשתקד'!A41,'מדיהו '!A:K,8,0)+VLOOKUP('תפוקה מצטברת מול אשתקד'!A41,'אנליסט '!A:K,8,0)+VLOOKUP('תפוקה מצטברת מול אשתקד'!A41,'מיטב דש'!A:K,8,0)+VLOOKUP('תפוקה מצטברת מול אשתקד'!A41,אינפניטי!A:K,8,0)</f>
        <v>0</v>
      </c>
      <c r="M41" s="12">
        <f>VLOOKUP(A41,הכשרה!A:K,9,0)+VLOOKUP('תפוקה מצטברת מול אשתקד'!A41,מגדל!A:K,9,0)+VLOOKUP('תפוקה מצטברת מול אשתקד'!A41,מנורה!A:K,9,0)+VLOOKUP('תפוקה מצטברת מול אשתקד'!A41,איילון!A:K,9,0)+VLOOKUP('תפוקה מצטברת מול אשתקד'!A41,הראל!A:K,9,0)+VLOOKUP('תפוקה מצטברת מול אשתקד'!A41,הפניקס!A:K,9,0)+VLOOKUP('תפוקה מצטברת מול אשתקד'!A41,כלל!A:K,9,0)+VLOOKUP('תפוקה מצטברת מול אשתקד'!A41,מור!A:K,9,0)+VLOOKUP('תפוקה מצטברת מול אשתקד'!A41,'אלטשולר שחם'!A:K,9,0)+VLOOKUP('תפוקה מצטברת מול אשתקד'!A41,'מדיהו '!A:K,9,0)+VLOOKUP('תפוקה מצטברת מול אשתקד'!A41,'אנליסט '!A:K,9,0)+VLOOKUP('תפוקה מצטברת מול אשתקד'!A41,'מיטב דש'!A:K,9,0)+VLOOKUP('תפוקה מצטברת מול אשתקד'!A41,אינפניטי!A:K,9,0)</f>
        <v>119.23</v>
      </c>
      <c r="N41" s="12">
        <f>VLOOKUP(A41,הכשרה!A:K,10,0)+VLOOKUP('תפוקה מצטברת מול אשתקד'!A41,מגדל!A:K,10,0)+VLOOKUP('תפוקה מצטברת מול אשתקד'!A41,מנורה!A:K,10,0)+VLOOKUP('תפוקה מצטברת מול אשתקד'!A41,איילון!A:K,10,0)+VLOOKUP('תפוקה מצטברת מול אשתקד'!A41,הראל!A:K,10,0)+VLOOKUP('תפוקה מצטברת מול אשתקד'!A41,הפניקס!A:K,10,0)+VLOOKUP('תפוקה מצטברת מול אשתקד'!A41,כלל!A:K,10,0)+VLOOKUP('תפוקה מצטברת מול אשתקד'!A41,מור!A:K,10,0)+VLOOKUP('תפוקה מצטברת מול אשתקד'!A41,'אלטשולר שחם'!A:K,10,0)+VLOOKUP('תפוקה מצטברת מול אשתקד'!A41,'מדיהו '!A:K,10,0)+VLOOKUP('תפוקה מצטברת מול אשתקד'!A41,'אנליסט '!A:K,10,0)+VLOOKUP('תפוקה מצטברת מול אשתקד'!A41,'מיטב דש'!A:K,10,0)+VLOOKUP('תפוקה מצטברת מול אשתקד'!A41,אינפניטי!A:K,10,0)</f>
        <v>0</v>
      </c>
      <c r="O41" s="12">
        <f>VLOOKUP(A41,הכשרה!A:K,11,0)+VLOOKUP('תפוקה מצטברת מול אשתקד'!A41,מגדל!A:K,11,0)+VLOOKUP('תפוקה מצטברת מול אשתקד'!A41,מנורה!A:K,11,0)+VLOOKUP('תפוקה מצטברת מול אשתקד'!A41,איילון!A:K,11,0)+VLOOKUP('תפוקה מצטברת מול אשתקד'!A41,הראל!A:K,11,0)+VLOOKUP('תפוקה מצטברת מול אשתקד'!A41,הפניקס!A:K,11,0)+VLOOKUP('תפוקה מצטברת מול אשתקד'!A41,כלל!A:K,11,0)+VLOOKUP('תפוקה מצטברת מול אשתקד'!A41,מור!A:K,11,0)+VLOOKUP('תפוקה מצטברת מול אשתקד'!A41,'אלטשולר שחם'!A:K,11,0)+VLOOKUP('תפוקה מצטברת מול אשתקד'!A41,'מדיהו '!A:K,11,0)+VLOOKUP('תפוקה מצטברת מול אשתקד'!A41,'אנליסט '!A:K,11,0)+VLOOKUP('תפוקה מצטברת מול אשתקד'!A41,'מיטב דש'!A:K,11,0)+VLOOKUP('תפוקה מצטברת מול אשתקד'!A41,אינפניטי!A:K,11,0)</f>
        <v>0</v>
      </c>
    </row>
    <row r="42" spans="1:15" ht="15.75" customHeight="1" x14ac:dyDescent="0.25">
      <c r="A42" s="29" t="s">
        <v>93</v>
      </c>
      <c r="B42" s="27" t="s">
        <v>56</v>
      </c>
      <c r="C42" s="28" t="s">
        <v>115</v>
      </c>
      <c r="D42" s="20">
        <f t="shared" si="0"/>
        <v>0</v>
      </c>
      <c r="E42" s="20">
        <f t="shared" si="0"/>
        <v>0</v>
      </c>
      <c r="F42" s="20">
        <f t="shared" si="0"/>
        <v>0</v>
      </c>
      <c r="G42" s="20">
        <f t="shared" si="6"/>
        <v>0</v>
      </c>
      <c r="H42" s="68">
        <f>VLOOKUP(A42,הכשרה!A:G,4,0)+VLOOKUP('תפוקה מצטברת מול אשתקד'!A42,מגדל!A:G,4,0)+VLOOKUP('תפוקה מצטברת מול אשתקד'!A42,מנורה!A:G,4,0)+VLOOKUP('תפוקה מצטברת מול אשתקד'!A42,איילון!A:G,4,0)+VLOOKUP('תפוקה מצטברת מול אשתקד'!A42,הראל!A:G,4,0)+VLOOKUP('תפוקה מצטברת מול אשתקד'!A42,הפניקס!A:G,4,0)+VLOOKUP('תפוקה מצטברת מול אשתקד'!A42,כלל!A:G,4,0)+VLOOKUP('תפוקה מצטברת מול אשתקד'!A42,מור!A:G,4,0)+VLOOKUP('תפוקה מצטברת מול אשתקד'!A42,'אלטשולר שחם'!A:G,4,0)+VLOOKUP('תפוקה מצטברת מול אשתקד'!A42,'מדיהו '!A:G,4,0)+VLOOKUP('תפוקה מצטברת מול אשתקד'!A42,'אנליסט '!A:G,4,0)+VLOOKUP('תפוקה מצטברת מול אשתקד'!A42,'מיטב דש'!A:G,4,0)+VLOOKUP('תפוקה מצטברת מול אשתקד'!A42,אינפניטי!A:G,4,0)</f>
        <v>0</v>
      </c>
      <c r="I42" s="68">
        <f>VLOOKUP(A42,הכשרה!A:G,5,0)+VLOOKUP('תפוקה מצטברת מול אשתקד'!A42,מגדל!A:G,5,0)+VLOOKUP('תפוקה מצטברת מול אשתקד'!A42,מנורה!A:G,5,0)+VLOOKUP('תפוקה מצטברת מול אשתקד'!A42,איילון!A:G,5,0)+VLOOKUP('תפוקה מצטברת מול אשתקד'!A42,הראל!A:G,5,0)+VLOOKUP('תפוקה מצטברת מול אשתקד'!A42,הפניקס!A:G,5,0)+VLOOKUP('תפוקה מצטברת מול אשתקד'!A42,כלל!A:G,5,0)+VLOOKUP('תפוקה מצטברת מול אשתקד'!A42,מור!A:G,5,0)+VLOOKUP('תפוקה מצטברת מול אשתקד'!A42,'אלטשולר שחם'!A:G,5,0)+VLOOKUP('תפוקה מצטברת מול אשתקד'!A42,'מדיהו '!A:G,5,0)+VLOOKUP('תפוקה מצטברת מול אשתקד'!A42,'אנליסט '!A:G,5,0)+VLOOKUP('תפוקה מצטברת מול אשתקד'!A42,'מיטב דש'!A:G,5,0)+VLOOKUP('תפוקה מצטברת מול אשתקד'!A42,אינפניטי!A:G,5,0)</f>
        <v>0</v>
      </c>
      <c r="J42" s="68">
        <f>VLOOKUP(A42,הכשרה!A:G,6,0)+VLOOKUP('תפוקה מצטברת מול אשתקד'!A42,מגדל!A:G,6,0)+VLOOKUP('תפוקה מצטברת מול אשתקד'!A42,מנורה!A:G,6,0)+VLOOKUP('תפוקה מצטברת מול אשתקד'!A42,איילון!A:G,6,0)+VLOOKUP(A42,הראל!A:G,6,0)+VLOOKUP('תפוקה מצטברת מול אשתקד'!A42,הפניקס!A:G,6,0)+VLOOKUP('תפוקה מצטברת מול אשתקד'!A42,כלל!A:G,6,0)+VLOOKUP('תפוקה מצטברת מול אשתקד'!A42,מור!A:G,6,0)+VLOOKUP('תפוקה מצטברת מול אשתקד'!A42,'אלטשולר שחם'!A:G,6,0)+VLOOKUP('תפוקה מצטברת מול אשתקד'!A42,'מדיהו '!A:G,6,0)+VLOOKUP('תפוקה מצטברת מול אשתקד'!A42,'אנליסט '!A:G,6,0)+VLOOKUP('תפוקה מצטברת מול אשתקד'!A42,'מיטב דש'!A:G,6,0)+VLOOKUP('תפוקה מצטברת מול אשתקד'!A42,אינפניטי!A:G,6,0)</f>
        <v>0</v>
      </c>
      <c r="K42" s="68">
        <f>VLOOKUP(A42,הכשרה!A:G,7,0)+VLOOKUP('תפוקה מצטברת מול אשתקד'!A42,מגדל!A:G,7,0)+VLOOKUP('תפוקה מצטברת מול אשתקד'!A42,מנורה!A:G,7,0)+VLOOKUP('תפוקה מצטברת מול אשתקד'!A42,איילון!A:G,7,0)+VLOOKUP('תפוקה מצטברת מול אשתקד'!A42,הראל!A:G,7,0)+VLOOKUP('תפוקה מצטברת מול אשתקד'!A42,הפניקס!A:G,7,0)+VLOOKUP('תפוקה מצטברת מול אשתקד'!A42,כלל!A:G,7,0)+VLOOKUP('תפוקה מצטברת מול אשתקד'!A42,מור!A:G,7,0)+VLOOKUP('תפוקה מצטברת מול אשתקד'!A42,'אלטשולר שחם'!A:G,7,0)+VLOOKUP('תפוקה מצטברת מול אשתקד'!A42,'מדיהו '!A:K,7,0)+VLOOKUP(A42,'אנליסט '!A:G,7,0)+VLOOKUP('תפוקה מצטברת מול אשתקד'!A42,'מיטב דש'!A:G,7,0)+VLOOKUP('תפוקה מצטברת מול אשתקד'!A42,אינפניטי!A:G,7,0)</f>
        <v>0</v>
      </c>
      <c r="L42" s="12">
        <f>VLOOKUP(A42,הכשרה!A:K,8,0)+VLOOKUP('תפוקה מצטברת מול אשתקד'!A42,מגדל!A:K,8,0)+VLOOKUP('תפוקה מצטברת מול אשתקד'!A42,מנורה!A:K,8,0)+VLOOKUP('תפוקה מצטברת מול אשתקד'!A42,איילון!A:K,8,0)+VLOOKUP('תפוקה מצטברת מול אשתקד'!A42,הראל!A:K,8,0)+VLOOKUP('תפוקה מצטברת מול אשתקד'!A42,הפניקס!A:K,8,0)+VLOOKUP('תפוקה מצטברת מול אשתקד'!A42,כלל!A:K,8,0)+VLOOKUP('תפוקה מצטברת מול אשתקד'!A42,מור!A:K,8,0)+VLOOKUP('תפוקה מצטברת מול אשתקד'!A42,'אלטשולר שחם'!A:K,8,0)+VLOOKUP('תפוקה מצטברת מול אשתקד'!A42,'מדיהו '!A:K,8,0)+VLOOKUP('תפוקה מצטברת מול אשתקד'!A42,'אנליסט '!A:K,8,0)+VLOOKUP('תפוקה מצטברת מול אשתקד'!A42,'מיטב דש'!A:K,8,0)+VLOOKUP('תפוקה מצטברת מול אשתקד'!A42,אינפניטי!A:K,8,0)</f>
        <v>0</v>
      </c>
      <c r="M42" s="12">
        <f>VLOOKUP(A42,הכשרה!A:K,9,0)+VLOOKUP('תפוקה מצטברת מול אשתקד'!A42,מגדל!A:K,9,0)+VLOOKUP('תפוקה מצטברת מול אשתקד'!A42,מנורה!A:K,9,0)+VLOOKUP('תפוקה מצטברת מול אשתקד'!A42,איילון!A:K,9,0)+VLOOKUP('תפוקה מצטברת מול אשתקד'!A42,הראל!A:K,9,0)+VLOOKUP('תפוקה מצטברת מול אשתקד'!A42,הפניקס!A:K,9,0)+VLOOKUP('תפוקה מצטברת מול אשתקד'!A42,כלל!A:K,9,0)+VLOOKUP('תפוקה מצטברת מול אשתקד'!A42,מור!A:K,9,0)+VLOOKUP('תפוקה מצטברת מול אשתקד'!A42,'אלטשולר שחם'!A:K,9,0)+VLOOKUP('תפוקה מצטברת מול אשתקד'!A42,'מדיהו '!A:K,9,0)+VLOOKUP('תפוקה מצטברת מול אשתקד'!A42,'אנליסט '!A:K,9,0)+VLOOKUP('תפוקה מצטברת מול אשתקד'!A42,'מיטב דש'!A:K,9,0)+VLOOKUP('תפוקה מצטברת מול אשתקד'!A42,אינפניטי!A:K,9,0)</f>
        <v>0</v>
      </c>
      <c r="N42" s="12">
        <f>VLOOKUP(A42,הכשרה!A:K,10,0)+VLOOKUP('תפוקה מצטברת מול אשתקד'!A42,מגדל!A:K,10,0)+VLOOKUP('תפוקה מצטברת מול אשתקד'!A42,מנורה!A:K,10,0)+VLOOKUP('תפוקה מצטברת מול אשתקד'!A42,איילון!A:K,10,0)+VLOOKUP('תפוקה מצטברת מול אשתקד'!A42,הראל!A:K,10,0)+VLOOKUP('תפוקה מצטברת מול אשתקד'!A42,הפניקס!A:K,10,0)+VLOOKUP('תפוקה מצטברת מול אשתקד'!A42,כלל!A:K,10,0)+VLOOKUP('תפוקה מצטברת מול אשתקד'!A42,מור!A:K,10,0)+VLOOKUP('תפוקה מצטברת מול אשתקד'!A42,'אלטשולר שחם'!A:K,10,0)+VLOOKUP('תפוקה מצטברת מול אשתקד'!A42,'מדיהו '!A:K,10,0)+VLOOKUP('תפוקה מצטברת מול אשתקד'!A42,'אנליסט '!A:K,10,0)+VLOOKUP('תפוקה מצטברת מול אשתקד'!A42,'מיטב דש'!A:K,10,0)+VLOOKUP('תפוקה מצטברת מול אשתקד'!A42,אינפניטי!A:K,10,0)</f>
        <v>0</v>
      </c>
      <c r="O42" s="12">
        <f>VLOOKUP(A42,הכשרה!A:K,11,0)+VLOOKUP('תפוקה מצטברת מול אשתקד'!A42,מגדל!A:K,11,0)+VLOOKUP('תפוקה מצטברת מול אשתקד'!A42,מנורה!A:K,11,0)+VLOOKUP('תפוקה מצטברת מול אשתקד'!A42,איילון!A:K,11,0)+VLOOKUP('תפוקה מצטברת מול אשתקד'!A42,הראל!A:K,11,0)+VLOOKUP('תפוקה מצטברת מול אשתקד'!A42,הפניקס!A:K,11,0)+VLOOKUP('תפוקה מצטברת מול אשתקד'!A42,כלל!A:K,11,0)+VLOOKUP('תפוקה מצטברת מול אשתקד'!A42,מור!A:K,11,0)+VLOOKUP('תפוקה מצטברת מול אשתקד'!A42,'אלטשולר שחם'!A:K,11,0)+VLOOKUP('תפוקה מצטברת מול אשתקד'!A42,'מדיהו '!A:K,11,0)+VLOOKUP('תפוקה מצטברת מול אשתקד'!A42,'אנליסט '!A:K,11,0)+VLOOKUP('תפוקה מצטברת מול אשתקד'!A42,'מיטב דש'!A:K,11,0)+VLOOKUP('תפוקה מצטברת מול אשתקד'!A42,אינפניטי!A:K,11,0)</f>
        <v>0</v>
      </c>
    </row>
    <row r="43" spans="1:15" ht="15.75" customHeight="1" x14ac:dyDescent="0.25">
      <c r="A43" s="29" t="s">
        <v>95</v>
      </c>
      <c r="B43" s="27" t="s">
        <v>56</v>
      </c>
      <c r="C43" s="28" t="s">
        <v>115</v>
      </c>
      <c r="D43" s="20">
        <f t="shared" si="0"/>
        <v>0</v>
      </c>
      <c r="E43" s="20">
        <f t="shared" si="0"/>
        <v>0</v>
      </c>
      <c r="F43" s="20">
        <f t="shared" si="0"/>
        <v>0</v>
      </c>
      <c r="G43" s="20">
        <f t="shared" si="6"/>
        <v>0</v>
      </c>
      <c r="H43" s="68">
        <f>VLOOKUP(A43,הכשרה!A:G,4,0)+VLOOKUP('תפוקה מצטברת מול אשתקד'!A43,מגדל!A:G,4,0)+VLOOKUP('תפוקה מצטברת מול אשתקד'!A43,מנורה!A:G,4,0)+VLOOKUP('תפוקה מצטברת מול אשתקד'!A43,איילון!A:G,4,0)+VLOOKUP('תפוקה מצטברת מול אשתקד'!A43,הראל!A:G,4,0)+VLOOKUP('תפוקה מצטברת מול אשתקד'!A43,הפניקס!A:G,4,0)+VLOOKUP('תפוקה מצטברת מול אשתקד'!A43,כלל!A:G,4,0)+VLOOKUP('תפוקה מצטברת מול אשתקד'!A43,מור!A:G,4,0)+VLOOKUP('תפוקה מצטברת מול אשתקד'!A43,'אלטשולר שחם'!A:G,4,0)+VLOOKUP('תפוקה מצטברת מול אשתקד'!A43,'מדיהו '!A:G,4,0)+VLOOKUP('תפוקה מצטברת מול אשתקד'!A43,'אנליסט '!A:G,4,0)+VLOOKUP('תפוקה מצטברת מול אשתקד'!A43,'מיטב דש'!A:G,4,0)+VLOOKUP('תפוקה מצטברת מול אשתקד'!A43,אינפניטי!A:G,4,0)</f>
        <v>0</v>
      </c>
      <c r="I43" s="68">
        <f>VLOOKUP(A43,הכשרה!A:G,5,0)+VLOOKUP('תפוקה מצטברת מול אשתקד'!A43,מגדל!A:G,5,0)+VLOOKUP('תפוקה מצטברת מול אשתקד'!A43,מנורה!A:G,5,0)+VLOOKUP('תפוקה מצטברת מול אשתקד'!A43,איילון!A:G,5,0)+VLOOKUP('תפוקה מצטברת מול אשתקד'!A43,הראל!A:G,5,0)+VLOOKUP('תפוקה מצטברת מול אשתקד'!A43,הפניקס!A:G,5,0)+VLOOKUP('תפוקה מצטברת מול אשתקד'!A43,כלל!A:G,5,0)+VLOOKUP('תפוקה מצטברת מול אשתקד'!A43,מור!A:G,5,0)+VLOOKUP('תפוקה מצטברת מול אשתקד'!A43,'אלטשולר שחם'!A:G,5,0)+VLOOKUP('תפוקה מצטברת מול אשתקד'!A43,'מדיהו '!A:G,5,0)+VLOOKUP('תפוקה מצטברת מול אשתקד'!A43,'אנליסט '!A:G,5,0)+VLOOKUP('תפוקה מצטברת מול אשתקד'!A43,'מיטב דש'!A:G,5,0)+VLOOKUP('תפוקה מצטברת מול אשתקד'!A43,אינפניטי!A:G,5,0)</f>
        <v>0</v>
      </c>
      <c r="J43" s="68">
        <f>VLOOKUP(A43,הכשרה!A:G,6,0)+VLOOKUP('תפוקה מצטברת מול אשתקד'!A43,מגדל!A:G,6,0)+VLOOKUP('תפוקה מצטברת מול אשתקד'!A43,מנורה!A:G,6,0)+VLOOKUP('תפוקה מצטברת מול אשתקד'!A43,איילון!A:G,6,0)+VLOOKUP(A43,הראל!A:G,6,0)+VLOOKUP('תפוקה מצטברת מול אשתקד'!A43,הפניקס!A:G,6,0)+VLOOKUP('תפוקה מצטברת מול אשתקד'!A43,כלל!A:G,6,0)+VLOOKUP('תפוקה מצטברת מול אשתקד'!A43,מור!A:G,6,0)+VLOOKUP('תפוקה מצטברת מול אשתקד'!A43,'אלטשולר שחם'!A:G,6,0)+VLOOKUP('תפוקה מצטברת מול אשתקד'!A43,'מדיהו '!A:G,6,0)+VLOOKUP('תפוקה מצטברת מול אשתקד'!A43,'אנליסט '!A:G,6,0)+VLOOKUP('תפוקה מצטברת מול אשתקד'!A43,'מיטב דש'!A:G,6,0)+VLOOKUP('תפוקה מצטברת מול אשתקד'!A43,אינפניטי!A:G,6,0)</f>
        <v>79000</v>
      </c>
      <c r="K43" s="68">
        <f>VLOOKUP(A43,הכשרה!A:G,7,0)+VLOOKUP('תפוקה מצטברת מול אשתקד'!A43,מגדל!A:G,7,0)+VLOOKUP('תפוקה מצטברת מול אשתקד'!A43,מנורה!A:G,7,0)+VLOOKUP('תפוקה מצטברת מול אשתקד'!A43,איילון!A:G,7,0)+VLOOKUP('תפוקה מצטברת מול אשתקד'!A43,הראל!A:G,7,0)+VLOOKUP('תפוקה מצטברת מול אשתקד'!A43,הפניקס!A:G,7,0)+VLOOKUP('תפוקה מצטברת מול אשתקד'!A43,כלל!A:G,7,0)+VLOOKUP('תפוקה מצטברת מול אשתקד'!A43,מור!A:G,7,0)+VLOOKUP('תפוקה מצטברת מול אשתקד'!A43,'אלטשולר שחם'!A:G,7,0)+VLOOKUP('תפוקה מצטברת מול אשתקד'!A43,'מדיהו '!A:K,7,0)+VLOOKUP(A43,'אנליסט '!A:G,7,0)+VLOOKUP('תפוקה מצטברת מול אשתקד'!A43,'מיטב דש'!A:G,7,0)+VLOOKUP('תפוקה מצטברת מול אשתקד'!A43,אינפניטי!A:G,7,0)</f>
        <v>0</v>
      </c>
      <c r="L43" s="12">
        <f>VLOOKUP(A43,הכשרה!A:K,8,0)+VLOOKUP('תפוקה מצטברת מול אשתקד'!A43,מגדל!A:K,8,0)+VLOOKUP('תפוקה מצטברת מול אשתקד'!A43,מנורה!A:K,8,0)+VLOOKUP('תפוקה מצטברת מול אשתקד'!A43,איילון!A:K,8,0)+VLOOKUP('תפוקה מצטברת מול אשתקד'!A43,הראל!A:K,8,0)+VLOOKUP('תפוקה מצטברת מול אשתקד'!A43,הפניקס!A:K,8,0)+VLOOKUP('תפוקה מצטברת מול אשתקד'!A43,כלל!A:K,8,0)+VLOOKUP('תפוקה מצטברת מול אשתקד'!A43,מור!A:K,8,0)+VLOOKUP('תפוקה מצטברת מול אשתקד'!A43,'אלטשולר שחם'!A:K,8,0)+VLOOKUP('תפוקה מצטברת מול אשתקד'!A43,'מדיהו '!A:K,8,0)+VLOOKUP('תפוקה מצטברת מול אשתקד'!A43,'אנליסט '!A:K,8,0)+VLOOKUP('תפוקה מצטברת מול אשתקד'!A43,'מיטב דש'!A:K,8,0)+VLOOKUP('תפוקה מצטברת מול אשתקד'!A43,אינפניטי!A:K,8,0)</f>
        <v>0</v>
      </c>
      <c r="M43" s="12">
        <f>VLOOKUP(A43,הכשרה!A:K,9,0)+VLOOKUP('תפוקה מצטברת מול אשתקד'!A43,מגדל!A:K,9,0)+VLOOKUP('תפוקה מצטברת מול אשתקד'!A43,מנורה!A:K,9,0)+VLOOKUP('תפוקה מצטברת מול אשתקד'!A43,איילון!A:K,9,0)+VLOOKUP('תפוקה מצטברת מול אשתקד'!A43,הראל!A:K,9,0)+VLOOKUP('תפוקה מצטברת מול אשתקד'!A43,הפניקס!A:K,9,0)+VLOOKUP('תפוקה מצטברת מול אשתקד'!A43,כלל!A:K,9,0)+VLOOKUP('תפוקה מצטברת מול אשתקד'!A43,מור!A:K,9,0)+VLOOKUP('תפוקה מצטברת מול אשתקד'!A43,'אלטשולר שחם'!A:K,9,0)+VLOOKUP('תפוקה מצטברת מול אשתקד'!A43,'מדיהו '!A:K,9,0)+VLOOKUP('תפוקה מצטברת מול אשתקד'!A43,'אנליסט '!A:K,9,0)+VLOOKUP('תפוקה מצטברת מול אשתקד'!A43,'מיטב דש'!A:K,9,0)+VLOOKUP('תפוקה מצטברת מול אשתקד'!A43,אינפניטי!A:K,9,0)</f>
        <v>2739.17</v>
      </c>
      <c r="N43" s="12">
        <f>VLOOKUP(A43,הכשרה!A:K,10,0)+VLOOKUP('תפוקה מצטברת מול אשתקד'!A43,מגדל!A:K,10,0)+VLOOKUP('תפוקה מצטברת מול אשתקד'!A43,מנורה!A:K,10,0)+VLOOKUP('תפוקה מצטברת מול אשתקד'!A43,איילון!A:K,10,0)+VLOOKUP('תפוקה מצטברת מול אשתקד'!A43,הראל!A:K,10,0)+VLOOKUP('תפוקה מצטברת מול אשתקד'!A43,הפניקס!A:K,10,0)+VLOOKUP('תפוקה מצטברת מול אשתקד'!A43,כלל!A:K,10,0)+VLOOKUP('תפוקה מצטברת מול אשתקד'!A43,מור!A:K,10,0)+VLOOKUP('תפוקה מצטברת מול אשתקד'!A43,'אלטשולר שחם'!A:K,10,0)+VLOOKUP('תפוקה מצטברת מול אשתקד'!A43,'מדיהו '!A:K,10,0)+VLOOKUP('תפוקה מצטברת מול אשתקד'!A43,'אנליסט '!A:K,10,0)+VLOOKUP('תפוקה מצטברת מול אשתקד'!A43,'מיטב דש'!A:K,10,0)+VLOOKUP('תפוקה מצטברת מול אשתקד'!A43,אינפניטי!A:K,10,0)</f>
        <v>79000</v>
      </c>
      <c r="O43" s="12">
        <f>VLOOKUP(A43,הכשרה!A:K,11,0)+VLOOKUP('תפוקה מצטברת מול אשתקד'!A43,מגדל!A:K,11,0)+VLOOKUP('תפוקה מצטברת מול אשתקד'!A43,מנורה!A:K,11,0)+VLOOKUP('תפוקה מצטברת מול אשתקד'!A43,איילון!A:K,11,0)+VLOOKUP('תפוקה מצטברת מול אשתקד'!A43,הראל!A:K,11,0)+VLOOKUP('תפוקה מצטברת מול אשתקד'!A43,הפניקס!A:K,11,0)+VLOOKUP('תפוקה מצטברת מול אשתקד'!A43,כלל!A:K,11,0)+VLOOKUP('תפוקה מצטברת מול אשתקד'!A43,מור!A:K,11,0)+VLOOKUP('תפוקה מצטברת מול אשתקד'!A43,'אלטשולר שחם'!A:K,11,0)+VLOOKUP('תפוקה מצטברת מול אשתקד'!A43,'מדיהו '!A:K,11,0)+VLOOKUP('תפוקה מצטברת מול אשתקד'!A43,'אנליסט '!A:K,11,0)+VLOOKUP('תפוקה מצטברת מול אשתקד'!A43,'מיטב דש'!A:K,11,0)+VLOOKUP('תפוקה מצטברת מול אשתקד'!A43,אינפניטי!A:K,11,0)</f>
        <v>0</v>
      </c>
    </row>
    <row r="44" spans="1:15" ht="15.75" customHeight="1" x14ac:dyDescent="0.25">
      <c r="A44" s="27" t="s">
        <v>105</v>
      </c>
      <c r="B44" s="27" t="s">
        <v>56</v>
      </c>
      <c r="C44" s="27" t="s">
        <v>115</v>
      </c>
      <c r="D44" s="20">
        <f t="shared" si="0"/>
        <v>-3.5025274798584669</v>
      </c>
      <c r="E44" s="20">
        <f t="shared" si="0"/>
        <v>1</v>
      </c>
      <c r="F44" s="20">
        <f t="shared" si="0"/>
        <v>1</v>
      </c>
      <c r="G44" s="20">
        <f>IF(K44=0,0%,IF(O44=H81,100%,K44/O44-1))</f>
        <v>0</v>
      </c>
      <c r="H44" s="68">
        <f>VLOOKUP(A44,הכשרה!A:G,4,0)+VLOOKUP('תפוקה מצטברת מול אשתקד'!A44,מגדל!A:G,4,0)+VLOOKUP('תפוקה מצטברת מול אשתקד'!A44,מנורה!A:G,4,0)+VLOOKUP('תפוקה מצטברת מול אשתקד'!A44,איילון!A:G,4,0)+VLOOKUP('תפוקה מצטברת מול אשתקד'!A44,הראל!A:G,4,0)+VLOOKUP('תפוקה מצטברת מול אשתקד'!A44,הפניקס!A:G,4,0)+VLOOKUP('תפוקה מצטברת מול אשתקד'!A44,כלל!A:G,4,0)+VLOOKUP('תפוקה מצטברת מול אשתקד'!A44,מור!A:G,4,0)+VLOOKUP('תפוקה מצטברת מול אשתקד'!A44,'אלטשולר שחם'!A:G,4,0)+VLOOKUP('תפוקה מצטברת מול אשתקד'!A44,'מדיהו '!A:G,4,0)+VLOOKUP('תפוקה מצטברת מול אשתקד'!A44,'אנליסט '!A:G,4,0)+VLOOKUP('תפוקה מצטברת מול אשתקד'!A44,'מיטב דש'!A:G,4,0)+VLOOKUP('תפוקה מצטברת מול אשתקד'!A44,אינפניטי!A:G,4,0)</f>
        <v>38637.748</v>
      </c>
      <c r="I44" s="68">
        <f>VLOOKUP(A44,הכשרה!A:G,5,0)+VLOOKUP('תפוקה מצטברת מול אשתקד'!A44,מגדל!A:G,5,0)+VLOOKUP('תפוקה מצטברת מול אשתקד'!A44,מנורה!A:G,5,0)+VLOOKUP('תפוקה מצטברת מול אשתקד'!A44,איילון!A:G,5,0)+VLOOKUP('תפוקה מצטברת מול אשתקד'!A44,הראל!A:G,5,0)+VLOOKUP('תפוקה מצטברת מול אשתקד'!A44,הפניקס!A:G,5,0)+VLOOKUP('תפוקה מצטברת מול אשתקד'!A44,כלל!A:G,5,0)+VLOOKUP('תפוקה מצטברת מול אשתקד'!A44,מור!A:G,5,0)+VLOOKUP('תפוקה מצטברת מול אשתקד'!A44,'אלטשולר שחם'!A:G,5,0)+VLOOKUP('תפוקה מצטברת מול אשתקד'!A44,'מדיהו '!A:G,5,0)+VLOOKUP('תפוקה מצטברת מול אשתקד'!A44,'אנליסט '!A:G,5,0)+VLOOKUP('תפוקה מצטברת מול אשתקד'!A44,'מיטב דש'!A:G,5,0)+VLOOKUP('תפוקה מצטברת מול אשתקד'!A44,אינפניטי!A:G,5,0)</f>
        <v>1187.72</v>
      </c>
      <c r="J44" s="68">
        <f>VLOOKUP(A44,הכשרה!A:G,6,0)+VLOOKUP('תפוקה מצטברת מול אשתקד'!A44,מגדל!A:G,6,0)+VLOOKUP('תפוקה מצטברת מול אשתקד'!A44,מנורה!A:G,6,0)+VLOOKUP('תפוקה מצטברת מול אשתקד'!A44,איילון!A:G,6,0)+VLOOKUP(A44,הראל!A:G,6,0)+VLOOKUP('תפוקה מצטברת מול אשתקד'!A44,הפניקס!A:G,6,0)+VLOOKUP('תפוקה מצטברת מול אשתקד'!A44,כלל!A:G,6,0)+VLOOKUP('תפוקה מצטברת מול אשתקד'!A44,מור!A:G,6,0)+VLOOKUP('תפוקה מצטברת מול אשתקד'!A44,'אלטשולר שחם'!A:G,6,0)+VLOOKUP('תפוקה מצטברת מול אשתקד'!A44,'מדיהו '!A:G,6,0)+VLOOKUP('תפוקה מצטברת מול אשתקד'!A44,'אנליסט '!A:G,6,0)+VLOOKUP('תפוקה מצטברת מול אשתקד'!A44,'מיטב דש'!A:G,6,0)+VLOOKUP('תפוקה מצטברת מול אשתקד'!A44,אינפניטי!A:G,6,0)</f>
        <v>733827.16</v>
      </c>
      <c r="K44" s="68">
        <f>VLOOKUP(A44,הכשרה!A:G,7,0)+VLOOKUP('תפוקה מצטברת מול אשתקד'!A44,מגדל!A:G,7,0)+VLOOKUP('תפוקה מצטברת מול אשתקד'!A44,מנורה!A:G,7,0)+VLOOKUP('תפוקה מצטברת מול אשתקד'!A44,איילון!A:G,7,0)+VLOOKUP('תפוקה מצטברת מול אשתקד'!A44,הראל!A:G,7,0)+VLOOKUP('תפוקה מצטברת מול אשתקד'!A44,הפניקס!A:G,7,0)+VLOOKUP('תפוקה מצטברת מול אשתקד'!A44,כלל!A:G,7,0)+VLOOKUP('תפוקה מצטברת מול אשתקד'!A44,מור!A:G,7,0)+VLOOKUP('תפוקה מצטברת מול אשתקד'!A44,'אלטשולר שחם'!A:G,7,0)+VLOOKUP('תפוקה מצטברת מול אשתקד'!A44,'מדיהו '!A:K,7,0)+VLOOKUP(A44,'אנליסט '!A:G,7,0)+VLOOKUP('תפוקה מצטברת מול אשתקד'!A44,'מיטב דש'!A:G,7,0)+VLOOKUP('תפוקה מצטברת מול אשתקד'!A44,אינפניטי!A:G,7,0)</f>
        <v>0</v>
      </c>
      <c r="L44" s="12">
        <f>VLOOKUP(A44,הכשרה!A:K,8,0)+VLOOKUP('תפוקה מצטברת מול אשתקד'!A44,מגדל!A:K,8,0)+VLOOKUP('תפוקה מצטברת מול אשתקד'!A44,מנורה!A:K,8,0)+VLOOKUP('תפוקה מצטברת מול אשתקד'!A44,איילון!A:K,8,0)+VLOOKUP('תפוקה מצטברת מול אשתקד'!A44,הראל!A:K,8,0)+VLOOKUP('תפוקה מצטברת מול אשתקד'!A44,הפניקס!A:K,8,0)+VLOOKUP('תפוקה מצטברת מול אשתקד'!A44,כלל!A:K,8,0)+VLOOKUP('תפוקה מצטברת מול אשתקד'!A44,מור!A:K,8,0)+VLOOKUP('תפוקה מצטברת מול אשתקד'!A44,'אלטשולר שחם'!A:K,8,0)+VLOOKUP('תפוקה מצטברת מול אשתקד'!A44,'מדיהו '!A:K,8,0)+VLOOKUP('תפוקה מצטברת מול אשתקד'!A44,'אנליסט '!A:K,8,0)+VLOOKUP('תפוקה מצטברת מול אשתקד'!A44,'מיטב דש'!A:K,8,0)+VLOOKUP('תפוקה מצטברת מול אשתקד'!A44,אינפניטי!A:K,8,0)</f>
        <v>-15439.49</v>
      </c>
      <c r="M44" s="12">
        <f>VLOOKUP(A44,הכשרה!A:K,9,0)+VLOOKUP('תפוקה מצטברת מול אשתקד'!A44,מגדל!A:K,9,0)+VLOOKUP('תפוקה מצטברת מול אשתקד'!A44,מנורה!A:K,9,0)+VLOOKUP('תפוקה מצטברת מול אשתקד'!A44,איילון!A:K,9,0)+VLOOKUP('תפוקה מצטברת מול אשתקד'!A44,הראל!A:K,9,0)+VLOOKUP('תפוקה מצטברת מול אשתקד'!A44,הפניקס!A:K,9,0)+VLOOKUP('תפוקה מצטברת מול אשתקד'!A44,כלל!A:K,9,0)+VLOOKUP('תפוקה מצטברת מול אשתקד'!A44,מור!A:K,9,0)+VLOOKUP('תפוקה מצטברת מול אשתקד'!A44,'אלטשולר שחם'!A:K,9,0)+VLOOKUP('תפוקה מצטברת מול אשתקד'!A44,'מדיהו '!A:K,9,0)+VLOOKUP('תפוקה מצטברת מול אשתקד'!A44,'אנליסט '!A:K,9,0)+VLOOKUP('תפוקה מצטברת מול אשתקד'!A44,'מיטב דש'!A:K,9,0)+VLOOKUP('תפוקה מצטברת מול אשתקד'!A44,אינפניטי!A:K,9,0)</f>
        <v>0</v>
      </c>
      <c r="N44" s="12">
        <f>VLOOKUP(A44,הכשרה!A:K,10,0)+VLOOKUP('תפוקה מצטברת מול אשתקד'!A44,מגדל!A:K,10,0)+VLOOKUP('תפוקה מצטברת מול אשתקד'!A44,מנורה!A:K,10,0)+VLOOKUP('תפוקה מצטברת מול אשתקד'!A44,איילון!A:K,10,0)+VLOOKUP('תפוקה מצטברת מול אשתקד'!A44,הראל!A:K,10,0)+VLOOKUP('תפוקה מצטברת מול אשתקד'!A44,הפניקס!A:K,10,0)+VLOOKUP('תפוקה מצטברת מול אשתקד'!A44,כלל!A:K,10,0)+VLOOKUP('תפוקה מצטברת מול אשתקד'!A44,מור!A:K,10,0)+VLOOKUP('תפוקה מצטברת מול אשתקד'!A44,'אלטשולר שחם'!A:K,10,0)+VLOOKUP('תפוקה מצטברת מול אשתקד'!A44,'מדיהו '!A:K,10,0)+VLOOKUP('תפוקה מצטברת מול אשתקד'!A44,'אנליסט '!A:K,10,0)+VLOOKUP('תפוקה מצטברת מול אשתקד'!A44,'מיטב דש'!A:K,10,0)+VLOOKUP('תפוקה מצטברת מול אשתקד'!A44,אינפניטי!A:K,10,0)</f>
        <v>0</v>
      </c>
      <c r="O44" s="12">
        <f>VLOOKUP(A44,הכשרה!A:K,11,0)+VLOOKUP('תפוקה מצטברת מול אשתקד'!A44,מגדל!A:K,11,0)+VLOOKUP('תפוקה מצטברת מול אשתקד'!A44,מנורה!A:K,11,0)+VLOOKUP('תפוקה מצטברת מול אשתקד'!A44,איילון!A:K,11,0)+VLOOKUP('תפוקה מצטברת מול אשתקד'!A44,הראל!A:K,11,0)+VLOOKUP('תפוקה מצטברת מול אשתקד'!A44,הפניקס!A:K,11,0)+VLOOKUP('תפוקה מצטברת מול אשתקד'!A44,כלל!A:K,11,0)+VLOOKUP('תפוקה מצטברת מול אשתקד'!A44,מור!A:K,11,0)+VLOOKUP('תפוקה מצטברת מול אשתקד'!A44,'אלטשולר שחם'!A:K,11,0)+VLOOKUP('תפוקה מצטברת מול אשתקד'!A44,'מדיהו '!A:K,11,0)+VLOOKUP('תפוקה מצטברת מול אשתקד'!A44,'אנליסט '!A:K,11,0)+VLOOKUP('תפוקה מצטברת מול אשתקד'!A44,'מיטב דש'!A:K,11,0)+VLOOKUP('תפוקה מצטברת מול אשתקד'!A44,אינפניטי!A:K,11,0)</f>
        <v>0</v>
      </c>
    </row>
    <row r="45" spans="1:15" ht="15.75" customHeight="1" x14ac:dyDescent="0.25">
      <c r="A45" s="27" t="s">
        <v>39</v>
      </c>
      <c r="B45" s="27" t="s">
        <v>56</v>
      </c>
      <c r="C45" s="27" t="s">
        <v>115</v>
      </c>
      <c r="D45" s="20">
        <f t="shared" si="0"/>
        <v>-93.554685390224151</v>
      </c>
      <c r="E45" s="20">
        <f t="shared" si="0"/>
        <v>1</v>
      </c>
      <c r="F45" s="20">
        <f t="shared" si="0"/>
        <v>0</v>
      </c>
      <c r="G45" s="20">
        <f>IF(K45=0,0%,IF(O45=H83,100%,K45/O45-1))</f>
        <v>1</v>
      </c>
      <c r="H45" s="68">
        <f>VLOOKUP(A45,הכשרה!A:G,4,0)+VLOOKUP('תפוקה מצטברת מול אשתקד'!A45,מגדל!A:G,4,0)+VLOOKUP('תפוקה מצטברת מול אשתקד'!A45,מנורה!A:G,4,0)+VLOOKUP('תפוקה מצטברת מול אשתקד'!A45,איילון!A:G,4,0)+VLOOKUP('תפוקה מצטברת מול אשתקד'!A45,הראל!A:G,4,0)+VLOOKUP('תפוקה מצטברת מול אשתקד'!A45,הפניקס!A:G,4,0)+VLOOKUP('תפוקה מצטברת מול אשתקד'!A45,כלל!A:G,4,0)+VLOOKUP('תפוקה מצטברת מול אשתקד'!A45,מור!A:G,4,0)+VLOOKUP('תפוקה מצטברת מול אשתקד'!A45,'אלטשולר שחם'!A:G,4,0)+VLOOKUP('תפוקה מצטברת מול אשתקד'!A45,'מדיהו '!A:G,4,0)+VLOOKUP('תפוקה מצטברת מול אשתקד'!A45,'אנליסט '!A:G,4,0)+VLOOKUP('תפוקה מצטברת מול אשתקד'!A45,'מיטב דש'!A:G,4,0)+VLOOKUP('תפוקה מצטברת מול אשתקד'!A45,אינפניטי!A:G,4,0)</f>
        <v>6854.6</v>
      </c>
      <c r="I45" s="68">
        <f>VLOOKUP(A45,הכשרה!A:G,5,0)+VLOOKUP('תפוקה מצטברת מול אשתקד'!A45,מגדל!A:G,5,0)+VLOOKUP('תפוקה מצטברת מול אשתקד'!A45,מנורה!A:G,5,0)+VLOOKUP('תפוקה מצטברת מול אשתקד'!A45,איילון!A:G,5,0)+VLOOKUP('תפוקה מצטברת מול אשתקד'!A45,הראל!A:G,5,0)+VLOOKUP('תפוקה מצטברת מול אשתקד'!A45,הפניקס!A:G,5,0)+VLOOKUP('תפוקה מצטברת מול אשתקד'!A45,כלל!A:G,5,0)+VLOOKUP('תפוקה מצטברת מול אשתקד'!A45,מור!A:G,5,0)+VLOOKUP('תפוקה מצטברת מול אשתקד'!A45,'אלטשולר שחם'!A:G,5,0)+VLOOKUP('תפוקה מצטברת מול אשתקד'!A45,'מדיהו '!A:G,5,0)+VLOOKUP('תפוקה מצטברת מול אשתקד'!A45,'אנליסט '!A:G,5,0)+VLOOKUP('תפוקה מצטברת מול אשתקד'!A45,'מיטב דש'!A:G,5,0)+VLOOKUP('תפוקה מצטברת מול אשתקד'!A45,אינפניטי!A:G,5,0)</f>
        <v>3811.95</v>
      </c>
      <c r="J45" s="68">
        <f>VLOOKUP(A45,הכשרה!A:G,6,0)+VLOOKUP('תפוקה מצטברת מול אשתקד'!A45,מגדל!A:G,6,0)+VLOOKUP('תפוקה מצטברת מול אשתקד'!A45,מנורה!A:G,6,0)+VLOOKUP('תפוקה מצטברת מול אשתקד'!A45,איילון!A:G,6,0)+VLOOKUP(A45,הראל!A:G,6,0)+VLOOKUP('תפוקה מצטברת מול אשתקד'!A45,הפניקס!A:G,6,0)+VLOOKUP('תפוקה מצטברת מול אשתקד'!A45,כלל!A:G,6,0)+VLOOKUP('תפוקה מצטברת מול אשתקד'!A45,מור!A:G,6,0)+VLOOKUP('תפוקה מצטברת מול אשתקד'!A45,'אלטשולר שחם'!A:G,6,0)+VLOOKUP('תפוקה מצטברת מול אשתקד'!A45,'מדיהו '!A:G,6,0)+VLOOKUP('תפוקה מצטברת מול אשתקד'!A45,'אנליסט '!A:G,6,0)+VLOOKUP('תפוקה מצטברת מול אשתקד'!A45,'מיטב דש'!A:G,6,0)+VLOOKUP('תפוקה מצטברת מול אשתקד'!A45,אינפניטי!A:G,6,0)</f>
        <v>0</v>
      </c>
      <c r="K45" s="68">
        <f>VLOOKUP(A45,הכשרה!A:G,7,0)+VLOOKUP('תפוקה מצטברת מול אשתקד'!A45,מגדל!A:G,7,0)+VLOOKUP('תפוקה מצטברת מול אשתקד'!A45,מנורה!A:G,7,0)+VLOOKUP('תפוקה מצטברת מול אשתקד'!A45,איילון!A:G,7,0)+VLOOKUP('תפוקה מצטברת מול אשתקד'!A45,הראל!A:G,7,0)+VLOOKUP('תפוקה מצטברת מול אשתקד'!A45,הפניקס!A:G,7,0)+VLOOKUP('תפוקה מצטברת מול אשתקד'!A45,כלל!A:G,7,0)+VLOOKUP('תפוקה מצטברת מול אשתקד'!A45,מור!A:G,7,0)+VLOOKUP('תפוקה מצטברת מול אשתקד'!A45,'אלטשולר שחם'!A:G,7,0)+VLOOKUP('תפוקה מצטברת מול אשתקד'!A45,'מדיהו '!A:K,7,0)+VLOOKUP(A45,'אנליסט '!A:G,7,0)+VLOOKUP('תפוקה מצטברת מול אשתקד'!A45,'מיטב דש'!A:G,7,0)+VLOOKUP('תפוקה מצטברת מול אשתקד'!A45,אינפניטי!A:G,7,0)</f>
        <v>138621.92000000001</v>
      </c>
      <c r="L45" s="12">
        <f>VLOOKUP(A45,הכשרה!A:K,8,0)+VLOOKUP('תפוקה מצטברת מול אשתקד'!A45,מגדל!A:K,8,0)+VLOOKUP('תפוקה מצטברת מול אשתקד'!A45,מנורה!A:K,8,0)+VLOOKUP('תפוקה מצטברת מול אשתקד'!A45,איילון!A:K,8,0)+VLOOKUP('תפוקה מצטברת מול אשתקד'!A45,הראל!A:K,8,0)+VLOOKUP('תפוקה מצטברת מול אשתקד'!A45,הפניקס!A:K,8,0)+VLOOKUP('תפוקה מצטברת מול אשתקד'!A45,כלל!A:K,8,0)+VLOOKUP('תפוקה מצטברת מול אשתקד'!A45,מור!A:K,8,0)+VLOOKUP('תפוקה מצטברת מול אשתקד'!A45,'אלטשולר שחם'!A:K,8,0)+VLOOKUP('תפוקה מצטברת מול אשתקד'!A45,'מדיהו '!A:K,8,0)+VLOOKUP('תפוקה מצטברת מול אשתקד'!A45,'אנליסט '!A:K,8,0)+VLOOKUP('תפוקה מצטברת מול אשתקד'!A45,'מיטב דש'!A:K,8,0)+VLOOKUP('תפוקה מצטברת מול אשתקד'!A45,אינפניטי!A:K,8,0)</f>
        <v>-74.06</v>
      </c>
      <c r="M45" s="12">
        <f>VLOOKUP(A45,הכשרה!A:K,9,0)+VLOOKUP('תפוקה מצטברת מול אשתקד'!A45,מגדל!A:K,9,0)+VLOOKUP('תפוקה מצטברת מול אשתקד'!A45,מנורה!A:K,9,0)+VLOOKUP('תפוקה מצטברת מול אשתקד'!A45,איילון!A:K,9,0)+VLOOKUP('תפוקה מצטברת מול אשתקד'!A45,הראל!A:K,9,0)+VLOOKUP('תפוקה מצטברת מול אשתקד'!A45,הפניקס!A:K,9,0)+VLOOKUP('תפוקה מצטברת מול אשתקד'!A45,כלל!A:K,9,0)+VLOOKUP('תפוקה מצטברת מול אשתקד'!A45,מור!A:K,9,0)+VLOOKUP('תפוקה מצטברת מול אשתקד'!A45,'אלטשולר שחם'!A:K,9,0)+VLOOKUP('תפוקה מצטברת מול אשתקד'!A45,'מדיהו '!A:K,9,0)+VLOOKUP('תפוקה מצטברת מול אשתקד'!A45,'אנליסט '!A:K,9,0)+VLOOKUP('תפוקה מצטברת מול אשתקד'!A45,'מיטב דש'!A:K,9,0)+VLOOKUP('תפוקה מצטברת מול אשתקד'!A45,אינפניטי!A:K,9,0)</f>
        <v>0</v>
      </c>
      <c r="N45" s="12">
        <f>VLOOKUP(A45,הכשרה!A:K,10,0)+VLOOKUP('תפוקה מצטברת מול אשתקד'!A45,מגדל!A:K,10,0)+VLOOKUP('תפוקה מצטברת מול אשתקד'!A45,מנורה!A:K,10,0)+VLOOKUP('תפוקה מצטברת מול אשתקד'!A45,איילון!A:K,10,0)+VLOOKUP('תפוקה מצטברת מול אשתקד'!A45,הראל!A:K,10,0)+VLOOKUP('תפוקה מצטברת מול אשתקד'!A45,הפניקס!A:K,10,0)+VLOOKUP('תפוקה מצטברת מול אשתקד'!A45,כלל!A:K,10,0)+VLOOKUP('תפוקה מצטברת מול אשתקד'!A45,מור!A:K,10,0)+VLOOKUP('תפוקה מצטברת מול אשתקד'!A45,'אלטשולר שחם'!A:K,10,0)+VLOOKUP('תפוקה מצטברת מול אשתקד'!A45,'מדיהו '!A:K,10,0)+VLOOKUP('תפוקה מצטברת מול אשתקד'!A45,'אנליסט '!A:K,10,0)+VLOOKUP('תפוקה מצטברת מול אשתקד'!A45,'מיטב דש'!A:K,10,0)+VLOOKUP('תפוקה מצטברת מול אשתקד'!A45,אינפניטי!A:K,10,0)</f>
        <v>0</v>
      </c>
      <c r="O45" s="12">
        <f>VLOOKUP(A45,הכשרה!A:K,11,0)+VLOOKUP('תפוקה מצטברת מול אשתקד'!A45,מגדל!A:K,11,0)+VLOOKUP('תפוקה מצטברת מול אשתקד'!A45,מנורה!A:K,11,0)+VLOOKUP('תפוקה מצטברת מול אשתקד'!A45,איילון!A:K,11,0)+VLOOKUP('תפוקה מצטברת מול אשתקד'!A45,הראל!A:K,11,0)+VLOOKUP('תפוקה מצטברת מול אשתקד'!A45,הפניקס!A:K,11,0)+VLOOKUP('תפוקה מצטברת מול אשתקד'!A45,כלל!A:K,11,0)+VLOOKUP('תפוקה מצטברת מול אשתקד'!A45,מור!A:K,11,0)+VLOOKUP('תפוקה מצטברת מול אשתקד'!A45,'אלטשולר שחם'!A:K,11,0)+VLOOKUP('תפוקה מצטברת מול אשתקד'!A45,'מדיהו '!A:K,11,0)+VLOOKUP('תפוקה מצטברת מול אשתקד'!A45,'אנליסט '!A:K,11,0)+VLOOKUP('תפוקה מצטברת מול אשתקד'!A45,'מיטב דש'!A:K,11,0)+VLOOKUP('תפוקה מצטברת מול אשתקד'!A45,אינפניטי!A:K,11,0)</f>
        <v>0</v>
      </c>
    </row>
    <row r="46" spans="1:15" ht="15.75" customHeight="1" x14ac:dyDescent="0.25">
      <c r="A46" s="27" t="s">
        <v>99</v>
      </c>
      <c r="B46" s="27" t="s">
        <v>56</v>
      </c>
      <c r="C46" s="27" t="s">
        <v>115</v>
      </c>
      <c r="D46" s="20">
        <f t="shared" si="0"/>
        <v>4.8574661610089871</v>
      </c>
      <c r="E46" s="20">
        <f t="shared" si="0"/>
        <v>0</v>
      </c>
      <c r="F46" s="20">
        <f t="shared" si="0"/>
        <v>0.79298602187377454</v>
      </c>
      <c r="G46" s="20">
        <f>IF(K46=0,0%,IF(O46=H84,100%,K46/O46-1))</f>
        <v>0</v>
      </c>
      <c r="H46" s="68">
        <f>VLOOKUP(A46,הכשרה!A:G,4,0)+VLOOKUP('תפוקה מצטברת מול אשתקד'!A46,מגדל!A:G,4,0)+VLOOKUP('תפוקה מצטברת מול אשתקד'!A46,מנורה!A:G,4,0)+VLOOKUP('תפוקה מצטברת מול אשתקד'!A46,איילון!A:G,4,0)+VLOOKUP('תפוקה מצטברת מול אשתקד'!A46,הראל!A:G,4,0)+VLOOKUP('תפוקה מצטברת מול אשתקד'!A46,הפניקס!A:G,4,0)+VLOOKUP('תפוקה מצטברת מול אשתקד'!A46,כלל!A:G,4,0)+VLOOKUP('תפוקה מצטברת מול אשתקד'!A46,מור!A:G,4,0)+VLOOKUP('תפוקה מצטברת מול אשתקד'!A46,'אלטשולר שחם'!A:G,4,0)+VLOOKUP('תפוקה מצטברת מול אשתקד'!A46,'מדיהו '!A:G,4,0)+VLOOKUP('תפוקה מצטברת מול אשתקד'!A46,'אנליסט '!A:G,4,0)+VLOOKUP('תפוקה מצטברת מול אשתקד'!A46,'מיטב דש'!A:G,4,0)+VLOOKUP('תפוקה מצטברת מול אשתקד'!A46,אינפניטי!A:G,4,0)</f>
        <v>87789.315399999992</v>
      </c>
      <c r="I46" s="68">
        <f>VLOOKUP(A46,הכשרה!A:G,5,0)+VLOOKUP('תפוקה מצטברת מול אשתקד'!A46,מגדל!A:G,5,0)+VLOOKUP('תפוקה מצטברת מול אשתקד'!A46,מנורה!A:G,5,0)+VLOOKUP('תפוקה מצטברת מול אשתקד'!A46,איילון!A:G,5,0)+VLOOKUP('תפוקה מצטברת מול אשתקד'!A46,הראל!A:G,5,0)+VLOOKUP('תפוקה מצטברת מול אשתקד'!A46,הפניקס!A:G,5,0)+VLOOKUP('תפוקה מצטברת מול אשתקד'!A46,כלל!A:G,5,0)+VLOOKUP('תפוקה מצטברת מול אשתקד'!A46,מור!A:G,5,0)+VLOOKUP('תפוקה מצטברת מול אשתקד'!A46,'אלטשולר שחם'!A:G,5,0)+VLOOKUP('תפוקה מצטברת מול אשתקד'!A46,'מדיהו '!A:G,5,0)+VLOOKUP('תפוקה מצטברת מול אשתקד'!A46,'אנליסט '!A:G,5,0)+VLOOKUP('תפוקה מצטברת מול אשתקד'!A46,'מיטב דש'!A:G,5,0)+VLOOKUP('תפוקה מצטברת מול אשתקד'!A46,אינפניטי!A:G,5,0)</f>
        <v>0</v>
      </c>
      <c r="J46" s="68">
        <f>VLOOKUP(A46,הכשרה!A:G,6,0)+VLOOKUP('תפוקה מצטברת מול אשתקד'!A46,מגדל!A:G,6,0)+VLOOKUP('תפוקה מצטברת מול אשתקד'!A46,מנורה!A:G,6,0)+VLOOKUP('תפוקה מצטברת מול אשתקד'!A46,איילון!A:G,6,0)+VLOOKUP(A46,הראל!A:G,6,0)+VLOOKUP('תפוקה מצטברת מול אשתקד'!A46,הפניקס!A:G,6,0)+VLOOKUP('תפוקה מצטברת מול אשתקד'!A46,כלל!A:G,6,0)+VLOOKUP('תפוקה מצטברת מול אשתקד'!A46,מור!A:G,6,0)+VLOOKUP('תפוקה מצטברת מול אשתקד'!A46,'אלטשולר שחם'!A:G,6,0)+VLOOKUP('תפוקה מצטברת מול אשתקד'!A46,'מדיהו '!A:G,6,0)+VLOOKUP('תפוקה מצטברת מול אשתקד'!A46,'אנליסט '!A:G,6,0)+VLOOKUP('תפוקה מצטברת מול אשתקד'!A46,'מיטב דש'!A:G,6,0)+VLOOKUP('תפוקה מצטברת מול אשתקד'!A46,אינפניטי!A:G,6,0)</f>
        <v>34101.230000000003</v>
      </c>
      <c r="K46" s="68">
        <f>VLOOKUP(A46,הכשרה!A:G,7,0)+VLOOKUP('תפוקה מצטברת מול אשתקד'!A46,מגדל!A:G,7,0)+VLOOKUP('תפוקה מצטברת מול אשתקד'!A46,מנורה!A:G,7,0)+VLOOKUP('תפוקה מצטברת מול אשתקד'!A46,איילון!A:G,7,0)+VLOOKUP('תפוקה מצטברת מול אשתקד'!A46,הראל!A:G,7,0)+VLOOKUP('תפוקה מצטברת מול אשתקד'!A46,הפניקס!A:G,7,0)+VLOOKUP('תפוקה מצטברת מול אשתקד'!A46,כלל!A:G,7,0)+VLOOKUP('תפוקה מצטברת מול אשתקד'!A46,מור!A:G,7,0)+VLOOKUP('תפוקה מצטברת מול אשתקד'!A46,'אלטשולר שחם'!A:G,7,0)+VLOOKUP('תפוקה מצטברת מול אשתקד'!A46,'מדיהו '!A:K,7,0)+VLOOKUP(A46,'אנליסט '!A:G,7,0)+VLOOKUP('תפוקה מצטברת מול אשתקד'!A46,'מיטב דש'!A:G,7,0)+VLOOKUP('תפוקה מצטברת מול אשתקד'!A46,אינפניטי!A:G,7,0)</f>
        <v>0</v>
      </c>
      <c r="L46" s="12">
        <f>VLOOKUP(A46,הכשרה!A:K,8,0)+VLOOKUP('תפוקה מצטברת מול אשתקד'!A46,מגדל!A:K,8,0)+VLOOKUP('תפוקה מצטברת מול אשתקד'!A46,מנורה!A:K,8,0)+VLOOKUP('תפוקה מצטברת מול אשתקד'!A46,איילון!A:K,8,0)+VLOOKUP('תפוקה מצטברת מול אשתקד'!A46,הראל!A:K,8,0)+VLOOKUP('תפוקה מצטברת מול אשתקד'!A46,הפניקס!A:K,8,0)+VLOOKUP('תפוקה מצטברת מול אשתקד'!A46,כלל!A:K,8,0)+VLOOKUP('תפוקה מצטברת מול אשתקד'!A46,מור!A:K,8,0)+VLOOKUP('תפוקה מצטברת מול אשתקד'!A46,'אלטשולר שחם'!A:K,8,0)+VLOOKUP('תפוקה מצטברת מול אשתקד'!A46,'מדיהו '!A:K,8,0)+VLOOKUP('תפוקה מצטברת מול אשתקד'!A46,'אנליסט '!A:K,8,0)+VLOOKUP('תפוקה מצטברת מול אשתקד'!A46,'מיטב דש'!A:K,8,0)+VLOOKUP('תפוקה מצטברת מול אשתקד'!A46,אינפניטי!A:K,8,0)</f>
        <v>14987.592413999999</v>
      </c>
      <c r="M46" s="12">
        <f>VLOOKUP(A46,הכשרה!A:K,9,0)+VLOOKUP('תפוקה מצטברת מול אשתקד'!A46,מגדל!A:K,9,0)+VLOOKUP('תפוקה מצטברת מול אשתקד'!A46,מנורה!A:K,9,0)+VLOOKUP('תפוקה מצטברת מול אשתקד'!A46,איילון!A:K,9,0)+VLOOKUP('תפוקה מצטברת מול אשתקד'!A46,הראל!A:K,9,0)+VLOOKUP('תפוקה מצטברת מול אשתקד'!A46,הפניקס!A:K,9,0)+VLOOKUP('תפוקה מצטברת מול אשתקד'!A46,כלל!A:K,9,0)+VLOOKUP('תפוקה מצטברת מול אשתקד'!A46,מור!A:K,9,0)+VLOOKUP('תפוקה מצטברת מול אשתקד'!A46,'אלטשולר שחם'!A:K,9,0)+VLOOKUP('תפוקה מצטברת מול אשתקד'!A46,'מדיהו '!A:K,9,0)+VLOOKUP('תפוקה מצטברת מול אשתקד'!A46,'אנליסט '!A:K,9,0)+VLOOKUP('תפוקה מצטברת מול אשתקד'!A46,'מיטב דש'!A:K,9,0)+VLOOKUP('תפוקה מצטברת מול אשתקד'!A46,אינפניטי!A:K,9,0)</f>
        <v>0</v>
      </c>
      <c r="N46" s="12">
        <f>VLOOKUP(A46,הכשרה!A:K,10,0)+VLOOKUP('תפוקה מצטברת מול אשתקד'!A46,מגדל!A:K,10,0)+VLOOKUP('תפוקה מצטברת מול אשתקד'!A46,מנורה!A:K,10,0)+VLOOKUP('תפוקה מצטברת מול אשתקד'!A46,איילון!A:K,10,0)+VLOOKUP('תפוקה מצטברת מול אשתקד'!A46,הראל!A:K,10,0)+VLOOKUP('תפוקה מצטברת מול אשתקד'!A46,הפניקס!A:K,10,0)+VLOOKUP('תפוקה מצטברת מול אשתקד'!A46,כלל!A:K,10,0)+VLOOKUP('תפוקה מצטברת מול אשתקד'!A46,מור!A:K,10,0)+VLOOKUP('תפוקה מצטברת מול אשתקד'!A46,'אלטשולר שחם'!A:K,10,0)+VLOOKUP('תפוקה מצטברת מול אשתקד'!A46,'מדיהו '!A:K,10,0)+VLOOKUP('תפוקה מצטברת מול אשתקד'!A46,'אנליסט '!A:K,10,0)+VLOOKUP('תפוקה מצטברת מול אשתקד'!A46,'מיטב דש'!A:K,10,0)+VLOOKUP('תפוקה מצטברת מול אשתקד'!A46,אינפניטי!A:K,10,0)</f>
        <v>19019.239182000001</v>
      </c>
      <c r="O46" s="12">
        <f>VLOOKUP(A46,הכשרה!A:K,11,0)+VLOOKUP('תפוקה מצטברת מול אשתקד'!A46,מגדל!A:K,11,0)+VLOOKUP('תפוקה מצטברת מול אשתקד'!A46,מנורה!A:K,11,0)+VLOOKUP('תפוקה מצטברת מול אשתקד'!A46,איילון!A:K,11,0)+VLOOKUP('תפוקה מצטברת מול אשתקד'!A46,הראל!A:K,11,0)+VLOOKUP('תפוקה מצטברת מול אשתקד'!A46,הפניקס!A:K,11,0)+VLOOKUP('תפוקה מצטברת מול אשתקד'!A46,כלל!A:K,11,0)+VLOOKUP('תפוקה מצטברת מול אשתקד'!A46,מור!A:K,11,0)+VLOOKUP('תפוקה מצטברת מול אשתקד'!A46,'אלטשולר שחם'!A:K,11,0)+VLOOKUP('תפוקה מצטברת מול אשתקד'!A46,'מדיהו '!A:K,11,0)+VLOOKUP('תפוקה מצטברת מול אשתקד'!A46,'אנליסט '!A:K,11,0)+VLOOKUP('תפוקה מצטברת מול אשתקד'!A46,'מיטב דש'!A:K,11,0)+VLOOKUP('תפוקה מצטברת מול אשתקד'!A46,אינפניטי!A:K,11,0)</f>
        <v>55089</v>
      </c>
    </row>
    <row r="47" spans="1:15" ht="15.75" customHeight="1" x14ac:dyDescent="0.25">
      <c r="A47" s="27" t="s">
        <v>41</v>
      </c>
      <c r="B47" s="27" t="s">
        <v>56</v>
      </c>
      <c r="C47" s="27" t="s">
        <v>115</v>
      </c>
      <c r="D47" s="20">
        <f t="shared" si="0"/>
        <v>0</v>
      </c>
      <c r="E47" s="20">
        <f t="shared" si="0"/>
        <v>0</v>
      </c>
      <c r="F47" s="20">
        <f t="shared" si="0"/>
        <v>0</v>
      </c>
      <c r="G47" s="20">
        <f>IF(K47=0,0%,IF(O47=H85,100%,K47/O47-1))</f>
        <v>0</v>
      </c>
      <c r="H47" s="68">
        <f>VLOOKUP(A47,הכשרה!A:G,4,0)+VLOOKUP('תפוקה מצטברת מול אשתקד'!A47,מגדל!A:G,4,0)+VLOOKUP('תפוקה מצטברת מול אשתקד'!A47,מנורה!A:G,4,0)+VLOOKUP('תפוקה מצטברת מול אשתקד'!A47,איילון!A:G,4,0)+VLOOKUP('תפוקה מצטברת מול אשתקד'!A47,הראל!A:G,4,0)+VLOOKUP('תפוקה מצטברת מול אשתקד'!A47,הפניקס!A:G,4,0)+VLOOKUP('תפוקה מצטברת מול אשתקד'!A47,כלל!A:G,4,0)+VLOOKUP('תפוקה מצטברת מול אשתקד'!A47,מור!A:G,4,0)+VLOOKUP('תפוקה מצטברת מול אשתקד'!A47,'אלטשולר שחם'!A:G,4,0)+VLOOKUP('תפוקה מצטברת מול אשתקד'!A47,'מדיהו '!A:G,4,0)+VLOOKUP('תפוקה מצטברת מול אשתקד'!A47,'אנליסט '!A:G,4,0)+VLOOKUP('תפוקה מצטברת מול אשתקד'!A47,'מיטב דש'!A:G,4,0)+VLOOKUP('תפוקה מצטברת מול אשתקד'!A47,אינפניטי!A:G,4,0)</f>
        <v>0</v>
      </c>
      <c r="I47" s="68">
        <f>VLOOKUP(A47,הכשרה!A:G,5,0)+VLOOKUP('תפוקה מצטברת מול אשתקד'!A47,מגדל!A:G,5,0)+VLOOKUP('תפוקה מצטברת מול אשתקד'!A47,מנורה!A:G,5,0)+VLOOKUP('תפוקה מצטברת מול אשתקד'!A47,איילון!A:G,5,0)+VLOOKUP('תפוקה מצטברת מול אשתקד'!A47,הראל!A:G,5,0)+VLOOKUP('תפוקה מצטברת מול אשתקד'!A47,הפניקס!A:G,5,0)+VLOOKUP('תפוקה מצטברת מול אשתקד'!A47,כלל!A:G,5,0)+VLOOKUP('תפוקה מצטברת מול אשתקד'!A47,מור!A:G,5,0)+VLOOKUP('תפוקה מצטברת מול אשתקד'!A47,'אלטשולר שחם'!A:G,5,0)+VLOOKUP('תפוקה מצטברת מול אשתקד'!A47,'מדיהו '!A:G,5,0)+VLOOKUP('תפוקה מצטברת מול אשתקד'!A47,'אנליסט '!A:G,5,0)+VLOOKUP('תפוקה מצטברת מול אשתקד'!A47,'מיטב דש'!A:G,5,0)+VLOOKUP('תפוקה מצטברת מול אשתקד'!A47,אינפניטי!A:G,5,0)</f>
        <v>0</v>
      </c>
      <c r="J47" s="68">
        <f>VLOOKUP(A47,הכשרה!A:G,6,0)+VLOOKUP('תפוקה מצטברת מול אשתקד'!A47,מגדל!A:G,6,0)+VLOOKUP('תפוקה מצטברת מול אשתקד'!A47,מנורה!A:G,6,0)+VLOOKUP('תפוקה מצטברת מול אשתקד'!A47,איילון!A:G,6,0)+VLOOKUP(A47,הראל!A:G,6,0)+VLOOKUP('תפוקה מצטברת מול אשתקד'!A47,הפניקס!A:G,6,0)+VLOOKUP('תפוקה מצטברת מול אשתקד'!A47,כלל!A:G,6,0)+VLOOKUP('תפוקה מצטברת מול אשתקד'!A47,מור!A:G,6,0)+VLOOKUP('תפוקה מצטברת מול אשתקד'!A47,'אלטשולר שחם'!A:G,6,0)+VLOOKUP('תפוקה מצטברת מול אשתקד'!A47,'מדיהו '!A:G,6,0)+VLOOKUP('תפוקה מצטברת מול אשתקד'!A47,'אנליסט '!A:G,6,0)+VLOOKUP('תפוקה מצטברת מול אשתקד'!A47,'מיטב דש'!A:G,6,0)+VLOOKUP('תפוקה מצטברת מול אשתקד'!A47,אינפניטי!A:G,6,0)</f>
        <v>0</v>
      </c>
      <c r="K47" s="68">
        <f>VLOOKUP(A47,הכשרה!A:G,7,0)+VLOOKUP('תפוקה מצטברת מול אשתקד'!A47,מגדל!A:G,7,0)+VLOOKUP('תפוקה מצטברת מול אשתקד'!A47,מנורה!A:G,7,0)+VLOOKUP('תפוקה מצטברת מול אשתקד'!A47,איילון!A:G,7,0)+VLOOKUP('תפוקה מצטברת מול אשתקד'!A47,הראל!A:G,7,0)+VLOOKUP('תפוקה מצטברת מול אשתקד'!A47,הפניקס!A:G,7,0)+VLOOKUP('תפוקה מצטברת מול אשתקד'!A47,כלל!A:G,7,0)+VLOOKUP('תפוקה מצטברת מול אשתקד'!A47,מור!A:G,7,0)+VLOOKUP('תפוקה מצטברת מול אשתקד'!A47,'אלטשולר שחם'!A:G,7,0)+VLOOKUP('תפוקה מצטברת מול אשתקד'!A47,'מדיהו '!A:K,7,0)+VLOOKUP(A47,'אנליסט '!A:G,7,0)+VLOOKUP('תפוקה מצטברת מול אשתקד'!A47,'מיטב דש'!A:G,7,0)+VLOOKUP('תפוקה מצטברת מול אשתקד'!A47,אינפניטי!A:G,7,0)</f>
        <v>0</v>
      </c>
      <c r="L47" s="12">
        <f>VLOOKUP(A47,הכשרה!A:K,8,0)+VLOOKUP('תפוקה מצטברת מול אשתקד'!A47,מגדל!A:K,8,0)+VLOOKUP('תפוקה מצטברת מול אשתקד'!A47,מנורה!A:K,8,0)+VLOOKUP('תפוקה מצטברת מול אשתקד'!A47,איילון!A:K,8,0)+VLOOKUP('תפוקה מצטברת מול אשתקד'!A47,הראל!A:K,8,0)+VLOOKUP('תפוקה מצטברת מול אשתקד'!A47,הפניקס!A:K,8,0)+VLOOKUP('תפוקה מצטברת מול אשתקד'!A47,כלל!A:K,8,0)+VLOOKUP('תפוקה מצטברת מול אשתקד'!A47,מור!A:K,8,0)+VLOOKUP('תפוקה מצטברת מול אשתקד'!A47,'אלטשולר שחם'!A:K,8,0)+VLOOKUP('תפוקה מצטברת מול אשתקד'!A47,'מדיהו '!A:K,8,0)+VLOOKUP('תפוקה מצטברת מול אשתקד'!A47,'אנליסט '!A:K,8,0)+VLOOKUP('תפוקה מצטברת מול אשתקד'!A47,'מיטב דש'!A:K,8,0)+VLOOKUP('תפוקה מצטברת מול אשתקד'!A47,אינפניטי!A:K,8,0)</f>
        <v>0</v>
      </c>
      <c r="M47" s="12">
        <f>VLOOKUP(A47,הכשרה!A:K,9,0)+VLOOKUP('תפוקה מצטברת מול אשתקד'!A47,מגדל!A:K,9,0)+VLOOKUP('תפוקה מצטברת מול אשתקד'!A47,מנורה!A:K,9,0)+VLOOKUP('תפוקה מצטברת מול אשתקד'!A47,איילון!A:K,9,0)+VLOOKUP('תפוקה מצטברת מול אשתקד'!A47,הראל!A:K,9,0)+VLOOKUP('תפוקה מצטברת מול אשתקד'!A47,הפניקס!A:K,9,0)+VLOOKUP('תפוקה מצטברת מול אשתקד'!A47,כלל!A:K,9,0)+VLOOKUP('תפוקה מצטברת מול אשתקד'!A47,מור!A:K,9,0)+VLOOKUP('תפוקה מצטברת מול אשתקד'!A47,'אלטשולר שחם'!A:K,9,0)+VLOOKUP('תפוקה מצטברת מול אשתקד'!A47,'מדיהו '!A:K,9,0)+VLOOKUP('תפוקה מצטברת מול אשתקד'!A47,'אנליסט '!A:K,9,0)+VLOOKUP('תפוקה מצטברת מול אשתקד'!A47,'מיטב דש'!A:K,9,0)+VLOOKUP('תפוקה מצטברת מול אשתקד'!A47,אינפניטי!A:K,9,0)</f>
        <v>-12688.12954195676</v>
      </c>
      <c r="N47" s="12">
        <f>VLOOKUP(A47,הכשרה!A:K,10,0)+VLOOKUP('תפוקה מצטברת מול אשתקד'!A47,מגדל!A:K,10,0)+VLOOKUP('תפוקה מצטברת מול אשתקד'!A47,מנורה!A:K,10,0)+VLOOKUP('תפוקה מצטברת מול אשתקד'!A47,איילון!A:K,10,0)+VLOOKUP('תפוקה מצטברת מול אשתקד'!A47,הראל!A:K,10,0)+VLOOKUP('תפוקה מצטברת מול אשתקד'!A47,הפניקס!A:K,10,0)+VLOOKUP('תפוקה מצטברת מול אשתקד'!A47,כלל!A:K,10,0)+VLOOKUP('תפוקה מצטברת מול אשתקד'!A47,מור!A:K,10,0)+VLOOKUP('תפוקה מצטברת מול אשתקד'!A47,'אלטשולר שחם'!A:K,10,0)+VLOOKUP('תפוקה מצטברת מול אשתקד'!A47,'מדיהו '!A:K,10,0)+VLOOKUP('תפוקה מצטברת מול אשתקד'!A47,'אנליסט '!A:K,10,0)+VLOOKUP('תפוקה מצטברת מול אשתקד'!A47,'מיטב דש'!A:K,10,0)+VLOOKUP('תפוקה מצטברת מול אשתקד'!A47,אינפניטי!A:K,10,0)</f>
        <v>0</v>
      </c>
      <c r="O47" s="12">
        <f>VLOOKUP(A47,הכשרה!A:K,11,0)+VLOOKUP('תפוקה מצטברת מול אשתקד'!A47,מגדל!A:K,11,0)+VLOOKUP('תפוקה מצטברת מול אשתקד'!A47,מנורה!A:K,11,0)+VLOOKUP('תפוקה מצטברת מול אשתקד'!A47,איילון!A:K,11,0)+VLOOKUP('תפוקה מצטברת מול אשתקד'!A47,הראל!A:K,11,0)+VLOOKUP('תפוקה מצטברת מול אשתקד'!A47,הפניקס!A:K,11,0)+VLOOKUP('תפוקה מצטברת מול אשתקד'!A47,כלל!A:K,11,0)+VLOOKUP('תפוקה מצטברת מול אשתקד'!A47,מור!A:K,11,0)+VLOOKUP('תפוקה מצטברת מול אשתקד'!A47,'אלטשולר שחם'!A:K,11,0)+VLOOKUP('תפוקה מצטברת מול אשתקד'!A47,'מדיהו '!A:K,11,0)+VLOOKUP('תפוקה מצטברת מול אשתקד'!A47,'אנליסט '!A:K,11,0)+VLOOKUP('תפוקה מצטברת מול אשתקד'!A47,'מיטב דש'!A:K,11,0)+VLOOKUP('תפוקה מצטברת מול אשתקד'!A47,אינפניטי!A:K,11,0)</f>
        <v>0</v>
      </c>
    </row>
    <row r="48" spans="1:15" ht="15.75" customHeight="1" x14ac:dyDescent="0.25">
      <c r="A48" s="29" t="s">
        <v>96</v>
      </c>
      <c r="B48" s="29" t="s">
        <v>56</v>
      </c>
      <c r="C48" s="27" t="s">
        <v>115</v>
      </c>
      <c r="D48" s="118">
        <f t="shared" si="0"/>
        <v>0</v>
      </c>
      <c r="E48" s="118">
        <f t="shared" si="0"/>
        <v>1</v>
      </c>
      <c r="F48" s="118">
        <f t="shared" si="0"/>
        <v>0</v>
      </c>
      <c r="G48" s="118">
        <f>IF(K48=0,0%,IF(O48=H87,100%,K48/O48-1))</f>
        <v>0</v>
      </c>
      <c r="H48" s="68">
        <f>VLOOKUP(A48,הכשרה!A:G,4,0)+VLOOKUP('תפוקה מצטברת מול אשתקד'!A48,מגדל!A:G,4,0)+VLOOKUP('תפוקה מצטברת מול אשתקד'!A48,מנורה!A:G,4,0)+VLOOKUP('תפוקה מצטברת מול אשתקד'!A48,איילון!A:G,4,0)+VLOOKUP('תפוקה מצטברת מול אשתקד'!A48,הראל!A:G,4,0)+VLOOKUP('תפוקה מצטברת מול אשתקד'!A48,הפניקס!A:G,4,0)+VLOOKUP('תפוקה מצטברת מול אשתקד'!A48,כלל!A:G,4,0)+VLOOKUP('תפוקה מצטברת מול אשתקד'!A48,מור!A:G,4,0)+VLOOKUP('תפוקה מצטברת מול אשתקד'!A48,'אלטשולר שחם'!A:G,4,0)+VLOOKUP('תפוקה מצטברת מול אשתקד'!A48,'מדיהו '!A:G,4,0)+VLOOKUP('תפוקה מצטברת מול אשתקד'!A48,'אנליסט '!A:G,4,0)+VLOOKUP('תפוקה מצטברת מול אשתקד'!A48,'מיטב דש'!A:G,4,0)+VLOOKUP('תפוקה מצטברת מול אשתקד'!A48,אינפניטי!A:G,4,0)</f>
        <v>0</v>
      </c>
      <c r="I48" s="68">
        <f>VLOOKUP(A48,הכשרה!A:G,5,0)+VLOOKUP('תפוקה מצטברת מול אשתקד'!A48,מגדל!A:G,5,0)+VLOOKUP('תפוקה מצטברת מול אשתקד'!A48,מנורה!A:G,5,0)+VLOOKUP('תפוקה מצטברת מול אשתקד'!A48,איילון!A:G,5,0)+VLOOKUP('תפוקה מצטברת מול אשתקד'!A48,הראל!A:G,5,0)+VLOOKUP('תפוקה מצטברת מול אשתקד'!A48,הפניקס!A:G,5,0)+VLOOKUP('תפוקה מצטברת מול אשתקד'!A48,כלל!A:G,5,0)+VLOOKUP('תפוקה מצטברת מול אשתקד'!A48,מור!A:G,5,0)+VLOOKUP('תפוקה מצטברת מול אשתקד'!A48,'אלטשולר שחם'!A:G,5,0)+VLOOKUP('תפוקה מצטברת מול אשתקד'!A48,'מדיהו '!A:G,5,0)+VLOOKUP('תפוקה מצטברת מול אשתקד'!A48,'אנליסט '!A:G,5,0)+VLOOKUP('תפוקה מצטברת מול אשתקד'!A48,'מיטב דש'!A:G,5,0)+VLOOKUP('תפוקה מצטברת מול אשתקד'!A48,אינפניטי!A:G,5,0)</f>
        <v>1407.55</v>
      </c>
      <c r="J48" s="68">
        <f>VLOOKUP(A48,הכשרה!A:G,6,0)+VLOOKUP('תפוקה מצטברת מול אשתקד'!A48,מגדל!A:G,6,0)+VLOOKUP('תפוקה מצטברת מול אשתקד'!A48,מנורה!A:G,6,0)+VLOOKUP('תפוקה מצטברת מול אשתקד'!A48,איילון!A:G,6,0)+VLOOKUP(A48,הראל!A:G,6,0)+VLOOKUP('תפוקה מצטברת מול אשתקד'!A48,הפניקס!A:G,6,0)+VLOOKUP('תפוקה מצטברת מול אשתקד'!A48,כלל!A:G,6,0)+VLOOKUP('תפוקה מצטברת מול אשתקד'!A48,מור!A:G,6,0)+VLOOKUP('תפוקה מצטברת מול אשתקד'!A48,'אלטשולר שחם'!A:G,6,0)+VLOOKUP('תפוקה מצטברת מול אשתקד'!A48,'מדיהו '!A:G,6,0)+VLOOKUP('תפוקה מצטברת מול אשתקד'!A48,'אנליסט '!A:G,6,0)+VLOOKUP('תפוקה מצטברת מול אשתקד'!A48,'מיטב דש'!A:G,6,0)+VLOOKUP('תפוקה מצטברת מול אשתקד'!A48,אינפניטי!A:G,6,0)</f>
        <v>0</v>
      </c>
      <c r="K48" s="68">
        <f>VLOOKUP(A48,הכשרה!A:G,7,0)+VLOOKUP('תפוקה מצטברת מול אשתקד'!A48,מגדל!A:G,7,0)+VLOOKUP('תפוקה מצטברת מול אשתקד'!A48,מנורה!A:G,7,0)+VLOOKUP('תפוקה מצטברת מול אשתקד'!A48,איילון!A:G,7,0)+VLOOKUP('תפוקה מצטברת מול אשתקד'!A48,הראל!A:G,7,0)+VLOOKUP('תפוקה מצטברת מול אשתקד'!A48,הפניקס!A:G,7,0)+VLOOKUP('תפוקה מצטברת מול אשתקד'!A48,כלל!A:G,7,0)+VLOOKUP('תפוקה מצטברת מול אשתקד'!A48,מור!A:G,7,0)+VLOOKUP('תפוקה מצטברת מול אשתקד'!A48,'אלטשולר שחם'!A:G,7,0)+VLOOKUP('תפוקה מצטברת מול אשתקד'!A48,'מדיהו '!A:K,7,0)+VLOOKUP(A48,'אנליסט '!A:G,7,0)+VLOOKUP('תפוקה מצטברת מול אשתקד'!A48,'מיטב דש'!A:G,7,0)+VLOOKUP('תפוקה מצטברת מול אשתקד'!A48,אינפניטי!A:G,7,0)</f>
        <v>0</v>
      </c>
      <c r="L48" s="12">
        <f>VLOOKUP(A48,הכשרה!A:K,8,0)+VLOOKUP('תפוקה מצטברת מול אשתקד'!A48,מגדל!A:K,8,0)+VLOOKUP('תפוקה מצטברת מול אשתקד'!A48,מנורה!A:K,8,0)+VLOOKUP('תפוקה מצטברת מול אשתקד'!A48,איילון!A:K,8,0)+VLOOKUP('תפוקה מצטברת מול אשתקד'!A48,הראל!A:K,8,0)+VLOOKUP('תפוקה מצטברת מול אשתקד'!A48,הפניקס!A:K,8,0)+VLOOKUP('תפוקה מצטברת מול אשתקד'!A48,כלל!A:K,8,0)+VLOOKUP('תפוקה מצטברת מול אשתקד'!A48,מור!A:K,8,0)+VLOOKUP('תפוקה מצטברת מול אשתקד'!A48,'אלטשולר שחם'!A:K,8,0)+VLOOKUP('תפוקה מצטברת מול אשתקד'!A48,'מדיהו '!A:K,8,0)+VLOOKUP('תפוקה מצטברת מול אשתקד'!A48,'אנליסט '!A:K,8,0)+VLOOKUP('תפוקה מצטברת מול אשתקד'!A48,'מיטב דש'!A:K,8,0)+VLOOKUP('תפוקה מצטברת מול אשתקד'!A48,אינפניטי!A:K,8,0)</f>
        <v>0</v>
      </c>
      <c r="M48" s="12">
        <f>VLOOKUP(A48,הכשרה!A:K,9,0)+VLOOKUP('תפוקה מצטברת מול אשתקד'!A48,מגדל!A:K,9,0)+VLOOKUP('תפוקה מצטברת מול אשתקד'!A48,מנורה!A:K,9,0)+VLOOKUP('תפוקה מצטברת מול אשתקד'!A48,איילון!A:K,9,0)+VLOOKUP('תפוקה מצטברת מול אשתקד'!A48,הראל!A:K,9,0)+VLOOKUP('תפוקה מצטברת מול אשתקד'!A48,הפניקס!A:K,9,0)+VLOOKUP('תפוקה מצטברת מול אשתקד'!A48,כלל!A:K,9,0)+VLOOKUP('תפוקה מצטברת מול אשתקד'!A48,מור!A:K,9,0)+VLOOKUP('תפוקה מצטברת מול אשתקד'!A48,'אלטשולר שחם'!A:K,9,0)+VLOOKUP('תפוקה מצטברת מול אשתקד'!A48,'מדיהו '!A:K,9,0)+VLOOKUP('תפוקה מצטברת מול אשתקד'!A48,'אנליסט '!A:K,9,0)+VLOOKUP('תפוקה מצטברת מול אשתקד'!A48,'מיטב דש'!A:K,9,0)+VLOOKUP('תפוקה מצטברת מול אשתקד'!A48,אינפניטי!A:K,9,0)</f>
        <v>0</v>
      </c>
      <c r="N48" s="12">
        <f>VLOOKUP(A48,הכשרה!A:K,10,0)+VLOOKUP('תפוקה מצטברת מול אשתקד'!A48,מגדל!A:K,10,0)+VLOOKUP('תפוקה מצטברת מול אשתקד'!A48,מנורה!A:K,10,0)+VLOOKUP('תפוקה מצטברת מול אשתקד'!A48,איילון!A:K,10,0)+VLOOKUP('תפוקה מצטברת מול אשתקד'!A48,הראל!A:K,10,0)+VLOOKUP('תפוקה מצטברת מול אשתקד'!A48,הפניקס!A:K,10,0)+VLOOKUP('תפוקה מצטברת מול אשתקד'!A48,כלל!A:K,10,0)+VLOOKUP('תפוקה מצטברת מול אשתקד'!A48,מור!A:K,10,0)+VLOOKUP('תפוקה מצטברת מול אשתקד'!A48,'אלטשולר שחם'!A:K,10,0)+VLOOKUP('תפוקה מצטברת מול אשתקד'!A48,'מדיהו '!A:K,10,0)+VLOOKUP('תפוקה מצטברת מול אשתקד'!A48,'אנליסט '!A:K,10,0)+VLOOKUP('תפוקה מצטברת מול אשתקד'!A48,'מיטב דש'!A:K,10,0)+VLOOKUP('תפוקה מצטברת מול אשתקד'!A48,אינפניטי!A:K,10,0)</f>
        <v>0</v>
      </c>
      <c r="O48" s="12">
        <f>VLOOKUP(A48,הכשרה!A:K,11,0)+VLOOKUP('תפוקה מצטברת מול אשתקד'!A48,מגדל!A:K,11,0)+VLOOKUP('תפוקה מצטברת מול אשתקד'!A48,מנורה!A:K,11,0)+VLOOKUP('תפוקה מצטברת מול אשתקד'!A48,איילון!A:K,11,0)+VLOOKUP('תפוקה מצטברת מול אשתקד'!A48,הראל!A:K,11,0)+VLOOKUP('תפוקה מצטברת מול אשתקד'!A48,הפניקס!A:K,11,0)+VLOOKUP('תפוקה מצטברת מול אשתקד'!A48,כלל!A:K,11,0)+VLOOKUP('תפוקה מצטברת מול אשתקד'!A48,מור!A:K,11,0)+VLOOKUP('תפוקה מצטברת מול אשתקד'!A48,'אלטשולר שחם'!A:K,11,0)+VLOOKUP('תפוקה מצטברת מול אשתקד'!A48,'מדיהו '!A:K,11,0)+VLOOKUP('תפוקה מצטברת מול אשתקד'!A48,'אנליסט '!A:K,11,0)+VLOOKUP('תפוקה מצטברת מול אשתקד'!A48,'מיטב דש'!A:K,11,0)+VLOOKUP('תפוקה מצטברת מול אשתקד'!A48,אינפניטי!A:K,11,0)</f>
        <v>4700.6318609999998</v>
      </c>
    </row>
    <row r="49" spans="1:15" ht="15.75" customHeight="1" x14ac:dyDescent="0.25">
      <c r="A49" s="27" t="s">
        <v>14</v>
      </c>
      <c r="B49" s="27" t="s">
        <v>55</v>
      </c>
      <c r="C49" s="27" t="s">
        <v>115</v>
      </c>
      <c r="D49" s="20">
        <f t="shared" ref="D49:F53" si="7">IF(H49=0,0%,IF(L49=0,100%,H49/L49-1))</f>
        <v>0</v>
      </c>
      <c r="E49" s="20">
        <f t="shared" si="7"/>
        <v>0</v>
      </c>
      <c r="F49" s="20">
        <f t="shared" si="7"/>
        <v>0</v>
      </c>
      <c r="G49" s="20">
        <f>IF(K49=0,0%,IF(O49=H50,100%,K49/O49-1))</f>
        <v>0</v>
      </c>
      <c r="H49" s="68">
        <f>VLOOKUP(A49,הכשרה!A:G,4,0)+VLOOKUP('תפוקה מצטברת מול אשתקד'!A49,מגדל!A:G,4,0)+VLOOKUP('תפוקה מצטברת מול אשתקד'!A49,מנורה!A:G,4,0)+VLOOKUP('תפוקה מצטברת מול אשתקד'!A49,איילון!A:G,4,0)+VLOOKUP('תפוקה מצטברת מול אשתקד'!A49,הראל!A:G,4,0)+VLOOKUP('תפוקה מצטברת מול אשתקד'!A49,הפניקס!A:G,4,0)+VLOOKUP('תפוקה מצטברת מול אשתקד'!A49,כלל!A:G,4,0)+VLOOKUP('תפוקה מצטברת מול אשתקד'!A49,מור!A:G,4,0)+VLOOKUP('תפוקה מצטברת מול אשתקד'!A49,'אלטשולר שחם'!A:G,4,0)+VLOOKUP('תפוקה מצטברת מול אשתקד'!A49,'מדיהו '!A:G,4,0)+VLOOKUP('תפוקה מצטברת מול אשתקד'!A49,'אנליסט '!A:G,4,0)+VLOOKUP('תפוקה מצטברת מול אשתקד'!A49,'מיטב דש'!A:G,4,0)+VLOOKUP('תפוקה מצטברת מול אשתקד'!A49,אינפניטי!A:G,4,0)</f>
        <v>0</v>
      </c>
      <c r="I49" s="68">
        <f>VLOOKUP(A49,הכשרה!A:G,5,0)+VLOOKUP('תפוקה מצטברת מול אשתקד'!A49,מגדל!A:G,5,0)+VLOOKUP('תפוקה מצטברת מול אשתקד'!A49,מנורה!A:G,5,0)+VLOOKUP('תפוקה מצטברת מול אשתקד'!A49,איילון!A:G,5,0)+VLOOKUP('תפוקה מצטברת מול אשתקד'!A49,הראל!A:G,5,0)+VLOOKUP('תפוקה מצטברת מול אשתקד'!A49,הפניקס!A:G,5,0)+VLOOKUP('תפוקה מצטברת מול אשתקד'!A49,כלל!A:G,5,0)+VLOOKUP('תפוקה מצטברת מול אשתקד'!A49,מור!A:G,5,0)+VLOOKUP('תפוקה מצטברת מול אשתקד'!A49,'אלטשולר שחם'!A:G,5,0)+VLOOKUP('תפוקה מצטברת מול אשתקד'!A49,'מדיהו '!A:G,5,0)+VLOOKUP('תפוקה מצטברת מול אשתקד'!A49,'אנליסט '!A:G,5,0)+VLOOKUP('תפוקה מצטברת מול אשתקד'!A49,'מיטב דש'!A:G,5,0)+VLOOKUP('תפוקה מצטברת מול אשתקד'!A49,אינפניטי!A:G,5,0)</f>
        <v>0</v>
      </c>
      <c r="J49" s="68">
        <f>VLOOKUP(A49,הכשרה!A:G,6,0)+VLOOKUP('תפוקה מצטברת מול אשתקד'!A49,מגדל!A:G,6,0)+VLOOKUP('תפוקה מצטברת מול אשתקד'!A49,מנורה!A:G,6,0)+VLOOKUP('תפוקה מצטברת מול אשתקד'!A49,איילון!A:G,6,0)+VLOOKUP(A49,הראל!A:G,6,0)+VLOOKUP('תפוקה מצטברת מול אשתקד'!A49,הפניקס!A:G,6,0)+VLOOKUP('תפוקה מצטברת מול אשתקד'!A49,כלל!A:G,6,0)+VLOOKUP('תפוקה מצטברת מול אשתקד'!A49,מור!A:G,6,0)+VLOOKUP('תפוקה מצטברת מול אשתקד'!A49,'אלטשולר שחם'!A:G,6,0)+VLOOKUP('תפוקה מצטברת מול אשתקד'!A49,'מדיהו '!A:G,6,0)+VLOOKUP('תפוקה מצטברת מול אשתקד'!A49,'אנליסט '!A:G,6,0)+VLOOKUP('תפוקה מצטברת מול אשתקד'!A49,'מיטב דש'!A:G,6,0)+VLOOKUP('תפוקה מצטברת מול אשתקד'!A49,אינפניטי!A:G,6,0)</f>
        <v>0</v>
      </c>
      <c r="K49" s="68">
        <f>VLOOKUP(A49,הכשרה!A:G,7,0)+VLOOKUP('תפוקה מצטברת מול אשתקד'!A49,מגדל!A:G,7,0)+VLOOKUP('תפוקה מצטברת מול אשתקד'!A49,מנורה!A:G,7,0)+VLOOKUP('תפוקה מצטברת מול אשתקד'!A49,איילון!A:G,7,0)+VLOOKUP('תפוקה מצטברת מול אשתקד'!A49,הראל!A:G,7,0)+VLOOKUP('תפוקה מצטברת מול אשתקד'!A49,הפניקס!A:G,7,0)+VLOOKUP('תפוקה מצטברת מול אשתקד'!A49,כלל!A:G,7,0)+VLOOKUP('תפוקה מצטברת מול אשתקד'!A49,מור!A:G,7,0)+VLOOKUP('תפוקה מצטברת מול אשתקד'!A49,'אלטשולר שחם'!A:G,7,0)+VLOOKUP('תפוקה מצטברת מול אשתקד'!A49,'מדיהו '!A:K,7,0)+VLOOKUP(A49,'אנליסט '!A:G,7,0)+VLOOKUP('תפוקה מצטברת מול אשתקד'!A49,'מיטב דש'!A:G,7,0)+VLOOKUP('תפוקה מצטברת מול אשתקד'!A49,אינפניטי!A:G,7,0)</f>
        <v>0</v>
      </c>
      <c r="L49" s="12">
        <f>VLOOKUP(A49,הכשרה!A:K,8,0)+VLOOKUP('תפוקה מצטברת מול אשתקד'!A49,מגדל!A:K,8,0)+VLOOKUP('תפוקה מצטברת מול אשתקד'!A49,מנורה!A:K,8,0)+VLOOKUP('תפוקה מצטברת מול אשתקד'!A49,איילון!A:K,8,0)+VLOOKUP('תפוקה מצטברת מול אשתקד'!A49,הראל!A:K,8,0)+VLOOKUP('תפוקה מצטברת מול אשתקד'!A49,הפניקס!A:K,8,0)+VLOOKUP('תפוקה מצטברת מול אשתקד'!A49,כלל!A:K,8,0)+VLOOKUP('תפוקה מצטברת מול אשתקד'!A49,מור!A:K,8,0)+VLOOKUP('תפוקה מצטברת מול אשתקד'!A49,'אלטשולר שחם'!A:K,8,0)+VLOOKUP('תפוקה מצטברת מול אשתקד'!A49,'מדיהו '!A:K,8,0)+VLOOKUP('תפוקה מצטברת מול אשתקד'!A49,'אנליסט '!A:K,8,0)+VLOOKUP('תפוקה מצטברת מול אשתקד'!A49,'מיטב דש'!A:K,8,0)+VLOOKUP('תפוקה מצטברת מול אשתקד'!A49,אינפניטי!A:K,8,0)</f>
        <v>0</v>
      </c>
      <c r="M49" s="12">
        <f>VLOOKUP(A49,הכשרה!A:K,9,0)+VLOOKUP('תפוקה מצטברת מול אשתקד'!A49,מגדל!A:K,9,0)+VLOOKUP('תפוקה מצטברת מול אשתקד'!A49,מנורה!A:K,9,0)+VLOOKUP('תפוקה מצטברת מול אשתקד'!A49,איילון!A:K,9,0)+VLOOKUP('תפוקה מצטברת מול אשתקד'!A49,הראל!A:K,9,0)+VLOOKUP('תפוקה מצטברת מול אשתקד'!A49,הפניקס!A:K,9,0)+VLOOKUP('תפוקה מצטברת מול אשתקד'!A49,כלל!A:K,9,0)+VLOOKUP('תפוקה מצטברת מול אשתקד'!A49,מור!A:K,9,0)+VLOOKUP('תפוקה מצטברת מול אשתקד'!A49,'אלטשולר שחם'!A:K,9,0)+VLOOKUP('תפוקה מצטברת מול אשתקד'!A49,'מדיהו '!A:K,9,0)+VLOOKUP('תפוקה מצטברת מול אשתקד'!A49,'אנליסט '!A:K,9,0)+VLOOKUP('תפוקה מצטברת מול אשתקד'!A49,'מיטב דש'!A:K,9,0)+VLOOKUP('תפוקה מצטברת מול אשתקד'!A49,אינפניטי!A:K,9,0)</f>
        <v>0</v>
      </c>
      <c r="N49" s="12">
        <f>VLOOKUP(A49,הכשרה!A:K,10,0)+VLOOKUP('תפוקה מצטברת מול אשתקד'!A49,מגדל!A:K,10,0)+VLOOKUP('תפוקה מצטברת מול אשתקד'!A49,מנורה!A:K,10,0)+VLOOKUP('תפוקה מצטברת מול אשתקד'!A49,איילון!A:K,10,0)+VLOOKUP('תפוקה מצטברת מול אשתקד'!A49,הראל!A:K,10,0)+VLOOKUP('תפוקה מצטברת מול אשתקד'!A49,הפניקס!A:K,10,0)+VLOOKUP('תפוקה מצטברת מול אשתקד'!A49,כלל!A:K,10,0)+VLOOKUP('תפוקה מצטברת מול אשתקד'!A49,מור!A:K,10,0)+VLOOKUP('תפוקה מצטברת מול אשתקד'!A49,'אלטשולר שחם'!A:K,10,0)+VLOOKUP('תפוקה מצטברת מול אשתקד'!A49,'מדיהו '!A:K,10,0)+VLOOKUP('תפוקה מצטברת מול אשתקד'!A49,'אנליסט '!A:K,10,0)+VLOOKUP('תפוקה מצטברת מול אשתקד'!A49,'מיטב דש'!A:K,10,0)+VLOOKUP('תפוקה מצטברת מול אשתקד'!A49,אינפניטי!A:K,10,0)</f>
        <v>0</v>
      </c>
      <c r="O49" s="12">
        <f>VLOOKUP(A49,הכשרה!A:K,11,0)+VLOOKUP('תפוקה מצטברת מול אשתקד'!A49,מגדל!A:K,11,0)+VLOOKUP('תפוקה מצטברת מול אשתקד'!A49,מנורה!A:K,11,0)+VLOOKUP('תפוקה מצטברת מול אשתקד'!A49,איילון!A:K,11,0)+VLOOKUP('תפוקה מצטברת מול אשתקד'!A49,הראל!A:K,11,0)+VLOOKUP('תפוקה מצטברת מול אשתקד'!A49,הפניקס!A:K,11,0)+VLOOKUP('תפוקה מצטברת מול אשתקד'!A49,כלל!A:K,11,0)+VLOOKUP('תפוקה מצטברת מול אשתקד'!A49,מור!A:K,11,0)+VLOOKUP('תפוקה מצטברת מול אשתקד'!A49,'אלטשולר שחם'!A:K,11,0)+VLOOKUP('תפוקה מצטברת מול אשתקד'!A49,'מדיהו '!A:K,11,0)+VLOOKUP('תפוקה מצטברת מול אשתקד'!A49,'אנליסט '!A:K,11,0)+VLOOKUP('תפוקה מצטברת מול אשתקד'!A49,'מיטב דש'!A:K,11,0)+VLOOKUP('תפוקה מצטברת מול אשתקד'!A49,אינפניטי!A:K,11,0)</f>
        <v>0</v>
      </c>
    </row>
    <row r="50" spans="1:15" ht="15.75" customHeight="1" x14ac:dyDescent="0.25">
      <c r="A50" s="27" t="s">
        <v>36</v>
      </c>
      <c r="B50" s="27" t="s">
        <v>55</v>
      </c>
      <c r="C50" s="27" t="s">
        <v>115</v>
      </c>
      <c r="D50" s="20">
        <f t="shared" si="7"/>
        <v>0</v>
      </c>
      <c r="E50" s="20">
        <f t="shared" si="7"/>
        <v>0</v>
      </c>
      <c r="F50" s="20">
        <f t="shared" si="7"/>
        <v>0</v>
      </c>
      <c r="G50" s="20">
        <f>IF(K50=0,0%,IF(O50=H76,100%,K50/O50-1))</f>
        <v>0</v>
      </c>
      <c r="H50" s="68">
        <f>VLOOKUP(A50,הכשרה!A:G,4,0)+VLOOKUP('תפוקה מצטברת מול אשתקד'!A50,מגדל!A:G,4,0)+VLOOKUP('תפוקה מצטברת מול אשתקד'!A50,מנורה!A:G,4,0)+VLOOKUP('תפוקה מצטברת מול אשתקד'!A50,איילון!A:G,4,0)+VLOOKUP('תפוקה מצטברת מול אשתקד'!A50,הראל!A:G,4,0)+VLOOKUP('תפוקה מצטברת מול אשתקד'!A50,הפניקס!A:G,4,0)+VLOOKUP('תפוקה מצטברת מול אשתקד'!A50,כלל!A:G,4,0)+VLOOKUP('תפוקה מצטברת מול אשתקד'!A50,מור!A:G,4,0)+VLOOKUP('תפוקה מצטברת מול אשתקד'!A50,'אלטשולר שחם'!A:G,4,0)+VLOOKUP('תפוקה מצטברת מול אשתקד'!A50,'מדיהו '!A:G,4,0)+VLOOKUP('תפוקה מצטברת מול אשתקד'!A50,'אנליסט '!A:G,4,0)+VLOOKUP('תפוקה מצטברת מול אשתקד'!A50,'מיטב דש'!A:G,4,0)+VLOOKUP('תפוקה מצטברת מול אשתקד'!A50,אינפניטי!A:G,4,0)</f>
        <v>0</v>
      </c>
      <c r="I50" s="68">
        <f>VLOOKUP(A50,הכשרה!A:G,5,0)+VLOOKUP('תפוקה מצטברת מול אשתקד'!A50,מגדל!A:G,5,0)+VLOOKUP('תפוקה מצטברת מול אשתקד'!A50,מנורה!A:G,5,0)+VLOOKUP('תפוקה מצטברת מול אשתקד'!A50,איילון!A:G,5,0)+VLOOKUP('תפוקה מצטברת מול אשתקד'!A50,הראל!A:G,5,0)+VLOOKUP('תפוקה מצטברת מול אשתקד'!A50,הפניקס!A:G,5,0)+VLOOKUP('תפוקה מצטברת מול אשתקד'!A50,כלל!A:G,5,0)+VLOOKUP('תפוקה מצטברת מול אשתקד'!A50,מור!A:G,5,0)+VLOOKUP('תפוקה מצטברת מול אשתקד'!A50,'אלטשולר שחם'!A:G,5,0)+VLOOKUP('תפוקה מצטברת מול אשתקד'!A50,'מדיהו '!A:G,5,0)+VLOOKUP('תפוקה מצטברת מול אשתקד'!A50,'אנליסט '!A:G,5,0)+VLOOKUP('תפוקה מצטברת מול אשתקד'!A50,'מיטב דש'!A:G,5,0)+VLOOKUP('תפוקה מצטברת מול אשתקד'!A50,אינפניטי!A:G,5,0)</f>
        <v>0</v>
      </c>
      <c r="J50" s="68">
        <f>VLOOKUP(A50,הכשרה!A:G,6,0)+VLOOKUP('תפוקה מצטברת מול אשתקד'!A50,מגדל!A:G,6,0)+VLOOKUP('תפוקה מצטברת מול אשתקד'!A50,מנורה!A:G,6,0)+VLOOKUP('תפוקה מצטברת מול אשתקד'!A50,איילון!A:G,6,0)+VLOOKUP(A50,הראל!A:G,6,0)+VLOOKUP('תפוקה מצטברת מול אשתקד'!A50,הפניקס!A:G,6,0)+VLOOKUP('תפוקה מצטברת מול אשתקד'!A50,כלל!A:G,6,0)+VLOOKUP('תפוקה מצטברת מול אשתקד'!A50,מור!A:G,6,0)+VLOOKUP('תפוקה מצטברת מול אשתקד'!A50,'אלטשולר שחם'!A:G,6,0)+VLOOKUP('תפוקה מצטברת מול אשתקד'!A50,'מדיהו '!A:G,6,0)+VLOOKUP('תפוקה מצטברת מול אשתקד'!A50,'אנליסט '!A:G,6,0)+VLOOKUP('תפוקה מצטברת מול אשתקד'!A50,'מיטב דש'!A:G,6,0)+VLOOKUP('תפוקה מצטברת מול אשתקד'!A50,אינפניטי!A:G,6,0)</f>
        <v>0</v>
      </c>
      <c r="K50" s="68">
        <f>VLOOKUP(A50,הכשרה!A:G,7,0)+VLOOKUP('תפוקה מצטברת מול אשתקד'!A50,מגדל!A:G,7,0)+VLOOKUP('תפוקה מצטברת מול אשתקד'!A50,מנורה!A:G,7,0)+VLOOKUP('תפוקה מצטברת מול אשתקד'!A50,איילון!A:G,7,0)+VLOOKUP('תפוקה מצטברת מול אשתקד'!A50,הראל!A:G,7,0)+VLOOKUP('תפוקה מצטברת מול אשתקד'!A50,הפניקס!A:G,7,0)+VLOOKUP('תפוקה מצטברת מול אשתקד'!A50,כלל!A:G,7,0)+VLOOKUP('תפוקה מצטברת מול אשתקד'!A50,מור!A:G,7,0)+VLOOKUP('תפוקה מצטברת מול אשתקד'!A50,'אלטשולר שחם'!A:G,7,0)+VLOOKUP('תפוקה מצטברת מול אשתקד'!A50,'מדיהו '!A:K,7,0)+VLOOKUP(A50,'אנליסט '!A:G,7,0)+VLOOKUP('תפוקה מצטברת מול אשתקד'!A50,'מיטב דש'!A:G,7,0)+VLOOKUP('תפוקה מצטברת מול אשתקד'!A50,אינפניטי!A:G,7,0)</f>
        <v>0</v>
      </c>
      <c r="L50" s="12">
        <f>VLOOKUP(A50,הכשרה!A:K,8,0)+VLOOKUP('תפוקה מצטברת מול אשתקד'!A50,מגדל!A:K,8,0)+VLOOKUP('תפוקה מצטברת מול אשתקד'!A50,מנורה!A:K,8,0)+VLOOKUP('תפוקה מצטברת מול אשתקד'!A50,איילון!A:K,8,0)+VLOOKUP('תפוקה מצטברת מול אשתקד'!A50,הראל!A:K,8,0)+VLOOKUP('תפוקה מצטברת מול אשתקד'!A50,הפניקס!A:K,8,0)+VLOOKUP('תפוקה מצטברת מול אשתקד'!A50,כלל!A:K,8,0)+VLOOKUP('תפוקה מצטברת מול אשתקד'!A50,מור!A:K,8,0)+VLOOKUP('תפוקה מצטברת מול אשתקד'!A50,'אלטשולר שחם'!A:K,8,0)+VLOOKUP('תפוקה מצטברת מול אשתקד'!A50,'מדיהו '!A:K,8,0)+VLOOKUP('תפוקה מצטברת מול אשתקד'!A50,'אנליסט '!A:K,8,0)+VLOOKUP('תפוקה מצטברת מול אשתקד'!A50,'מיטב דש'!A:K,8,0)+VLOOKUP('תפוקה מצטברת מול אשתקד'!A50,אינפניטי!A:K,8,0)</f>
        <v>0</v>
      </c>
      <c r="M50" s="12">
        <f>VLOOKUP(A50,הכשרה!A:K,9,0)+VLOOKUP('תפוקה מצטברת מול אשתקד'!A50,מגדל!A:K,9,0)+VLOOKUP('תפוקה מצטברת מול אשתקד'!A50,מנורה!A:K,9,0)+VLOOKUP('תפוקה מצטברת מול אשתקד'!A50,איילון!A:K,9,0)+VLOOKUP('תפוקה מצטברת מול אשתקד'!A50,הראל!A:K,9,0)+VLOOKUP('תפוקה מצטברת מול אשתקד'!A50,הפניקס!A:K,9,0)+VLOOKUP('תפוקה מצטברת מול אשתקד'!A50,כלל!A:K,9,0)+VLOOKUP('תפוקה מצטברת מול אשתקד'!A50,מור!A:K,9,0)+VLOOKUP('תפוקה מצטברת מול אשתקד'!A50,'אלטשולר שחם'!A:K,9,0)+VLOOKUP('תפוקה מצטברת מול אשתקד'!A50,'מדיהו '!A:K,9,0)+VLOOKUP('תפוקה מצטברת מול אשתקד'!A50,'אנליסט '!A:K,9,0)+VLOOKUP('תפוקה מצטברת מול אשתקד'!A50,'מיטב דש'!A:K,9,0)+VLOOKUP('תפוקה מצטברת מול אשתקד'!A50,אינפניטי!A:K,9,0)</f>
        <v>0</v>
      </c>
      <c r="N50" s="12">
        <f>VLOOKUP(A50,הכשרה!A:K,10,0)+VLOOKUP('תפוקה מצטברת מול אשתקד'!A50,מגדל!A:K,10,0)+VLOOKUP('תפוקה מצטברת מול אשתקד'!A50,מנורה!A:K,10,0)+VLOOKUP('תפוקה מצטברת מול אשתקד'!A50,איילון!A:K,10,0)+VLOOKUP('תפוקה מצטברת מול אשתקד'!A50,הראל!A:K,10,0)+VLOOKUP('תפוקה מצטברת מול אשתקד'!A50,הפניקס!A:K,10,0)+VLOOKUP('תפוקה מצטברת מול אשתקד'!A50,כלל!A:K,10,0)+VLOOKUP('תפוקה מצטברת מול אשתקד'!A50,מור!A:K,10,0)+VLOOKUP('תפוקה מצטברת מול אשתקד'!A50,'אלטשולר שחם'!A:K,10,0)+VLOOKUP('תפוקה מצטברת מול אשתקד'!A50,'מדיהו '!A:K,10,0)+VLOOKUP('תפוקה מצטברת מול אשתקד'!A50,'אנליסט '!A:K,10,0)+VLOOKUP('תפוקה מצטברת מול אשתקד'!A50,'מיטב דש'!A:K,10,0)+VLOOKUP('תפוקה מצטברת מול אשתקד'!A50,אינפניטי!A:K,10,0)</f>
        <v>0</v>
      </c>
      <c r="O50" s="12">
        <f>VLOOKUP(A50,הכשרה!A:K,11,0)+VLOOKUP('תפוקה מצטברת מול אשתקד'!A50,מגדל!A:K,11,0)+VLOOKUP('תפוקה מצטברת מול אשתקד'!A50,מנורה!A:K,11,0)+VLOOKUP('תפוקה מצטברת מול אשתקד'!A50,איילון!A:K,11,0)+VLOOKUP('תפוקה מצטברת מול אשתקד'!A50,הראל!A:K,11,0)+VLOOKUP('תפוקה מצטברת מול אשתקד'!A50,הפניקס!A:K,11,0)+VLOOKUP('תפוקה מצטברת מול אשתקד'!A50,כלל!A:K,11,0)+VLOOKUP('תפוקה מצטברת מול אשתקד'!A50,מור!A:K,11,0)+VLOOKUP('תפוקה מצטברת מול אשתקד'!A50,'אלטשולר שחם'!A:K,11,0)+VLOOKUP('תפוקה מצטברת מול אשתקד'!A50,'מדיהו '!A:K,11,0)+VLOOKUP('תפוקה מצטברת מול אשתקד'!A50,'אנליסט '!A:K,11,0)+VLOOKUP('תפוקה מצטברת מול אשתקד'!A50,'מיטב דש'!A:K,11,0)+VLOOKUP('תפוקה מצטברת מול אשתקד'!A50,אינפניטי!A:K,11,0)</f>
        <v>0</v>
      </c>
    </row>
    <row r="51" spans="1:15" ht="15.75" customHeight="1" x14ac:dyDescent="0.25">
      <c r="A51" s="27" t="s">
        <v>102</v>
      </c>
      <c r="B51" s="27" t="s">
        <v>55</v>
      </c>
      <c r="C51" s="27" t="s">
        <v>115</v>
      </c>
      <c r="D51" s="20">
        <f t="shared" si="7"/>
        <v>0</v>
      </c>
      <c r="E51" s="20">
        <f t="shared" si="7"/>
        <v>0</v>
      </c>
      <c r="F51" s="20">
        <f t="shared" si="7"/>
        <v>0</v>
      </c>
      <c r="G51" s="20">
        <f>IF(K51=0,0%,IF(O51=H77,100%,K51/O51-1))</f>
        <v>0</v>
      </c>
      <c r="H51" s="68">
        <f>VLOOKUP(A51,הכשרה!A:G,4,0)+VLOOKUP('תפוקה מצטברת מול אשתקד'!A51,מגדל!A:G,4,0)+VLOOKUP('תפוקה מצטברת מול אשתקד'!A51,מנורה!A:G,4,0)+VLOOKUP('תפוקה מצטברת מול אשתקד'!A51,איילון!A:G,4,0)+VLOOKUP('תפוקה מצטברת מול אשתקד'!A51,הראל!A:G,4,0)+VLOOKUP('תפוקה מצטברת מול אשתקד'!A51,הפניקס!A:G,4,0)+VLOOKUP('תפוקה מצטברת מול אשתקד'!A51,כלל!A:G,4,0)+VLOOKUP('תפוקה מצטברת מול אשתקד'!A51,מור!A:G,4,0)+VLOOKUP('תפוקה מצטברת מול אשתקד'!A51,'אלטשולר שחם'!A:G,4,0)+VLOOKUP('תפוקה מצטברת מול אשתקד'!A51,'מדיהו '!A:G,4,0)+VLOOKUP('תפוקה מצטברת מול אשתקד'!A51,'אנליסט '!A:G,4,0)+VLOOKUP('תפוקה מצטברת מול אשתקד'!A51,'מיטב דש'!A:G,4,0)+VLOOKUP('תפוקה מצטברת מול אשתקד'!A51,אינפניטי!A:G,4,0)</f>
        <v>0</v>
      </c>
      <c r="I51" s="68">
        <f>VLOOKUP(A51,הכשרה!A:G,5,0)+VLOOKUP('תפוקה מצטברת מול אשתקד'!A51,מגדל!A:G,5,0)+VLOOKUP('תפוקה מצטברת מול אשתקד'!A51,מנורה!A:G,5,0)+VLOOKUP('תפוקה מצטברת מול אשתקד'!A51,איילון!A:G,5,0)+VLOOKUP('תפוקה מצטברת מול אשתקד'!A51,הראל!A:G,5,0)+VLOOKUP('תפוקה מצטברת מול אשתקד'!A51,הפניקס!A:G,5,0)+VLOOKUP('תפוקה מצטברת מול אשתקד'!A51,כלל!A:G,5,0)+VLOOKUP('תפוקה מצטברת מול אשתקד'!A51,מור!A:G,5,0)+VLOOKUP('תפוקה מצטברת מול אשתקד'!A51,'אלטשולר שחם'!A:G,5,0)+VLOOKUP('תפוקה מצטברת מול אשתקד'!A51,'מדיהו '!A:G,5,0)+VLOOKUP('תפוקה מצטברת מול אשתקד'!A51,'אנליסט '!A:G,5,0)+VLOOKUP('תפוקה מצטברת מול אשתקד'!A51,'מיטב דש'!A:G,5,0)+VLOOKUP('תפוקה מצטברת מול אשתקד'!A51,אינפניטי!A:G,5,0)</f>
        <v>0</v>
      </c>
      <c r="J51" s="68">
        <f>VLOOKUP(A51,הכשרה!A:G,6,0)+VLOOKUP('תפוקה מצטברת מול אשתקד'!A51,מגדל!A:G,6,0)+VLOOKUP('תפוקה מצטברת מול אשתקד'!A51,מנורה!A:G,6,0)+VLOOKUP('תפוקה מצטברת מול אשתקד'!A51,איילון!A:G,6,0)+VLOOKUP(A51,הראל!A:G,6,0)+VLOOKUP('תפוקה מצטברת מול אשתקד'!A51,הפניקס!A:G,6,0)+VLOOKUP('תפוקה מצטברת מול אשתקד'!A51,כלל!A:G,6,0)+VLOOKUP('תפוקה מצטברת מול אשתקד'!A51,מור!A:G,6,0)+VLOOKUP('תפוקה מצטברת מול אשתקד'!A51,'אלטשולר שחם'!A:G,6,0)+VLOOKUP('תפוקה מצטברת מול אשתקד'!A51,'מדיהו '!A:G,6,0)+VLOOKUP('תפוקה מצטברת מול אשתקד'!A51,'אנליסט '!A:G,6,0)+VLOOKUP('תפוקה מצטברת מול אשתקד'!A51,'מיטב דש'!A:G,6,0)+VLOOKUP('תפוקה מצטברת מול אשתקד'!A51,אינפניטי!A:G,6,0)</f>
        <v>0</v>
      </c>
      <c r="K51" s="68">
        <f>VLOOKUP(A51,הכשרה!A:G,7,0)+VLOOKUP('תפוקה מצטברת מול אשתקד'!A51,מגדל!A:G,7,0)+VLOOKUP('תפוקה מצטברת מול אשתקד'!A51,מנורה!A:G,7,0)+VLOOKUP('תפוקה מצטברת מול אשתקד'!A51,איילון!A:G,7,0)+VLOOKUP('תפוקה מצטברת מול אשתקד'!A51,הראל!A:G,7,0)+VLOOKUP('תפוקה מצטברת מול אשתקד'!A51,הפניקס!A:G,7,0)+VLOOKUP('תפוקה מצטברת מול אשתקד'!A51,כלל!A:G,7,0)+VLOOKUP('תפוקה מצטברת מול אשתקד'!A51,מור!A:G,7,0)+VLOOKUP('תפוקה מצטברת מול אשתקד'!A51,'אלטשולר שחם'!A:G,7,0)+VLOOKUP('תפוקה מצטברת מול אשתקד'!A51,'מדיהו '!A:K,7,0)+VLOOKUP(A51,'אנליסט '!A:G,7,0)+VLOOKUP('תפוקה מצטברת מול אשתקד'!A51,'מיטב דש'!A:G,7,0)+VLOOKUP('תפוקה מצטברת מול אשתקד'!A51,אינפניטי!A:G,7,0)</f>
        <v>0</v>
      </c>
      <c r="L51" s="12">
        <f>VLOOKUP(A51,הכשרה!A:K,8,0)+VLOOKUP('תפוקה מצטברת מול אשתקד'!A51,מגדל!A:K,8,0)+VLOOKUP('תפוקה מצטברת מול אשתקד'!A51,מנורה!A:K,8,0)+VLOOKUP('תפוקה מצטברת מול אשתקד'!A51,איילון!A:K,8,0)+VLOOKUP('תפוקה מצטברת מול אשתקד'!A51,הראל!A:K,8,0)+VLOOKUP('תפוקה מצטברת מול אשתקד'!A51,הפניקס!A:K,8,0)+VLOOKUP('תפוקה מצטברת מול אשתקד'!A51,כלל!A:K,8,0)+VLOOKUP('תפוקה מצטברת מול אשתקד'!A51,מור!A:K,8,0)+VLOOKUP('תפוקה מצטברת מול אשתקד'!A51,'אלטשולר שחם'!A:K,8,0)+VLOOKUP('תפוקה מצטברת מול אשתקד'!A51,'מדיהו '!A:K,8,0)+VLOOKUP('תפוקה מצטברת מול אשתקד'!A51,'אנליסט '!A:K,8,0)+VLOOKUP('תפוקה מצטברת מול אשתקד'!A51,'מיטב דש'!A:K,8,0)+VLOOKUP('תפוקה מצטברת מול אשתקד'!A51,אינפניטי!A:K,8,0)</f>
        <v>0</v>
      </c>
      <c r="M51" s="12">
        <f>VLOOKUP(A51,הכשרה!A:K,9,0)+VLOOKUP('תפוקה מצטברת מול אשתקד'!A51,מגדל!A:K,9,0)+VLOOKUP('תפוקה מצטברת מול אשתקד'!A51,מנורה!A:K,9,0)+VLOOKUP('תפוקה מצטברת מול אשתקד'!A51,איילון!A:K,9,0)+VLOOKUP('תפוקה מצטברת מול אשתקד'!A51,הראל!A:K,9,0)+VLOOKUP('תפוקה מצטברת מול אשתקד'!A51,הפניקס!A:K,9,0)+VLOOKUP('תפוקה מצטברת מול אשתקד'!A51,כלל!A:K,9,0)+VLOOKUP('תפוקה מצטברת מול אשתקד'!A51,מור!A:K,9,0)+VLOOKUP('תפוקה מצטברת מול אשתקד'!A51,'אלטשולר שחם'!A:K,9,0)+VLOOKUP('תפוקה מצטברת מול אשתקד'!A51,'מדיהו '!A:K,9,0)+VLOOKUP('תפוקה מצטברת מול אשתקד'!A51,'אנליסט '!A:K,9,0)+VLOOKUP('תפוקה מצטברת מול אשתקד'!A51,'מיטב דש'!A:K,9,0)+VLOOKUP('תפוקה מצטברת מול אשתקד'!A51,אינפניטי!A:K,9,0)</f>
        <v>0</v>
      </c>
      <c r="N51" s="12">
        <f>VLOOKUP(A51,הכשרה!A:K,10,0)+VLOOKUP('תפוקה מצטברת מול אשתקד'!A51,מגדל!A:K,10,0)+VLOOKUP('תפוקה מצטברת מול אשתקד'!A51,מנורה!A:K,10,0)+VLOOKUP('תפוקה מצטברת מול אשתקד'!A51,איילון!A:K,10,0)+VLOOKUP('תפוקה מצטברת מול אשתקד'!A51,הראל!A:K,10,0)+VLOOKUP('תפוקה מצטברת מול אשתקד'!A51,הפניקס!A:K,10,0)+VLOOKUP('תפוקה מצטברת מול אשתקד'!A51,כלל!A:K,10,0)+VLOOKUP('תפוקה מצטברת מול אשתקד'!A51,מור!A:K,10,0)+VLOOKUP('תפוקה מצטברת מול אשתקד'!A51,'אלטשולר שחם'!A:K,10,0)+VLOOKUP('תפוקה מצטברת מול אשתקד'!A51,'מדיהו '!A:K,10,0)+VLOOKUP('תפוקה מצטברת מול אשתקד'!A51,'אנליסט '!A:K,10,0)+VLOOKUP('תפוקה מצטברת מול אשתקד'!A51,'מיטב דש'!A:K,10,0)+VLOOKUP('תפוקה מצטברת מול אשתקד'!A51,אינפניטי!A:K,10,0)</f>
        <v>0</v>
      </c>
      <c r="O51" s="12">
        <f>VLOOKUP(A51,הכשרה!A:K,11,0)+VLOOKUP('תפוקה מצטברת מול אשתקד'!A51,מגדל!A:K,11,0)+VLOOKUP('תפוקה מצטברת מול אשתקד'!A51,מנורה!A:K,11,0)+VLOOKUP('תפוקה מצטברת מול אשתקד'!A51,איילון!A:K,11,0)+VLOOKUP('תפוקה מצטברת מול אשתקד'!A51,הראל!A:K,11,0)+VLOOKUP('תפוקה מצטברת מול אשתקד'!A51,הפניקס!A:K,11,0)+VLOOKUP('תפוקה מצטברת מול אשתקד'!A51,כלל!A:K,11,0)+VLOOKUP('תפוקה מצטברת מול אשתקד'!A51,מור!A:K,11,0)+VLOOKUP('תפוקה מצטברת מול אשתקד'!A51,'אלטשולר שחם'!A:K,11,0)+VLOOKUP('תפוקה מצטברת מול אשתקד'!A51,'מדיהו '!A:K,11,0)+VLOOKUP('תפוקה מצטברת מול אשתקד'!A51,'אנליסט '!A:K,11,0)+VLOOKUP('תפוקה מצטברת מול אשתקד'!A51,'מיטב דש'!A:K,11,0)+VLOOKUP('תפוקה מצטברת מול אשתקד'!A51,אינפניטי!A:K,11,0)</f>
        <v>0</v>
      </c>
    </row>
    <row r="52" spans="1:15" ht="15.75" customHeight="1" x14ac:dyDescent="0.25">
      <c r="A52" s="27" t="s">
        <v>106</v>
      </c>
      <c r="B52" s="27" t="s">
        <v>55</v>
      </c>
      <c r="C52" s="28" t="s">
        <v>115</v>
      </c>
      <c r="D52" s="20">
        <f t="shared" si="7"/>
        <v>1</v>
      </c>
      <c r="E52" s="20">
        <f t="shared" si="7"/>
        <v>1</v>
      </c>
      <c r="F52" s="20">
        <f t="shared" si="7"/>
        <v>0</v>
      </c>
      <c r="G52" s="20">
        <f t="shared" ref="G52:G53" si="8">IF(K52=0,0%,IF(O52=H78,100%,K52/O52-1))</f>
        <v>0</v>
      </c>
      <c r="H52" s="68">
        <f>VLOOKUP(A52,הכשרה!A:G,4,0)+VLOOKUP('תפוקה מצטברת מול אשתקד'!A52,מגדל!A:G,4,0)+VLOOKUP('תפוקה מצטברת מול אשתקד'!A52,מנורה!A:G,4,0)+VLOOKUP('תפוקה מצטברת מול אשתקד'!A52,איילון!A:G,4,0)+VLOOKUP('תפוקה מצטברת מול אשתקד'!A52,הראל!A:G,4,0)+VLOOKUP('תפוקה מצטברת מול אשתקד'!A52,הפניקס!A:G,4,0)+VLOOKUP('תפוקה מצטברת מול אשתקד'!A52,כלל!A:G,4,0)+VLOOKUP('תפוקה מצטברת מול אשתקד'!A52,מור!A:G,4,0)+VLOOKUP('תפוקה מצטברת מול אשתקד'!A52,'אלטשולר שחם'!A:G,4,0)+VLOOKUP('תפוקה מצטברת מול אשתקד'!A52,'מדיהו '!A:G,4,0)+VLOOKUP('תפוקה מצטברת מול אשתקד'!A52,'אנליסט '!A:G,4,0)+VLOOKUP('תפוקה מצטברת מול אשתקד'!A52,'מיטב דש'!A:G,4,0)+VLOOKUP('תפוקה מצטברת מול אשתקד'!A52,אינפניטי!A:G,4,0)</f>
        <v>18.82</v>
      </c>
      <c r="I52" s="68">
        <f>VLOOKUP(A52,הכשרה!A:G,5,0)+VLOOKUP('תפוקה מצטברת מול אשתקד'!A52,מגדל!A:G,5,0)+VLOOKUP('תפוקה מצטברת מול אשתקד'!A52,מנורה!A:G,5,0)+VLOOKUP('תפוקה מצטברת מול אשתקד'!A52,איילון!A:G,5,0)+VLOOKUP('תפוקה מצטברת מול אשתקד'!A52,הראל!A:G,5,0)+VLOOKUP('תפוקה מצטברת מול אשתקד'!A52,הפניקס!A:G,5,0)+VLOOKUP('תפוקה מצטברת מול אשתקד'!A52,כלל!A:G,5,0)+VLOOKUP('תפוקה מצטברת מול אשתקד'!A52,מור!A:G,5,0)+VLOOKUP('תפוקה מצטברת מול אשתקד'!A52,'אלטשולר שחם'!A:G,5,0)+VLOOKUP('תפוקה מצטברת מול אשתקד'!A52,'מדיהו '!A:G,5,0)+VLOOKUP('תפוקה מצטברת מול אשתקד'!A52,'אנליסט '!A:G,5,0)+VLOOKUP('תפוקה מצטברת מול אשתקד'!A52,'מיטב דש'!A:G,5,0)+VLOOKUP('תפוקה מצטברת מול אשתקד'!A52,אינפניטי!A:G,5,0)</f>
        <v>7028.15</v>
      </c>
      <c r="J52" s="68">
        <f>VLOOKUP(A52,הכשרה!A:G,6,0)+VLOOKUP('תפוקה מצטברת מול אשתקד'!A52,מגדל!A:G,6,0)+VLOOKUP('תפוקה מצטברת מול אשתקד'!A52,מנורה!A:G,6,0)+VLOOKUP('תפוקה מצטברת מול אשתקד'!A52,איילון!A:G,6,0)+VLOOKUP(A52,הראל!A:G,6,0)+VLOOKUP('תפוקה מצטברת מול אשתקד'!A52,הפניקס!A:G,6,0)+VLOOKUP('תפוקה מצטברת מול אשתקד'!A52,כלל!A:G,6,0)+VLOOKUP('תפוקה מצטברת מול אשתקד'!A52,מור!A:G,6,0)+VLOOKUP('תפוקה מצטברת מול אשתקד'!A52,'אלטשולר שחם'!A:G,6,0)+VLOOKUP('תפוקה מצטברת מול אשתקד'!A52,'מדיהו '!A:G,6,0)+VLOOKUP('תפוקה מצטברת מול אשתקד'!A52,'אנליסט '!A:G,6,0)+VLOOKUP('תפוקה מצטברת מול אשתקד'!A52,'מיטב דש'!A:G,6,0)+VLOOKUP('תפוקה מצטברת מול אשתקד'!A52,אינפניטי!A:G,6,0)</f>
        <v>0</v>
      </c>
      <c r="K52" s="68">
        <f>VLOOKUP(A52,הכשרה!A:G,7,0)+VLOOKUP('תפוקה מצטברת מול אשתקד'!A52,מגדל!A:G,7,0)+VLOOKUP('תפוקה מצטברת מול אשתקד'!A52,מנורה!A:G,7,0)+VLOOKUP('תפוקה מצטברת מול אשתקד'!A52,איילון!A:G,7,0)+VLOOKUP('תפוקה מצטברת מול אשתקד'!A52,הראל!A:G,7,0)+VLOOKUP('תפוקה מצטברת מול אשתקד'!A52,הפניקס!A:G,7,0)+VLOOKUP('תפוקה מצטברת מול אשתקד'!A52,כלל!A:G,7,0)+VLOOKUP('תפוקה מצטברת מול אשתקד'!A52,מור!A:G,7,0)+VLOOKUP('תפוקה מצטברת מול אשתקד'!A52,'אלטשולר שחם'!A:G,7,0)+VLOOKUP('תפוקה מצטברת מול אשתקד'!A52,'מדיהו '!A:K,7,0)+VLOOKUP(A52,'אנליסט '!A:G,7,0)+VLOOKUP('תפוקה מצטברת מול אשתקד'!A52,'מיטב דש'!A:G,7,0)+VLOOKUP('תפוקה מצטברת מול אשתקד'!A52,אינפניטי!A:G,7,0)</f>
        <v>0</v>
      </c>
      <c r="L52" s="12">
        <f>VLOOKUP(A52,הכשרה!A:K,8,0)+VLOOKUP('תפוקה מצטברת מול אשתקד'!A52,מגדל!A:K,8,0)+VLOOKUP('תפוקה מצטברת מול אשתקד'!A52,מנורה!A:K,8,0)+VLOOKUP('תפוקה מצטברת מול אשתקד'!A52,איילון!A:K,8,0)+VLOOKUP('תפוקה מצטברת מול אשתקד'!A52,הראל!A:K,8,0)+VLOOKUP('תפוקה מצטברת מול אשתקד'!A52,הפניקס!A:K,8,0)+VLOOKUP('תפוקה מצטברת מול אשתקד'!A52,כלל!A:K,8,0)+VLOOKUP('תפוקה מצטברת מול אשתקד'!A52,מור!A:K,8,0)+VLOOKUP('תפוקה מצטברת מול אשתקד'!A52,'אלטשולר שחם'!A:K,8,0)+VLOOKUP('תפוקה מצטברת מול אשתקד'!A52,'מדיהו '!A:K,8,0)+VLOOKUP('תפוקה מצטברת מול אשתקד'!A52,'אנליסט '!A:K,8,0)+VLOOKUP('תפוקה מצטברת מול אשתקד'!A52,'מיטב דש'!A:K,8,0)+VLOOKUP('תפוקה מצטברת מול אשתקד'!A52,אינפניטי!A:K,8,0)</f>
        <v>0</v>
      </c>
      <c r="M52" s="12">
        <f>VLOOKUP(A52,הכשרה!A:K,9,0)+VLOOKUP('תפוקה מצטברת מול אשתקד'!A52,מגדל!A:K,9,0)+VLOOKUP('תפוקה מצטברת מול אשתקד'!A52,מנורה!A:K,9,0)+VLOOKUP('תפוקה מצטברת מול אשתקד'!A52,איילון!A:K,9,0)+VLOOKUP('תפוקה מצטברת מול אשתקד'!A52,הראל!A:K,9,0)+VLOOKUP('תפוקה מצטברת מול אשתקד'!A52,הפניקס!A:K,9,0)+VLOOKUP('תפוקה מצטברת מול אשתקד'!A52,כלל!A:K,9,0)+VLOOKUP('תפוקה מצטברת מול אשתקד'!A52,מור!A:K,9,0)+VLOOKUP('תפוקה מצטברת מול אשתקד'!A52,'אלטשולר שחם'!A:K,9,0)+VLOOKUP('תפוקה מצטברת מול אשתקד'!A52,'מדיהו '!A:K,9,0)+VLOOKUP('תפוקה מצטברת מול אשתקד'!A52,'אנליסט '!A:K,9,0)+VLOOKUP('תפוקה מצטברת מול אשתקד'!A52,'מיטב דש'!A:K,9,0)+VLOOKUP('תפוקה מצטברת מול אשתקד'!A52,אינפניטי!A:K,9,0)</f>
        <v>0</v>
      </c>
      <c r="N52" s="12">
        <f>VLOOKUP(A52,הכשרה!A:K,10,0)+VLOOKUP('תפוקה מצטברת מול אשתקד'!A52,מגדל!A:K,10,0)+VLOOKUP('תפוקה מצטברת מול אשתקד'!A52,מנורה!A:K,10,0)+VLOOKUP('תפוקה מצטברת מול אשתקד'!A52,איילון!A:K,10,0)+VLOOKUP('תפוקה מצטברת מול אשתקד'!A52,הראל!A:K,10,0)+VLOOKUP('תפוקה מצטברת מול אשתקד'!A52,הפניקס!A:K,10,0)+VLOOKUP('תפוקה מצטברת מול אשתקד'!A52,כלל!A:K,10,0)+VLOOKUP('תפוקה מצטברת מול אשתקד'!A52,מור!A:K,10,0)+VLOOKUP('תפוקה מצטברת מול אשתקד'!A52,'אלטשולר שחם'!A:K,10,0)+VLOOKUP('תפוקה מצטברת מול אשתקד'!A52,'מדיהו '!A:K,10,0)+VLOOKUP('תפוקה מצטברת מול אשתקד'!A52,'אנליסט '!A:K,10,0)+VLOOKUP('תפוקה מצטברת מול אשתקד'!A52,'מיטב דש'!A:K,10,0)+VLOOKUP('תפוקה מצטברת מול אשתקד'!A52,אינפניטי!A:K,10,0)</f>
        <v>0</v>
      </c>
      <c r="O52" s="12">
        <f>VLOOKUP(A52,הכשרה!A:K,11,0)+VLOOKUP('תפוקה מצטברת מול אשתקד'!A52,מגדל!A:K,11,0)+VLOOKUP('תפוקה מצטברת מול אשתקד'!A52,מנורה!A:K,11,0)+VLOOKUP('תפוקה מצטברת מול אשתקד'!A52,איילון!A:K,11,0)+VLOOKUP('תפוקה מצטברת מול אשתקד'!A52,הראל!A:K,11,0)+VLOOKUP('תפוקה מצטברת מול אשתקד'!A52,הפניקס!A:K,11,0)+VLOOKUP('תפוקה מצטברת מול אשתקד'!A52,כלל!A:K,11,0)+VLOOKUP('תפוקה מצטברת מול אשתקד'!A52,מור!A:K,11,0)+VLOOKUP('תפוקה מצטברת מול אשתקד'!A52,'אלטשולר שחם'!A:K,11,0)+VLOOKUP('תפוקה מצטברת מול אשתקד'!A52,'מדיהו '!A:K,11,0)+VLOOKUP('תפוקה מצטברת מול אשתקד'!A52,'אנליסט '!A:K,11,0)+VLOOKUP('תפוקה מצטברת מול אשתקד'!A52,'מיטב דש'!A:K,11,0)+VLOOKUP('תפוקה מצטברת מול אשתקד'!A52,אינפניטי!A:K,11,0)</f>
        <v>0</v>
      </c>
    </row>
    <row r="53" spans="1:15" ht="15.75" customHeight="1" thickBot="1" x14ac:dyDescent="0.3">
      <c r="A53" s="27" t="s">
        <v>32</v>
      </c>
      <c r="B53" s="27" t="s">
        <v>55</v>
      </c>
      <c r="C53" s="28" t="s">
        <v>115</v>
      </c>
      <c r="D53" s="20">
        <f t="shared" si="7"/>
        <v>0</v>
      </c>
      <c r="E53" s="20">
        <f t="shared" si="7"/>
        <v>0</v>
      </c>
      <c r="F53" s="20">
        <f t="shared" si="7"/>
        <v>0</v>
      </c>
      <c r="G53" s="20">
        <f t="shared" si="8"/>
        <v>0</v>
      </c>
      <c r="H53" s="68">
        <f>VLOOKUP(A53,הכשרה!A:G,4,0)+VLOOKUP('תפוקה מצטברת מול אשתקד'!A53,מגדל!A:G,4,0)+VLOOKUP('תפוקה מצטברת מול אשתקד'!A53,מנורה!A:G,4,0)+VLOOKUP('תפוקה מצטברת מול אשתקד'!A53,איילון!A:G,4,0)+VLOOKUP('תפוקה מצטברת מול אשתקד'!A53,הראל!A:G,4,0)+VLOOKUP('תפוקה מצטברת מול אשתקד'!A53,הפניקס!A:G,4,0)+VLOOKUP('תפוקה מצטברת מול אשתקד'!A53,כלל!A:G,4,0)+VLOOKUP('תפוקה מצטברת מול אשתקד'!A53,מור!A:G,4,0)+VLOOKUP('תפוקה מצטברת מול אשתקד'!A53,'אלטשולר שחם'!A:G,4,0)+VLOOKUP('תפוקה מצטברת מול אשתקד'!A53,'מדיהו '!A:G,4,0)+VLOOKUP('תפוקה מצטברת מול אשתקד'!A53,'אנליסט '!A:G,4,0)+VLOOKUP('תפוקה מצטברת מול אשתקד'!A53,'מיטב דש'!A:G,4,0)+VLOOKUP('תפוקה מצטברת מול אשתקד'!A53,אינפניטי!A:G,4,0)</f>
        <v>0</v>
      </c>
      <c r="I53" s="68">
        <f>VLOOKUP(A53,הכשרה!A:G,5,0)+VLOOKUP('תפוקה מצטברת מול אשתקד'!A53,מגדל!A:G,5,0)+VLOOKUP('תפוקה מצטברת מול אשתקד'!A53,מנורה!A:G,5,0)+VLOOKUP('תפוקה מצטברת מול אשתקד'!A53,איילון!A:G,5,0)+VLOOKUP('תפוקה מצטברת מול אשתקד'!A53,הראל!A:G,5,0)+VLOOKUP('תפוקה מצטברת מול אשתקד'!A53,הפניקס!A:G,5,0)+VLOOKUP('תפוקה מצטברת מול אשתקד'!A53,כלל!A:G,5,0)+VLOOKUP('תפוקה מצטברת מול אשתקד'!A53,מור!A:G,5,0)+VLOOKUP('תפוקה מצטברת מול אשתקד'!A53,'אלטשולר שחם'!A:G,5,0)+VLOOKUP('תפוקה מצטברת מול אשתקד'!A53,'מדיהו '!A:G,5,0)+VLOOKUP('תפוקה מצטברת מול אשתקד'!A53,'אנליסט '!A:G,5,0)+VLOOKUP('תפוקה מצטברת מול אשתקד'!A53,'מיטב דש'!A:G,5,0)+VLOOKUP('תפוקה מצטברת מול אשתקד'!A53,אינפניטי!A:G,5,0)</f>
        <v>0</v>
      </c>
      <c r="J53" s="68">
        <f>VLOOKUP(A53,הכשרה!A:G,6,0)+VLOOKUP('תפוקה מצטברת מול אשתקד'!A53,מגדל!A:G,6,0)+VLOOKUP('תפוקה מצטברת מול אשתקד'!A53,מנורה!A:G,6,0)+VLOOKUP('תפוקה מצטברת מול אשתקד'!A53,איילון!A:G,6,0)+VLOOKUP(A53,הראל!A:G,6,0)+VLOOKUP('תפוקה מצטברת מול אשתקד'!A53,הפניקס!A:G,6,0)+VLOOKUP('תפוקה מצטברת מול אשתקד'!A53,כלל!A:G,6,0)+VLOOKUP('תפוקה מצטברת מול אשתקד'!A53,מור!A:G,6,0)+VLOOKUP('תפוקה מצטברת מול אשתקד'!A53,'אלטשולר שחם'!A:G,6,0)+VLOOKUP('תפוקה מצטברת מול אשתקד'!A53,'מדיהו '!A:G,6,0)+VLOOKUP('תפוקה מצטברת מול אשתקד'!A53,'אנליסט '!A:G,6,0)+VLOOKUP('תפוקה מצטברת מול אשתקד'!A53,'מיטב דש'!A:G,6,0)+VLOOKUP('תפוקה מצטברת מול אשתקד'!A53,אינפניטי!A:G,6,0)</f>
        <v>0</v>
      </c>
      <c r="K53" s="68">
        <f>VLOOKUP(A53,הכשרה!A:G,7,0)+VLOOKUP('תפוקה מצטברת מול אשתקד'!A53,מגדל!A:G,7,0)+VLOOKUP('תפוקה מצטברת מול אשתקד'!A53,מנורה!A:G,7,0)+VLOOKUP('תפוקה מצטברת מול אשתקד'!A53,איילון!A:G,7,0)+VLOOKUP('תפוקה מצטברת מול אשתקד'!A53,הראל!A:G,7,0)+VLOOKUP('תפוקה מצטברת מול אשתקד'!A53,הפניקס!A:G,7,0)+VLOOKUP('תפוקה מצטברת מול אשתקד'!A53,כלל!A:G,7,0)+VLOOKUP('תפוקה מצטברת מול אשתקד'!A53,מור!A:G,7,0)+VLOOKUP('תפוקה מצטברת מול אשתקד'!A53,'אלטשולר שחם'!A:G,7,0)+VLOOKUP('תפוקה מצטברת מול אשתקד'!A53,'מדיהו '!A:K,7,0)+VLOOKUP(A53,'אנליסט '!A:G,7,0)+VLOOKUP('תפוקה מצטברת מול אשתקד'!A53,'מיטב דש'!A:G,7,0)+VLOOKUP('תפוקה מצטברת מול אשתקד'!A53,אינפניטי!A:G,7,0)</f>
        <v>0</v>
      </c>
      <c r="L53" s="12">
        <f>VLOOKUP(A53,הכשרה!A:K,8,0)+VLOOKUP('תפוקה מצטברת מול אשתקד'!A53,מגדל!A:K,8,0)+VLOOKUP('תפוקה מצטברת מול אשתקד'!A53,מנורה!A:K,8,0)+VLOOKUP('תפוקה מצטברת מול אשתקד'!A53,איילון!A:K,8,0)+VLOOKUP('תפוקה מצטברת מול אשתקד'!A53,הראל!A:K,8,0)+VLOOKUP('תפוקה מצטברת מול אשתקד'!A53,הפניקס!A:K,8,0)+VLOOKUP('תפוקה מצטברת מול אשתקד'!A53,כלל!A:K,8,0)+VLOOKUP('תפוקה מצטברת מול אשתקד'!A53,מור!A:K,8,0)+VLOOKUP('תפוקה מצטברת מול אשתקד'!A53,'אלטשולר שחם'!A:K,8,0)+VLOOKUP('תפוקה מצטברת מול אשתקד'!A53,'מדיהו '!A:K,8,0)+VLOOKUP('תפוקה מצטברת מול אשתקד'!A53,'אנליסט '!A:K,8,0)+VLOOKUP('תפוקה מצטברת מול אשתקד'!A53,'מיטב דש'!A:K,8,0)+VLOOKUP('תפוקה מצטברת מול אשתקד'!A53,אינפניטי!A:K,8,0)</f>
        <v>0</v>
      </c>
      <c r="M53" s="12">
        <f>VLOOKUP(A53,הכשרה!A:K,9,0)+VLOOKUP('תפוקה מצטברת מול אשתקד'!A53,מגדל!A:K,9,0)+VLOOKUP('תפוקה מצטברת מול אשתקד'!A53,מנורה!A:K,9,0)+VLOOKUP('תפוקה מצטברת מול אשתקד'!A53,איילון!A:K,9,0)+VLOOKUP('תפוקה מצטברת מול אשתקד'!A53,הראל!A:K,9,0)+VLOOKUP('תפוקה מצטברת מול אשתקד'!A53,הפניקס!A:K,9,0)+VLOOKUP('תפוקה מצטברת מול אשתקד'!A53,כלל!A:K,9,0)+VLOOKUP('תפוקה מצטברת מול אשתקד'!A53,מור!A:K,9,0)+VLOOKUP('תפוקה מצטברת מול אשתקד'!A53,'אלטשולר שחם'!A:K,9,0)+VLOOKUP('תפוקה מצטברת מול אשתקד'!A53,'מדיהו '!A:K,9,0)+VLOOKUP('תפוקה מצטברת מול אשתקד'!A53,'אנליסט '!A:K,9,0)+VLOOKUP('תפוקה מצטברת מול אשתקד'!A53,'מיטב דש'!A:K,9,0)+VLOOKUP('תפוקה מצטברת מול אשתקד'!A53,אינפניטי!A:K,9,0)</f>
        <v>0</v>
      </c>
      <c r="N53" s="12">
        <f>VLOOKUP(A53,הכשרה!A:K,10,0)+VLOOKUP('תפוקה מצטברת מול אשתקד'!A53,מגדל!A:K,10,0)+VLOOKUP('תפוקה מצטברת מול אשתקד'!A53,מנורה!A:K,10,0)+VLOOKUP('תפוקה מצטברת מול אשתקד'!A53,איילון!A:K,10,0)+VLOOKUP('תפוקה מצטברת מול אשתקד'!A53,הראל!A:K,10,0)+VLOOKUP('תפוקה מצטברת מול אשתקד'!A53,הפניקס!A:K,10,0)+VLOOKUP('תפוקה מצטברת מול אשתקד'!A53,כלל!A:K,10,0)+VLOOKUP('תפוקה מצטברת מול אשתקד'!A53,מור!A:K,10,0)+VLOOKUP('תפוקה מצטברת מול אשתקד'!A53,'אלטשולר שחם'!A:K,10,0)+VLOOKUP('תפוקה מצטברת מול אשתקד'!A53,'מדיהו '!A:K,10,0)+VLOOKUP('תפוקה מצטברת מול אשתקד'!A53,'אנליסט '!A:K,10,0)+VLOOKUP('תפוקה מצטברת מול אשתקד'!A53,'מיטב דש'!A:K,10,0)+VLOOKUP('תפוקה מצטברת מול אשתקד'!A53,אינפניטי!A:K,10,0)</f>
        <v>0</v>
      </c>
      <c r="O53" s="12">
        <f>VLOOKUP(A53,הכשרה!A:K,11,0)+VLOOKUP('תפוקה מצטברת מול אשתקד'!A53,מגדל!A:K,11,0)+VLOOKUP('תפוקה מצטברת מול אשתקד'!A53,מנורה!A:K,11,0)+VLOOKUP('תפוקה מצטברת מול אשתקד'!A53,איילון!A:K,11,0)+VLOOKUP('תפוקה מצטברת מול אשתקד'!A53,הראל!A:K,11,0)+VLOOKUP('תפוקה מצטברת מול אשתקד'!A53,הפניקס!A:K,11,0)+VLOOKUP('תפוקה מצטברת מול אשתקד'!A53,כלל!A:K,11,0)+VLOOKUP('תפוקה מצטברת מול אשתקד'!A53,מור!A:K,11,0)+VLOOKUP('תפוקה מצטברת מול אשתקד'!A53,'אלטשולר שחם'!A:K,11,0)+VLOOKUP('תפוקה מצטברת מול אשתקד'!A53,'מדיהו '!A:K,11,0)+VLOOKUP('תפוקה מצטברת מול אשתקד'!A53,'אנליסט '!A:K,11,0)+VLOOKUP('תפוקה מצטברת מול אשתקד'!A53,'מיטב דש'!A:K,11,0)+VLOOKUP('תפוקה מצטברת מול אשתקד'!A53,אינפניטי!A:K,11,0)</f>
        <v>0</v>
      </c>
    </row>
    <row r="54" spans="1:15" ht="27" customHeight="1" thickBot="1" x14ac:dyDescent="0.3">
      <c r="A54" s="144" t="s">
        <v>124</v>
      </c>
      <c r="B54" s="142"/>
      <c r="C54" s="142"/>
      <c r="D54" s="20">
        <f t="shared" ref="D54:D55" si="9">IF(H54=0,0%,IF(L54=0,100%,H54/L54-1))</f>
        <v>-0.16218342314028977</v>
      </c>
      <c r="E54" s="20">
        <f t="shared" ref="E54:E55" si="10">IF(I54=0,0%,IF(M54=0,100%,I54/M54-1))</f>
        <v>-0.42303247420058465</v>
      </c>
      <c r="F54" s="20">
        <f t="shared" ref="F54:F55" si="11">IF(J54=0,0%,IF(N54=0,100%,J54/N54-1))</f>
        <v>-0.3413086923758778</v>
      </c>
      <c r="G54" s="20">
        <f t="shared" ref="G54:G55" si="12">IF(K54=0,0%,IF(O54=H80,100%,K54/O54-1))</f>
        <v>-0.73777977740195433</v>
      </c>
      <c r="H54" s="144">
        <f>SUM(H22:H53)</f>
        <v>1170745.5517884102</v>
      </c>
      <c r="I54" s="144">
        <f t="shared" ref="I54:O54" si="13">SUM(I22:I53)</f>
        <v>161329.82734223345</v>
      </c>
      <c r="J54" s="144">
        <f t="shared" si="13"/>
        <v>3185106.0580577524</v>
      </c>
      <c r="K54" s="144">
        <f t="shared" si="13"/>
        <v>1368862.9</v>
      </c>
      <c r="L54" s="144">
        <f t="shared" si="13"/>
        <v>1397376.9248832229</v>
      </c>
      <c r="M54" s="144">
        <f t="shared" si="13"/>
        <v>279616.82439354534</v>
      </c>
      <c r="N54" s="144">
        <f t="shared" si="13"/>
        <v>4835506.4370688675</v>
      </c>
      <c r="O54" s="144">
        <f t="shared" si="13"/>
        <v>5220279.6810920024</v>
      </c>
    </row>
    <row r="55" spans="1:15" ht="15.75" customHeight="1" x14ac:dyDescent="0.25">
      <c r="A55" s="27" t="s">
        <v>35</v>
      </c>
      <c r="B55" s="27" t="s">
        <v>123</v>
      </c>
      <c r="C55" s="28" t="s">
        <v>115</v>
      </c>
      <c r="D55" s="20">
        <f t="shared" si="9"/>
        <v>1</v>
      </c>
      <c r="E55" s="20">
        <f t="shared" si="10"/>
        <v>0</v>
      </c>
      <c r="F55" s="20">
        <f t="shared" si="11"/>
        <v>0</v>
      </c>
      <c r="G55" s="20">
        <f t="shared" si="12"/>
        <v>0</v>
      </c>
      <c r="H55" s="68">
        <f>VLOOKUP(A55,הכשרה!A:G,4,0)+VLOOKUP('תפוקה מצטברת מול אשתקד'!A55,מגדל!A:G,4,0)+VLOOKUP('תפוקה מצטברת מול אשתקד'!A55,מנורה!A:G,4,0)+VLOOKUP('תפוקה מצטברת מול אשתקד'!A55,איילון!A:G,4,0)+VLOOKUP('תפוקה מצטברת מול אשתקד'!A55,הראל!A:G,4,0)+VLOOKUP('תפוקה מצטברת מול אשתקד'!A55,הפניקס!A:G,4,0)+VLOOKUP('תפוקה מצטברת מול אשתקד'!A55,כלל!A:G,4,0)+VLOOKUP('תפוקה מצטברת מול אשתקד'!A55,מור!A:G,4,0)+VLOOKUP('תפוקה מצטברת מול אשתקד'!A55,'אלטשולר שחם'!A:G,4,0)+VLOOKUP('תפוקה מצטברת מול אשתקד'!A55,'מדיהו '!A:G,4,0)+VLOOKUP('תפוקה מצטברת מול אשתקד'!A55,'אנליסט '!A:G,4,0)+VLOOKUP('תפוקה מצטברת מול אשתקד'!A55,'מיטב דש'!A:G,4,0)+VLOOKUP('תפוקה מצטברת מול אשתקד'!A55,אינפניטי!A:G,4,0)</f>
        <v>17496.55</v>
      </c>
      <c r="I55" s="68">
        <f>VLOOKUP(A55,הכשרה!A:G,5,0)+VLOOKUP('תפוקה מצטברת מול אשתקד'!A55,מגדל!A:G,5,0)+VLOOKUP('תפוקה מצטברת מול אשתקד'!A55,מנורה!A:G,5,0)+VLOOKUP('תפוקה מצטברת מול אשתקד'!A55,איילון!A:G,5,0)+VLOOKUP('תפוקה מצטברת מול אשתקד'!A55,הראל!A:G,5,0)+VLOOKUP('תפוקה מצטברת מול אשתקד'!A55,הפניקס!A:G,5,0)+VLOOKUP('תפוקה מצטברת מול אשתקד'!A55,כלל!A:G,5,0)+VLOOKUP('תפוקה מצטברת מול אשתקד'!A55,מור!A:G,5,0)+VLOOKUP('תפוקה מצטברת מול אשתקד'!A55,'אלטשולר שחם'!A:G,5,0)+VLOOKUP('תפוקה מצטברת מול אשתקד'!A55,'מדיהו '!A:G,5,0)+VLOOKUP('תפוקה מצטברת מול אשתקד'!A55,'אנליסט '!A:G,5,0)+VLOOKUP('תפוקה מצטברת מול אשתקד'!A55,'מיטב דש'!A:G,5,0)+VLOOKUP('תפוקה מצטברת מול אשתקד'!A55,אינפניטי!A:G,5,0)</f>
        <v>0</v>
      </c>
      <c r="J55" s="68">
        <f>VLOOKUP(A55,הכשרה!A:G,6,0)+VLOOKUP('תפוקה מצטברת מול אשתקד'!A55,מגדל!A:G,6,0)+VLOOKUP('תפוקה מצטברת מול אשתקד'!A55,מנורה!A:G,6,0)+VLOOKUP('תפוקה מצטברת מול אשתקד'!A55,איילון!A:G,6,0)+VLOOKUP(A55,הראל!A:G,6,0)+VLOOKUP('תפוקה מצטברת מול אשתקד'!A55,הפניקס!A:G,6,0)+VLOOKUP('תפוקה מצטברת מול אשתקד'!A55,כלל!A:G,6,0)+VLOOKUP('תפוקה מצטברת מול אשתקד'!A55,מור!A:G,6,0)+VLOOKUP('תפוקה מצטברת מול אשתקד'!A55,'אלטשולר שחם'!A:G,6,0)+VLOOKUP('תפוקה מצטברת מול אשתקד'!A55,'מדיהו '!A:G,6,0)+VLOOKUP('תפוקה מצטברת מול אשתקד'!A55,'אנליסט '!A:G,6,0)+VLOOKUP('תפוקה מצטברת מול אשתקד'!A55,'מיטב דש'!A:G,6,0)+VLOOKUP('תפוקה מצטברת מול אשתקד'!A55,אינפניטי!A:G,6,0)</f>
        <v>0</v>
      </c>
      <c r="K55" s="68">
        <f>VLOOKUP(A55,הכשרה!A:G,7,0)+VLOOKUP('תפוקה מצטברת מול אשתקד'!A55,מגדל!A:G,7,0)+VLOOKUP('תפוקה מצטברת מול אשתקד'!A55,מנורה!A:G,7,0)+VLOOKUP('תפוקה מצטברת מול אשתקד'!A55,איילון!A:G,7,0)+VLOOKUP('תפוקה מצטברת מול אשתקד'!A55,הראל!A:G,7,0)+VLOOKUP('תפוקה מצטברת מול אשתקד'!A55,הפניקס!A:G,7,0)+VLOOKUP('תפוקה מצטברת מול אשתקד'!A55,כלל!A:G,7,0)+VLOOKUP('תפוקה מצטברת מול אשתקד'!A55,מור!A:G,7,0)+VLOOKUP('תפוקה מצטברת מול אשתקד'!A55,'אלטשולר שחם'!A:G,7,0)+VLOOKUP('תפוקה מצטברת מול אשתקד'!A55,'מדיהו '!A:K,7,0)+VLOOKUP(A55,'אנליסט '!A:G,7,0)+VLOOKUP('תפוקה מצטברת מול אשתקד'!A55,'מיטב דש'!A:G,7,0)+VLOOKUP('תפוקה מצטברת מול אשתקד'!A55,אינפניטי!A:G,7,0)</f>
        <v>0</v>
      </c>
      <c r="L55" s="12">
        <f>VLOOKUP(A55,הכשרה!A:K,8,0)+VLOOKUP('תפוקה מצטברת מול אשתקד'!A55,מגדל!A:K,8,0)+VLOOKUP('תפוקה מצטברת מול אשתקד'!A55,מנורה!A:K,8,0)+VLOOKUP('תפוקה מצטברת מול אשתקד'!A55,איילון!A:K,8,0)+VLOOKUP('תפוקה מצטברת מול אשתקד'!A55,הראל!A:K,8,0)+VLOOKUP('תפוקה מצטברת מול אשתקד'!A55,הפניקס!A:K,8,0)+VLOOKUP('תפוקה מצטברת מול אשתקד'!A55,כלל!A:K,8,0)+VLOOKUP('תפוקה מצטברת מול אשתקד'!A55,מור!A:K,8,0)+VLOOKUP('תפוקה מצטברת מול אשתקד'!A55,'אלטשולר שחם'!A:K,8,0)+VLOOKUP('תפוקה מצטברת מול אשתקד'!A55,'מדיהו '!A:K,8,0)+VLOOKUP('תפוקה מצטברת מול אשתקד'!A55,'אנליסט '!A:K,8,0)+VLOOKUP('תפוקה מצטברת מול אשתקד'!A55,'מיטב דש'!A:K,8,0)+VLOOKUP('תפוקה מצטברת מול אשתקד'!A55,אינפניטי!A:K,8,0)</f>
        <v>0</v>
      </c>
      <c r="M55" s="12">
        <f>VLOOKUP(A55,הכשרה!A:K,9,0)+VLOOKUP('תפוקה מצטברת מול אשתקד'!A55,מגדל!A:K,9,0)+VLOOKUP('תפוקה מצטברת מול אשתקד'!A55,מנורה!A:K,9,0)+VLOOKUP('תפוקה מצטברת מול אשתקד'!A55,איילון!A:K,9,0)+VLOOKUP('תפוקה מצטברת מול אשתקד'!A55,הראל!A:K,9,0)+VLOOKUP('תפוקה מצטברת מול אשתקד'!A55,הפניקס!A:K,9,0)+VLOOKUP('תפוקה מצטברת מול אשתקד'!A55,כלל!A:K,9,0)+VLOOKUP('תפוקה מצטברת מול אשתקד'!A55,מור!A:K,9,0)+VLOOKUP('תפוקה מצטברת מול אשתקד'!A55,'אלטשולר שחם'!A:K,9,0)+VLOOKUP('תפוקה מצטברת מול אשתקד'!A55,'מדיהו '!A:K,9,0)+VLOOKUP('תפוקה מצטברת מול אשתקד'!A55,'אנליסט '!A:K,9,0)+VLOOKUP('תפוקה מצטברת מול אשתקד'!A55,'מיטב דש'!A:K,9,0)+VLOOKUP('תפוקה מצטברת מול אשתקד'!A55,אינפניטי!A:K,9,0)</f>
        <v>2419.58</v>
      </c>
      <c r="N55" s="12">
        <f>VLOOKUP(A55,הכשרה!A:K,10,0)+VLOOKUP('תפוקה מצטברת מול אשתקד'!A55,מגדל!A:K,10,0)+VLOOKUP('תפוקה מצטברת מול אשתקד'!A55,מנורה!A:K,10,0)+VLOOKUP('תפוקה מצטברת מול אשתקד'!A55,איילון!A:K,10,0)+VLOOKUP('תפוקה מצטברת מול אשתקד'!A55,הראל!A:K,10,0)+VLOOKUP('תפוקה מצטברת מול אשתקד'!A55,הפניקס!A:K,10,0)+VLOOKUP('תפוקה מצטברת מול אשתקד'!A55,כלל!A:K,10,0)+VLOOKUP('תפוקה מצטברת מול אשתקד'!A55,מור!A:K,10,0)+VLOOKUP('תפוקה מצטברת מול אשתקד'!A55,'אלטשולר שחם'!A:K,10,0)+VLOOKUP('תפוקה מצטברת מול אשתקד'!A55,'מדיהו '!A:K,10,0)+VLOOKUP('תפוקה מצטברת מול אשתקד'!A55,'אנליסט '!A:K,10,0)+VLOOKUP('תפוקה מצטברת מול אשתקד'!A55,'מיטב דש'!A:K,10,0)+VLOOKUP('תפוקה מצטברת מול אשתקד'!A55,אינפניטי!A:K,10,0)</f>
        <v>0</v>
      </c>
      <c r="O55" s="12">
        <f>VLOOKUP(A55,הכשרה!A:K,11,0)+VLOOKUP('תפוקה מצטברת מול אשתקד'!A55,מגדל!A:K,11,0)+VLOOKUP('תפוקה מצטברת מול אשתקד'!A55,מנורה!A:K,11,0)+VLOOKUP('תפוקה מצטברת מול אשתקד'!A55,איילון!A:K,11,0)+VLOOKUP('תפוקה מצטברת מול אשתקד'!A55,הראל!A:K,11,0)+VLOOKUP('תפוקה מצטברת מול אשתקד'!A55,הפניקס!A:K,11,0)+VLOOKUP('תפוקה מצטברת מול אשתקד'!A55,כלל!A:K,11,0)+VLOOKUP('תפוקה מצטברת מול אשתקד'!A55,מור!A:K,11,0)+VLOOKUP('תפוקה מצטברת מול אשתקד'!A55,'אלטשולר שחם'!A:K,11,0)+VLOOKUP('תפוקה מצטברת מול אשתקד'!A55,'מדיהו '!A:K,11,0)+VLOOKUP('תפוקה מצטברת מול אשתקד'!A55,'אנליסט '!A:K,11,0)+VLOOKUP('תפוקה מצטברת מול אשתקד'!A55,'מיטב דש'!A:K,11,0)+VLOOKUP('תפוקה מצטברת מול אשתקד'!A55,אינפניטי!A:K,11,0)</f>
        <v>0</v>
      </c>
    </row>
    <row r="56" spans="1:15" ht="15.75" customHeight="1" x14ac:dyDescent="0.25">
      <c r="A56" s="28" t="s">
        <v>94</v>
      </c>
      <c r="B56" s="28" t="s">
        <v>123</v>
      </c>
      <c r="C56" s="28" t="s">
        <v>115</v>
      </c>
      <c r="D56" s="20">
        <f t="shared" ref="D56:F61" si="14">IF(H56=0,0%,IF(L56=0,100%,H56/L56-1))</f>
        <v>1.6034573507246517</v>
      </c>
      <c r="E56" s="20">
        <f t="shared" si="14"/>
        <v>-0.27183398157122163</v>
      </c>
      <c r="F56" s="20">
        <f t="shared" si="14"/>
        <v>-0.90302542645396322</v>
      </c>
      <c r="G56" s="20">
        <f>IF(K56=0,0%,IF(O56=H72,100%,K56/O56-1))</f>
        <v>-0.21998421661108547</v>
      </c>
      <c r="H56" s="68">
        <f>VLOOKUP(A56,הכשרה!A:G,4,0)+VLOOKUP('תפוקה מצטברת מול אשתקד'!A56,מגדל!A:G,4,0)+VLOOKUP('תפוקה מצטברת מול אשתקד'!A56,מנורה!A:G,4,0)+VLOOKUP('תפוקה מצטברת מול אשתקד'!A56,איילון!A:G,4,0)+VLOOKUP('תפוקה מצטברת מול אשתקד'!A56,הראל!A:G,4,0)+VLOOKUP('תפוקה מצטברת מול אשתקד'!A56,הפניקס!A:G,4,0)+VLOOKUP('תפוקה מצטברת מול אשתקד'!A56,כלל!A:G,4,0)+VLOOKUP('תפוקה מצטברת מול אשתקד'!A56,מור!A:G,4,0)+VLOOKUP('תפוקה מצטברת מול אשתקד'!A56,'אלטשולר שחם'!A:G,4,0)+VLOOKUP('תפוקה מצטברת מול אשתקד'!A56,'מדיהו '!A:G,4,0)+VLOOKUP('תפוקה מצטברת מול אשתקד'!A56,'אנליסט '!A:G,4,0)+VLOOKUP('תפוקה מצטברת מול אשתקד'!A56,'מיטב דש'!A:G,4,0)+VLOOKUP('תפוקה מצטברת מול אשתקד'!A56,אינפניטי!A:G,4,0)</f>
        <v>226639.9309758762</v>
      </c>
      <c r="I56" s="68">
        <f>VLOOKUP(A56,הכשרה!A:G,5,0)+VLOOKUP('תפוקה מצטברת מול אשתקד'!A56,מגדל!A:G,5,0)+VLOOKUP('תפוקה מצטברת מול אשתקד'!A56,מנורה!A:G,5,0)+VLOOKUP('תפוקה מצטברת מול אשתקד'!A56,איילון!A:G,5,0)+VLOOKUP('תפוקה מצטברת מול אשתקד'!A56,הראל!A:G,5,0)+VLOOKUP('תפוקה מצטברת מול אשתקד'!A56,הפניקס!A:G,5,0)+VLOOKUP('תפוקה מצטברת מול אשתקד'!A56,כלל!A:G,5,0)+VLOOKUP('תפוקה מצטברת מול אשתקד'!A56,מור!A:G,5,0)+VLOOKUP('תפוקה מצטברת מול אשתקד'!A56,'אלטשולר שחם'!A:G,5,0)+VLOOKUP('תפוקה מצטברת מול אשתקד'!A56,'מדיהו '!A:G,5,0)+VLOOKUP('תפוקה מצטברת מול אשתקד'!A56,'אנליסט '!A:G,5,0)+VLOOKUP('תפוקה מצטברת מול אשתקד'!A56,'מיטב דש'!A:G,5,0)+VLOOKUP('תפוקה מצטברת מול אשתקד'!A56,אינפניטי!A:G,5,0)</f>
        <v>20290.507874547169</v>
      </c>
      <c r="J56" s="68">
        <f>VLOOKUP(A56,הכשרה!A:G,6,0)+VLOOKUP('תפוקה מצטברת מול אשתקד'!A56,מגדל!A:G,6,0)+VLOOKUP('תפוקה מצטברת מול אשתקד'!A56,מנורה!A:G,6,0)+VLOOKUP('תפוקה מצטברת מול אשתקד'!A56,איילון!A:G,6,0)+VLOOKUP(A56,הראל!A:G,6,0)+VLOOKUP('תפוקה מצטברת מול אשתקד'!A56,הפניקס!A:G,6,0)+VLOOKUP('תפוקה מצטברת מול אשתקד'!A56,כלל!A:G,6,0)+VLOOKUP('תפוקה מצטברת מול אשתקד'!A56,מור!A:G,6,0)+VLOOKUP('תפוקה מצטברת מול אשתקד'!A56,'אלטשולר שחם'!A:G,6,0)+VLOOKUP('תפוקה מצטברת מול אשתקד'!A56,'מדיהו '!A:G,6,0)+VLOOKUP('תפוקה מצטברת מול אשתקד'!A56,'אנליסט '!A:G,6,0)+VLOOKUP('תפוקה מצטברת מול אשתקד'!A56,'מיטב דש'!A:G,6,0)+VLOOKUP('תפוקה מצטברת מול אשתקד'!A56,אינפניטי!A:G,6,0)</f>
        <v>170958.08383233531</v>
      </c>
      <c r="K56" s="68">
        <f>VLOOKUP(A56,הכשרה!A:G,7,0)+VLOOKUP('תפוקה מצטברת מול אשתקד'!A56,מגדל!A:G,7,0)+VLOOKUP('תפוקה מצטברת מול אשתקד'!A56,מנורה!A:G,7,0)+VLOOKUP('תפוקה מצטברת מול אשתקד'!A56,איילון!A:G,7,0)+VLOOKUP('תפוקה מצטברת מול אשתקד'!A56,הראל!A:G,7,0)+VLOOKUP('תפוקה מצטברת מול אשתקד'!A56,הפניקס!A:G,7,0)+VLOOKUP('תפוקה מצטברת מול אשתקד'!A56,כלל!A:G,7,0)+VLOOKUP('תפוקה מצטברת מול אשתקד'!A56,מור!A:G,7,0)+VLOOKUP('תפוקה מצטברת מול אשתקד'!A56,'אלטשולר שחם'!A:G,7,0)+VLOOKUP('תפוקה מצטברת מול אשתקד'!A56,'מדיהו '!A:K,7,0)+VLOOKUP(A56,'אנליסט '!A:G,7,0)+VLOOKUP('תפוקה מצטברת מול אשתקד'!A56,'מיטב דש'!A:G,7,0)+VLOOKUP('תפוקה מצטברת מול אשתקד'!A56,אינפניטי!A:G,7,0)</f>
        <v>1436228.62</v>
      </c>
      <c r="L56" s="12">
        <f>VLOOKUP(A56,הכשרה!A:K,8,0)+VLOOKUP('תפוקה מצטברת מול אשתקד'!A56,מגדל!A:K,8,0)+VLOOKUP('תפוקה מצטברת מול אשתקד'!A56,מנורה!A:K,8,0)+VLOOKUP('תפוקה מצטברת מול אשתקד'!A56,איילון!A:K,8,0)+VLOOKUP('תפוקה מצטברת מול אשתקד'!A56,הראל!A:K,8,0)+VLOOKUP('תפוקה מצטברת מול אשתקד'!A56,הפניקס!A:K,8,0)+VLOOKUP('תפוקה מצטברת מול אשתקד'!A56,כלל!A:K,8,0)+VLOOKUP('תפוקה מצטברת מול אשתקד'!A56,מור!A:K,8,0)+VLOOKUP('תפוקה מצטברת מול אשתקד'!A56,'אלטשולר שחם'!A:K,8,0)+VLOOKUP('תפוקה מצטברת מול אשתקד'!A56,'מדיהו '!A:K,8,0)+VLOOKUP('תפוקה מצטברת מול אשתקד'!A56,'אנליסט '!A:K,8,0)+VLOOKUP('תפוקה מצטברת מול אשתקד'!A56,'מיטב דש'!A:K,8,0)+VLOOKUP('תפוקה מצטברת מול אשתקד'!A56,אינפניטי!A:K,8,0)</f>
        <v>87053.444878900278</v>
      </c>
      <c r="M56" s="12">
        <f>VLOOKUP(A56,הכשרה!A:K,9,0)+VLOOKUP('תפוקה מצטברת מול אשתקד'!A56,מגדל!A:K,9,0)+VLOOKUP('תפוקה מצטברת מול אשתקד'!A56,מנורה!A:K,9,0)+VLOOKUP('תפוקה מצטברת מול אשתקד'!A56,איילון!A:K,9,0)+VLOOKUP('תפוקה מצטברת מול אשתקד'!A56,הראל!A:K,9,0)+VLOOKUP('תפוקה מצטברת מול אשתקד'!A56,הפניקס!A:K,9,0)+VLOOKUP('תפוקה מצטברת מול אשתקד'!A56,כלל!A:K,9,0)+VLOOKUP('תפוקה מצטברת מול אשתקד'!A56,מור!A:K,9,0)+VLOOKUP('תפוקה מצטברת מול אשתקד'!A56,'אלטשולר שחם'!A:K,9,0)+VLOOKUP('תפוקה מצטברת מול אשתקד'!A56,'מדיהו '!A:K,9,0)+VLOOKUP('תפוקה מצטברת מול אשתקד'!A56,'אנליסט '!A:K,9,0)+VLOOKUP('תפוקה מצטברת מול אשתקד'!A56,'מיטב דש'!A:K,9,0)+VLOOKUP('תפוקה מצטברת מול אשתקד'!A56,אינפניטי!A:K,9,0)</f>
        <v>27865.22216228877</v>
      </c>
      <c r="N56" s="12">
        <f>VLOOKUP(A56,הכשרה!A:K,10,0)+VLOOKUP('תפוקה מצטברת מול אשתקד'!A56,מגדל!A:K,10,0)+VLOOKUP('תפוקה מצטברת מול אשתקד'!A56,מנורה!A:K,10,0)+VLOOKUP('תפוקה מצטברת מול אשתקד'!A56,איילון!A:K,10,0)+VLOOKUP('תפוקה מצטברת מול אשתקד'!A56,הראל!A:K,10,0)+VLOOKUP('תפוקה מצטברת מול אשתקד'!A56,הפניקס!A:K,10,0)+VLOOKUP('תפוקה מצטברת מול אשתקד'!A56,כלל!A:K,10,0)+VLOOKUP('תפוקה מצטברת מול אשתקד'!A56,מור!A:K,10,0)+VLOOKUP('תפוקה מצטברת מול אשתקד'!A56,'אלטשולר שחם'!A:K,10,0)+VLOOKUP('תפוקה מצטברת מול אשתקד'!A56,'מדיהו '!A:K,10,0)+VLOOKUP('תפוקה מצטברת מול אשתקד'!A56,'אנליסט '!A:K,10,0)+VLOOKUP('תפוקה מצטברת מול אשתקד'!A56,'מיטב דש'!A:K,10,0)+VLOOKUP('תפוקה מצטברת מול אשתקד'!A56,אינפניטי!A:K,10,0)</f>
        <v>1762916.582986326</v>
      </c>
      <c r="O56" s="12">
        <f>VLOOKUP(A56,הכשרה!A:K,11,0)+VLOOKUP('תפוקה מצטברת מול אשתקד'!A56,מגדל!A:K,11,0)+VLOOKUP('תפוקה מצטברת מול אשתקד'!A56,מנורה!A:K,11,0)+VLOOKUP('תפוקה מצטברת מול אשתקד'!A56,איילון!A:K,11,0)+VLOOKUP('תפוקה מצטברת מול אשתקד'!A56,הראל!A:K,11,0)+VLOOKUP('תפוקה מצטברת מול אשתקד'!A56,הפניקס!A:K,11,0)+VLOOKUP('תפוקה מצטברת מול אשתקד'!A56,כלל!A:K,11,0)+VLOOKUP('תפוקה מצטברת מול אשתקד'!A56,מור!A:K,11,0)+VLOOKUP('תפוקה מצטברת מול אשתקד'!A56,'אלטשולר שחם'!A:K,11,0)+VLOOKUP('תפוקה מצטברת מול אשתקד'!A56,'מדיהו '!A:K,11,0)+VLOOKUP('תפוקה מצטברת מול אשתקד'!A56,'אנליסט '!A:K,11,0)+VLOOKUP('תפוקה מצטברת מול אשתקד'!A56,'מיטב דש'!A:K,11,0)+VLOOKUP('תפוקה מצטברת מול אשתקד'!A56,אינפניטי!A:K,11,0)</f>
        <v>1841281.4850490007</v>
      </c>
    </row>
    <row r="57" spans="1:15" ht="15.75" customHeight="1" x14ac:dyDescent="0.25">
      <c r="A57" s="27" t="s">
        <v>37</v>
      </c>
      <c r="B57" s="27" t="s">
        <v>123</v>
      </c>
      <c r="C57" s="28" t="s">
        <v>115</v>
      </c>
      <c r="D57" s="20">
        <f t="shared" si="14"/>
        <v>-0.71743259293176398</v>
      </c>
      <c r="E57" s="20">
        <f t="shared" si="14"/>
        <v>0</v>
      </c>
      <c r="F57" s="20">
        <f t="shared" si="14"/>
        <v>0</v>
      </c>
      <c r="G57" s="20">
        <f>IF(K57=0,0%,IF(O57=H78,100%,K57/O57-1))</f>
        <v>0</v>
      </c>
      <c r="H57" s="68">
        <f>VLOOKUP(A57,הכשרה!A:G,4,0)+VLOOKUP('תפוקה מצטברת מול אשתקד'!A57,מגדל!A:G,4,0)+VLOOKUP('תפוקה מצטברת מול אשתקד'!A57,מנורה!A:G,4,0)+VLOOKUP('תפוקה מצטברת מול אשתקד'!A57,איילון!A:G,4,0)+VLOOKUP('תפוקה מצטברת מול אשתקד'!A57,הראל!A:G,4,0)+VLOOKUP('תפוקה מצטברת מול אשתקד'!A57,הפניקס!A:G,4,0)+VLOOKUP('תפוקה מצטברת מול אשתקד'!A57,כלל!A:G,4,0)+VLOOKUP('תפוקה מצטברת מול אשתקד'!A57,מור!A:G,4,0)+VLOOKUP('תפוקה מצטברת מול אשתקד'!A57,'אלטשולר שחם'!A:G,4,0)+VLOOKUP('תפוקה מצטברת מול אשתקד'!A57,'מדיהו '!A:G,4,0)+VLOOKUP('תפוקה מצטברת מול אשתקד'!A57,'אנליסט '!A:G,4,0)+VLOOKUP('תפוקה מצטברת מול אשתקד'!A57,'מיטב דש'!A:G,4,0)+VLOOKUP('תפוקה מצטברת מול אשתקד'!A57,אינפניטי!A:G,4,0)</f>
        <v>9592.08</v>
      </c>
      <c r="I57" s="68">
        <f>VLOOKUP(A57,הכשרה!A:G,5,0)+VLOOKUP('תפוקה מצטברת מול אשתקד'!A57,מגדל!A:G,5,0)+VLOOKUP('תפוקה מצטברת מול אשתקד'!A57,מנורה!A:G,5,0)+VLOOKUP('תפוקה מצטברת מול אשתקד'!A57,איילון!A:G,5,0)+VLOOKUP('תפוקה מצטברת מול אשתקד'!A57,הראל!A:G,5,0)+VLOOKUP('תפוקה מצטברת מול אשתקד'!A57,הפניקס!A:G,5,0)+VLOOKUP('תפוקה מצטברת מול אשתקד'!A57,כלל!A:G,5,0)+VLOOKUP('תפוקה מצטברת מול אשתקד'!A57,מור!A:G,5,0)+VLOOKUP('תפוקה מצטברת מול אשתקד'!A57,'אלטשולר שחם'!A:G,5,0)+VLOOKUP('תפוקה מצטברת מול אשתקד'!A57,'מדיהו '!A:G,5,0)+VLOOKUP('תפוקה מצטברת מול אשתקד'!A57,'אנליסט '!A:G,5,0)+VLOOKUP('תפוקה מצטברת מול אשתקד'!A57,'מיטב דש'!A:G,5,0)+VLOOKUP('תפוקה מצטברת מול אשתקד'!A57,אינפניטי!A:G,5,0)</f>
        <v>0</v>
      </c>
      <c r="J57" s="68">
        <f>VLOOKUP(A57,הכשרה!A:G,6,0)+VLOOKUP('תפוקה מצטברת מול אשתקד'!A57,מגדל!A:G,6,0)+VLOOKUP('תפוקה מצטברת מול אשתקד'!A57,מנורה!A:G,6,0)+VLOOKUP('תפוקה מצטברת מול אשתקד'!A57,איילון!A:G,6,0)+VLOOKUP(A57,הראל!A:G,6,0)+VLOOKUP('תפוקה מצטברת מול אשתקד'!A57,הפניקס!A:G,6,0)+VLOOKUP('תפוקה מצטברת מול אשתקד'!A57,כלל!A:G,6,0)+VLOOKUP('תפוקה מצטברת מול אשתקד'!A57,מור!A:G,6,0)+VLOOKUP('תפוקה מצטברת מול אשתקד'!A57,'אלטשולר שחם'!A:G,6,0)+VLOOKUP('תפוקה מצטברת מול אשתקד'!A57,'מדיהו '!A:G,6,0)+VLOOKUP('תפוקה מצטברת מול אשתקד'!A57,'אנליסט '!A:G,6,0)+VLOOKUP('תפוקה מצטברת מול אשתקד'!A57,'מיטב דש'!A:G,6,0)+VLOOKUP('תפוקה מצטברת מול אשתקד'!A57,אינפניטי!A:G,6,0)</f>
        <v>0</v>
      </c>
      <c r="K57" s="68">
        <f>VLOOKUP(A57,הכשרה!A:G,7,0)+VLOOKUP('תפוקה מצטברת מול אשתקד'!A57,מגדל!A:G,7,0)+VLOOKUP('תפוקה מצטברת מול אשתקד'!A57,מנורה!A:G,7,0)+VLOOKUP('תפוקה מצטברת מול אשתקד'!A57,איילון!A:G,7,0)+VLOOKUP('תפוקה מצטברת מול אשתקד'!A57,הראל!A:G,7,0)+VLOOKUP('תפוקה מצטברת מול אשתקד'!A57,הפניקס!A:G,7,0)+VLOOKUP('תפוקה מצטברת מול אשתקד'!A57,כלל!A:G,7,0)+VLOOKUP('תפוקה מצטברת מול אשתקד'!A57,מור!A:G,7,0)+VLOOKUP('תפוקה מצטברת מול אשתקד'!A57,'אלטשולר שחם'!A:G,7,0)+VLOOKUP('תפוקה מצטברת מול אשתקד'!A57,'מדיהו '!A:K,7,0)+VLOOKUP(A57,'אנליסט '!A:G,7,0)+VLOOKUP('תפוקה מצטברת מול אשתקד'!A57,'מיטב דש'!A:G,7,0)+VLOOKUP('תפוקה מצטברת מול אשתקד'!A57,אינפניטי!A:G,7,0)</f>
        <v>0</v>
      </c>
      <c r="L57" s="12">
        <f>VLOOKUP(A57,הכשרה!A:K,8,0)+VLOOKUP('תפוקה מצטברת מול אשתקד'!A57,מגדל!A:K,8,0)+VLOOKUP('תפוקה מצטברת מול אשתקד'!A57,מנורה!A:K,8,0)+VLOOKUP('תפוקה מצטברת מול אשתקד'!A57,איילון!A:K,8,0)+VLOOKUP('תפוקה מצטברת מול אשתקד'!A57,הראל!A:K,8,0)+VLOOKUP('תפוקה מצטברת מול אשתקד'!A57,הפניקס!A:K,8,0)+VLOOKUP('תפוקה מצטברת מול אשתקד'!A57,כלל!A:K,8,0)+VLOOKUP('תפוקה מצטברת מול אשתקד'!A57,מור!A:K,8,0)+VLOOKUP('תפוקה מצטברת מול אשתקד'!A57,'אלטשולר שחם'!A:K,8,0)+VLOOKUP('תפוקה מצטברת מול אשתקד'!A57,'מדיהו '!A:K,8,0)+VLOOKUP('תפוקה מצטברת מול אשתקד'!A57,'אנליסט '!A:K,8,0)+VLOOKUP('תפוקה מצטברת מול אשתקד'!A57,'מיטב דש'!A:K,8,0)+VLOOKUP('תפוקה מצטברת מול אשתקד'!A57,אינפניטי!A:K,8,0)</f>
        <v>33946.165623000001</v>
      </c>
      <c r="M57" s="12">
        <f>VLOOKUP(A57,הכשרה!A:K,9,0)+VLOOKUP('תפוקה מצטברת מול אשתקד'!A57,מגדל!A:K,9,0)+VLOOKUP('תפוקה מצטברת מול אשתקד'!A57,מנורה!A:K,9,0)+VLOOKUP('תפוקה מצטברת מול אשתקד'!A57,איילון!A:K,9,0)+VLOOKUP('תפוקה מצטברת מול אשתקד'!A57,הראל!A:K,9,0)+VLOOKUP('תפוקה מצטברת מול אשתקד'!A57,הפניקס!A:K,9,0)+VLOOKUP('תפוקה מצטברת מול אשתקד'!A57,כלל!A:K,9,0)+VLOOKUP('תפוקה מצטברת מול אשתקד'!A57,מור!A:K,9,0)+VLOOKUP('תפוקה מצטברת מול אשתקד'!A57,'אלטשולר שחם'!A:K,9,0)+VLOOKUP('תפוקה מצטברת מול אשתקד'!A57,'מדיהו '!A:K,9,0)+VLOOKUP('תפוקה מצטברת מול אשתקד'!A57,'אנליסט '!A:K,9,0)+VLOOKUP('תפוקה מצטברת מול אשתקד'!A57,'מיטב דש'!A:K,9,0)+VLOOKUP('תפוקה מצטברת מול אשתקד'!A57,אינפניטי!A:K,9,0)</f>
        <v>0</v>
      </c>
      <c r="N57" s="12">
        <f>VLOOKUP(A57,הכשרה!A:K,10,0)+VLOOKUP('תפוקה מצטברת מול אשתקד'!A57,מגדל!A:K,10,0)+VLOOKUP('תפוקה מצטברת מול אשתקד'!A57,מנורה!A:K,10,0)+VLOOKUP('תפוקה מצטברת מול אשתקד'!A57,איילון!A:K,10,0)+VLOOKUP('תפוקה מצטברת מול אשתקד'!A57,הראל!A:K,10,0)+VLOOKUP('תפוקה מצטברת מול אשתקד'!A57,הפניקס!A:K,10,0)+VLOOKUP('תפוקה מצטברת מול אשתקד'!A57,כלל!A:K,10,0)+VLOOKUP('תפוקה מצטברת מול אשתקד'!A57,מור!A:K,10,0)+VLOOKUP('תפוקה מצטברת מול אשתקד'!A57,'אלטשולר שחם'!A:K,10,0)+VLOOKUP('תפוקה מצטברת מול אשתקד'!A57,'מדיהו '!A:K,10,0)+VLOOKUP('תפוקה מצטברת מול אשתקד'!A57,'אנליסט '!A:K,10,0)+VLOOKUP('תפוקה מצטברת מול אשתקד'!A57,'מיטב דש'!A:K,10,0)+VLOOKUP('תפוקה מצטברת מול אשתקד'!A57,אינפניטי!A:K,10,0)</f>
        <v>89.011026000000001</v>
      </c>
      <c r="O57" s="12">
        <f>VLOOKUP(A57,הכשרה!A:K,11,0)+VLOOKUP('תפוקה מצטברת מול אשתקד'!A57,מגדל!A:K,11,0)+VLOOKUP('תפוקה מצטברת מול אשתקד'!A57,מנורה!A:K,11,0)+VLOOKUP('תפוקה מצטברת מול אשתקד'!A57,איילון!A:K,11,0)+VLOOKUP('תפוקה מצטברת מול אשתקד'!A57,הראל!A:K,11,0)+VLOOKUP('תפוקה מצטברת מול אשתקד'!A57,הפניקס!A:K,11,0)+VLOOKUP('תפוקה מצטברת מול אשתקד'!A57,כלל!A:K,11,0)+VLOOKUP('תפוקה מצטברת מול אשתקד'!A57,מור!A:K,11,0)+VLOOKUP('תפוקה מצטברת מול אשתקד'!A57,'אלטשולר שחם'!A:K,11,0)+VLOOKUP('תפוקה מצטברת מול אשתקד'!A57,'מדיהו '!A:K,11,0)+VLOOKUP('תפוקה מצטברת מול אשתקד'!A57,'אנליסט '!A:K,11,0)+VLOOKUP('תפוקה מצטברת מול אשתקד'!A57,'מיטב דש'!A:K,11,0)+VLOOKUP('תפוקה מצטברת מול אשתקד'!A57,אינפניטי!A:K,11,0)</f>
        <v>15623.53866</v>
      </c>
    </row>
    <row r="58" spans="1:15" ht="15.75" customHeight="1" x14ac:dyDescent="0.25">
      <c r="A58" s="31" t="s">
        <v>33</v>
      </c>
      <c r="B58" s="27" t="s">
        <v>123</v>
      </c>
      <c r="C58" s="27" t="s">
        <v>115</v>
      </c>
      <c r="D58" s="20">
        <f t="shared" si="14"/>
        <v>-2.2552211408748746</v>
      </c>
      <c r="E58" s="20">
        <f t="shared" si="14"/>
        <v>-0.72831951296315744</v>
      </c>
      <c r="F58" s="20">
        <f t="shared" si="14"/>
        <v>139.84635575520457</v>
      </c>
      <c r="G58" s="20">
        <f>IF(K58=0,0%,IF(O58=H96,100%,K58/O58-1))</f>
        <v>0</v>
      </c>
      <c r="H58" s="68">
        <f>VLOOKUP(A58,הכשרה!A:G,4,0)+VLOOKUP('תפוקה מצטברת מול אשתקד'!A58,מגדל!A:G,4,0)+VLOOKUP('תפוקה מצטברת מול אשתקד'!A58,מנורה!A:G,4,0)+VLOOKUP('תפוקה מצטברת מול אשתקד'!A58,איילון!A:G,4,0)+VLOOKUP('תפוקה מצטברת מול אשתקד'!A58,הראל!A:G,4,0)+VLOOKUP('תפוקה מצטברת מול אשתקד'!A58,הפניקס!A:G,4,0)+VLOOKUP('תפוקה מצטברת מול אשתקד'!A58,כלל!A:G,4,0)+VLOOKUP('תפוקה מצטברת מול אשתקד'!A58,מור!A:G,4,0)+VLOOKUP('תפוקה מצטברת מול אשתקד'!A58,'אלטשולר שחם'!A:G,4,0)+VLOOKUP('תפוקה מצטברת מול אשתקד'!A58,'מדיהו '!A:G,4,0)+VLOOKUP('תפוקה מצטברת מול אשתקד'!A58,'אנליסט '!A:G,4,0)+VLOOKUP('תפוקה מצטברת מול אשתקד'!A58,'מיטב דש'!A:G,4,0)+VLOOKUP('תפוקה מצטברת מול אשתקד'!A58,אינפניטי!A:G,4,0)</f>
        <v>10515.61</v>
      </c>
      <c r="I58" s="68">
        <f>VLOOKUP(A58,הכשרה!A:G,5,0)+VLOOKUP('תפוקה מצטברת מול אשתקד'!A58,מגדל!A:G,5,0)+VLOOKUP('תפוקה מצטברת מול אשתקד'!A58,מנורה!A:G,5,0)+VLOOKUP('תפוקה מצטברת מול אשתקד'!A58,איילון!A:G,5,0)+VLOOKUP('תפוקה מצטברת מול אשתקד'!A58,הראל!A:G,5,0)+VLOOKUP('תפוקה מצטברת מול אשתקד'!A58,הפניקס!A:G,5,0)+VLOOKUP('תפוקה מצטברת מול אשתקד'!A58,כלל!A:G,5,0)+VLOOKUP('תפוקה מצטברת מול אשתקד'!A58,מור!A:G,5,0)+VLOOKUP('תפוקה מצטברת מול אשתקד'!A58,'אלטשולר שחם'!A:G,5,0)+VLOOKUP('תפוקה מצטברת מול אשתקד'!A58,'מדיהו '!A:G,5,0)+VLOOKUP('תפוקה מצטברת מול אשתקד'!A58,'אנליסט '!A:G,5,0)+VLOOKUP('תפוקה מצטברת מול אשתקד'!A58,'מיטב דש'!A:G,5,0)+VLOOKUP('תפוקה מצטברת מול אשתקד'!A58,אינפניטי!A:G,5,0)</f>
        <v>517.66</v>
      </c>
      <c r="J58" s="68">
        <f>VLOOKUP(A58,הכשרה!A:G,6,0)+VLOOKUP('תפוקה מצטברת מול אשתקד'!A58,מגדל!A:G,6,0)+VLOOKUP('תפוקה מצטברת מול אשתקד'!A58,מנורה!A:G,6,0)+VLOOKUP('תפוקה מצטברת מול אשתקד'!A58,איילון!A:G,6,0)+VLOOKUP(A58,הראל!A:G,6,0)+VLOOKUP('תפוקה מצטברת מול אשתקד'!A58,הפניקס!A:G,6,0)+VLOOKUP('תפוקה מצטברת מול אשתקד'!A58,כלל!A:G,6,0)+VLOOKUP('תפוקה מצטברת מול אשתקד'!A58,מור!A:G,6,0)+VLOOKUP('תפוקה מצטברת מול אשתקד'!A58,'אלטשולר שחם'!A:G,6,0)+VLOOKUP('תפוקה מצטברת מול אשתקד'!A58,'מדיהו '!A:G,6,0)+VLOOKUP('תפוקה מצטברת מול אשתקד'!A58,'אנליסט '!A:G,6,0)+VLOOKUP('תפוקה מצטברת מול אשתקד'!A58,'מיטב דש'!A:G,6,0)+VLOOKUP('תפוקה מצטברת מול אשתקד'!A58,אינפניטי!A:G,6,0)</f>
        <v>635650.80000000005</v>
      </c>
      <c r="K58" s="68">
        <f>VLOOKUP(A58,הכשרה!A:G,7,0)+VLOOKUP('תפוקה מצטברת מול אשתקד'!A58,מגדל!A:G,7,0)+VLOOKUP('תפוקה מצטברת מול אשתקד'!A58,מנורה!A:G,7,0)+VLOOKUP('תפוקה מצטברת מול אשתקד'!A58,איילון!A:G,7,0)+VLOOKUP('תפוקה מצטברת מול אשתקד'!A58,הראל!A:G,7,0)+VLOOKUP('תפוקה מצטברת מול אשתקד'!A58,הפניקס!A:G,7,0)+VLOOKUP('תפוקה מצטברת מול אשתקד'!A58,כלל!A:G,7,0)+VLOOKUP('תפוקה מצטברת מול אשתקד'!A58,מור!A:G,7,0)+VLOOKUP('תפוקה מצטברת מול אשתקד'!A58,'אלטשולר שחם'!A:G,7,0)+VLOOKUP('תפוקה מצטברת מול אשתקד'!A58,'מדיהו '!A:K,7,0)+VLOOKUP(A58,'אנליסט '!A:G,7,0)+VLOOKUP('תפוקה מצטברת מול אשתקד'!A58,'מיטב דש'!A:G,7,0)+VLOOKUP('תפוקה מצטברת מול אשתקד'!A58,אינפניטי!A:G,7,0)</f>
        <v>0</v>
      </c>
      <c r="L58" s="12">
        <f>VLOOKUP(A58,הכשרה!A:K,8,0)+VLOOKUP('תפוקה מצטברת מול אשתקד'!A58,מגדל!A:K,8,0)+VLOOKUP('תפוקה מצטברת מול אשתקד'!A58,מנורה!A:K,8,0)+VLOOKUP('תפוקה מצטברת מול אשתקד'!A58,איילון!A:K,8,0)+VLOOKUP('תפוקה מצטברת מול אשתקד'!A58,הראל!A:K,8,0)+VLOOKUP('תפוקה מצטברת מול אשתקד'!A58,הפניקס!A:K,8,0)+VLOOKUP('תפוקה מצטברת מול אשתקד'!A58,כלל!A:K,8,0)+VLOOKUP('תפוקה מצטברת מול אשתקד'!A58,מור!A:K,8,0)+VLOOKUP('תפוקה מצטברת מול אשתקד'!A58,'אלטשולר שחם'!A:K,8,0)+VLOOKUP('תפוקה מצטברת מול אשתקד'!A58,'מדיהו '!A:K,8,0)+VLOOKUP('תפוקה מצטברת מול אשתקד'!A58,'אנליסט '!A:K,8,0)+VLOOKUP('תפוקה מצטברת מול אשתקד'!A58,'מיטב דש'!A:K,8,0)+VLOOKUP('תפוקה מצטברת מול אשתקד'!A58,אינפניטי!A:K,8,0)</f>
        <v>-8377.4959308530633</v>
      </c>
      <c r="M58" s="12">
        <f>VLOOKUP(A58,הכשרה!A:K,9,0)+VLOOKUP('תפוקה מצטברת מול אשתקד'!A58,מגדל!A:K,9,0)+VLOOKUP('תפוקה מצטברת מול אשתקד'!A58,מנורה!A:K,9,0)+VLOOKUP('תפוקה מצטברת מול אשתקד'!A58,איילון!A:K,9,0)+VLOOKUP('תפוקה מצטברת מול אשתקד'!A58,הראל!A:K,9,0)+VLOOKUP('תפוקה מצטברת מול אשתקד'!A58,הפניקס!A:K,9,0)+VLOOKUP('תפוקה מצטברת מול אשתקד'!A58,כלל!A:K,9,0)+VLOOKUP('תפוקה מצטברת מול אשתקד'!A58,מור!A:K,9,0)+VLOOKUP('תפוקה מצטברת מול אשתקד'!A58,'אלטשולר שחם'!A:K,9,0)+VLOOKUP('תפוקה מצטברת מול אשתקד'!A58,'מדיהו '!A:K,9,0)+VLOOKUP('תפוקה מצטברת מול אשתקד'!A58,'אנליסט '!A:K,9,0)+VLOOKUP('תפוקה מצטברת מול אשתקד'!A58,'מיטב דש'!A:K,9,0)+VLOOKUP('תפוקה מצטברת מול אשתקד'!A58,אינפניטי!A:K,9,0)</f>
        <v>1905.4</v>
      </c>
      <c r="N58" s="12">
        <f>VLOOKUP(A58,הכשרה!A:K,10,0)+VLOOKUP('תפוקה מצטברת מול אשתקד'!A58,מגדל!A:K,10,0)+VLOOKUP('תפוקה מצטברת מול אשתקד'!A58,מנורה!A:K,10,0)+VLOOKUP('תפוקה מצטברת מול אשתקד'!A58,איילון!A:K,10,0)+VLOOKUP('תפוקה מצטברת מול אשתקד'!A58,הראל!A:K,10,0)+VLOOKUP('תפוקה מצטברת מול אשתקד'!A58,הפניקס!A:K,10,0)+VLOOKUP('תפוקה מצטברת מול אשתקד'!A58,כלל!A:K,10,0)+VLOOKUP('תפוקה מצטברת מול אשתקד'!A58,מור!A:K,10,0)+VLOOKUP('תפוקה מצטברת מול אשתקד'!A58,'אלטשולר שחם'!A:K,10,0)+VLOOKUP('תפוקה מצטברת מול אשתקד'!A58,'מדיהו '!A:K,10,0)+VLOOKUP('תפוקה מצטברת מול אשתקד'!A58,'אנליסט '!A:K,10,0)+VLOOKUP('תפוקה מצטברת מול אשתקד'!A58,'מיטב דש'!A:K,10,0)+VLOOKUP('תפוקה מצטברת מול אשתקד'!A58,אינפניטי!A:K,10,0)</f>
        <v>4513.0794942595548</v>
      </c>
      <c r="O58" s="12">
        <f>VLOOKUP(A58,הכשרה!A:K,11,0)+VLOOKUP('תפוקה מצטברת מול אשתקד'!A58,מגדל!A:K,11,0)+VLOOKUP('תפוקה מצטברת מול אשתקד'!A58,מנורה!A:K,11,0)+VLOOKUP('תפוקה מצטברת מול אשתקד'!A58,איילון!A:K,11,0)+VLOOKUP('תפוקה מצטברת מול אשתקד'!A58,הראל!A:K,11,0)+VLOOKUP('תפוקה מצטברת מול אשתקד'!A58,הפניקס!A:K,11,0)+VLOOKUP('תפוקה מצטברת מול אשתקד'!A58,כלל!A:K,11,0)+VLOOKUP('תפוקה מצטברת מול אשתקד'!A58,מור!A:K,11,0)+VLOOKUP('תפוקה מצטברת מול אשתקד'!A58,'אלטשולר שחם'!A:K,11,0)+VLOOKUP('תפוקה מצטברת מול אשתקד'!A58,'מדיהו '!A:K,11,0)+VLOOKUP('תפוקה מצטברת מול אשתקד'!A58,'אנליסט '!A:K,11,0)+VLOOKUP('תפוקה מצטברת מול אשתקד'!A58,'מיטב דש'!A:K,11,0)+VLOOKUP('תפוקה מצטברת מול אשתקד'!A58,אינפניטי!A:K,11,0)</f>
        <v>0</v>
      </c>
    </row>
    <row r="59" spans="1:15" ht="15.75" customHeight="1" x14ac:dyDescent="0.25">
      <c r="A59" s="27" t="s">
        <v>92</v>
      </c>
      <c r="B59" s="27" t="s">
        <v>123</v>
      </c>
      <c r="C59" s="27" t="s">
        <v>115</v>
      </c>
      <c r="D59" s="20">
        <f t="shared" si="14"/>
        <v>8.3970343318224181</v>
      </c>
      <c r="E59" s="20">
        <f t="shared" si="14"/>
        <v>3.7652583357571183</v>
      </c>
      <c r="F59" s="20">
        <f t="shared" si="14"/>
        <v>352.89620977167124</v>
      </c>
      <c r="G59" s="20">
        <f>IF(K59=0,0%,IF(O59=H86,100%,K59/O59-1))</f>
        <v>-1.3915633264366776</v>
      </c>
      <c r="H59" s="68">
        <f>VLOOKUP(A59,הכשרה!A:G,4,0)+VLOOKUP('תפוקה מצטברת מול אשתקד'!A59,מגדל!A:G,4,0)+VLOOKUP('תפוקה מצטברת מול אשתקד'!A59,מנורה!A:G,4,0)+VLOOKUP('תפוקה מצטברת מול אשתקד'!A59,איילון!A:G,4,0)+VLOOKUP('תפוקה מצטברת מול אשתקד'!A59,הראל!A:G,4,0)+VLOOKUP('תפוקה מצטברת מול אשתקד'!A59,הפניקס!A:G,4,0)+VLOOKUP('תפוקה מצטברת מול אשתקד'!A59,כלל!A:G,4,0)+VLOOKUP('תפוקה מצטברת מול אשתקד'!A59,מור!A:G,4,0)+VLOOKUP('תפוקה מצטברת מול אשתקד'!A59,'אלטשולר שחם'!A:G,4,0)+VLOOKUP('תפוקה מצטברת מול אשתקד'!A59,'מדיהו '!A:G,4,0)+VLOOKUP('תפוקה מצטברת מול אשתקד'!A59,'אנליסט '!A:G,4,0)+VLOOKUP('תפוקה מצטברת מול אשתקד'!A59,'מיטב דש'!A:G,4,0)+VLOOKUP('תפוקה מצטברת מול אשתקד'!A59,אינפניטי!A:G,4,0)</f>
        <v>153103.63584008455</v>
      </c>
      <c r="I59" s="68">
        <f>VLOOKUP(A59,הכשרה!A:G,5,0)+VLOOKUP('תפוקה מצטברת מול אשתקד'!A59,מגדל!A:G,5,0)+VLOOKUP('תפוקה מצטברת מול אשתקד'!A59,מנורה!A:G,5,0)+VLOOKUP('תפוקה מצטברת מול אשתקד'!A59,איילון!A:G,5,0)+VLOOKUP('תפוקה מצטברת מול אשתקד'!A59,הראל!A:G,5,0)+VLOOKUP('תפוקה מצטברת מול אשתקד'!A59,הפניקס!A:G,5,0)+VLOOKUP('תפוקה מצטברת מול אשתקד'!A59,כלל!A:G,5,0)+VLOOKUP('תפוקה מצטברת מול אשתקד'!A59,מור!A:G,5,0)+VLOOKUP('תפוקה מצטברת מול אשתקד'!A59,'אלטשולר שחם'!A:G,5,0)+VLOOKUP('תפוקה מצטברת מול אשתקד'!A59,'מדיהו '!A:G,5,0)+VLOOKUP('תפוקה מצטברת מול אשתקד'!A59,'אנליסט '!A:G,5,0)+VLOOKUP('תפוקה מצטברת מול אשתקד'!A59,'מיטב דש'!A:G,5,0)+VLOOKUP('תפוקה מצטברת מול אשתקד'!A59,אינפניטי!A:G,5,0)</f>
        <v>11939.036805257236</v>
      </c>
      <c r="J59" s="68">
        <f>VLOOKUP(A59,הכשרה!A:G,6,0)+VLOOKUP('תפוקה מצטברת מול אשתקד'!A59,מגדל!A:G,6,0)+VLOOKUP('תפוקה מצטברת מול אשתקד'!A59,מנורה!A:G,6,0)+VLOOKUP('תפוקה מצטברת מול אשתקד'!A59,איילון!A:G,6,0)+VLOOKUP(A59,הראל!A:G,6,0)+VLOOKUP('תפוקה מצטברת מול אשתקד'!A59,הפניקס!A:G,6,0)+VLOOKUP('תפוקה מצטברת מול אשתקד'!A59,כלל!A:G,6,0)+VLOOKUP('תפוקה מצטברת מול אשתקד'!A59,מור!A:G,6,0)+VLOOKUP('תפוקה מצטברת מול אשתקד'!A59,'אלטשולר שחם'!A:G,6,0)+VLOOKUP('תפוקה מצטברת מול אשתקד'!A59,'מדיהו '!A:G,6,0)+VLOOKUP('תפוקה מצטברת מול אשתקד'!A59,'אנליסט '!A:G,6,0)+VLOOKUP('תפוקה מצטברת מול אשתקד'!A59,'מיטב דש'!A:G,6,0)+VLOOKUP('תפוקה מצטברת מול אשתקד'!A59,אינפניטי!A:G,6,0)</f>
        <v>1761489.56</v>
      </c>
      <c r="K59" s="68">
        <f>VLOOKUP(A59,הכשרה!A:G,7,0)+VLOOKUP('תפוקה מצטברת מול אשתקד'!A59,מגדל!A:G,7,0)+VLOOKUP('תפוקה מצטברת מול אשתקד'!A59,מנורה!A:G,7,0)+VLOOKUP('תפוקה מצטברת מול אשתקד'!A59,איילון!A:G,7,0)+VLOOKUP('תפוקה מצטברת מול אשתקד'!A59,הראל!A:G,7,0)+VLOOKUP('תפוקה מצטברת מול אשתקד'!A59,הפניקס!A:G,7,0)+VLOOKUP('תפוקה מצטברת מול אשתקד'!A59,כלל!A:G,7,0)+VLOOKUP('תפוקה מצטברת מול אשתקד'!A59,מור!A:G,7,0)+VLOOKUP('תפוקה מצטברת מול אשתקד'!A59,'אלטשולר שחם'!A:G,7,0)+VLOOKUP('תפוקה מצטברת מול אשתקד'!A59,'מדיהו '!A:K,7,0)+VLOOKUP(A59,'אנליסט '!A:G,7,0)+VLOOKUP('תפוקה מצטברת מול אשתקד'!A59,'מיטב דש'!A:G,7,0)+VLOOKUP('תפוקה מצטברת מול אשתקד'!A59,אינפניטי!A:G,7,0)</f>
        <v>87822.74</v>
      </c>
      <c r="L59" s="12">
        <f>VLOOKUP(A59,הכשרה!A:K,8,0)+VLOOKUP('תפוקה מצטברת מול אשתקד'!A59,מגדל!A:K,8,0)+VLOOKUP('תפוקה מצטברת מול אשתקד'!A59,מנורה!A:K,8,0)+VLOOKUP('תפוקה מצטברת מול אשתקד'!A59,איילון!A:K,8,0)+VLOOKUP('תפוקה מצטברת מול אשתקד'!A59,הראל!A:K,8,0)+VLOOKUP('תפוקה מצטברת מול אשתקד'!A59,הפניקס!A:K,8,0)+VLOOKUP('תפוקה מצטברת מול אשתקד'!A59,כלל!A:K,8,0)+VLOOKUP('תפוקה מצטברת מול אשתקד'!A59,מור!A:K,8,0)+VLOOKUP('תפוקה מצטברת מול אשתקד'!A59,'אלטשולר שחם'!A:K,8,0)+VLOOKUP('תפוקה מצטברת מול אשתקד'!A59,'מדיהו '!A:K,8,0)+VLOOKUP('תפוקה מצטברת מול אשתקד'!A59,'אנליסט '!A:K,8,0)+VLOOKUP('תפוקה מצטברת מול אשתקד'!A59,'מיטב דש'!A:K,8,0)+VLOOKUP('תפוקה מצטברת מול אשתקד'!A59,אינפניטי!A:K,8,0)</f>
        <v>16292.761145035885</v>
      </c>
      <c r="M59" s="12">
        <f>VLOOKUP(A59,הכשרה!A:K,9,0)+VLOOKUP('תפוקה מצטברת מול אשתקד'!A59,מגדל!A:K,9,0)+VLOOKUP('תפוקה מצטברת מול אשתקד'!A59,מנורה!A:K,9,0)+VLOOKUP('תפוקה מצטברת מול אשתקד'!A59,איילון!A:K,9,0)+VLOOKUP('תפוקה מצטברת מול אשתקד'!A59,הראל!A:K,9,0)+VLOOKUP('תפוקה מצטברת מול אשתקד'!A59,הפניקס!A:K,9,0)+VLOOKUP('תפוקה מצטברת מול אשתקד'!A59,כלל!A:K,9,0)+VLOOKUP('תפוקה מצטברת מול אשתקד'!A59,מור!A:K,9,0)+VLOOKUP('תפוקה מצטברת מול אשתקד'!A59,'אלטשולר שחם'!A:K,9,0)+VLOOKUP('תפוקה מצטברת מול אשתקד'!A59,'מדיהו '!A:K,9,0)+VLOOKUP('תפוקה מצטברת מול אשתקד'!A59,'אנליסט '!A:K,9,0)+VLOOKUP('תפוקה מצטברת מול אשתקד'!A59,'מיטב דש'!A:K,9,0)+VLOOKUP('תפוקה מצטברת מול אשתקד'!A59,אינפניטי!A:K,9,0)</f>
        <v>2505.4332764438313</v>
      </c>
      <c r="N59" s="12">
        <f>VLOOKUP(A59,הכשרה!A:K,10,0)+VLOOKUP('תפוקה מצטברת מול אשתקד'!A59,מגדל!A:K,10,0)+VLOOKUP('תפוקה מצטברת מול אשתקד'!A59,מנורה!A:K,10,0)+VLOOKUP('תפוקה מצטברת מול אשתקד'!A59,איילון!A:K,10,0)+VLOOKUP('תפוקה מצטברת מול אשתקד'!A59,הראל!A:K,10,0)+VLOOKUP('תפוקה מצטברת מול אשתקד'!A59,הפניקס!A:K,10,0)+VLOOKUP('תפוקה מצטברת מול אשתקד'!A59,כלל!A:K,10,0)+VLOOKUP('תפוקה מצטברת מול אשתקד'!A59,מור!A:K,10,0)+VLOOKUP('תפוקה מצטברת מול אשתקד'!A59,'אלטשולר שחם'!A:K,10,0)+VLOOKUP('תפוקה מצטברת מול אשתקד'!A59,'מדיהו '!A:K,10,0)+VLOOKUP('תפוקה מצטברת מול אשתקד'!A59,'אנליסט '!A:K,10,0)+VLOOKUP('תפוקה מצטברת מול אשתקד'!A59,'מיטב דש'!A:K,10,0)+VLOOKUP('תפוקה מצטברת מול אשתקד'!A59,אינפניטי!A:K,10,0)</f>
        <v>4977.4185520000001</v>
      </c>
      <c r="O59" s="12">
        <f>VLOOKUP(A59,הכשרה!A:K,11,0)+VLOOKUP('תפוקה מצטברת מול אשתקד'!A59,מגדל!A:K,11,0)+VLOOKUP('תפוקה מצטברת מול אשתקד'!A59,מנורה!A:K,11,0)+VLOOKUP('תפוקה מצטברת מול אשתקד'!A59,איילון!A:K,11,0)+VLOOKUP('תפוקה מצטברת מול אשתקד'!A59,הראל!A:K,11,0)+VLOOKUP('תפוקה מצטברת מול אשתקד'!A59,הפניקס!A:K,11,0)+VLOOKUP('תפוקה מצטברת מול אשתקד'!A59,כלל!A:K,11,0)+VLOOKUP('תפוקה מצטברת מול אשתקד'!A59,מור!A:K,11,0)+VLOOKUP('תפוקה מצטברת מול אשתקד'!A59,'אלטשולר שחם'!A:K,11,0)+VLOOKUP('תפוקה מצטברת מול אשתקד'!A59,'מדיהו '!A:K,11,0)+VLOOKUP('תפוקה מצטברת מול אשתקד'!A59,'אנליסט '!A:K,11,0)+VLOOKUP('תפוקה מצטברת מול אשתקד'!A59,'מיטב דש'!A:K,11,0)+VLOOKUP('תפוקה מצטברת מול אשתקד'!A59,אינפניטי!A:K,11,0)</f>
        <v>-224287.45</v>
      </c>
    </row>
    <row r="60" spans="1:15" ht="15.75" customHeight="1" x14ac:dyDescent="0.25">
      <c r="A60" s="124" t="s">
        <v>107</v>
      </c>
      <c r="B60" s="27" t="s">
        <v>123</v>
      </c>
      <c r="C60" s="28" t="s">
        <v>115</v>
      </c>
      <c r="D60" s="20">
        <f t="shared" si="14"/>
        <v>1</v>
      </c>
      <c r="E60" s="20">
        <f t="shared" si="14"/>
        <v>1</v>
      </c>
      <c r="F60" s="20">
        <f t="shared" si="14"/>
        <v>1</v>
      </c>
      <c r="G60" s="20">
        <f>IF(K60=0,0%,IF(O60=H75,100%,K60/O60-1))</f>
        <v>0</v>
      </c>
      <c r="H60" s="68">
        <f>VLOOKUP(A60,הכשרה!A:G,4,0)+VLOOKUP('תפוקה מצטברת מול אשתקד'!A60,מגדל!A:G,4,0)+VLOOKUP('תפוקה מצטברת מול אשתקד'!A60,מנורה!A:G,4,0)+VLOOKUP('תפוקה מצטברת מול אשתקד'!A60,איילון!A:G,4,0)+VLOOKUP('תפוקה מצטברת מול אשתקד'!A60,הראל!A:G,4,0)+VLOOKUP('תפוקה מצטברת מול אשתקד'!A60,הפניקס!A:G,4,0)+VLOOKUP('תפוקה מצטברת מול אשתקד'!A60,כלל!A:G,4,0)+VLOOKUP('תפוקה מצטברת מול אשתקד'!A60,מור!A:G,4,0)+VLOOKUP('תפוקה מצטברת מול אשתקד'!A60,'אלטשולר שחם'!A:G,4,0)+VLOOKUP('תפוקה מצטברת מול אשתקד'!A60,'מדיהו '!A:G,4,0)+VLOOKUP('תפוקה מצטברת מול אשתקד'!A60,'אנליסט '!A:G,4,0)+VLOOKUP('תפוקה מצטברת מול אשתקד'!A60,'מיטב דש'!A:G,4,0)+VLOOKUP('תפוקה מצטברת מול אשתקד'!A60,אינפניטי!A:G,4,0)</f>
        <v>62109.54</v>
      </c>
      <c r="I60" s="68">
        <f>VLOOKUP(A60,הכשרה!A:G,5,0)+VLOOKUP('תפוקה מצטברת מול אשתקד'!A60,מגדל!A:G,5,0)+VLOOKUP('תפוקה מצטברת מול אשתקד'!A60,מנורה!A:G,5,0)+VLOOKUP('תפוקה מצטברת מול אשתקד'!A60,איילון!A:G,5,0)+VLOOKUP('תפוקה מצטברת מול אשתקד'!A60,הראל!A:G,5,0)+VLOOKUP('תפוקה מצטברת מול אשתקד'!A60,הפניקס!A:G,5,0)+VLOOKUP('תפוקה מצטברת מול אשתקד'!A60,כלל!A:G,5,0)+VLOOKUP('תפוקה מצטברת מול אשתקד'!A60,מור!A:G,5,0)+VLOOKUP('תפוקה מצטברת מול אשתקד'!A60,'אלטשולר שחם'!A:G,5,0)+VLOOKUP('תפוקה מצטברת מול אשתקד'!A60,'מדיהו '!A:G,5,0)+VLOOKUP('תפוקה מצטברת מול אשתקד'!A60,'אנליסט '!A:G,5,0)+VLOOKUP('תפוקה מצטברת מול אשתקד'!A60,'מיטב דש'!A:G,5,0)+VLOOKUP('תפוקה מצטברת מול אשתקד'!A60,אינפניטי!A:G,5,0)</f>
        <v>4016.3999999999996</v>
      </c>
      <c r="J60" s="68">
        <f>VLOOKUP(A60,הכשרה!A:G,6,0)+VLOOKUP('תפוקה מצטברת מול אשתקד'!A60,מגדל!A:G,6,0)+VLOOKUP('תפוקה מצטברת מול אשתקד'!A60,מנורה!A:G,6,0)+VLOOKUP('תפוקה מצטברת מול אשתקד'!A60,איילון!A:G,6,0)+VLOOKUP(A60,הראל!A:G,6,0)+VLOOKUP('תפוקה מצטברת מול אשתקד'!A60,הפניקס!A:G,6,0)+VLOOKUP('תפוקה מצטברת מול אשתקד'!A60,כלל!A:G,6,0)+VLOOKUP('תפוקה מצטברת מול אשתקד'!A60,מור!A:G,6,0)+VLOOKUP('תפוקה מצטברת מול אשתקד'!A60,'אלטשולר שחם'!A:G,6,0)+VLOOKUP('תפוקה מצטברת מול אשתקד'!A60,'מדיהו '!A:G,6,0)+VLOOKUP('תפוקה מצטברת מול אשתקד'!A60,'אנליסט '!A:G,6,0)+VLOOKUP('תפוקה מצטברת מול אשתקד'!A60,'מיטב דש'!A:G,6,0)+VLOOKUP('תפוקה מצטברת מול אשתקד'!A60,אינפניטי!A:G,6,0)</f>
        <v>33500</v>
      </c>
      <c r="K60" s="68">
        <f>VLOOKUP(A60,הכשרה!A:G,7,0)+VLOOKUP('תפוקה מצטברת מול אשתקד'!A60,מגדל!A:G,7,0)+VLOOKUP('תפוקה מצטברת מול אשתקד'!A60,מנורה!A:G,7,0)+VLOOKUP('תפוקה מצטברת מול אשתקד'!A60,איילון!A:G,7,0)+VLOOKUP('תפוקה מצטברת מול אשתקד'!A60,הראל!A:G,7,0)+VLOOKUP('תפוקה מצטברת מול אשתקד'!A60,הפניקס!A:G,7,0)+VLOOKUP('תפוקה מצטברת מול אשתקד'!A60,כלל!A:G,7,0)+VLOOKUP('תפוקה מצטברת מול אשתקד'!A60,מור!A:G,7,0)+VLOOKUP('תפוקה מצטברת מול אשתקד'!A60,'אלטשולר שחם'!A:G,7,0)+VLOOKUP('תפוקה מצטברת מול אשתקד'!A60,'מדיהו '!A:K,7,0)+VLOOKUP(A60,'אנליסט '!A:G,7,0)+VLOOKUP('תפוקה מצטברת מול אשתקד'!A60,'מיטב דש'!A:G,7,0)+VLOOKUP('תפוקה מצטברת מול אשתקד'!A60,אינפניטי!A:G,7,0)</f>
        <v>0</v>
      </c>
      <c r="L60" s="12">
        <f>VLOOKUP(A60,הכשרה!A:K,8,0)+VLOOKUP('תפוקה מצטברת מול אשתקד'!A60,מגדל!A:K,8,0)+VLOOKUP('תפוקה מצטברת מול אשתקד'!A60,מנורה!A:K,8,0)+VLOOKUP('תפוקה מצטברת מול אשתקד'!A60,איילון!A:K,8,0)+VLOOKUP('תפוקה מצטברת מול אשתקד'!A60,הראל!A:K,8,0)+VLOOKUP('תפוקה מצטברת מול אשתקד'!A60,הפניקס!A:K,8,0)+VLOOKUP('תפוקה מצטברת מול אשתקד'!A60,כלל!A:K,8,0)+VLOOKUP('תפוקה מצטברת מול אשתקד'!A60,מור!A:K,8,0)+VLOOKUP('תפוקה מצטברת מול אשתקד'!A60,'אלטשולר שחם'!A:K,8,0)+VLOOKUP('תפוקה מצטברת מול אשתקד'!A60,'מדיהו '!A:K,8,0)+VLOOKUP('תפוקה מצטברת מול אשתקד'!A60,'אנליסט '!A:K,8,0)+VLOOKUP('תפוקה מצטברת מול אשתקד'!A60,'מיטב דש'!A:K,8,0)+VLOOKUP('תפוקה מצטברת מול אשתקד'!A60,אינפניטי!A:K,8,0)</f>
        <v>0</v>
      </c>
      <c r="M60" s="12">
        <f>VLOOKUP(A60,הכשרה!A:K,9,0)+VLOOKUP('תפוקה מצטברת מול אשתקד'!A60,מגדל!A:K,9,0)+VLOOKUP('תפוקה מצטברת מול אשתקד'!A60,מנורה!A:K,9,0)+VLOOKUP('תפוקה מצטברת מול אשתקד'!A60,איילון!A:K,9,0)+VLOOKUP('תפוקה מצטברת מול אשתקד'!A60,הראל!A:K,9,0)+VLOOKUP('תפוקה מצטברת מול אשתקד'!A60,הפניקס!A:K,9,0)+VLOOKUP('תפוקה מצטברת מול אשתקד'!A60,כלל!A:K,9,0)+VLOOKUP('תפוקה מצטברת מול אשתקד'!A60,מור!A:K,9,0)+VLOOKUP('תפוקה מצטברת מול אשתקד'!A60,'אלטשולר שחם'!A:K,9,0)+VLOOKUP('תפוקה מצטברת מול אשתקד'!A60,'מדיהו '!A:K,9,0)+VLOOKUP('תפוקה מצטברת מול אשתקד'!A60,'אנליסט '!A:K,9,0)+VLOOKUP('תפוקה מצטברת מול אשתקד'!A60,'מיטב דש'!A:K,9,0)+VLOOKUP('תפוקה מצטברת מול אשתקד'!A60,אינפניטי!A:K,9,0)</f>
        <v>0</v>
      </c>
      <c r="N60" s="12">
        <f>VLOOKUP(A60,הכשרה!A:K,10,0)+VLOOKUP('תפוקה מצטברת מול אשתקד'!A60,מגדל!A:K,10,0)+VLOOKUP('תפוקה מצטברת מול אשתקד'!A60,מנורה!A:K,10,0)+VLOOKUP('תפוקה מצטברת מול אשתקד'!A60,איילון!A:K,10,0)+VLOOKUP('תפוקה מצטברת מול אשתקד'!A60,הראל!A:K,10,0)+VLOOKUP('תפוקה מצטברת מול אשתקד'!A60,הפניקס!A:K,10,0)+VLOOKUP('תפוקה מצטברת מול אשתקד'!A60,כלל!A:K,10,0)+VLOOKUP('תפוקה מצטברת מול אשתקד'!A60,מור!A:K,10,0)+VLOOKUP('תפוקה מצטברת מול אשתקד'!A60,'אלטשולר שחם'!A:K,10,0)+VLOOKUP('תפוקה מצטברת מול אשתקד'!A60,'מדיהו '!A:K,10,0)+VLOOKUP('תפוקה מצטברת מול אשתקד'!A60,'אנליסט '!A:K,10,0)+VLOOKUP('תפוקה מצטברת מול אשתקד'!A60,'מיטב דש'!A:K,10,0)+VLOOKUP('תפוקה מצטברת מול אשתקד'!A60,אינפניטי!A:K,10,0)</f>
        <v>0</v>
      </c>
      <c r="O60" s="12">
        <f>VLOOKUP(A60,הכשרה!A:K,11,0)+VLOOKUP('תפוקה מצטברת מול אשתקד'!A60,מגדל!A:K,11,0)+VLOOKUP('תפוקה מצטברת מול אשתקד'!A60,מנורה!A:K,11,0)+VLOOKUP('תפוקה מצטברת מול אשתקד'!A60,איילון!A:K,11,0)+VLOOKUP('תפוקה מצטברת מול אשתקד'!A60,הראל!A:K,11,0)+VLOOKUP('תפוקה מצטברת מול אשתקד'!A60,הפניקס!A:K,11,0)+VLOOKUP('תפוקה מצטברת מול אשתקד'!A60,כלל!A:K,11,0)+VLOOKUP('תפוקה מצטברת מול אשתקד'!A60,מור!A:K,11,0)+VLOOKUP('תפוקה מצטברת מול אשתקד'!A60,'אלטשולר שחם'!A:K,11,0)+VLOOKUP('תפוקה מצטברת מול אשתקד'!A60,'מדיהו '!A:K,11,0)+VLOOKUP('תפוקה מצטברת מול אשתקד'!A60,'אנליסט '!A:K,11,0)+VLOOKUP('תפוקה מצטברת מול אשתקד'!A60,'מיטב דש'!A:K,11,0)+VLOOKUP('תפוקה מצטברת מול אשתקד'!A60,אינפניטי!A:K,11,0)</f>
        <v>0</v>
      </c>
    </row>
    <row r="61" spans="1:15" ht="15.75" customHeight="1" thickBot="1" x14ac:dyDescent="0.3">
      <c r="A61" s="31" t="s">
        <v>16</v>
      </c>
      <c r="B61" s="27" t="s">
        <v>123</v>
      </c>
      <c r="C61" s="28" t="s">
        <v>115</v>
      </c>
      <c r="D61" s="20">
        <f t="shared" si="14"/>
        <v>0</v>
      </c>
      <c r="E61" s="20">
        <f t="shared" si="14"/>
        <v>0</v>
      </c>
      <c r="F61" s="20">
        <f t="shared" si="14"/>
        <v>0</v>
      </c>
      <c r="G61" s="20">
        <f>IF(K61=0,0%,IF(O61=H57,100%,K61/O61-1))</f>
        <v>0</v>
      </c>
      <c r="H61" s="68">
        <f>VLOOKUP(A61,הכשרה!A:G,4,0)+VLOOKUP('תפוקה מצטברת מול אשתקד'!A61,מגדל!A:G,4,0)+VLOOKUP('תפוקה מצטברת מול אשתקד'!A61,מנורה!A:G,4,0)+VLOOKUP('תפוקה מצטברת מול אשתקד'!A61,איילון!A:G,4,0)+VLOOKUP('תפוקה מצטברת מול אשתקד'!A61,הראל!A:G,4,0)+VLOOKUP('תפוקה מצטברת מול אשתקד'!A61,הפניקס!A:G,4,0)+VLOOKUP('תפוקה מצטברת מול אשתקד'!A61,כלל!A:G,4,0)+VLOOKUP('תפוקה מצטברת מול אשתקד'!A61,מור!A:G,4,0)+VLOOKUP('תפוקה מצטברת מול אשתקד'!A61,'אלטשולר שחם'!A:G,4,0)+VLOOKUP('תפוקה מצטברת מול אשתקד'!A61,'מדיהו '!A:G,4,0)+VLOOKUP('תפוקה מצטברת מול אשתקד'!A61,'אנליסט '!A:G,4,0)+VLOOKUP('תפוקה מצטברת מול אשתקד'!A61,'מיטב דש'!A:G,4,0)+VLOOKUP('תפוקה מצטברת מול אשתקד'!A61,אינפניטי!A:G,4,0)</f>
        <v>0</v>
      </c>
      <c r="I61" s="68">
        <f>VLOOKUP(A61,הכשרה!A:G,5,0)+VLOOKUP('תפוקה מצטברת מול אשתקד'!A61,מגדל!A:G,5,0)+VLOOKUP('תפוקה מצטברת מול אשתקד'!A61,מנורה!A:G,5,0)+VLOOKUP('תפוקה מצטברת מול אשתקד'!A61,איילון!A:G,5,0)+VLOOKUP('תפוקה מצטברת מול אשתקד'!A61,הראל!A:G,5,0)+VLOOKUP('תפוקה מצטברת מול אשתקד'!A61,הפניקס!A:G,5,0)+VLOOKUP('תפוקה מצטברת מול אשתקד'!A61,כלל!A:G,5,0)+VLOOKUP('תפוקה מצטברת מול אשתקד'!A61,מור!A:G,5,0)+VLOOKUP('תפוקה מצטברת מול אשתקד'!A61,'אלטשולר שחם'!A:G,5,0)+VLOOKUP('תפוקה מצטברת מול אשתקד'!A61,'מדיהו '!A:G,5,0)+VLOOKUP('תפוקה מצטברת מול אשתקד'!A61,'אנליסט '!A:G,5,0)+VLOOKUP('תפוקה מצטברת מול אשתקד'!A61,'מיטב דש'!A:G,5,0)+VLOOKUP('תפוקה מצטברת מול אשתקד'!A61,אינפניטי!A:G,5,0)</f>
        <v>0</v>
      </c>
      <c r="J61" s="68">
        <f>VLOOKUP(A61,הכשרה!A:G,6,0)+VLOOKUP('תפוקה מצטברת מול אשתקד'!A61,מגדל!A:G,6,0)+VLOOKUP('תפוקה מצטברת מול אשתקד'!A61,מנורה!A:G,6,0)+VLOOKUP('תפוקה מצטברת מול אשתקד'!A61,איילון!A:G,6,0)+VLOOKUP(A61,הראל!A:G,6,0)+VLOOKUP('תפוקה מצטברת מול אשתקד'!A61,הפניקס!A:G,6,0)+VLOOKUP('תפוקה מצטברת מול אשתקד'!A61,כלל!A:G,6,0)+VLOOKUP('תפוקה מצטברת מול אשתקד'!A61,מור!A:G,6,0)+VLOOKUP('תפוקה מצטברת מול אשתקד'!A61,'אלטשולר שחם'!A:G,6,0)+VLOOKUP('תפוקה מצטברת מול אשתקד'!A61,'מדיהו '!A:G,6,0)+VLOOKUP('תפוקה מצטברת מול אשתקד'!A61,'אנליסט '!A:G,6,0)+VLOOKUP('תפוקה מצטברת מול אשתקד'!A61,'מיטב דש'!A:G,6,0)+VLOOKUP('תפוקה מצטברת מול אשתקד'!A61,אינפניטי!A:G,6,0)</f>
        <v>0</v>
      </c>
      <c r="K61" s="68">
        <f>VLOOKUP(A61,הכשרה!A:G,7,0)+VLOOKUP('תפוקה מצטברת מול אשתקד'!A61,מגדל!A:G,7,0)+VLOOKUP('תפוקה מצטברת מול אשתקד'!A61,מנורה!A:G,7,0)+VLOOKUP('תפוקה מצטברת מול אשתקד'!A61,איילון!A:G,7,0)+VLOOKUP('תפוקה מצטברת מול אשתקד'!A61,הראל!A:G,7,0)+VLOOKUP('תפוקה מצטברת מול אשתקד'!A61,הפניקס!A:G,7,0)+VLOOKUP('תפוקה מצטברת מול אשתקד'!A61,כלל!A:G,7,0)+VLOOKUP('תפוקה מצטברת מול אשתקד'!A61,מור!A:G,7,0)+VLOOKUP('תפוקה מצטברת מול אשתקד'!A61,'אלטשולר שחם'!A:G,7,0)+VLOOKUP('תפוקה מצטברת מול אשתקד'!A61,'מדיהו '!A:K,7,0)+VLOOKUP(A61,'אנליסט '!A:G,7,0)+VLOOKUP('תפוקה מצטברת מול אשתקד'!A61,'מיטב דש'!A:G,7,0)+VLOOKUP('תפוקה מצטברת מול אשתקד'!A61,אינפניטי!A:G,7,0)</f>
        <v>0</v>
      </c>
      <c r="L61" s="12">
        <f>VLOOKUP(A61,הכשרה!A:K,8,0)+VLOOKUP('תפוקה מצטברת מול אשתקד'!A61,מגדל!A:K,8,0)+VLOOKUP('תפוקה מצטברת מול אשתקד'!A61,מנורה!A:K,8,0)+VLOOKUP('תפוקה מצטברת מול אשתקד'!A61,איילון!A:K,8,0)+VLOOKUP('תפוקה מצטברת מול אשתקד'!A61,הראל!A:K,8,0)+VLOOKUP('תפוקה מצטברת מול אשתקד'!A61,הפניקס!A:K,8,0)+VLOOKUP('תפוקה מצטברת מול אשתקד'!A61,כלל!A:K,8,0)+VLOOKUP('תפוקה מצטברת מול אשתקד'!A61,מור!A:K,8,0)+VLOOKUP('תפוקה מצטברת מול אשתקד'!A61,'אלטשולר שחם'!A:K,8,0)+VLOOKUP('תפוקה מצטברת מול אשתקד'!A61,'מדיהו '!A:K,8,0)+VLOOKUP('תפוקה מצטברת מול אשתקד'!A61,'אנליסט '!A:K,8,0)+VLOOKUP('תפוקה מצטברת מול אשתקד'!A61,'מיטב דש'!A:K,8,0)+VLOOKUP('תפוקה מצטברת מול אשתקד'!A61,אינפניטי!A:K,8,0)</f>
        <v>0</v>
      </c>
      <c r="M61" s="12">
        <f>VLOOKUP(A61,הכשרה!A:K,9,0)+VLOOKUP('תפוקה מצטברת מול אשתקד'!A61,מגדל!A:K,9,0)+VLOOKUP('תפוקה מצטברת מול אשתקד'!A61,מנורה!A:K,9,0)+VLOOKUP('תפוקה מצטברת מול אשתקד'!A61,איילון!A:K,9,0)+VLOOKUP('תפוקה מצטברת מול אשתקד'!A61,הראל!A:K,9,0)+VLOOKUP('תפוקה מצטברת מול אשתקד'!A61,הפניקס!A:K,9,0)+VLOOKUP('תפוקה מצטברת מול אשתקד'!A61,כלל!A:K,9,0)+VLOOKUP('תפוקה מצטברת מול אשתקד'!A61,מור!A:K,9,0)+VLOOKUP('תפוקה מצטברת מול אשתקד'!A61,'אלטשולר שחם'!A:K,9,0)+VLOOKUP('תפוקה מצטברת מול אשתקד'!A61,'מדיהו '!A:K,9,0)+VLOOKUP('תפוקה מצטברת מול אשתקד'!A61,'אנליסט '!A:K,9,0)+VLOOKUP('תפוקה מצטברת מול אשתקד'!A61,'מיטב דש'!A:K,9,0)+VLOOKUP('תפוקה מצטברת מול אשתקד'!A61,אינפניטי!A:K,9,0)</f>
        <v>0</v>
      </c>
      <c r="N61" s="12">
        <f>VLOOKUP(A61,הכשרה!A:K,10,0)+VLOOKUP('תפוקה מצטברת מול אשתקד'!A61,מגדל!A:K,10,0)+VLOOKUP('תפוקה מצטברת מול אשתקד'!A61,מנורה!A:K,10,0)+VLOOKUP('תפוקה מצטברת מול אשתקד'!A61,איילון!A:K,10,0)+VLOOKUP('תפוקה מצטברת מול אשתקד'!A61,הראל!A:K,10,0)+VLOOKUP('תפוקה מצטברת מול אשתקד'!A61,הפניקס!A:K,10,0)+VLOOKUP('תפוקה מצטברת מול אשתקד'!A61,כלל!A:K,10,0)+VLOOKUP('תפוקה מצטברת מול אשתקד'!A61,מור!A:K,10,0)+VLOOKUP('תפוקה מצטברת מול אשתקד'!A61,'אלטשולר שחם'!A:K,10,0)+VLOOKUP('תפוקה מצטברת מול אשתקד'!A61,'מדיהו '!A:K,10,0)+VLOOKUP('תפוקה מצטברת מול אשתקד'!A61,'אנליסט '!A:K,10,0)+VLOOKUP('תפוקה מצטברת מול אשתקד'!A61,'מיטב דש'!A:K,10,0)+VLOOKUP('תפוקה מצטברת מול אשתקד'!A61,אינפניטי!A:K,10,0)</f>
        <v>0</v>
      </c>
      <c r="O61" s="12">
        <f>VLOOKUP(A61,הכשרה!A:K,11,0)+VLOOKUP('תפוקה מצטברת מול אשתקד'!A61,מגדל!A:K,11,0)+VLOOKUP('תפוקה מצטברת מול אשתקד'!A61,מנורה!A:K,11,0)+VLOOKUP('תפוקה מצטברת מול אשתקד'!A61,איילון!A:K,11,0)+VLOOKUP('תפוקה מצטברת מול אשתקד'!A61,הראל!A:K,11,0)+VLOOKUP('תפוקה מצטברת מול אשתקד'!A61,הפניקס!A:K,11,0)+VLOOKUP('תפוקה מצטברת מול אשתקד'!A61,כלל!A:K,11,0)+VLOOKUP('תפוקה מצטברת מול אשתקד'!A61,מור!A:K,11,0)+VLOOKUP('תפוקה מצטברת מול אשתקד'!A61,'אלטשולר שחם'!A:K,11,0)+VLOOKUP('תפוקה מצטברת מול אשתקד'!A61,'מדיהו '!A:K,11,0)+VLOOKUP('תפוקה מצטברת מול אשתקד'!A61,'אנליסט '!A:K,11,0)+VLOOKUP('תפוקה מצטברת מול אשתקד'!A61,'מיטב דש'!A:K,11,0)+VLOOKUP('תפוקה מצטברת מול אשתקד'!A61,אינפניטי!A:K,11,0)</f>
        <v>0</v>
      </c>
    </row>
    <row r="62" spans="1:15" ht="24.6" customHeight="1" thickBot="1" x14ac:dyDescent="0.3">
      <c r="A62" s="144" t="s">
        <v>125</v>
      </c>
      <c r="B62" s="142"/>
      <c r="C62" s="142"/>
      <c r="D62" s="147">
        <f t="shared" si="0"/>
        <v>2.7191778229837347</v>
      </c>
      <c r="E62" s="147">
        <f t="shared" si="0"/>
        <v>5.9603152238659307E-2</v>
      </c>
      <c r="F62" s="147">
        <f t="shared" si="0"/>
        <v>0.4677597629063468</v>
      </c>
      <c r="G62" s="147">
        <f t="shared" ref="G62:G69" si="15">IF(K62=0,0%,IF(O62=H88,100%,K62/O62-1))</f>
        <v>-6.6498251309618506E-2</v>
      </c>
      <c r="H62" s="144">
        <f>SUM(H55:H61)</f>
        <v>479457.34681596066</v>
      </c>
      <c r="I62" s="144">
        <f t="shared" ref="I62:O62" si="16">SUM(I55:I61)</f>
        <v>36763.604679804404</v>
      </c>
      <c r="J62" s="144">
        <f t="shared" si="16"/>
        <v>2601598.4438323355</v>
      </c>
      <c r="K62" s="144">
        <f t="shared" si="16"/>
        <v>1524051.36</v>
      </c>
      <c r="L62" s="144">
        <f t="shared" si="16"/>
        <v>128914.8757160831</v>
      </c>
      <c r="M62" s="144">
        <f t="shared" si="16"/>
        <v>34695.635438732599</v>
      </c>
      <c r="N62" s="144">
        <f t="shared" si="16"/>
        <v>1772496.0920585855</v>
      </c>
      <c r="O62" s="144">
        <f t="shared" si="16"/>
        <v>1632617.5737090008</v>
      </c>
    </row>
    <row r="63" spans="1:15" ht="15.75" customHeight="1" x14ac:dyDescent="0.25">
      <c r="A63" s="27" t="s">
        <v>84</v>
      </c>
      <c r="B63" s="27" t="s">
        <v>116</v>
      </c>
      <c r="C63" s="28" t="s">
        <v>110</v>
      </c>
      <c r="D63" s="120">
        <f t="shared" si="0"/>
        <v>4.6667692757506742</v>
      </c>
      <c r="E63" s="120">
        <f t="shared" si="0"/>
        <v>204.10881321249252</v>
      </c>
      <c r="F63" s="120">
        <f t="shared" si="0"/>
        <v>1.9126995773519759</v>
      </c>
      <c r="G63" s="120">
        <f t="shared" si="15"/>
        <v>1</v>
      </c>
      <c r="H63" s="68">
        <f>VLOOKUP(A63,הכשרה!A:G,4,0)+VLOOKUP('תפוקה מצטברת מול אשתקד'!A63,מגדל!A:G,4,0)+VLOOKUP('תפוקה מצטברת מול אשתקד'!A63,מנורה!A:G,4,0)+VLOOKUP('תפוקה מצטברת מול אשתקד'!A63,איילון!A:G,4,0)+VLOOKUP('תפוקה מצטברת מול אשתקד'!A63,הראל!A:G,4,0)+VLOOKUP('תפוקה מצטברת מול אשתקד'!A63,הפניקס!A:G,4,0)+VLOOKUP('תפוקה מצטברת מול אשתקד'!A63,כלל!A:G,4,0)+VLOOKUP('תפוקה מצטברת מול אשתקד'!A63,מור!A:G,4,0)+VLOOKUP('תפוקה מצטברת מול אשתקד'!A63,'אלטשולר שחם'!A:G,4,0)+VLOOKUP('תפוקה מצטברת מול אשתקד'!A63,'מדיהו '!A:G,4,0)+VLOOKUP('תפוקה מצטברת מול אשתקד'!A63,'אנליסט '!A:G,4,0)+VLOOKUP('תפוקה מצטברת מול אשתקד'!A63,'מיטב דש'!A:G,4,0)+VLOOKUP('תפוקה מצטברת מול אשתקד'!A63,אינפניטי!A:G,4,0)</f>
        <v>14612.380000000001</v>
      </c>
      <c r="I63" s="68">
        <f>VLOOKUP(A63,הכשרה!A:G,5,0)+VLOOKUP('תפוקה מצטברת מול אשתקד'!A63,מגדל!A:G,5,0)+VLOOKUP('תפוקה מצטברת מול אשתקד'!A63,מנורה!A:G,5,0)+VLOOKUP('תפוקה מצטברת מול אשתקד'!A63,איילון!A:G,5,0)+VLOOKUP('תפוקה מצטברת מול אשתקד'!A63,הראל!A:G,5,0)+VLOOKUP('תפוקה מצטברת מול אשתקד'!A63,הפניקס!A:G,5,0)+VLOOKUP('תפוקה מצטברת מול אשתקד'!A63,כלל!A:G,5,0)+VLOOKUP('תפוקה מצטברת מול אשתקד'!A63,מור!A:G,5,0)+VLOOKUP('תפוקה מצטברת מול אשתקד'!A63,'אלטשולר שחם'!A:G,5,0)+VLOOKUP('תפוקה מצטברת מול אשתקד'!A63,'מדיהו '!A:G,5,0)+VLOOKUP('תפוקה מצטברת מול אשתקד'!A63,'אנליסט '!A:G,5,0)+VLOOKUP('תפוקה מצטברת מול אשתקד'!A63,'מיטב דש'!A:G,5,0)+VLOOKUP('תפוקה מצטברת מול אשתקד'!A63,אינפניטי!A:G,5,0)</f>
        <v>274708.38679988758</v>
      </c>
      <c r="J63" s="68">
        <f>VLOOKUP(A63,הכשרה!A:G,6,0)+VLOOKUP('תפוקה מצטברת מול אשתקד'!A63,מגדל!A:G,6,0)+VLOOKUP('תפוקה מצטברת מול אשתקד'!A63,מנורה!A:G,6,0)+VLOOKUP('תפוקה מצטברת מול אשתקד'!A63,איילון!A:G,6,0)+VLOOKUP(A63,הראל!A:G,6,0)+VLOOKUP('תפוקה מצטברת מול אשתקד'!A63,הפניקס!A:G,6,0)+VLOOKUP('תפוקה מצטברת מול אשתקד'!A63,כלל!A:G,6,0)+VLOOKUP('תפוקה מצטברת מול אשתקד'!A63,מור!A:G,6,0)+VLOOKUP('תפוקה מצטברת מול אשתקד'!A63,'אלטשולר שחם'!A:G,6,0)+VLOOKUP('תפוקה מצטברת מול אשתקד'!A63,'מדיהו '!A:G,6,0)+VLOOKUP('תפוקה מצטברת מול אשתקד'!A63,'אנליסט '!A:G,6,0)+VLOOKUP('תפוקה מצטברת מול אשתקד'!A63,'מיטב דש'!A:G,6,0)+VLOOKUP('תפוקה מצטברת מול אשתקד'!A63,אינפניטי!A:G,6,0)</f>
        <v>576192.19999999995</v>
      </c>
      <c r="K63" s="68">
        <f>VLOOKUP(A63,הכשרה!A:G,7,0)+VLOOKUP('תפוקה מצטברת מול אשתקד'!A63,מגדל!A:G,7,0)+VLOOKUP('תפוקה מצטברת מול אשתקד'!A63,מנורה!A:G,7,0)+VLOOKUP('תפוקה מצטברת מול אשתקד'!A63,איילון!A:G,7,0)+VLOOKUP('תפוקה מצטברת מול אשתקד'!A63,הראל!A:G,7,0)+VLOOKUP('תפוקה מצטברת מול אשתקד'!A63,הפניקס!A:G,7,0)+VLOOKUP('תפוקה מצטברת מול אשתקד'!A63,כלל!A:G,7,0)+VLOOKUP('תפוקה מצטברת מול אשתקד'!A63,מור!A:G,7,0)+VLOOKUP('תפוקה מצטברת מול אשתקד'!A63,'אלטשולר שחם'!A:G,7,0)+VLOOKUP('תפוקה מצטברת מול אשתקד'!A63,'מדיהו '!A:K,7,0)+VLOOKUP(A63,'אנליסט '!A:G,7,0)+VLOOKUP('תפוקה מצטברת מול אשתקד'!A63,'מיטב דש'!A:G,7,0)+VLOOKUP('תפוקה מצטברת מול אשתקד'!A63,אינפניטי!A:G,7,0)</f>
        <v>754129.07</v>
      </c>
      <c r="L63" s="12">
        <f>VLOOKUP(A63,הכשרה!A:K,8,0)+VLOOKUP('תפוקה מצטברת מול אשתקד'!A63,מגדל!A:K,8,0)+VLOOKUP('תפוקה מצטברת מול אשתקד'!A63,מנורה!A:K,8,0)+VLOOKUP('תפוקה מצטברת מול אשתקד'!A63,איילון!A:K,8,0)+VLOOKUP('תפוקה מצטברת מול אשתקד'!A63,הראל!A:K,8,0)+VLOOKUP('תפוקה מצטברת מול אשתקד'!A63,הפניקס!A:K,8,0)+VLOOKUP('תפוקה מצטברת מול אשתקד'!A63,כלל!A:K,8,0)+VLOOKUP('תפוקה מצטברת מול אשתקד'!A63,מור!A:K,8,0)+VLOOKUP('תפוקה מצטברת מול אשתקד'!A63,'אלטשולר שחם'!A:K,8,0)+VLOOKUP('תפוקה מצטברת מול אשתקד'!A63,'מדיהו '!A:K,8,0)+VLOOKUP('תפוקה מצטברת מול אשתקד'!A63,'אנליסט '!A:K,8,0)+VLOOKUP('תפוקה מצטברת מול אשתקד'!A63,'מיטב דש'!A:K,8,0)+VLOOKUP('תפוקה מצטברת מול אשתקד'!A63,אינפניטי!A:K,8,0)</f>
        <v>2578.6086020000002</v>
      </c>
      <c r="M63" s="12">
        <f>VLOOKUP(A63,הכשרה!A:K,9,0)+VLOOKUP('תפוקה מצטברת מול אשתקד'!A63,מגדל!A:K,9,0)+VLOOKUP('תפוקה מצטברת מול אשתקד'!A63,מנורה!A:K,9,0)+VLOOKUP('תפוקה מצטברת מול אשתקד'!A63,איילון!A:K,9,0)+VLOOKUP('תפוקה מצטברת מול אשתקד'!A63,הראל!A:K,9,0)+VLOOKUP('תפוקה מצטברת מול אשתקד'!A63,הפניקס!A:K,9,0)+VLOOKUP('תפוקה מצטברת מול אשתקד'!A63,כלל!A:K,9,0)+VLOOKUP('תפוקה מצטברת מול אשתקד'!A63,מור!A:K,9,0)+VLOOKUP('תפוקה מצטברת מול אשתקד'!A63,'אלטשולר שחם'!A:K,9,0)+VLOOKUP('תפוקה מצטברת מול אשתקד'!A63,'מדיהו '!A:K,9,0)+VLOOKUP('תפוקה מצטברת מול אשתקד'!A63,'אנליסט '!A:K,9,0)+VLOOKUP('תפוקה מצטברת מול אשתקד'!A63,'מיטב דש'!A:K,9,0)+VLOOKUP('תפוקה מצטברת מול אשתקד'!A63,אינפניטי!A:K,9,0)</f>
        <v>1339.33</v>
      </c>
      <c r="N63" s="12">
        <f>VLOOKUP(A63,הכשרה!A:K,10,0)+VLOOKUP('תפוקה מצטברת מול אשתקד'!A63,מגדל!A:K,10,0)+VLOOKUP('תפוקה מצטברת מול אשתקד'!A63,מנורה!A:K,10,0)+VLOOKUP('תפוקה מצטברת מול אשתקד'!A63,איילון!A:K,10,0)+VLOOKUP('תפוקה מצטברת מול אשתקד'!A63,הראל!A:K,10,0)+VLOOKUP('תפוקה מצטברת מול אשתקד'!A63,הפניקס!A:K,10,0)+VLOOKUP('תפוקה מצטברת מול אשתקד'!A63,כלל!A:K,10,0)+VLOOKUP('תפוקה מצטברת מול אשתקד'!A63,מור!A:K,10,0)+VLOOKUP('תפוקה מצטברת מול אשתקד'!A63,'אלטשולר שחם'!A:K,10,0)+VLOOKUP('תפוקה מצטברת מול אשתקד'!A63,'מדיהו '!A:K,10,0)+VLOOKUP('תפוקה מצטברת מול אשתקד'!A63,'אנליסט '!A:K,10,0)+VLOOKUP('תפוקה מצטברת מול אשתקד'!A63,'מיטב דש'!A:K,10,0)+VLOOKUP('תפוקה מצטברת מול אשתקד'!A63,אינפניטי!A:K,10,0)</f>
        <v>197820.67621400004</v>
      </c>
      <c r="O63" s="12">
        <f>VLOOKUP(A63,הכשרה!A:K,11,0)+VLOOKUP('תפוקה מצטברת מול אשתקד'!A63,מגדל!A:K,11,0)+VLOOKUP('תפוקה מצטברת מול אשתקד'!A63,מנורה!A:K,11,0)+VLOOKUP('תפוקה מצטברת מול אשתקד'!A63,איילון!A:K,11,0)+VLOOKUP('תפוקה מצטברת מול אשתקד'!A63,הראל!A:K,11,0)+VLOOKUP('תפוקה מצטברת מול אשתקד'!A63,הפניקס!A:K,11,0)+VLOOKUP('תפוקה מצטברת מול אשתקד'!A63,כלל!A:K,11,0)+VLOOKUP('תפוקה מצטברת מול אשתקד'!A63,מור!A:K,11,0)+VLOOKUP('תפוקה מצטברת מול אשתקד'!A63,'אלטשולר שחם'!A:K,11,0)+VLOOKUP('תפוקה מצטברת מול אשתקד'!A63,'מדיהו '!A:K,11,0)+VLOOKUP('תפוקה מצטברת מול אשתקד'!A63,'אנליסט '!A:K,11,0)+VLOOKUP('תפוקה מצטברת מול אשתקד'!A63,'מיטב דש'!A:K,11,0)+VLOOKUP('תפוקה מצטברת מול אשתקד'!A63,אינפניטי!A:K,11,0)</f>
        <v>0</v>
      </c>
    </row>
    <row r="64" spans="1:15" ht="15.75" customHeight="1" x14ac:dyDescent="0.25">
      <c r="A64" s="31" t="s">
        <v>40</v>
      </c>
      <c r="B64" s="27" t="s">
        <v>56</v>
      </c>
      <c r="C64" s="27" t="s">
        <v>111</v>
      </c>
      <c r="D64" s="20">
        <f t="shared" si="0"/>
        <v>4.6723795650368034</v>
      </c>
      <c r="E64" s="20">
        <f t="shared" si="0"/>
        <v>-0.62979988087452654</v>
      </c>
      <c r="F64" s="20">
        <f t="shared" si="0"/>
        <v>3.3234034382366104</v>
      </c>
      <c r="G64" s="20">
        <f t="shared" si="15"/>
        <v>19.879770405876936</v>
      </c>
      <c r="H64" s="68">
        <f>VLOOKUP(A64,הכשרה!A:G,4,0)+VLOOKUP('תפוקה מצטברת מול אשתקד'!A64,מגדל!A:G,4,0)+VLOOKUP('תפוקה מצטברת מול אשתקד'!A64,מנורה!A:G,4,0)+VLOOKUP('תפוקה מצטברת מול אשתקד'!A64,איילון!A:G,4,0)+VLOOKUP('תפוקה מצטברת מול אשתקד'!A64,הראל!A:G,4,0)+VLOOKUP('תפוקה מצטברת מול אשתקד'!A64,הפניקס!A:G,4,0)+VLOOKUP('תפוקה מצטברת מול אשתקד'!A64,כלל!A:G,4,0)+VLOOKUP('תפוקה מצטברת מול אשתקד'!A64,מור!A:G,4,0)+VLOOKUP('תפוקה מצטברת מול אשתקד'!A64,'אלטשולר שחם'!A:G,4,0)+VLOOKUP('תפוקה מצטברת מול אשתקד'!A64,'מדיהו '!A:G,4,0)+VLOOKUP('תפוקה מצטברת מול אשתקד'!A64,'אנליסט '!A:G,4,0)+VLOOKUP('תפוקה מצטברת מול אשתקד'!A64,'מיטב דש'!A:G,4,0)+VLOOKUP('תפוקה מצטברת מול אשתקד'!A64,אינפניטי!A:G,4,0)</f>
        <v>758810.59583172831</v>
      </c>
      <c r="I64" s="68">
        <f>VLOOKUP(A64,הכשרה!A:G,5,0)+VLOOKUP('תפוקה מצטברת מול אשתקד'!A64,מגדל!A:G,5,0)+VLOOKUP('תפוקה מצטברת מול אשתקד'!A64,מנורה!A:G,5,0)+VLOOKUP('תפוקה מצטברת מול אשתקד'!A64,איילון!A:G,5,0)+VLOOKUP('תפוקה מצטברת מול אשתקד'!A64,הראל!A:G,5,0)+VLOOKUP('תפוקה מצטברת מול אשתקד'!A64,הפניקס!A:G,5,0)+VLOOKUP('תפוקה מצטברת מול אשתקד'!A64,כלל!A:G,5,0)+VLOOKUP('תפוקה מצטברת מול אשתקד'!A64,מור!A:G,5,0)+VLOOKUP('תפוקה מצטברת מול אשתקד'!A64,'אלטשולר שחם'!A:G,5,0)+VLOOKUP('תפוקה מצטברת מול אשתקד'!A64,'מדיהו '!A:G,5,0)+VLOOKUP('תפוקה מצטברת מול אשתקד'!A64,'אנליסט '!A:G,5,0)+VLOOKUP('תפוקה מצטברת מול אשתקד'!A64,'מיטב דש'!A:G,5,0)+VLOOKUP('תפוקה מצטברת מול אשתקד'!A64,אינפניטי!A:G,5,0)</f>
        <v>32925.919999999998</v>
      </c>
      <c r="J64" s="68">
        <f>VLOOKUP(A64,הכשרה!A:G,6,0)+VLOOKUP('תפוקה מצטברת מול אשתקד'!A64,מגדל!A:G,6,0)+VLOOKUP('תפוקה מצטברת מול אשתקד'!A64,מנורה!A:G,6,0)+VLOOKUP('תפוקה מצטברת מול אשתקד'!A64,איילון!A:G,6,0)+VLOOKUP(A64,הראל!A:G,6,0)+VLOOKUP('תפוקה מצטברת מול אשתקד'!A64,הפניקס!A:G,6,0)+VLOOKUP('תפוקה מצטברת מול אשתקד'!A64,כלל!A:G,6,0)+VLOOKUP('תפוקה מצטברת מול אשתקד'!A64,מור!A:G,6,0)+VLOOKUP('תפוקה מצטברת מול אשתקד'!A64,'אלטשולר שחם'!A:G,6,0)+VLOOKUP('תפוקה מצטברת מול אשתקד'!A64,'מדיהו '!A:G,6,0)+VLOOKUP('תפוקה מצטברת מול אשתקד'!A64,'אנליסט '!A:G,6,0)+VLOOKUP('תפוקה מצטברת מול אשתקד'!A64,'מיטב דש'!A:G,6,0)+VLOOKUP('תפוקה מצטברת מול אשתקד'!A64,אינפניטי!A:G,6,0)</f>
        <v>755703.8</v>
      </c>
      <c r="K64" s="68">
        <f>VLOOKUP(A64,הכשרה!A:G,7,0)+VLOOKUP('תפוקה מצטברת מול אשתקד'!A64,מגדל!A:G,7,0)+VLOOKUP('תפוקה מצטברת מול אשתקד'!A64,מנורה!A:G,7,0)+VLOOKUP('תפוקה מצטברת מול אשתקד'!A64,איילון!A:G,7,0)+VLOOKUP('תפוקה מצטברת מול אשתקד'!A64,הראל!A:G,7,0)+VLOOKUP('תפוקה מצטברת מול אשתקד'!A64,הפניקס!A:G,7,0)+VLOOKUP('תפוקה מצטברת מול אשתקד'!A64,כלל!A:G,7,0)+VLOOKUP('תפוקה מצטברת מול אשתקד'!A64,מור!A:G,7,0)+VLOOKUP('תפוקה מצטברת מול אשתקד'!A64,'אלטשולר שחם'!A:G,7,0)+VLOOKUP('תפוקה מצטברת מול אשתקד'!A64,'מדיהו '!A:K,7,0)+VLOOKUP(A64,'אנליסט '!A:G,7,0)+VLOOKUP('תפוקה מצטברת מול אשתקד'!A64,'מיטב דש'!A:G,7,0)+VLOOKUP('תפוקה מצטברת מול אשתקד'!A64,אינפניטי!A:G,7,0)</f>
        <v>1549618.49</v>
      </c>
      <c r="L64" s="12">
        <f>VLOOKUP(A64,הכשרה!A:K,8,0)+VLOOKUP('תפוקה מצטברת מול אשתקד'!A64,מגדל!A:K,8,0)+VLOOKUP('תפוקה מצטברת מול אשתקד'!A64,מנורה!A:K,8,0)+VLOOKUP('תפוקה מצטברת מול אשתקד'!A64,איילון!A:K,8,0)+VLOOKUP('תפוקה מצטברת מול אשתקד'!A64,הראל!A:K,8,0)+VLOOKUP('תפוקה מצטברת מול אשתקד'!A64,הפניקס!A:K,8,0)+VLOOKUP('תפוקה מצטברת מול אשתקד'!A64,כלל!A:K,8,0)+VLOOKUP('תפוקה מצטברת מול אשתקד'!A64,מור!A:K,8,0)+VLOOKUP('תפוקה מצטברת מול אשתקד'!A64,'אלטשולר שחם'!A:K,8,0)+VLOOKUP('תפוקה מצטברת מול אשתקד'!A64,'מדיהו '!A:K,8,0)+VLOOKUP('תפוקה מצטברת מול אשתקד'!A64,'אנליסט '!A:K,8,0)+VLOOKUP('תפוקה מצטברת מול אשתקד'!A64,'מיטב דש'!A:K,8,0)+VLOOKUP('תפוקה מצטברת מול אשתקד'!A64,אינפניטי!A:K,8,0)</f>
        <v>133772.88792676289</v>
      </c>
      <c r="M64" s="12">
        <f>VLOOKUP(A64,הכשרה!A:K,9,0)+VLOOKUP('תפוקה מצטברת מול אשתקד'!A64,מגדל!A:K,9,0)+VLOOKUP('תפוקה מצטברת מול אשתקד'!A64,מנורה!A:K,9,0)+VLOOKUP('תפוקה מצטברת מול אשתקד'!A64,איילון!A:K,9,0)+VLOOKUP('תפוקה מצטברת מול אשתקד'!A64,הראל!A:K,9,0)+VLOOKUP('תפוקה מצטברת מול אשתקד'!A64,הפניקס!A:K,9,0)+VLOOKUP('תפוקה מצטברת מול אשתקד'!A64,כלל!A:K,9,0)+VLOOKUP('תפוקה מצטברת מול אשתקד'!A64,מור!A:K,9,0)+VLOOKUP('תפוקה מצטברת מול אשתקד'!A64,'אלטשולר שחם'!A:K,9,0)+VLOOKUP('תפוקה מצטברת מול אשתקד'!A64,'מדיהו '!A:K,9,0)+VLOOKUP('תפוקה מצטברת מול אשתקד'!A64,'אנליסט '!A:K,9,0)+VLOOKUP('תפוקה מצטברת מול אשתקד'!A64,'מיטב דש'!A:K,9,0)+VLOOKUP('תפוקה מצטברת מול אשתקד'!A64,אינפניטי!A:K,9,0)</f>
        <v>88940.868192536378</v>
      </c>
      <c r="N64" s="12">
        <f>VLOOKUP(A64,הכשרה!A:K,10,0)+VLOOKUP('תפוקה מצטברת מול אשתקד'!A64,מגדל!A:K,10,0)+VLOOKUP('תפוקה מצטברת מול אשתקד'!A64,מנורה!A:K,10,0)+VLOOKUP('תפוקה מצטברת מול אשתקד'!A64,איילון!A:K,10,0)+VLOOKUP('תפוקה מצטברת מול אשתקד'!A64,הראל!A:K,10,0)+VLOOKUP('תפוקה מצטברת מול אשתקד'!A64,הפניקס!A:K,10,0)+VLOOKUP('תפוקה מצטברת מול אשתקד'!A64,כלל!A:K,10,0)+VLOOKUP('תפוקה מצטברת מול אשתקד'!A64,מור!A:K,10,0)+VLOOKUP('תפוקה מצטברת מול אשתקד'!A64,'אלטשולר שחם'!A:K,10,0)+VLOOKUP('תפוקה מצטברת מול אשתקד'!A64,'מדיהו '!A:K,10,0)+VLOOKUP('תפוקה מצטברת מול אשתקד'!A64,'אנליסט '!A:K,10,0)+VLOOKUP('תפוקה מצטברת מול אשתקד'!A64,'מיטב דש'!A:K,10,0)+VLOOKUP('תפוקה מצטברת מול אשתקד'!A64,אינפניטי!A:K,10,0)</f>
        <v>174793.72693200002</v>
      </c>
      <c r="O64" s="12">
        <f>VLOOKUP(A64,הכשרה!A:K,11,0)+VLOOKUP('תפוקה מצטברת מול אשתקד'!A64,מגדל!A:K,11,0)+VLOOKUP('תפוקה מצטברת מול אשתקד'!A64,מנורה!A:K,11,0)+VLOOKUP('תפוקה מצטברת מול אשתקד'!A64,איילון!A:K,11,0)+VLOOKUP('תפוקה מצטברת מול אשתקד'!A64,הראל!A:K,11,0)+VLOOKUP('תפוקה מצטברת מול אשתקד'!A64,הפניקס!A:K,11,0)+VLOOKUP('תפוקה מצטברת מול אשתקד'!A64,כלל!A:K,11,0)+VLOOKUP('תפוקה מצטברת מול אשתקד'!A64,מור!A:K,11,0)+VLOOKUP('תפוקה מצטברת מול אשתקד'!A64,'אלטשולר שחם'!A:K,11,0)+VLOOKUP('תפוקה מצטברת מול אשתקד'!A64,'מדיהו '!A:K,11,0)+VLOOKUP('תפוקה מצטברת מול אשתקד'!A64,'אנליסט '!A:K,11,0)+VLOOKUP('תפוקה מצטברת מול אשתקד'!A64,'מיטב דש'!A:K,11,0)+VLOOKUP('תפוקה מצטברת מול אשתקד'!A64,אינפניטי!A:K,11,0)</f>
        <v>74216.260997000034</v>
      </c>
    </row>
    <row r="65" spans="1:15" ht="15.75" customHeight="1" x14ac:dyDescent="0.25">
      <c r="A65" s="27" t="s">
        <v>98</v>
      </c>
      <c r="B65" s="27" t="s">
        <v>116</v>
      </c>
      <c r="C65" s="27" t="s">
        <v>111</v>
      </c>
      <c r="D65" s="20">
        <f t="shared" si="0"/>
        <v>0</v>
      </c>
      <c r="E65" s="20">
        <f t="shared" si="0"/>
        <v>0</v>
      </c>
      <c r="F65" s="20">
        <f t="shared" si="0"/>
        <v>-0.99358972304398407</v>
      </c>
      <c r="G65" s="20">
        <f t="shared" si="15"/>
        <v>0</v>
      </c>
      <c r="H65" s="68">
        <f>VLOOKUP(A65,הכשרה!A:G,4,0)+VLOOKUP('תפוקה מצטברת מול אשתקד'!A65,מגדל!A:G,4,0)+VLOOKUP('תפוקה מצטברת מול אשתקד'!A65,מנורה!A:G,4,0)+VLOOKUP('תפוקה מצטברת מול אשתקד'!A65,איילון!A:G,4,0)+VLOOKUP('תפוקה מצטברת מול אשתקד'!A65,הראל!A:G,4,0)+VLOOKUP('תפוקה מצטברת מול אשתקד'!A65,הפניקס!A:G,4,0)+VLOOKUP('תפוקה מצטברת מול אשתקד'!A65,כלל!A:G,4,0)+VLOOKUP('תפוקה מצטברת מול אשתקד'!A65,מור!A:G,4,0)+VLOOKUP('תפוקה מצטברת מול אשתקד'!A65,'אלטשולר שחם'!A:G,4,0)+VLOOKUP('תפוקה מצטברת מול אשתקד'!A65,'מדיהו '!A:G,4,0)+VLOOKUP('תפוקה מצטברת מול אשתקד'!A65,'אנליסט '!A:G,4,0)+VLOOKUP('תפוקה מצטברת מול אשתקד'!A65,'מיטב דש'!A:G,4,0)+VLOOKUP('תפוקה מצטברת מול אשתקד'!A65,אינפניטי!A:G,4,0)</f>
        <v>0</v>
      </c>
      <c r="I65" s="68">
        <f>VLOOKUP(A65,הכשרה!A:G,5,0)+VLOOKUP('תפוקה מצטברת מול אשתקד'!A65,מגדל!A:G,5,0)+VLOOKUP('תפוקה מצטברת מול אשתקד'!A65,מנורה!A:G,5,0)+VLOOKUP('תפוקה מצטברת מול אשתקד'!A65,איילון!A:G,5,0)+VLOOKUP('תפוקה מצטברת מול אשתקד'!A65,הראל!A:G,5,0)+VLOOKUP('תפוקה מצטברת מול אשתקד'!A65,הפניקס!A:G,5,0)+VLOOKUP('תפוקה מצטברת מול אשתקד'!A65,כלל!A:G,5,0)+VLOOKUP('תפוקה מצטברת מול אשתקד'!A65,מור!A:G,5,0)+VLOOKUP('תפוקה מצטברת מול אשתקד'!A65,'אלטשולר שחם'!A:G,5,0)+VLOOKUP('תפוקה מצטברת מול אשתקד'!A65,'מדיהו '!A:G,5,0)+VLOOKUP('תפוקה מצטברת מול אשתקד'!A65,'אנליסט '!A:G,5,0)+VLOOKUP('תפוקה מצטברת מול אשתקד'!A65,'מיטב דש'!A:G,5,0)+VLOOKUP('תפוקה מצטברת מול אשתקד'!A65,אינפניטי!A:G,5,0)</f>
        <v>0</v>
      </c>
      <c r="J65" s="68">
        <f>VLOOKUP(A65,הכשרה!A:G,6,0)+VLOOKUP('תפוקה מצטברת מול אשתקד'!A65,מגדל!A:G,6,0)+VLOOKUP('תפוקה מצטברת מול אשתקד'!A65,מנורה!A:G,6,0)+VLOOKUP('תפוקה מצטברת מול אשתקד'!A65,איילון!A:G,6,0)+VLOOKUP(A65,הראל!A:G,6,0)+VLOOKUP('תפוקה מצטברת מול אשתקד'!A65,הפניקס!A:G,6,0)+VLOOKUP('תפוקה מצטברת מול אשתקד'!A65,כלל!A:G,6,0)+VLOOKUP('תפוקה מצטברת מול אשתקד'!A65,מור!A:G,6,0)+VLOOKUP('תפוקה מצטברת מול אשתקד'!A65,'אלטשולר שחם'!A:G,6,0)+VLOOKUP('תפוקה מצטברת מול אשתקד'!A65,'מדיהו '!A:G,6,0)+VLOOKUP('תפוקה מצטברת מול אשתקד'!A65,'אנליסט '!A:G,6,0)+VLOOKUP('תפוקה מצטברת מול אשתקד'!A65,'מיטב דש'!A:G,6,0)+VLOOKUP('תפוקה מצטברת מול אשתקד'!A65,אינפניטי!A:G,6,0)</f>
        <v>500</v>
      </c>
      <c r="K65" s="68">
        <f>VLOOKUP(A65,הכשרה!A:G,7,0)+VLOOKUP('תפוקה מצטברת מול אשתקד'!A65,מגדל!A:G,7,0)+VLOOKUP('תפוקה מצטברת מול אשתקד'!A65,מנורה!A:G,7,0)+VLOOKUP('תפוקה מצטברת מול אשתקד'!A65,איילון!A:G,7,0)+VLOOKUP('תפוקה מצטברת מול אשתקד'!A65,הראל!A:G,7,0)+VLOOKUP('תפוקה מצטברת מול אשתקד'!A65,הפניקס!A:G,7,0)+VLOOKUP('תפוקה מצטברת מול אשתקד'!A65,כלל!A:G,7,0)+VLOOKUP('תפוקה מצטברת מול אשתקד'!A65,מור!A:G,7,0)+VLOOKUP('תפוקה מצטברת מול אשתקד'!A65,'אלטשולר שחם'!A:G,7,0)+VLOOKUP('תפוקה מצטברת מול אשתקד'!A65,'מדיהו '!A:K,7,0)+VLOOKUP(A65,'אנליסט '!A:G,7,0)+VLOOKUP('תפוקה מצטברת מול אשתקד'!A65,'מיטב דש'!A:G,7,0)+VLOOKUP('תפוקה מצטברת מול אשתקד'!A65,אינפניטי!A:G,7,0)</f>
        <v>0</v>
      </c>
      <c r="L65" s="12">
        <f>VLOOKUP(A65,הכשרה!A:K,8,0)+VLOOKUP('תפוקה מצטברת מול אשתקד'!A65,מגדל!A:K,8,0)+VLOOKUP('תפוקה מצטברת מול אשתקד'!A65,מנורה!A:K,8,0)+VLOOKUP('תפוקה מצטברת מול אשתקד'!A65,איילון!A:K,8,0)+VLOOKUP('תפוקה מצטברת מול אשתקד'!A65,הראל!A:K,8,0)+VLOOKUP('תפוקה מצטברת מול אשתקד'!A65,הפניקס!A:K,8,0)+VLOOKUP('תפוקה מצטברת מול אשתקד'!A65,כלל!A:K,8,0)+VLOOKUP('תפוקה מצטברת מול אשתקד'!A65,מור!A:K,8,0)+VLOOKUP('תפוקה מצטברת מול אשתקד'!A65,'אלטשולר שחם'!A:K,8,0)+VLOOKUP('תפוקה מצטברת מול אשתקד'!A65,'מדיהו '!A:K,8,0)+VLOOKUP('תפוקה מצטברת מול אשתקד'!A65,'אנליסט '!A:K,8,0)+VLOOKUP('תפוקה מצטברת מול אשתקד'!A65,'מיטב דש'!A:K,8,0)+VLOOKUP('תפוקה מצטברת מול אשתקד'!A65,אינפניטי!A:K,8,0)</f>
        <v>61268.01</v>
      </c>
      <c r="M65" s="12">
        <f>VLOOKUP(A65,הכשרה!A:K,9,0)+VLOOKUP('תפוקה מצטברת מול אשתקד'!A65,מגדל!A:K,9,0)+VLOOKUP('תפוקה מצטברת מול אשתקד'!A65,מנורה!A:K,9,0)+VLOOKUP('תפוקה מצטברת מול אשתקד'!A65,איילון!A:K,9,0)+VLOOKUP('תפוקה מצטברת מול אשתקד'!A65,הראל!A:K,9,0)+VLOOKUP('תפוקה מצטברת מול אשתקד'!A65,הפניקס!A:K,9,0)+VLOOKUP('תפוקה מצטברת מול אשתקד'!A65,כלל!A:K,9,0)+VLOOKUP('תפוקה מצטברת מול אשתקד'!A65,מור!A:K,9,0)+VLOOKUP('תפוקה מצטברת מול אשתקד'!A65,'אלטשולר שחם'!A:K,9,0)+VLOOKUP('תפוקה מצטברת מול אשתקד'!A65,'מדיהו '!A:K,9,0)+VLOOKUP('תפוקה מצטברת מול אשתקד'!A65,'אנליסט '!A:K,9,0)+VLOOKUP('תפוקה מצטברת מול אשתקד'!A65,'מיטב דש'!A:K,9,0)+VLOOKUP('תפוקה מצטברת מול אשתקד'!A65,אינפניטי!A:K,9,0)</f>
        <v>3495.68325</v>
      </c>
      <c r="N65" s="12">
        <f>VLOOKUP(A65,הכשרה!A:K,10,0)+VLOOKUP('תפוקה מצטברת מול אשתקד'!A65,מגדל!A:K,10,0)+VLOOKUP('תפוקה מצטברת מול אשתקד'!A65,מנורה!A:K,10,0)+VLOOKUP('תפוקה מצטברת מול אשתקד'!A65,איילון!A:K,10,0)+VLOOKUP('תפוקה מצטברת מול אשתקד'!A65,הראל!A:K,10,0)+VLOOKUP('תפוקה מצטברת מול אשתקד'!A65,הפניקס!A:K,10,0)+VLOOKUP('תפוקה מצטברת מול אשתקד'!A65,כלל!A:K,10,0)+VLOOKUP('תפוקה מצטברת מול אשתקד'!A65,מור!A:K,10,0)+VLOOKUP('תפוקה מצטברת מול אשתקד'!A65,'אלטשולר שחם'!A:K,10,0)+VLOOKUP('תפוקה מצטברת מול אשתקד'!A65,'מדיהו '!A:K,10,0)+VLOOKUP('תפוקה מצטברת מול אשתקד'!A65,'אנליסט '!A:K,10,0)+VLOOKUP('תפוקה מצטברת מול אשתקד'!A65,'מיטב דש'!A:K,10,0)+VLOOKUP('תפוקה מצטברת מול אשתקד'!A65,אינפניטי!A:K,10,0)</f>
        <v>77999.75</v>
      </c>
      <c r="O65" s="12">
        <f>VLOOKUP(A65,הכשרה!A:K,11,0)+VLOOKUP('תפוקה מצטברת מול אשתקד'!A65,מגדל!A:K,11,0)+VLOOKUP('תפוקה מצטברת מול אשתקד'!A65,מנורה!A:K,11,0)+VLOOKUP('תפוקה מצטברת מול אשתקד'!A65,איילון!A:K,11,0)+VLOOKUP('תפוקה מצטברת מול אשתקד'!A65,הראל!A:K,11,0)+VLOOKUP('תפוקה מצטברת מול אשתקד'!A65,הפניקס!A:K,11,0)+VLOOKUP('תפוקה מצטברת מול אשתקד'!A65,כלל!A:K,11,0)+VLOOKUP('תפוקה מצטברת מול אשתקד'!A65,מור!A:K,11,0)+VLOOKUP('תפוקה מצטברת מול אשתקד'!A65,'אלטשולר שחם'!A:K,11,0)+VLOOKUP('תפוקה מצטברת מול אשתקד'!A65,'מדיהו '!A:K,11,0)+VLOOKUP('תפוקה מצטברת מול אשתקד'!A65,'אנליסט '!A:K,11,0)+VLOOKUP('תפוקה מצטברת מול אשתקד'!A65,'מיטב דש'!A:K,11,0)+VLOOKUP('תפוקה מצטברת מול אשתקד'!A65,אינפניטי!A:K,11,0)</f>
        <v>0</v>
      </c>
    </row>
    <row r="66" spans="1:15" ht="15.75" customHeight="1" x14ac:dyDescent="0.25">
      <c r="A66" s="27" t="s">
        <v>100</v>
      </c>
      <c r="B66" s="27" t="s">
        <v>56</v>
      </c>
      <c r="C66" s="27" t="s">
        <v>111</v>
      </c>
      <c r="D66" s="20">
        <f t="shared" ref="D66:F72" si="17">IF(H66=0,0%,IF(L66=0,100%,H66/L66-1))</f>
        <v>1</v>
      </c>
      <c r="E66" s="20">
        <f t="shared" si="17"/>
        <v>0</v>
      </c>
      <c r="F66" s="20">
        <f t="shared" si="17"/>
        <v>1</v>
      </c>
      <c r="G66" s="20">
        <f t="shared" si="15"/>
        <v>1</v>
      </c>
      <c r="H66" s="68">
        <f>VLOOKUP(A66,הכשרה!A:G,4,0)+VLOOKUP('תפוקה מצטברת מול אשתקד'!A66,מגדל!A:G,4,0)+VLOOKUP('תפוקה מצטברת מול אשתקד'!A66,מנורה!A:G,4,0)+VLOOKUP('תפוקה מצטברת מול אשתקד'!A66,איילון!A:G,4,0)+VLOOKUP('תפוקה מצטברת מול אשתקד'!A66,הראל!A:G,4,0)+VLOOKUP('תפוקה מצטברת מול אשתקד'!A66,הפניקס!A:G,4,0)+VLOOKUP('תפוקה מצטברת מול אשתקד'!A66,כלל!A:G,4,0)+VLOOKUP('תפוקה מצטברת מול אשתקד'!A66,מור!A:G,4,0)+VLOOKUP('תפוקה מצטברת מול אשתקד'!A66,'אלטשולר שחם'!A:G,4,0)+VLOOKUP('תפוקה מצטברת מול אשתקד'!A66,'מדיהו '!A:G,4,0)+VLOOKUP('תפוקה מצטברת מול אשתקד'!A66,'אנליסט '!A:G,4,0)+VLOOKUP('תפוקה מצטברת מול אשתקד'!A66,'מיטב דש'!A:G,4,0)+VLOOKUP('תפוקה מצטברת מול אשתקד'!A66,אינפניטי!A:G,4,0)</f>
        <v>90580.75</v>
      </c>
      <c r="I66" s="68">
        <f>VLOOKUP(A66,הכשרה!A:G,5,0)+VLOOKUP('תפוקה מצטברת מול אשתקד'!A66,מגדל!A:G,5,0)+VLOOKUP('תפוקה מצטברת מול אשתקד'!A66,מנורה!A:G,5,0)+VLOOKUP('תפוקה מצטברת מול אשתקד'!A66,איילון!A:G,5,0)+VLOOKUP('תפוקה מצטברת מול אשתקד'!A66,הראל!A:G,5,0)+VLOOKUP('תפוקה מצטברת מול אשתקד'!A66,הפניקס!A:G,5,0)+VLOOKUP('תפוקה מצטברת מול אשתקד'!A66,כלל!A:G,5,0)+VLOOKUP('תפוקה מצטברת מול אשתקד'!A66,מור!A:G,5,0)+VLOOKUP('תפוקה מצטברת מול אשתקד'!A66,'אלטשולר שחם'!A:G,5,0)+VLOOKUP('תפוקה מצטברת מול אשתקד'!A66,'מדיהו '!A:G,5,0)+VLOOKUP('תפוקה מצטברת מול אשתקד'!A66,'אנליסט '!A:G,5,0)+VLOOKUP('תפוקה מצטברת מול אשתקד'!A66,'מיטב דש'!A:G,5,0)+VLOOKUP('תפוקה מצטברת מול אשתקד'!A66,אינפניטי!A:G,5,0)</f>
        <v>0</v>
      </c>
      <c r="J66" s="68">
        <f>VLOOKUP(A66,הכשרה!A:G,6,0)+VLOOKUP('תפוקה מצטברת מול אשתקד'!A66,מגדל!A:G,6,0)+VLOOKUP('תפוקה מצטברת מול אשתקד'!A66,מנורה!A:G,6,0)+VLOOKUP('תפוקה מצטברת מול אשתקד'!A66,איילון!A:G,6,0)+VLOOKUP(A66,הראל!A:G,6,0)+VLOOKUP('תפוקה מצטברת מול אשתקד'!A66,הפניקס!A:G,6,0)+VLOOKUP('תפוקה מצטברת מול אשתקד'!A66,כלל!A:G,6,0)+VLOOKUP('תפוקה מצטברת מול אשתקד'!A66,מור!A:G,6,0)+VLOOKUP('תפוקה מצטברת מול אשתקד'!A66,'אלטשולר שחם'!A:G,6,0)+VLOOKUP('תפוקה מצטברת מול אשתקד'!A66,'מדיהו '!A:G,6,0)+VLOOKUP('תפוקה מצטברת מול אשתקד'!A66,'אנליסט '!A:G,6,0)+VLOOKUP('תפוקה מצטברת מול אשתקד'!A66,'מיטב דש'!A:G,6,0)+VLOOKUP('תפוקה מצטברת מול אשתקד'!A66,אינפניטי!A:G,6,0)</f>
        <v>3000</v>
      </c>
      <c r="K66" s="68">
        <f>VLOOKUP(A66,הכשרה!A:G,7,0)+VLOOKUP('תפוקה מצטברת מול אשתקד'!A66,מגדל!A:G,7,0)+VLOOKUP('תפוקה מצטברת מול אשתקד'!A66,מנורה!A:G,7,0)+VLOOKUP('תפוקה מצטברת מול אשתקד'!A66,איילון!A:G,7,0)+VLOOKUP('תפוקה מצטברת מול אשתקד'!A66,הראל!A:G,7,0)+VLOOKUP('תפוקה מצטברת מול אשתקד'!A66,הפניקס!A:G,7,0)+VLOOKUP('תפוקה מצטברת מול אשתקד'!A66,כלל!A:G,7,0)+VLOOKUP('תפוקה מצטברת מול אשתקד'!A66,מור!A:G,7,0)+VLOOKUP('תפוקה מצטברת מול אשתקד'!A66,'אלטשולר שחם'!A:G,7,0)+VLOOKUP('תפוקה מצטברת מול אשתקד'!A66,'מדיהו '!A:K,7,0)+VLOOKUP(A66,'אנליסט '!A:G,7,0)+VLOOKUP('תפוקה מצטברת מול אשתקד'!A66,'מיטב דש'!A:G,7,0)+VLOOKUP('תפוקה מצטברת מול אשתקד'!A66,אינפניטי!A:G,7,0)</f>
        <v>809852.38</v>
      </c>
      <c r="L66" s="12">
        <f>VLOOKUP(A66,הכשרה!A:K,8,0)+VLOOKUP('תפוקה מצטברת מול אשתקד'!A66,מגדל!A:K,8,0)+VLOOKUP('תפוקה מצטברת מול אשתקד'!A66,מנורה!A:K,8,0)+VLOOKUP('תפוקה מצטברת מול אשתקד'!A66,איילון!A:K,8,0)+VLOOKUP('תפוקה מצטברת מול אשתקד'!A66,הראל!A:K,8,0)+VLOOKUP('תפוקה מצטברת מול אשתקד'!A66,הפניקס!A:K,8,0)+VLOOKUP('תפוקה מצטברת מול אשתקד'!A66,כלל!A:K,8,0)+VLOOKUP('תפוקה מצטברת מול אשתקד'!A66,מור!A:K,8,0)+VLOOKUP('תפוקה מצטברת מול אשתקד'!A66,'אלטשולר שחם'!A:K,8,0)+VLOOKUP('תפוקה מצטברת מול אשתקד'!A66,'מדיהו '!A:K,8,0)+VLOOKUP('תפוקה מצטברת מול אשתקד'!A66,'אנליסט '!A:K,8,0)+VLOOKUP('תפוקה מצטברת מול אשתקד'!A66,'מיטב דש'!A:K,8,0)+VLOOKUP('תפוקה מצטברת מול אשתקד'!A66,אינפניטי!A:K,8,0)</f>
        <v>0</v>
      </c>
      <c r="M66" s="12">
        <f>VLOOKUP(A66,הכשרה!A:K,9,0)+VLOOKUP('תפוקה מצטברת מול אשתקד'!A66,מגדל!A:K,9,0)+VLOOKUP('תפוקה מצטברת מול אשתקד'!A66,מנורה!A:K,9,0)+VLOOKUP('תפוקה מצטברת מול אשתקד'!A66,איילון!A:K,9,0)+VLOOKUP('תפוקה מצטברת מול אשתקד'!A66,הראל!A:K,9,0)+VLOOKUP('תפוקה מצטברת מול אשתקד'!A66,הפניקס!A:K,9,0)+VLOOKUP('תפוקה מצטברת מול אשתקד'!A66,כלל!A:K,9,0)+VLOOKUP('תפוקה מצטברת מול אשתקד'!A66,מור!A:K,9,0)+VLOOKUP('תפוקה מצטברת מול אשתקד'!A66,'אלטשולר שחם'!A:K,9,0)+VLOOKUP('תפוקה מצטברת מול אשתקד'!A66,'מדיהו '!A:K,9,0)+VLOOKUP('תפוקה מצטברת מול אשתקד'!A66,'אנליסט '!A:K,9,0)+VLOOKUP('תפוקה מצטברת מול אשתקד'!A66,'מיטב דש'!A:K,9,0)+VLOOKUP('תפוקה מצטברת מול אשתקד'!A66,אינפניטי!A:K,9,0)</f>
        <v>0</v>
      </c>
      <c r="N66" s="12">
        <f>VLOOKUP(A66,הכשרה!A:K,10,0)+VLOOKUP('תפוקה מצטברת מול אשתקד'!A66,מגדל!A:K,10,0)+VLOOKUP('תפוקה מצטברת מול אשתקד'!A66,מנורה!A:K,10,0)+VLOOKUP('תפוקה מצטברת מול אשתקד'!A66,איילון!A:K,10,0)+VLOOKUP('תפוקה מצטברת מול אשתקד'!A66,הראל!A:K,10,0)+VLOOKUP('תפוקה מצטברת מול אשתקד'!A66,הפניקס!A:K,10,0)+VLOOKUP('תפוקה מצטברת מול אשתקד'!A66,כלל!A:K,10,0)+VLOOKUP('תפוקה מצטברת מול אשתקד'!A66,מור!A:K,10,0)+VLOOKUP('תפוקה מצטברת מול אשתקד'!A66,'אלטשולר שחם'!A:K,10,0)+VLOOKUP('תפוקה מצטברת מול אשתקד'!A66,'מדיהו '!A:K,10,0)+VLOOKUP('תפוקה מצטברת מול אשתקד'!A66,'אנליסט '!A:K,10,0)+VLOOKUP('תפוקה מצטברת מול אשתקד'!A66,'מיטב דש'!A:K,10,0)+VLOOKUP('תפוקה מצטברת מול אשתקד'!A66,אינפניטי!A:K,10,0)</f>
        <v>0</v>
      </c>
      <c r="O66" s="12">
        <f>VLOOKUP(A66,הכשרה!A:K,11,0)+VLOOKUP('תפוקה מצטברת מול אשתקד'!A66,מגדל!A:K,11,0)+VLOOKUP('תפוקה מצטברת מול אשתקד'!A66,מנורה!A:K,11,0)+VLOOKUP('תפוקה מצטברת מול אשתקד'!A66,איילון!A:K,11,0)+VLOOKUP('תפוקה מצטברת מול אשתקד'!A66,הראל!A:K,11,0)+VLOOKUP('תפוקה מצטברת מול אשתקד'!A66,הפניקס!A:K,11,0)+VLOOKUP('תפוקה מצטברת מול אשתקד'!A66,כלל!A:K,11,0)+VLOOKUP('תפוקה מצטברת מול אשתקד'!A66,מור!A:K,11,0)+VLOOKUP('תפוקה מצטברת מול אשתקד'!A66,'אלטשולר שחם'!A:K,11,0)+VLOOKUP('תפוקה מצטברת מול אשתקד'!A66,'מדיהו '!A:K,11,0)+VLOOKUP('תפוקה מצטברת מול אשתקד'!A66,'אנליסט '!A:K,11,0)+VLOOKUP('תפוקה מצטברת מול אשתקד'!A66,'מיטב דש'!A:K,11,0)+VLOOKUP('תפוקה מצטברת מול אשתקד'!A66,אינפניטי!A:K,11,0)</f>
        <v>0</v>
      </c>
    </row>
    <row r="67" spans="1:15" ht="15.75" customHeight="1" x14ac:dyDescent="0.25">
      <c r="A67" s="27" t="s">
        <v>101</v>
      </c>
      <c r="B67" s="27" t="s">
        <v>56</v>
      </c>
      <c r="C67" s="27" t="s">
        <v>111</v>
      </c>
      <c r="D67" s="20">
        <f t="shared" si="17"/>
        <v>0</v>
      </c>
      <c r="E67" s="20">
        <f t="shared" si="17"/>
        <v>0</v>
      </c>
      <c r="F67" s="20">
        <f t="shared" si="17"/>
        <v>0</v>
      </c>
      <c r="G67" s="20">
        <f t="shared" si="15"/>
        <v>0</v>
      </c>
      <c r="H67" s="68">
        <f>VLOOKUP(A67,הכשרה!A:G,4,0)+VLOOKUP('תפוקה מצטברת מול אשתקד'!A67,מגדל!A:G,4,0)+VLOOKUP('תפוקה מצטברת מול אשתקד'!A67,מנורה!A:G,4,0)+VLOOKUP('תפוקה מצטברת מול אשתקד'!A67,איילון!A:G,4,0)+VLOOKUP('תפוקה מצטברת מול אשתקד'!A67,הראל!A:G,4,0)+VLOOKUP('תפוקה מצטברת מול אשתקד'!A67,הפניקס!A:G,4,0)+VLOOKUP('תפוקה מצטברת מול אשתקד'!A67,כלל!A:G,4,0)+VLOOKUP('תפוקה מצטברת מול אשתקד'!A67,מור!A:G,4,0)+VLOOKUP('תפוקה מצטברת מול אשתקד'!A67,'אלטשולר שחם'!A:G,4,0)+VLOOKUP('תפוקה מצטברת מול אשתקד'!A67,'מדיהו '!A:G,4,0)+VLOOKUP('תפוקה מצטברת מול אשתקד'!A67,'אנליסט '!A:G,4,0)+VLOOKUP('תפוקה מצטברת מול אשתקד'!A67,'מיטב דש'!A:G,4,0)+VLOOKUP('תפוקה מצטברת מול אשתקד'!A67,אינפניטי!A:G,4,0)</f>
        <v>0</v>
      </c>
      <c r="I67" s="68">
        <f>VLOOKUP(A67,הכשרה!A:G,5,0)+VLOOKUP('תפוקה מצטברת מול אשתקד'!A67,מגדל!A:G,5,0)+VLOOKUP('תפוקה מצטברת מול אשתקד'!A67,מנורה!A:G,5,0)+VLOOKUP('תפוקה מצטברת מול אשתקד'!A67,איילון!A:G,5,0)+VLOOKUP('תפוקה מצטברת מול אשתקד'!A67,הראל!A:G,5,0)+VLOOKUP('תפוקה מצטברת מול אשתקד'!A67,הפניקס!A:G,5,0)+VLOOKUP('תפוקה מצטברת מול אשתקד'!A67,כלל!A:G,5,0)+VLOOKUP('תפוקה מצטברת מול אשתקד'!A67,מור!A:G,5,0)+VLOOKUP('תפוקה מצטברת מול אשתקד'!A67,'אלטשולר שחם'!A:G,5,0)+VLOOKUP('תפוקה מצטברת מול אשתקד'!A67,'מדיהו '!A:G,5,0)+VLOOKUP('תפוקה מצטברת מול אשתקד'!A67,'אנליסט '!A:G,5,0)+VLOOKUP('תפוקה מצטברת מול אשתקד'!A67,'מיטב דש'!A:G,5,0)+VLOOKUP('תפוקה מצטברת מול אשתקד'!A67,אינפניטי!A:G,5,0)</f>
        <v>0</v>
      </c>
      <c r="J67" s="68">
        <f>VLOOKUP(A67,הכשרה!A:G,6,0)+VLOOKUP('תפוקה מצטברת מול אשתקד'!A67,מגדל!A:G,6,0)+VLOOKUP('תפוקה מצטברת מול אשתקד'!A67,מנורה!A:G,6,0)+VLOOKUP('תפוקה מצטברת מול אשתקד'!A67,איילון!A:G,6,0)+VLOOKUP(A67,הראל!A:G,6,0)+VLOOKUP('תפוקה מצטברת מול אשתקד'!A67,הפניקס!A:G,6,0)+VLOOKUP('תפוקה מצטברת מול אשתקד'!A67,כלל!A:G,6,0)+VLOOKUP('תפוקה מצטברת מול אשתקד'!A67,מור!A:G,6,0)+VLOOKUP('תפוקה מצטברת מול אשתקד'!A67,'אלטשולר שחם'!A:G,6,0)+VLOOKUP('תפוקה מצטברת מול אשתקד'!A67,'מדיהו '!A:G,6,0)+VLOOKUP('תפוקה מצטברת מול אשתקד'!A67,'אנליסט '!A:G,6,0)+VLOOKUP('תפוקה מצטברת מול אשתקד'!A67,'מיטב דש'!A:G,6,0)+VLOOKUP('תפוקה מצטברת מול אשתקד'!A67,אינפניטי!A:G,6,0)</f>
        <v>0</v>
      </c>
      <c r="K67" s="68">
        <f>VLOOKUP(A67,הכשרה!A:G,7,0)+VLOOKUP('תפוקה מצטברת מול אשתקד'!A67,מגדל!A:G,7,0)+VLOOKUP('תפוקה מצטברת מול אשתקד'!A67,מנורה!A:G,7,0)+VLOOKUP('תפוקה מצטברת מול אשתקד'!A67,איילון!A:G,7,0)+VLOOKUP('תפוקה מצטברת מול אשתקד'!A67,הראל!A:G,7,0)+VLOOKUP('תפוקה מצטברת מול אשתקד'!A67,הפניקס!A:G,7,0)+VLOOKUP('תפוקה מצטברת מול אשתקד'!A67,כלל!A:G,7,0)+VLOOKUP('תפוקה מצטברת מול אשתקד'!A67,מור!A:G,7,0)+VLOOKUP('תפוקה מצטברת מול אשתקד'!A67,'אלטשולר שחם'!A:G,7,0)+VLOOKUP('תפוקה מצטברת מול אשתקד'!A67,'מדיהו '!A:K,7,0)+VLOOKUP(A67,'אנליסט '!A:G,7,0)+VLOOKUP('תפוקה מצטברת מול אשתקד'!A67,'מיטב דש'!A:G,7,0)+VLOOKUP('תפוקה מצטברת מול אשתקד'!A67,אינפניטי!A:G,7,0)</f>
        <v>0</v>
      </c>
      <c r="L67" s="12">
        <f>VLOOKUP(A67,הכשרה!A:K,8,0)+VLOOKUP('תפוקה מצטברת מול אשתקד'!A67,מגדל!A:K,8,0)+VLOOKUP('תפוקה מצטברת מול אשתקד'!A67,מנורה!A:K,8,0)+VLOOKUP('תפוקה מצטברת מול אשתקד'!A67,איילון!A:K,8,0)+VLOOKUP('תפוקה מצטברת מול אשתקד'!A67,הראל!A:K,8,0)+VLOOKUP('תפוקה מצטברת מול אשתקד'!A67,הפניקס!A:K,8,0)+VLOOKUP('תפוקה מצטברת מול אשתקד'!A67,כלל!A:K,8,0)+VLOOKUP('תפוקה מצטברת מול אשתקד'!A67,מור!A:K,8,0)+VLOOKUP('תפוקה מצטברת מול אשתקד'!A67,'אלטשולר שחם'!A:K,8,0)+VLOOKUP('תפוקה מצטברת מול אשתקד'!A67,'מדיהו '!A:K,8,0)+VLOOKUP('תפוקה מצטברת מול אשתקד'!A67,'אנליסט '!A:K,8,0)+VLOOKUP('תפוקה מצטברת מול אשתקד'!A67,'מיטב דש'!A:K,8,0)+VLOOKUP('תפוקה מצטברת מול אשתקד'!A67,אינפניטי!A:K,8,0)</f>
        <v>0</v>
      </c>
      <c r="M67" s="12">
        <f>VLOOKUP(A67,הכשרה!A:K,9,0)+VLOOKUP('תפוקה מצטברת מול אשתקד'!A67,מגדל!A:K,9,0)+VLOOKUP('תפוקה מצטברת מול אשתקד'!A67,מנורה!A:K,9,0)+VLOOKUP('תפוקה מצטברת מול אשתקד'!A67,איילון!A:K,9,0)+VLOOKUP('תפוקה מצטברת מול אשתקד'!A67,הראל!A:K,9,0)+VLOOKUP('תפוקה מצטברת מול אשתקד'!A67,הפניקס!A:K,9,0)+VLOOKUP('תפוקה מצטברת מול אשתקד'!A67,כלל!A:K,9,0)+VLOOKUP('תפוקה מצטברת מול אשתקד'!A67,מור!A:K,9,0)+VLOOKUP('תפוקה מצטברת מול אשתקד'!A67,'אלטשולר שחם'!A:K,9,0)+VLOOKUP('תפוקה מצטברת מול אשתקד'!A67,'מדיהו '!A:K,9,0)+VLOOKUP('תפוקה מצטברת מול אשתקד'!A67,'אנליסט '!A:K,9,0)+VLOOKUP('תפוקה מצטברת מול אשתקד'!A67,'מיטב דש'!A:K,9,0)+VLOOKUP('תפוקה מצטברת מול אשתקד'!A67,אינפניטי!A:K,9,0)</f>
        <v>22240.953595000003</v>
      </c>
      <c r="N67" s="12">
        <f>VLOOKUP(A67,הכשרה!A:K,10,0)+VLOOKUP('תפוקה מצטברת מול אשתקד'!A67,מגדל!A:K,10,0)+VLOOKUP('תפוקה מצטברת מול אשתקד'!A67,מנורה!A:K,10,0)+VLOOKUP('תפוקה מצטברת מול אשתקד'!A67,איילון!A:K,10,0)+VLOOKUP('תפוקה מצטברת מול אשתקד'!A67,הראל!A:K,10,0)+VLOOKUP('תפוקה מצטברת מול אשתקד'!A67,הפניקס!A:K,10,0)+VLOOKUP('תפוקה מצטברת מול אשתקד'!A67,כלל!A:K,10,0)+VLOOKUP('תפוקה מצטברת מול אשתקד'!A67,מור!A:K,10,0)+VLOOKUP('תפוקה מצטברת מול אשתקד'!A67,'אלטשולר שחם'!A:K,10,0)+VLOOKUP('תפוקה מצטברת מול אשתקד'!A67,'מדיהו '!A:K,10,0)+VLOOKUP('תפוקה מצטברת מול אשתקד'!A67,'אנליסט '!A:K,10,0)+VLOOKUP('תפוקה מצטברת מול אשתקד'!A67,'מיטב דש'!A:K,10,0)+VLOOKUP('תפוקה מצטברת מול אשתקד'!A67,אינפניטי!A:K,10,0)</f>
        <v>0</v>
      </c>
      <c r="O67" s="12">
        <f>VLOOKUP(A67,הכשרה!A:K,11,0)+VLOOKUP('תפוקה מצטברת מול אשתקד'!A67,מגדל!A:K,11,0)+VLOOKUP('תפוקה מצטברת מול אשתקד'!A67,מנורה!A:K,11,0)+VLOOKUP('תפוקה מצטברת מול אשתקד'!A67,איילון!A:K,11,0)+VLOOKUP('תפוקה מצטברת מול אשתקד'!A67,הראל!A:K,11,0)+VLOOKUP('תפוקה מצטברת מול אשתקד'!A67,הפניקס!A:K,11,0)+VLOOKUP('תפוקה מצטברת מול אשתקד'!A67,כלל!A:K,11,0)+VLOOKUP('תפוקה מצטברת מול אשתקד'!A67,מור!A:K,11,0)+VLOOKUP('תפוקה מצטברת מול אשתקד'!A67,'אלטשולר שחם'!A:K,11,0)+VLOOKUP('תפוקה מצטברת מול אשתקד'!A67,'מדיהו '!A:K,11,0)+VLOOKUP('תפוקה מצטברת מול אשתקד'!A67,'אנליסט '!A:K,11,0)+VLOOKUP('תפוקה מצטברת מול אשתקד'!A67,'מיטב דש'!A:K,11,0)+VLOOKUP('תפוקה מצטברת מול אשתקד'!A67,אינפניטי!A:K,11,0)</f>
        <v>90372</v>
      </c>
    </row>
    <row r="68" spans="1:15" ht="15.75" customHeight="1" x14ac:dyDescent="0.25">
      <c r="A68" s="27" t="s">
        <v>108</v>
      </c>
      <c r="B68" s="27" t="s">
        <v>56</v>
      </c>
      <c r="C68" s="27" t="s">
        <v>111</v>
      </c>
      <c r="D68" s="20">
        <f t="shared" si="17"/>
        <v>-2676.6211655648963</v>
      </c>
      <c r="E68" s="20">
        <f t="shared" si="17"/>
        <v>4.4650298657495098</v>
      </c>
      <c r="F68" s="20">
        <f t="shared" si="17"/>
        <v>-6529.1067572080592</v>
      </c>
      <c r="G68" s="20">
        <f t="shared" si="15"/>
        <v>1</v>
      </c>
      <c r="H68" s="68">
        <f>VLOOKUP(A68,הכשרה!A:G,4,0)+VLOOKUP('תפוקה מצטברת מול אשתקד'!A68,מגדל!A:G,4,0)+VLOOKUP('תפוקה מצטברת מול אשתקד'!A68,מנורה!A:G,4,0)+VLOOKUP('תפוקה מצטברת מול אשתקד'!A68,איילון!A:G,4,0)+VLOOKUP('תפוקה מצטברת מול אשתקד'!A68,הראל!A:G,4,0)+VLOOKUP('תפוקה מצטברת מול אשתקד'!A68,הפניקס!A:G,4,0)+VLOOKUP('תפוקה מצטברת מול אשתקד'!A68,כלל!A:G,4,0)+VLOOKUP('תפוקה מצטברת מול אשתקד'!A68,מור!A:G,4,0)+VLOOKUP('תפוקה מצטברת מול אשתקד'!A68,'אלטשולר שחם'!A:G,4,0)+VLOOKUP('תפוקה מצטברת מול אשתקד'!A68,'מדיהו '!A:G,4,0)+VLOOKUP('תפוקה מצטברת מול אשתקד'!A68,'אנליסט '!A:G,4,0)+VLOOKUP('תפוקה מצטברת מול אשתקד'!A68,'מיטב דש'!A:G,4,0)+VLOOKUP('תפוקה מצטברת מול אשתקד'!A68,אינפניטי!A:G,4,0)</f>
        <v>60442.282130111002</v>
      </c>
      <c r="I68" s="68">
        <f>VLOOKUP(A68,הכשרה!A:G,5,0)+VLOOKUP('תפוקה מצטברת מול אשתקד'!A68,מגדל!A:G,5,0)+VLOOKUP('תפוקה מצטברת מול אשתקד'!A68,מנורה!A:G,5,0)+VLOOKUP('תפוקה מצטברת מול אשתקד'!A68,איילון!A:G,5,0)+VLOOKUP('תפוקה מצטברת מול אשתקד'!A68,הראל!A:G,5,0)+VLOOKUP('תפוקה מצטברת מול אשתקד'!A68,הפניקס!A:G,5,0)+VLOOKUP('תפוקה מצטברת מול אשתקד'!A68,כלל!A:G,5,0)+VLOOKUP('תפוקה מצטברת מול אשתקד'!A68,מור!A:G,5,0)+VLOOKUP('תפוקה מצטברת מול אשתקד'!A68,'אלטשולר שחם'!A:G,5,0)+VLOOKUP('תפוקה מצטברת מול אשתקד'!A68,'מדיהו '!A:G,5,0)+VLOOKUP('תפוקה מצטברת מול אשתקד'!A68,'אנליסט '!A:G,5,0)+VLOOKUP('תפוקה מצטברת מול אשתקד'!A68,'מיטב דש'!A:G,5,0)+VLOOKUP('תפוקה מצטברת מול אשתקד'!A68,אינפניטי!A:G,5,0)</f>
        <v>13156.7315</v>
      </c>
      <c r="J68" s="68">
        <f>VLOOKUP(A68,הכשרה!A:G,6,0)+VLOOKUP('תפוקה מצטברת מול אשתקד'!A68,מגדל!A:G,6,0)+VLOOKUP('תפוקה מצטברת מול אשתקד'!A68,מנורה!A:G,6,0)+VLOOKUP('תפוקה מצטברת מול אשתקד'!A68,איילון!A:G,6,0)+VLOOKUP(A68,הראל!A:G,6,0)+VLOOKUP('תפוקה מצטברת מול אשתקד'!A68,הפניקס!A:G,6,0)+VLOOKUP('תפוקה מצטברת מול אשתקד'!A68,כלל!A:G,6,0)+VLOOKUP('תפוקה מצטברת מול אשתקד'!A68,מור!A:G,6,0)+VLOOKUP('תפוקה מצטברת מול אשתקד'!A68,'אלטשולר שחם'!A:G,6,0)+VLOOKUP('תפוקה מצטברת מול אשתקד'!A68,'מדיהו '!A:G,6,0)+VLOOKUP('תפוקה מצטברת מול אשתקד'!A68,'אנליסט '!A:G,6,0)+VLOOKUP('תפוקה מצטברת מול אשתקד'!A68,'מיטב דש'!A:G,6,0)+VLOOKUP('תפוקה מצטברת מול אשתקד'!A68,אינפניטי!A:G,6,0)</f>
        <v>1172839.6599999999</v>
      </c>
      <c r="K68" s="68">
        <f>VLOOKUP(A68,הכשרה!A:G,7,0)+VLOOKUP('תפוקה מצטברת מול אשתקד'!A68,מגדל!A:G,7,0)+VLOOKUP('תפוקה מצטברת מול אשתקד'!A68,מנורה!A:G,7,0)+VLOOKUP('תפוקה מצטברת מול אשתקד'!A68,איילון!A:G,7,0)+VLOOKUP('תפוקה מצטברת מול אשתקד'!A68,הראל!A:G,7,0)+VLOOKUP('תפוקה מצטברת מול אשתקד'!A68,הפניקס!A:G,7,0)+VLOOKUP('תפוקה מצטברת מול אשתקד'!A68,כלל!A:G,7,0)+VLOOKUP('תפוקה מצטברת מול אשתקד'!A68,מור!A:G,7,0)+VLOOKUP('תפוקה מצטברת מול אשתקד'!A68,'אלטשולר שחם'!A:G,7,0)+VLOOKUP('תפוקה מצטברת מול אשתקד'!A68,'מדיהו '!A:K,7,0)+VLOOKUP(A68,'אנליסט '!A:G,7,0)+VLOOKUP('תפוקה מצטברת מול אשתקד'!A68,'מיטב דש'!A:G,7,0)+VLOOKUP('תפוקה מצטברת מול אשתקד'!A68,אינפניטי!A:G,7,0)</f>
        <v>501824.07</v>
      </c>
      <c r="L68" s="12">
        <f>VLOOKUP(A68,הכשרה!A:K,8,0)+VLOOKUP('תפוקה מצטברת מול אשתקד'!A68,מגדל!A:K,8,0)+VLOOKUP('תפוקה מצטברת מול אשתקד'!A68,מנורה!A:K,8,0)+VLOOKUP('תפוקה מצטברת מול אשתקד'!A68,איילון!A:K,8,0)+VLOOKUP('תפוקה מצטברת מול אשתקד'!A68,הראל!A:K,8,0)+VLOOKUP('תפוקה מצטברת מול אשתקד'!A68,הפניקס!A:K,8,0)+VLOOKUP('תפוקה מצטברת מול אשתקד'!A68,כלל!A:K,8,0)+VLOOKUP('תפוקה מצטברת מול אשתקד'!A68,מור!A:K,8,0)+VLOOKUP('תפוקה מצטברת מול אשתקד'!A68,'אלטשולר שחם'!A:K,8,0)+VLOOKUP('תפוקה מצטברת מול אשתקד'!A68,'מדיהו '!A:K,8,0)+VLOOKUP('תפוקה מצטברת מול אשתקד'!A68,'אנליסט '!A:K,8,0)+VLOOKUP('תפוקה מצטברת מול אשתקד'!A68,'מיטב דש'!A:K,8,0)+VLOOKUP('תפוקה מצטברת מול אשתקד'!A68,אינפניטי!A:K,8,0)</f>
        <v>-22.59</v>
      </c>
      <c r="M68" s="12">
        <f>VLOOKUP(A68,הכשרה!A:K,9,0)+VLOOKUP('תפוקה מצטברת מול אשתקד'!A68,מגדל!A:K,9,0)+VLOOKUP('תפוקה מצטברת מול אשתקד'!A68,מנורה!A:K,9,0)+VLOOKUP('תפוקה מצטברת מול אשתקד'!A68,איילון!A:K,9,0)+VLOOKUP('תפוקה מצטברת מול אשתקד'!A68,הראל!A:K,9,0)+VLOOKUP('תפוקה מצטברת מול אשתקד'!A68,הפניקס!A:K,9,0)+VLOOKUP('תפוקה מצטברת מול אשתקד'!A68,כלל!A:K,9,0)+VLOOKUP('תפוקה מצטברת מול אשתקד'!A68,מור!A:K,9,0)+VLOOKUP('תפוקה מצטברת מול אשתקד'!A68,'אלטשולר שחם'!A:K,9,0)+VLOOKUP('תפוקה מצטברת מול אשתקד'!A68,'מדיהו '!A:K,9,0)+VLOOKUP('תפוקה מצטברת מול אשתקד'!A68,'אנליסט '!A:K,9,0)+VLOOKUP('תפוקה מצטברת מול אשתקד'!A68,'מיטב דש'!A:K,9,0)+VLOOKUP('תפוקה מצטברת מול אשתקד'!A68,אינפניטי!A:K,9,0)</f>
        <v>2407.44</v>
      </c>
      <c r="N68" s="12">
        <f>VLOOKUP(A68,הכשרה!A:K,10,0)+VLOOKUP('תפוקה מצטברת מול אשתקד'!A68,מגדל!A:K,10,0)+VLOOKUP('תפוקה מצטברת מול אשתקד'!A68,מנורה!A:K,10,0)+VLOOKUP('תפוקה מצטברת מול אשתקד'!A68,איילון!A:K,10,0)+VLOOKUP('תפוקה מצטברת מול אשתקד'!A68,הראל!A:K,10,0)+VLOOKUP('תפוקה מצטברת מול אשתקד'!A68,הפניקס!A:K,10,0)+VLOOKUP('תפוקה מצטברת מול אשתקד'!A68,כלל!A:K,10,0)+VLOOKUP('תפוקה מצטברת מול אשתקד'!A68,מור!A:K,10,0)+VLOOKUP('תפוקה מצטברת מול אשתקד'!A68,'אלטשולר שחם'!A:K,10,0)+VLOOKUP('תפוקה מצטברת מול אשתקד'!A68,'מדיהו '!A:K,10,0)+VLOOKUP('תפוקה מצטברת מול אשתקד'!A68,'אנליסט '!A:K,10,0)+VLOOKUP('תפוקה מצטברת מול אשתקד'!A68,'מיטב דש'!A:K,10,0)+VLOOKUP('תפוקה מצטברת מול אשתקד'!A68,אינפניטי!A:K,10,0)</f>
        <v>-179.66</v>
      </c>
      <c r="O68" s="12">
        <f>VLOOKUP(A68,הכשרה!A:K,11,0)+VLOOKUP('תפוקה מצטברת מול אשתקד'!A68,מגדל!A:K,11,0)+VLOOKUP('תפוקה מצטברת מול אשתקד'!A68,מנורה!A:K,11,0)+VLOOKUP('תפוקה מצטברת מול אשתקד'!A68,איילון!A:K,11,0)+VLOOKUP('תפוקה מצטברת מול אשתקד'!A68,הראל!A:K,11,0)+VLOOKUP('תפוקה מצטברת מול אשתקד'!A68,הפניקס!A:K,11,0)+VLOOKUP('תפוקה מצטברת מול אשתקד'!A68,כלל!A:K,11,0)+VLOOKUP('תפוקה מצטברת מול אשתקד'!A68,מור!A:K,11,0)+VLOOKUP('תפוקה מצטברת מול אשתקד'!A68,'אלטשולר שחם'!A:K,11,0)+VLOOKUP('תפוקה מצטברת מול אשתקד'!A68,'מדיהו '!A:K,11,0)+VLOOKUP('תפוקה מצטברת מול אשתקד'!A68,'אנליסט '!A:K,11,0)+VLOOKUP('תפוקה מצטברת מול אשתקד'!A68,'מיטב דש'!A:K,11,0)+VLOOKUP('תפוקה מצטברת מול אשתקד'!A68,אינפניטי!A:K,11,0)</f>
        <v>0</v>
      </c>
    </row>
    <row r="69" spans="1:15" ht="15.75" customHeight="1" x14ac:dyDescent="0.25">
      <c r="A69" s="112" t="s">
        <v>109</v>
      </c>
      <c r="B69" s="27" t="s">
        <v>56</v>
      </c>
      <c r="C69" s="27" t="s">
        <v>111</v>
      </c>
      <c r="D69" s="20">
        <f t="shared" si="17"/>
        <v>-320.3611485674009</v>
      </c>
      <c r="E69" s="20">
        <f t="shared" si="17"/>
        <v>1</v>
      </c>
      <c r="F69" s="20">
        <f t="shared" si="17"/>
        <v>120.20121731516529</v>
      </c>
      <c r="G69" s="20">
        <f t="shared" si="15"/>
        <v>1</v>
      </c>
      <c r="H69" s="68">
        <f>VLOOKUP(A69,הכשרה!A:G,4,0)+VLOOKUP('תפוקה מצטברת מול אשתקד'!A69,מגדל!A:G,4,0)+VLOOKUP('תפוקה מצטברת מול אשתקד'!A69,מנורה!A:G,4,0)+VLOOKUP('תפוקה מצטברת מול אשתקד'!A69,איילון!A:G,4,0)+VLOOKUP('תפוקה מצטברת מול אשתקד'!A69,הראל!A:G,4,0)+VLOOKUP('תפוקה מצטברת מול אשתקד'!A69,הפניקס!A:G,4,0)+VLOOKUP('תפוקה מצטברת מול אשתקד'!A69,כלל!A:G,4,0)+VLOOKUP('תפוקה מצטברת מול אשתקד'!A69,מור!A:G,4,0)+VLOOKUP('תפוקה מצטברת מול אשתקד'!A69,'אלטשולר שחם'!A:G,4,0)+VLOOKUP('תפוקה מצטברת מול אשתקד'!A69,'מדיהו '!A:G,4,0)+VLOOKUP('תפוקה מצטברת מול אשתקד'!A69,'אנליסט '!A:G,4,0)+VLOOKUP('תפוקה מצטברת מול אשתקד'!A69,'מיטב דש'!A:G,4,0)+VLOOKUP('תפוקה מצטברת מול אשתקד'!A69,אינפניטי!A:G,4,0)</f>
        <v>661023.28613926342</v>
      </c>
      <c r="I69" s="68">
        <f>VLOOKUP(A69,הכשרה!A:G,5,0)+VLOOKUP('תפוקה מצטברת מול אשתקד'!A69,מגדל!A:G,5,0)+VLOOKUP('תפוקה מצטברת מול אשתקד'!A69,מנורה!A:G,5,0)+VLOOKUP('תפוקה מצטברת מול אשתקד'!A69,איילון!A:G,5,0)+VLOOKUP('תפוקה מצטברת מול אשתקד'!A69,הראל!A:G,5,0)+VLOOKUP('תפוקה מצטברת מול אשתקד'!A69,הפניקס!A:G,5,0)+VLOOKUP('תפוקה מצטברת מול אשתקד'!A69,כלל!A:G,5,0)+VLOOKUP('תפוקה מצטברת מול אשתקד'!A69,מור!A:G,5,0)+VLOOKUP('תפוקה מצטברת מול אשתקד'!A69,'אלטשולר שחם'!A:G,5,0)+VLOOKUP('תפוקה מצטברת מול אשתקד'!A69,'מדיהו '!A:G,5,0)+VLOOKUP('תפוקה מצטברת מול אשתקד'!A69,'אנליסט '!A:G,5,0)+VLOOKUP('תפוקה מצטברת מול אשתקד'!A69,'מיטב דש'!A:G,5,0)+VLOOKUP('תפוקה מצטברת מול אשתקד'!A69,אינפניטי!A:G,5,0)</f>
        <v>27841.896540477064</v>
      </c>
      <c r="J69" s="68">
        <f>VLOOKUP(A69,הכשרה!A:G,6,0)+VLOOKUP('תפוקה מצטברת מול אשתקד'!A69,מגדל!A:G,6,0)+VLOOKUP('תפוקה מצטברת מול אשתקד'!A69,מנורה!A:G,6,0)+VLOOKUP('תפוקה מצטברת מול אשתקד'!A69,איילון!A:G,6,0)+VLOOKUP(A69,הראל!A:G,6,0)+VLOOKUP('תפוקה מצטברת מול אשתקד'!A69,הפניקס!A:G,6,0)+VLOOKUP('תפוקה מצטברת מול אשתקד'!A69,כלל!A:G,6,0)+VLOOKUP('תפוקה מצטברת מול אשתקד'!A69,מור!A:G,6,0)+VLOOKUP('תפוקה מצטברת מול אשתקד'!A69,'אלטשולר שחם'!A:G,6,0)+VLOOKUP('תפוקה מצטברת מול אשתקד'!A69,'מדיהו '!A:G,6,0)+VLOOKUP('תפוקה מצטברת מול אשתקד'!A69,'אנליסט '!A:G,6,0)+VLOOKUP('תפוקה מצטברת מול אשתקד'!A69,'מיטב דש'!A:G,6,0)+VLOOKUP('תפוקה מצטברת מול אשתקד'!A69,אינפניטי!A:G,6,0)</f>
        <v>5318131.25</v>
      </c>
      <c r="K69" s="68">
        <f>VLOOKUP(A69,הכשרה!A:G,7,0)+VLOOKUP('תפוקה מצטברת מול אשתקד'!A69,מגדל!A:G,7,0)+VLOOKUP('תפוקה מצטברת מול אשתקד'!A69,מנורה!A:G,7,0)+VLOOKUP('תפוקה מצטברת מול אשתקד'!A69,איילון!A:G,7,0)+VLOOKUP('תפוקה מצטברת מול אשתקד'!A69,הראל!A:G,7,0)+VLOOKUP('תפוקה מצטברת מול אשתקד'!A69,הפניקס!A:G,7,0)+VLOOKUP('תפוקה מצטברת מול אשתקד'!A69,כלל!A:G,7,0)+VLOOKUP('תפוקה מצטברת מול אשתקד'!A69,מור!A:G,7,0)+VLOOKUP('תפוקה מצטברת מול אשתקד'!A69,'אלטשולר שחם'!A:G,7,0)+VLOOKUP('תפוקה מצטברת מול אשתקד'!A69,'מדיהו '!A:K,7,0)+VLOOKUP(A69,'אנליסט '!A:G,7,0)+VLOOKUP('תפוקה מצטברת מול אשתקד'!A69,'מיטב דש'!A:G,7,0)+VLOOKUP('תפוקה מצטברת מול אשתקד'!A69,אינפניטי!A:G,7,0)</f>
        <v>2271004.7799999998</v>
      </c>
      <c r="L69" s="12">
        <f>VLOOKUP(A69,הכשרה!A:K,8,0)+VLOOKUP('תפוקה מצטברת מול אשתקד'!A69,מגדל!A:K,8,0)+VLOOKUP('תפוקה מצטברת מול אשתקד'!A69,מנורה!A:K,8,0)+VLOOKUP('תפוקה מצטברת מול אשתקד'!A69,איילון!A:K,8,0)+VLOOKUP('תפוקה מצטברת מול אשתקד'!A69,הראל!A:K,8,0)+VLOOKUP('תפוקה מצטברת מול אשתקד'!A69,הפניקס!A:K,8,0)+VLOOKUP('תפוקה מצטברת מול אשתקד'!A69,כלל!A:K,8,0)+VLOOKUP('תפוקה מצטברת מול אשתקד'!A69,מור!A:K,8,0)+VLOOKUP('תפוקה מצטברת מול אשתקד'!A69,'אלטשולר שחם'!A:K,8,0)+VLOOKUP('תפוקה מצטברת מול אשתקד'!A69,'מדיהו '!A:K,8,0)+VLOOKUP('תפוקה מצטברת מול אשתקד'!A69,'אנליסט '!A:K,8,0)+VLOOKUP('תפוקה מצטברת מול אשתקד'!A69,'מיטב דש'!A:K,8,0)+VLOOKUP('תפוקה מצטברת מול אשתקד'!A69,אינפניטי!A:K,8,0)</f>
        <v>-2069.83</v>
      </c>
      <c r="M69" s="12">
        <f>VLOOKUP(A69,הכשרה!A:K,9,0)+VLOOKUP('תפוקה מצטברת מול אשתקד'!A69,מגדל!A:K,9,0)+VLOOKUP('תפוקה מצטברת מול אשתקד'!A69,מנורה!A:K,9,0)+VLOOKUP('תפוקה מצטברת מול אשתקד'!A69,איילון!A:K,9,0)+VLOOKUP('תפוקה מצטברת מול אשתקד'!A69,הראל!A:K,9,0)+VLOOKUP('תפוקה מצטברת מול אשתקד'!A69,הפניקס!A:K,9,0)+VLOOKUP('תפוקה מצטברת מול אשתקד'!A69,כלל!A:K,9,0)+VLOOKUP('תפוקה מצטברת מול אשתקד'!A69,מור!A:K,9,0)+VLOOKUP('תפוקה מצטברת מול אשתקד'!A69,'אלטשולר שחם'!A:K,9,0)+VLOOKUP('תפוקה מצטברת מול אשתקד'!A69,'מדיהו '!A:K,9,0)+VLOOKUP('תפוקה מצטברת מול אשתקד'!A69,'אנליסט '!A:K,9,0)+VLOOKUP('תפוקה מצטברת מול אשתקד'!A69,'מיטב דש'!A:K,9,0)+VLOOKUP('תפוקה מצטברת מול אשתקד'!A69,אינפניטי!A:K,9,0)</f>
        <v>0</v>
      </c>
      <c r="N69" s="12">
        <f>VLOOKUP(A69,הכשרה!A:K,10,0)+VLOOKUP('תפוקה מצטברת מול אשתקד'!A69,מגדל!A:K,10,0)+VLOOKUP('תפוקה מצטברת מול אשתקד'!A69,מנורה!A:K,10,0)+VLOOKUP('תפוקה מצטברת מול אשתקד'!A69,איילון!A:K,10,0)+VLOOKUP('תפוקה מצטברת מול אשתקד'!A69,הראל!A:K,10,0)+VLOOKUP('תפוקה מצטברת מול אשתקד'!A69,הפניקס!A:K,10,0)+VLOOKUP('תפוקה מצטברת מול אשתקד'!A69,כלל!A:K,10,0)+VLOOKUP('תפוקה מצטברת מול אשתקד'!A69,מור!A:K,10,0)+VLOOKUP('תפוקה מצטברת מול אשתקד'!A69,'אלטשולר שחם'!A:K,10,0)+VLOOKUP('תפוקה מצטברת מול אשתקד'!A69,'מדיהו '!A:K,10,0)+VLOOKUP('תפוקה מצטברת מול אשתקד'!A69,'אנליסט '!A:K,10,0)+VLOOKUP('תפוקה מצטברת מול אשתקד'!A69,'מיטב דש'!A:K,10,0)+VLOOKUP('תפוקה מצטברת מול אשתקד'!A69,אינפניטי!A:K,10,0)</f>
        <v>43878.53</v>
      </c>
      <c r="O69" s="12">
        <f>VLOOKUP(A69,הכשרה!A:K,11,0)+VLOOKUP('תפוקה מצטברת מול אשתקד'!A69,מגדל!A:K,11,0)+VLOOKUP('תפוקה מצטברת מול אשתקד'!A69,מנורה!A:K,11,0)+VLOOKUP('תפוקה מצטברת מול אשתקד'!A69,איילון!A:K,11,0)+VLOOKUP('תפוקה מצטברת מול אשתקד'!A69,הראל!A:K,11,0)+VLOOKUP('תפוקה מצטברת מול אשתקד'!A69,הפניקס!A:K,11,0)+VLOOKUP('תפוקה מצטברת מול אשתקד'!A69,כלל!A:K,11,0)+VLOOKUP('תפוקה מצטברת מול אשתקד'!A69,מור!A:K,11,0)+VLOOKUP('תפוקה מצטברת מול אשתקד'!A69,'אלטשולר שחם'!A:K,11,0)+VLOOKUP('תפוקה מצטברת מול אשתקד'!A69,'מדיהו '!A:K,11,0)+VLOOKUP('תפוקה מצטברת מול אשתקד'!A69,'אנליסט '!A:K,11,0)+VLOOKUP('תפוקה מצטברת מול אשתקד'!A69,'מיטב דש'!A:K,11,0)+VLOOKUP('תפוקה מצטברת מול אשתקד'!A69,אינפניטי!A:K,11,0)</f>
        <v>0</v>
      </c>
    </row>
    <row r="70" spans="1:15" ht="15.75" customHeight="1" thickBot="1" x14ac:dyDescent="0.3">
      <c r="A70" s="27" t="s">
        <v>89</v>
      </c>
      <c r="B70" s="27" t="s">
        <v>56</v>
      </c>
      <c r="C70" s="29" t="s">
        <v>111</v>
      </c>
      <c r="D70" s="118">
        <f t="shared" si="17"/>
        <v>2.3955540687884822</v>
      </c>
      <c r="E70" s="118">
        <f t="shared" si="17"/>
        <v>1</v>
      </c>
      <c r="F70" s="118">
        <f t="shared" si="17"/>
        <v>0</v>
      </c>
      <c r="G70" s="118">
        <f t="shared" ref="G70:G72" si="18">IF(K70=0,0%,IF(O70=H97,100%,K70/O70-1))</f>
        <v>0</v>
      </c>
      <c r="H70" s="68">
        <f>VLOOKUP(A70,הכשרה!A:G,4,0)+VLOOKUP('תפוקה מצטברת מול אשתקד'!A70,מגדל!A:G,4,0)+VLOOKUP('תפוקה מצטברת מול אשתקד'!A70,מנורה!A:G,4,0)+VLOOKUP('תפוקה מצטברת מול אשתקד'!A70,איילון!A:G,4,0)+VLOOKUP('תפוקה מצטברת מול אשתקד'!A70,הראל!A:G,4,0)+VLOOKUP('תפוקה מצטברת מול אשתקד'!A70,הפניקס!A:G,4,0)+VLOOKUP('תפוקה מצטברת מול אשתקד'!A70,כלל!A:G,4,0)+VLOOKUP('תפוקה מצטברת מול אשתקד'!A70,מור!A:G,4,0)+VLOOKUP('תפוקה מצטברת מול אשתקד'!A70,'אלטשולר שחם'!A:G,4,0)+VLOOKUP('תפוקה מצטברת מול אשתקד'!A70,'מדיהו '!A:G,4,0)+VLOOKUP('תפוקה מצטברת מול אשתקד'!A70,'אנליסט '!A:G,4,0)+VLOOKUP('תפוקה מצטברת מול אשתקד'!A70,'מיטב דש'!A:G,4,0)+VLOOKUP('תפוקה מצטברת מול אשתקד'!A70,אינפניטי!A:G,4,0)</f>
        <v>48519.14</v>
      </c>
      <c r="I70" s="68">
        <f>VLOOKUP(A70,הכשרה!A:G,5,0)+VLOOKUP('תפוקה מצטברת מול אשתקד'!A70,מגדל!A:G,5,0)+VLOOKUP('תפוקה מצטברת מול אשתקד'!A70,מנורה!A:G,5,0)+VLOOKUP('תפוקה מצטברת מול אשתקד'!A70,איילון!A:G,5,0)+VLOOKUP('תפוקה מצטברת מול אשתקד'!A70,הראל!A:G,5,0)+VLOOKUP('תפוקה מצטברת מול אשתקד'!A70,הפניקס!A:G,5,0)+VLOOKUP('תפוקה מצטברת מול אשתקד'!A70,כלל!A:G,5,0)+VLOOKUP('תפוקה מצטברת מול אשתקד'!A70,מור!A:G,5,0)+VLOOKUP('תפוקה מצטברת מול אשתקד'!A70,'אלטשולר שחם'!A:G,5,0)+VLOOKUP('תפוקה מצטברת מול אשתקד'!A70,'מדיהו '!A:G,5,0)+VLOOKUP('תפוקה מצטברת מול אשתקד'!A70,'אנליסט '!A:G,5,0)+VLOOKUP('תפוקה מצטברת מול אשתקד'!A70,'מיטב דש'!A:G,5,0)+VLOOKUP('תפוקה מצטברת מול אשתקד'!A70,אינפניטי!A:G,5,0)</f>
        <v>5777.26</v>
      </c>
      <c r="J70" s="68">
        <f>VLOOKUP(A70,הכשרה!A:G,6,0)+VLOOKUP('תפוקה מצטברת מול אשתקד'!A70,מגדל!A:G,6,0)+VLOOKUP('תפוקה מצטברת מול אשתקד'!A70,מנורה!A:G,6,0)+VLOOKUP('תפוקה מצטברת מול אשתקד'!A70,איילון!A:G,6,0)+VLOOKUP(A70,הראל!A:G,6,0)+VLOOKUP('תפוקה מצטברת מול אשתקד'!A70,הפניקס!A:G,6,0)+VLOOKUP('תפוקה מצטברת מול אשתקד'!A70,כלל!A:G,6,0)+VLOOKUP('תפוקה מצטברת מול אשתקד'!A70,מור!A:G,6,0)+VLOOKUP('תפוקה מצטברת מול אשתקד'!A70,'אלטשולר שחם'!A:G,6,0)+VLOOKUP('תפוקה מצטברת מול אשתקד'!A70,'מדיהו '!A:G,6,0)+VLOOKUP('תפוקה מצטברת מול אשתקד'!A70,'אנליסט '!A:G,6,0)+VLOOKUP('תפוקה מצטברת מול אשתקד'!A70,'מיטב דש'!A:G,6,0)+VLOOKUP('תפוקה מצטברת מול אשתקד'!A70,אינפניטי!A:G,6,0)</f>
        <v>0</v>
      </c>
      <c r="K70" s="68">
        <f>VLOOKUP(A70,הכשרה!A:G,7,0)+VLOOKUP('תפוקה מצטברת מול אשתקד'!A70,מגדל!A:G,7,0)+VLOOKUP('תפוקה מצטברת מול אשתקד'!A70,מנורה!A:G,7,0)+VLOOKUP('תפוקה מצטברת מול אשתקד'!A70,איילון!A:G,7,0)+VLOOKUP('תפוקה מצטברת מול אשתקד'!A70,הראל!A:G,7,0)+VLOOKUP('תפוקה מצטברת מול אשתקד'!A70,הפניקס!A:G,7,0)+VLOOKUP('תפוקה מצטברת מול אשתקד'!A70,כלל!A:G,7,0)+VLOOKUP('תפוקה מצטברת מול אשתקד'!A70,מור!A:G,7,0)+VLOOKUP('תפוקה מצטברת מול אשתקד'!A70,'אלטשולר שחם'!A:G,7,0)+VLOOKUP('תפוקה מצטברת מול אשתקד'!A70,'מדיהו '!A:K,7,0)+VLOOKUP(A70,'אנליסט '!A:G,7,0)+VLOOKUP('תפוקה מצטברת מול אשתקד'!A70,'מיטב דש'!A:G,7,0)+VLOOKUP('תפוקה מצטברת מול אשתקד'!A70,אינפניטי!A:G,7,0)</f>
        <v>0</v>
      </c>
      <c r="L70" s="12">
        <f>VLOOKUP(A70,הכשרה!A:K,8,0)+VLOOKUP('תפוקה מצטברת מול אשתקד'!A70,מגדל!A:K,8,0)+VLOOKUP('תפוקה מצטברת מול אשתקד'!A70,מנורה!A:K,8,0)+VLOOKUP('תפוקה מצטברת מול אשתקד'!A70,איילון!A:K,8,0)+VLOOKUP('תפוקה מצטברת מול אשתקד'!A70,הראל!A:K,8,0)+VLOOKUP('תפוקה מצטברת מול אשתקד'!A70,הפניקס!A:K,8,0)+VLOOKUP('תפוקה מצטברת מול אשתקד'!A70,כלל!A:K,8,0)+VLOOKUP('תפוקה מצטברת מול אשתקד'!A70,מור!A:K,8,0)+VLOOKUP('תפוקה מצטברת מול אשתקד'!A70,'אלטשולר שחם'!A:K,8,0)+VLOOKUP('תפוקה מצטברת מול אשתקד'!A70,'מדיהו '!A:K,8,0)+VLOOKUP('תפוקה מצטברת מול אשתקד'!A70,'אנליסט '!A:K,8,0)+VLOOKUP('תפוקה מצטברת מול אשתקד'!A70,'מיטב דש'!A:K,8,0)+VLOOKUP('תפוקה מצטברת מול אשתקד'!A70,אינפניטי!A:K,8,0)</f>
        <v>14289.02</v>
      </c>
      <c r="M70" s="12">
        <f>VLOOKUP(A70,הכשרה!A:K,9,0)+VLOOKUP('תפוקה מצטברת מול אשתקד'!A70,מגדל!A:K,9,0)+VLOOKUP('תפוקה מצטברת מול אשתקד'!A70,מנורה!A:K,9,0)+VLOOKUP('תפוקה מצטברת מול אשתקד'!A70,איילון!A:K,9,0)+VLOOKUP('תפוקה מצטברת מול אשתקד'!A70,הראל!A:K,9,0)+VLOOKUP('תפוקה מצטברת מול אשתקד'!A70,הפניקס!A:K,9,0)+VLOOKUP('תפוקה מצטברת מול אשתקד'!A70,כלל!A:K,9,0)+VLOOKUP('תפוקה מצטברת מול אשתקד'!A70,מור!A:K,9,0)+VLOOKUP('תפוקה מצטברת מול אשתקד'!A70,'אלטשולר שחם'!A:K,9,0)+VLOOKUP('תפוקה מצטברת מול אשתקד'!A70,'מדיהו '!A:K,9,0)+VLOOKUP('תפוקה מצטברת מול אשתקד'!A70,'אנליסט '!A:K,9,0)+VLOOKUP('תפוקה מצטברת מול אשתקד'!A70,'מיטב דש'!A:K,9,0)+VLOOKUP('תפוקה מצטברת מול אשתקד'!A70,אינפניטי!A:K,9,0)</f>
        <v>0</v>
      </c>
      <c r="N70" s="12">
        <f>VLOOKUP(A70,הכשרה!A:K,10,0)+VLOOKUP('תפוקה מצטברת מול אשתקד'!A70,מגדל!A:K,10,0)+VLOOKUP('תפוקה מצטברת מול אשתקד'!A70,מנורה!A:K,10,0)+VLOOKUP('תפוקה מצטברת מול אשתקד'!A70,איילון!A:K,10,0)+VLOOKUP('תפוקה מצטברת מול אשתקד'!A70,הראל!A:K,10,0)+VLOOKUP('תפוקה מצטברת מול אשתקד'!A70,הפניקס!A:K,10,0)+VLOOKUP('תפוקה מצטברת מול אשתקד'!A70,כלל!A:K,10,0)+VLOOKUP('תפוקה מצטברת מול אשתקד'!A70,מור!A:K,10,0)+VLOOKUP('תפוקה מצטברת מול אשתקד'!A70,'אלטשולר שחם'!A:K,10,0)+VLOOKUP('תפוקה מצטברת מול אשתקד'!A70,'מדיהו '!A:K,10,0)+VLOOKUP('תפוקה מצטברת מול אשתקד'!A70,'אנליסט '!A:K,10,0)+VLOOKUP('תפוקה מצטברת מול אשתקד'!A70,'מיטב דש'!A:K,10,0)+VLOOKUP('תפוקה מצטברת מול אשתקד'!A70,אינפניטי!A:K,10,0)</f>
        <v>0</v>
      </c>
      <c r="O70" s="12">
        <f>VLOOKUP(A70,הכשרה!A:K,11,0)+VLOOKUP('תפוקה מצטברת מול אשתקד'!A70,מגדל!A:K,11,0)+VLOOKUP('תפוקה מצטברת מול אשתקד'!A70,מנורה!A:K,11,0)+VLOOKUP('תפוקה מצטברת מול אשתקד'!A70,איילון!A:K,11,0)+VLOOKUP('תפוקה מצטברת מול אשתקד'!A70,הראל!A:K,11,0)+VLOOKUP('תפוקה מצטברת מול אשתקד'!A70,הפניקס!A:K,11,0)+VLOOKUP('תפוקה מצטברת מול אשתקד'!A70,כלל!A:K,11,0)+VLOOKUP('תפוקה מצטברת מול אשתקד'!A70,מור!A:K,11,0)+VLOOKUP('תפוקה מצטברת מול אשתקד'!A70,'אלטשולר שחם'!A:K,11,0)+VLOOKUP('תפוקה מצטברת מול אשתקד'!A70,'מדיהו '!A:K,11,0)+VLOOKUP('תפוקה מצטברת מול אשתקד'!A70,'אנליסט '!A:K,11,0)+VLOOKUP('תפוקה מצטברת מול אשתקד'!A70,'מיטב דש'!A:K,11,0)+VLOOKUP('תפוקה מצטברת מול אשתקד'!A70,אינפניטי!A:K,11,0)</f>
        <v>0</v>
      </c>
    </row>
    <row r="71" spans="1:15" ht="28.15" customHeight="1" thickBot="1" x14ac:dyDescent="0.3">
      <c r="A71" s="143" t="s">
        <v>44</v>
      </c>
      <c r="B71" s="142"/>
      <c r="C71" s="142"/>
      <c r="D71" s="147">
        <f t="shared" si="17"/>
        <v>28.730436585221295</v>
      </c>
      <c r="E71" s="147">
        <f t="shared" si="17"/>
        <v>-0.24073705920543575</v>
      </c>
      <c r="F71" s="147" t="e">
        <f t="shared" si="17"/>
        <v>#VALUE!</v>
      </c>
      <c r="G71" s="147">
        <f t="shared" si="18"/>
        <v>26.051120351839568</v>
      </c>
      <c r="H71" s="145">
        <f>SUM(H3:H8)</f>
        <v>9047266.71206614</v>
      </c>
      <c r="I71" s="145">
        <f t="shared" ref="I71:O71" si="19">SUM(I3:I8)</f>
        <v>203289.05686467764</v>
      </c>
      <c r="J71" s="145" t="e">
        <f t="shared" si="19"/>
        <v>#VALUE!</v>
      </c>
      <c r="K71" s="145">
        <f t="shared" si="19"/>
        <v>25526620.379999999</v>
      </c>
      <c r="L71" s="145">
        <f t="shared" si="19"/>
        <v>304309.917754906</v>
      </c>
      <c r="M71" s="145">
        <f t="shared" si="19"/>
        <v>267745.26444282505</v>
      </c>
      <c r="N71" s="145">
        <f t="shared" si="19"/>
        <v>1947045.9906060165</v>
      </c>
      <c r="O71" s="145">
        <f t="shared" si="19"/>
        <v>943643.73999999976</v>
      </c>
    </row>
    <row r="72" spans="1:15" ht="30" customHeight="1" thickBot="1" x14ac:dyDescent="0.3">
      <c r="A72" s="143" t="s">
        <v>45</v>
      </c>
      <c r="B72" s="142"/>
      <c r="C72" s="142"/>
      <c r="D72" s="147">
        <f t="shared" si="17"/>
        <v>6.8334605679745453</v>
      </c>
      <c r="E72" s="147">
        <f t="shared" si="17"/>
        <v>-9.6915817941594318E-2</v>
      </c>
      <c r="F72" s="147" t="e">
        <f t="shared" si="17"/>
        <v>#VALUE!</v>
      </c>
      <c r="G72" s="147">
        <f t="shared" si="18"/>
        <v>4.2786101878717542</v>
      </c>
      <c r="H72" s="145">
        <f>H71+H62+H54+H21+H8</f>
        <v>15825633.697307885</v>
      </c>
      <c r="I72" s="145">
        <f t="shared" ref="I72:O72" si="20">I71+I62+I54+I21+I8</f>
        <v>711241.48732891364</v>
      </c>
      <c r="J72" s="145" t="e">
        <f t="shared" si="20"/>
        <v>#VALUE!</v>
      </c>
      <c r="K72" s="145">
        <f t="shared" si="20"/>
        <v>42231883.209999993</v>
      </c>
      <c r="L72" s="145">
        <f t="shared" si="20"/>
        <v>2020260.8489545039</v>
      </c>
      <c r="M72" s="145">
        <f t="shared" si="20"/>
        <v>787569.4220529655</v>
      </c>
      <c r="N72" s="145">
        <f t="shared" si="20"/>
        <v>11892270.093477366</v>
      </c>
      <c r="O72" s="145">
        <f t="shared" si="20"/>
        <v>8000568.6548010036</v>
      </c>
    </row>
    <row r="73" spans="1:15" ht="15.75" customHeight="1" x14ac:dyDescent="0.25"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</row>
    <row r="74" spans="1:15" customFormat="1" ht="15.75" customHeight="1" x14ac:dyDescent="0.25">
      <c r="A74" s="33"/>
    </row>
    <row r="75" spans="1:15" customFormat="1" ht="15.75" customHeight="1" x14ac:dyDescent="0.25">
      <c r="A75" s="33"/>
      <c r="H75" s="6"/>
      <c r="I75" s="6"/>
      <c r="J75" s="6"/>
      <c r="K75" s="6"/>
    </row>
    <row r="76" spans="1:15" customFormat="1" ht="15.75" customHeight="1" x14ac:dyDescent="0.25">
      <c r="A76" s="33"/>
    </row>
    <row r="77" spans="1:15" customFormat="1" ht="15.75" customHeight="1" x14ac:dyDescent="0.25">
      <c r="A77" s="33"/>
      <c r="H77" s="9"/>
      <c r="I77" s="9"/>
      <c r="J77" s="9"/>
      <c r="K77" s="9"/>
      <c r="N77" s="111"/>
    </row>
    <row r="78" spans="1:15" ht="15.75" customHeight="1" x14ac:dyDescent="0.25">
      <c r="H78" s="10"/>
      <c r="I78" s="10"/>
      <c r="J78" s="10"/>
      <c r="K78" s="10"/>
    </row>
  </sheetData>
  <autoFilter ref="A2:R72" xr:uid="{A4CB721E-4C57-46C7-85BA-332EA5413B68}"/>
  <mergeCells count="3">
    <mergeCell ref="H1:K1"/>
    <mergeCell ref="D1:F1"/>
    <mergeCell ref="L1:O1"/>
  </mergeCells>
  <conditionalFormatting sqref="A14">
    <cfRule type="duplicateValues" dxfId="289" priority="13"/>
    <cfRule type="duplicateValues" dxfId="288" priority="14"/>
  </conditionalFormatting>
  <conditionalFormatting sqref="A58">
    <cfRule type="duplicateValues" dxfId="287" priority="17"/>
    <cfRule type="duplicateValues" dxfId="286" priority="18"/>
  </conditionalFormatting>
  <conditionalFormatting sqref="A61 A22:A53 A59 A55:A57 A7">
    <cfRule type="duplicateValues" dxfId="285" priority="224"/>
    <cfRule type="duplicateValues" dxfId="284" priority="225"/>
  </conditionalFormatting>
  <conditionalFormatting sqref="A63:A70">
    <cfRule type="duplicateValues" dxfId="283" priority="126"/>
    <cfRule type="duplicateValues" dxfId="282" priority="127"/>
  </conditionalFormatting>
  <conditionalFormatting sqref="A71:A1048576 A1:A6 A8:A13 A15:A21 A62 A54">
    <cfRule type="duplicateValues" dxfId="281" priority="80"/>
    <cfRule type="duplicateValues" dxfId="280" priority="81"/>
  </conditionalFormatting>
  <conditionalFormatting sqref="D1:D24 E2:G24 D25:G73 D78:G1048576">
    <cfRule type="cellIs" dxfId="279" priority="35" operator="lessThan">
      <formula>-0.0001</formula>
    </cfRule>
  </conditionalFormatting>
  <conditionalFormatting sqref="D3:G73 D78:G1048576">
    <cfRule type="cellIs" dxfId="278" priority="36" operator="greaterThan">
      <formula>0.1</formula>
    </cfRule>
  </conditionalFormatting>
  <conditionalFormatting sqref="H8:O8">
    <cfRule type="duplicateValues" dxfId="277" priority="9"/>
    <cfRule type="duplicateValues" dxfId="276" priority="10"/>
  </conditionalFormatting>
  <conditionalFormatting sqref="H21:O21">
    <cfRule type="duplicateValues" dxfId="275" priority="1"/>
    <cfRule type="duplicateValues" dxfId="274" priority="2"/>
  </conditionalFormatting>
  <conditionalFormatting sqref="H54:O54">
    <cfRule type="duplicateValues" dxfId="273" priority="5"/>
    <cfRule type="duplicateValues" dxfId="272" priority="6"/>
  </conditionalFormatting>
  <conditionalFormatting sqref="H62:O62">
    <cfRule type="duplicateValues" dxfId="271" priority="3"/>
    <cfRule type="duplicateValues" dxfId="270" priority="4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08895-D3E4-49E3-AA83-C6D39DC12A72}">
  <sheetPr>
    <tabColor theme="4" tint="0.39997558519241921"/>
  </sheetPr>
  <dimension ref="A1:P84"/>
  <sheetViews>
    <sheetView rightToLeft="1" workbookViewId="0">
      <pane ySplit="2" topLeftCell="A3" activePane="bottomLeft" state="frozen"/>
      <selection pane="bottomLeft" activeCell="G24" sqref="G24"/>
    </sheetView>
  </sheetViews>
  <sheetFormatPr defaultColWidth="18.85546875" defaultRowHeight="15.75" x14ac:dyDescent="0.25"/>
  <cols>
    <col min="1" max="1" width="30" style="1" bestFit="1" customWidth="1"/>
    <col min="2" max="2" width="8.7109375" style="1" bestFit="1" customWidth="1"/>
    <col min="3" max="3" width="7.7109375" style="1" bestFit="1" customWidth="1"/>
    <col min="4" max="4" width="7.7109375" style="3" bestFit="1" customWidth="1"/>
    <col min="5" max="5" width="8" style="3" bestFit="1" customWidth="1"/>
    <col min="6" max="6" width="8.85546875" style="3" bestFit="1" customWidth="1"/>
    <col min="7" max="7" width="11" style="3" bestFit="1" customWidth="1"/>
    <col min="8" max="9" width="15.28515625" style="2" bestFit="1" customWidth="1"/>
    <col min="10" max="11" width="16.85546875" style="2" bestFit="1" customWidth="1"/>
    <col min="12" max="13" width="15.28515625" style="2" bestFit="1" customWidth="1"/>
    <col min="14" max="15" width="16.85546875" style="2" bestFit="1" customWidth="1"/>
    <col min="16" max="16384" width="18.85546875" style="2"/>
  </cols>
  <sheetData>
    <row r="1" spans="1:16" ht="21" x14ac:dyDescent="0.35">
      <c r="A1" s="27"/>
      <c r="B1" s="27"/>
      <c r="C1" s="27"/>
      <c r="D1" s="269" t="s">
        <v>62</v>
      </c>
      <c r="E1" s="270"/>
      <c r="F1" s="270"/>
      <c r="G1" s="271"/>
      <c r="H1" s="272" t="s">
        <v>133</v>
      </c>
      <c r="I1" s="273"/>
      <c r="J1" s="273"/>
      <c r="K1" s="274"/>
      <c r="L1" s="268" t="s">
        <v>132</v>
      </c>
      <c r="M1" s="268"/>
      <c r="N1" s="268"/>
      <c r="O1" s="268"/>
    </row>
    <row r="2" spans="1:16" ht="21" x14ac:dyDescent="0.25">
      <c r="A2" s="11" t="s">
        <v>0</v>
      </c>
      <c r="B2" s="24" t="s">
        <v>53</v>
      </c>
      <c r="C2" s="24" t="s">
        <v>117</v>
      </c>
      <c r="D2" s="25" t="s">
        <v>46</v>
      </c>
      <c r="E2" s="25" t="s">
        <v>50</v>
      </c>
      <c r="F2" s="25" t="s">
        <v>51</v>
      </c>
      <c r="G2" s="25" t="s">
        <v>49</v>
      </c>
      <c r="H2" s="70" t="s">
        <v>46</v>
      </c>
      <c r="I2" s="70" t="s">
        <v>50</v>
      </c>
      <c r="J2" s="70" t="s">
        <v>51</v>
      </c>
      <c r="K2" s="70" t="s">
        <v>49</v>
      </c>
      <c r="L2" s="26" t="s">
        <v>46</v>
      </c>
      <c r="M2" s="26" t="s">
        <v>47</v>
      </c>
      <c r="N2" s="26" t="s">
        <v>48</v>
      </c>
      <c r="O2" s="26" t="s">
        <v>49</v>
      </c>
    </row>
    <row r="3" spans="1:16" x14ac:dyDescent="0.25">
      <c r="A3" s="27" t="s">
        <v>1</v>
      </c>
      <c r="B3" s="27" t="s">
        <v>116</v>
      </c>
      <c r="C3" s="27" t="s">
        <v>58</v>
      </c>
      <c r="D3" s="71">
        <f t="shared" ref="D3:D64" si="0">IF(L3=0,0%,IF(H3=0,100%,L3/H3-1))</f>
        <v>-0.76183936299816279</v>
      </c>
      <c r="E3" s="71">
        <f t="shared" ref="E3:E64" si="1">IF(M3=0,0%,IF(I3=0,100%,M3/I3-1))</f>
        <v>-0.93704407812897017</v>
      </c>
      <c r="F3" s="71">
        <f>IF(N3=0,0%,IF(J3=0,100%,N3/J3-1))</f>
        <v>1.5544111170117056</v>
      </c>
      <c r="G3" s="71">
        <f>IF(O3=0,0%,IF(K3=0,100%,O3/K3-1))</f>
        <v>8.4440152692307695</v>
      </c>
      <c r="H3" s="12">
        <f>VLOOKUP(A3,[1]גיליון1!$A:$T,17,0)</f>
        <v>18000000</v>
      </c>
      <c r="I3" s="12">
        <f>VLOOKUP(A3,[1]גיליון1!$1:$1048576,18,0)</f>
        <v>1300000</v>
      </c>
      <c r="J3" s="12">
        <f>VLOOKUP(A3,[1]גיליון1!$1:$1048576,18,0)</f>
        <v>1300000</v>
      </c>
      <c r="K3" s="12">
        <f>VLOOKUP(A3,[1]גיליון1!$1:$1048576,18,0)</f>
        <v>1300000</v>
      </c>
      <c r="L3" s="69">
        <f>VLOOKUP(A3,'תפוקה מצטברת מול אשתקד'!A:O,8,0)</f>
        <v>4286891.4660330694</v>
      </c>
      <c r="M3" s="72">
        <f>VLOOKUP(A3,'תפוקה מצטברת מול אשתקד'!A:O,9,0)</f>
        <v>81842.698432338817</v>
      </c>
      <c r="N3" s="72">
        <f>VLOOKUP(A3,'תפוקה מצטברת מול אשתקד'!A:O,10,0)</f>
        <v>3320734.4521152172</v>
      </c>
      <c r="O3" s="72">
        <f>VLOOKUP(A3,'תפוקה מצטברת מול אשתקד'!A:O,11,0)</f>
        <v>12277219.85</v>
      </c>
    </row>
    <row r="4" spans="1:16" x14ac:dyDescent="0.25">
      <c r="A4" s="27" t="s">
        <v>2</v>
      </c>
      <c r="B4" s="27" t="s">
        <v>116</v>
      </c>
      <c r="C4" s="27" t="s">
        <v>58</v>
      </c>
      <c r="D4" s="71">
        <f t="shared" si="0"/>
        <v>-0.96093191999999994</v>
      </c>
      <c r="E4" s="71">
        <f t="shared" si="1"/>
        <v>1</v>
      </c>
      <c r="F4" s="71" t="e">
        <f t="shared" ref="F4:F65" si="2">IF(N4=0,0%,IF(J4=0,100%,N4/J4-1))</f>
        <v>#VALUE!</v>
      </c>
      <c r="G4" s="71">
        <f t="shared" ref="G4:G65" si="3">IF(O4=0,0%,IF(K4=0,100%,O4/K4-1))</f>
        <v>1</v>
      </c>
      <c r="H4" s="12">
        <f>VLOOKUP(A4,[1]גיליון1!$A:$T,17,0)</f>
        <v>1500000</v>
      </c>
      <c r="I4" s="12">
        <f>VLOOKUP(A4,[1]גיליון1!$1:$1048576,18,0)</f>
        <v>0</v>
      </c>
      <c r="J4" s="12">
        <f>VLOOKUP(A4,[1]גיליון1!$1:$1048576,18,0)</f>
        <v>0</v>
      </c>
      <c r="K4" s="12">
        <f>VLOOKUP(A4,[1]גיליון1!$1:$1048576,18,0)</f>
        <v>0</v>
      </c>
      <c r="L4" s="69">
        <f>VLOOKUP(A4,'תפוקה מצטברת מול אשתקד'!A:O,8,0)</f>
        <v>58602.12</v>
      </c>
      <c r="M4" s="72">
        <f>VLOOKUP(A4,'תפוקה מצטברת מול אשתקד'!A:O,9,0)</f>
        <v>6.26</v>
      </c>
      <c r="N4" s="72" t="e">
        <f>VLOOKUP(A4,'תפוקה מצטברת מול אשתקד'!A:O,10,0)</f>
        <v>#VALUE!</v>
      </c>
      <c r="O4" s="72">
        <f>VLOOKUP(A4,'תפוקה מצטברת מול אשתקד'!A:O,11,0)</f>
        <v>444902.75</v>
      </c>
    </row>
    <row r="5" spans="1:16" x14ac:dyDescent="0.25">
      <c r="A5" s="27" t="s">
        <v>112</v>
      </c>
      <c r="B5" s="27" t="s">
        <v>116</v>
      </c>
      <c r="C5" s="27" t="s">
        <v>58</v>
      </c>
      <c r="D5" s="71">
        <f t="shared" si="0"/>
        <v>0</v>
      </c>
      <c r="E5" s="71">
        <f t="shared" si="1"/>
        <v>1</v>
      </c>
      <c r="F5" s="71">
        <f t="shared" si="2"/>
        <v>0</v>
      </c>
      <c r="G5" s="71">
        <f t="shared" si="3"/>
        <v>0</v>
      </c>
      <c r="H5" s="12">
        <v>0</v>
      </c>
      <c r="I5" s="12">
        <v>0</v>
      </c>
      <c r="J5" s="12">
        <v>0</v>
      </c>
      <c r="K5" s="12">
        <v>0</v>
      </c>
      <c r="L5" s="69">
        <f>VLOOKUP(A5,'תפוקה מצטברת מול אשתקד'!A:O,8,0)</f>
        <v>0</v>
      </c>
      <c r="M5" s="72">
        <f>VLOOKUP(A5,'תפוקה מצטברת מול אשתקד'!A:O,9,0)</f>
        <v>10763.53</v>
      </c>
      <c r="N5" s="72">
        <f>VLOOKUP(A5,'תפוקה מצטברת מול אשתקד'!A:O,10,0)</f>
        <v>0</v>
      </c>
      <c r="O5" s="72">
        <f>VLOOKUP(A5,'תפוקה מצטברת מול אשתקד'!A:O,11,0)</f>
        <v>0</v>
      </c>
    </row>
    <row r="6" spans="1:16" x14ac:dyDescent="0.25">
      <c r="A6" s="29" t="s">
        <v>113</v>
      </c>
      <c r="B6" s="29" t="s">
        <v>116</v>
      </c>
      <c r="C6" s="29" t="s">
        <v>58</v>
      </c>
      <c r="D6" s="166">
        <f t="shared" si="0"/>
        <v>1</v>
      </c>
      <c r="E6" s="166">
        <f t="shared" si="1"/>
        <v>1</v>
      </c>
      <c r="F6" s="166">
        <f t="shared" si="2"/>
        <v>1</v>
      </c>
      <c r="G6" s="166">
        <f t="shared" si="3"/>
        <v>1</v>
      </c>
      <c r="H6" s="12">
        <v>0</v>
      </c>
      <c r="I6" s="12">
        <v>0</v>
      </c>
      <c r="J6" s="12">
        <v>0</v>
      </c>
      <c r="K6" s="12">
        <v>0</v>
      </c>
      <c r="L6" s="69">
        <f>VLOOKUP(A6,'תפוקה מצטברת מול אשתקד'!A:O,8,0)</f>
        <v>178139.77000000002</v>
      </c>
      <c r="M6" s="168">
        <f>VLOOKUP(A6,'תפוקה מצטברת מול אשתקד'!A:O,9,0)</f>
        <v>8637.9699999999993</v>
      </c>
      <c r="N6" s="168">
        <f>VLOOKUP(A6,'תפוקה מצטברת מול אשתקד'!A:O,10,0)</f>
        <v>240809.92</v>
      </c>
      <c r="O6" s="168">
        <f>VLOOKUP(A6,'תפוקה מצטברת מול אשתקד'!A:O,11,0)</f>
        <v>41187.589999999997</v>
      </c>
    </row>
    <row r="7" spans="1:16" ht="16.5" thickBot="1" x14ac:dyDescent="0.3">
      <c r="A7" s="27" t="s">
        <v>34</v>
      </c>
      <c r="B7" s="27" t="s">
        <v>116</v>
      </c>
      <c r="C7" s="28" t="s">
        <v>58</v>
      </c>
      <c r="D7" s="71">
        <f>IF(L7=0,0%,IF(H7=0,100%,L7/H7-1))</f>
        <v>0</v>
      </c>
      <c r="E7" s="71">
        <f>IF(M7=0,0%,IF(I7=0,100%,M7/I7-1))</f>
        <v>1</v>
      </c>
      <c r="F7" s="71">
        <f>IF(N7=0,0%,IF(J7=0,100%,N7/J7-1))</f>
        <v>0</v>
      </c>
      <c r="G7" s="71">
        <f>IF(O7=0,0%,IF(K7=0,100%,O7/K7-1))</f>
        <v>0</v>
      </c>
      <c r="H7" s="12">
        <f>VLOOKUP(A7,[1]גיליון1!$A:$T,17,0)</f>
        <v>0</v>
      </c>
      <c r="I7" s="12">
        <f>VLOOKUP(A7,[1]גיליון1!$1:$1048576,18,0)</f>
        <v>0</v>
      </c>
      <c r="J7" s="12">
        <f>VLOOKUP(A7,[1]גיליון1!$1:$1048576,18,0)</f>
        <v>0</v>
      </c>
      <c r="K7" s="12">
        <f>VLOOKUP(A7,[1]גיליון1!$1:$1048576,18,0)</f>
        <v>0</v>
      </c>
      <c r="L7" s="69">
        <f>VLOOKUP(A7,'תפוקה מצטברת מול אשתקד'!A:O,8,0)</f>
        <v>0</v>
      </c>
      <c r="M7" s="72">
        <f>VLOOKUP(A7,'תפוקה מצטברת מול אשתקד'!A:O,9,0)</f>
        <v>394.07</v>
      </c>
      <c r="N7" s="72">
        <f>VLOOKUP(A7,'תפוקה מצטברת מול אשתקד'!A:O,10,0)</f>
        <v>0</v>
      </c>
      <c r="O7" s="72">
        <f>VLOOKUP(A7,'תפוקה מצטברת מול אשתקד'!A:O,11,0)</f>
        <v>0</v>
      </c>
    </row>
    <row r="8" spans="1:16" ht="21.75" thickBot="1" x14ac:dyDescent="0.3">
      <c r="A8" s="17" t="s">
        <v>3</v>
      </c>
      <c r="B8" s="67"/>
      <c r="C8" s="173"/>
      <c r="D8" s="174">
        <f t="shared" si="0"/>
        <v>-0.76801880225471442</v>
      </c>
      <c r="E8" s="174">
        <f t="shared" si="1"/>
        <v>-0.92211503197512401</v>
      </c>
      <c r="F8" s="174" t="e">
        <f t="shared" si="2"/>
        <v>#VALUE!</v>
      </c>
      <c r="G8" s="174">
        <f t="shared" si="3"/>
        <v>8.8179309153846148</v>
      </c>
      <c r="H8" s="218">
        <f>H6+H5+H4+H3</f>
        <v>19500000</v>
      </c>
      <c r="I8" s="218">
        <f t="shared" ref="I8:O8" si="4">I6+I5+I4+I3</f>
        <v>1300000</v>
      </c>
      <c r="J8" s="218">
        <f>SUM(J3:J7)</f>
        <v>1300000</v>
      </c>
      <c r="K8" s="218">
        <f>SUM(K3:K7)</f>
        <v>1300000</v>
      </c>
      <c r="L8" s="218">
        <f t="shared" si="4"/>
        <v>4523633.3560330691</v>
      </c>
      <c r="M8" s="218">
        <f t="shared" si="4"/>
        <v>101250.45843233881</v>
      </c>
      <c r="N8" s="218" t="e">
        <f>N6+N5+N4+N3</f>
        <v>#VALUE!</v>
      </c>
      <c r="O8" s="218">
        <f t="shared" si="4"/>
        <v>12763310.189999999</v>
      </c>
    </row>
    <row r="9" spans="1:16" x14ac:dyDescent="0.25">
      <c r="A9" s="28" t="s">
        <v>4</v>
      </c>
      <c r="B9" s="28" t="s">
        <v>116</v>
      </c>
      <c r="C9" s="28" t="s">
        <v>114</v>
      </c>
      <c r="D9" s="169">
        <f t="shared" si="0"/>
        <v>1</v>
      </c>
      <c r="E9" s="169">
        <f t="shared" si="1"/>
        <v>1</v>
      </c>
      <c r="F9" s="169">
        <f t="shared" si="2"/>
        <v>0</v>
      </c>
      <c r="G9" s="169">
        <f t="shared" si="3"/>
        <v>0</v>
      </c>
      <c r="H9" s="167">
        <f>VLOOKUP(A9,[1]גיליון1!$1:$1048576,17,0)</f>
        <v>0</v>
      </c>
      <c r="I9" s="170">
        <f>VLOOKUP(A9,[2]גיליון1!$A:$T,18,0)</f>
        <v>0</v>
      </c>
      <c r="J9" s="170">
        <f>VLOOKUP(A9,[2]גיליון1!$A:$T,19,0)</f>
        <v>0</v>
      </c>
      <c r="K9" s="12">
        <f>VLOOKUP(A9,[1]גיליון1!$1:$1048576,18,0)</f>
        <v>0</v>
      </c>
      <c r="L9" s="171">
        <f>VLOOKUP(A9,'תפוקה מצטברת מול אשתקד'!A:O,8,0)</f>
        <v>20048.622039450507</v>
      </c>
      <c r="M9" s="172">
        <f>VLOOKUP(A9,'תפוקה מצטברת מול אשתקד'!A:O,9,0)</f>
        <v>27</v>
      </c>
      <c r="N9" s="172">
        <f>VLOOKUP(A9,'תפוקה מצטברת מול אשתקד'!A:O,10,0)</f>
        <v>0</v>
      </c>
      <c r="O9" s="172">
        <f>VLOOKUP(A9,'תפוקה מצטברת מול אשתקד'!A:O,11,0)</f>
        <v>0</v>
      </c>
    </row>
    <row r="10" spans="1:16" x14ac:dyDescent="0.25">
      <c r="A10" s="27" t="s">
        <v>5</v>
      </c>
      <c r="B10" s="27" t="s">
        <v>116</v>
      </c>
      <c r="C10" s="27" t="s">
        <v>114</v>
      </c>
      <c r="D10" s="71">
        <f t="shared" si="0"/>
        <v>-1.0006507853694668</v>
      </c>
      <c r="E10" s="71">
        <f t="shared" si="1"/>
        <v>-0.9396660201897693</v>
      </c>
      <c r="F10" s="71">
        <f t="shared" si="2"/>
        <v>0</v>
      </c>
      <c r="G10" s="71">
        <f t="shared" si="3"/>
        <v>0</v>
      </c>
      <c r="H10" s="167">
        <f>VLOOKUP(A10,[1]גיליון1!$1:$1048576,17,0)</f>
        <v>2500000</v>
      </c>
      <c r="I10" s="170">
        <f>VLOOKUP(A10,[2]גיליון1!$A:$T,18,0)</f>
        <v>1000000</v>
      </c>
      <c r="J10" s="170">
        <f>VLOOKUP(A10,[2]גיליון1!$A:$T,19,0)</f>
        <v>1000000</v>
      </c>
      <c r="K10" s="12">
        <f>VLOOKUP(A10,[1]גיליון1!$1:$1048576,18,0)</f>
        <v>1000000</v>
      </c>
      <c r="L10" s="69">
        <f>VLOOKUP(A10,'תפוקה מצטברת מול אשתקד'!A:O,8,0)</f>
        <v>-1626.9634236668799</v>
      </c>
      <c r="M10" s="72">
        <f>VLOOKUP(A10,'תפוקה מצטברת מול אשתקד'!A:O,9,0)</f>
        <v>60333.979810230681</v>
      </c>
      <c r="N10" s="72">
        <f>VLOOKUP(A10,'תפוקה מצטברת מול אשתקד'!A:O,10,0)</f>
        <v>0</v>
      </c>
      <c r="O10" s="72">
        <f>VLOOKUP(A10,'תפוקה מצטברת מול אשתקד'!A:O,11,0)</f>
        <v>0</v>
      </c>
    </row>
    <row r="11" spans="1:16" x14ac:dyDescent="0.25">
      <c r="A11" s="27" t="s">
        <v>6</v>
      </c>
      <c r="B11" s="27" t="s">
        <v>116</v>
      </c>
      <c r="C11" s="27" t="s">
        <v>114</v>
      </c>
      <c r="D11" s="71">
        <f t="shared" si="0"/>
        <v>-0.83872609446941582</v>
      </c>
      <c r="E11" s="71">
        <f t="shared" si="1"/>
        <v>-0.97713019071210594</v>
      </c>
      <c r="F11" s="71">
        <f t="shared" si="2"/>
        <v>-0.72461383713406535</v>
      </c>
      <c r="G11" s="71">
        <f t="shared" si="3"/>
        <v>1.06793425</v>
      </c>
      <c r="H11" s="167">
        <f>VLOOKUP(A11,[1]גיליון1!$1:$1048576,17,0)</f>
        <v>500000</v>
      </c>
      <c r="I11" s="170">
        <f>VLOOKUP(A11,[2]גיליון1!$A:$T,18,0)</f>
        <v>100000</v>
      </c>
      <c r="J11" s="170">
        <f>VLOOKUP(A11,[2]גיליון1!$A:$T,19,0)</f>
        <v>1000000</v>
      </c>
      <c r="K11" s="12">
        <f>VLOOKUP(A11,[1]גיליון1!$1:$1048576,18,0)</f>
        <v>200000</v>
      </c>
      <c r="L11" s="69">
        <f>VLOOKUP(A11,'תפוקה מצטברת מול אשתקד'!A:O,8,0)</f>
        <v>80636.952765292095</v>
      </c>
      <c r="M11" s="72">
        <f>VLOOKUP(A11,'תפוקה מצטברת מול אשתקד'!A:O,9,0)</f>
        <v>2286.980928789405</v>
      </c>
      <c r="N11" s="72">
        <f>VLOOKUP(A11,'תפוקה מצטברת מול אשתקד'!A:O,10,0)</f>
        <v>275386.1628659346</v>
      </c>
      <c r="O11" s="72">
        <f>VLOOKUP(A11,'תפוקה מצטברת מול אשתקד'!A:O,11,0)</f>
        <v>413586.85</v>
      </c>
    </row>
    <row r="12" spans="1:16" x14ac:dyDescent="0.25">
      <c r="A12" s="27" t="s">
        <v>7</v>
      </c>
      <c r="B12" s="27" t="s">
        <v>116</v>
      </c>
      <c r="C12" s="27" t="s">
        <v>114</v>
      </c>
      <c r="D12" s="71">
        <f t="shared" si="0"/>
        <v>0</v>
      </c>
      <c r="E12" s="71">
        <f t="shared" si="1"/>
        <v>1</v>
      </c>
      <c r="F12" s="71">
        <f t="shared" si="2"/>
        <v>0</v>
      </c>
      <c r="G12" s="71">
        <f t="shared" si="3"/>
        <v>0</v>
      </c>
      <c r="H12" s="167">
        <v>0</v>
      </c>
      <c r="I12" s="170">
        <v>0</v>
      </c>
      <c r="J12" s="170">
        <v>0</v>
      </c>
      <c r="K12" s="12">
        <f>VLOOKUP(A12,[1]גיליון1!$1:$1048576,18,0)</f>
        <v>0</v>
      </c>
      <c r="L12" s="69">
        <f>VLOOKUP(A12,'תפוקה מצטברת מול אשתקד'!A:O,8,0)</f>
        <v>0</v>
      </c>
      <c r="M12" s="72">
        <f>VLOOKUP(A12,'תפוקה מצטברת מול אשתקד'!A:O,9,0)</f>
        <v>60.12</v>
      </c>
      <c r="N12" s="72">
        <f>VLOOKUP(A12,'תפוקה מצטברת מול אשתקד'!A:O,10,0)</f>
        <v>0</v>
      </c>
      <c r="O12" s="72">
        <f>VLOOKUP(A12,'תפוקה מצטברת מול אשתקד'!A:O,11,0)</f>
        <v>0</v>
      </c>
    </row>
    <row r="13" spans="1:16" x14ac:dyDescent="0.25">
      <c r="A13" s="27" t="s">
        <v>8</v>
      </c>
      <c r="B13" s="27" t="s">
        <v>116</v>
      </c>
      <c r="C13" s="27" t="s">
        <v>114</v>
      </c>
      <c r="D13" s="71">
        <f t="shared" si="0"/>
        <v>0</v>
      </c>
      <c r="E13" s="71">
        <f t="shared" si="1"/>
        <v>-0.97725367947051167</v>
      </c>
      <c r="F13" s="71">
        <f t="shared" si="2"/>
        <v>0</v>
      </c>
      <c r="G13" s="71">
        <f t="shared" si="3"/>
        <v>0</v>
      </c>
      <c r="H13" s="167">
        <f>VLOOKUP(A13,[1]גיליון1!$1:$1048576,17,0)</f>
        <v>0</v>
      </c>
      <c r="I13" s="170">
        <f>VLOOKUP(A13,[2]גיליון1!$A:$T,18,0)</f>
        <v>450000</v>
      </c>
      <c r="J13" s="170">
        <f>VLOOKUP(A13,[2]גיליון1!$A:$T,19,0)</f>
        <v>0</v>
      </c>
      <c r="K13" s="12">
        <f>VLOOKUP(A13,[1]גיליון1!$1:$1048576,18,0)</f>
        <v>600000</v>
      </c>
      <c r="L13" s="69">
        <f>VLOOKUP(A13,'תפוקה מצטברת מול אשתקד'!A:O,8,0)</f>
        <v>0</v>
      </c>
      <c r="M13" s="72">
        <f>VLOOKUP(A13,'תפוקה מצטברת מול אשתקד'!A:O,9,0)</f>
        <v>10235.844238269754</v>
      </c>
      <c r="N13" s="72">
        <f>VLOOKUP(A13,'תפוקה מצטברת מול אשתקד'!A:O,10,0)</f>
        <v>0</v>
      </c>
      <c r="O13" s="72">
        <f>VLOOKUP(A13,'תפוקה מצטברת מול אשתקד'!A:O,11,0)</f>
        <v>0</v>
      </c>
    </row>
    <row r="14" spans="1:16" x14ac:dyDescent="0.25">
      <c r="A14" s="27" t="s">
        <v>9</v>
      </c>
      <c r="B14" s="27" t="s">
        <v>116</v>
      </c>
      <c r="C14" s="27" t="s">
        <v>114</v>
      </c>
      <c r="D14" s="71">
        <f t="shared" si="0"/>
        <v>-0.7964025127627099</v>
      </c>
      <c r="E14" s="71">
        <f t="shared" si="1"/>
        <v>-0.99836340000000001</v>
      </c>
      <c r="F14" s="71">
        <f t="shared" si="2"/>
        <v>0</v>
      </c>
      <c r="G14" s="71">
        <f t="shared" si="3"/>
        <v>0.98489833333333343</v>
      </c>
      <c r="H14" s="167">
        <f>VLOOKUP(A14,[1]גיליון1!$1:$1048576,17,0)</f>
        <v>300000</v>
      </c>
      <c r="I14" s="170">
        <f>VLOOKUP(A14,[2]גיליון1!$A:$T,18,0)</f>
        <v>150000</v>
      </c>
      <c r="J14" s="170">
        <f>VLOOKUP(A14,[2]גיליון1!$A:$T,19,0)</f>
        <v>10000000</v>
      </c>
      <c r="K14" s="12">
        <f>VLOOKUP(A14,[1]גיליון1!$1:$1048576,18,0)</f>
        <v>150000</v>
      </c>
      <c r="L14" s="69">
        <f>VLOOKUP(A14,'תפוקה מצטברת מול אשתקד'!A:O,8,0)</f>
        <v>61079.246171187042</v>
      </c>
      <c r="M14" s="72">
        <f>VLOOKUP(A14,'תפוקה מצטברת מול אשתקד'!A:O,9,0)</f>
        <v>245.49</v>
      </c>
      <c r="N14" s="72">
        <f>VLOOKUP(A14,'תפוקה מצטברת מול אשתקד'!A:O,10,0)</f>
        <v>0</v>
      </c>
      <c r="O14" s="72">
        <f>VLOOKUP(A14,'תפוקה מצטברת מול אשתקד'!A:O,11,0)</f>
        <v>297734.75</v>
      </c>
    </row>
    <row r="15" spans="1:16" ht="31.5" x14ac:dyDescent="0.25">
      <c r="A15" s="27" t="s">
        <v>31</v>
      </c>
      <c r="B15" s="27" t="s">
        <v>55</v>
      </c>
      <c r="C15" s="27" t="s">
        <v>114</v>
      </c>
      <c r="D15" s="71">
        <f t="shared" si="0"/>
        <v>0</v>
      </c>
      <c r="E15" s="71">
        <f t="shared" si="1"/>
        <v>0</v>
      </c>
      <c r="F15" s="71">
        <f t="shared" si="2"/>
        <v>1</v>
      </c>
      <c r="G15" s="71">
        <f t="shared" si="3"/>
        <v>0</v>
      </c>
      <c r="H15" s="167">
        <f>VLOOKUP(A15,[1]גיליון1!$1:$1048576,17,0)</f>
        <v>0</v>
      </c>
      <c r="I15" s="170">
        <f>VLOOKUP(A15,[2]גיליון1!$A:$T,18,0)</f>
        <v>0</v>
      </c>
      <c r="J15" s="170">
        <f>VLOOKUP(A15,[2]גיליון1!$A:$T,19,0)</f>
        <v>0</v>
      </c>
      <c r="K15" s="12">
        <f>VLOOKUP(A15,[1]גיליון1!$1:$1048576,18,0)</f>
        <v>0</v>
      </c>
      <c r="L15" s="69">
        <f>VLOOKUP(A15,'תפוקה מצטברת מול אשתקד'!A:O,8,0)</f>
        <v>0</v>
      </c>
      <c r="M15" s="72">
        <f>VLOOKUP(A15,'תפוקה מצטברת מול אשתקד'!A:O,9,0)</f>
        <v>0</v>
      </c>
      <c r="N15" s="72">
        <f>VLOOKUP(A15,'תפוקה מצטברת מול אשתקד'!A:O,10,0)</f>
        <v>234152.14</v>
      </c>
      <c r="O15" s="72">
        <f>VLOOKUP(A15,'תפוקה מצטברת מול אשתקד'!A:O,11,0)</f>
        <v>0</v>
      </c>
    </row>
    <row r="16" spans="1:16" customFormat="1" x14ac:dyDescent="0.25">
      <c r="A16" s="27" t="s">
        <v>104</v>
      </c>
      <c r="B16" s="27" t="s">
        <v>116</v>
      </c>
      <c r="C16" s="27" t="s">
        <v>114</v>
      </c>
      <c r="D16" s="71">
        <f t="shared" si="0"/>
        <v>1</v>
      </c>
      <c r="E16" s="71">
        <f t="shared" si="1"/>
        <v>1</v>
      </c>
      <c r="F16" s="71">
        <f t="shared" si="2"/>
        <v>1</v>
      </c>
      <c r="G16" s="71">
        <f t="shared" si="3"/>
        <v>0</v>
      </c>
      <c r="H16" s="167">
        <v>0</v>
      </c>
      <c r="I16" s="170">
        <v>0</v>
      </c>
      <c r="J16" s="170">
        <v>0</v>
      </c>
      <c r="K16" s="12">
        <f>VLOOKUP(A16,[1]גיליון1!$1:$1048576,18,0)</f>
        <v>0</v>
      </c>
      <c r="L16" s="69">
        <f>VLOOKUP(A16,'תפוקה מצטברת מול אשתקד'!A:O,8,0)</f>
        <v>23351.458979999999</v>
      </c>
      <c r="M16" s="72">
        <f>VLOOKUP(A16,'תפוקה מצטברת מול אשתקד'!A:O,9,0)</f>
        <v>7267.32</v>
      </c>
      <c r="N16" s="72">
        <f>VLOOKUP(A16,'תפוקה מצטברת מול אשתקד'!A:O,10,0)</f>
        <v>6017.28</v>
      </c>
      <c r="O16" s="72">
        <f>VLOOKUP(A16,'תפוקה מצטברת מול אשתקד'!A:O,11,0)</f>
        <v>0</v>
      </c>
      <c r="P16" s="2"/>
    </row>
    <row r="17" spans="1:15" x14ac:dyDescent="0.25">
      <c r="A17" s="27" t="s">
        <v>42</v>
      </c>
      <c r="B17" s="27" t="s">
        <v>116</v>
      </c>
      <c r="C17" s="27" t="s">
        <v>114</v>
      </c>
      <c r="D17" s="71">
        <f t="shared" si="0"/>
        <v>-0.8165565526636881</v>
      </c>
      <c r="E17" s="71">
        <f t="shared" si="1"/>
        <v>-0.90931852529838886</v>
      </c>
      <c r="F17" s="71">
        <f t="shared" si="2"/>
        <v>-0.94324528500000004</v>
      </c>
      <c r="G17" s="71">
        <f t="shared" si="3"/>
        <v>-0.43713869999999999</v>
      </c>
      <c r="H17" s="167">
        <f>VLOOKUP(A17,[1]גיליון1!$1:$1048576,17,0)</f>
        <v>1500000</v>
      </c>
      <c r="I17" s="170">
        <f>VLOOKUP(A17,[2]גיליון1!$A:$T,18,0)</f>
        <v>600000</v>
      </c>
      <c r="J17" s="170">
        <f>VLOOKUP(A17,[2]גיליון1!$A:$T,19,0)</f>
        <v>12000000</v>
      </c>
      <c r="K17" s="12">
        <f>VLOOKUP(A17,[1]גיליון1!$1:$1048576,18,0)</f>
        <v>600000</v>
      </c>
      <c r="L17" s="69">
        <f>VLOOKUP(A17,'תפוקה מצטברת מול אשתקד'!A:O,8,0)</f>
        <v>275165.17100446788</v>
      </c>
      <c r="M17" s="72">
        <f>VLOOKUP(A17,'תפוקה מצטברת מול אשתקד'!A:O,9,0)</f>
        <v>54408.884820966698</v>
      </c>
      <c r="N17" s="72">
        <f>VLOOKUP(A17,'תפוקה מצטברת מול אשתקד'!A:O,10,0)</f>
        <v>681056.58000000007</v>
      </c>
      <c r="O17" s="72">
        <f>VLOOKUP(A17,'תפוקה מצטברת מול אשתקד'!A:O,11,0)</f>
        <v>337716.78</v>
      </c>
    </row>
    <row r="18" spans="1:15" x14ac:dyDescent="0.25">
      <c r="A18" s="27" t="s">
        <v>43</v>
      </c>
      <c r="B18" s="27" t="s">
        <v>116</v>
      </c>
      <c r="C18" s="27" t="s">
        <v>114</v>
      </c>
      <c r="D18" s="71">
        <f t="shared" si="0"/>
        <v>-0.95152909564414201</v>
      </c>
      <c r="E18" s="71">
        <f t="shared" si="1"/>
        <v>-0.79043185653827774</v>
      </c>
      <c r="F18" s="71">
        <f t="shared" si="2"/>
        <v>-0.92845867075922439</v>
      </c>
      <c r="G18" s="71">
        <f t="shared" si="3"/>
        <v>0</v>
      </c>
      <c r="H18" s="167">
        <f>VLOOKUP(A18,[1]גיליון1!$1:$1048576,17,0)</f>
        <v>3000000</v>
      </c>
      <c r="I18" s="170">
        <f>VLOOKUP(A18,[2]גיליון1!$A:$T,18,0)</f>
        <v>350000</v>
      </c>
      <c r="J18" s="170">
        <f>VLOOKUP(A18,[2]גיליון1!$A:$T,19,0)</f>
        <v>35000000</v>
      </c>
      <c r="K18" s="12">
        <f>VLOOKUP(A18,[1]גיליון1!$1:$1048576,18,0)</f>
        <v>350000</v>
      </c>
      <c r="L18" s="69">
        <f>VLOOKUP(A18,'תפוקה מצטברת מול אשתקד'!A:O,8,0)</f>
        <v>145412.71306757411</v>
      </c>
      <c r="M18" s="72">
        <f>VLOOKUP(A18,'תפוקה מצטברת מול אשתקד'!A:O,9,0)</f>
        <v>73348.850211602781</v>
      </c>
      <c r="N18" s="72">
        <f>VLOOKUP(A18,'תפוקה מצטברת מול אשתקד'!A:O,10,0)</f>
        <v>2503946.5234271465</v>
      </c>
      <c r="O18" s="72">
        <f>VLOOKUP(A18,'תפוקה מצטברת מול אשתקד'!A:O,11,0)</f>
        <v>0</v>
      </c>
    </row>
    <row r="19" spans="1:15" x14ac:dyDescent="0.25">
      <c r="A19" s="27" t="s">
        <v>30</v>
      </c>
      <c r="B19" s="27" t="s">
        <v>116</v>
      </c>
      <c r="C19" s="27" t="s">
        <v>114</v>
      </c>
      <c r="D19" s="71">
        <f t="shared" si="0"/>
        <v>1</v>
      </c>
      <c r="E19" s="71">
        <f t="shared" si="1"/>
        <v>0</v>
      </c>
      <c r="F19" s="71">
        <f t="shared" si="2"/>
        <v>0</v>
      </c>
      <c r="G19" s="71">
        <f t="shared" si="3"/>
        <v>0</v>
      </c>
      <c r="H19" s="167">
        <f>VLOOKUP(A19,[1]גיליון1!$1:$1048576,17,0)</f>
        <v>0</v>
      </c>
      <c r="I19" s="170">
        <f>VLOOKUP(A19,[2]גיליון1!$A:$T,18,0)</f>
        <v>0</v>
      </c>
      <c r="J19" s="170">
        <f>VLOOKUP(A19,[2]גיליון1!$A:$T,19,0)</f>
        <v>500000</v>
      </c>
      <c r="K19" s="12">
        <f>VLOOKUP(A19,[1]גיליון1!$1:$1048576,18,0)</f>
        <v>0</v>
      </c>
      <c r="L19" s="69">
        <f>VLOOKUP(A19,'תפוקה מצטברת מול אשתקד'!A:O,8,0)</f>
        <v>463.53</v>
      </c>
      <c r="M19" s="72">
        <f>VLOOKUP(A19,'תפוקה מצטברת מול אשתקד'!A:O,9,0)</f>
        <v>0</v>
      </c>
      <c r="N19" s="72">
        <f>VLOOKUP(A19,'תפוקה מצטברת מול אשתקד'!A:O,10,0)</f>
        <v>0</v>
      </c>
      <c r="O19" s="72">
        <f>VLOOKUP(A19,'תפוקה מצטברת מול אשתקד'!A:O,11,0)</f>
        <v>0</v>
      </c>
    </row>
    <row r="20" spans="1:15" ht="16.5" thickBot="1" x14ac:dyDescent="0.3">
      <c r="A20" s="29" t="s">
        <v>38</v>
      </c>
      <c r="B20" s="29" t="s">
        <v>116</v>
      </c>
      <c r="C20" s="29" t="s">
        <v>114</v>
      </c>
      <c r="D20" s="166">
        <f t="shared" si="0"/>
        <v>0</v>
      </c>
      <c r="E20" s="166">
        <f t="shared" si="1"/>
        <v>0</v>
      </c>
      <c r="F20" s="166">
        <f t="shared" si="2"/>
        <v>0</v>
      </c>
      <c r="G20" s="166">
        <f t="shared" si="3"/>
        <v>0</v>
      </c>
      <c r="H20" s="167">
        <v>0</v>
      </c>
      <c r="I20" s="170">
        <v>0</v>
      </c>
      <c r="J20" s="170">
        <v>0</v>
      </c>
      <c r="K20" s="12">
        <f>VLOOKUP(A20,[1]גיליון1!$1:$1048576,18,0)</f>
        <v>0</v>
      </c>
      <c r="L20" s="69">
        <f>VLOOKUP(A20,'תפוקה מצטברת מול אשתקד'!A:O,8,0)</f>
        <v>0</v>
      </c>
      <c r="M20" s="168">
        <f>VLOOKUP(A20,'תפוקה מצטברת מול אשתקד'!A:O,9,0)</f>
        <v>0</v>
      </c>
      <c r="N20" s="168">
        <f>VLOOKUP(A20,'תפוקה מצטברת מול אשתקד'!A:O,10,0)</f>
        <v>0</v>
      </c>
      <c r="O20" s="168">
        <f>VLOOKUP(A20,'תפוקה מצטברת מול אשתקד'!A:O,11,0)</f>
        <v>0</v>
      </c>
    </row>
    <row r="21" spans="1:15" ht="21.75" thickBot="1" x14ac:dyDescent="0.3">
      <c r="A21" s="17" t="s">
        <v>10</v>
      </c>
      <c r="B21" s="67"/>
      <c r="C21" s="173"/>
      <c r="D21" s="174">
        <f t="shared" si="0"/>
        <v>-0.92249606017893526</v>
      </c>
      <c r="E21" s="174">
        <f t="shared" si="1"/>
        <v>-0.9214285018830719</v>
      </c>
      <c r="F21" s="174">
        <f t="shared" si="2"/>
        <v>-0.93780573636482212</v>
      </c>
      <c r="G21" s="174">
        <f t="shared" si="3"/>
        <v>-0.63826262758620689</v>
      </c>
      <c r="H21" s="175">
        <f>H20+H19+H18+H17+H16+H15+H14+H13+H12+H11+H10+H9</f>
        <v>7800000</v>
      </c>
      <c r="I21" s="175">
        <f t="shared" ref="I21:O21" si="5">I20+I19+I18+I17+I16+I15+I14+I13+I12+I11+I10+I9</f>
        <v>2650000</v>
      </c>
      <c r="J21" s="175">
        <f t="shared" si="5"/>
        <v>59500000</v>
      </c>
      <c r="K21" s="175">
        <f t="shared" si="5"/>
        <v>2900000</v>
      </c>
      <c r="L21" s="175">
        <f t="shared" si="5"/>
        <v>604530.7306043047</v>
      </c>
      <c r="M21" s="175">
        <f t="shared" si="5"/>
        <v>208214.4700098593</v>
      </c>
      <c r="N21" s="175">
        <f t="shared" si="5"/>
        <v>3700558.6862930809</v>
      </c>
      <c r="O21" s="175">
        <f t="shared" si="5"/>
        <v>1049038.3799999999</v>
      </c>
    </row>
    <row r="22" spans="1:15" x14ac:dyDescent="0.25">
      <c r="A22" s="28" t="s">
        <v>11</v>
      </c>
      <c r="B22" s="28" t="s">
        <v>56</v>
      </c>
      <c r="C22" s="28" t="s">
        <v>115</v>
      </c>
      <c r="D22" s="169">
        <f t="shared" si="0"/>
        <v>0</v>
      </c>
      <c r="E22" s="169">
        <f t="shared" si="1"/>
        <v>-0.96953317647058823</v>
      </c>
      <c r="F22" s="169">
        <f t="shared" si="2"/>
        <v>-0.97497750000000005</v>
      </c>
      <c r="G22" s="169">
        <f t="shared" si="3"/>
        <v>0</v>
      </c>
      <c r="H22" s="170">
        <f>VLOOKUP(A22,[1]גיליון1!$1:$1048576,17,0)</f>
        <v>1600000</v>
      </c>
      <c r="I22" s="170">
        <f>VLOOKUP(A22,[1]גיליון1!$1:$1048576,18,0)</f>
        <v>170000</v>
      </c>
      <c r="J22" s="170">
        <f>VLOOKUP(A22,[2]גיליון1!$A:$T,19,0)</f>
        <v>2000000</v>
      </c>
      <c r="K22" s="12">
        <f>VLOOKUP(A22,[1]גיליון1!$1:$1048576,18,0)</f>
        <v>170000</v>
      </c>
      <c r="L22" s="171"/>
      <c r="M22" s="172">
        <f>VLOOKUP(A22,'תפוקה מצטברת מול אשתקד'!A:O,9,0)</f>
        <v>5179.3599999999997</v>
      </c>
      <c r="N22" s="172">
        <f>VLOOKUP(A22,'תפוקה מצטברת מול אשתקד'!A:O,10,0)</f>
        <v>50045</v>
      </c>
      <c r="O22" s="172">
        <f>VLOOKUP(A22,'תפוקה מצטברת מול אשתקד'!A:O,11,0)</f>
        <v>0</v>
      </c>
    </row>
    <row r="23" spans="1:15" x14ac:dyDescent="0.25">
      <c r="A23" s="31" t="s">
        <v>12</v>
      </c>
      <c r="B23" s="27" t="s">
        <v>56</v>
      </c>
      <c r="C23" s="28" t="s">
        <v>115</v>
      </c>
      <c r="D23" s="71">
        <f t="shared" si="0"/>
        <v>0</v>
      </c>
      <c r="E23" s="71">
        <f t="shared" si="1"/>
        <v>1</v>
      </c>
      <c r="F23" s="71">
        <f t="shared" si="2"/>
        <v>0</v>
      </c>
      <c r="G23" s="71">
        <f t="shared" si="3"/>
        <v>0</v>
      </c>
      <c r="H23" s="170">
        <f>VLOOKUP(A23,[1]גיליון1!$1:$1048576,17,0)</f>
        <v>0</v>
      </c>
      <c r="I23" s="170">
        <f>VLOOKUP(A23,[1]גיליון1!$1:$1048576,18,0)</f>
        <v>0</v>
      </c>
      <c r="J23" s="170">
        <f>VLOOKUP(A23,[2]גיליון1!$A:$T,19,0)</f>
        <v>300000</v>
      </c>
      <c r="K23" s="12">
        <f>VLOOKUP(A23,[1]גיליון1!$1:$1048576,18,0)</f>
        <v>0</v>
      </c>
      <c r="L23" s="69"/>
      <c r="M23" s="72">
        <f>VLOOKUP(A23,'תפוקה מצטברת מול אשתקד'!A:O,9,0)</f>
        <v>3024.2761872980191</v>
      </c>
      <c r="N23" s="72">
        <f>VLOOKUP(A23,'תפוקה מצטברת מול אשתקד'!A:O,10,0)</f>
        <v>0</v>
      </c>
      <c r="O23" s="72">
        <f>VLOOKUP(A23,'תפוקה מצטברת מול אשתקד'!A:O,11,0)</f>
        <v>0</v>
      </c>
    </row>
    <row r="24" spans="1:15" x14ac:dyDescent="0.25">
      <c r="A24" s="31" t="s">
        <v>13</v>
      </c>
      <c r="B24" s="27" t="s">
        <v>56</v>
      </c>
      <c r="C24" s="28" t="s">
        <v>115</v>
      </c>
      <c r="D24" s="71">
        <f t="shared" si="0"/>
        <v>0</v>
      </c>
      <c r="E24" s="71">
        <f t="shared" si="1"/>
        <v>-0.93989999999999996</v>
      </c>
      <c r="F24" s="71">
        <f t="shared" si="2"/>
        <v>0</v>
      </c>
      <c r="G24" s="71">
        <f t="shared" si="3"/>
        <v>0</v>
      </c>
      <c r="H24" s="170">
        <f>VLOOKUP(A24,[1]גיליון1!$1:$1048576,17,0)</f>
        <v>100000</v>
      </c>
      <c r="I24" s="170">
        <f>VLOOKUP(A24,[1]גיליון1!$1:$1048576,18,0)</f>
        <v>50000</v>
      </c>
      <c r="J24" s="170">
        <f>VLOOKUP(A24,[2]גיליון1!$A:$T,19,0)</f>
        <v>200000</v>
      </c>
      <c r="K24" s="12">
        <f>VLOOKUP(A24,[1]גיליון1!$1:$1048576,18,0)</f>
        <v>50000</v>
      </c>
      <c r="L24" s="69"/>
      <c r="M24" s="72">
        <f>VLOOKUP(A24,'תפוקה מצטברת מול אשתקד'!A:O,9,0)</f>
        <v>3005</v>
      </c>
      <c r="N24" s="72">
        <f>VLOOKUP(A24,'תפוקה מצטברת מול אשתקד'!A:O,10,0)</f>
        <v>0</v>
      </c>
      <c r="O24" s="72">
        <f>VLOOKUP(A24,'תפוקה מצטברת מול אשתקד'!A:O,11,0)</f>
        <v>0</v>
      </c>
    </row>
    <row r="25" spans="1:15" ht="31.5" x14ac:dyDescent="0.25">
      <c r="A25" s="27" t="s">
        <v>14</v>
      </c>
      <c r="B25" s="27" t="s">
        <v>55</v>
      </c>
      <c r="C25" s="28" t="s">
        <v>115</v>
      </c>
      <c r="D25" s="71">
        <f t="shared" si="0"/>
        <v>0</v>
      </c>
      <c r="E25" s="71">
        <f t="shared" si="1"/>
        <v>0</v>
      </c>
      <c r="F25" s="71">
        <f t="shared" si="2"/>
        <v>0</v>
      </c>
      <c r="G25" s="71">
        <f t="shared" si="3"/>
        <v>0</v>
      </c>
      <c r="H25" s="170">
        <v>0</v>
      </c>
      <c r="I25" s="170">
        <v>0</v>
      </c>
      <c r="J25" s="170">
        <v>0</v>
      </c>
      <c r="K25" s="12">
        <v>0</v>
      </c>
      <c r="L25" s="69"/>
      <c r="M25" s="72">
        <f>VLOOKUP(A25,'תפוקה מצטברת מול אשתקד'!A:O,9,0)</f>
        <v>0</v>
      </c>
      <c r="N25" s="72">
        <f>VLOOKUP(A25,'תפוקה מצטברת מול אשתקד'!A:O,10,0)</f>
        <v>0</v>
      </c>
      <c r="O25" s="72">
        <f>VLOOKUP(A25,'תפוקה מצטברת מול אשתקד'!A:O,11,0)</f>
        <v>0</v>
      </c>
    </row>
    <row r="26" spans="1:15" x14ac:dyDescent="0.25">
      <c r="A26" s="31" t="s">
        <v>15</v>
      </c>
      <c r="B26" s="27" t="s">
        <v>56</v>
      </c>
      <c r="C26" s="28" t="s">
        <v>115</v>
      </c>
      <c r="D26" s="71">
        <f t="shared" si="0"/>
        <v>0</v>
      </c>
      <c r="E26" s="71">
        <f t="shared" si="1"/>
        <v>-0.96572236666666667</v>
      </c>
      <c r="F26" s="71">
        <f t="shared" si="2"/>
        <v>-0.98466401749999999</v>
      </c>
      <c r="G26" s="71">
        <f t="shared" si="3"/>
        <v>0</v>
      </c>
      <c r="H26" s="170">
        <f>VLOOKUP(A26,[1]גיליון1!$1:$1048576,17,0)</f>
        <v>2500000</v>
      </c>
      <c r="I26" s="170">
        <f>VLOOKUP(A26,[1]גיליון1!$1:$1048576,18,0)</f>
        <v>300000</v>
      </c>
      <c r="J26" s="170">
        <f>VLOOKUP(A26,[2]גיליון1!$A:$T,19,0)</f>
        <v>4000000</v>
      </c>
      <c r="K26" s="12">
        <f>VLOOKUP(A26,[1]גיליון1!$1:$1048576,18,0)</f>
        <v>300000</v>
      </c>
      <c r="L26" s="69"/>
      <c r="M26" s="72">
        <f>VLOOKUP(A26,'תפוקה מצטברת מול אשתקד'!A:O,9,0)</f>
        <v>10283.290000000001</v>
      </c>
      <c r="N26" s="72">
        <f>VLOOKUP(A26,'תפוקה מצטברת מול אשתקד'!A:O,10,0)</f>
        <v>61343.93</v>
      </c>
      <c r="O26" s="72">
        <f>VLOOKUP(A26,'תפוקה מצטברת מול אשתקד'!A:O,11,0)</f>
        <v>0</v>
      </c>
    </row>
    <row r="27" spans="1:15" x14ac:dyDescent="0.25">
      <c r="A27" s="31" t="s">
        <v>17</v>
      </c>
      <c r="B27" s="27" t="s">
        <v>56</v>
      </c>
      <c r="C27" s="28" t="s">
        <v>115</v>
      </c>
      <c r="D27" s="71">
        <f t="shared" si="0"/>
        <v>-0.90372067092876207</v>
      </c>
      <c r="E27" s="71">
        <f t="shared" si="1"/>
        <v>-0.88384713304542384</v>
      </c>
      <c r="F27" s="71">
        <f t="shared" si="2"/>
        <v>-0.9</v>
      </c>
      <c r="G27" s="71">
        <f t="shared" si="3"/>
        <v>0</v>
      </c>
      <c r="H27" s="170">
        <f>VLOOKUP(A27,[1]גיליון1!$1:$1048576,17,0)</f>
        <v>300000</v>
      </c>
      <c r="I27" s="170">
        <f>VLOOKUP(A27,[1]גיליון1!$1:$1048576,18,0)</f>
        <v>200000</v>
      </c>
      <c r="J27" s="170">
        <f>VLOOKUP(A27,[2]גיליון1!$A:$T,19,0)</f>
        <v>1000000</v>
      </c>
      <c r="K27" s="12">
        <f>VLOOKUP(A27,[1]גיליון1!$1:$1048576,18,0)</f>
        <v>200000</v>
      </c>
      <c r="L27" s="69">
        <f>VLOOKUP(A27,'תפוקה מצטברת מול אשתקד'!A:O,8,0)</f>
        <v>28883.798721371371</v>
      </c>
      <c r="M27" s="72">
        <f>VLOOKUP(A27,'תפוקה מצטברת מול אשתקד'!A:O,9,0)</f>
        <v>23230.57339091523</v>
      </c>
      <c r="N27" s="72">
        <f>VLOOKUP(A27,'תפוקה מצטברת מול אשתקד'!A:O,10,0)</f>
        <v>100000</v>
      </c>
      <c r="O27" s="72">
        <f>VLOOKUP(A27,'תפוקה מצטברת מול אשתקד'!A:O,11,0)</f>
        <v>0</v>
      </c>
    </row>
    <row r="28" spans="1:15" x14ac:dyDescent="0.25">
      <c r="A28" s="31" t="s">
        <v>18</v>
      </c>
      <c r="B28" s="27" t="s">
        <v>56</v>
      </c>
      <c r="C28" s="28" t="s">
        <v>115</v>
      </c>
      <c r="D28" s="71">
        <f t="shared" si="0"/>
        <v>-0.98548866666666668</v>
      </c>
      <c r="E28" s="71">
        <f t="shared" si="1"/>
        <v>-0.85935240000000002</v>
      </c>
      <c r="F28" s="71">
        <f t="shared" si="2"/>
        <v>-0.99840602000000001</v>
      </c>
      <c r="G28" s="71">
        <f t="shared" si="3"/>
        <v>0</v>
      </c>
      <c r="H28" s="170">
        <f>VLOOKUP(A28,[1]גיליון1!$1:$1048576,17,0)</f>
        <v>300000</v>
      </c>
      <c r="I28" s="170">
        <f>VLOOKUP(A28,[1]גיליון1!$1:$1048576,18,0)</f>
        <v>150000</v>
      </c>
      <c r="J28" s="170">
        <f>VLOOKUP(A28,[2]גיליון1!$A:$T,19,0)</f>
        <v>1000000</v>
      </c>
      <c r="K28" s="12">
        <f>VLOOKUP(A28,[1]גיליון1!$1:$1048576,18,0)</f>
        <v>150000</v>
      </c>
      <c r="L28" s="69">
        <f>VLOOKUP(A28,'תפוקה מצטברת מול אשתקד'!A:O,8,0)</f>
        <v>4353.3999999999996</v>
      </c>
      <c r="M28" s="72">
        <f>VLOOKUP(A28,'תפוקה מצטברת מול אשתקד'!A:O,9,0)</f>
        <v>21097.14</v>
      </c>
      <c r="N28" s="72">
        <f>VLOOKUP(A28,'תפוקה מצטברת מול אשתקד'!A:O,10,0)</f>
        <v>1593.98</v>
      </c>
      <c r="O28" s="72">
        <f>VLOOKUP(A28,'תפוקה מצטברת מול אשתקד'!A:O,11,0)</f>
        <v>0</v>
      </c>
    </row>
    <row r="29" spans="1:15" x14ac:dyDescent="0.25">
      <c r="A29" s="27" t="s">
        <v>19</v>
      </c>
      <c r="B29" s="27" t="s">
        <v>56</v>
      </c>
      <c r="C29" s="28" t="s">
        <v>115</v>
      </c>
      <c r="D29" s="71">
        <f t="shared" si="0"/>
        <v>-0.93150068375278505</v>
      </c>
      <c r="E29" s="71">
        <f t="shared" si="1"/>
        <v>-0.87030819999999998</v>
      </c>
      <c r="F29" s="71">
        <f t="shared" si="2"/>
        <v>-0.73416473999999998</v>
      </c>
      <c r="G29" s="71">
        <f t="shared" si="3"/>
        <v>0.76988813333333317</v>
      </c>
      <c r="H29" s="170">
        <f>VLOOKUP(A29,[1]גיליון1!$1:$1048576,17,0)</f>
        <v>1750000</v>
      </c>
      <c r="I29" s="170">
        <f>VLOOKUP(A29,[1]גיליון1!$1:$1048576,18,0)</f>
        <v>150000</v>
      </c>
      <c r="J29" s="170">
        <f>VLOOKUP(A29,[2]גיליון1!$A:$T,19,0)</f>
        <v>2000000</v>
      </c>
      <c r="K29" s="12">
        <f>VLOOKUP(A29,[1]גיליון1!$1:$1048576,18,0)</f>
        <v>150000</v>
      </c>
      <c r="L29" s="69">
        <f>VLOOKUP(A29,'תפוקה מצטברת מול אשתקד'!A:O,8,0)</f>
        <v>119873.8034326261</v>
      </c>
      <c r="M29" s="72">
        <f>VLOOKUP(A29,'תפוקה מצטברת מול אשתקד'!A:O,9,0)</f>
        <v>19453.77</v>
      </c>
      <c r="N29" s="72">
        <f>VLOOKUP(A29,'תפוקה מצטברת מול אשתקד'!A:O,10,0)</f>
        <v>531670.52</v>
      </c>
      <c r="O29" s="72">
        <f>VLOOKUP(A29,'תפוקה מצטברת מול אשתקד'!A:O,11,0)</f>
        <v>265483.21999999997</v>
      </c>
    </row>
    <row r="30" spans="1:15" x14ac:dyDescent="0.25">
      <c r="A30" s="27" t="s">
        <v>20</v>
      </c>
      <c r="B30" s="27" t="s">
        <v>56</v>
      </c>
      <c r="C30" s="28" t="s">
        <v>115</v>
      </c>
      <c r="D30" s="71">
        <f t="shared" si="0"/>
        <v>-0.66497567000000002</v>
      </c>
      <c r="E30" s="71">
        <f t="shared" si="1"/>
        <v>-0.94707608057339965</v>
      </c>
      <c r="F30" s="71">
        <f t="shared" si="2"/>
        <v>-0.92425800000000002</v>
      </c>
      <c r="G30" s="71">
        <f t="shared" si="3"/>
        <v>2.6915654999999998</v>
      </c>
      <c r="H30" s="170">
        <f>VLOOKUP(A30,[1]גיליון1!$1:$1048576,17,0)</f>
        <v>1000000</v>
      </c>
      <c r="I30" s="170">
        <f>VLOOKUP(A30,[1]גיליון1!$1:$1048576,18,0)</f>
        <v>200000</v>
      </c>
      <c r="J30" s="170">
        <f>VLOOKUP(A30,[2]גיליון1!$A:$T,19,0)</f>
        <v>4000000</v>
      </c>
      <c r="K30" s="12">
        <f>VLOOKUP(A30,[1]גיליון1!$1:$1048576,18,0)</f>
        <v>200000</v>
      </c>
      <c r="L30" s="69">
        <f>VLOOKUP(A30,'תפוקה מצטברת מול אשתקד'!A:O,8,0)</f>
        <v>335024.33</v>
      </c>
      <c r="M30" s="72">
        <f>VLOOKUP(A30,'תפוקה מצטברת מול אשתקד'!A:O,9,0)</f>
        <v>10584.783885320074</v>
      </c>
      <c r="N30" s="72">
        <f>VLOOKUP(A30,'תפוקה מצטברת מול אשתקד'!A:O,10,0)</f>
        <v>302968</v>
      </c>
      <c r="O30" s="72">
        <f>VLOOKUP(A30,'תפוקה מצטברת מול אשתקד'!A:O,11,0)</f>
        <v>738313.1</v>
      </c>
    </row>
    <row r="31" spans="1:15" x14ac:dyDescent="0.25">
      <c r="A31" s="27" t="s">
        <v>21</v>
      </c>
      <c r="B31" s="27" t="s">
        <v>56</v>
      </c>
      <c r="C31" s="28" t="s">
        <v>115</v>
      </c>
      <c r="D31" s="71">
        <f t="shared" si="0"/>
        <v>0</v>
      </c>
      <c r="E31" s="71">
        <f t="shared" si="1"/>
        <v>0</v>
      </c>
      <c r="F31" s="71">
        <f t="shared" si="2"/>
        <v>0</v>
      </c>
      <c r="G31" s="71">
        <f t="shared" si="3"/>
        <v>0</v>
      </c>
      <c r="H31" s="170">
        <f>VLOOKUP(A31,[1]גיליון1!$1:$1048576,17,0)</f>
        <v>0</v>
      </c>
      <c r="I31" s="170">
        <f>VLOOKUP(A31,[1]גיליון1!$1:$1048576,18,0)</f>
        <v>0</v>
      </c>
      <c r="J31" s="170">
        <f>VLOOKUP(A31,[2]גיליון1!$A:$T,19,0)</f>
        <v>0</v>
      </c>
      <c r="K31" s="12">
        <f>VLOOKUP(A31,[1]גיליון1!$1:$1048576,18,0)</f>
        <v>0</v>
      </c>
      <c r="L31" s="69">
        <f>VLOOKUP(A31,'תפוקה מצטברת מול אשתקד'!A:O,8,0)</f>
        <v>0</v>
      </c>
      <c r="M31" s="72">
        <f>VLOOKUP(A31,'תפוקה מצטברת מול אשתקד'!A:O,9,0)</f>
        <v>0</v>
      </c>
      <c r="N31" s="72">
        <f>VLOOKUP(A31,'תפוקה מצטברת מול אשתקד'!A:O,10,0)</f>
        <v>0</v>
      </c>
      <c r="O31" s="72">
        <f>VLOOKUP(A31,'תפוקה מצטברת מול אשתקד'!A:O,11,0)</f>
        <v>0</v>
      </c>
    </row>
    <row r="32" spans="1:15" x14ac:dyDescent="0.25">
      <c r="A32" s="27" t="s">
        <v>22</v>
      </c>
      <c r="B32" s="27" t="s">
        <v>56</v>
      </c>
      <c r="C32" s="28" t="s">
        <v>115</v>
      </c>
      <c r="D32" s="71">
        <f t="shared" si="0"/>
        <v>1</v>
      </c>
      <c r="E32" s="71">
        <f t="shared" si="1"/>
        <v>0</v>
      </c>
      <c r="F32" s="71">
        <f t="shared" si="2"/>
        <v>0</v>
      </c>
      <c r="G32" s="71">
        <f t="shared" si="3"/>
        <v>0</v>
      </c>
      <c r="H32" s="170">
        <f>VLOOKUP(A32,[1]גיליון1!$1:$1048576,17,0)</f>
        <v>0</v>
      </c>
      <c r="I32" s="170">
        <f>VLOOKUP(A32,[1]גיליון1!$1:$1048576,18,0)</f>
        <v>0</v>
      </c>
      <c r="J32" s="170">
        <f>VLOOKUP(A32,[2]גיליון1!$A:$T,19,0)</f>
        <v>500000</v>
      </c>
      <c r="K32" s="12">
        <f>VLOOKUP(A32,[1]גיליון1!$1:$1048576,18,0)</f>
        <v>0</v>
      </c>
      <c r="L32" s="69">
        <f>VLOOKUP(A32,'תפוקה מצטברת מול אשתקד'!A:O,8,0)</f>
        <v>-109126.2403952102</v>
      </c>
      <c r="M32" s="72">
        <f>VLOOKUP(A32,'תפוקה מצטברת מול אשתקד'!A:O,9,0)</f>
        <v>0</v>
      </c>
      <c r="N32" s="72">
        <f>VLOOKUP(A32,'תפוקה מצטברת מול אשתקד'!A:O,10,0)</f>
        <v>0</v>
      </c>
      <c r="O32" s="72">
        <f>VLOOKUP(A32,'תפוקה מצטברת מול אשתקד'!A:O,11,0)</f>
        <v>0</v>
      </c>
    </row>
    <row r="33" spans="1:15" x14ac:dyDescent="0.25">
      <c r="A33" s="27" t="s">
        <v>23</v>
      </c>
      <c r="B33" s="27" t="s">
        <v>56</v>
      </c>
      <c r="C33" s="28" t="s">
        <v>115</v>
      </c>
      <c r="D33" s="71">
        <f t="shared" si="0"/>
        <v>0</v>
      </c>
      <c r="E33" s="71">
        <f t="shared" si="1"/>
        <v>0</v>
      </c>
      <c r="F33" s="71">
        <f t="shared" si="2"/>
        <v>0</v>
      </c>
      <c r="G33" s="71">
        <f t="shared" si="3"/>
        <v>0</v>
      </c>
      <c r="H33" s="170">
        <f>VLOOKUP(A33,[1]גיליון1!$1:$1048576,17,0)</f>
        <v>933000000</v>
      </c>
      <c r="I33" s="170">
        <f>VLOOKUP(A33,[1]גיליון1!$1:$1048576,18,0)</f>
        <v>0</v>
      </c>
      <c r="J33" s="170">
        <f>VLOOKUP(A33,[2]גיליון1!$A:$T,19,0)</f>
        <v>0</v>
      </c>
      <c r="K33" s="12">
        <f>VLOOKUP(A33,[1]גיליון1!$1:$1048576,18,0)</f>
        <v>0</v>
      </c>
      <c r="L33" s="69">
        <f>VLOOKUP(A33,'תפוקה מצטברת מול אשתקד'!A:O,8,0)</f>
        <v>0</v>
      </c>
      <c r="M33" s="72">
        <f>VLOOKUP(A33,'תפוקה מצטברת מול אשתקד'!A:O,9,0)</f>
        <v>0</v>
      </c>
      <c r="N33" s="72">
        <f>VLOOKUP(A33,'תפוקה מצטברת מול אשתקד'!A:O,10,0)</f>
        <v>0</v>
      </c>
      <c r="O33" s="72">
        <f>VLOOKUP(A33,'תפוקה מצטברת מול אשתקד'!A:O,11,0)</f>
        <v>0</v>
      </c>
    </row>
    <row r="34" spans="1:15" x14ac:dyDescent="0.25">
      <c r="A34" s="27" t="s">
        <v>24</v>
      </c>
      <c r="B34" s="27" t="s">
        <v>56</v>
      </c>
      <c r="C34" s="28" t="s">
        <v>115</v>
      </c>
      <c r="D34" s="71">
        <f t="shared" si="0"/>
        <v>0</v>
      </c>
      <c r="E34" s="71">
        <f t="shared" si="1"/>
        <v>0</v>
      </c>
      <c r="F34" s="71">
        <f t="shared" si="2"/>
        <v>0</v>
      </c>
      <c r="G34" s="71">
        <f t="shared" si="3"/>
        <v>0</v>
      </c>
      <c r="H34" s="170">
        <f>VLOOKUP(A34,[1]גיליון1!$1:$1048576,17,0)</f>
        <v>0</v>
      </c>
      <c r="I34" s="170">
        <f>VLOOKUP(A34,[1]גיליון1!$1:$1048576,18,0)</f>
        <v>0</v>
      </c>
      <c r="J34" s="170">
        <f>VLOOKUP(A34,[2]גיליון1!$A:$T,19,0)</f>
        <v>0</v>
      </c>
      <c r="K34" s="12">
        <f>VLOOKUP(A34,[1]גיליון1!$1:$1048576,18,0)</f>
        <v>0</v>
      </c>
      <c r="L34" s="69">
        <f>VLOOKUP(A34,'תפוקה מצטברת מול אשתקד'!A:O,8,0)</f>
        <v>0</v>
      </c>
      <c r="M34" s="72">
        <f>VLOOKUP(A34,'תפוקה מצטברת מול אשתקד'!A:O,9,0)</f>
        <v>0</v>
      </c>
      <c r="N34" s="72">
        <f>VLOOKUP(A34,'תפוקה מצטברת מול אשתקד'!A:O,10,0)</f>
        <v>0</v>
      </c>
      <c r="O34" s="72">
        <f>VLOOKUP(A34,'תפוקה מצטברת מול אשתקד'!A:O,11,0)</f>
        <v>0</v>
      </c>
    </row>
    <row r="35" spans="1:15" x14ac:dyDescent="0.25">
      <c r="A35" s="31" t="s">
        <v>25</v>
      </c>
      <c r="B35" s="27" t="s">
        <v>56</v>
      </c>
      <c r="C35" s="28" t="s">
        <v>115</v>
      </c>
      <c r="D35" s="71">
        <f t="shared" si="0"/>
        <v>-0.81974664996174551</v>
      </c>
      <c r="E35" s="71">
        <f t="shared" si="1"/>
        <v>-0.92694357441381003</v>
      </c>
      <c r="F35" s="71">
        <f t="shared" si="2"/>
        <v>-0.92133019919813297</v>
      </c>
      <c r="G35" s="71">
        <f t="shared" si="3"/>
        <v>0</v>
      </c>
      <c r="H35" s="170">
        <f>VLOOKUP(A35,[1]גיליון1!$1:$1048576,17,0)</f>
        <v>2500000</v>
      </c>
      <c r="I35" s="170">
        <f>VLOOKUP(A35,[1]גיליון1!$1:$1048576,18,0)</f>
        <v>450000</v>
      </c>
      <c r="J35" s="170">
        <f>VLOOKUP(A35,[2]גיליון1!$A:$T,19,0)</f>
        <v>12000000</v>
      </c>
      <c r="K35" s="12">
        <f>VLOOKUP(A35,[1]גיליון1!$1:$1048576,18,0)</f>
        <v>450000</v>
      </c>
      <c r="L35" s="69">
        <f>VLOOKUP(A35,'תפוקה מצטברת מול אשתקד'!A:O,8,0)</f>
        <v>450633.37509563623</v>
      </c>
      <c r="M35" s="72">
        <f>VLOOKUP(A35,'תפוקה מצטברת מול אשתקד'!A:O,9,0)</f>
        <v>32875.391513785464</v>
      </c>
      <c r="N35" s="72">
        <f>VLOOKUP(A35,'תפוקה מצטברת מול אשתקד'!A:O,10,0)</f>
        <v>944037.60962240398</v>
      </c>
      <c r="O35" s="72">
        <f>VLOOKUP(A35,'תפוקה מצטברת מול אשתקד'!A:O,11,0)</f>
        <v>0</v>
      </c>
    </row>
    <row r="36" spans="1:15" x14ac:dyDescent="0.25">
      <c r="A36" s="27" t="s">
        <v>26</v>
      </c>
      <c r="B36" s="27" t="s">
        <v>56</v>
      </c>
      <c r="C36" s="28" t="s">
        <v>115</v>
      </c>
      <c r="D36" s="71">
        <f t="shared" si="0"/>
        <v>0</v>
      </c>
      <c r="E36" s="71">
        <f t="shared" si="1"/>
        <v>0</v>
      </c>
      <c r="F36" s="71">
        <f t="shared" si="2"/>
        <v>0</v>
      </c>
      <c r="G36" s="71">
        <f t="shared" si="3"/>
        <v>0</v>
      </c>
      <c r="H36" s="170">
        <f>VLOOKUP(A36,[1]גיליון1!$1:$1048576,17,0)</f>
        <v>0</v>
      </c>
      <c r="I36" s="170">
        <f>VLOOKUP(A36,[1]גיליון1!$1:$1048576,18,0)</f>
        <v>0</v>
      </c>
      <c r="J36" s="170">
        <f>VLOOKUP(A36,[2]גיליון1!$A:$T,19,0)</f>
        <v>100000</v>
      </c>
      <c r="K36" s="12">
        <f>VLOOKUP(A36,[1]גיליון1!$1:$1048576,18,0)</f>
        <v>0</v>
      </c>
      <c r="L36" s="69">
        <f>VLOOKUP(A36,'תפוקה מצטברת מול אשתקד'!A:O,8,0)</f>
        <v>0</v>
      </c>
      <c r="M36" s="72">
        <f>VLOOKUP(A36,'תפוקה מצטברת מול אשתקד'!A:O,9,0)</f>
        <v>0</v>
      </c>
      <c r="N36" s="72">
        <f>VLOOKUP(A36,'תפוקה מצטברת מול אשתקד'!A:O,10,0)</f>
        <v>0</v>
      </c>
      <c r="O36" s="72">
        <f>VLOOKUP(A36,'תפוקה מצטברת מול אשתקד'!A:O,11,0)</f>
        <v>0</v>
      </c>
    </row>
    <row r="37" spans="1:15" x14ac:dyDescent="0.25">
      <c r="A37" s="27" t="s">
        <v>27</v>
      </c>
      <c r="B37" s="27" t="s">
        <v>56</v>
      </c>
      <c r="C37" s="28" t="s">
        <v>115</v>
      </c>
      <c r="D37" s="71">
        <f t="shared" si="0"/>
        <v>0</v>
      </c>
      <c r="E37" s="71">
        <f t="shared" si="1"/>
        <v>0</v>
      </c>
      <c r="F37" s="71">
        <f t="shared" si="2"/>
        <v>0</v>
      </c>
      <c r="G37" s="71">
        <f t="shared" si="3"/>
        <v>0</v>
      </c>
      <c r="H37" s="170">
        <f>VLOOKUP(A37,[1]גיליון1!$1:$1048576,17,0)</f>
        <v>0</v>
      </c>
      <c r="I37" s="170">
        <f>VLOOKUP(A37,[1]גיליון1!$1:$1048576,18,0)</f>
        <v>0</v>
      </c>
      <c r="J37" s="170">
        <f>VLOOKUP(A37,[2]גיליון1!$A:$T,19,0)</f>
        <v>0</v>
      </c>
      <c r="K37" s="12">
        <f>VLOOKUP(A37,[1]גיליון1!$1:$1048576,18,0)</f>
        <v>0</v>
      </c>
      <c r="L37" s="69">
        <f>VLOOKUP(A37,'תפוקה מצטברת מול אשתקד'!A:O,8,0)</f>
        <v>0</v>
      </c>
      <c r="M37" s="72">
        <f>VLOOKUP(A37,'תפוקה מצטברת מול אשתקד'!A:O,9,0)</f>
        <v>0</v>
      </c>
      <c r="N37" s="72">
        <f>VLOOKUP(A37,'תפוקה מצטברת מול אשתקד'!A:O,10,0)</f>
        <v>0</v>
      </c>
      <c r="O37" s="72">
        <f>VLOOKUP(A37,'תפוקה מצטברת מול אשתקד'!A:O,11,0)</f>
        <v>0</v>
      </c>
    </row>
    <row r="38" spans="1:15" x14ac:dyDescent="0.25">
      <c r="A38" s="27" t="s">
        <v>28</v>
      </c>
      <c r="B38" s="27" t="s">
        <v>56</v>
      </c>
      <c r="C38" s="28" t="s">
        <v>115</v>
      </c>
      <c r="D38" s="71">
        <f t="shared" si="0"/>
        <v>0</v>
      </c>
      <c r="E38" s="71">
        <f t="shared" si="1"/>
        <v>0</v>
      </c>
      <c r="F38" s="71">
        <f t="shared" si="2"/>
        <v>0</v>
      </c>
      <c r="G38" s="71">
        <f t="shared" si="3"/>
        <v>0</v>
      </c>
      <c r="H38" s="170">
        <f>VLOOKUP(A38,[1]גיליון1!$1:$1048576,17,0)</f>
        <v>0</v>
      </c>
      <c r="I38" s="170">
        <f>VLOOKUP(A38,[1]גיליון1!$1:$1048576,18,0)</f>
        <v>0</v>
      </c>
      <c r="J38" s="170">
        <f>VLOOKUP(A38,[2]גיליון1!$A:$T,19,0)</f>
        <v>0</v>
      </c>
      <c r="K38" s="12">
        <f>VLOOKUP(A38,[1]גיליון1!$1:$1048576,18,0)</f>
        <v>0</v>
      </c>
      <c r="L38" s="69">
        <f>VLOOKUP(A38,'תפוקה מצטברת מול אשתקד'!A:O,8,0)</f>
        <v>0</v>
      </c>
      <c r="M38" s="72">
        <f>VLOOKUP(A38,'תפוקה מצטברת מול אשתקד'!A:O,9,0)</f>
        <v>0</v>
      </c>
      <c r="N38" s="72">
        <f>VLOOKUP(A38,'תפוקה מצטברת מול אשתקד'!A:O,10,0)</f>
        <v>0</v>
      </c>
      <c r="O38" s="72">
        <f>VLOOKUP(A38,'תפוקה מצטברת מול אשתקד'!A:O,11,0)</f>
        <v>0</v>
      </c>
    </row>
    <row r="39" spans="1:15" x14ac:dyDescent="0.25">
      <c r="A39" s="27" t="s">
        <v>29</v>
      </c>
      <c r="B39" s="27" t="s">
        <v>56</v>
      </c>
      <c r="C39" s="28" t="s">
        <v>115</v>
      </c>
      <c r="D39" s="71">
        <f t="shared" si="0"/>
        <v>1</v>
      </c>
      <c r="E39" s="71">
        <f t="shared" si="1"/>
        <v>-0.80784</v>
      </c>
      <c r="F39" s="71">
        <f t="shared" si="2"/>
        <v>1</v>
      </c>
      <c r="G39" s="71">
        <f t="shared" si="3"/>
        <v>21.644466000000001</v>
      </c>
      <c r="H39" s="170">
        <f>VLOOKUP(A39,[1]גיליון1!$1:$1048576,17,0)</f>
        <v>0</v>
      </c>
      <c r="I39" s="170">
        <f>VLOOKUP(A39,[1]גיליון1!$1:$1048576,18,0)</f>
        <v>10000</v>
      </c>
      <c r="J39" s="170">
        <f>VLOOKUP(A39,[2]גיליון1!$A:$T,19,0)</f>
        <v>0</v>
      </c>
      <c r="K39" s="12">
        <f>VLOOKUP(A39,[1]גיליון1!$1:$1048576,18,0)</f>
        <v>10000</v>
      </c>
      <c r="L39" s="69">
        <f>VLOOKUP(A39,'תפוקה מצטברת מול אשתקד'!A:O,8,0)</f>
        <v>6854.6</v>
      </c>
      <c r="M39" s="72">
        <f>VLOOKUP(A39,'תפוקה מצטברת מול אשתקד'!A:O,9,0)</f>
        <v>1921.6</v>
      </c>
      <c r="N39" s="72">
        <f>VLOOKUP(A39,'תפוקה מצטברת מול אשתקד'!A:O,10,0)</f>
        <v>248240.32</v>
      </c>
      <c r="O39" s="72">
        <f>VLOOKUP(A39,'תפוקה מצטברת מול אשתקד'!A:O,11,0)</f>
        <v>226444.66</v>
      </c>
    </row>
    <row r="40" spans="1:15" ht="31.5" x14ac:dyDescent="0.25">
      <c r="A40" s="27" t="s">
        <v>106</v>
      </c>
      <c r="B40" s="27" t="s">
        <v>55</v>
      </c>
      <c r="C40" s="28" t="s">
        <v>115</v>
      </c>
      <c r="D40" s="71">
        <f t="shared" si="0"/>
        <v>1</v>
      </c>
      <c r="E40" s="71">
        <f t="shared" si="1"/>
        <v>1</v>
      </c>
      <c r="F40" s="71">
        <f t="shared" si="2"/>
        <v>0</v>
      </c>
      <c r="G40" s="71">
        <f t="shared" si="3"/>
        <v>0</v>
      </c>
      <c r="H40" s="170">
        <v>0</v>
      </c>
      <c r="I40" s="170">
        <v>0</v>
      </c>
      <c r="J40" s="170">
        <v>0</v>
      </c>
      <c r="K40" s="12">
        <v>0</v>
      </c>
      <c r="L40" s="69">
        <f>VLOOKUP(A40,'תפוקה מצטברת מול אשתקד'!A:O,8,0)</f>
        <v>18.82</v>
      </c>
      <c r="M40" s="72">
        <f>VLOOKUP(A40,'תפוקה מצטברת מול אשתקד'!A:O,9,0)</f>
        <v>7028.15</v>
      </c>
      <c r="N40" s="72">
        <f>VLOOKUP(A40,'תפוקה מצטברת מול אשתקד'!A:O,10,0)</f>
        <v>0</v>
      </c>
      <c r="O40" s="72">
        <f>VLOOKUP(A40,'תפוקה מצטברת מול אשתקד'!A:O,11,0)</f>
        <v>0</v>
      </c>
    </row>
    <row r="41" spans="1:15" ht="31.5" x14ac:dyDescent="0.25">
      <c r="A41" s="27" t="s">
        <v>32</v>
      </c>
      <c r="B41" s="27" t="s">
        <v>55</v>
      </c>
      <c r="C41" s="28" t="s">
        <v>115</v>
      </c>
      <c r="D41" s="71">
        <f t="shared" si="0"/>
        <v>0</v>
      </c>
      <c r="E41" s="71">
        <f t="shared" si="1"/>
        <v>0</v>
      </c>
      <c r="F41" s="71">
        <f t="shared" si="2"/>
        <v>0</v>
      </c>
      <c r="G41" s="71">
        <f t="shared" si="3"/>
        <v>0</v>
      </c>
      <c r="H41" s="170">
        <f>VLOOKUP(A41,[1]גיליון1!$1:$1048576,17,0)</f>
        <v>0</v>
      </c>
      <c r="I41" s="170">
        <f>VLOOKUP(A41,[1]גיליון1!$1:$1048576,18,0)</f>
        <v>0</v>
      </c>
      <c r="J41" s="170">
        <v>0</v>
      </c>
      <c r="K41" s="12">
        <f>VLOOKUP(A41,[1]גיליון1!$1:$1048576,18,0)</f>
        <v>0</v>
      </c>
      <c r="L41" s="69">
        <f>VLOOKUP(A41,'תפוקה מצטברת מול אשתקד'!A:O,8,0)</f>
        <v>0</v>
      </c>
      <c r="M41" s="72">
        <f>VLOOKUP(A41,'תפוקה מצטברת מול אשתקד'!A:O,9,0)</f>
        <v>0</v>
      </c>
      <c r="N41" s="72">
        <f>VLOOKUP(A41,'תפוקה מצטברת מול אשתקד'!A:O,10,0)</f>
        <v>0</v>
      </c>
      <c r="O41" s="72">
        <f>VLOOKUP(A41,'תפוקה מצטברת מול אשתקד'!A:O,11,0)</f>
        <v>0</v>
      </c>
    </row>
    <row r="42" spans="1:15" x14ac:dyDescent="0.25">
      <c r="A42" s="31" t="s">
        <v>103</v>
      </c>
      <c r="B42" s="27" t="s">
        <v>56</v>
      </c>
      <c r="C42" s="28" t="s">
        <v>115</v>
      </c>
      <c r="D42" s="71">
        <f t="shared" si="0"/>
        <v>1</v>
      </c>
      <c r="E42" s="71">
        <f t="shared" si="1"/>
        <v>1</v>
      </c>
      <c r="F42" s="71">
        <f t="shared" si="2"/>
        <v>1</v>
      </c>
      <c r="G42" s="71">
        <f t="shared" si="3"/>
        <v>0</v>
      </c>
      <c r="H42" s="170">
        <v>0</v>
      </c>
      <c r="I42" s="170">
        <v>0</v>
      </c>
      <c r="J42" s="170">
        <v>0</v>
      </c>
      <c r="K42" s="12">
        <v>0</v>
      </c>
      <c r="L42" s="69">
        <f>VLOOKUP(A42,'תפוקה מצטברת מול אשתקד'!A:O,8,0)</f>
        <v>99450.848890197449</v>
      </c>
      <c r="M42" s="72">
        <f>VLOOKUP(A42,'תפוקה מצטברת מול אשתקד'!A:O,9,0)</f>
        <v>17034.032364914659</v>
      </c>
      <c r="N42" s="72">
        <f>VLOOKUP(A42,'תפוקה מצטברת מול אשתקד'!A:O,10,0)</f>
        <v>88904.728435348312</v>
      </c>
      <c r="O42" s="72">
        <f>VLOOKUP(A42,'תפוקה מצטברת מול אשתקד'!A:O,11,0)</f>
        <v>0</v>
      </c>
    </row>
    <row r="43" spans="1:15" x14ac:dyDescent="0.25">
      <c r="A43" s="27" t="s">
        <v>91</v>
      </c>
      <c r="B43" s="27" t="s">
        <v>56</v>
      </c>
      <c r="C43" s="28" t="s">
        <v>115</v>
      </c>
      <c r="D43" s="71">
        <f t="shared" si="0"/>
        <v>-1.0002641055134924</v>
      </c>
      <c r="E43" s="71">
        <f t="shared" si="1"/>
        <v>0</v>
      </c>
      <c r="F43" s="71">
        <f t="shared" si="2"/>
        <v>-0.96250568000000003</v>
      </c>
      <c r="G43" s="71">
        <f t="shared" si="3"/>
        <v>0</v>
      </c>
      <c r="H43" s="170">
        <f>VLOOKUP(A43,[1]גיליון1!$1:$1048576,17,0)</f>
        <v>300000</v>
      </c>
      <c r="I43" s="170">
        <f>VLOOKUP(A43,[1]גיליון1!$1:$1048576,18,0)</f>
        <v>80000</v>
      </c>
      <c r="J43" s="170">
        <f>VLOOKUP(A43,[2]גיליון1!$A:$T,19,0)</f>
        <v>250000</v>
      </c>
      <c r="K43" s="12">
        <f>VLOOKUP(A43,[1]גיליון1!$1:$1048576,18,0)</f>
        <v>80000</v>
      </c>
      <c r="L43" s="69">
        <f>VLOOKUP(A43,'תפוקה מצטברת מול אשתקד'!A:O,8,0)</f>
        <v>-79.231654047757715</v>
      </c>
      <c r="M43" s="72">
        <f>VLOOKUP(A43,'תפוקה מצטברת מול אשתקד'!A:O,9,0)</f>
        <v>0</v>
      </c>
      <c r="N43" s="72">
        <f>VLOOKUP(A43,'תפוקה מצטברת מול אשתקד'!A:O,10,0)</f>
        <v>9373.58</v>
      </c>
      <c r="O43" s="72">
        <f>VLOOKUP(A43,'תפוקה מצטברת מול אשתקד'!A:O,11,0)</f>
        <v>0</v>
      </c>
    </row>
    <row r="44" spans="1:15" x14ac:dyDescent="0.25">
      <c r="A44" s="27" t="s">
        <v>90</v>
      </c>
      <c r="B44" s="27" t="s">
        <v>56</v>
      </c>
      <c r="C44" s="28" t="s">
        <v>115</v>
      </c>
      <c r="D44" s="71">
        <f t="shared" si="0"/>
        <v>0</v>
      </c>
      <c r="E44" s="71">
        <f t="shared" si="1"/>
        <v>-0.99589519999999998</v>
      </c>
      <c r="F44" s="71">
        <f t="shared" si="2"/>
        <v>0</v>
      </c>
      <c r="G44" s="71">
        <f t="shared" si="3"/>
        <v>0</v>
      </c>
      <c r="H44" s="170">
        <f>VLOOKUP(A44,[1]גיליון1!$1:$1048576,17,0)</f>
        <v>50000</v>
      </c>
      <c r="I44" s="170">
        <f>VLOOKUP(A44,[1]גיליון1!$1:$1048576,18,0)</f>
        <v>50000</v>
      </c>
      <c r="J44" s="170">
        <f>VLOOKUP(A44,[2]גיליון1!$A:$T,19,0)</f>
        <v>1000000</v>
      </c>
      <c r="K44" s="12">
        <f>VLOOKUP(A44,[1]גיליון1!$1:$1048576,18,0)</f>
        <v>50000</v>
      </c>
      <c r="L44" s="69">
        <f>VLOOKUP(A44,'תפוקה מצטברת מול אשתקד'!A:O,8,0)</f>
        <v>0</v>
      </c>
      <c r="M44" s="72">
        <f>VLOOKUP(A44,'תפוקה מצטברת מול אשתקד'!A:O,9,0)</f>
        <v>205.24</v>
      </c>
      <c r="N44" s="72">
        <f>VLOOKUP(A44,'תפוקה מצטברת מול אשתקד'!A:O,10,0)</f>
        <v>0</v>
      </c>
      <c r="O44" s="72">
        <f>VLOOKUP(A44,'תפוקה מצטברת מול אשתקד'!A:O,11,0)</f>
        <v>0</v>
      </c>
    </row>
    <row r="45" spans="1:15" ht="31.5" x14ac:dyDescent="0.25">
      <c r="A45" s="27" t="s">
        <v>36</v>
      </c>
      <c r="B45" s="27" t="s">
        <v>55</v>
      </c>
      <c r="C45" s="28" t="s">
        <v>115</v>
      </c>
      <c r="D45" s="71">
        <f t="shared" si="0"/>
        <v>0</v>
      </c>
      <c r="E45" s="71">
        <f t="shared" si="1"/>
        <v>0</v>
      </c>
      <c r="F45" s="71">
        <f t="shared" si="2"/>
        <v>0</v>
      </c>
      <c r="G45" s="71">
        <f t="shared" si="3"/>
        <v>0</v>
      </c>
      <c r="H45" s="170">
        <f>VLOOKUP(A45,[1]גיליון1!$1:$1048576,17,0)</f>
        <v>0</v>
      </c>
      <c r="I45" s="170">
        <f>VLOOKUP(A45,[1]גיליון1!$1:$1048576,18,0)</f>
        <v>0</v>
      </c>
      <c r="J45" s="170">
        <v>0</v>
      </c>
      <c r="K45" s="12">
        <f>VLOOKUP(A45,[1]גיליון1!$1:$1048576,18,0)</f>
        <v>0</v>
      </c>
      <c r="L45" s="69">
        <f>VLOOKUP(A45,'תפוקה מצטברת מול אשתקד'!A:O,8,0)</f>
        <v>0</v>
      </c>
      <c r="M45" s="72">
        <f>VLOOKUP(A45,'תפוקה מצטברת מול אשתקד'!A:O,9,0)</f>
        <v>0</v>
      </c>
      <c r="N45" s="72">
        <f>VLOOKUP(A45,'תפוקה מצטברת מול אשתקד'!A:O,10,0)</f>
        <v>0</v>
      </c>
      <c r="O45" s="72">
        <f>VLOOKUP(A45,'תפוקה מצטברת מול אשתקד'!A:O,11,0)</f>
        <v>0</v>
      </c>
    </row>
    <row r="46" spans="1:15" ht="31.5" x14ac:dyDescent="0.25">
      <c r="A46" s="27" t="s">
        <v>102</v>
      </c>
      <c r="B46" s="27" t="s">
        <v>55</v>
      </c>
      <c r="C46" s="28" t="s">
        <v>115</v>
      </c>
      <c r="D46" s="71">
        <f t="shared" si="0"/>
        <v>0</v>
      </c>
      <c r="E46" s="71">
        <f t="shared" si="1"/>
        <v>0</v>
      </c>
      <c r="F46" s="71">
        <f t="shared" si="2"/>
        <v>0</v>
      </c>
      <c r="G46" s="71">
        <f t="shared" si="3"/>
        <v>0</v>
      </c>
      <c r="H46" s="170">
        <f>VLOOKUP(A46,[1]גיליון1!$1:$1048576,17,0)</f>
        <v>0</v>
      </c>
      <c r="I46" s="170">
        <f>VLOOKUP(A46,[1]גיליון1!$1:$1048576,18,0)</f>
        <v>0</v>
      </c>
      <c r="J46" s="170">
        <v>0</v>
      </c>
      <c r="K46" s="12">
        <f>VLOOKUP(A46,[1]גיליון1!$1:$1048576,18,0)</f>
        <v>0</v>
      </c>
      <c r="L46" s="69">
        <f>VLOOKUP(A46,'תפוקה מצטברת מול אשתקד'!A:O,8,0)</f>
        <v>0</v>
      </c>
      <c r="M46" s="72">
        <f>VLOOKUP(A46,'תפוקה מצטברת מול אשתקד'!A:O,9,0)</f>
        <v>0</v>
      </c>
      <c r="N46" s="72">
        <f>VLOOKUP(A46,'תפוקה מצטברת מול אשתקד'!A:O,10,0)</f>
        <v>0</v>
      </c>
      <c r="O46" s="72">
        <f>VLOOKUP(A46,'תפוקה מצטברת מול אשתקד'!A:O,11,0)</f>
        <v>0</v>
      </c>
    </row>
    <row r="47" spans="1:15" x14ac:dyDescent="0.25">
      <c r="A47" s="29" t="s">
        <v>93</v>
      </c>
      <c r="B47" s="27" t="s">
        <v>56</v>
      </c>
      <c r="C47" s="28" t="s">
        <v>115</v>
      </c>
      <c r="D47" s="71">
        <f t="shared" si="0"/>
        <v>0</v>
      </c>
      <c r="E47" s="71">
        <f t="shared" si="1"/>
        <v>0</v>
      </c>
      <c r="F47" s="71">
        <f t="shared" si="2"/>
        <v>0</v>
      </c>
      <c r="G47" s="71">
        <f t="shared" si="3"/>
        <v>0</v>
      </c>
      <c r="H47" s="170">
        <f>VLOOKUP(A47,[1]גיליון1!$1:$1048576,17,0)</f>
        <v>50000</v>
      </c>
      <c r="I47" s="170">
        <f>VLOOKUP(A47,[1]גיליון1!$1:$1048576,18,0)</f>
        <v>50000</v>
      </c>
      <c r="J47" s="170">
        <f>VLOOKUP(A47,[2]גיליון1!$A:$T,19,0)</f>
        <v>500000</v>
      </c>
      <c r="K47" s="12">
        <f>VLOOKUP(A47,[1]גיליון1!$1:$1048576,18,0)</f>
        <v>50000</v>
      </c>
      <c r="L47" s="69">
        <f>VLOOKUP(A47,'תפוקה מצטברת מול אשתקד'!A:O,8,0)</f>
        <v>0</v>
      </c>
      <c r="M47" s="72">
        <f>VLOOKUP(A47,'תפוקה מצטברת מול אשתקד'!A:O,9,0)</f>
        <v>0</v>
      </c>
      <c r="N47" s="72">
        <f>VLOOKUP(A47,'תפוקה מצטברת מול אשתקד'!A:O,10,0)</f>
        <v>0</v>
      </c>
      <c r="O47" s="72">
        <f>VLOOKUP(A47,'תפוקה מצטברת מול אשתקד'!A:O,11,0)</f>
        <v>0</v>
      </c>
    </row>
    <row r="48" spans="1:15" x14ac:dyDescent="0.25">
      <c r="A48" s="29" t="s">
        <v>95</v>
      </c>
      <c r="B48" s="27" t="s">
        <v>56</v>
      </c>
      <c r="C48" s="28" t="s">
        <v>115</v>
      </c>
      <c r="D48" s="71">
        <f t="shared" si="0"/>
        <v>0</v>
      </c>
      <c r="E48" s="71">
        <f t="shared" si="1"/>
        <v>0</v>
      </c>
      <c r="F48" s="71">
        <f t="shared" si="2"/>
        <v>-0.96050000000000002</v>
      </c>
      <c r="G48" s="71">
        <f t="shared" si="3"/>
        <v>0</v>
      </c>
      <c r="H48" s="170">
        <f>VLOOKUP(A48,[1]גיליון1!$1:$1048576,17,0)</f>
        <v>100000</v>
      </c>
      <c r="I48" s="170">
        <f>VLOOKUP(A48,[1]גיליון1!$1:$1048576,18,0)</f>
        <v>50000</v>
      </c>
      <c r="J48" s="170">
        <f>VLOOKUP(A48,[2]גיליון1!$A:$T,19,0)</f>
        <v>2000000</v>
      </c>
      <c r="K48" s="12">
        <f>VLOOKUP(A48,[1]גיליון1!$1:$1048576,18,0)</f>
        <v>50000</v>
      </c>
      <c r="L48" s="69">
        <f>VLOOKUP(A48,'תפוקה מצטברת מול אשתקד'!A:O,8,0)</f>
        <v>0</v>
      </c>
      <c r="M48" s="72">
        <f>VLOOKUP(A48,'תפוקה מצטברת מול אשתקד'!A:O,9,0)</f>
        <v>0</v>
      </c>
      <c r="N48" s="72">
        <f>VLOOKUP(A48,'תפוקה מצטברת מול אשתקד'!A:O,10,0)</f>
        <v>79000</v>
      </c>
      <c r="O48" s="72">
        <f>VLOOKUP(A48,'תפוקה מצטברת מול אשתקד'!A:O,11,0)</f>
        <v>0</v>
      </c>
    </row>
    <row r="49" spans="1:15" x14ac:dyDescent="0.25">
      <c r="A49" s="27" t="s">
        <v>105</v>
      </c>
      <c r="B49" s="27" t="s">
        <v>56</v>
      </c>
      <c r="C49" s="27" t="s">
        <v>115</v>
      </c>
      <c r="D49" s="71">
        <f t="shared" si="0"/>
        <v>1</v>
      </c>
      <c r="E49" s="71">
        <f t="shared" si="1"/>
        <v>1</v>
      </c>
      <c r="F49" s="71">
        <f t="shared" si="2"/>
        <v>1</v>
      </c>
      <c r="G49" s="71">
        <f t="shared" si="3"/>
        <v>0</v>
      </c>
      <c r="H49" s="170">
        <v>0</v>
      </c>
      <c r="I49" s="170">
        <v>0</v>
      </c>
      <c r="J49" s="170">
        <v>0</v>
      </c>
      <c r="K49" s="12">
        <v>0</v>
      </c>
      <c r="L49" s="69">
        <f>VLOOKUP(A49,'תפוקה מצטברת מול אשתקד'!A:O,8,0)</f>
        <v>38637.748</v>
      </c>
      <c r="M49" s="72">
        <f>VLOOKUP(A49,'תפוקה מצטברת מול אשתקד'!A:O,9,0)</f>
        <v>1187.72</v>
      </c>
      <c r="N49" s="72">
        <f>VLOOKUP(A49,'תפוקה מצטברת מול אשתקד'!A:O,10,0)</f>
        <v>733827.16</v>
      </c>
      <c r="O49" s="72">
        <f>VLOOKUP(A49,'תפוקה מצטברת מול אשתקד'!A:O,11,0)</f>
        <v>0</v>
      </c>
    </row>
    <row r="50" spans="1:15" x14ac:dyDescent="0.25">
      <c r="A50" s="27" t="s">
        <v>39</v>
      </c>
      <c r="B50" s="27" t="s">
        <v>56</v>
      </c>
      <c r="C50" s="27" t="s">
        <v>115</v>
      </c>
      <c r="D50" s="71">
        <f t="shared" si="0"/>
        <v>1</v>
      </c>
      <c r="E50" s="71">
        <f t="shared" si="1"/>
        <v>1</v>
      </c>
      <c r="F50" s="71">
        <f t="shared" si="2"/>
        <v>0</v>
      </c>
      <c r="G50" s="71">
        <f t="shared" si="3"/>
        <v>1</v>
      </c>
      <c r="H50" s="170">
        <f>VLOOKUP(A50,[1]גיליון1!$1:$1048576,17,0)</f>
        <v>0</v>
      </c>
      <c r="I50" s="170">
        <f>VLOOKUP(A50,[1]גיליון1!$1:$1048576,18,0)</f>
        <v>0</v>
      </c>
      <c r="J50" s="170">
        <f>VLOOKUP(A50,[2]גיליון1!$A:$T,19,0)</f>
        <v>200000</v>
      </c>
      <c r="K50" s="12">
        <f>VLOOKUP(A50,[1]גיליון1!$1:$1048576,18,0)</f>
        <v>0</v>
      </c>
      <c r="L50" s="69">
        <f>VLOOKUP(A50,'תפוקה מצטברת מול אשתקד'!A:O,8,0)</f>
        <v>6854.6</v>
      </c>
      <c r="M50" s="72">
        <f>VLOOKUP(A50,'תפוקה מצטברת מול אשתקד'!A:O,9,0)</f>
        <v>3811.95</v>
      </c>
      <c r="N50" s="72">
        <f>VLOOKUP(A50,'תפוקה מצטברת מול אשתקד'!A:O,10,0)</f>
        <v>0</v>
      </c>
      <c r="O50" s="72">
        <f>VLOOKUP(A50,'תפוקה מצטברת מול אשתקד'!A:O,11,0)</f>
        <v>138621.92000000001</v>
      </c>
    </row>
    <row r="51" spans="1:15" x14ac:dyDescent="0.25">
      <c r="A51" s="27" t="s">
        <v>99</v>
      </c>
      <c r="B51" s="27" t="s">
        <v>56</v>
      </c>
      <c r="C51" s="27" t="s">
        <v>115</v>
      </c>
      <c r="D51" s="71">
        <f t="shared" si="0"/>
        <v>1</v>
      </c>
      <c r="E51" s="71">
        <f t="shared" si="1"/>
        <v>0</v>
      </c>
      <c r="F51" s="71">
        <f t="shared" si="2"/>
        <v>1</v>
      </c>
      <c r="G51" s="71">
        <f t="shared" si="3"/>
        <v>0</v>
      </c>
      <c r="H51" s="170">
        <v>0</v>
      </c>
      <c r="I51" s="170">
        <v>0</v>
      </c>
      <c r="J51" s="170">
        <v>0</v>
      </c>
      <c r="K51" s="12">
        <v>0</v>
      </c>
      <c r="L51" s="69">
        <f>VLOOKUP(A51,'תפוקה מצטברת מול אשתקד'!A:O,8,0)</f>
        <v>87789.315399999992</v>
      </c>
      <c r="M51" s="72">
        <f>VLOOKUP(A51,'תפוקה מצטברת מול אשתקד'!A:O,9,0)</f>
        <v>0</v>
      </c>
      <c r="N51" s="72">
        <f>VLOOKUP(A51,'תפוקה מצטברת מול אשתקד'!A:O,10,0)</f>
        <v>34101.230000000003</v>
      </c>
      <c r="O51" s="72">
        <f>VLOOKUP(A51,'תפוקה מצטברת מול אשתקד'!A:O,11,0)</f>
        <v>0</v>
      </c>
    </row>
    <row r="52" spans="1:15" x14ac:dyDescent="0.25">
      <c r="A52" s="27" t="s">
        <v>41</v>
      </c>
      <c r="B52" s="27" t="s">
        <v>56</v>
      </c>
      <c r="C52" s="27" t="s">
        <v>115</v>
      </c>
      <c r="D52" s="71">
        <f t="shared" si="0"/>
        <v>0</v>
      </c>
      <c r="E52" s="71">
        <f t="shared" si="1"/>
        <v>0</v>
      </c>
      <c r="F52" s="71">
        <f t="shared" si="2"/>
        <v>0</v>
      </c>
      <c r="G52" s="71">
        <f t="shared" si="3"/>
        <v>0</v>
      </c>
      <c r="H52" s="170">
        <f>VLOOKUP(A52,[1]גיליון1!$1:$1048576,17,0)</f>
        <v>0</v>
      </c>
      <c r="I52" s="170">
        <f>VLOOKUP(A52,[1]גיליון1!$1:$1048576,18,0)</f>
        <v>0</v>
      </c>
      <c r="J52" s="170">
        <f>VLOOKUP(A52,[2]גיליון1!$A:$T,19,0)</f>
        <v>300000</v>
      </c>
      <c r="K52" s="12">
        <f>VLOOKUP(A52,[1]גיליון1!$1:$1048576,18,0)</f>
        <v>0</v>
      </c>
      <c r="L52" s="69">
        <f>VLOOKUP(A52,'תפוקה מצטברת מול אשתקד'!A:O,8,0)</f>
        <v>0</v>
      </c>
      <c r="M52" s="72">
        <f>VLOOKUP(A52,'תפוקה מצטברת מול אשתקד'!A:O,9,0)</f>
        <v>0</v>
      </c>
      <c r="N52" s="72">
        <f>VLOOKUP(A52,'תפוקה מצטברת מול אשתקד'!A:O,10,0)</f>
        <v>0</v>
      </c>
      <c r="O52" s="72">
        <f>VLOOKUP(A52,'תפוקה מצטברת מול אשתקד'!A:O,11,0)</f>
        <v>0</v>
      </c>
    </row>
    <row r="53" spans="1:15" ht="16.5" thickBot="1" x14ac:dyDescent="0.3">
      <c r="A53" s="29" t="s">
        <v>96</v>
      </c>
      <c r="B53" s="29" t="s">
        <v>56</v>
      </c>
      <c r="C53" s="29" t="s">
        <v>115</v>
      </c>
      <c r="D53" s="166">
        <f t="shared" si="0"/>
        <v>0</v>
      </c>
      <c r="E53" s="166">
        <f t="shared" si="1"/>
        <v>1</v>
      </c>
      <c r="F53" s="166">
        <f t="shared" si="2"/>
        <v>0</v>
      </c>
      <c r="G53" s="166">
        <f t="shared" si="3"/>
        <v>0</v>
      </c>
      <c r="H53" s="170">
        <f>VLOOKUP(A53,[1]גיליון1!$1:$1048576,17,0)</f>
        <v>0</v>
      </c>
      <c r="I53" s="170">
        <f>VLOOKUP(A53,[1]גיליון1!$1:$1048576,18,0)</f>
        <v>0</v>
      </c>
      <c r="J53" s="170">
        <f>VLOOKUP(A53,[2]גיליון1!$A:$T,19,0)</f>
        <v>0</v>
      </c>
      <c r="K53" s="12">
        <f>VLOOKUP(A53,[1]גיליון1!$1:$1048576,18,0)</f>
        <v>0</v>
      </c>
      <c r="L53" s="69">
        <f>VLOOKUP(A53,'תפוקה מצטברת מול אשתקד'!A:O,8,0)</f>
        <v>0</v>
      </c>
      <c r="M53" s="168">
        <f>VLOOKUP(A53,'תפוקה מצטברת מול אשתקד'!A:O,9,0)</f>
        <v>1407.55</v>
      </c>
      <c r="N53" s="168">
        <f>VLOOKUP(A53,'תפוקה מצטברת מול אשתקד'!A:O,10,0)</f>
        <v>0</v>
      </c>
      <c r="O53" s="168">
        <f>VLOOKUP(A53,'תפוקה מצטברת מול אשתקד'!A:O,11,0)</f>
        <v>0</v>
      </c>
    </row>
    <row r="54" spans="1:15" ht="21.75" thickBot="1" x14ac:dyDescent="0.3">
      <c r="A54" s="176" t="s">
        <v>124</v>
      </c>
      <c r="B54" s="67"/>
      <c r="C54" s="173"/>
      <c r="D54" s="177">
        <f t="shared" ref="D54" si="6">IF(L54=0,0%,IF(H54=0,100%,L54/H54-1))</f>
        <v>-0.76801880225471431</v>
      </c>
      <c r="E54" s="177">
        <f t="shared" ref="E54" si="7">IF(M54=0,0%,IF(I54=0,100%,M54/I54-1))</f>
        <v>-0.92196346659050865</v>
      </c>
      <c r="F54" s="177" t="e">
        <f t="shared" ref="F54" si="8">IF(N54=0,0%,IF(J54=0,100%,N54/J54-1))</f>
        <v>#VALUE!</v>
      </c>
      <c r="G54" s="177">
        <f t="shared" ref="G54" si="9">IF(O54=0,0%,IF(K54=0,100%,O54/K54-1))</f>
        <v>12.364722712041884</v>
      </c>
      <c r="H54" s="150">
        <f>SUM(H3:H8)</f>
        <v>39000000</v>
      </c>
      <c r="I54" s="150">
        <f t="shared" ref="I54:O54" si="10">SUM(I3:I8)</f>
        <v>2600000</v>
      </c>
      <c r="J54" s="150">
        <f>SUM(J22:J53)</f>
        <v>31350000</v>
      </c>
      <c r="K54" s="150">
        <f>SUM(K22:K53)</f>
        <v>1910000</v>
      </c>
      <c r="L54" s="150">
        <f t="shared" si="10"/>
        <v>9047266.71206614</v>
      </c>
      <c r="M54" s="150">
        <f t="shared" si="10"/>
        <v>202894.98686467763</v>
      </c>
      <c r="N54" s="150" t="e">
        <f t="shared" si="10"/>
        <v>#VALUE!</v>
      </c>
      <c r="O54" s="150">
        <f t="shared" si="10"/>
        <v>25526620.379999999</v>
      </c>
    </row>
    <row r="55" spans="1:15" x14ac:dyDescent="0.25">
      <c r="A55" s="27" t="s">
        <v>37</v>
      </c>
      <c r="B55" s="27" t="s">
        <v>123</v>
      </c>
      <c r="C55" s="28" t="s">
        <v>115</v>
      </c>
      <c r="D55" s="71">
        <f t="shared" ref="D55:G61" si="11">IF(L55=0,0%,IF(H55=0,100%,L55/H55-1))</f>
        <v>-0.9999801611582213</v>
      </c>
      <c r="E55" s="71">
        <f t="shared" si="11"/>
        <v>0</v>
      </c>
      <c r="F55" s="71">
        <f t="shared" si="11"/>
        <v>0</v>
      </c>
      <c r="G55" s="71">
        <f t="shared" si="11"/>
        <v>0</v>
      </c>
      <c r="H55" s="170">
        <f>VLOOKUP(A55,[1]גיליון1!$1:$1048576,17,0)</f>
        <v>483500000</v>
      </c>
      <c r="I55" s="170">
        <f>VLOOKUP(A55,[1]גיליון1!$1:$1048576,18,0)</f>
        <v>350000</v>
      </c>
      <c r="J55" s="170">
        <f>VLOOKUP(A55,[2]גיליון1!$A:$T,19,0)</f>
        <v>4000000</v>
      </c>
      <c r="K55" s="12">
        <f>VLOOKUP(A55,[1]גיליון1!$1:$1048576,18,0)</f>
        <v>350000</v>
      </c>
      <c r="L55" s="69">
        <f>VLOOKUP(A55,'תפוקה מצטברת מול אשתקד'!A:O,8,0)</f>
        <v>9592.08</v>
      </c>
      <c r="M55" s="72">
        <f>VLOOKUP(A55,'תפוקה מצטברת מול אשתקד'!A:O,9,0)</f>
        <v>0</v>
      </c>
      <c r="N55" s="72">
        <f>VLOOKUP(A55,'תפוקה מצטברת מול אשתקד'!A:O,10,0)</f>
        <v>0</v>
      </c>
      <c r="O55" s="72">
        <f>VLOOKUP(A55,'תפוקה מצטברת מול אשתקד'!A:O,11,0)</f>
        <v>0</v>
      </c>
    </row>
    <row r="56" spans="1:15" x14ac:dyDescent="0.25">
      <c r="A56" s="31" t="s">
        <v>33</v>
      </c>
      <c r="B56" s="27" t="s">
        <v>123</v>
      </c>
      <c r="C56" s="27" t="s">
        <v>115</v>
      </c>
      <c r="D56" s="71">
        <f t="shared" si="11"/>
        <v>-0.99991942061302685</v>
      </c>
      <c r="E56" s="71">
        <f t="shared" si="11"/>
        <v>-0.99352925000000003</v>
      </c>
      <c r="F56" s="71">
        <f t="shared" si="11"/>
        <v>-0.90919274285714291</v>
      </c>
      <c r="G56" s="71">
        <f t="shared" si="11"/>
        <v>0</v>
      </c>
      <c r="H56" s="170">
        <f>VLOOKUP(A56,[1]גיליון1!$1:$1048576,17,0)</f>
        <v>130500000</v>
      </c>
      <c r="I56" s="170">
        <f>VLOOKUP(A56,[1]גיליון1!$1:$1048576,18,0)</f>
        <v>80000</v>
      </c>
      <c r="J56" s="170">
        <f>VLOOKUP(A56,[2]גיליון1!$A:$T,19,0)</f>
        <v>7000000</v>
      </c>
      <c r="K56" s="12">
        <f>VLOOKUP(A56,[1]גיליון1!$1:$1048576,18,0)</f>
        <v>80000</v>
      </c>
      <c r="L56" s="69">
        <f>VLOOKUP(A56,'תפוקה מצטברת מול אשתקד'!A:O,8,0)</f>
        <v>10515.61</v>
      </c>
      <c r="M56" s="72">
        <f>VLOOKUP(A56,'תפוקה מצטברת מול אשתקד'!A:O,9,0)</f>
        <v>517.66</v>
      </c>
      <c r="N56" s="72">
        <f>VLOOKUP(A56,'תפוקה מצטברת מול אשתקד'!A:O,10,0)</f>
        <v>635650.80000000005</v>
      </c>
      <c r="O56" s="72">
        <f>VLOOKUP(A56,'תפוקה מצטברת מול אשתקד'!A:O,11,0)</f>
        <v>0</v>
      </c>
    </row>
    <row r="57" spans="1:15" x14ac:dyDescent="0.25">
      <c r="A57" s="27" t="s">
        <v>35</v>
      </c>
      <c r="B57" s="27" t="s">
        <v>123</v>
      </c>
      <c r="C57" s="28" t="s">
        <v>115</v>
      </c>
      <c r="D57" s="71">
        <f t="shared" si="11"/>
        <v>-0.99993029262948208</v>
      </c>
      <c r="E57" s="71">
        <f t="shared" si="11"/>
        <v>0</v>
      </c>
      <c r="F57" s="71">
        <f t="shared" si="11"/>
        <v>0</v>
      </c>
      <c r="G57" s="71">
        <f t="shared" si="11"/>
        <v>0</v>
      </c>
      <c r="H57" s="170">
        <f>VLOOKUP(A57,[1]גיליון1!$1:$1048576,17,0)</f>
        <v>251000000</v>
      </c>
      <c r="I57" s="170">
        <f>VLOOKUP(A57,[1]גיליון1!$1:$1048576,18,0)</f>
        <v>40000</v>
      </c>
      <c r="J57" s="170">
        <f>VLOOKUP(A57,[2]גיליון1!$A:$T,19,0)</f>
        <v>0</v>
      </c>
      <c r="K57" s="12">
        <f>VLOOKUP(A57,[1]גיליון1!$1:$1048576,18,0)</f>
        <v>40000</v>
      </c>
      <c r="L57" s="69">
        <f>VLOOKUP(A57,'תפוקה מצטברת מול אשתקד'!A:O,8,0)</f>
        <v>17496.55</v>
      </c>
      <c r="M57" s="72">
        <f>VLOOKUP(A57,'תפוקה מצטברת מול אשתקד'!A:O,9,0)</f>
        <v>0</v>
      </c>
      <c r="N57" s="72">
        <f>VLOOKUP(A57,'תפוקה מצטברת מול אשתקד'!A:O,10,0)</f>
        <v>0</v>
      </c>
      <c r="O57" s="72">
        <f>VLOOKUP(A57,'תפוקה מצטברת מול אשתקד'!A:O,11,0)</f>
        <v>0</v>
      </c>
    </row>
    <row r="58" spans="1:15" x14ac:dyDescent="0.25">
      <c r="A58" s="28" t="s">
        <v>94</v>
      </c>
      <c r="B58" s="28" t="s">
        <v>123</v>
      </c>
      <c r="C58" s="28" t="s">
        <v>115</v>
      </c>
      <c r="D58" s="71">
        <f t="shared" si="11"/>
        <v>-0.99987394887042502</v>
      </c>
      <c r="E58" s="71">
        <f t="shared" si="11"/>
        <v>-0.89854746062726409</v>
      </c>
      <c r="F58" s="71">
        <f t="shared" si="11"/>
        <v>-0.98290419161676645</v>
      </c>
      <c r="G58" s="71">
        <f t="shared" si="11"/>
        <v>6.1811431000000008</v>
      </c>
      <c r="H58" s="170">
        <f>VLOOKUP(A58,[1]גיליון1!$1:$1048576,17,0)</f>
        <v>1798000000</v>
      </c>
      <c r="I58" s="170">
        <f>VLOOKUP(A58,[1]גיליון1!$1:$1048576,18,0)</f>
        <v>200000</v>
      </c>
      <c r="J58" s="170">
        <f>VLOOKUP(A58,[2]גיליון1!$A:$T,19,0)</f>
        <v>10000000</v>
      </c>
      <c r="K58" s="12">
        <f>VLOOKUP(A58,[1]גיליון1!$1:$1048576,18,0)</f>
        <v>200000</v>
      </c>
      <c r="L58" s="69">
        <f>VLOOKUP(A58,'תפוקה מצטברת מול אשתקד'!A:O,8,0)</f>
        <v>226639.9309758762</v>
      </c>
      <c r="M58" s="72">
        <f>VLOOKUP(A58,'תפוקה מצטברת מול אשתקד'!A:O,9,0)</f>
        <v>20290.507874547169</v>
      </c>
      <c r="N58" s="72">
        <f>VLOOKUP(A58,'תפוקה מצטברת מול אשתקד'!A:O,10,0)</f>
        <v>170958.08383233531</v>
      </c>
      <c r="O58" s="72">
        <f>VLOOKUP(A58,'תפוקה מצטברת מול אשתקד'!A:O,11,0)</f>
        <v>1436228.62</v>
      </c>
    </row>
    <row r="59" spans="1:15" x14ac:dyDescent="0.25">
      <c r="A59" s="27" t="s">
        <v>92</v>
      </c>
      <c r="B59" s="27" t="s">
        <v>123</v>
      </c>
      <c r="C59" s="27" t="s">
        <v>115</v>
      </c>
      <c r="D59" s="71">
        <f t="shared" si="11"/>
        <v>-0.9846896364159915</v>
      </c>
      <c r="E59" s="71">
        <f t="shared" si="11"/>
        <v>-0.8806096319474277</v>
      </c>
      <c r="F59" s="71">
        <f t="shared" si="11"/>
        <v>-0.74835863428571425</v>
      </c>
      <c r="G59" s="71">
        <f t="shared" si="11"/>
        <v>-0.1217725999999999</v>
      </c>
      <c r="H59" s="170">
        <f>VLOOKUP(A59,[1]גיליון1!$1:$1048576,17,0)</f>
        <v>10000000</v>
      </c>
      <c r="I59" s="170">
        <f>VLOOKUP(A59,[1]גיליון1!$1:$1048576,18,0)</f>
        <v>100000</v>
      </c>
      <c r="J59" s="170">
        <f>VLOOKUP(A59,[2]גיליון1!$A:$T,19,0)</f>
        <v>7000000</v>
      </c>
      <c r="K59" s="12">
        <f>VLOOKUP(A59,[1]גיליון1!$1:$1048576,18,0)</f>
        <v>100000</v>
      </c>
      <c r="L59" s="69">
        <f>VLOOKUP(A59,'תפוקה מצטברת מול אשתקד'!A:O,8,0)</f>
        <v>153103.63584008455</v>
      </c>
      <c r="M59" s="72">
        <f>VLOOKUP(A59,'תפוקה מצטברת מול אשתקד'!A:O,9,0)</f>
        <v>11939.036805257236</v>
      </c>
      <c r="N59" s="72">
        <f>VLOOKUP(A59,'תפוקה מצטברת מול אשתקד'!A:O,10,0)</f>
        <v>1761489.56</v>
      </c>
      <c r="O59" s="72">
        <f>VLOOKUP(A59,'תפוקה מצטברת מול אשתקד'!A:O,11,0)</f>
        <v>87822.74</v>
      </c>
    </row>
    <row r="60" spans="1:15" x14ac:dyDescent="0.25">
      <c r="A60" s="124" t="s">
        <v>107</v>
      </c>
      <c r="B60" s="27" t="s">
        <v>123</v>
      </c>
      <c r="C60" s="28" t="s">
        <v>115</v>
      </c>
      <c r="D60" s="71">
        <f t="shared" si="11"/>
        <v>-0.99664272756756755</v>
      </c>
      <c r="E60" s="71">
        <f t="shared" si="11"/>
        <v>-0.95983600000000002</v>
      </c>
      <c r="F60" s="71">
        <f t="shared" si="11"/>
        <v>1</v>
      </c>
      <c r="G60" s="71">
        <f t="shared" si="11"/>
        <v>0</v>
      </c>
      <c r="H60" s="170">
        <f>VLOOKUP(A60,[1]גיליון1!$1:$1048576,17,0)</f>
        <v>18500000</v>
      </c>
      <c r="I60" s="170">
        <f>VLOOKUP(A60,[1]גיליון1!$1:$1048576,18,0)</f>
        <v>100000</v>
      </c>
      <c r="J60" s="170">
        <v>0</v>
      </c>
      <c r="K60" s="12">
        <f>VLOOKUP(A60,[1]גיליון1!$1:$1048576,18,0)</f>
        <v>100000</v>
      </c>
      <c r="L60" s="69">
        <f>VLOOKUP(A60,'תפוקה מצטברת מול אשתקד'!A:O,8,0)</f>
        <v>62109.54</v>
      </c>
      <c r="M60" s="72">
        <f>VLOOKUP(A60,'תפוקה מצטברת מול אשתקד'!A:O,9,0)</f>
        <v>4016.3999999999996</v>
      </c>
      <c r="N60" s="72">
        <f>VLOOKUP(A60,'תפוקה מצטברת מול אשתקד'!A:O,10,0)</f>
        <v>33500</v>
      </c>
      <c r="O60" s="72">
        <f>VLOOKUP(A60,'תפוקה מצטברת מול אשתקד'!A:O,11,0)</f>
        <v>0</v>
      </c>
    </row>
    <row r="61" spans="1:15" ht="16.5" thickBot="1" x14ac:dyDescent="0.3">
      <c r="A61" s="31" t="s">
        <v>16</v>
      </c>
      <c r="B61" s="27" t="s">
        <v>123</v>
      </c>
      <c r="C61" s="28" t="s">
        <v>115</v>
      </c>
      <c r="D61" s="71">
        <f t="shared" si="11"/>
        <v>0</v>
      </c>
      <c r="E61" s="71">
        <f t="shared" si="11"/>
        <v>0</v>
      </c>
      <c r="F61" s="71">
        <f t="shared" si="11"/>
        <v>0</v>
      </c>
      <c r="G61" s="71">
        <f t="shared" si="11"/>
        <v>0</v>
      </c>
      <c r="H61" s="170">
        <f>VLOOKUP(A61,[1]גיליון1!$1:$1048576,17,0)</f>
        <v>34000000</v>
      </c>
      <c r="I61" s="170">
        <f>VLOOKUP(A61,[1]גיליון1!$1:$1048576,18,0)</f>
        <v>100000</v>
      </c>
      <c r="J61" s="170">
        <f>VLOOKUP(A61,[2]גיליון1!$A:$T,19,0)</f>
        <v>0</v>
      </c>
      <c r="K61" s="12">
        <f>VLOOKUP(A61,[1]גיליון1!$1:$1048576,18,0)</f>
        <v>100000</v>
      </c>
      <c r="L61" s="69">
        <f>VLOOKUP(A61,'תפוקה מצטברת מול אשתקד'!A:O,8,0)</f>
        <v>0</v>
      </c>
      <c r="M61" s="72">
        <f>VLOOKUP(A61,'תפוקה מצטברת מול אשתקד'!A:O,9,0)</f>
        <v>0</v>
      </c>
      <c r="N61" s="72">
        <f>VLOOKUP(A61,'תפוקה מצטברת מול אשתקד'!A:O,10,0)</f>
        <v>0</v>
      </c>
      <c r="O61" s="72">
        <f>VLOOKUP(A61,'תפוקה מצטברת מול אשתקד'!A:O,11,0)</f>
        <v>0</v>
      </c>
    </row>
    <row r="62" spans="1:15" ht="21.75" thickBot="1" x14ac:dyDescent="0.3">
      <c r="A62" s="176" t="s">
        <v>125</v>
      </c>
      <c r="B62" s="67"/>
      <c r="C62" s="173"/>
      <c r="D62" s="177">
        <f t="shared" si="0"/>
        <v>-0.99982408462784222</v>
      </c>
      <c r="E62" s="177">
        <f t="shared" si="1"/>
        <v>-0.96209937661875833</v>
      </c>
      <c r="F62" s="177">
        <f t="shared" si="2"/>
        <v>-0.90708576986313083</v>
      </c>
      <c r="G62" s="177">
        <f t="shared" si="3"/>
        <v>0.57118696907216515</v>
      </c>
      <c r="H62" s="150">
        <f>SUM(H55:H61)</f>
        <v>2725500000</v>
      </c>
      <c r="I62" s="150">
        <f t="shared" ref="I62:O62" si="12">SUM(I55:I61)</f>
        <v>970000</v>
      </c>
      <c r="J62" s="150">
        <f t="shared" si="12"/>
        <v>28000000</v>
      </c>
      <c r="K62" s="150">
        <f t="shared" si="12"/>
        <v>970000</v>
      </c>
      <c r="L62" s="150">
        <f t="shared" si="12"/>
        <v>479457.34681596077</v>
      </c>
      <c r="M62" s="150">
        <f t="shared" si="12"/>
        <v>36763.604679804404</v>
      </c>
      <c r="N62" s="150">
        <f t="shared" si="12"/>
        <v>2601598.4438323355</v>
      </c>
      <c r="O62" s="150">
        <f t="shared" si="12"/>
        <v>1524051.36</v>
      </c>
    </row>
    <row r="63" spans="1:15" x14ac:dyDescent="0.25">
      <c r="A63" s="28" t="s">
        <v>84</v>
      </c>
      <c r="B63" s="28" t="s">
        <v>116</v>
      </c>
      <c r="C63" s="28" t="s">
        <v>110</v>
      </c>
      <c r="D63" s="169">
        <f t="shared" si="0"/>
        <v>-0.98538762000000002</v>
      </c>
      <c r="E63" s="169">
        <f t="shared" si="1"/>
        <v>0.83138924533258396</v>
      </c>
      <c r="F63" s="169">
        <f t="shared" si="2"/>
        <v>-0.94238078000000003</v>
      </c>
      <c r="G63" s="169">
        <f t="shared" si="3"/>
        <v>4.0275271333333329</v>
      </c>
      <c r="H63" s="170">
        <f>VLOOKUP(A63,[1]גיליון1!$1:$1048576,17,0)</f>
        <v>1000000</v>
      </c>
      <c r="I63" s="170">
        <f>VLOOKUP(A63,[1]גיליון1!$1:$1048576,18,0)</f>
        <v>150000</v>
      </c>
      <c r="J63" s="170">
        <f>VLOOKUP(A63,[2]גיליון1!$A:$T,19,0)</f>
        <v>10000000</v>
      </c>
      <c r="K63" s="12">
        <f>VLOOKUP(A63,[1]גיליון1!$1:$1048576,18,0)</f>
        <v>150000</v>
      </c>
      <c r="L63" s="171">
        <f>VLOOKUP(A63,'תפוקה מצטברת מול אשתקד'!A:O,8,0)</f>
        <v>14612.380000000001</v>
      </c>
      <c r="M63" s="172">
        <f>VLOOKUP(A63,'תפוקה מצטברת מול אשתקד'!A:O,9,0)</f>
        <v>274708.38679988758</v>
      </c>
      <c r="N63" s="172">
        <f>VLOOKUP(A63,'תפוקה מצטברת מול אשתקד'!A:O,10,0)</f>
        <v>576192.19999999995</v>
      </c>
      <c r="O63" s="172">
        <f>VLOOKUP(A63,'תפוקה מצטברת מול אשתקד'!A:O,11,0)</f>
        <v>754129.07</v>
      </c>
    </row>
    <row r="64" spans="1:15" x14ac:dyDescent="0.25">
      <c r="A64" s="31" t="s">
        <v>40</v>
      </c>
      <c r="B64" s="27" t="s">
        <v>56</v>
      </c>
      <c r="C64" s="27" t="s">
        <v>111</v>
      </c>
      <c r="D64" s="71">
        <f t="shared" si="0"/>
        <v>-0.7470631347227572</v>
      </c>
      <c r="E64" s="71">
        <f t="shared" si="1"/>
        <v>-0.94512346666666669</v>
      </c>
      <c r="F64" s="71">
        <f t="shared" si="2"/>
        <v>-0.84885924000000001</v>
      </c>
      <c r="G64" s="71">
        <f t="shared" si="3"/>
        <v>1.5826974833333334</v>
      </c>
      <c r="H64" s="170">
        <f>VLOOKUP(A64,[1]גיליון1!$1:$1048576,17,0)</f>
        <v>3000000</v>
      </c>
      <c r="I64" s="170">
        <f>VLOOKUP(A64,[1]גיליון1!$1:$1048576,18,0)</f>
        <v>600000</v>
      </c>
      <c r="J64" s="170">
        <f>VLOOKUP(A64,[2]גיליון1!$A:$T,19,0)</f>
        <v>5000000</v>
      </c>
      <c r="K64" s="12">
        <f>VLOOKUP(A64,[1]גיליון1!$1:$1048576,18,0)</f>
        <v>600000</v>
      </c>
      <c r="L64" s="69">
        <f>VLOOKUP(A64,'תפוקה מצטברת מול אשתקד'!A:O,8,0)</f>
        <v>758810.59583172831</v>
      </c>
      <c r="M64" s="72">
        <f>VLOOKUP(A64,'תפוקה מצטברת מול אשתקד'!A:O,9,0)</f>
        <v>32925.919999999998</v>
      </c>
      <c r="N64" s="72">
        <f>VLOOKUP(A64,'תפוקה מצטברת מול אשתקד'!A:O,10,0)</f>
        <v>755703.8</v>
      </c>
      <c r="O64" s="72">
        <f>VLOOKUP(A64,'תפוקה מצטברת מול אשתקד'!A:O,11,0)</f>
        <v>1549618.49</v>
      </c>
    </row>
    <row r="65" spans="1:15" x14ac:dyDescent="0.25">
      <c r="A65" s="27" t="s">
        <v>98</v>
      </c>
      <c r="B65" s="27" t="s">
        <v>116</v>
      </c>
      <c r="C65" s="27" t="s">
        <v>111</v>
      </c>
      <c r="D65" s="71">
        <f t="shared" ref="D65:E72" si="13">IF(L65=0,0%,IF(H65=0,100%,L65/H65-1))</f>
        <v>0</v>
      </c>
      <c r="E65" s="71">
        <f t="shared" si="13"/>
        <v>0</v>
      </c>
      <c r="F65" s="71">
        <f t="shared" si="2"/>
        <v>1</v>
      </c>
      <c r="G65" s="71">
        <f t="shared" si="3"/>
        <v>0</v>
      </c>
      <c r="H65" s="170">
        <f>VLOOKUP(A65,[1]גיליון1!$1:$1048576,17,0)</f>
        <v>0</v>
      </c>
      <c r="I65" s="170">
        <f>VLOOKUP(A65,[1]גיליון1!$1:$1048576,18,0)</f>
        <v>0</v>
      </c>
      <c r="J65" s="170">
        <v>0</v>
      </c>
      <c r="K65" s="12">
        <f>VLOOKUP(A65,[1]גיליון1!$1:$1048576,18,0)</f>
        <v>0</v>
      </c>
      <c r="L65" s="69">
        <f>VLOOKUP(A65,'תפוקה מצטברת מול אשתקד'!A:O,8,0)</f>
        <v>0</v>
      </c>
      <c r="M65" s="72">
        <f>VLOOKUP(A65,'תפוקה מצטברת מול אשתקד'!A:O,9,0)</f>
        <v>0</v>
      </c>
      <c r="N65" s="72">
        <f>VLOOKUP(A65,'תפוקה מצטברת מול אשתקד'!A:O,10,0)</f>
        <v>500</v>
      </c>
      <c r="O65" s="72">
        <f>VLOOKUP(A65,'תפוקה מצטברת מול אשתקד'!A:O,11,0)</f>
        <v>0</v>
      </c>
    </row>
    <row r="66" spans="1:15" x14ac:dyDescent="0.25">
      <c r="A66" s="27" t="s">
        <v>100</v>
      </c>
      <c r="B66" s="27" t="s">
        <v>56</v>
      </c>
      <c r="C66" s="27" t="s">
        <v>111</v>
      </c>
      <c r="D66" s="71">
        <f t="shared" si="13"/>
        <v>1</v>
      </c>
      <c r="E66" s="71">
        <f t="shared" si="13"/>
        <v>0</v>
      </c>
      <c r="F66" s="71">
        <f t="shared" ref="F66:F72" si="14">IF(N66=0,0%,IF(J66=0,100%,N66/J66-1))</f>
        <v>1</v>
      </c>
      <c r="G66" s="71">
        <f t="shared" ref="G66:G72" si="15">IF(O66=0,0%,IF(K66=0,100%,O66/K66-1))</f>
        <v>1</v>
      </c>
      <c r="H66" s="170">
        <v>0</v>
      </c>
      <c r="I66" s="170">
        <v>0</v>
      </c>
      <c r="J66" s="170">
        <v>0</v>
      </c>
      <c r="K66" s="12">
        <v>0</v>
      </c>
      <c r="L66" s="69">
        <f>VLOOKUP(A66,'תפוקה מצטברת מול אשתקד'!A:O,8,0)</f>
        <v>90580.75</v>
      </c>
      <c r="M66" s="72">
        <f>VLOOKUP(A66,'תפוקה מצטברת מול אשתקד'!A:O,9,0)</f>
        <v>0</v>
      </c>
      <c r="N66" s="72">
        <f>VLOOKUP(A66,'תפוקה מצטברת מול אשתקד'!A:O,10,0)</f>
        <v>3000</v>
      </c>
      <c r="O66" s="72">
        <f>VLOOKUP(A66,'תפוקה מצטברת מול אשתקד'!A:O,11,0)</f>
        <v>809852.38</v>
      </c>
    </row>
    <row r="67" spans="1:15" x14ac:dyDescent="0.25">
      <c r="A67" s="27" t="s">
        <v>101</v>
      </c>
      <c r="B67" s="27" t="s">
        <v>56</v>
      </c>
      <c r="C67" s="27" t="s">
        <v>111</v>
      </c>
      <c r="D67" s="71">
        <f t="shared" si="13"/>
        <v>0</v>
      </c>
      <c r="E67" s="71">
        <f t="shared" si="13"/>
        <v>0</v>
      </c>
      <c r="F67" s="71">
        <f t="shared" si="14"/>
        <v>0</v>
      </c>
      <c r="G67" s="71">
        <f t="shared" si="15"/>
        <v>0</v>
      </c>
      <c r="H67" s="170">
        <v>0</v>
      </c>
      <c r="I67" s="170">
        <v>0</v>
      </c>
      <c r="J67" s="170">
        <v>0</v>
      </c>
      <c r="K67" s="12">
        <v>0</v>
      </c>
      <c r="L67" s="69">
        <f>VLOOKUP(A67,'תפוקה מצטברת מול אשתקד'!A:O,8,0)</f>
        <v>0</v>
      </c>
      <c r="M67" s="72">
        <f>VLOOKUP(A67,'תפוקה מצטברת מול אשתקד'!A:O,9,0)</f>
        <v>0</v>
      </c>
      <c r="N67" s="72">
        <f>VLOOKUP(A67,'תפוקה מצטברת מול אשתקד'!A:O,10,0)</f>
        <v>0</v>
      </c>
      <c r="O67" s="72">
        <f>VLOOKUP(A67,'תפוקה מצטברת מול אשתקד'!A:O,11,0)</f>
        <v>0</v>
      </c>
    </row>
    <row r="68" spans="1:15" x14ac:dyDescent="0.25">
      <c r="A68" s="27" t="s">
        <v>108</v>
      </c>
      <c r="B68" s="27" t="s">
        <v>56</v>
      </c>
      <c r="C68" s="27" t="s">
        <v>111</v>
      </c>
      <c r="D68" s="71">
        <f t="shared" si="13"/>
        <v>-0.93955771786988895</v>
      </c>
      <c r="E68" s="71">
        <f t="shared" si="13"/>
        <v>-0.91228845666666669</v>
      </c>
      <c r="F68" s="71">
        <f t="shared" si="14"/>
        <v>-0.76543206799999997</v>
      </c>
      <c r="G68" s="71">
        <f t="shared" si="15"/>
        <v>2.3454937999999999</v>
      </c>
      <c r="H68" s="170">
        <f>VLOOKUP(A68,[1]גיליון1!$1:$1048576,17,0)</f>
        <v>1000000</v>
      </c>
      <c r="I68" s="170">
        <f>VLOOKUP(A68,[1]גיליון1!$1:$1048576,18,0)</f>
        <v>150000</v>
      </c>
      <c r="J68" s="170">
        <f>VLOOKUP(A68,[2]גיליון1!$A:$T,19,0)</f>
        <v>5000000</v>
      </c>
      <c r="K68" s="12">
        <f>VLOOKUP(A68,[1]גיליון1!$1:$1048576,18,0)</f>
        <v>150000</v>
      </c>
      <c r="L68" s="69">
        <f>VLOOKUP(A68,'תפוקה מצטברת מול אשתקד'!A:O,8,0)</f>
        <v>60442.282130111002</v>
      </c>
      <c r="M68" s="72">
        <f>VLOOKUP(A68,'תפוקה מצטברת מול אשתקד'!A:O,9,0)</f>
        <v>13156.7315</v>
      </c>
      <c r="N68" s="72">
        <f>VLOOKUP(A68,'תפוקה מצטברת מול אשתקד'!A:O,10,0)</f>
        <v>1172839.6599999999</v>
      </c>
      <c r="O68" s="72">
        <f>VLOOKUP(A68,'תפוקה מצטברת מול אשתקד'!A:O,11,0)</f>
        <v>501824.07</v>
      </c>
    </row>
    <row r="69" spans="1:15" x14ac:dyDescent="0.25">
      <c r="A69" s="112" t="s">
        <v>109</v>
      </c>
      <c r="B69" s="27" t="s">
        <v>56</v>
      </c>
      <c r="C69" s="27" t="s">
        <v>111</v>
      </c>
      <c r="D69" s="71">
        <f t="shared" si="13"/>
        <v>-0.77965890462024556</v>
      </c>
      <c r="E69" s="71">
        <f t="shared" si="13"/>
        <v>-0.88863241383809177</v>
      </c>
      <c r="F69" s="71">
        <f t="shared" si="14"/>
        <v>-0.82272895833333337</v>
      </c>
      <c r="G69" s="71">
        <f t="shared" si="15"/>
        <v>8.0840191199999989</v>
      </c>
      <c r="H69" s="170">
        <f>VLOOKUP(A69,[1]גיליון1!$1:$1048576,17,0)</f>
        <v>3000000</v>
      </c>
      <c r="I69" s="170">
        <f>VLOOKUP(A69,[1]גיליון1!$1:$1048576,18,0)</f>
        <v>250000</v>
      </c>
      <c r="J69" s="170">
        <f>VLOOKUP(A69,[2]גיליון1!$A:$T,19,0)</f>
        <v>30000000</v>
      </c>
      <c r="K69" s="12">
        <f>VLOOKUP(A69,[1]גיליון1!$1:$1048576,18,0)</f>
        <v>250000</v>
      </c>
      <c r="L69" s="69">
        <f>VLOOKUP(A69,'תפוקה מצטברת מול אשתקד'!A:O,8,0)</f>
        <v>661023.28613926342</v>
      </c>
      <c r="M69" s="72">
        <f>VLOOKUP(A69,'תפוקה מצטברת מול אשתקד'!A:O,9,0)</f>
        <v>27841.896540477064</v>
      </c>
      <c r="N69" s="72">
        <f>VLOOKUP(A69,'תפוקה מצטברת מול אשתקד'!A:O,10,0)</f>
        <v>5318131.25</v>
      </c>
      <c r="O69" s="72">
        <f>VLOOKUP(A69,'תפוקה מצטברת מול אשתקד'!A:O,11,0)</f>
        <v>2271004.7799999998</v>
      </c>
    </row>
    <row r="70" spans="1:15" ht="16.5" thickBot="1" x14ac:dyDescent="0.3">
      <c r="A70" s="27" t="s">
        <v>89</v>
      </c>
      <c r="B70" s="27" t="s">
        <v>56</v>
      </c>
      <c r="C70" s="27" t="s">
        <v>111</v>
      </c>
      <c r="D70" s="71">
        <f t="shared" si="13"/>
        <v>-0.90296171999999997</v>
      </c>
      <c r="E70" s="71">
        <f t="shared" si="13"/>
        <v>-0.96148493333333329</v>
      </c>
      <c r="F70" s="71">
        <f t="shared" si="14"/>
        <v>0</v>
      </c>
      <c r="G70" s="71">
        <f t="shared" si="15"/>
        <v>0</v>
      </c>
      <c r="H70" s="170">
        <f>VLOOKUP(A70,[1]גיליון1!$1:$1048576,17,0)</f>
        <v>500000</v>
      </c>
      <c r="I70" s="170">
        <f>VLOOKUP(A70,[1]גיליון1!$1:$1048576,18,0)</f>
        <v>150000</v>
      </c>
      <c r="J70" s="170">
        <f>VLOOKUP(A70,[2]גיליון1!$A:$T,19,0)</f>
        <v>500000</v>
      </c>
      <c r="K70" s="12">
        <f>VLOOKUP(A70,[1]גיליון1!$1:$1048576,18,0)</f>
        <v>150000</v>
      </c>
      <c r="L70" s="69">
        <f>VLOOKUP(A70,'תפוקה מצטברת מול אשתקד'!A:O,8,0)</f>
        <v>48519.14</v>
      </c>
      <c r="M70" s="72">
        <f>VLOOKUP(A70,'תפוקה מצטברת מול אשתקד'!A:O,9,0)</f>
        <v>5777.26</v>
      </c>
      <c r="N70" s="72">
        <f>VLOOKUP(A70,'תפוקה מצטברת מול אשתקד'!A:O,10,0)</f>
        <v>0</v>
      </c>
      <c r="O70" s="72">
        <f>VLOOKUP(A70,'תפוקה מצטברת מול אשתקד'!A:O,11,0)</f>
        <v>0</v>
      </c>
    </row>
    <row r="71" spans="1:15" ht="21.75" thickBot="1" x14ac:dyDescent="0.3">
      <c r="A71" s="17" t="s">
        <v>44</v>
      </c>
      <c r="B71" s="67"/>
      <c r="C71" s="116"/>
      <c r="D71" s="148">
        <f t="shared" si="13"/>
        <v>-0.80776606657634087</v>
      </c>
      <c r="E71" s="148">
        <f t="shared" si="13"/>
        <v>-0.7273767731997195</v>
      </c>
      <c r="F71" s="148">
        <f t="shared" si="14"/>
        <v>-0.84502243742574257</v>
      </c>
      <c r="G71" s="148">
        <f t="shared" si="15"/>
        <v>3.5280221461538455</v>
      </c>
      <c r="H71" s="73">
        <f>SUM(H63:H70)</f>
        <v>8500000</v>
      </c>
      <c r="I71" s="73">
        <f t="shared" ref="I71:O71" si="16">SUM(I63:I70)</f>
        <v>1300000</v>
      </c>
      <c r="J71" s="73">
        <f t="shared" si="16"/>
        <v>50500000</v>
      </c>
      <c r="K71" s="73">
        <f t="shared" si="16"/>
        <v>1300000</v>
      </c>
      <c r="L71" s="73">
        <f t="shared" si="16"/>
        <v>1633988.4341011026</v>
      </c>
      <c r="M71" s="73">
        <f t="shared" si="16"/>
        <v>354410.19484036462</v>
      </c>
      <c r="N71" s="73">
        <f t="shared" si="16"/>
        <v>7826366.9100000001</v>
      </c>
      <c r="O71" s="73">
        <f t="shared" si="16"/>
        <v>5886428.7899999991</v>
      </c>
    </row>
    <row r="72" spans="1:15" ht="21.75" thickBot="1" x14ac:dyDescent="0.3">
      <c r="A72" s="17" t="s">
        <v>45</v>
      </c>
      <c r="B72" s="67"/>
      <c r="C72" s="116"/>
      <c r="D72" s="148">
        <f t="shared" si="13"/>
        <v>-0.99418316731078082</v>
      </c>
      <c r="E72" s="148">
        <f t="shared" si="13"/>
        <v>-0.8975585357338951</v>
      </c>
      <c r="F72" s="148" t="e">
        <f t="shared" si="14"/>
        <v>#VALUE!</v>
      </c>
      <c r="G72" s="148">
        <f t="shared" si="15"/>
        <v>4.5786932100238653</v>
      </c>
      <c r="H72" s="150">
        <f>H71+H62+H54+H21+H8</f>
        <v>2800300000</v>
      </c>
      <c r="I72" s="150">
        <f t="shared" ref="I72:O72" si="17">I71+I62+I54+I21+I8</f>
        <v>8820000</v>
      </c>
      <c r="J72" s="150">
        <f>J71+J62+J54+J21+J8</f>
        <v>170650000</v>
      </c>
      <c r="K72" s="150">
        <f>K71+K62+K54+K21+K8</f>
        <v>8380000</v>
      </c>
      <c r="L72" s="150">
        <f t="shared" si="17"/>
        <v>16288876.579620577</v>
      </c>
      <c r="M72" s="150">
        <f t="shared" si="17"/>
        <v>903533.71482704475</v>
      </c>
      <c r="N72" s="150" t="e">
        <f t="shared" si="17"/>
        <v>#VALUE!</v>
      </c>
      <c r="O72" s="150">
        <f t="shared" si="17"/>
        <v>46749449.099999994</v>
      </c>
    </row>
    <row r="73" spans="1:15" x14ac:dyDescent="0.25">
      <c r="H73" s="101"/>
    </row>
    <row r="74" spans="1:15" x14ac:dyDescent="0.25">
      <c r="H74" s="101"/>
      <c r="I74" s="101"/>
    </row>
    <row r="75" spans="1:15" x14ac:dyDescent="0.25">
      <c r="N75" s="101"/>
    </row>
    <row r="76" spans="1:15" x14ac:dyDescent="0.25">
      <c r="K76"/>
      <c r="L76"/>
      <c r="M76"/>
      <c r="N76"/>
      <c r="O76"/>
    </row>
    <row r="77" spans="1:15" x14ac:dyDescent="0.25">
      <c r="K77"/>
      <c r="L77" s="6"/>
      <c r="M77" s="6"/>
      <c r="N77" s="6"/>
      <c r="O77" s="6"/>
    </row>
    <row r="78" spans="1:15" x14ac:dyDescent="0.25">
      <c r="K78"/>
      <c r="L78"/>
      <c r="M78"/>
      <c r="N78"/>
      <c r="O78"/>
    </row>
    <row r="79" spans="1:15" x14ac:dyDescent="0.25">
      <c r="K79"/>
      <c r="L79"/>
      <c r="M79"/>
      <c r="N79"/>
      <c r="O79"/>
    </row>
    <row r="80" spans="1:15" x14ac:dyDescent="0.25">
      <c r="K80"/>
      <c r="L80"/>
      <c r="M80"/>
      <c r="N80"/>
      <c r="O80"/>
    </row>
    <row r="81" spans="11:15" x14ac:dyDescent="0.25">
      <c r="K81"/>
      <c r="L81"/>
      <c r="M81"/>
      <c r="N81"/>
      <c r="O81"/>
    </row>
    <row r="84" spans="11:15" x14ac:dyDescent="0.25">
      <c r="L84" s="101"/>
      <c r="M84" s="101"/>
      <c r="N84" s="101"/>
      <c r="O84" s="101"/>
    </row>
  </sheetData>
  <autoFilter ref="A2:P72" xr:uid="{C3908895-D3E4-49E3-AA83-C6D39DC12A72}"/>
  <mergeCells count="3">
    <mergeCell ref="L1:O1"/>
    <mergeCell ref="D1:G1"/>
    <mergeCell ref="H1:K1"/>
  </mergeCells>
  <conditionalFormatting sqref="A14">
    <cfRule type="duplicateValues" dxfId="269" priority="3"/>
    <cfRule type="duplicateValues" dxfId="268" priority="4"/>
  </conditionalFormatting>
  <conditionalFormatting sqref="A56">
    <cfRule type="duplicateValues" dxfId="267" priority="7"/>
    <cfRule type="duplicateValues" dxfId="266" priority="8"/>
  </conditionalFormatting>
  <conditionalFormatting sqref="A58">
    <cfRule type="duplicateValues" dxfId="265" priority="1"/>
    <cfRule type="duplicateValues" dxfId="264" priority="2"/>
  </conditionalFormatting>
  <conditionalFormatting sqref="A59 A55 A57 A7 A22:A53 A61">
    <cfRule type="duplicateValues" dxfId="263" priority="232"/>
    <cfRule type="duplicateValues" dxfId="262" priority="233"/>
  </conditionalFormatting>
  <conditionalFormatting sqref="A63:A70">
    <cfRule type="duplicateValues" dxfId="261" priority="11"/>
    <cfRule type="duplicateValues" dxfId="260" priority="12"/>
  </conditionalFormatting>
  <conditionalFormatting sqref="A71:A72 A1:A6 A8:A13 A15:A21 A54 A62">
    <cfRule type="duplicateValues" dxfId="259" priority="9"/>
    <cfRule type="duplicateValues" dxfId="258" priority="10"/>
  </conditionalFormatting>
  <conditionalFormatting sqref="D1 D2:G1048576">
    <cfRule type="cellIs" dxfId="257" priority="30" operator="lessThan">
      <formula>-0.0001</formula>
    </cfRule>
  </conditionalFormatting>
  <conditionalFormatting sqref="D3:G1048576">
    <cfRule type="cellIs" dxfId="256" priority="36" operator="greaterThan">
      <formula>0.1</formula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00A0E-83EC-4DBB-BD3E-7E64456E7812}">
  <sheetPr>
    <tabColor theme="4" tint="0.39997558519241921"/>
  </sheetPr>
  <dimension ref="A1:O79"/>
  <sheetViews>
    <sheetView rightToLeft="1" topLeftCell="A22" workbookViewId="0">
      <selection activeCell="M8" sqref="M8"/>
    </sheetView>
  </sheetViews>
  <sheetFormatPr defaultRowHeight="15.75" x14ac:dyDescent="0.25"/>
  <cols>
    <col min="1" max="1" width="27.5703125" style="1" bestFit="1" customWidth="1"/>
    <col min="2" max="2" width="10.140625" style="1" bestFit="1" customWidth="1"/>
    <col min="3" max="3" width="10.42578125" style="1" bestFit="1" customWidth="1"/>
    <col min="4" max="4" width="10.7109375" style="3" bestFit="1" customWidth="1"/>
    <col min="5" max="5" width="11" style="3" bestFit="1" customWidth="1"/>
    <col min="6" max="6" width="11.7109375" style="3" bestFit="1" customWidth="1"/>
    <col min="7" max="8" width="13.5703125" style="3" bestFit="1" customWidth="1"/>
    <col min="9" max="9" width="12" style="3" bestFit="1" customWidth="1"/>
    <col min="10" max="11" width="15" style="3" bestFit="1" customWidth="1"/>
    <col min="12" max="13" width="13.5703125" style="3" bestFit="1" customWidth="1"/>
    <col min="14" max="15" width="15" style="3" bestFit="1" customWidth="1"/>
    <col min="16" max="16" width="19" bestFit="1" customWidth="1"/>
    <col min="18" max="19" width="9.85546875" bestFit="1" customWidth="1"/>
    <col min="20" max="20" width="12.42578125" bestFit="1" customWidth="1"/>
    <col min="21" max="21" width="10.85546875" bestFit="1" customWidth="1"/>
    <col min="22" max="22" width="9.85546875" bestFit="1" customWidth="1"/>
    <col min="23" max="23" width="12.42578125" bestFit="1" customWidth="1"/>
  </cols>
  <sheetData>
    <row r="1" spans="1:15" ht="21" x14ac:dyDescent="0.25">
      <c r="A1" s="27"/>
      <c r="B1" s="27"/>
      <c r="C1" s="27"/>
      <c r="D1" s="269" t="s">
        <v>62</v>
      </c>
      <c r="E1" s="270"/>
      <c r="F1" s="270"/>
      <c r="G1" s="271"/>
      <c r="H1" s="275" t="s">
        <v>134</v>
      </c>
      <c r="I1" s="276"/>
      <c r="J1" s="276"/>
      <c r="K1" s="277"/>
      <c r="L1" s="268" t="s">
        <v>129</v>
      </c>
      <c r="M1" s="268"/>
      <c r="N1" s="268"/>
      <c r="O1" s="268"/>
    </row>
    <row r="2" spans="1:15" ht="21" x14ac:dyDescent="0.25">
      <c r="A2" s="11" t="s">
        <v>0</v>
      </c>
      <c r="B2" s="24" t="s">
        <v>53</v>
      </c>
      <c r="C2" s="24" t="s">
        <v>117</v>
      </c>
      <c r="D2" s="25" t="s">
        <v>46</v>
      </c>
      <c r="E2" s="25" t="s">
        <v>50</v>
      </c>
      <c r="F2" s="25" t="s">
        <v>51</v>
      </c>
      <c r="G2" s="25" t="s">
        <v>49</v>
      </c>
      <c r="H2" s="70" t="s">
        <v>46</v>
      </c>
      <c r="I2" s="70" t="s">
        <v>47</v>
      </c>
      <c r="J2" s="70" t="s">
        <v>51</v>
      </c>
      <c r="K2" s="70" t="s">
        <v>49</v>
      </c>
      <c r="L2" s="26" t="s">
        <v>46</v>
      </c>
      <c r="M2" s="26" t="s">
        <v>47</v>
      </c>
      <c r="N2" s="26" t="s">
        <v>48</v>
      </c>
      <c r="O2" s="26" t="s">
        <v>49</v>
      </c>
    </row>
    <row r="3" spans="1:15" x14ac:dyDescent="0.25">
      <c r="A3" s="27" t="s">
        <v>1</v>
      </c>
      <c r="B3" s="27" t="s">
        <v>116</v>
      </c>
      <c r="C3" s="27" t="s">
        <v>58</v>
      </c>
      <c r="D3" s="20">
        <f>IF(L3=0,0%,IF(H3=0,100%,L3/H3-1))</f>
        <v>0.9846719750153099</v>
      </c>
      <c r="E3" s="20">
        <f>IF(M3=0,0%,IF(I3=0,100%,M3/I3-1))</f>
        <v>-0.33730608556810671</v>
      </c>
      <c r="F3" s="20">
        <f>IF(N3=0,0%,IF(J3=0,100%,N3/J3-1))</f>
        <v>-0.51873413737460627</v>
      </c>
      <c r="G3" s="20">
        <f>IF(O3=0,0%,IF(K3=0,100%,O3/K3-1))</f>
        <v>-0.11034638768115956</v>
      </c>
      <c r="H3" s="234">
        <v>2160000</v>
      </c>
      <c r="I3" s="235">
        <v>123500</v>
      </c>
      <c r="J3" s="235">
        <v>6900000.0000000009</v>
      </c>
      <c r="K3" s="236">
        <v>13800000.000000002</v>
      </c>
      <c r="L3" s="68">
        <f>'תפוקה מצטברת מול אשתקד'!H3</f>
        <v>4286891.4660330694</v>
      </c>
      <c r="M3" s="68">
        <f>'תפוקה מצטברת מול אשתקד'!I3</f>
        <v>81842.698432338817</v>
      </c>
      <c r="N3" s="68">
        <f>'תפוקה מצטברת מול אשתקד'!J3</f>
        <v>3320734.4521152172</v>
      </c>
      <c r="O3" s="68">
        <f>'תפוקה מצטברת מול אשתקד'!K3</f>
        <v>12277219.85</v>
      </c>
    </row>
    <row r="4" spans="1:15" x14ac:dyDescent="0.25">
      <c r="A4" s="27" t="s">
        <v>2</v>
      </c>
      <c r="B4" s="27" t="s">
        <v>116</v>
      </c>
      <c r="C4" s="27" t="s">
        <v>58</v>
      </c>
      <c r="D4" s="20">
        <f t="shared" ref="D4:D65" si="0">IF(L4=0,0%,IF(H4=0,100%,L4/H4-1))</f>
        <v>-0.67443266666666668</v>
      </c>
      <c r="E4" s="20">
        <f t="shared" ref="E4:E65" si="1">IF(M4=0,0%,IF(I4=0,100%,M4/I4-1))</f>
        <v>1</v>
      </c>
      <c r="F4" s="20" t="e">
        <f t="shared" ref="F4:F65" si="2">IF(N4=0,0%,IF(J4=0,100%,N4/J4-1))</f>
        <v>#VALUE!</v>
      </c>
      <c r="G4" s="20">
        <f t="shared" ref="G4:G65" si="3">IF(O4=0,0%,IF(K4=0,100%,O4/K4-1))</f>
        <v>-0.83880335144927543</v>
      </c>
      <c r="H4" s="234">
        <v>180000</v>
      </c>
      <c r="I4" s="235">
        <v>0</v>
      </c>
      <c r="J4" s="235">
        <v>3450000.0000000005</v>
      </c>
      <c r="K4" s="236">
        <v>2760000</v>
      </c>
      <c r="L4" s="68">
        <f>'תפוקה מצטברת מול אשתקד'!H4</f>
        <v>58602.12</v>
      </c>
      <c r="M4" s="68">
        <f>'תפוקה מצטברת מול אשתקד'!I4</f>
        <v>6.26</v>
      </c>
      <c r="N4" s="68" t="e">
        <f>'תפוקה מצטברת מול אשתקד'!J4</f>
        <v>#VALUE!</v>
      </c>
      <c r="O4" s="68">
        <f>'תפוקה מצטברת מול אשתקד'!K4</f>
        <v>444902.75</v>
      </c>
    </row>
    <row r="5" spans="1:15" x14ac:dyDescent="0.25">
      <c r="A5" s="27" t="s">
        <v>112</v>
      </c>
      <c r="B5" s="27" t="s">
        <v>116</v>
      </c>
      <c r="C5" s="27" t="s">
        <v>58</v>
      </c>
      <c r="D5" s="20">
        <f t="shared" si="0"/>
        <v>0</v>
      </c>
      <c r="E5" s="20">
        <f t="shared" si="1"/>
        <v>-0.62233228070175439</v>
      </c>
      <c r="F5" s="20">
        <f t="shared" si="2"/>
        <v>0</v>
      </c>
      <c r="G5" s="20">
        <f t="shared" si="3"/>
        <v>0</v>
      </c>
      <c r="H5" s="234">
        <v>0</v>
      </c>
      <c r="I5" s="235">
        <v>28500</v>
      </c>
      <c r="J5" s="235">
        <v>0</v>
      </c>
      <c r="K5" s="236">
        <v>0</v>
      </c>
      <c r="L5" s="68">
        <f>'תפוקה מצטברת מול אשתקד'!H5</f>
        <v>0</v>
      </c>
      <c r="M5" s="68">
        <f>'תפוקה מצטברת מול אשתקד'!I5</f>
        <v>10763.53</v>
      </c>
      <c r="N5" s="68">
        <f>'תפוקה מצטברת מול אשתקד'!J5</f>
        <v>0</v>
      </c>
      <c r="O5" s="68">
        <f>'תפוקה מצטברת מול אשתקד'!K5</f>
        <v>0</v>
      </c>
    </row>
    <row r="6" spans="1:15" x14ac:dyDescent="0.25">
      <c r="A6" s="27" t="s">
        <v>113</v>
      </c>
      <c r="B6" s="27" t="s">
        <v>116</v>
      </c>
      <c r="C6" s="27" t="s">
        <v>58</v>
      </c>
      <c r="D6" s="20">
        <f t="shared" si="0"/>
        <v>1.9689961666666669</v>
      </c>
      <c r="E6" s="20">
        <f t="shared" si="1"/>
        <v>-0.63629599999999997</v>
      </c>
      <c r="F6" s="20">
        <f t="shared" si="2"/>
        <v>-0.12750028985507245</v>
      </c>
      <c r="G6" s="20">
        <f t="shared" si="3"/>
        <v>-0.70153920289855076</v>
      </c>
      <c r="H6" s="234">
        <v>60000</v>
      </c>
      <c r="I6" s="235">
        <v>23750</v>
      </c>
      <c r="J6" s="235">
        <v>276000</v>
      </c>
      <c r="K6" s="236">
        <v>138000</v>
      </c>
      <c r="L6" s="68">
        <f>'תפוקה מצטברת מול אשתקד'!H6</f>
        <v>178139.77000000002</v>
      </c>
      <c r="M6" s="68">
        <f>'תפוקה מצטברת מול אשתקד'!I6</f>
        <v>8637.9699999999993</v>
      </c>
      <c r="N6" s="68">
        <f>'תפוקה מצטברת מול אשתקד'!J6</f>
        <v>240809.92</v>
      </c>
      <c r="O6" s="68">
        <f>'תפוקה מצטברת מול אשתקד'!K6</f>
        <v>41187.589999999997</v>
      </c>
    </row>
    <row r="7" spans="1:15" x14ac:dyDescent="0.25">
      <c r="A7" s="27" t="s">
        <v>34</v>
      </c>
      <c r="B7" s="27" t="s">
        <v>116</v>
      </c>
      <c r="C7" s="28" t="s">
        <v>58</v>
      </c>
      <c r="D7" s="20">
        <f>IF(L7=0,0%,IF(H7=0,100%,L7/H7-1))</f>
        <v>0</v>
      </c>
      <c r="E7" s="20">
        <f>IF(M7=0,0%,IF(I7=0,100%,M7/I7-1))</f>
        <v>1</v>
      </c>
      <c r="F7" s="20">
        <f>IF(N7=0,0%,IF(J7=0,100%,N7/J7-1))</f>
        <v>0</v>
      </c>
      <c r="G7" s="20">
        <f>IF(O7=0,0%,IF(K7=0,100%,O7/K7-1))</f>
        <v>0</v>
      </c>
      <c r="H7" s="234">
        <v>0</v>
      </c>
      <c r="I7" s="235">
        <v>0</v>
      </c>
      <c r="J7" s="235">
        <v>138000</v>
      </c>
      <c r="K7" s="236">
        <v>69000</v>
      </c>
      <c r="L7" s="68">
        <f>'תפוקה מצטברת מול אשתקד'!H7</f>
        <v>0</v>
      </c>
      <c r="M7" s="68">
        <f>'תפוקה מצטברת מול אשתקד'!I7</f>
        <v>394.07</v>
      </c>
      <c r="N7" s="68">
        <f>'תפוקה מצטברת מול אשתקד'!J7</f>
        <v>0</v>
      </c>
      <c r="O7" s="68">
        <f>'תפוקה מצטברת מול אשתקד'!K7</f>
        <v>0</v>
      </c>
    </row>
    <row r="8" spans="1:15" ht="21" x14ac:dyDescent="0.25">
      <c r="A8" s="121" t="s">
        <v>3</v>
      </c>
      <c r="B8" s="122"/>
      <c r="C8" s="116"/>
      <c r="D8" s="20">
        <f t="shared" si="0"/>
        <v>0.88484723168044588</v>
      </c>
      <c r="E8" s="20">
        <f t="shared" si="1"/>
        <v>-0.42389497335795845</v>
      </c>
      <c r="F8" s="20" t="e">
        <f t="shared" si="2"/>
        <v>#VALUE!</v>
      </c>
      <c r="G8" s="20">
        <f t="shared" si="3"/>
        <v>-0.23878390946502071</v>
      </c>
      <c r="H8" s="151">
        <f>SUM(H3:H7)</f>
        <v>2400000</v>
      </c>
      <c r="I8" s="151">
        <f t="shared" ref="I8:K8" si="4">SUM(I3:I7)</f>
        <v>175750</v>
      </c>
      <c r="J8" s="151">
        <f t="shared" si="4"/>
        <v>10764000.000000002</v>
      </c>
      <c r="K8" s="151">
        <f t="shared" si="4"/>
        <v>16767000.000000002</v>
      </c>
      <c r="L8" s="151">
        <f t="shared" ref="L8:O8" si="5">SUM(L3:L6)</f>
        <v>4523633.35603307</v>
      </c>
      <c r="M8" s="151">
        <f t="shared" si="5"/>
        <v>101250.45843233881</v>
      </c>
      <c r="N8" s="151" t="e">
        <f t="shared" si="5"/>
        <v>#VALUE!</v>
      </c>
      <c r="O8" s="151">
        <f t="shared" si="5"/>
        <v>12763310.189999999</v>
      </c>
    </row>
    <row r="9" spans="1:15" x14ac:dyDescent="0.25">
      <c r="A9" s="27" t="s">
        <v>4</v>
      </c>
      <c r="B9" s="27" t="s">
        <v>116</v>
      </c>
      <c r="C9" s="27" t="s">
        <v>114</v>
      </c>
      <c r="D9" s="20">
        <f t="shared" si="0"/>
        <v>1</v>
      </c>
      <c r="E9" s="20">
        <f t="shared" si="1"/>
        <v>1</v>
      </c>
      <c r="F9" s="20">
        <f t="shared" si="2"/>
        <v>0</v>
      </c>
      <c r="G9" s="20">
        <f t="shared" si="3"/>
        <v>0</v>
      </c>
      <c r="H9" s="12">
        <f>VLOOKUP(A9,[1]גיליון1!$A:$P,13,0)</f>
        <v>0</v>
      </c>
      <c r="I9" s="12">
        <f>VLOOKUP(A9,[1]גיליון1!$A:$P,14,0)</f>
        <v>0</v>
      </c>
      <c r="J9" s="12">
        <f>VLOOKUP(A9,[1]גיליון1!$A:$P,15,0)</f>
        <v>0</v>
      </c>
      <c r="K9" s="12">
        <f>VLOOKUP(A9,[1]גיליון1!$A:$P,16,0)</f>
        <v>0</v>
      </c>
      <c r="L9" s="68">
        <f>'תפוקה מצטברת מול אשתקד'!H9</f>
        <v>20048.622039450507</v>
      </c>
      <c r="M9" s="68">
        <f>'תפוקה מצטברת מול אשתקד'!I9</f>
        <v>27</v>
      </c>
      <c r="N9" s="68">
        <f>'תפוקה מצטברת מול אשתקד'!J9</f>
        <v>0</v>
      </c>
      <c r="O9" s="68">
        <f>'תפוקה מצטברת מול אשתקד'!K9</f>
        <v>0</v>
      </c>
    </row>
    <row r="10" spans="1:15" x14ac:dyDescent="0.25">
      <c r="A10" s="27" t="s">
        <v>5</v>
      </c>
      <c r="B10" s="27" t="s">
        <v>116</v>
      </c>
      <c r="C10" s="27" t="s">
        <v>114</v>
      </c>
      <c r="D10" s="20">
        <f t="shared" si="0"/>
        <v>-1.005423211412223</v>
      </c>
      <c r="E10" s="20">
        <f t="shared" si="1"/>
        <v>-0.36490547568178233</v>
      </c>
      <c r="F10" s="20">
        <f t="shared" si="2"/>
        <v>0</v>
      </c>
      <c r="G10" s="20">
        <f t="shared" si="3"/>
        <v>0</v>
      </c>
      <c r="H10" s="12">
        <f>VLOOKUP(A10,[1]גיליון1!$A:$P,13,0)</f>
        <v>300000</v>
      </c>
      <c r="I10" s="12">
        <f>VLOOKUP(A10,[1]גיליון1!$A:$P,14,0)</f>
        <v>95000</v>
      </c>
      <c r="J10" s="12">
        <f>VLOOKUP(A10,[1]גיליון1!$A:$P,15,0)</f>
        <v>138000</v>
      </c>
      <c r="K10" s="12">
        <f>VLOOKUP(A10,[1]גיליון1!$A:$P,16,0)</f>
        <v>345000</v>
      </c>
      <c r="L10" s="68">
        <f>'תפוקה מצטברת מול אשתקד'!H10</f>
        <v>-1626.9634236668799</v>
      </c>
      <c r="M10" s="68">
        <f>'תפוקה מצטברת מול אשתקד'!I10</f>
        <v>60333.979810230681</v>
      </c>
      <c r="N10" s="68">
        <f>'תפוקה מצטברת מול אשתקד'!J10</f>
        <v>0</v>
      </c>
      <c r="O10" s="68">
        <f>'תפוקה מצטברת מול אשתקד'!K10</f>
        <v>0</v>
      </c>
    </row>
    <row r="11" spans="1:15" x14ac:dyDescent="0.25">
      <c r="A11" s="27" t="s">
        <v>6</v>
      </c>
      <c r="B11" s="27" t="s">
        <v>116</v>
      </c>
      <c r="C11" s="27" t="s">
        <v>114</v>
      </c>
      <c r="D11" s="20">
        <f t="shared" si="0"/>
        <v>0.34394921275486823</v>
      </c>
      <c r="E11" s="20">
        <f t="shared" si="1"/>
        <v>-0.87963258269529443</v>
      </c>
      <c r="F11" s="20">
        <f t="shared" si="2"/>
        <v>1</v>
      </c>
      <c r="G11" s="20">
        <f t="shared" si="3"/>
        <v>1</v>
      </c>
      <c r="H11" s="12">
        <f>VLOOKUP(A11,[1]גיליון1!$A:$P,13,0)</f>
        <v>60000</v>
      </c>
      <c r="I11" s="12">
        <f>VLOOKUP(A11,[1]גיליון1!$A:$P,14,0)</f>
        <v>19000</v>
      </c>
      <c r="J11" s="12">
        <f>VLOOKUP(A11,[1]גיליון1!$A:$P,15,0)</f>
        <v>0</v>
      </c>
      <c r="K11" s="12">
        <f>VLOOKUP(A11,[1]גיליון1!$A:$P,16,0)</f>
        <v>0</v>
      </c>
      <c r="L11" s="68">
        <f>'תפוקה מצטברת מול אשתקד'!H11</f>
        <v>80636.952765292095</v>
      </c>
      <c r="M11" s="68">
        <f>'תפוקה מצטברת מול אשתקד'!I11</f>
        <v>2286.980928789405</v>
      </c>
      <c r="N11" s="68">
        <f>'תפוקה מצטברת מול אשתקד'!J11</f>
        <v>275386.1628659346</v>
      </c>
      <c r="O11" s="68">
        <f>'תפוקה מצטברת מול אשתקד'!K11</f>
        <v>413586.85</v>
      </c>
    </row>
    <row r="12" spans="1:15" x14ac:dyDescent="0.25">
      <c r="A12" s="27" t="s">
        <v>7</v>
      </c>
      <c r="B12" s="27" t="s">
        <v>116</v>
      </c>
      <c r="C12" s="27" t="s">
        <v>114</v>
      </c>
      <c r="D12" s="20">
        <f t="shared" si="0"/>
        <v>0</v>
      </c>
      <c r="E12" s="20">
        <f t="shared" si="1"/>
        <v>1</v>
      </c>
      <c r="F12" s="20">
        <f t="shared" si="2"/>
        <v>0</v>
      </c>
      <c r="G12" s="20">
        <f t="shared" si="3"/>
        <v>0</v>
      </c>
      <c r="H12" s="12">
        <f>VLOOKUP(A12,[1]גיליון1!$A:$P,13,0)</f>
        <v>0</v>
      </c>
      <c r="I12" s="12">
        <f>VLOOKUP(A12,[1]גיליון1!$A:$P,14,0)</f>
        <v>0</v>
      </c>
      <c r="J12" s="12">
        <f>VLOOKUP(A12,[1]גיליון1!$A:$P,15,0)</f>
        <v>0</v>
      </c>
      <c r="K12" s="12">
        <f>VLOOKUP(A12,[1]גיליון1!$A:$P,16,0)</f>
        <v>0</v>
      </c>
      <c r="L12" s="68">
        <f>'תפוקה מצטברת מול אשתקד'!H12</f>
        <v>0</v>
      </c>
      <c r="M12" s="68">
        <f>'תפוקה מצטברת מול אשתקד'!I12</f>
        <v>60.12</v>
      </c>
      <c r="N12" s="68">
        <f>'תפוקה מצטברת מול אשתקד'!J12</f>
        <v>0</v>
      </c>
      <c r="O12" s="68">
        <f>'תפוקה מצטברת מול אשתקד'!K12</f>
        <v>0</v>
      </c>
    </row>
    <row r="13" spans="1:15" x14ac:dyDescent="0.25">
      <c r="A13" s="27" t="s">
        <v>8</v>
      </c>
      <c r="B13" s="27" t="s">
        <v>116</v>
      </c>
      <c r="C13" s="27" t="s">
        <v>114</v>
      </c>
      <c r="D13" s="20">
        <f t="shared" si="0"/>
        <v>0</v>
      </c>
      <c r="E13" s="20">
        <f t="shared" si="1"/>
        <v>-0.82042378529351312</v>
      </c>
      <c r="F13" s="20">
        <f t="shared" si="2"/>
        <v>0</v>
      </c>
      <c r="G13" s="20">
        <f t="shared" si="3"/>
        <v>0</v>
      </c>
      <c r="H13" s="12">
        <f>VLOOKUP(A13,[1]גיליון1!$A:$P,13,0)</f>
        <v>0</v>
      </c>
      <c r="I13" s="12">
        <f>VLOOKUP(A13,[1]גיליון1!$A:$P,14,0)</f>
        <v>57000</v>
      </c>
      <c r="J13" s="12">
        <f>VLOOKUP(A13,[1]גיליון1!$A:$P,15,0)</f>
        <v>0</v>
      </c>
      <c r="K13" s="12">
        <f>VLOOKUP(A13,[1]גיליון1!$A:$P,16,0)</f>
        <v>0</v>
      </c>
      <c r="L13" s="68">
        <f>'תפוקה מצטברת מול אשתקד'!H13</f>
        <v>0</v>
      </c>
      <c r="M13" s="68">
        <f>'תפוקה מצטברת מול אשתקד'!I13</f>
        <v>10235.844238269754</v>
      </c>
      <c r="N13" s="68">
        <f>'תפוקה מצטברת מול אשתקד'!J13</f>
        <v>0</v>
      </c>
      <c r="O13" s="68">
        <f>'תפוקה מצטברת מול אשתקד'!K13</f>
        <v>0</v>
      </c>
    </row>
    <row r="14" spans="1:15" x14ac:dyDescent="0.25">
      <c r="A14" s="27" t="s">
        <v>9</v>
      </c>
      <c r="B14" s="27" t="s">
        <v>116</v>
      </c>
      <c r="C14" s="27" t="s">
        <v>114</v>
      </c>
      <c r="D14" s="20">
        <f t="shared" si="0"/>
        <v>0.69664572697741778</v>
      </c>
      <c r="E14" s="20">
        <f t="shared" si="1"/>
        <v>-0.98277263157894734</v>
      </c>
      <c r="F14" s="20">
        <f t="shared" si="2"/>
        <v>0</v>
      </c>
      <c r="G14" s="20">
        <f t="shared" si="3"/>
        <v>-0.82020848429951698</v>
      </c>
      <c r="H14" s="12">
        <f>VLOOKUP(A14,[1]גיליון1!$A:$P,13,0)</f>
        <v>36000</v>
      </c>
      <c r="I14" s="12">
        <f>VLOOKUP(A14,[1]גיליון1!$A:$P,14,0)</f>
        <v>14250</v>
      </c>
      <c r="J14" s="12">
        <f>VLOOKUP(A14,[1]גיליון1!$A:$P,15,0)</f>
        <v>552000</v>
      </c>
      <c r="K14" s="12">
        <f>VLOOKUP(A14,[1]גיליון1!$A:$P,16,0)</f>
        <v>1656000.0000000002</v>
      </c>
      <c r="L14" s="68">
        <f>'תפוקה מצטברת מול אשתקד'!H14</f>
        <v>61079.246171187042</v>
      </c>
      <c r="M14" s="68">
        <f>'תפוקה מצטברת מול אשתקד'!I14</f>
        <v>245.49</v>
      </c>
      <c r="N14" s="68">
        <f>'תפוקה מצטברת מול אשתקד'!J14</f>
        <v>0</v>
      </c>
      <c r="O14" s="68">
        <f>'תפוקה מצטברת מול אשתקד'!K14</f>
        <v>297734.75</v>
      </c>
    </row>
    <row r="15" spans="1:15" x14ac:dyDescent="0.25">
      <c r="A15" s="27" t="s">
        <v>31</v>
      </c>
      <c r="B15" s="27" t="s">
        <v>116</v>
      </c>
      <c r="C15" s="27" t="s">
        <v>114</v>
      </c>
      <c r="D15" s="20">
        <f t="shared" si="0"/>
        <v>0</v>
      </c>
      <c r="E15" s="20">
        <f t="shared" si="1"/>
        <v>0</v>
      </c>
      <c r="F15" s="20">
        <f t="shared" si="2"/>
        <v>1</v>
      </c>
      <c r="G15" s="20">
        <f t="shared" si="3"/>
        <v>0</v>
      </c>
      <c r="H15" s="12">
        <f>VLOOKUP(A15,[1]גיליון1!$A:$P,13,0)</f>
        <v>0</v>
      </c>
      <c r="I15" s="12">
        <f>VLOOKUP(A15,[1]גיליון1!$A:$P,14,0)</f>
        <v>0</v>
      </c>
      <c r="J15" s="12">
        <f>VLOOKUP(A15,[1]גיליון1!$A:$P,15,0)</f>
        <v>0</v>
      </c>
      <c r="K15" s="12">
        <f>VLOOKUP(A15,[1]גיליון1!$A:$P,16,0)</f>
        <v>0</v>
      </c>
      <c r="L15" s="68">
        <f>'תפוקה מצטברת מול אשתקד'!H15</f>
        <v>0</v>
      </c>
      <c r="M15" s="68">
        <f>'תפוקה מצטברת מול אשתקד'!I15</f>
        <v>0</v>
      </c>
      <c r="N15" s="68">
        <f>'תפוקה מצטברת מול אשתקד'!J15</f>
        <v>234152.14</v>
      </c>
      <c r="O15" s="68">
        <f>'תפוקה מצטברת מול אשתקד'!K15</f>
        <v>0</v>
      </c>
    </row>
    <row r="16" spans="1:15" x14ac:dyDescent="0.25">
      <c r="A16" s="27" t="s">
        <v>104</v>
      </c>
      <c r="B16" s="27" t="s">
        <v>116</v>
      </c>
      <c r="C16" s="27" t="s">
        <v>114</v>
      </c>
      <c r="D16" s="20">
        <f t="shared" si="0"/>
        <v>1</v>
      </c>
      <c r="E16" s="20">
        <f t="shared" si="1"/>
        <v>1</v>
      </c>
      <c r="F16" s="20">
        <f t="shared" si="2"/>
        <v>1</v>
      </c>
      <c r="G16" s="20">
        <f t="shared" si="3"/>
        <v>0</v>
      </c>
      <c r="H16" s="12">
        <f>VLOOKUP(A16,[1]גיליון1!$A:$P,13,0)</f>
        <v>0</v>
      </c>
      <c r="I16" s="12">
        <f>VLOOKUP(A16,[1]גיליון1!$A:$P,14,0)</f>
        <v>0</v>
      </c>
      <c r="J16" s="12">
        <f>VLOOKUP(A16,[1]גיליון1!$A:$P,15,0)</f>
        <v>0</v>
      </c>
      <c r="K16" s="12">
        <f>VLOOKUP(A16,[1]גיליון1!$A:$P,16,0)</f>
        <v>0</v>
      </c>
      <c r="L16" s="68">
        <f>'תפוקה מצטברת מול אשתקד'!H16</f>
        <v>23351.458979999999</v>
      </c>
      <c r="M16" s="68">
        <f>'תפוקה מצטברת מול אשתקד'!I16</f>
        <v>7267.32</v>
      </c>
      <c r="N16" s="68">
        <f>'תפוקה מצטברת מול אשתקד'!J16</f>
        <v>6017.28</v>
      </c>
      <c r="O16" s="68">
        <f>'תפוקה מצטברת מול אשתקד'!K16</f>
        <v>0</v>
      </c>
    </row>
    <row r="17" spans="1:15" x14ac:dyDescent="0.25">
      <c r="A17" s="27" t="s">
        <v>42</v>
      </c>
      <c r="B17" s="27" t="s">
        <v>116</v>
      </c>
      <c r="C17" s="27" t="s">
        <v>114</v>
      </c>
      <c r="D17" s="20">
        <f t="shared" si="0"/>
        <v>0.52869539446926606</v>
      </c>
      <c r="E17" s="20">
        <f t="shared" si="1"/>
        <v>-4.5458161035672018E-2</v>
      </c>
      <c r="F17" s="20">
        <f t="shared" si="2"/>
        <v>-0.58873394927536227</v>
      </c>
      <c r="G17" s="20">
        <f t="shared" si="3"/>
        <v>-0.59212949275362314</v>
      </c>
      <c r="H17" s="12">
        <f>VLOOKUP(A17,[1]גיליון1!$A:$P,13,0)</f>
        <v>180000</v>
      </c>
      <c r="I17" s="12">
        <f>VLOOKUP(A17,[1]גיליון1!$A:$P,14,0)</f>
        <v>57000</v>
      </c>
      <c r="J17" s="12">
        <f>VLOOKUP(A17,[1]גיליון1!$A:$P,15,0)</f>
        <v>1656000.0000000002</v>
      </c>
      <c r="K17" s="12">
        <f>VLOOKUP(A17,[1]גיליון1!$A:$P,16,0)</f>
        <v>828000.00000000012</v>
      </c>
      <c r="L17" s="68">
        <f>'תפוקה מצטברת מול אשתקד'!H17</f>
        <v>275165.17100446788</v>
      </c>
      <c r="M17" s="68">
        <f>'תפוקה מצטברת מול אשתקד'!I17</f>
        <v>54408.884820966698</v>
      </c>
      <c r="N17" s="68">
        <f>'תפוקה מצטברת מול אשתקד'!J17</f>
        <v>681056.58000000007</v>
      </c>
      <c r="O17" s="68">
        <f>'תפוקה מצטברת מול אשתקד'!K17</f>
        <v>337716.78</v>
      </c>
    </row>
    <row r="18" spans="1:15" x14ac:dyDescent="0.25">
      <c r="A18" s="27" t="s">
        <v>43</v>
      </c>
      <c r="B18" s="27" t="s">
        <v>116</v>
      </c>
      <c r="C18" s="27" t="s">
        <v>114</v>
      </c>
      <c r="D18" s="20">
        <f t="shared" si="0"/>
        <v>-0.5960757970345163</v>
      </c>
      <c r="E18" s="20">
        <f t="shared" si="1"/>
        <v>1.2059804574918132</v>
      </c>
      <c r="F18" s="20">
        <f t="shared" si="2"/>
        <v>-0.48158457071901728</v>
      </c>
      <c r="G18" s="20">
        <f t="shared" si="3"/>
        <v>0</v>
      </c>
      <c r="H18" s="12">
        <f>VLOOKUP(A18,[1]גיליון1!$A:$P,13,0)</f>
        <v>360000</v>
      </c>
      <c r="I18" s="12">
        <f>VLOOKUP(A18,[1]גיליון1!$A:$P,14,0)</f>
        <v>33250</v>
      </c>
      <c r="J18" s="12">
        <f>VLOOKUP(A18,[1]גיליון1!$A:$P,15,0)</f>
        <v>4830000</v>
      </c>
      <c r="K18" s="12">
        <f>VLOOKUP(A18,[1]גיליון1!$A:$P,16,0)</f>
        <v>1380000</v>
      </c>
      <c r="L18" s="68">
        <f>'תפוקה מצטברת מול אשתקד'!H18</f>
        <v>145412.71306757411</v>
      </c>
      <c r="M18" s="68">
        <f>'תפוקה מצטברת מול אשתקד'!I18</f>
        <v>73348.850211602781</v>
      </c>
      <c r="N18" s="68">
        <f>'תפוקה מצטברת מול אשתקד'!J18</f>
        <v>2503946.5234271465</v>
      </c>
      <c r="O18" s="68">
        <f>'תפוקה מצטברת מול אשתקד'!K18</f>
        <v>0</v>
      </c>
    </row>
    <row r="19" spans="1:15" x14ac:dyDescent="0.25">
      <c r="A19" s="27" t="s">
        <v>30</v>
      </c>
      <c r="B19" s="27" t="s">
        <v>116</v>
      </c>
      <c r="C19" s="27" t="s">
        <v>114</v>
      </c>
      <c r="D19" s="20">
        <f t="shared" si="0"/>
        <v>1</v>
      </c>
      <c r="E19" s="20">
        <f t="shared" si="1"/>
        <v>0</v>
      </c>
      <c r="F19" s="20">
        <f t="shared" si="2"/>
        <v>0</v>
      </c>
      <c r="G19" s="20">
        <f t="shared" si="3"/>
        <v>0</v>
      </c>
      <c r="H19" s="12">
        <f>VLOOKUP(A19,[1]גיליון1!$A:$P,13,0)</f>
        <v>0</v>
      </c>
      <c r="I19" s="12">
        <f>VLOOKUP(A19,[1]גיליון1!$A:$P,14,0)</f>
        <v>0</v>
      </c>
      <c r="J19" s="12">
        <f>VLOOKUP(A19,[1]גיליון1!$A:$P,15,0)</f>
        <v>0</v>
      </c>
      <c r="K19" s="12">
        <f>VLOOKUP(A19,[1]גיליון1!$A:$P,16,0)</f>
        <v>0</v>
      </c>
      <c r="L19" s="68">
        <f>'תפוקה מצטברת מול אשתקד'!H19</f>
        <v>463.53</v>
      </c>
      <c r="M19" s="68">
        <f>'תפוקה מצטברת מול אשתקד'!I19</f>
        <v>0</v>
      </c>
      <c r="N19" s="68">
        <f>'תפוקה מצטברת מול אשתקד'!J19</f>
        <v>0</v>
      </c>
      <c r="O19" s="68">
        <f>'תפוקה מצטברת מול אשתקד'!K19</f>
        <v>0</v>
      </c>
    </row>
    <row r="20" spans="1:15" x14ac:dyDescent="0.25">
      <c r="A20" s="27" t="s">
        <v>38</v>
      </c>
      <c r="B20" s="27" t="s">
        <v>116</v>
      </c>
      <c r="C20" s="27" t="s">
        <v>114</v>
      </c>
      <c r="D20" s="20">
        <f t="shared" si="0"/>
        <v>0</v>
      </c>
      <c r="E20" s="20">
        <f t="shared" si="1"/>
        <v>0</v>
      </c>
      <c r="F20" s="20">
        <f t="shared" si="2"/>
        <v>0</v>
      </c>
      <c r="G20" s="20">
        <f t="shared" si="3"/>
        <v>0</v>
      </c>
      <c r="H20" s="12">
        <f>VLOOKUP(A20,[1]גיליון1!$A:$P,13,0)</f>
        <v>0</v>
      </c>
      <c r="I20" s="12">
        <f>VLOOKUP(A20,[1]גיליון1!$A:$P,14,0)</f>
        <v>0</v>
      </c>
      <c r="J20" s="12">
        <f>VLOOKUP(A20,[1]גיליון1!$A:$P,15,0)</f>
        <v>0</v>
      </c>
      <c r="K20" s="12">
        <f>VLOOKUP(A20,[1]גיליון1!$A:$P,16,0)</f>
        <v>0</v>
      </c>
      <c r="L20" s="68">
        <f>'תפוקה מצטברת מול אשתקד'!H20</f>
        <v>0</v>
      </c>
      <c r="M20" s="68">
        <f>'תפוקה מצטברת מול אשתקד'!I20</f>
        <v>0</v>
      </c>
      <c r="N20" s="68">
        <f>'תפוקה מצטברת מול אשתקד'!J20</f>
        <v>0</v>
      </c>
      <c r="O20" s="68">
        <f>'תפוקה מצטברת מול אשתקד'!K20</f>
        <v>0</v>
      </c>
    </row>
    <row r="21" spans="1:15" ht="21.75" thickBot="1" x14ac:dyDescent="0.3">
      <c r="A21" s="16" t="s">
        <v>10</v>
      </c>
      <c r="B21" s="119"/>
      <c r="C21" s="116"/>
      <c r="D21" s="20">
        <f t="shared" si="0"/>
        <v>-0.3541338348244607</v>
      </c>
      <c r="E21" s="20">
        <f t="shared" si="1"/>
        <v>-0.24423059887528387</v>
      </c>
      <c r="F21" s="20">
        <f t="shared" si="2"/>
        <v>-0.48431456434042897</v>
      </c>
      <c r="G21" s="20">
        <f t="shared" si="3"/>
        <v>-0.7507630363506772</v>
      </c>
      <c r="H21" s="149">
        <f>SUM(H9:H20)</f>
        <v>936000</v>
      </c>
      <c r="I21" s="149">
        <f t="shared" ref="I21:K21" si="6">SUM(I9:I20)</f>
        <v>275500</v>
      </c>
      <c r="J21" s="149">
        <f t="shared" si="6"/>
        <v>7176000</v>
      </c>
      <c r="K21" s="149">
        <f t="shared" si="6"/>
        <v>4209000</v>
      </c>
      <c r="L21" s="149">
        <f t="shared" ref="L21:O21" si="7">SUM(L9:L20)</f>
        <v>604530.73060430482</v>
      </c>
      <c r="M21" s="149">
        <f t="shared" si="7"/>
        <v>208214.4700098593</v>
      </c>
      <c r="N21" s="149">
        <f t="shared" si="7"/>
        <v>3700558.6862930814</v>
      </c>
      <c r="O21" s="149">
        <f t="shared" si="7"/>
        <v>1049038.3799999999</v>
      </c>
    </row>
    <row r="22" spans="1:15" x14ac:dyDescent="0.25">
      <c r="A22" s="28" t="s">
        <v>11</v>
      </c>
      <c r="B22" s="28" t="s">
        <v>56</v>
      </c>
      <c r="C22" s="28" t="s">
        <v>115</v>
      </c>
      <c r="D22" s="20">
        <f t="shared" si="0"/>
        <v>-0.46914932213541671</v>
      </c>
      <c r="E22" s="20">
        <f t="shared" si="1"/>
        <v>-0.67929659442724466</v>
      </c>
      <c r="F22" s="20">
        <f t="shared" si="2"/>
        <v>-0.8549420289855072</v>
      </c>
      <c r="G22" s="20">
        <f t="shared" si="3"/>
        <v>0</v>
      </c>
      <c r="H22" s="12">
        <f>VLOOKUP(A22,[1]גיליון1!$A:$P,13,0)</f>
        <v>192000</v>
      </c>
      <c r="I22" s="12">
        <f>VLOOKUP(A22,[1]גיליון1!$A:$P,14,0)</f>
        <v>16150</v>
      </c>
      <c r="J22" s="12">
        <f>VLOOKUP(A22,[1]גיליון1!$A:$P,15,0)</f>
        <v>345000</v>
      </c>
      <c r="K22" s="12">
        <f>VLOOKUP(A22,[1]גיליון1!$A:$P,16,0)</f>
        <v>690000</v>
      </c>
      <c r="L22" s="68">
        <f>'תפוקה מצטברת מול אשתקד'!H22</f>
        <v>101923.33014999999</v>
      </c>
      <c r="M22" s="68">
        <f>'תפוקה מצטברת מול אשתקד'!I22</f>
        <v>5179.3599999999997</v>
      </c>
      <c r="N22" s="68">
        <f>'תפוקה מצטברת מול אשתקד'!J22</f>
        <v>50045</v>
      </c>
      <c r="O22" s="68">
        <f>'תפוקה מצטברת מול אשתקד'!K22</f>
        <v>0</v>
      </c>
    </row>
    <row r="23" spans="1:15" x14ac:dyDescent="0.25">
      <c r="A23" s="31" t="s">
        <v>12</v>
      </c>
      <c r="B23" s="27" t="s">
        <v>56</v>
      </c>
      <c r="C23" s="28" t="s">
        <v>115</v>
      </c>
      <c r="D23" s="20">
        <f t="shared" si="0"/>
        <v>0</v>
      </c>
      <c r="E23" s="20">
        <f t="shared" si="1"/>
        <v>1</v>
      </c>
      <c r="F23" s="20">
        <f t="shared" si="2"/>
        <v>0</v>
      </c>
      <c r="G23" s="20">
        <f t="shared" si="3"/>
        <v>0</v>
      </c>
      <c r="H23" s="12">
        <f>VLOOKUP(A23,[1]גיליון1!$A:$P,13,0)</f>
        <v>0</v>
      </c>
      <c r="I23" s="12">
        <f>VLOOKUP(A23,[1]גיליון1!$A:$P,14,0)</f>
        <v>0</v>
      </c>
      <c r="J23" s="12">
        <f>VLOOKUP(A23,[1]גיליון1!$A:$P,15,0)</f>
        <v>0</v>
      </c>
      <c r="K23" s="12">
        <f>VLOOKUP(A23,[1]גיליון1!$A:$P,16,0)</f>
        <v>0</v>
      </c>
      <c r="L23" s="68">
        <f>'תפוקה מצטברת מול אשתקד'!H23</f>
        <v>0</v>
      </c>
      <c r="M23" s="68">
        <f>'תפוקה מצטברת מול אשתקד'!I23</f>
        <v>3024.2761872980191</v>
      </c>
      <c r="N23" s="68">
        <f>'תפוקה מצטברת מול אשתקד'!J23</f>
        <v>0</v>
      </c>
      <c r="O23" s="68">
        <f>'תפוקה מצטברת מול אשתקד'!K23</f>
        <v>0</v>
      </c>
    </row>
    <row r="24" spans="1:15" x14ac:dyDescent="0.25">
      <c r="A24" s="31" t="s">
        <v>13</v>
      </c>
      <c r="B24" s="27" t="s">
        <v>56</v>
      </c>
      <c r="C24" s="28" t="s">
        <v>115</v>
      </c>
      <c r="D24" s="20">
        <f t="shared" si="0"/>
        <v>-1.4845888210135991</v>
      </c>
      <c r="E24" s="20">
        <f t="shared" si="1"/>
        <v>-0.36736842105263157</v>
      </c>
      <c r="F24" s="20">
        <f t="shared" si="2"/>
        <v>0</v>
      </c>
      <c r="G24" s="20">
        <f t="shared" si="3"/>
        <v>0</v>
      </c>
      <c r="H24" s="12">
        <f>VLOOKUP(A24,[1]גיליון1!$A:$P,13,0)</f>
        <v>12000</v>
      </c>
      <c r="I24" s="12">
        <f>VLOOKUP(A24,[1]גיליון1!$A:$P,14,0)</f>
        <v>4750</v>
      </c>
      <c r="J24" s="12">
        <f>VLOOKUP(A24,[1]גיליון1!$A:$P,15,0)</f>
        <v>41400</v>
      </c>
      <c r="K24" s="12">
        <f>VLOOKUP(A24,[1]גיליון1!$A:$P,16,0)</f>
        <v>13800.000000000002</v>
      </c>
      <c r="L24" s="68">
        <f>'תפוקה מצטברת מול אשתקד'!H24</f>
        <v>-5815.0658521631894</v>
      </c>
      <c r="M24" s="68">
        <f>'תפוקה מצטברת מול אשתקד'!I24</f>
        <v>3005</v>
      </c>
      <c r="N24" s="68">
        <f>'תפוקה מצטברת מול אשתקד'!J24</f>
        <v>0</v>
      </c>
      <c r="O24" s="68">
        <f>'תפוקה מצטברת מול אשתקד'!K24</f>
        <v>0</v>
      </c>
    </row>
    <row r="25" spans="1:15" ht="31.5" x14ac:dyDescent="0.25">
      <c r="A25" s="27" t="s">
        <v>14</v>
      </c>
      <c r="B25" s="27" t="s">
        <v>55</v>
      </c>
      <c r="C25" s="28" t="s">
        <v>115</v>
      </c>
      <c r="D25" s="20">
        <f t="shared" si="0"/>
        <v>-0.99707899572649572</v>
      </c>
      <c r="E25" s="20">
        <f t="shared" si="1"/>
        <v>1</v>
      </c>
      <c r="F25" s="20">
        <f t="shared" si="2"/>
        <v>1</v>
      </c>
      <c r="G25" s="20">
        <f t="shared" si="3"/>
        <v>0</v>
      </c>
      <c r="H25" s="12">
        <f>SUM(H9:H21)</f>
        <v>1872000</v>
      </c>
      <c r="I25" s="12"/>
      <c r="J25" s="12"/>
      <c r="K25" s="12"/>
      <c r="L25" s="68">
        <f>'תפוקה מצטברת מול אשתקד'!H25</f>
        <v>5468.12</v>
      </c>
      <c r="M25" s="68">
        <f>'תפוקה מצטברת מול אשתקד'!I25</f>
        <v>10283.290000000001</v>
      </c>
      <c r="N25" s="68">
        <f>'תפוקה מצטברת מול אשתקד'!J25</f>
        <v>61343.93</v>
      </c>
      <c r="O25" s="68">
        <f>'תפוקה מצטברת מול אשתקד'!K25</f>
        <v>0</v>
      </c>
    </row>
    <row r="26" spans="1:15" x14ac:dyDescent="0.25">
      <c r="A26" s="31" t="s">
        <v>15</v>
      </c>
      <c r="B26" s="27" t="s">
        <v>56</v>
      </c>
      <c r="C26" s="28" t="s">
        <v>115</v>
      </c>
      <c r="D26" s="20">
        <f t="shared" si="0"/>
        <v>-0.90372067092876207</v>
      </c>
      <c r="E26" s="20">
        <f t="shared" si="1"/>
        <v>-0.18489216172227263</v>
      </c>
      <c r="F26" s="20">
        <f t="shared" si="2"/>
        <v>-0.75845410628019327</v>
      </c>
      <c r="G26" s="20">
        <f t="shared" si="3"/>
        <v>0</v>
      </c>
      <c r="H26" s="12">
        <f>VLOOKUP(A26,[1]גיליון1!$A:$P,13,0)</f>
        <v>300000</v>
      </c>
      <c r="I26" s="12">
        <f>VLOOKUP(A26,[1]גיליון1!$A:$P,14,0)</f>
        <v>28500</v>
      </c>
      <c r="J26" s="12">
        <f>VLOOKUP(A26,[1]גיליון1!$A:$P,15,0)</f>
        <v>414000.00000000006</v>
      </c>
      <c r="K26" s="12">
        <f>VLOOKUP(A26,[1]גיליון1!$A:$P,16,0)</f>
        <v>552000</v>
      </c>
      <c r="L26" s="68">
        <f>'תפוקה מצטברת מול אשתקד'!H26</f>
        <v>28883.798721371371</v>
      </c>
      <c r="M26" s="68">
        <f>'תפוקה מצטברת מול אשתקד'!I26</f>
        <v>23230.57339091523</v>
      </c>
      <c r="N26" s="68">
        <f>'תפוקה מצטברת מול אשתקד'!J26</f>
        <v>100000</v>
      </c>
      <c r="O26" s="68">
        <f>'תפוקה מצטברת מול אשתקד'!K26</f>
        <v>0</v>
      </c>
    </row>
    <row r="27" spans="1:15" x14ac:dyDescent="0.25">
      <c r="A27" s="31" t="s">
        <v>17</v>
      </c>
      <c r="B27" s="27" t="s">
        <v>56</v>
      </c>
      <c r="C27" s="28" t="s">
        <v>115</v>
      </c>
      <c r="D27" s="20">
        <f t="shared" si="0"/>
        <v>-0.87907222222222225</v>
      </c>
      <c r="E27" s="20">
        <f t="shared" si="1"/>
        <v>0.11037578947368409</v>
      </c>
      <c r="F27" s="20">
        <f t="shared" si="2"/>
        <v>-0.88449420289855074</v>
      </c>
      <c r="G27" s="20">
        <f t="shared" si="3"/>
        <v>0</v>
      </c>
      <c r="H27" s="12">
        <f>VLOOKUP(A27,[1]גיליון1!$A:$P,13,0)</f>
        <v>36000</v>
      </c>
      <c r="I27" s="12">
        <f>VLOOKUP(A27,[1]גיליון1!$A:$P,14,0)</f>
        <v>19000</v>
      </c>
      <c r="J27" s="12">
        <f>VLOOKUP(A27,[1]גיליון1!$A:$P,15,0)</f>
        <v>13800.000000000002</v>
      </c>
      <c r="K27" s="12">
        <f>VLOOKUP(A27,[1]גיליון1!$A:$P,16,0)</f>
        <v>27600.000000000004</v>
      </c>
      <c r="L27" s="68">
        <f>'תפוקה מצטברת מול אשתקד'!H27</f>
        <v>4353.3999999999996</v>
      </c>
      <c r="M27" s="68">
        <f>'תפוקה מצטברת מול אשתקד'!I27</f>
        <v>21097.14</v>
      </c>
      <c r="N27" s="68">
        <f>'תפוקה מצטברת מול אשתקד'!J27</f>
        <v>1593.98</v>
      </c>
      <c r="O27" s="68">
        <f>'תפוקה מצטברת מול אשתקד'!K27</f>
        <v>0</v>
      </c>
    </row>
    <row r="28" spans="1:15" x14ac:dyDescent="0.25">
      <c r="A28" s="31" t="s">
        <v>18</v>
      </c>
      <c r="B28" s="27" t="s">
        <v>56</v>
      </c>
      <c r="C28" s="28" t="s">
        <v>115</v>
      </c>
      <c r="D28" s="20">
        <f t="shared" si="0"/>
        <v>2.3298278731285027</v>
      </c>
      <c r="E28" s="20">
        <f t="shared" si="1"/>
        <v>0.36517684210526324</v>
      </c>
      <c r="F28" s="20">
        <f t="shared" si="2"/>
        <v>1.5684566183574877</v>
      </c>
      <c r="G28" s="20">
        <f t="shared" si="3"/>
        <v>5.4126381642512067</v>
      </c>
      <c r="H28" s="12">
        <f>VLOOKUP(A28,[1]גיליון1!$A:$P,13,0)</f>
        <v>36000</v>
      </c>
      <c r="I28" s="12">
        <f>VLOOKUP(A28,[1]גיליון1!$A:$P,14,0)</f>
        <v>14250</v>
      </c>
      <c r="J28" s="12">
        <f>VLOOKUP(A28,[1]גיליון1!$A:$P,15,0)</f>
        <v>207000.00000000003</v>
      </c>
      <c r="K28" s="12">
        <f>VLOOKUP(A28,[1]גיליון1!$A:$P,16,0)</f>
        <v>41400</v>
      </c>
      <c r="L28" s="68">
        <f>'תפוקה מצטברת מול אשתקד'!H28</f>
        <v>119873.8034326261</v>
      </c>
      <c r="M28" s="68">
        <f>'תפוקה מצטברת מול אשתקד'!I28</f>
        <v>19453.77</v>
      </c>
      <c r="N28" s="68">
        <f>'תפוקה מצטברת מול אשתקד'!J28</f>
        <v>531670.52</v>
      </c>
      <c r="O28" s="68">
        <f>'תפוקה מצטברת מול אשתקד'!K28</f>
        <v>265483.21999999997</v>
      </c>
    </row>
    <row r="29" spans="1:15" x14ac:dyDescent="0.25">
      <c r="A29" s="27" t="s">
        <v>19</v>
      </c>
      <c r="B29" s="27" t="s">
        <v>56</v>
      </c>
      <c r="C29" s="28" t="s">
        <v>115</v>
      </c>
      <c r="D29" s="20">
        <f t="shared" si="0"/>
        <v>0.59535395238095257</v>
      </c>
      <c r="E29" s="20">
        <f t="shared" si="1"/>
        <v>-0.2572081483985913</v>
      </c>
      <c r="F29" s="20">
        <f t="shared" si="2"/>
        <v>-0.26819323671497597</v>
      </c>
      <c r="G29" s="20">
        <f t="shared" si="3"/>
        <v>7.001898550724639E-2</v>
      </c>
      <c r="H29" s="12">
        <f>VLOOKUP(A29,[1]גיליון1!$A:$P,13,0)</f>
        <v>210000</v>
      </c>
      <c r="I29" s="12">
        <f>VLOOKUP(A29,[1]גיליון1!$A:$P,14,0)</f>
        <v>14250</v>
      </c>
      <c r="J29" s="12">
        <f>VLOOKUP(A29,[1]גיליון1!$A:$P,15,0)</f>
        <v>414000.00000000006</v>
      </c>
      <c r="K29" s="12">
        <f>VLOOKUP(A29,[1]גיליון1!$A:$P,16,0)</f>
        <v>690000</v>
      </c>
      <c r="L29" s="68">
        <f>'תפוקה מצטברת מול אשתקד'!H29</f>
        <v>335024.33</v>
      </c>
      <c r="M29" s="68">
        <f>'תפוקה מצטברת מול אשתקד'!I29</f>
        <v>10584.783885320074</v>
      </c>
      <c r="N29" s="68">
        <f>'תפוקה מצטברת מול אשתקד'!J29</f>
        <v>302968</v>
      </c>
      <c r="O29" s="68">
        <f>'תפוקה מצטברת מול אשתקד'!K29</f>
        <v>738313.1</v>
      </c>
    </row>
    <row r="30" spans="1:15" x14ac:dyDescent="0.25">
      <c r="A30" s="27" t="s">
        <v>20</v>
      </c>
      <c r="B30" s="27" t="s">
        <v>56</v>
      </c>
      <c r="C30" s="28" t="s">
        <v>115</v>
      </c>
      <c r="D30" s="20">
        <f t="shared" si="0"/>
        <v>0</v>
      </c>
      <c r="E30" s="20">
        <f t="shared" si="1"/>
        <v>0</v>
      </c>
      <c r="F30" s="20">
        <f t="shared" si="2"/>
        <v>0</v>
      </c>
      <c r="G30" s="20">
        <f t="shared" si="3"/>
        <v>0</v>
      </c>
      <c r="H30" s="12">
        <f>VLOOKUP(A30,[1]גיליון1!$A:$P,13,0)</f>
        <v>120000</v>
      </c>
      <c r="I30" s="12">
        <f>VLOOKUP(A30,[1]גיליון1!$A:$P,14,0)</f>
        <v>19000</v>
      </c>
      <c r="J30" s="12">
        <f>VLOOKUP(A30,[1]גיליון1!$A:$P,15,0)</f>
        <v>552000</v>
      </c>
      <c r="K30" s="12">
        <f>VLOOKUP(A30,[1]גיליון1!$A:$P,16,0)</f>
        <v>345000</v>
      </c>
      <c r="L30" s="68">
        <f>'תפוקה מצטברת מול אשתקד'!H30</f>
        <v>0</v>
      </c>
      <c r="M30" s="68">
        <f>'תפוקה מצטברת מול אשתקד'!I30</f>
        <v>0</v>
      </c>
      <c r="N30" s="68">
        <f>'תפוקה מצטברת מול אשתקד'!J30</f>
        <v>0</v>
      </c>
      <c r="O30" s="68">
        <f>'תפוקה מצטברת מול אשתקד'!K30</f>
        <v>0</v>
      </c>
    </row>
    <row r="31" spans="1:15" x14ac:dyDescent="0.25">
      <c r="A31" s="27" t="s">
        <v>21</v>
      </c>
      <c r="B31" s="27" t="s">
        <v>56</v>
      </c>
      <c r="C31" s="28" t="s">
        <v>115</v>
      </c>
      <c r="D31" s="20">
        <f t="shared" si="0"/>
        <v>1</v>
      </c>
      <c r="E31" s="20">
        <f t="shared" si="1"/>
        <v>0</v>
      </c>
      <c r="F31" s="20">
        <f t="shared" si="2"/>
        <v>0</v>
      </c>
      <c r="G31" s="20">
        <f t="shared" si="3"/>
        <v>0</v>
      </c>
      <c r="H31" s="12">
        <f>VLOOKUP(A31,[1]גיליון1!$A:$P,13,0)</f>
        <v>0</v>
      </c>
      <c r="I31" s="12">
        <f>VLOOKUP(A31,[1]גיליון1!$A:$P,14,0)</f>
        <v>0</v>
      </c>
      <c r="J31" s="12">
        <f>VLOOKUP(A31,[1]גיליון1!$A:$P,15,0)</f>
        <v>0</v>
      </c>
      <c r="K31" s="12">
        <f>VLOOKUP(A31,[1]גיליון1!$A:$P,16,0)</f>
        <v>0</v>
      </c>
      <c r="L31" s="68">
        <f>'תפוקה מצטברת מול אשתקד'!H31</f>
        <v>-109126.2403952102</v>
      </c>
      <c r="M31" s="68">
        <f>'תפוקה מצטברת מול אשתקד'!I31</f>
        <v>0</v>
      </c>
      <c r="N31" s="68">
        <f>'תפוקה מצטברת מול אשתקד'!J31</f>
        <v>0</v>
      </c>
      <c r="O31" s="68">
        <f>'תפוקה מצטברת מול אשתקד'!K31</f>
        <v>0</v>
      </c>
    </row>
    <row r="32" spans="1:15" x14ac:dyDescent="0.25">
      <c r="A32" s="27" t="s">
        <v>22</v>
      </c>
      <c r="B32" s="27" t="s">
        <v>56</v>
      </c>
      <c r="C32" s="28" t="s">
        <v>115</v>
      </c>
      <c r="D32" s="20">
        <f t="shared" si="0"/>
        <v>0</v>
      </c>
      <c r="E32" s="20">
        <f t="shared" si="1"/>
        <v>0</v>
      </c>
      <c r="F32" s="20">
        <f t="shared" si="2"/>
        <v>0</v>
      </c>
      <c r="G32" s="20">
        <f t="shared" si="3"/>
        <v>0</v>
      </c>
      <c r="H32" s="12">
        <f>VLOOKUP(A32,[1]גיליון1!$A:$P,13,0)</f>
        <v>0</v>
      </c>
      <c r="I32" s="12">
        <f>VLOOKUP(A32,[1]גיליון1!$A:$P,14,0)</f>
        <v>0</v>
      </c>
      <c r="J32" s="12">
        <f>VLOOKUP(A32,[1]גיליון1!$A:$P,15,0)</f>
        <v>0</v>
      </c>
      <c r="K32" s="12">
        <f>VLOOKUP(A32,[1]גיליון1!$A:$P,16,0)</f>
        <v>0</v>
      </c>
      <c r="L32" s="68">
        <f>'תפוקה מצטברת מול אשתקד'!H32</f>
        <v>0</v>
      </c>
      <c r="M32" s="68">
        <f>'תפוקה מצטברת מול אשתקד'!I32</f>
        <v>0</v>
      </c>
      <c r="N32" s="68">
        <f>'תפוקה מצטברת מול אשתקד'!J32</f>
        <v>0</v>
      </c>
      <c r="O32" s="68">
        <f>'תפוקה מצטברת מול אשתקד'!K32</f>
        <v>0</v>
      </c>
    </row>
    <row r="33" spans="1:15" x14ac:dyDescent="0.25">
      <c r="A33" s="27" t="s">
        <v>23</v>
      </c>
      <c r="B33" s="27" t="s">
        <v>56</v>
      </c>
      <c r="C33" s="28" t="s">
        <v>115</v>
      </c>
      <c r="D33" s="20">
        <f t="shared" si="0"/>
        <v>0</v>
      </c>
      <c r="E33" s="20">
        <f t="shared" si="1"/>
        <v>0</v>
      </c>
      <c r="F33" s="20">
        <f t="shared" si="2"/>
        <v>0</v>
      </c>
      <c r="G33" s="20">
        <f t="shared" si="3"/>
        <v>0</v>
      </c>
      <c r="H33" s="12">
        <f>VLOOKUP(A33,[1]גיליון1!$A:$P,13,0)</f>
        <v>0</v>
      </c>
      <c r="I33" s="12">
        <f>VLOOKUP(A33,[1]גיליון1!$A:$P,14,0)</f>
        <v>0</v>
      </c>
      <c r="J33" s="12">
        <f>VLOOKUP(A33,[1]גיליון1!$A:$P,15,0)</f>
        <v>0</v>
      </c>
      <c r="K33" s="12">
        <f>VLOOKUP(A33,[1]גיליון1!$A:$P,16,0)</f>
        <v>0</v>
      </c>
      <c r="L33" s="68">
        <f>'תפוקה מצטברת מול אשתקד'!H33</f>
        <v>0</v>
      </c>
      <c r="M33" s="68">
        <f>'תפוקה מצטברת מול אשתקד'!I33</f>
        <v>0</v>
      </c>
      <c r="N33" s="68">
        <f>'תפוקה מצטברת מול אשתקד'!J33</f>
        <v>0</v>
      </c>
      <c r="O33" s="68">
        <f>'תפוקה מצטברת מול אשתקד'!K33</f>
        <v>0</v>
      </c>
    </row>
    <row r="34" spans="1:15" x14ac:dyDescent="0.25">
      <c r="A34" s="27" t="s">
        <v>24</v>
      </c>
      <c r="B34" s="27" t="s">
        <v>56</v>
      </c>
      <c r="C34" s="28" t="s">
        <v>115</v>
      </c>
      <c r="D34" s="20">
        <f t="shared" si="0"/>
        <v>1</v>
      </c>
      <c r="E34" s="20">
        <f t="shared" si="1"/>
        <v>1</v>
      </c>
      <c r="F34" s="20">
        <f t="shared" si="2"/>
        <v>1</v>
      </c>
      <c r="G34" s="20">
        <f t="shared" si="3"/>
        <v>0</v>
      </c>
      <c r="H34" s="12">
        <f>VLOOKUP(A34,[1]גיליון1!$A:$P,13,0)</f>
        <v>0</v>
      </c>
      <c r="I34" s="12">
        <f>VLOOKUP(A34,[1]גיליון1!$A:$P,14,0)</f>
        <v>0</v>
      </c>
      <c r="J34" s="12">
        <f>VLOOKUP(A34,[1]גיליון1!$A:$P,15,0)</f>
        <v>0</v>
      </c>
      <c r="K34" s="12">
        <f>VLOOKUP(A34,[1]גיליון1!$A:$P,16,0)</f>
        <v>0</v>
      </c>
      <c r="L34" s="68">
        <f>'תפוקה מצטברת מול אשתקד'!H34</f>
        <v>450633.37509563623</v>
      </c>
      <c r="M34" s="68">
        <f>'תפוקה מצטברת מול אשתקד'!I34</f>
        <v>32875.391513785464</v>
      </c>
      <c r="N34" s="68">
        <f>'תפוקה מצטברת מול אשתקד'!J34</f>
        <v>944037.60962240398</v>
      </c>
      <c r="O34" s="68">
        <f>'תפוקה מצטברת מול אשתקד'!K34</f>
        <v>0</v>
      </c>
    </row>
    <row r="35" spans="1:15" x14ac:dyDescent="0.25">
      <c r="A35" s="31" t="s">
        <v>25</v>
      </c>
      <c r="B35" s="27" t="s">
        <v>56</v>
      </c>
      <c r="C35" s="28" t="s">
        <v>115</v>
      </c>
      <c r="D35" s="20">
        <f t="shared" si="0"/>
        <v>0</v>
      </c>
      <c r="E35" s="20">
        <f t="shared" si="1"/>
        <v>0</v>
      </c>
      <c r="F35" s="20">
        <f t="shared" si="2"/>
        <v>0</v>
      </c>
      <c r="G35" s="20">
        <f t="shared" si="3"/>
        <v>0</v>
      </c>
      <c r="H35" s="12">
        <f>VLOOKUP(A35,[1]גיליון1!$A:$P,13,0)</f>
        <v>300000</v>
      </c>
      <c r="I35" s="12">
        <f>VLOOKUP(A35,[1]גיליון1!$A:$P,14,0)</f>
        <v>42750</v>
      </c>
      <c r="J35" s="12">
        <f>VLOOKUP(A35,[1]גיליון1!$A:$P,15,0)</f>
        <v>828000.00000000012</v>
      </c>
      <c r="K35" s="12">
        <f>VLOOKUP(A35,[1]גיליון1!$A:$P,16,0)</f>
        <v>552000</v>
      </c>
      <c r="L35" s="68">
        <f>'תפוקה מצטברת מול אשתקד'!H35</f>
        <v>0</v>
      </c>
      <c r="M35" s="68">
        <f>'תפוקה מצטברת מול אשתקד'!I35</f>
        <v>0</v>
      </c>
      <c r="N35" s="68">
        <f>'תפוקה מצטברת מול אשתקד'!J35</f>
        <v>0</v>
      </c>
      <c r="O35" s="68">
        <f>'תפוקה מצטברת מול אשתקד'!K35</f>
        <v>0</v>
      </c>
    </row>
    <row r="36" spans="1:15" x14ac:dyDescent="0.25">
      <c r="A36" s="27" t="s">
        <v>26</v>
      </c>
      <c r="B36" s="27" t="s">
        <v>56</v>
      </c>
      <c r="C36" s="28" t="s">
        <v>115</v>
      </c>
      <c r="D36" s="20">
        <f t="shared" si="0"/>
        <v>0</v>
      </c>
      <c r="E36" s="20">
        <f t="shared" si="1"/>
        <v>0</v>
      </c>
      <c r="F36" s="20">
        <f t="shared" si="2"/>
        <v>0</v>
      </c>
      <c r="G36" s="20">
        <f t="shared" si="3"/>
        <v>0</v>
      </c>
      <c r="H36" s="12">
        <f>VLOOKUP(A36,[1]גיליון1!$A:$P,13,0)</f>
        <v>0</v>
      </c>
      <c r="I36" s="12">
        <f>VLOOKUP(A36,[1]גיליון1!$A:$P,14,0)</f>
        <v>0</v>
      </c>
      <c r="J36" s="12">
        <f>VLOOKUP(A36,[1]גיליון1!$A:$P,15,0)</f>
        <v>0</v>
      </c>
      <c r="K36" s="12">
        <f>VLOOKUP(A36,[1]גיליון1!$A:$P,16,0)</f>
        <v>0</v>
      </c>
      <c r="L36" s="68">
        <f>'תפוקה מצטברת מול אשתקד'!H36</f>
        <v>0</v>
      </c>
      <c r="M36" s="68">
        <f>'תפוקה מצטברת מול אשתקד'!I36</f>
        <v>0</v>
      </c>
      <c r="N36" s="68">
        <f>'תפוקה מצטברת מול אשתקד'!J36</f>
        <v>0</v>
      </c>
      <c r="O36" s="68">
        <f>'תפוקה מצטברת מול אשתקד'!K36</f>
        <v>0</v>
      </c>
    </row>
    <row r="37" spans="1:15" x14ac:dyDescent="0.25">
      <c r="A37" s="27" t="s">
        <v>27</v>
      </c>
      <c r="B37" s="27" t="s">
        <v>56</v>
      </c>
      <c r="C37" s="28" t="s">
        <v>115</v>
      </c>
      <c r="D37" s="20">
        <f t="shared" si="0"/>
        <v>0</v>
      </c>
      <c r="E37" s="20">
        <f t="shared" si="1"/>
        <v>0</v>
      </c>
      <c r="F37" s="20">
        <f t="shared" si="2"/>
        <v>0</v>
      </c>
      <c r="G37" s="20">
        <f t="shared" si="3"/>
        <v>0</v>
      </c>
      <c r="H37" s="12">
        <f>VLOOKUP(A37,[1]גיליון1!$A:$P,13,0)</f>
        <v>0</v>
      </c>
      <c r="I37" s="12">
        <f>VLOOKUP(A37,[1]גיליון1!$A:$P,14,0)</f>
        <v>0</v>
      </c>
      <c r="J37" s="12">
        <f>VLOOKUP(A37,[1]גיליון1!$A:$P,15,0)</f>
        <v>0</v>
      </c>
      <c r="K37" s="12">
        <f>VLOOKUP(A37,[1]גיליון1!$A:$P,16,0)</f>
        <v>0</v>
      </c>
      <c r="L37" s="68">
        <f>'תפוקה מצטברת מול אשתקד'!H37</f>
        <v>0</v>
      </c>
      <c r="M37" s="68">
        <f>'תפוקה מצטברת מול אשתקד'!I37</f>
        <v>0</v>
      </c>
      <c r="N37" s="68">
        <f>'תפוקה מצטברת מול אשתקד'!J37</f>
        <v>0</v>
      </c>
      <c r="O37" s="68">
        <f>'תפוקה מצטברת מול אשתקד'!K37</f>
        <v>0</v>
      </c>
    </row>
    <row r="38" spans="1:15" x14ac:dyDescent="0.25">
      <c r="A38" s="27" t="s">
        <v>28</v>
      </c>
      <c r="B38" s="27" t="s">
        <v>56</v>
      </c>
      <c r="C38" s="28" t="s">
        <v>115</v>
      </c>
      <c r="D38" s="20">
        <f t="shared" si="0"/>
        <v>1</v>
      </c>
      <c r="E38" s="20">
        <f t="shared" si="1"/>
        <v>1</v>
      </c>
      <c r="F38" s="20">
        <f t="shared" si="2"/>
        <v>1</v>
      </c>
      <c r="G38" s="20">
        <f t="shared" si="3"/>
        <v>1</v>
      </c>
      <c r="H38" s="12">
        <f>VLOOKUP(A38,[1]גיליון1!$A:$P,13,0)</f>
        <v>0</v>
      </c>
      <c r="I38" s="12">
        <f>VLOOKUP(A38,[1]גיליון1!$A:$P,14,0)</f>
        <v>0</v>
      </c>
      <c r="J38" s="12">
        <f>VLOOKUP(A38,[1]גיליון1!$A:$P,15,0)</f>
        <v>0</v>
      </c>
      <c r="K38" s="12">
        <f>VLOOKUP(A38,[1]גיליון1!$A:$P,16,0)</f>
        <v>0</v>
      </c>
      <c r="L38" s="68">
        <f>'תפוקה מצטברת מול אשתקד'!H38</f>
        <v>6854.6</v>
      </c>
      <c r="M38" s="68">
        <f>'תפוקה מצטברת מול אשתקד'!I38</f>
        <v>1921.6</v>
      </c>
      <c r="N38" s="68">
        <f>'תפוקה מצטברת מול אשתקד'!J38</f>
        <v>248240.32</v>
      </c>
      <c r="O38" s="68">
        <f>'תפוקה מצטברת מול אשתקד'!K38</f>
        <v>226444.66</v>
      </c>
    </row>
    <row r="39" spans="1:15" x14ac:dyDescent="0.25">
      <c r="A39" s="27" t="s">
        <v>29</v>
      </c>
      <c r="B39" s="27" t="s">
        <v>56</v>
      </c>
      <c r="C39" s="28" t="s">
        <v>115</v>
      </c>
      <c r="D39" s="20">
        <f t="shared" si="0"/>
        <v>1</v>
      </c>
      <c r="E39" s="20">
        <f t="shared" si="1"/>
        <v>16.930560384120692</v>
      </c>
      <c r="F39" s="20">
        <f t="shared" si="2"/>
        <v>1</v>
      </c>
      <c r="G39" s="20">
        <f t="shared" si="3"/>
        <v>0</v>
      </c>
      <c r="H39" s="12">
        <f>VLOOKUP(A39,[1]גיליון1!$A:$P,13,0)</f>
        <v>0</v>
      </c>
      <c r="I39" s="12">
        <f>VLOOKUP(A39,[1]גיליון1!$A:$P,14,0)</f>
        <v>950</v>
      </c>
      <c r="J39" s="12">
        <f>VLOOKUP(A39,[1]גיליון1!$A:$P,15,0)</f>
        <v>0</v>
      </c>
      <c r="K39" s="12">
        <f>VLOOKUP(A39,[1]גיליון1!$A:$P,16,0)</f>
        <v>0</v>
      </c>
      <c r="L39" s="68">
        <f>'תפוקה מצטברת מול אשתקד'!H39</f>
        <v>99450.848890197449</v>
      </c>
      <c r="M39" s="68">
        <f>'תפוקה מצטברת מול אשתקד'!I39</f>
        <v>17034.032364914659</v>
      </c>
      <c r="N39" s="68">
        <f>'תפוקה מצטברת מול אשתקד'!J39</f>
        <v>88904.728435348312</v>
      </c>
      <c r="O39" s="68">
        <f>'תפוקה מצטברת מול אשתקד'!K39</f>
        <v>0</v>
      </c>
    </row>
    <row r="40" spans="1:15" ht="31.5" x14ac:dyDescent="0.25">
      <c r="A40" s="27" t="s">
        <v>106</v>
      </c>
      <c r="B40" s="27" t="s">
        <v>55</v>
      </c>
      <c r="C40" s="28" t="s">
        <v>115</v>
      </c>
      <c r="D40" s="20">
        <f t="shared" si="0"/>
        <v>1</v>
      </c>
      <c r="E40" s="20">
        <f t="shared" si="1"/>
        <v>0</v>
      </c>
      <c r="F40" s="20">
        <f t="shared" si="2"/>
        <v>1</v>
      </c>
      <c r="G40" s="20">
        <f t="shared" si="3"/>
        <v>0</v>
      </c>
      <c r="H40" s="12"/>
      <c r="I40" s="12"/>
      <c r="J40" s="12"/>
      <c r="K40" s="12"/>
      <c r="L40" s="68">
        <f>'תפוקה מצטברת מול אשתקד'!H40</f>
        <v>-79.231654047757715</v>
      </c>
      <c r="M40" s="68">
        <f>'תפוקה מצטברת מול אשתקד'!I40</f>
        <v>0</v>
      </c>
      <c r="N40" s="68">
        <f>'תפוקה מצטברת מול אשתקד'!J40</f>
        <v>9373.58</v>
      </c>
      <c r="O40" s="68">
        <f>'תפוקה מצטברת מול אשתקד'!K40</f>
        <v>0</v>
      </c>
    </row>
    <row r="41" spans="1:15" ht="31.5" x14ac:dyDescent="0.25">
      <c r="A41" s="27" t="s">
        <v>32</v>
      </c>
      <c r="B41" s="27" t="s">
        <v>55</v>
      </c>
      <c r="C41" s="28" t="s">
        <v>115</v>
      </c>
      <c r="D41" s="20">
        <f t="shared" si="0"/>
        <v>0</v>
      </c>
      <c r="E41" s="20">
        <f t="shared" si="1"/>
        <v>1</v>
      </c>
      <c r="F41" s="20">
        <f t="shared" si="2"/>
        <v>0</v>
      </c>
      <c r="G41" s="20">
        <f t="shared" si="3"/>
        <v>0</v>
      </c>
      <c r="H41" s="12"/>
      <c r="I41" s="12"/>
      <c r="J41" s="12"/>
      <c r="K41" s="12"/>
      <c r="L41" s="68">
        <f>'תפוקה מצטברת מול אשתקד'!H41</f>
        <v>0</v>
      </c>
      <c r="M41" s="68">
        <f>'תפוקה מצטברת מול אשתקד'!I41</f>
        <v>205.24</v>
      </c>
      <c r="N41" s="68">
        <f>'תפוקה מצטברת מול אשתקד'!J41</f>
        <v>0</v>
      </c>
      <c r="O41" s="68">
        <f>'תפוקה מצטברת מול אשתקד'!K41</f>
        <v>0</v>
      </c>
    </row>
    <row r="42" spans="1:15" x14ac:dyDescent="0.25">
      <c r="A42" s="31" t="s">
        <v>103</v>
      </c>
      <c r="B42" s="27" t="s">
        <v>56</v>
      </c>
      <c r="C42" s="28" t="s">
        <v>115</v>
      </c>
      <c r="D42" s="20">
        <f t="shared" si="0"/>
        <v>0</v>
      </c>
      <c r="E42" s="20">
        <f t="shared" si="1"/>
        <v>0</v>
      </c>
      <c r="F42" s="20">
        <f t="shared" si="2"/>
        <v>0</v>
      </c>
      <c r="G42" s="20">
        <f t="shared" si="3"/>
        <v>0</v>
      </c>
      <c r="H42" s="12"/>
      <c r="I42" s="12"/>
      <c r="J42" s="12"/>
      <c r="K42" s="12"/>
      <c r="L42" s="68">
        <f>'תפוקה מצטברת מול אשתקד'!H42</f>
        <v>0</v>
      </c>
      <c r="M42" s="68">
        <f>'תפוקה מצטברת מול אשתקד'!I42</f>
        <v>0</v>
      </c>
      <c r="N42" s="68">
        <f>'תפוקה מצטברת מול אשתקד'!J42</f>
        <v>0</v>
      </c>
      <c r="O42" s="68">
        <f>'תפוקה מצטברת מול אשתקד'!K42</f>
        <v>0</v>
      </c>
    </row>
    <row r="43" spans="1:15" x14ac:dyDescent="0.25">
      <c r="A43" s="27" t="s">
        <v>91</v>
      </c>
      <c r="B43" s="27" t="s">
        <v>56</v>
      </c>
      <c r="C43" s="28" t="s">
        <v>115</v>
      </c>
      <c r="D43" s="20">
        <f t="shared" si="0"/>
        <v>0</v>
      </c>
      <c r="E43" s="20">
        <f t="shared" si="1"/>
        <v>0</v>
      </c>
      <c r="F43" s="20">
        <f t="shared" si="2"/>
        <v>0.90821256038647347</v>
      </c>
      <c r="G43" s="20">
        <f t="shared" si="3"/>
        <v>0</v>
      </c>
      <c r="H43" s="12">
        <f>VLOOKUP(A43,[1]גיליון1!$A:$P,13,0)</f>
        <v>36000</v>
      </c>
      <c r="I43" s="12">
        <f>VLOOKUP(A43,[1]גיליון1!$A:$P,14,0)</f>
        <v>7600</v>
      </c>
      <c r="J43" s="12">
        <f>VLOOKUP(A43,[1]גיליון1!$A:$P,15,0)</f>
        <v>41400</v>
      </c>
      <c r="K43" s="12">
        <f>VLOOKUP(A43,[1]גיליון1!$A:$P,16,0)</f>
        <v>41400</v>
      </c>
      <c r="L43" s="68">
        <f>'תפוקה מצטברת מול אשתקד'!H43</f>
        <v>0</v>
      </c>
      <c r="M43" s="68">
        <f>'תפוקה מצטברת מול אשתקד'!I43</f>
        <v>0</v>
      </c>
      <c r="N43" s="68">
        <f>'תפוקה מצטברת מול אשתקד'!J43</f>
        <v>79000</v>
      </c>
      <c r="O43" s="68">
        <f>'תפוקה מצטברת מול אשתקד'!K43</f>
        <v>0</v>
      </c>
    </row>
    <row r="44" spans="1:15" x14ac:dyDescent="0.25">
      <c r="A44" s="27" t="s">
        <v>90</v>
      </c>
      <c r="B44" s="27" t="s">
        <v>56</v>
      </c>
      <c r="C44" s="28" t="s">
        <v>115</v>
      </c>
      <c r="D44" s="20">
        <f t="shared" si="0"/>
        <v>5.439624666666667</v>
      </c>
      <c r="E44" s="20">
        <f t="shared" si="1"/>
        <v>-0.74995368421052633</v>
      </c>
      <c r="F44" s="20">
        <f t="shared" si="2"/>
        <v>16.725293719806764</v>
      </c>
      <c r="G44" s="20">
        <f t="shared" si="3"/>
        <v>0</v>
      </c>
      <c r="H44" s="12">
        <f>VLOOKUP(A44,[1]גיליון1!$A:$P,13,0)</f>
        <v>6000</v>
      </c>
      <c r="I44" s="12">
        <f>VLOOKUP(A44,[1]גיליון1!$A:$P,14,0)</f>
        <v>4750</v>
      </c>
      <c r="J44" s="12">
        <f>VLOOKUP(A44,[1]גיליון1!$A:$P,15,0)</f>
        <v>41400</v>
      </c>
      <c r="K44" s="12">
        <f>VLOOKUP(A44,[1]גיליון1!$A:$P,16,0)</f>
        <v>27600.000000000004</v>
      </c>
      <c r="L44" s="68">
        <f>'תפוקה מצטברת מול אשתקד'!H44</f>
        <v>38637.748</v>
      </c>
      <c r="M44" s="68">
        <f>'תפוקה מצטברת מול אשתקד'!I44</f>
        <v>1187.72</v>
      </c>
      <c r="N44" s="68">
        <f>'תפוקה מצטברת מול אשתקד'!J44</f>
        <v>733827.16</v>
      </c>
      <c r="O44" s="68">
        <f>'תפוקה מצטברת מול אשתקד'!K44</f>
        <v>0</v>
      </c>
    </row>
    <row r="45" spans="1:15" ht="31.5" x14ac:dyDescent="0.25">
      <c r="A45" s="27" t="s">
        <v>36</v>
      </c>
      <c r="B45" s="27" t="s">
        <v>55</v>
      </c>
      <c r="C45" s="28" t="s">
        <v>115</v>
      </c>
      <c r="D45" s="20">
        <f t="shared" si="0"/>
        <v>1</v>
      </c>
      <c r="E45" s="20">
        <f t="shared" si="1"/>
        <v>1</v>
      </c>
      <c r="F45" s="20">
        <f t="shared" si="2"/>
        <v>0</v>
      </c>
      <c r="G45" s="20">
        <f t="shared" si="3"/>
        <v>1</v>
      </c>
      <c r="H45" s="12">
        <f>VLOOKUP(A45,[1]גיליון1!$A:$P,13,0)</f>
        <v>0</v>
      </c>
      <c r="I45" s="12">
        <f>VLOOKUP(A45,[1]גיליון1!$A:$P,14,0)</f>
        <v>0</v>
      </c>
      <c r="J45" s="12">
        <f>VLOOKUP(A45,[1]גיליון1!$A:$P,15,0)</f>
        <v>0</v>
      </c>
      <c r="K45" s="12">
        <f>VLOOKUP(A45,[1]גיליון1!$A:$P,16,0)</f>
        <v>0</v>
      </c>
      <c r="L45" s="68">
        <f>'תפוקה מצטברת מול אשתקד'!H45</f>
        <v>6854.6</v>
      </c>
      <c r="M45" s="68">
        <f>'תפוקה מצטברת מול אשתקד'!I45</f>
        <v>3811.95</v>
      </c>
      <c r="N45" s="68">
        <f>'תפוקה מצטברת מול אשתקד'!J45</f>
        <v>0</v>
      </c>
      <c r="O45" s="68">
        <f>'תפוקה מצטברת מול אשתקד'!K45</f>
        <v>138621.92000000001</v>
      </c>
    </row>
    <row r="46" spans="1:15" ht="31.5" x14ac:dyDescent="0.25">
      <c r="A46" s="27" t="s">
        <v>102</v>
      </c>
      <c r="B46" s="27" t="s">
        <v>55</v>
      </c>
      <c r="C46" s="28" t="s">
        <v>115</v>
      </c>
      <c r="D46" s="20">
        <f t="shared" si="0"/>
        <v>1</v>
      </c>
      <c r="E46" s="20">
        <f t="shared" si="1"/>
        <v>0</v>
      </c>
      <c r="F46" s="20">
        <f t="shared" si="2"/>
        <v>1</v>
      </c>
      <c r="G46" s="20">
        <f t="shared" si="3"/>
        <v>0</v>
      </c>
      <c r="H46" s="12">
        <f>VLOOKUP(A46,[1]גיליון1!$A:$P,13,0)</f>
        <v>0</v>
      </c>
      <c r="I46" s="12">
        <f>VLOOKUP(A46,[1]גיליון1!$A:$P,14,0)</f>
        <v>0</v>
      </c>
      <c r="J46" s="12">
        <f>VLOOKUP(A46,[1]גיליון1!$A:$P,15,0)</f>
        <v>0</v>
      </c>
      <c r="K46" s="12">
        <f>VLOOKUP(A46,[1]גיליון1!$A:$P,16,0)</f>
        <v>0</v>
      </c>
      <c r="L46" s="68">
        <f>'תפוקה מצטברת מול אשתקד'!H46</f>
        <v>87789.315399999992</v>
      </c>
      <c r="M46" s="68">
        <f>'תפוקה מצטברת מול אשתקד'!I46</f>
        <v>0</v>
      </c>
      <c r="N46" s="68">
        <f>'תפוקה מצטברת מול אשתקד'!J46</f>
        <v>34101.230000000003</v>
      </c>
      <c r="O46" s="68">
        <f>'תפוקה מצטברת מול אשתקד'!K46</f>
        <v>0</v>
      </c>
    </row>
    <row r="47" spans="1:15" x14ac:dyDescent="0.25">
      <c r="A47" s="29" t="s">
        <v>93</v>
      </c>
      <c r="B47" s="27" t="s">
        <v>56</v>
      </c>
      <c r="C47" s="28" t="s">
        <v>115</v>
      </c>
      <c r="D47" s="20">
        <f t="shared" si="0"/>
        <v>0</v>
      </c>
      <c r="E47" s="20">
        <f t="shared" si="1"/>
        <v>0</v>
      </c>
      <c r="F47" s="20">
        <f t="shared" si="2"/>
        <v>0</v>
      </c>
      <c r="G47" s="20">
        <f t="shared" si="3"/>
        <v>0</v>
      </c>
      <c r="H47" s="12">
        <f>VLOOKUP(A47,[1]גיליון1!$A:$P,13,0)</f>
        <v>6000</v>
      </c>
      <c r="I47" s="12">
        <f>VLOOKUP(A47,[1]גיליון1!$A:$P,14,0)</f>
        <v>4750</v>
      </c>
      <c r="J47" s="12">
        <f>VLOOKUP(A47,[1]גיליון1!$A:$P,15,0)</f>
        <v>69000</v>
      </c>
      <c r="K47" s="12">
        <f>VLOOKUP(A47,[1]גיליון1!$A:$P,16,0)</f>
        <v>27600.000000000004</v>
      </c>
      <c r="L47" s="68">
        <f>'תפוקה מצטברת מול אשתקד'!H47</f>
        <v>0</v>
      </c>
      <c r="M47" s="68">
        <f>'תפוקה מצטברת מול אשתקד'!I47</f>
        <v>0</v>
      </c>
      <c r="N47" s="68">
        <f>'תפוקה מצטברת מול אשתקד'!J47</f>
        <v>0</v>
      </c>
      <c r="O47" s="68">
        <f>'תפוקה מצטברת מול אשתקד'!K47</f>
        <v>0</v>
      </c>
    </row>
    <row r="48" spans="1:15" x14ac:dyDescent="0.25">
      <c r="A48" s="29" t="s">
        <v>95</v>
      </c>
      <c r="B48" s="27" t="s">
        <v>56</v>
      </c>
      <c r="C48" s="28" t="s">
        <v>115</v>
      </c>
      <c r="D48" s="20">
        <f t="shared" si="0"/>
        <v>0</v>
      </c>
      <c r="E48" s="20">
        <f t="shared" si="1"/>
        <v>-0.70367368421052634</v>
      </c>
      <c r="F48" s="20">
        <f t="shared" si="2"/>
        <v>0</v>
      </c>
      <c r="G48" s="20">
        <f t="shared" si="3"/>
        <v>0</v>
      </c>
      <c r="H48" s="12">
        <f>VLOOKUP(A48,[1]גיליון1!$A:$P,13,0)</f>
        <v>12000</v>
      </c>
      <c r="I48" s="12">
        <f>VLOOKUP(A48,[1]גיליון1!$A:$P,14,0)</f>
        <v>4750</v>
      </c>
      <c r="J48" s="12">
        <f>VLOOKUP(A48,[1]גיליון1!$A:$P,15,0)</f>
        <v>276000</v>
      </c>
      <c r="K48" s="12">
        <f>VLOOKUP(A48,[1]גיליון1!$A:$P,16,0)</f>
        <v>69000</v>
      </c>
      <c r="L48" s="68">
        <f>'תפוקה מצטברת מול אשתקד'!H48</f>
        <v>0</v>
      </c>
      <c r="M48" s="68">
        <f>'תפוקה מצטברת מול אשתקד'!I48</f>
        <v>1407.55</v>
      </c>
      <c r="N48" s="68">
        <f>'תפוקה מצטברת מול אשתקד'!J48</f>
        <v>0</v>
      </c>
      <c r="O48" s="68">
        <f>'תפוקה מצטברת מול אשתקד'!K48</f>
        <v>0</v>
      </c>
    </row>
    <row r="49" spans="1:15" x14ac:dyDescent="0.25">
      <c r="A49" s="27" t="s">
        <v>105</v>
      </c>
      <c r="B49" s="27" t="s">
        <v>56</v>
      </c>
      <c r="C49" s="27" t="s">
        <v>115</v>
      </c>
      <c r="D49" s="20">
        <f t="shared" si="0"/>
        <v>0</v>
      </c>
      <c r="E49" s="20">
        <f t="shared" si="1"/>
        <v>0</v>
      </c>
      <c r="F49" s="20">
        <f t="shared" si="2"/>
        <v>0</v>
      </c>
      <c r="G49" s="20">
        <f t="shared" si="3"/>
        <v>0</v>
      </c>
      <c r="H49" s="12"/>
      <c r="I49" s="12"/>
      <c r="J49" s="12"/>
      <c r="K49" s="12"/>
      <c r="L49" s="68">
        <f>'תפוקה מצטברת מול אשתקד'!H49</f>
        <v>0</v>
      </c>
      <c r="M49" s="68">
        <f>'תפוקה מצטברת מול אשתקד'!I49</f>
        <v>0</v>
      </c>
      <c r="N49" s="68">
        <f>'תפוקה מצטברת מול אשתקד'!J49</f>
        <v>0</v>
      </c>
      <c r="O49" s="68">
        <f>'תפוקה מצטברת מול אשתקד'!K49</f>
        <v>0</v>
      </c>
    </row>
    <row r="50" spans="1:15" x14ac:dyDescent="0.25">
      <c r="A50" s="27" t="s">
        <v>39</v>
      </c>
      <c r="B50" s="27" t="s">
        <v>56</v>
      </c>
      <c r="C50" s="27" t="s">
        <v>115</v>
      </c>
      <c r="D50" s="20">
        <f t="shared" si="0"/>
        <v>0</v>
      </c>
      <c r="E50" s="20">
        <f t="shared" si="1"/>
        <v>0</v>
      </c>
      <c r="F50" s="20">
        <f t="shared" si="2"/>
        <v>0</v>
      </c>
      <c r="G50" s="20">
        <f t="shared" si="3"/>
        <v>0</v>
      </c>
      <c r="H50" s="12"/>
      <c r="I50" s="12"/>
      <c r="J50" s="12"/>
      <c r="K50" s="12"/>
      <c r="L50" s="68">
        <f>'תפוקה מצטברת מול אשתקד'!H50</f>
        <v>0</v>
      </c>
      <c r="M50" s="68">
        <f>'תפוקה מצטברת מול אשתקד'!I50</f>
        <v>0</v>
      </c>
      <c r="N50" s="68">
        <f>'תפוקה מצטברת מול אשתקד'!J50</f>
        <v>0</v>
      </c>
      <c r="O50" s="68">
        <f>'תפוקה מצטברת מול אשתקד'!K50</f>
        <v>0</v>
      </c>
    </row>
    <row r="51" spans="1:15" x14ac:dyDescent="0.25">
      <c r="A51" s="27" t="s">
        <v>99</v>
      </c>
      <c r="B51" s="27" t="s">
        <v>56</v>
      </c>
      <c r="C51" s="27" t="s">
        <v>115</v>
      </c>
      <c r="D51" s="20">
        <f t="shared" si="0"/>
        <v>0</v>
      </c>
      <c r="E51" s="20">
        <f t="shared" si="1"/>
        <v>0</v>
      </c>
      <c r="F51" s="20">
        <f t="shared" si="2"/>
        <v>0</v>
      </c>
      <c r="G51" s="20">
        <f t="shared" si="3"/>
        <v>0</v>
      </c>
      <c r="H51" s="12"/>
      <c r="I51" s="12"/>
      <c r="J51" s="12"/>
      <c r="K51" s="12"/>
      <c r="L51" s="68">
        <f>'תפוקה מצטברת מול אשתקד'!H51</f>
        <v>0</v>
      </c>
      <c r="M51" s="68">
        <f>'תפוקה מצטברת מול אשתקד'!I51</f>
        <v>0</v>
      </c>
      <c r="N51" s="68">
        <f>'תפוקה מצטברת מול אשתקד'!J51</f>
        <v>0</v>
      </c>
      <c r="O51" s="68">
        <f>'תפוקה מצטברת מול אשתקד'!K51</f>
        <v>0</v>
      </c>
    </row>
    <row r="52" spans="1:15" x14ac:dyDescent="0.25">
      <c r="A52" s="27" t="s">
        <v>41</v>
      </c>
      <c r="B52" s="27" t="s">
        <v>56</v>
      </c>
      <c r="C52" s="27" t="s">
        <v>115</v>
      </c>
      <c r="D52" s="20">
        <f t="shared" si="0"/>
        <v>1</v>
      </c>
      <c r="E52" s="20">
        <f t="shared" si="1"/>
        <v>1</v>
      </c>
      <c r="F52" s="20">
        <f t="shared" si="2"/>
        <v>0</v>
      </c>
      <c r="G52" s="20">
        <f t="shared" si="3"/>
        <v>0</v>
      </c>
      <c r="H52" s="12">
        <f>VLOOKUP(A52,[1]גיליון1!$A:$P,13,0)</f>
        <v>0</v>
      </c>
      <c r="I52" s="12">
        <f>VLOOKUP(A52,[1]גיליון1!$A:$P,14,0)</f>
        <v>0</v>
      </c>
      <c r="J52" s="12">
        <f>VLOOKUP(A52,[1]גיליון1!$A:$P,15,0)</f>
        <v>0</v>
      </c>
      <c r="K52" s="12">
        <f>VLOOKUP(A52,[1]גיליון1!$A:$P,16,0)</f>
        <v>0</v>
      </c>
      <c r="L52" s="68">
        <f>'תפוקה מצטברת מול אשתקד'!H52</f>
        <v>18.82</v>
      </c>
      <c r="M52" s="68">
        <f>'תפוקה מצטברת מול אשתקד'!I52</f>
        <v>7028.15</v>
      </c>
      <c r="N52" s="68">
        <f>'תפוקה מצטברת מול אשתקד'!J52</f>
        <v>0</v>
      </c>
      <c r="O52" s="68">
        <f>'תפוקה מצטברת מול אשתקד'!K52</f>
        <v>0</v>
      </c>
    </row>
    <row r="53" spans="1:15" x14ac:dyDescent="0.25">
      <c r="A53" s="27" t="s">
        <v>96</v>
      </c>
      <c r="B53" s="27" t="s">
        <v>56</v>
      </c>
      <c r="C53" s="27" t="s">
        <v>115</v>
      </c>
      <c r="D53" s="20">
        <f t="shared" si="0"/>
        <v>0</v>
      </c>
      <c r="E53" s="20">
        <f t="shared" si="1"/>
        <v>0</v>
      </c>
      <c r="F53" s="20">
        <f t="shared" si="2"/>
        <v>0</v>
      </c>
      <c r="G53" s="20">
        <f t="shared" si="3"/>
        <v>0</v>
      </c>
      <c r="H53" s="12">
        <f>VLOOKUP(A53,[1]גיליון1!$A:$P,13,0)</f>
        <v>0</v>
      </c>
      <c r="I53" s="12">
        <f>VLOOKUP(A53,[1]גיליון1!$A:$P,14,0)</f>
        <v>0</v>
      </c>
      <c r="J53" s="12">
        <f>VLOOKUP(A53,[1]גיליון1!$A:$P,15,0)</f>
        <v>0</v>
      </c>
      <c r="K53" s="12">
        <f>VLOOKUP(A53,[1]גיליון1!$A:$P,16,0)</f>
        <v>0</v>
      </c>
      <c r="L53" s="68">
        <f>'תפוקה מצטברת מול אשתקד'!H53</f>
        <v>0</v>
      </c>
      <c r="M53" s="68">
        <f>'תפוקה מצטברת מול אשתקד'!I53</f>
        <v>0</v>
      </c>
      <c r="N53" s="68">
        <f>'תפוקה מצטברת מול אשתקד'!J53</f>
        <v>0</v>
      </c>
      <c r="O53" s="68">
        <f>'תפוקה מצטברת מול אשתקד'!K53</f>
        <v>0</v>
      </c>
    </row>
    <row r="54" spans="1:15" ht="21.75" thickBot="1" x14ac:dyDescent="0.3">
      <c r="A54" s="125" t="s">
        <v>124</v>
      </c>
      <c r="B54" s="119"/>
      <c r="C54" s="116"/>
      <c r="D54" s="20">
        <f t="shared" ref="D54" si="8">IF(L54=0,0%,IF(H54=0,100%,L54/H54-1))</f>
        <v>-0.62691346341988208</v>
      </c>
      <c r="E54" s="20">
        <f t="shared" ref="E54" si="9">IF(M54=0,0%,IF(I54=0,100%,M54/I54-1))</f>
        <v>-0.11088549274051562</v>
      </c>
      <c r="F54" s="20">
        <f t="shared" ref="F54" si="10">IF(N54=0,0%,IF(J54=0,100%,N54/J54-1))</f>
        <v>-1.7851970996684452E-2</v>
      </c>
      <c r="G54" s="20">
        <f t="shared" ref="G54" si="11">IF(O54=0,0%,IF(K54=0,100%,O54/K54-1))</f>
        <v>-0.55518850328199132</v>
      </c>
      <c r="H54" s="149">
        <f>SUM(H22:H53)</f>
        <v>3138000</v>
      </c>
      <c r="I54" s="149">
        <f t="shared" ref="I54:O54" si="12">SUM(I22:I53)</f>
        <v>181450</v>
      </c>
      <c r="J54" s="149">
        <f t="shared" si="12"/>
        <v>3243000</v>
      </c>
      <c r="K54" s="149">
        <f t="shared" si="12"/>
        <v>3077400</v>
      </c>
      <c r="L54" s="149">
        <f t="shared" si="12"/>
        <v>1170745.5517884102</v>
      </c>
      <c r="M54" s="149">
        <f t="shared" si="12"/>
        <v>161329.82734223345</v>
      </c>
      <c r="N54" s="149">
        <f t="shared" si="12"/>
        <v>3185106.0580577524</v>
      </c>
      <c r="O54" s="149">
        <f t="shared" si="12"/>
        <v>1368862.9</v>
      </c>
    </row>
    <row r="55" spans="1:15" x14ac:dyDescent="0.25">
      <c r="A55" s="31" t="s">
        <v>33</v>
      </c>
      <c r="B55" s="27" t="s">
        <v>123</v>
      </c>
      <c r="C55" s="27" t="s">
        <v>115</v>
      </c>
      <c r="D55" s="20">
        <f t="shared" ref="D55:G61" si="13">IF(L55=0,0%,IF(H55=0,100%,L55/H55-1))</f>
        <v>-0.7083908333333333</v>
      </c>
      <c r="E55" s="20">
        <f t="shared" si="13"/>
        <v>0</v>
      </c>
      <c r="F55" s="20">
        <f t="shared" si="13"/>
        <v>0</v>
      </c>
      <c r="G55" s="20">
        <f t="shared" si="13"/>
        <v>0</v>
      </c>
      <c r="H55" s="12">
        <f>VLOOKUP(A55,[1]גיליון1!$A:$P,13,0)</f>
        <v>60000</v>
      </c>
      <c r="I55" s="12">
        <f>VLOOKUP(A55,[1]גיליון1!$A:$P,14,0)</f>
        <v>7600</v>
      </c>
      <c r="J55" s="12">
        <f>VLOOKUP(A55,[1]גיליון1!$A:$P,15,0)</f>
        <v>966000.00000000012</v>
      </c>
      <c r="K55" s="12">
        <f>VLOOKUP(A55,[1]גיליון1!$A:$P,16,0)</f>
        <v>138000</v>
      </c>
      <c r="L55" s="68">
        <f>'תפוקה מצטברת מול אשתקד'!H55</f>
        <v>17496.55</v>
      </c>
      <c r="M55" s="68">
        <f>'תפוקה מצטברת מול אשתקד'!I55</f>
        <v>0</v>
      </c>
      <c r="N55" s="68">
        <f>'תפוקה מצטברת מול אשתקד'!J55</f>
        <v>0</v>
      </c>
      <c r="O55" s="68">
        <f>'תפוקה מצטברת מול אשתקד'!K55</f>
        <v>0</v>
      </c>
    </row>
    <row r="56" spans="1:15" x14ac:dyDescent="0.25">
      <c r="A56" s="27" t="s">
        <v>37</v>
      </c>
      <c r="B56" s="27" t="s">
        <v>123</v>
      </c>
      <c r="C56" s="28" t="s">
        <v>115</v>
      </c>
      <c r="D56" s="20">
        <f t="shared" si="13"/>
        <v>-0.5278334771335913</v>
      </c>
      <c r="E56" s="20">
        <f t="shared" si="13"/>
        <v>-0.38975916166775426</v>
      </c>
      <c r="F56" s="20">
        <f t="shared" si="13"/>
        <v>-0.69029332639069696</v>
      </c>
      <c r="G56" s="20">
        <f t="shared" si="13"/>
        <v>1.6018634420289857</v>
      </c>
      <c r="H56" s="12">
        <f>VLOOKUP(A56,[1]גיליון1!$A:$P,13,0)</f>
        <v>480000</v>
      </c>
      <c r="I56" s="12">
        <f>VLOOKUP(A56,[1]גיליון1!$A:$P,14,0)</f>
        <v>33250</v>
      </c>
      <c r="J56" s="12">
        <f>VLOOKUP(A56,[1]גיליון1!$A:$P,15,0)</f>
        <v>552000</v>
      </c>
      <c r="K56" s="12">
        <f>VLOOKUP(A56,[1]גיליון1!$A:$P,16,0)</f>
        <v>552000</v>
      </c>
      <c r="L56" s="68">
        <f>'תפוקה מצטברת מול אשתקד'!H56</f>
        <v>226639.9309758762</v>
      </c>
      <c r="M56" s="68">
        <f>'תפוקה מצטברת מול אשתקד'!I56</f>
        <v>20290.507874547169</v>
      </c>
      <c r="N56" s="68">
        <f>'תפוקה מצטברת מול אשתקד'!J56</f>
        <v>170958.08383233531</v>
      </c>
      <c r="O56" s="68">
        <f>'תפוקה מצטברת מול אשתקד'!K56</f>
        <v>1436228.62</v>
      </c>
    </row>
    <row r="57" spans="1:15" x14ac:dyDescent="0.25">
      <c r="A57" s="27" t="s">
        <v>35</v>
      </c>
      <c r="B57" s="27" t="s">
        <v>123</v>
      </c>
      <c r="C57" s="28" t="s">
        <v>115</v>
      </c>
      <c r="D57" s="20">
        <f t="shared" si="13"/>
        <v>1</v>
      </c>
      <c r="E57" s="20">
        <f t="shared" si="13"/>
        <v>0</v>
      </c>
      <c r="F57" s="20">
        <f t="shared" si="13"/>
        <v>0</v>
      </c>
      <c r="G57" s="20">
        <f t="shared" si="13"/>
        <v>0</v>
      </c>
      <c r="H57" s="12">
        <f>VLOOKUP(A57,[1]גיליון1!$A:$P,13,0)</f>
        <v>0</v>
      </c>
      <c r="I57" s="12">
        <f>VLOOKUP(A57,[1]גיליון1!$A:$P,14,0)</f>
        <v>3800</v>
      </c>
      <c r="J57" s="12">
        <f>VLOOKUP(A57,[1]גיליון1!$A:$P,15,0)</f>
        <v>0</v>
      </c>
      <c r="K57" s="12">
        <f>VLOOKUP(A57,[1]גיליון1!$A:$P,16,0)</f>
        <v>0</v>
      </c>
      <c r="L57" s="68">
        <f>'תפוקה מצטברת מול אשתקד'!H57</f>
        <v>9592.08</v>
      </c>
      <c r="M57" s="68">
        <f>'תפוקה מצטברת מול אשתקד'!I57</f>
        <v>0</v>
      </c>
      <c r="N57" s="68">
        <f>'תפוקה מצטברת מול אשתקד'!J57</f>
        <v>0</v>
      </c>
      <c r="O57" s="68">
        <f>'תפוקה מצטברת מול אשתקד'!K57</f>
        <v>0</v>
      </c>
    </row>
    <row r="58" spans="1:15" x14ac:dyDescent="0.25">
      <c r="A58" s="28" t="s">
        <v>94</v>
      </c>
      <c r="B58" s="28" t="s">
        <v>123</v>
      </c>
      <c r="C58" s="28" t="s">
        <v>115</v>
      </c>
      <c r="D58" s="20">
        <f t="shared" si="13"/>
        <v>-0.91236991666666667</v>
      </c>
      <c r="E58" s="20">
        <f t="shared" si="13"/>
        <v>-0.97275473684210523</v>
      </c>
      <c r="F58" s="20">
        <f t="shared" si="13"/>
        <v>0.84246608695652192</v>
      </c>
      <c r="G58" s="20">
        <f t="shared" si="13"/>
        <v>0</v>
      </c>
      <c r="H58" s="12">
        <f>VLOOKUP(A58,[1]גיליון1!$A:$P,13,0)</f>
        <v>120000</v>
      </c>
      <c r="I58" s="12">
        <f>VLOOKUP(A58,[1]גיליון1!$A:$P,14,0)</f>
        <v>19000</v>
      </c>
      <c r="J58" s="12">
        <f>VLOOKUP(A58,[1]גיליון1!$A:$P,15,0)</f>
        <v>345000</v>
      </c>
      <c r="K58" s="12">
        <f>VLOOKUP(A58,[1]גיליון1!$A:$P,16,0)</f>
        <v>1380000</v>
      </c>
      <c r="L58" s="68">
        <f>'תפוקה מצטברת מול אשתקד'!H58</f>
        <v>10515.61</v>
      </c>
      <c r="M58" s="68">
        <f>'תפוקה מצטברת מול אשתקד'!I58</f>
        <v>517.66</v>
      </c>
      <c r="N58" s="68">
        <f>'תפוקה מצטברת מול אשתקד'!J58</f>
        <v>635650.80000000005</v>
      </c>
      <c r="O58" s="68">
        <f>'תפוקה מצטברת מול אשתקד'!K58</f>
        <v>0</v>
      </c>
    </row>
    <row r="59" spans="1:15" x14ac:dyDescent="0.25">
      <c r="A59" s="27" t="s">
        <v>92</v>
      </c>
      <c r="B59" s="27" t="s">
        <v>123</v>
      </c>
      <c r="C59" s="27" t="s">
        <v>115</v>
      </c>
      <c r="D59" s="20">
        <f t="shared" si="13"/>
        <v>0.27586363200070463</v>
      </c>
      <c r="E59" s="20">
        <f t="shared" si="13"/>
        <v>0.25674071634286699</v>
      </c>
      <c r="F59" s="20">
        <f t="shared" si="13"/>
        <v>4.1057668405797099</v>
      </c>
      <c r="G59" s="20">
        <f t="shared" si="13"/>
        <v>-0.57573555555555567</v>
      </c>
      <c r="H59" s="12">
        <f>VLOOKUP(A59,[1]גיליון1!$A:$P,13,0)</f>
        <v>120000</v>
      </c>
      <c r="I59" s="12">
        <f>VLOOKUP(A59,[1]גיליון1!$A:$P,14,0)</f>
        <v>9500</v>
      </c>
      <c r="J59" s="12">
        <f>VLOOKUP(A59,[1]גיליון1!$A:$P,15,0)</f>
        <v>345000</v>
      </c>
      <c r="K59" s="12">
        <f>VLOOKUP(A59,[1]גיליון1!$A:$P,16,0)</f>
        <v>207000.00000000003</v>
      </c>
      <c r="L59" s="68">
        <f>'תפוקה מצטברת מול אשתקד'!H59</f>
        <v>153103.63584008455</v>
      </c>
      <c r="M59" s="68">
        <f>'תפוקה מצטברת מול אשתקד'!I59</f>
        <v>11939.036805257236</v>
      </c>
      <c r="N59" s="68">
        <f>'תפוקה מצטברת מול אשתקד'!J59</f>
        <v>1761489.56</v>
      </c>
      <c r="O59" s="68">
        <f>'תפוקה מצטברת מול אשתקד'!K59</f>
        <v>87822.74</v>
      </c>
    </row>
    <row r="60" spans="1:15" x14ac:dyDescent="0.25">
      <c r="A60" s="124" t="s">
        <v>107</v>
      </c>
      <c r="B60" s="27" t="s">
        <v>123</v>
      </c>
      <c r="C60" s="28" t="s">
        <v>115</v>
      </c>
      <c r="D60" s="20">
        <f t="shared" si="13"/>
        <v>1</v>
      </c>
      <c r="E60" s="20">
        <f t="shared" si="13"/>
        <v>1</v>
      </c>
      <c r="F60" s="20">
        <f t="shared" si="13"/>
        <v>1</v>
      </c>
      <c r="G60" s="20">
        <f t="shared" si="13"/>
        <v>0</v>
      </c>
      <c r="H60" s="12">
        <f>VLOOKUP(A60,[1]גיליון1!$A:$P,13,0)</f>
        <v>0</v>
      </c>
      <c r="I60" s="12">
        <f>VLOOKUP(A60,[1]גיליון1!$A:$P,14,0)</f>
        <v>0</v>
      </c>
      <c r="J60" s="12">
        <f>VLOOKUP(A60,[1]גיליון1!$A:$P,15,0)</f>
        <v>0</v>
      </c>
      <c r="K60" s="12">
        <f>VLOOKUP(A60,[1]גיליון1!$A:$P,16,0)</f>
        <v>0</v>
      </c>
      <c r="L60" s="68">
        <f>'תפוקה מצטברת מול אשתקד'!H60</f>
        <v>62109.54</v>
      </c>
      <c r="M60" s="68">
        <f>'תפוקה מצטברת מול אשתקד'!I60</f>
        <v>4016.3999999999996</v>
      </c>
      <c r="N60" s="68">
        <f>'תפוקה מצטברת מול אשתקד'!J60</f>
        <v>33500</v>
      </c>
      <c r="O60" s="68">
        <f>'תפוקה מצטברת מול אשתקד'!K60</f>
        <v>0</v>
      </c>
    </row>
    <row r="61" spans="1:15" x14ac:dyDescent="0.25">
      <c r="A61" s="31" t="s">
        <v>16</v>
      </c>
      <c r="B61" s="27" t="s">
        <v>123</v>
      </c>
      <c r="C61" s="28" t="s">
        <v>115</v>
      </c>
      <c r="D61" s="20">
        <f t="shared" si="13"/>
        <v>0</v>
      </c>
      <c r="E61" s="20">
        <f t="shared" si="13"/>
        <v>0</v>
      </c>
      <c r="F61" s="20">
        <f t="shared" si="13"/>
        <v>0</v>
      </c>
      <c r="G61" s="20">
        <f t="shared" si="13"/>
        <v>0</v>
      </c>
      <c r="H61" s="12">
        <f>VLOOKUP(A61,[1]גיליון1!$A:$P,13,0)</f>
        <v>0</v>
      </c>
      <c r="I61" s="12">
        <f>VLOOKUP(A61,[1]גיליון1!$A:$P,14,0)</f>
        <v>9500</v>
      </c>
      <c r="J61" s="12">
        <f>VLOOKUP(A61,[1]גיליון1!$A:$P,15,0)</f>
        <v>0</v>
      </c>
      <c r="K61" s="12">
        <f>VLOOKUP(A61,[1]גיליון1!$A:$P,16,0)</f>
        <v>0</v>
      </c>
      <c r="L61" s="68">
        <f>'תפוקה מצטברת מול אשתקד'!H61</f>
        <v>0</v>
      </c>
      <c r="M61" s="68">
        <f>'תפוקה מצטברת מול אשתקד'!I61</f>
        <v>0</v>
      </c>
      <c r="N61" s="68">
        <f>'תפוקה מצטברת מול אשתקד'!J61</f>
        <v>0</v>
      </c>
      <c r="O61" s="68">
        <f>'תפוקה מצטברת מול אשתקד'!K61</f>
        <v>0</v>
      </c>
    </row>
    <row r="62" spans="1:15" ht="21.75" thickBot="1" x14ac:dyDescent="0.3">
      <c r="A62" s="125" t="s">
        <v>128</v>
      </c>
      <c r="B62" s="119"/>
      <c r="C62" s="116"/>
      <c r="D62" s="20">
        <f t="shared" si="0"/>
        <v>-0.38531109382569151</v>
      </c>
      <c r="E62" s="20">
        <f t="shared" si="1"/>
        <v>-0.55518929607012213</v>
      </c>
      <c r="F62" s="20">
        <f t="shared" si="2"/>
        <v>0.17826016477913753</v>
      </c>
      <c r="G62" s="20">
        <f t="shared" si="3"/>
        <v>-0.33067573122529637</v>
      </c>
      <c r="H62" s="149">
        <f>SUM(H55:H61)</f>
        <v>780000</v>
      </c>
      <c r="I62" s="149">
        <f t="shared" ref="I62:O62" si="14">SUM(I55:I61)</f>
        <v>82650</v>
      </c>
      <c r="J62" s="149">
        <f t="shared" si="14"/>
        <v>2208000</v>
      </c>
      <c r="K62" s="149">
        <f t="shared" si="14"/>
        <v>2277000</v>
      </c>
      <c r="L62" s="149">
        <f t="shared" si="14"/>
        <v>479457.34681596066</v>
      </c>
      <c r="M62" s="149">
        <f t="shared" si="14"/>
        <v>36763.604679804404</v>
      </c>
      <c r="N62" s="149">
        <f t="shared" si="14"/>
        <v>2601598.4438323355</v>
      </c>
      <c r="O62" s="149">
        <f t="shared" si="14"/>
        <v>1524051.36</v>
      </c>
    </row>
    <row r="63" spans="1:15" x14ac:dyDescent="0.25">
      <c r="A63" s="27" t="s">
        <v>84</v>
      </c>
      <c r="B63" s="27" t="s">
        <v>116</v>
      </c>
      <c r="C63" s="27" t="s">
        <v>110</v>
      </c>
      <c r="D63" s="20">
        <f t="shared" si="0"/>
        <v>-0.87823016666666665</v>
      </c>
      <c r="E63" s="20">
        <f t="shared" si="1"/>
        <v>18.277781529816671</v>
      </c>
      <c r="F63" s="20">
        <f t="shared" si="2"/>
        <v>-0.58246942028985504</v>
      </c>
      <c r="G63" s="20">
        <f t="shared" si="3"/>
        <v>9.2940681159420224E-2</v>
      </c>
      <c r="H63" s="12">
        <f>VLOOKUP(A63,[1]גיליון1!$A:$P,13,0)</f>
        <v>120000</v>
      </c>
      <c r="I63" s="12">
        <f>VLOOKUP(A63,[1]גיליון1!$A:$P,14,0)</f>
        <v>14250</v>
      </c>
      <c r="J63" s="12">
        <f>VLOOKUP(A63,[1]גיליון1!$A:$P,15,0)</f>
        <v>1380000</v>
      </c>
      <c r="K63" s="12">
        <f>VLOOKUP(A63,[1]גיליון1!$A:$P,16,0)</f>
        <v>690000</v>
      </c>
      <c r="L63" s="68">
        <f>'תפוקה מצטברת מול אשתקד'!H63</f>
        <v>14612.380000000001</v>
      </c>
      <c r="M63" s="68">
        <f>'תפוקה מצטברת מול אשתקד'!I63</f>
        <v>274708.38679988758</v>
      </c>
      <c r="N63" s="68">
        <f>'תפוקה מצטברת מול אשתקד'!J63</f>
        <v>576192.19999999995</v>
      </c>
      <c r="O63" s="68">
        <f>'תפוקה מצטברת מול אשתקד'!K63</f>
        <v>754129.07</v>
      </c>
    </row>
    <row r="64" spans="1:15" x14ac:dyDescent="0.25">
      <c r="A64" s="31" t="s">
        <v>40</v>
      </c>
      <c r="B64" s="27" t="s">
        <v>56</v>
      </c>
      <c r="C64" s="27" t="s">
        <v>111</v>
      </c>
      <c r="D64" s="20">
        <f t="shared" si="0"/>
        <v>1.1078072106436898</v>
      </c>
      <c r="E64" s="20">
        <f t="shared" si="1"/>
        <v>-0.42235228070175446</v>
      </c>
      <c r="F64" s="20">
        <f t="shared" si="2"/>
        <v>-0.45238855072463768</v>
      </c>
      <c r="G64" s="20">
        <f t="shared" si="3"/>
        <v>0.87151991545893703</v>
      </c>
      <c r="H64" s="12">
        <f>VLOOKUP(A64,[1]גיליון1!$A:$P,13,0)</f>
        <v>360000</v>
      </c>
      <c r="I64" s="12">
        <f>VLOOKUP(A64,[1]גיליון1!$A:$P,14,0)</f>
        <v>57000</v>
      </c>
      <c r="J64" s="12">
        <f>VLOOKUP(A64,[1]גיליון1!$A:$P,15,0)</f>
        <v>1380000</v>
      </c>
      <c r="K64" s="12">
        <f>VLOOKUP(A64,[1]גיליון1!$A:$P,16,0)</f>
        <v>828000.00000000012</v>
      </c>
      <c r="L64" s="68">
        <f>'תפוקה מצטברת מול אשתקד'!H64</f>
        <v>758810.59583172831</v>
      </c>
      <c r="M64" s="68">
        <f>'תפוקה מצטברת מול אשתקד'!I64</f>
        <v>32925.919999999998</v>
      </c>
      <c r="N64" s="68">
        <f>'תפוקה מצטברת מול אשתקד'!J64</f>
        <v>755703.8</v>
      </c>
      <c r="O64" s="68">
        <f>'תפוקה מצטברת מול אשתקד'!K64</f>
        <v>1549618.49</v>
      </c>
    </row>
    <row r="65" spans="1:15" x14ac:dyDescent="0.25">
      <c r="A65" s="27" t="s">
        <v>98</v>
      </c>
      <c r="B65" s="27" t="s">
        <v>116</v>
      </c>
      <c r="C65" s="27" t="s">
        <v>111</v>
      </c>
      <c r="D65" s="20">
        <f t="shared" si="0"/>
        <v>0</v>
      </c>
      <c r="E65" s="20">
        <f t="shared" si="1"/>
        <v>0</v>
      </c>
      <c r="F65" s="20">
        <f t="shared" si="2"/>
        <v>1</v>
      </c>
      <c r="G65" s="20">
        <f t="shared" si="3"/>
        <v>0</v>
      </c>
      <c r="H65" s="12">
        <f>VLOOKUP(A65,[1]גיליון1!$A:$P,13,0)</f>
        <v>0</v>
      </c>
      <c r="I65" s="12">
        <f>VLOOKUP(A65,[1]גיליון1!$A:$P,14,0)</f>
        <v>0</v>
      </c>
      <c r="J65" s="12">
        <f>VLOOKUP(A65,[1]גיליון1!$A:$P,15,0)</f>
        <v>0</v>
      </c>
      <c r="K65" s="12">
        <f>VLOOKUP(A65,[1]גיליון1!$A:$P,16,0)</f>
        <v>0</v>
      </c>
      <c r="L65" s="68">
        <f>'תפוקה מצטברת מול אשתקד'!H65</f>
        <v>0</v>
      </c>
      <c r="M65" s="68">
        <f>'תפוקה מצטברת מול אשתקד'!I65</f>
        <v>0</v>
      </c>
      <c r="N65" s="68">
        <f>'תפוקה מצטברת מול אשתקד'!J65</f>
        <v>500</v>
      </c>
      <c r="O65" s="68">
        <f>'תפוקה מצטברת מול אשתקד'!K65</f>
        <v>0</v>
      </c>
    </row>
    <row r="66" spans="1:15" x14ac:dyDescent="0.25">
      <c r="A66" s="27" t="s">
        <v>100</v>
      </c>
      <c r="B66" s="27" t="s">
        <v>56</v>
      </c>
      <c r="C66" s="27" t="s">
        <v>111</v>
      </c>
      <c r="D66" s="20">
        <f t="shared" ref="D66:D72" si="15">IF(L66=0,0%,IF(H66=0,100%,L66/H66-1))</f>
        <v>1</v>
      </c>
      <c r="E66" s="20">
        <f t="shared" ref="E66:E72" si="16">IF(M66=0,0%,IF(I66=0,100%,M66/I66-1))</f>
        <v>0</v>
      </c>
      <c r="F66" s="20">
        <f t="shared" ref="F66:F72" si="17">IF(N66=0,0%,IF(J66=0,100%,N66/J66-1))</f>
        <v>1</v>
      </c>
      <c r="G66" s="20">
        <f t="shared" ref="G66:G72" si="18">IF(O66=0,0%,IF(K66=0,100%,O66/K66-1))</f>
        <v>1</v>
      </c>
      <c r="H66" s="12"/>
      <c r="I66" s="12"/>
      <c r="J66" s="12"/>
      <c r="K66" s="12"/>
      <c r="L66" s="68">
        <f>'תפוקה מצטברת מול אשתקד'!H66</f>
        <v>90580.75</v>
      </c>
      <c r="M66" s="68">
        <f>'תפוקה מצטברת מול אשתקד'!I66</f>
        <v>0</v>
      </c>
      <c r="N66" s="68">
        <f>'תפוקה מצטברת מול אשתקד'!J66</f>
        <v>3000</v>
      </c>
      <c r="O66" s="68">
        <f>'תפוקה מצטברת מול אשתקד'!K66</f>
        <v>809852.38</v>
      </c>
    </row>
    <row r="67" spans="1:15" x14ac:dyDescent="0.25">
      <c r="A67" s="27" t="s">
        <v>101</v>
      </c>
      <c r="B67" s="27" t="s">
        <v>56</v>
      </c>
      <c r="C67" s="27" t="s">
        <v>111</v>
      </c>
      <c r="D67" s="20">
        <f t="shared" si="15"/>
        <v>0</v>
      </c>
      <c r="E67" s="20">
        <f t="shared" si="16"/>
        <v>0</v>
      </c>
      <c r="F67" s="20">
        <f t="shared" si="17"/>
        <v>0</v>
      </c>
      <c r="G67" s="20">
        <f t="shared" si="18"/>
        <v>0</v>
      </c>
      <c r="H67" s="12"/>
      <c r="I67" s="12"/>
      <c r="J67" s="12"/>
      <c r="K67" s="12"/>
      <c r="L67" s="68">
        <f>'תפוקה מצטברת מול אשתקד'!H67</f>
        <v>0</v>
      </c>
      <c r="M67" s="68">
        <f>'תפוקה מצטברת מול אשתקד'!I67</f>
        <v>0</v>
      </c>
      <c r="N67" s="68">
        <f>'תפוקה מצטברת מול אשתקד'!J67</f>
        <v>0</v>
      </c>
      <c r="O67" s="68">
        <f>'תפוקה מצטברת מול אשתקד'!K67</f>
        <v>0</v>
      </c>
    </row>
    <row r="68" spans="1:15" x14ac:dyDescent="0.25">
      <c r="A68" s="27" t="s">
        <v>108</v>
      </c>
      <c r="B68" s="27" t="s">
        <v>56</v>
      </c>
      <c r="C68" s="27" t="s">
        <v>111</v>
      </c>
      <c r="D68" s="20">
        <f t="shared" si="15"/>
        <v>-0.49631431558240835</v>
      </c>
      <c r="E68" s="20">
        <f t="shared" si="16"/>
        <v>-7.6720596491228088E-2</v>
      </c>
      <c r="F68" s="20">
        <f t="shared" si="17"/>
        <v>6.2354764492753567E-2</v>
      </c>
      <c r="G68" s="20">
        <f t="shared" si="18"/>
        <v>-0.39393228260869573</v>
      </c>
      <c r="H68" s="12">
        <f>VLOOKUP(A68,[1]גיליון1!$A:$P,13,0)</f>
        <v>120000</v>
      </c>
      <c r="I68" s="12">
        <f>VLOOKUP(A68,[1]גיליון1!$A:$P,14,0)</f>
        <v>14250</v>
      </c>
      <c r="J68" s="12">
        <f>VLOOKUP(A68,[1]גיליון1!$A:$P,15,0)</f>
        <v>1104000</v>
      </c>
      <c r="K68" s="12">
        <f>VLOOKUP(A68,[1]גיליון1!$A:$P,16,0)</f>
        <v>828000.00000000012</v>
      </c>
      <c r="L68" s="68">
        <f>'תפוקה מצטברת מול אשתקד'!H68</f>
        <v>60442.282130111002</v>
      </c>
      <c r="M68" s="68">
        <f>'תפוקה מצטברת מול אשתקד'!I68</f>
        <v>13156.7315</v>
      </c>
      <c r="N68" s="68">
        <f>'תפוקה מצטברת מול אשתקד'!J68</f>
        <v>1172839.6599999999</v>
      </c>
      <c r="O68" s="68">
        <f>'תפוקה מצטברת מול אשתקד'!K68</f>
        <v>501824.07</v>
      </c>
    </row>
    <row r="69" spans="1:15" x14ac:dyDescent="0.25">
      <c r="A69" s="112" t="s">
        <v>109</v>
      </c>
      <c r="B69" s="27" t="s">
        <v>56</v>
      </c>
      <c r="C69" s="27" t="s">
        <v>111</v>
      </c>
      <c r="D69" s="20">
        <f t="shared" si="15"/>
        <v>0.83617579483128734</v>
      </c>
      <c r="E69" s="20">
        <f t="shared" si="16"/>
        <v>0.1722903806516658</v>
      </c>
      <c r="F69" s="20">
        <f t="shared" si="17"/>
        <v>0.92685914855072471</v>
      </c>
      <c r="G69" s="20">
        <f t="shared" si="18"/>
        <v>1.742759396135265</v>
      </c>
      <c r="H69" s="12">
        <f>VLOOKUP(A69,[1]גיליון1!$A:$P,13,0)</f>
        <v>360000</v>
      </c>
      <c r="I69" s="12">
        <f>VLOOKUP(A69,[1]גיליון1!$A:$P,14,0)</f>
        <v>23750</v>
      </c>
      <c r="J69" s="12">
        <f>VLOOKUP(A69,[1]גיליון1!$A:$P,15,0)</f>
        <v>2760000</v>
      </c>
      <c r="K69" s="12">
        <f>VLOOKUP(A69,[1]גיליון1!$A:$P,16,0)</f>
        <v>828000.00000000012</v>
      </c>
      <c r="L69" s="68">
        <f>'תפוקה מצטברת מול אשתקד'!H69</f>
        <v>661023.28613926342</v>
      </c>
      <c r="M69" s="68">
        <f>'תפוקה מצטברת מול אשתקד'!I69</f>
        <v>27841.896540477064</v>
      </c>
      <c r="N69" s="68">
        <f>'תפוקה מצטברת מול אשתקד'!J69</f>
        <v>5318131.25</v>
      </c>
      <c r="O69" s="68">
        <f>'תפוקה מצטברת מול אשתקד'!K69</f>
        <v>2271004.7799999998</v>
      </c>
    </row>
    <row r="70" spans="1:15" ht="16.5" thickBot="1" x14ac:dyDescent="0.3">
      <c r="A70" s="27" t="s">
        <v>89</v>
      </c>
      <c r="B70" s="27" t="s">
        <v>56</v>
      </c>
      <c r="C70" s="27" t="s">
        <v>111</v>
      </c>
      <c r="D70" s="20">
        <f t="shared" si="15"/>
        <v>-0.19134766666666669</v>
      </c>
      <c r="E70" s="20">
        <f t="shared" si="16"/>
        <v>-0.59457824561403505</v>
      </c>
      <c r="F70" s="20">
        <f t="shared" si="17"/>
        <v>0</v>
      </c>
      <c r="G70" s="20">
        <f t="shared" si="18"/>
        <v>0</v>
      </c>
      <c r="H70" s="12">
        <f>VLOOKUP(A70,[1]גיליון1!$A:$P,13,0)</f>
        <v>60000</v>
      </c>
      <c r="I70" s="12">
        <f>VLOOKUP(A70,[1]גיליון1!$A:$P,14,0)</f>
        <v>14250</v>
      </c>
      <c r="J70" s="12">
        <f>VLOOKUP(A70,[1]גיליון1!$A:$P,15,0)</f>
        <v>138000</v>
      </c>
      <c r="K70" s="12">
        <f>VLOOKUP(A70,[1]גיליון1!$A:$P,16,0)</f>
        <v>276000</v>
      </c>
      <c r="L70" s="68">
        <f>'תפוקה מצטברת מול אשתקד'!H70</f>
        <v>48519.14</v>
      </c>
      <c r="M70" s="68">
        <f>'תפוקה מצטברת מול אשתקד'!I70</f>
        <v>5777.26</v>
      </c>
      <c r="N70" s="68">
        <f>'תפוקה מצטברת מול אשתקד'!J70</f>
        <v>0</v>
      </c>
      <c r="O70" s="68">
        <f>'תפוקה מצטברת מול אשתקד'!K70</f>
        <v>0</v>
      </c>
    </row>
    <row r="71" spans="1:15" ht="21.75" thickBot="1" x14ac:dyDescent="0.3">
      <c r="A71" s="17" t="s">
        <v>44</v>
      </c>
      <c r="B71" s="173"/>
      <c r="C71" s="208"/>
      <c r="D71" s="20">
        <f t="shared" si="15"/>
        <v>0.60194944519715943</v>
      </c>
      <c r="E71" s="20">
        <f t="shared" si="16"/>
        <v>1.8697181768450575</v>
      </c>
      <c r="F71" s="20">
        <f t="shared" si="17"/>
        <v>0.15740415705412603</v>
      </c>
      <c r="G71" s="20">
        <f t="shared" si="18"/>
        <v>0.70621124347826059</v>
      </c>
      <c r="H71" s="102">
        <f>SUM(H63:H70)</f>
        <v>1020000</v>
      </c>
      <c r="I71" s="102">
        <f t="shared" ref="I71:O71" si="19">SUM(I63:I70)</f>
        <v>123500</v>
      </c>
      <c r="J71" s="102">
        <f t="shared" si="19"/>
        <v>6762000</v>
      </c>
      <c r="K71" s="102">
        <f t="shared" si="19"/>
        <v>3450000</v>
      </c>
      <c r="L71" s="102">
        <f t="shared" si="19"/>
        <v>1633988.4341011026</v>
      </c>
      <c r="M71" s="102">
        <f t="shared" si="19"/>
        <v>354410.19484036462</v>
      </c>
      <c r="N71" s="102">
        <f t="shared" si="19"/>
        <v>7826366.9100000001</v>
      </c>
      <c r="O71" s="102">
        <f t="shared" si="19"/>
        <v>5886428.7899999991</v>
      </c>
    </row>
    <row r="72" spans="1:15" ht="21.75" thickBot="1" x14ac:dyDescent="0.3">
      <c r="A72" s="17" t="s">
        <v>45</v>
      </c>
      <c r="B72" s="173"/>
      <c r="C72" s="208"/>
      <c r="D72" s="20">
        <f t="shared" si="15"/>
        <v>1.67217088884275E-2</v>
      </c>
      <c r="E72" s="20">
        <f t="shared" si="16"/>
        <v>2.7559820354772224E-2</v>
      </c>
      <c r="F72" s="20" t="e">
        <f t="shared" si="17"/>
        <v>#VALUE!</v>
      </c>
      <c r="G72" s="20">
        <f t="shared" si="18"/>
        <v>-0.24139059179863276</v>
      </c>
      <c r="H72" s="102">
        <f>H71+H62+H54+H21+H8</f>
        <v>8274000</v>
      </c>
      <c r="I72" s="102">
        <f t="shared" ref="I72:O72" si="20">I71+I62+I54+I21+I8</f>
        <v>838850</v>
      </c>
      <c r="J72" s="102">
        <f t="shared" si="20"/>
        <v>30153000</v>
      </c>
      <c r="K72" s="102">
        <f t="shared" si="20"/>
        <v>29780400</v>
      </c>
      <c r="L72" s="102">
        <f t="shared" si="20"/>
        <v>8412355.4193428494</v>
      </c>
      <c r="M72" s="102">
        <f t="shared" si="20"/>
        <v>861968.55530460062</v>
      </c>
      <c r="N72" s="102" t="e">
        <f t="shared" si="20"/>
        <v>#VALUE!</v>
      </c>
      <c r="O72" s="102">
        <f t="shared" si="20"/>
        <v>22591691.619999997</v>
      </c>
    </row>
    <row r="73" spans="1:15" x14ac:dyDescent="0.25">
      <c r="D73" s="5"/>
      <c r="E73" s="5"/>
      <c r="F73" s="5"/>
      <c r="G73" s="5"/>
      <c r="H73" s="86"/>
      <c r="I73" s="86"/>
      <c r="J73" s="86"/>
      <c r="K73" s="86"/>
      <c r="L73" s="6"/>
      <c r="M73" s="6"/>
      <c r="N73" s="6"/>
      <c r="O73" s="6"/>
    </row>
    <row r="74" spans="1:15" x14ac:dyDescent="0.25">
      <c r="I74" s="10"/>
      <c r="J74" s="10"/>
      <c r="K74" s="9"/>
      <c r="L74"/>
      <c r="M74"/>
      <c r="N74"/>
      <c r="O74"/>
    </row>
    <row r="75" spans="1:15" x14ac:dyDescent="0.25">
      <c r="B75" s="3"/>
      <c r="C75" s="3"/>
      <c r="H75" s="86"/>
      <c r="I75" s="86"/>
      <c r="J75" s="86"/>
      <c r="K75" s="86"/>
      <c r="L75"/>
      <c r="M75"/>
      <c r="N75"/>
      <c r="O75"/>
    </row>
    <row r="76" spans="1:15" x14ac:dyDescent="0.25">
      <c r="B76" s="3"/>
      <c r="C76" s="3"/>
      <c r="H76" s="10"/>
      <c r="K76"/>
      <c r="L76"/>
      <c r="M76"/>
      <c r="N76"/>
      <c r="O76"/>
    </row>
    <row r="77" spans="1:15" x14ac:dyDescent="0.25">
      <c r="H77" s="10"/>
      <c r="I77" s="10"/>
      <c r="J77" s="10"/>
      <c r="K77"/>
      <c r="L77"/>
      <c r="M77"/>
      <c r="N77"/>
      <c r="O77"/>
    </row>
    <row r="78" spans="1:15" x14ac:dyDescent="0.25">
      <c r="K78"/>
      <c r="L78" s="9"/>
      <c r="M78" s="9"/>
      <c r="N78" s="9"/>
      <c r="O78" s="9"/>
    </row>
    <row r="79" spans="1:15" x14ac:dyDescent="0.25">
      <c r="K79"/>
      <c r="L79"/>
      <c r="M79"/>
      <c r="N79"/>
      <c r="O79"/>
    </row>
  </sheetData>
  <autoFilter ref="A2:O72" xr:uid="{20100A0E-83EC-4DBB-BD3E-7E64456E7812}"/>
  <mergeCells count="3">
    <mergeCell ref="L1:O1"/>
    <mergeCell ref="H1:K1"/>
    <mergeCell ref="D1:G1"/>
  </mergeCells>
  <conditionalFormatting sqref="A14">
    <cfRule type="duplicateValues" dxfId="255" priority="3"/>
    <cfRule type="duplicateValues" dxfId="254" priority="4"/>
  </conditionalFormatting>
  <conditionalFormatting sqref="A55">
    <cfRule type="duplicateValues" dxfId="253" priority="7"/>
    <cfRule type="duplicateValues" dxfId="252" priority="8"/>
  </conditionalFormatting>
  <conditionalFormatting sqref="A58">
    <cfRule type="duplicateValues" dxfId="251" priority="1"/>
    <cfRule type="duplicateValues" dxfId="250" priority="2"/>
  </conditionalFormatting>
  <conditionalFormatting sqref="A59 A56:A57 A7 A22:A53 A61">
    <cfRule type="duplicateValues" dxfId="249" priority="250"/>
    <cfRule type="duplicateValues" dxfId="248" priority="251"/>
  </conditionalFormatting>
  <conditionalFormatting sqref="A63:A70">
    <cfRule type="duplicateValues" dxfId="247" priority="11"/>
    <cfRule type="duplicateValues" dxfId="246" priority="12"/>
  </conditionalFormatting>
  <conditionalFormatting sqref="A71:A72 A1:A6 A8:A13 A15:A21 A54 A62">
    <cfRule type="duplicateValues" dxfId="245" priority="9"/>
    <cfRule type="duplicateValues" dxfId="244" priority="10"/>
  </conditionalFormatting>
  <conditionalFormatting sqref="D1 D2:G74 B75:C76 E75:G76 D77:G1048576">
    <cfRule type="cellIs" dxfId="243" priority="35" operator="lessThan">
      <formula>-0.0001</formula>
    </cfRule>
  </conditionalFormatting>
  <conditionalFormatting sqref="D3:G74 B75:C76 E75:G76 D77:G1048576">
    <cfRule type="cellIs" dxfId="242" priority="28" operator="greaterThan">
      <formula>0.1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556E0-BEA5-4A33-8A86-06A0464561C3}">
  <sheetPr>
    <tabColor theme="4" tint="0.39997558519241921"/>
  </sheetPr>
  <dimension ref="A1:F65"/>
  <sheetViews>
    <sheetView rightToLeft="1" workbookViewId="0">
      <selection activeCell="G23" sqref="G23"/>
    </sheetView>
  </sheetViews>
  <sheetFormatPr defaultColWidth="21.7109375" defaultRowHeight="15.75" x14ac:dyDescent="0.25"/>
  <cols>
    <col min="1" max="1" width="30" style="8" bestFit="1" customWidth="1"/>
    <col min="2" max="2" width="9.5703125" style="7" bestFit="1" customWidth="1"/>
    <col min="3" max="3" width="13.5703125" style="7" bestFit="1" customWidth="1"/>
    <col min="4" max="5" width="21.85546875" style="7" bestFit="1" customWidth="1"/>
  </cols>
  <sheetData>
    <row r="1" spans="1:5" ht="42" x14ac:dyDescent="0.25">
      <c r="A1" s="11" t="s">
        <v>0</v>
      </c>
      <c r="B1" s="107" t="s">
        <v>81</v>
      </c>
      <c r="C1" s="106" t="s">
        <v>82</v>
      </c>
      <c r="D1" s="105" t="s">
        <v>126</v>
      </c>
      <c r="E1" s="104" t="s">
        <v>127</v>
      </c>
    </row>
    <row r="2" spans="1:5" x14ac:dyDescent="0.25">
      <c r="A2" s="27" t="s">
        <v>7</v>
      </c>
      <c r="B2" s="20">
        <f t="shared" ref="B2:B33" si="0">IF(D2=0,0%,IF(E2=0,100%,D2/E2-1))</f>
        <v>-0.64626971052012228</v>
      </c>
      <c r="C2" s="21">
        <f t="shared" ref="C2:C33" si="1">D2-E2</f>
        <v>-109.83999999999997</v>
      </c>
      <c r="D2" s="22">
        <f>IFERROR(VLOOKUP(A2,הכשרה!A:K,5,0)+VLOOKUP('עולים יורדים'!A2,מגדל!A:G,5,0)+VLOOKUP('עולים יורדים'!A2,מנורה!A:G,5,0)+VLOOKUP('עולים יורדים'!A2,איילון!A:G,5,0)+VLOOKUP('עולים יורדים'!A2,הראל!A:G,5,0)+VLOOKUP('עולים יורדים'!A2,הפניקס!A:G,5,0)+VLOOKUP('עולים יורדים'!A2,כלל!A:G,5,0)+VLOOKUP('עולים יורדים'!A2,מור!A:G,5,0)+VLOOKUP('עולים יורדים'!A2,'אלטשולר שחם'!A:G,5,0)+VLOOKUP('עולים יורדים'!A2,'מדיהו '!A:G,5,0)+VLOOKUP('עולים יורדים'!A2,'אנליסט '!A:G,5,0)+VLOOKUP('עולים יורדים'!A2,'מיטב דש'!A:G,5,0)+VLOOKUP('עולים יורדים'!A2,אינפניטי!A:G,5,0),0)</f>
        <v>60.12</v>
      </c>
      <c r="E2" s="23">
        <f>IFERROR(VLOOKUP(A2,הכשרה!A:K,9,0)+VLOOKUP('עולים יורדים'!A2,מגדל!A:K,9,0)+VLOOKUP('עולים יורדים'!A2,מנורה!A:K,9,0)+VLOOKUP('עולים יורדים'!A2,איילון!A:K,9,0)+VLOOKUP('עולים יורדים'!A2,הראל!A:K,9,0)+VLOOKUP('עולים יורדים'!A2,הפניקס!A:K,9,0)+VLOOKUP('עולים יורדים'!A2,כלל!A:K,9,0)+VLOOKUP('עולים יורדים'!A2,מור!A:K,9,0)+VLOOKUP('עולים יורדים'!A2,'אלטשולר שחם'!A:K,9,0)+VLOOKUP('עולים יורדים'!A2,'מדיהו '!A:K,9,0)+VLOOKUP('עולים יורדים'!A2,'אנליסט '!A:K,9,0)+VLOOKUP('עולים יורדים'!A2,'מיטב דש'!A:K,9,0)+VLOOKUP('עולים יורדים'!A2,אינפניטי!A:K,9,0),0)</f>
        <v>169.95999999999998</v>
      </c>
    </row>
    <row r="3" spans="1:5" x14ac:dyDescent="0.25">
      <c r="A3" s="27" t="s">
        <v>41</v>
      </c>
      <c r="B3" s="20">
        <f t="shared" si="0"/>
        <v>0</v>
      </c>
      <c r="C3" s="21">
        <f t="shared" si="1"/>
        <v>12688.12954195676</v>
      </c>
      <c r="D3" s="22">
        <v>0</v>
      </c>
      <c r="E3" s="23">
        <f>IFERROR(VLOOKUP(A3,הכשרה!A:K,9,0)+VLOOKUP('עולים יורדים'!A3,מגדל!A:K,9,0)+VLOOKUP('עולים יורדים'!A3,מנורה!A:K,9,0)+VLOOKUP('עולים יורדים'!A3,איילון!A:K,9,0)+VLOOKUP('עולים יורדים'!A3,הראל!A:K,9,0)+VLOOKUP('עולים יורדים'!A3,הפניקס!A:K,9,0)+VLOOKUP('עולים יורדים'!A3,כלל!A:K,9,0)+VLOOKUP('עולים יורדים'!A3,מור!A:K,9,0)+VLOOKUP('עולים יורדים'!A3,'אלטשולר שחם'!A:K,9,0)+VLOOKUP('עולים יורדים'!A3,'מדיהו '!A:K,9,0)+VLOOKUP('עולים יורדים'!A3,'אנליסט '!A:K,9,0)+VLOOKUP('עולים יורדים'!A3,'מיטב דש'!A:K,9,0)+VLOOKUP('עולים יורדים'!A3,אינפניטי!A:K,9,0),0)</f>
        <v>-12688.12954195676</v>
      </c>
    </row>
    <row r="4" spans="1:5" x14ac:dyDescent="0.25">
      <c r="A4" s="31" t="s">
        <v>33</v>
      </c>
      <c r="B4" s="20">
        <f t="shared" si="0"/>
        <v>-0.72831951296315744</v>
      </c>
      <c r="C4" s="21">
        <f t="shared" si="1"/>
        <v>-1387.7400000000002</v>
      </c>
      <c r="D4" s="22">
        <f>IFERROR(VLOOKUP(A4,הכשרה!A:K,5,0)+VLOOKUP('עולים יורדים'!A4,מגדל!A:G,5,0)+VLOOKUP('עולים יורדים'!A4,מנורה!A:G,5,0)+VLOOKUP('עולים יורדים'!A4,איילון!A:G,5,0)+VLOOKUP('עולים יורדים'!A4,הראל!A:G,5,0)+VLOOKUP('עולים יורדים'!A4,הפניקס!A:G,5,0)+VLOOKUP('עולים יורדים'!A4,כלל!A:G,5,0)+VLOOKUP('עולים יורדים'!A4,מור!A:G,5,0)+VLOOKUP('עולים יורדים'!A4,'אלטשולר שחם'!A:G,5,0)+VLOOKUP('עולים יורדים'!A4,'מדיהו '!A:G,5,0)+VLOOKUP('עולים יורדים'!A4,'אנליסט '!A:G,5,0)+VLOOKUP('עולים יורדים'!A4,'מיטב דש'!A:G,5,0)+VLOOKUP('עולים יורדים'!A4,אינפניטי!A:G,5,0),0)</f>
        <v>517.66</v>
      </c>
      <c r="E4" s="23">
        <f>IFERROR(VLOOKUP(A4,הכשרה!A:K,9,0)+VLOOKUP('עולים יורדים'!A4,מגדל!A:K,9,0)+VLOOKUP('עולים יורדים'!A4,מנורה!A:K,9,0)+VLOOKUP('עולים יורדים'!A4,איילון!A:K,9,0)+VLOOKUP('עולים יורדים'!A4,הראל!A:K,9,0)+VLOOKUP('עולים יורדים'!A4,הפניקס!A:K,9,0)+VLOOKUP('עולים יורדים'!A4,כלל!A:K,9,0)+VLOOKUP('עולים יורדים'!A4,מור!A:K,9,0)+VLOOKUP('עולים יורדים'!A4,'אלטשולר שחם'!A:K,9,0)+VLOOKUP('עולים יורדים'!A4,'מדיהו '!A:K,9,0)+VLOOKUP('עולים יורדים'!A4,'אנליסט '!A:K,9,0)+VLOOKUP('עולים יורדים'!A4,'מיטב דש'!A:K,9,0)+VLOOKUP('עולים יורדים'!A4,אינפניטי!A:K,9,0),0)</f>
        <v>1905.4</v>
      </c>
    </row>
    <row r="5" spans="1:5" x14ac:dyDescent="0.25">
      <c r="A5" s="27" t="s">
        <v>4</v>
      </c>
      <c r="B5" s="20">
        <f t="shared" si="0"/>
        <v>-0.66334164588528677</v>
      </c>
      <c r="C5" s="21">
        <f t="shared" si="1"/>
        <v>-53.2</v>
      </c>
      <c r="D5" s="22">
        <f>IFERROR(VLOOKUP(A5,הכשרה!A:K,5,0)+VLOOKUP('עולים יורדים'!A5,מגדל!A:G,5,0)+VLOOKUP('עולים יורדים'!A5,מנורה!A:G,5,0)+VLOOKUP('עולים יורדים'!A5,איילון!A:G,5,0)+VLOOKUP('עולים יורדים'!A5,הראל!A:G,5,0)+VLOOKUP('עולים יורדים'!A5,הפניקס!A:G,5,0)+VLOOKUP('עולים יורדים'!A5,כלל!A:G,5,0)+VLOOKUP('עולים יורדים'!A5,מור!A:G,5,0)+VLOOKUP('עולים יורדים'!A5,'אלטשולר שחם'!A:G,5,0)+VLOOKUP('עולים יורדים'!A5,'מדיהו '!A:G,5,0)+VLOOKUP('עולים יורדים'!A5,'אנליסט '!A:G,5,0)+VLOOKUP('עולים יורדים'!A5,'מיטב דש'!A:G,5,0)+VLOOKUP('עולים יורדים'!A5,אינפניטי!A:G,5,0),0)</f>
        <v>27</v>
      </c>
      <c r="E5" s="23">
        <f>IFERROR(VLOOKUP(A5,הכשרה!A:K,9,0)+VLOOKUP('עולים יורדים'!A5,מגדל!A:K,9,0)+VLOOKUP('עולים יורדים'!A5,מנורה!A:K,9,0)+VLOOKUP('עולים יורדים'!A5,איילון!A:K,9,0)+VLOOKUP('עולים יורדים'!A5,הראל!A:K,9,0)+VLOOKUP('עולים יורדים'!A5,הפניקס!A:K,9,0)+VLOOKUP('עולים יורדים'!A5,כלל!A:K,9,0)+VLOOKUP('עולים יורדים'!A5,מור!A:K,9,0)+VLOOKUP('עולים יורדים'!A5,'אלטשולר שחם'!A:K,9,0)+VLOOKUP('עולים יורדים'!A5,'מדיהו '!A:K,9,0)+VLOOKUP('עולים יורדים'!A5,'אנליסט '!A:K,9,0)+VLOOKUP('עולים יורדים'!A5,'מיטב דש'!A:K,9,0)+VLOOKUP('עולים יורדים'!A5,אינפניטי!A:K,9,0),0)</f>
        <v>80.2</v>
      </c>
    </row>
    <row r="6" spans="1:5" x14ac:dyDescent="0.25">
      <c r="A6" s="27" t="s">
        <v>96</v>
      </c>
      <c r="B6" s="20">
        <f t="shared" si="0"/>
        <v>1</v>
      </c>
      <c r="C6" s="21">
        <f t="shared" si="1"/>
        <v>1407.55</v>
      </c>
      <c r="D6" s="22">
        <f>IFERROR(VLOOKUP(A6,הכשרה!A:K,5,0)+VLOOKUP('עולים יורדים'!A6,מגדל!A:G,5,0)+VLOOKUP('עולים יורדים'!A6,מנורה!A:G,5,0)+VLOOKUP('עולים יורדים'!A6,איילון!A:G,5,0)+VLOOKUP('עולים יורדים'!A6,הראל!A:G,5,0)+VLOOKUP('עולים יורדים'!A6,הפניקס!A:G,5,0)+VLOOKUP('עולים יורדים'!A6,כלל!A:G,5,0)+VLOOKUP('עולים יורדים'!A6,מור!A:G,5,0)+VLOOKUP('עולים יורדים'!A6,'אלטשולר שחם'!A:G,5,0)+VLOOKUP('עולים יורדים'!A6,'מדיהו '!A:G,5,0)+VLOOKUP('עולים יורדים'!A6,'אנליסט '!A:G,5,0)+VLOOKUP('עולים יורדים'!A6,'מיטב דש'!A:G,5,0)+VLOOKUP('עולים יורדים'!A6,אינפניטי!A:G,5,0),0)</f>
        <v>1407.55</v>
      </c>
      <c r="E6" s="23">
        <f>IFERROR(VLOOKUP(A6,הכשרה!A:K,9,0)+VLOOKUP('עולים יורדים'!A6,מגדל!A:K,9,0)+VLOOKUP('עולים יורדים'!A6,מנורה!A:K,9,0)+VLOOKUP('עולים יורדים'!A6,איילון!A:K,9,0)+VLOOKUP('עולים יורדים'!A6,הראל!A:K,9,0)+VLOOKUP('עולים יורדים'!A6,הפניקס!A:K,9,0)+VLOOKUP('עולים יורדים'!A6,כלל!A:K,9,0)+VLOOKUP('עולים יורדים'!A6,מור!A:K,9,0)+VLOOKUP('עולים יורדים'!A6,'אלטשולר שחם'!A:K,9,0)+VLOOKUP('עולים יורדים'!A6,'מדיהו '!A:K,9,0)+VLOOKUP('עולים יורדים'!A6,'אנליסט '!A:K,9,0)+VLOOKUP('עולים יורדים'!A6,'מיטב דש'!A:K,9,0)+VLOOKUP('עולים יורדים'!A6,אינפניטי!A:K,9,0),0)</f>
        <v>0</v>
      </c>
    </row>
    <row r="7" spans="1:5" x14ac:dyDescent="0.25">
      <c r="A7" s="27" t="s">
        <v>26</v>
      </c>
      <c r="B7" s="20">
        <f t="shared" si="0"/>
        <v>0</v>
      </c>
      <c r="C7" s="21">
        <f t="shared" si="1"/>
        <v>0</v>
      </c>
      <c r="D7" s="22">
        <f>IFERROR(VLOOKUP(A7,הכשרה!A:K,5,0)+VLOOKUP('עולים יורדים'!A7,מגדל!A:G,5,0)+VLOOKUP('עולים יורדים'!A7,מנורה!A:G,5,0)+VLOOKUP('עולים יורדים'!A7,איילון!A:G,5,0)+VLOOKUP('עולים יורדים'!A7,הראל!A:G,5,0)+VLOOKUP('עולים יורדים'!A7,הפניקס!A:G,5,0)+VLOOKUP('עולים יורדים'!A7,כלל!A:G,5,0)+VLOOKUP('עולים יורדים'!A7,מור!A:G,5,0)+VLOOKUP('עולים יורדים'!A7,'אלטשולר שחם'!A:G,5,0)+VLOOKUP('עולים יורדים'!A7,'מדיהו '!A:G,5,0)+VLOOKUP('עולים יורדים'!A7,'אנליסט '!A:G,5,0)+VLOOKUP('עולים יורדים'!A7,'מיטב דש'!A:G,5,0)+VLOOKUP('עולים יורדים'!A7,אינפניטי!A:G,5,0),0)</f>
        <v>0</v>
      </c>
      <c r="E7" s="23">
        <f>IFERROR(VLOOKUP(A7,הכשרה!A:K,9,0)+VLOOKUP('עולים יורדים'!A7,מגדל!A:K,9,0)+VLOOKUP('עולים יורדים'!A7,מנורה!A:K,9,0)+VLOOKUP('עולים יורדים'!A7,איילון!A:K,9,0)+VLOOKUP('עולים יורדים'!A7,הראל!A:K,9,0)+VLOOKUP('עולים יורדים'!A7,הפניקס!A:K,9,0)+VLOOKUP('עולים יורדים'!A7,כלל!A:K,9,0)+VLOOKUP('עולים יורדים'!A7,מור!A:K,9,0)+VLOOKUP('עולים יורדים'!A7,'אלטשולר שחם'!A:K,9,0)+VLOOKUP('עולים יורדים'!A7,'מדיהו '!A:K,9,0)+VLOOKUP('עולים יורדים'!A7,'אנליסט '!A:K,9,0)+VLOOKUP('עולים יורדים'!A7,'מיטב דש'!A:K,9,0)+VLOOKUP('עולים יורדים'!A7,אינפניטי!A:K,9,0),0)</f>
        <v>0</v>
      </c>
    </row>
    <row r="8" spans="1:5" x14ac:dyDescent="0.25">
      <c r="A8" s="27" t="s">
        <v>27</v>
      </c>
      <c r="B8" s="20">
        <f t="shared" si="0"/>
        <v>0</v>
      </c>
      <c r="C8" s="21">
        <f t="shared" si="1"/>
        <v>0</v>
      </c>
      <c r="D8" s="22">
        <f>IFERROR(VLOOKUP(A8,הכשרה!A:K,5,0)+VLOOKUP('עולים יורדים'!A8,מגדל!A:G,5,0)+VLOOKUP('עולים יורדים'!A8,מנורה!A:G,5,0)+VLOOKUP('עולים יורדים'!A8,איילון!A:G,5,0)+VLOOKUP('עולים יורדים'!A8,הראל!A:G,5,0)+VLOOKUP('עולים יורדים'!A8,הפניקס!A:G,5,0)+VLOOKUP('עולים יורדים'!A8,כלל!A:G,5,0)+VLOOKUP('עולים יורדים'!A8,מור!A:G,5,0)+VLOOKUP('עולים יורדים'!A8,'אלטשולר שחם'!A:G,5,0)+VLOOKUP('עולים יורדים'!A8,'מדיהו '!A:G,5,0)+VLOOKUP('עולים יורדים'!A8,'אנליסט '!A:G,5,0)+VLOOKUP('עולים יורדים'!A8,'מיטב דש'!A:G,5,0)+VLOOKUP('עולים יורדים'!A8,אינפניטי!A:G,5,0),0)</f>
        <v>0</v>
      </c>
      <c r="E8" s="23">
        <f>IFERROR(VLOOKUP(A8,הכשרה!A:K,9,0)+VLOOKUP('עולים יורדים'!A8,מגדל!A:K,9,0)+VLOOKUP('עולים יורדים'!A8,מנורה!A:K,9,0)+VLOOKUP('עולים יורדים'!A8,איילון!A:K,9,0)+VLOOKUP('עולים יורדים'!A8,הראל!A:K,9,0)+VLOOKUP('עולים יורדים'!A8,הפניקס!A:K,9,0)+VLOOKUP('עולים יורדים'!A8,כלל!A:K,9,0)+VLOOKUP('עולים יורדים'!A8,מור!A:K,9,0)+VLOOKUP('עולים יורדים'!A8,'אלטשולר שחם'!A:K,9,0)+VLOOKUP('עולים יורדים'!A8,'מדיהו '!A:K,9,0)+VLOOKUP('עולים יורדים'!A8,'אנליסט '!A:K,9,0)+VLOOKUP('עולים יורדים'!A8,'מיטב דש'!A:K,9,0)+VLOOKUP('עולים יורדים'!A8,אינפניטי!A:K,9,0),0)</f>
        <v>0</v>
      </c>
    </row>
    <row r="9" spans="1:5" x14ac:dyDescent="0.25">
      <c r="A9" s="31" t="s">
        <v>17</v>
      </c>
      <c r="B9" s="20">
        <f t="shared" si="0"/>
        <v>-0.19168022435956367</v>
      </c>
      <c r="C9" s="21">
        <f t="shared" si="1"/>
        <v>-5508.7623163047429</v>
      </c>
      <c r="D9" s="22">
        <f>IFERROR(VLOOKUP(A9,הכשרה!A:K,5,0)+VLOOKUP('עולים יורדים'!A9,מגדל!A:G,5,0)+VLOOKUP('עולים יורדים'!A9,מנורה!A:G,5,0)+VLOOKUP('עולים יורדים'!A9,איילון!A:G,5,0)+VLOOKUP('עולים יורדים'!A9,הראל!A:G,5,0)+VLOOKUP('עולים יורדים'!A9,הפניקס!A:G,5,0)+VLOOKUP('עולים יורדים'!A9,כלל!A:G,5,0)+VLOOKUP('עולים יורדים'!A9,מור!A:G,5,0)+VLOOKUP('עולים יורדים'!A9,'אלטשולר שחם'!A:G,5,0)+VLOOKUP('עולים יורדים'!A9,'מדיהו '!A:G,5,0)+VLOOKUP('עולים יורדים'!A9,'אנליסט '!A:G,5,0)+VLOOKUP('עולים יורדים'!A9,'מיטב דש'!A:G,5,0)+VLOOKUP('עולים יורדים'!A9,אינפניטי!A:G,5,0),0)</f>
        <v>23230.57339091523</v>
      </c>
      <c r="E9" s="23">
        <f>IFERROR(VLOOKUP(A9,הכשרה!A:K,9,0)+VLOOKUP('עולים יורדים'!A9,מגדל!A:K,9,0)+VLOOKUP('עולים יורדים'!A9,מנורה!A:K,9,0)+VLOOKUP('עולים יורדים'!A9,איילון!A:K,9,0)+VLOOKUP('עולים יורדים'!A9,הראל!A:K,9,0)+VLOOKUP('עולים יורדים'!A9,הפניקס!A:K,9,0)+VLOOKUP('עולים יורדים'!A9,כלל!A:K,9,0)+VLOOKUP('עולים יורדים'!A9,מור!A:K,9,0)+VLOOKUP('עולים יורדים'!A9,'אלטשולר שחם'!A:K,9,0)+VLOOKUP('עולים יורדים'!A9,'מדיהו '!A:K,9,0)+VLOOKUP('עולים יורדים'!A9,'אנליסט '!A:K,9,0)+VLOOKUP('עולים יורדים'!A9,'מיטב דש'!A:K,9,0)+VLOOKUP('עולים יורדים'!A9,אינפניטי!A:K,9,0),0)</f>
        <v>28739.335707219972</v>
      </c>
    </row>
    <row r="10" spans="1:5" x14ac:dyDescent="0.25">
      <c r="A10" s="27" t="s">
        <v>35</v>
      </c>
      <c r="B10" s="20">
        <f t="shared" si="0"/>
        <v>0</v>
      </c>
      <c r="C10" s="21">
        <f t="shared" si="1"/>
        <v>-2419.58</v>
      </c>
      <c r="D10" s="22">
        <f>IFERROR(VLOOKUP(A10,הכשרה!A:K,5,0)+VLOOKUP('עולים יורדים'!A10,מגדל!A:G,5,0)+VLOOKUP('עולים יורדים'!A10,מנורה!A:G,5,0)+VLOOKUP('עולים יורדים'!A10,איילון!A:G,5,0)+VLOOKUP('עולים יורדים'!A10,הראל!A:G,5,0)+VLOOKUP('עולים יורדים'!A10,הפניקס!A:G,5,0)+VLOOKUP('עולים יורדים'!A10,כלל!A:G,5,0)+VLOOKUP('עולים יורדים'!A10,מור!A:G,5,0)+VLOOKUP('עולים יורדים'!A10,'אלטשולר שחם'!A:G,5,0)+VLOOKUP('עולים יורדים'!A10,'מדיהו '!A:G,5,0)+VLOOKUP('עולים יורדים'!A10,'אנליסט '!A:G,5,0)+VLOOKUP('עולים יורדים'!A10,'מיטב דש'!A:G,5,0)+VLOOKUP('עולים יורדים'!A10,אינפניטי!A:G,5,0),0)</f>
        <v>0</v>
      </c>
      <c r="E10" s="23">
        <f>IFERROR(VLOOKUP(A10,הכשרה!A:K,9,0)+VLOOKUP('עולים יורדים'!A10,מגדל!A:K,9,0)+VLOOKUP('עולים יורדים'!A10,מנורה!A:K,9,0)+VLOOKUP('עולים יורדים'!A10,איילון!A:K,9,0)+VLOOKUP('עולים יורדים'!A10,הראל!A:K,9,0)+VLOOKUP('עולים יורדים'!A10,הפניקס!A:K,9,0)+VLOOKUP('עולים יורדים'!A10,כלל!A:K,9,0)+VLOOKUP('עולים יורדים'!A10,מור!A:K,9,0)+VLOOKUP('עולים יורדים'!A10,'אלטשולר שחם'!A:K,9,0)+VLOOKUP('עולים יורדים'!A10,'מדיהו '!A:K,9,0)+VLOOKUP('עולים יורדים'!A10,'אנליסט '!A:K,9,0)+VLOOKUP('עולים יורדים'!A10,'מיטב דש'!A:K,9,0)+VLOOKUP('עולים יורדים'!A10,אינפניטי!A:K,9,0),0)</f>
        <v>2419.58</v>
      </c>
    </row>
    <row r="11" spans="1:5" x14ac:dyDescent="0.25">
      <c r="A11" s="27" t="s">
        <v>23</v>
      </c>
      <c r="B11" s="20">
        <f t="shared" si="0"/>
        <v>0</v>
      </c>
      <c r="C11" s="21">
        <f t="shared" si="1"/>
        <v>1685.5731230000001</v>
      </c>
      <c r="D11" s="22">
        <f>IFERROR(VLOOKUP(A11,הכשרה!A:K,5,0)+VLOOKUP('עולים יורדים'!A11,מגדל!A:G,5,0)+VLOOKUP('עולים יורדים'!A11,מנורה!A:G,5,0)+VLOOKUP('עולים יורדים'!A11,איילון!A:G,5,0)+VLOOKUP('עולים יורדים'!A11,הראל!A:G,5,0)+VLOOKUP('עולים יורדים'!A11,הפניקס!A:G,5,0)+VLOOKUP('עולים יורדים'!A11,כלל!A:G,5,0)+VLOOKUP('עולים יורדים'!A11,מור!A:G,5,0)+VLOOKUP('עולים יורדים'!A11,'אלטשולר שחם'!A:G,5,0)+VLOOKUP('עולים יורדים'!A11,'מדיהו '!A:G,5,0)+VLOOKUP('עולים יורדים'!A11,'אנליסט '!A:G,5,0)+VLOOKUP('עולים יורדים'!A11,'מיטב דש'!A:G,5,0)+VLOOKUP('עולים יורדים'!A11,אינפניטי!A:G,5,0),0)</f>
        <v>0</v>
      </c>
      <c r="E11" s="23">
        <f>IFERROR(VLOOKUP(A11,הכשרה!A:K,9,0)+VLOOKUP('עולים יורדים'!A11,מגדל!A:K,9,0)+VLOOKUP('עולים יורדים'!A11,מנורה!A:K,9,0)+VLOOKUP('עולים יורדים'!A11,איילון!A:K,9,0)+VLOOKUP('עולים יורדים'!A11,הראל!A:K,9,0)+VLOOKUP('עולים יורדים'!A11,הפניקס!A:K,9,0)+VLOOKUP('עולים יורדים'!A11,כלל!A:K,9,0)+VLOOKUP('עולים יורדים'!A11,מור!A:K,9,0)+VLOOKUP('עולים יורדים'!A11,'אלטשולר שחם'!A:K,9,0)+VLOOKUP('עולים יורדים'!A11,'מדיהו '!A:K,9,0)+VLOOKUP('עולים יורדים'!A11,'אנליסט '!A:K,9,0)+VLOOKUP('עולים יורדים'!A11,'מיטב דש'!A:K,9,0)+VLOOKUP('עולים יורדים'!A11,אינפניטי!A:K,9,0),0)</f>
        <v>-1685.5731230000001</v>
      </c>
    </row>
    <row r="12" spans="1:5" x14ac:dyDescent="0.25">
      <c r="A12" s="27" t="s">
        <v>93</v>
      </c>
      <c r="B12" s="20">
        <f t="shared" si="0"/>
        <v>0</v>
      </c>
      <c r="C12" s="21">
        <f t="shared" si="1"/>
        <v>0</v>
      </c>
      <c r="D12" s="22">
        <f>IFERROR(VLOOKUP(A12,הכשרה!A:K,5,0)+VLOOKUP('עולים יורדים'!A12,מגדל!A:G,5,0)+VLOOKUP('עולים יורדים'!A12,מנורה!A:G,5,0)+VLOOKUP('עולים יורדים'!A12,איילון!A:G,5,0)+VLOOKUP('עולים יורדים'!A12,הראל!A:G,5,0)+VLOOKUP('עולים יורדים'!A12,הפניקס!A:G,5,0)+VLOOKUP('עולים יורדים'!A12,כלל!A:G,5,0)+VLOOKUP('עולים יורדים'!A12,מור!A:G,5,0)+VLOOKUP('עולים יורדים'!A12,'אלטשולר שחם'!A:G,5,0)+VLOOKUP('עולים יורדים'!A12,'מדיהו '!A:G,5,0)+VLOOKUP('עולים יורדים'!A12,'אנליסט '!A:G,5,0)+VLOOKUP('עולים יורדים'!A12,'מיטב דש'!A:G,5,0)+VLOOKUP('עולים יורדים'!A12,אינפניטי!A:G,5,0),0)</f>
        <v>0</v>
      </c>
      <c r="E12" s="23">
        <f>IFERROR(VLOOKUP(A12,הכשרה!A:K,9,0)+VLOOKUP('עולים יורדים'!A12,מגדל!A:K,9,0)+VLOOKUP('עולים יורדים'!A12,מנורה!A:K,9,0)+VLOOKUP('עולים יורדים'!A12,איילון!A:K,9,0)+VLOOKUP('עולים יורדים'!A12,הראל!A:K,9,0)+VLOOKUP('עולים יורדים'!A12,הפניקס!A:K,9,0)+VLOOKUP('עולים יורדים'!A12,כלל!A:K,9,0)+VLOOKUP('עולים יורדים'!A12,מור!A:K,9,0)+VLOOKUP('עולים יורדים'!A12,'אלטשולר שחם'!A:K,9,0)+VLOOKUP('עולים יורדים'!A12,'מדיהו '!A:K,9,0)+VLOOKUP('עולים יורדים'!A12,'אנליסט '!A:K,9,0)+VLOOKUP('עולים יורדים'!A12,'מיטב דש'!A:K,9,0)+VLOOKUP('עולים יורדים'!A12,אינפניטי!A:K,9,0),0)</f>
        <v>0</v>
      </c>
    </row>
    <row r="13" spans="1:5" x14ac:dyDescent="0.25">
      <c r="A13" s="27" t="s">
        <v>21</v>
      </c>
      <c r="B13" s="20">
        <f t="shared" si="0"/>
        <v>0</v>
      </c>
      <c r="C13" s="21">
        <f t="shared" si="1"/>
        <v>-7.82</v>
      </c>
      <c r="D13" s="22">
        <f>IFERROR(VLOOKUP(A13,הכשרה!A:K,5,0)+VLOOKUP('עולים יורדים'!A13,מגדל!A:G,5,0)+VLOOKUP('עולים יורדים'!A13,מנורה!A:G,5,0)+VLOOKUP('עולים יורדים'!A13,איילון!A:G,5,0)+VLOOKUP('עולים יורדים'!A13,הראל!A:G,5,0)+VLOOKUP('עולים יורדים'!A13,הפניקס!A:G,5,0)+VLOOKUP('עולים יורדים'!A13,כלל!A:G,5,0)+VLOOKUP('עולים יורדים'!A13,מור!A:G,5,0)+VLOOKUP('עולים יורדים'!A13,'אלטשולר שחם'!A:G,5,0)+VLOOKUP('עולים יורדים'!A13,'מדיהו '!A:G,5,0)+VLOOKUP('עולים יורדים'!A13,'אנליסט '!A:G,5,0)+VLOOKUP('עולים יורדים'!A13,'מיטב דש'!A:G,5,0)+VLOOKUP('עולים יורדים'!A13,אינפניטי!A:G,5,0),0)</f>
        <v>0</v>
      </c>
      <c r="E13" s="23">
        <f>IFERROR(VLOOKUP(A13,הכשרה!A:K,9,0)+VLOOKUP('עולים יורדים'!A13,מגדל!A:K,9,0)+VLOOKUP('עולים יורדים'!A13,מנורה!A:K,9,0)+VLOOKUP('עולים יורדים'!A13,איילון!A:K,9,0)+VLOOKUP('עולים יורדים'!A13,הראל!A:K,9,0)+VLOOKUP('עולים יורדים'!A13,הפניקס!A:K,9,0)+VLOOKUP('עולים יורדים'!A13,כלל!A:K,9,0)+VLOOKUP('עולים יורדים'!A13,מור!A:K,9,0)+VLOOKUP('עולים יורדים'!A13,'אלטשולר שחם'!A:K,9,0)+VLOOKUP('עולים יורדים'!A13,'מדיהו '!A:K,9,0)+VLOOKUP('עולים יורדים'!A13,'אנליסט '!A:K,9,0)+VLOOKUP('עולים יורדים'!A13,'מיטב דש'!A:K,9,0)+VLOOKUP('עולים יורדים'!A13,אינפניטי!A:K,9,0),0)</f>
        <v>7.82</v>
      </c>
    </row>
    <row r="14" spans="1:5" x14ac:dyDescent="0.25">
      <c r="A14" s="27" t="s">
        <v>22</v>
      </c>
      <c r="B14" s="20">
        <f t="shared" si="0"/>
        <v>0</v>
      </c>
      <c r="C14" s="21">
        <f t="shared" si="1"/>
        <v>-2397.5</v>
      </c>
      <c r="D14" s="22">
        <f>IFERROR(VLOOKUP(A14,הכשרה!A:K,5,0)+VLOOKUP('עולים יורדים'!A14,מגדל!A:G,5,0)+VLOOKUP('עולים יורדים'!A14,מנורה!A:G,5,0)+VLOOKUP('עולים יורדים'!A14,איילון!A:G,5,0)+VLOOKUP('עולים יורדים'!A14,הראל!A:G,5,0)+VLOOKUP('עולים יורדים'!A14,הפניקס!A:G,5,0)+VLOOKUP('עולים יורדים'!A14,כלל!A:G,5,0)+VLOOKUP('עולים יורדים'!A14,מור!A:G,5,0)+VLOOKUP('עולים יורדים'!A14,'אלטשולר שחם'!A:G,5,0)+VLOOKUP('עולים יורדים'!A14,'מדיהו '!A:G,5,0)+VLOOKUP('עולים יורדים'!A14,'אנליסט '!A:G,5,0)+VLOOKUP('עולים יורדים'!A14,'מיטב דש'!A:G,5,0)+VLOOKUP('עולים יורדים'!A14,אינפניטי!A:G,5,0),0)</f>
        <v>0</v>
      </c>
      <c r="E14" s="23">
        <f>IFERROR(VLOOKUP(A14,הכשרה!A:K,9,0)+VLOOKUP('עולים יורדים'!A14,מגדל!A:K,9,0)+VLOOKUP('עולים יורדים'!A14,מנורה!A:K,9,0)+VLOOKUP('עולים יורדים'!A14,איילון!A:K,9,0)+VLOOKUP('עולים יורדים'!A14,הראל!A:K,9,0)+VLOOKUP('עולים יורדים'!A14,הפניקס!A:K,9,0)+VLOOKUP('עולים יורדים'!A14,כלל!A:K,9,0)+VLOOKUP('עולים יורדים'!A14,מור!A:K,9,0)+VLOOKUP('עולים יורדים'!A14,'אלטשולר שחם'!A:K,9,0)+VLOOKUP('עולים יורדים'!A14,'מדיהו '!A:K,9,0)+VLOOKUP('עולים יורדים'!A14,'אנליסט '!A:K,9,0)+VLOOKUP('עולים יורדים'!A14,'מיטב דש'!A:K,9,0)+VLOOKUP('עולים יורדים'!A14,אינפניטי!A:K,9,0),0)</f>
        <v>2397.5</v>
      </c>
    </row>
    <row r="15" spans="1:5" x14ac:dyDescent="0.25">
      <c r="A15" s="27" t="s">
        <v>24</v>
      </c>
      <c r="B15" s="20">
        <f t="shared" si="0"/>
        <v>0</v>
      </c>
      <c r="C15" s="21">
        <f t="shared" si="1"/>
        <v>0</v>
      </c>
      <c r="D15" s="22">
        <f>IFERROR(VLOOKUP(A15,הכשרה!A:K,5,0)+VLOOKUP('עולים יורדים'!A15,מגדל!A:G,5,0)+VLOOKUP('עולים יורדים'!A15,מנורה!A:G,5,0)+VLOOKUP('עולים יורדים'!A15,איילון!A:G,5,0)+VLOOKUP('עולים יורדים'!A15,הראל!A:G,5,0)+VLOOKUP('עולים יורדים'!A15,הפניקס!A:G,5,0)+VLOOKUP('עולים יורדים'!A15,כלל!A:G,5,0)+VLOOKUP('עולים יורדים'!A15,מור!A:G,5,0)+VLOOKUP('עולים יורדים'!A15,'אלטשולר שחם'!A:G,5,0)+VLOOKUP('עולים יורדים'!A15,'מדיהו '!A:G,5,0)+VLOOKUP('עולים יורדים'!A15,'אנליסט '!A:G,5,0)+VLOOKUP('עולים יורדים'!A15,'מיטב דש'!A:G,5,0)+VLOOKUP('עולים יורדים'!A15,אינפניטי!A:G,5,0),0)</f>
        <v>0</v>
      </c>
      <c r="E15" s="23">
        <f>IFERROR(VLOOKUP(A15,הכשרה!A:K,9,0)+VLOOKUP('עולים יורדים'!A15,מגדל!A:K,9,0)+VLOOKUP('עולים יורדים'!A15,מנורה!A:K,9,0)+VLOOKUP('עולים יורדים'!A15,איילון!A:K,9,0)+VLOOKUP('עולים יורדים'!A15,הראל!A:K,9,0)+VLOOKUP('עולים יורדים'!A15,הפניקס!A:K,9,0)+VLOOKUP('עולים יורדים'!A15,כלל!A:K,9,0)+VLOOKUP('עולים יורדים'!A15,מור!A:K,9,0)+VLOOKUP('עולים יורדים'!A15,'אלטשולר שחם'!A:K,9,0)+VLOOKUP('עולים יורדים'!A15,'מדיהו '!A:K,9,0)+VLOOKUP('עולים יורדים'!A15,'אנליסט '!A:K,9,0)+VLOOKUP('עולים יורדים'!A15,'מיטב דש'!A:K,9,0)+VLOOKUP('עולים יורדים'!A15,אינפניטי!A:K,9,0),0)</f>
        <v>0</v>
      </c>
    </row>
    <row r="16" spans="1:5" x14ac:dyDescent="0.25">
      <c r="A16" s="27" t="s">
        <v>42</v>
      </c>
      <c r="B16" s="20">
        <f t="shared" si="0"/>
        <v>2.6450437257566755</v>
      </c>
      <c r="C16" s="21">
        <f t="shared" si="1"/>
        <v>39482.072163960242</v>
      </c>
      <c r="D16" s="22">
        <f>IFERROR(VLOOKUP(A16,הכשרה!A:K,5,0)+VLOOKUP('עולים יורדים'!A16,מגדל!A:G,5,0)+VLOOKUP('עולים יורדים'!A16,מנורה!A:G,5,0)+VLOOKUP('עולים יורדים'!A16,איילון!A:G,5,0)+VLOOKUP('עולים יורדים'!A16,הראל!A:G,5,0)+VLOOKUP('עולים יורדים'!A16,הפניקס!A:G,5,0)+VLOOKUP('עולים יורדים'!A16,כלל!A:G,5,0)+VLOOKUP('עולים יורדים'!A16,מור!A:G,5,0)+VLOOKUP('עולים יורדים'!A16,'אלטשולר שחם'!A:G,5,0)+VLOOKUP('עולים יורדים'!A16,'מדיהו '!A:G,5,0)+VLOOKUP('עולים יורדים'!A16,'אנליסט '!A:G,5,0)+VLOOKUP('עולים יורדים'!A16,'מיטב דש'!A:G,5,0)+VLOOKUP('עולים יורדים'!A16,אינפניטי!A:G,5,0),0)</f>
        <v>54408.884820966698</v>
      </c>
      <c r="E16" s="23">
        <f>IFERROR(VLOOKUP(A16,הכשרה!A:K,9,0)+VLOOKUP('עולים יורדים'!A16,מגדל!A:K,9,0)+VLOOKUP('עולים יורדים'!A16,מנורה!A:K,9,0)+VLOOKUP('עולים יורדים'!A16,איילון!A:K,9,0)+VLOOKUP('עולים יורדים'!A16,הראל!A:K,9,0)+VLOOKUP('עולים יורדים'!A16,הפניקס!A:K,9,0)+VLOOKUP('עולים יורדים'!A16,כלל!A:K,9,0)+VLOOKUP('עולים יורדים'!A16,מור!A:K,9,0)+VLOOKUP('עולים יורדים'!A16,'אלטשולר שחם'!A:K,9,0)+VLOOKUP('עולים יורדים'!A16,'מדיהו '!A:K,9,0)+VLOOKUP('עולים יורדים'!A16,'אנליסט '!A:K,9,0)+VLOOKUP('עולים יורדים'!A16,'מיטב דש'!A:K,9,0)+VLOOKUP('עולים יורדים'!A16,אינפניטי!A:K,9,0),0)</f>
        <v>14926.812657006452</v>
      </c>
    </row>
    <row r="17" spans="1:5" x14ac:dyDescent="0.25">
      <c r="A17" s="28" t="s">
        <v>8</v>
      </c>
      <c r="B17" s="20">
        <f t="shared" si="0"/>
        <v>-0.5504314532792145</v>
      </c>
      <c r="C17" s="21">
        <f t="shared" si="1"/>
        <v>-12532.306053674383</v>
      </c>
      <c r="D17" s="22">
        <f>IFERROR(VLOOKUP(A17,הכשרה!A:K,5,0)+VLOOKUP('עולים יורדים'!A17,מגדל!A:G,5,0)+VLOOKUP('עולים יורדים'!A17,מנורה!A:G,5,0)+VLOOKUP('עולים יורדים'!A17,איילון!A:G,5,0)+VLOOKUP('עולים יורדים'!A17,הראל!A:G,5,0)+VLOOKUP('עולים יורדים'!A17,הפניקס!A:G,5,0)+VLOOKUP('עולים יורדים'!A17,כלל!A:G,5,0)+VLOOKUP('עולים יורדים'!A17,מור!A:G,5,0)+VLOOKUP('עולים יורדים'!A17,'אלטשולר שחם'!A:G,5,0)+VLOOKUP('עולים יורדים'!A17,'מדיהו '!A:G,5,0)+VLOOKUP('עולים יורדים'!A17,'אנליסט '!A:G,5,0)+VLOOKUP('עולים יורדים'!A17,'מיטב דש'!A:G,5,0)+VLOOKUP('עולים יורדים'!A17,אינפניטי!A:G,5,0),0)</f>
        <v>10235.844238269754</v>
      </c>
      <c r="E17" s="23">
        <f>IFERROR(VLOOKUP(A17,הכשרה!A:K,9,0)+VLOOKUP('עולים יורדים'!A17,מגדל!A:K,9,0)+VLOOKUP('עולים יורדים'!A17,מנורה!A:K,9,0)+VLOOKUP('עולים יורדים'!A17,איילון!A:K,9,0)+VLOOKUP('עולים יורדים'!A17,הראל!A:K,9,0)+VLOOKUP('עולים יורדים'!A17,הפניקס!A:K,9,0)+VLOOKUP('עולים יורדים'!A17,כלל!A:K,9,0)+VLOOKUP('עולים יורדים'!A17,מור!A:K,9,0)+VLOOKUP('עולים יורדים'!A17,'אלטשולר שחם'!A:K,9,0)+VLOOKUP('עולים יורדים'!A17,'מדיהו '!A:K,9,0)+VLOOKUP('עולים יורדים'!A17,'אנליסט '!A:K,9,0)+VLOOKUP('עולים יורדים'!A17,'מיטב דש'!A:K,9,0)+VLOOKUP('עולים יורדים'!A17,אינפניטי!A:K,9,0),0)</f>
        <v>22768.150291944137</v>
      </c>
    </row>
    <row r="18" spans="1:5" x14ac:dyDescent="0.25">
      <c r="A18" s="27" t="s">
        <v>34</v>
      </c>
      <c r="B18" s="20">
        <f t="shared" si="0"/>
        <v>-0.48318010728009553</v>
      </c>
      <c r="C18" s="21">
        <f t="shared" si="1"/>
        <v>-368.42</v>
      </c>
      <c r="D18" s="22">
        <f>IFERROR(VLOOKUP(A18,הכשרה!A:K,5,0)+VLOOKUP('עולים יורדים'!A18,מגדל!A:G,5,0)+VLOOKUP('עולים יורדים'!A18,מנורה!A:G,5,0)+VLOOKUP('עולים יורדים'!A18,איילון!A:G,5,0)+VLOOKUP('עולים יורדים'!A18,הראל!A:G,5,0)+VLOOKUP('עולים יורדים'!A18,הפניקס!A:G,5,0)+VLOOKUP('עולים יורדים'!A18,כלל!A:G,5,0)+VLOOKUP('עולים יורדים'!A18,מור!A:G,5,0)+VLOOKUP('עולים יורדים'!A18,'אלטשולר שחם'!A:G,5,0)+VLOOKUP('עולים יורדים'!A18,'מדיהו '!A:G,5,0)+VLOOKUP('עולים יורדים'!A18,'אנליסט '!A:G,5,0)+VLOOKUP('עולים יורדים'!A18,'מיטב דש'!A:G,5,0)+VLOOKUP('עולים יורדים'!A18,אינפניטי!A:G,5,0),0)</f>
        <v>394.07</v>
      </c>
      <c r="E18" s="23">
        <f>IFERROR(VLOOKUP(A18,הכשרה!A:K,9,0)+VLOOKUP('עולים יורדים'!A18,מגדל!A:K,9,0)+VLOOKUP('עולים יורדים'!A18,מנורה!A:K,9,0)+VLOOKUP('עולים יורדים'!A18,איילון!A:K,9,0)+VLOOKUP('עולים יורדים'!A18,הראל!A:K,9,0)+VLOOKUP('עולים יורדים'!A18,הפניקס!A:K,9,0)+VLOOKUP('עולים יורדים'!A18,כלל!A:K,9,0)+VLOOKUP('עולים יורדים'!A18,מור!A:K,9,0)+VLOOKUP('עולים יורדים'!A18,'אלטשולר שחם'!A:K,9,0)+VLOOKUP('עולים יורדים'!A18,'מדיהו '!A:K,9,0)+VLOOKUP('עולים יורדים'!A18,'אנליסט '!A:K,9,0)+VLOOKUP('עולים יורדים'!A18,'מיטב דש'!A:K,9,0)+VLOOKUP('עולים יורדים'!A18,אינפניטי!A:K,9,0),0)</f>
        <v>762.49</v>
      </c>
    </row>
    <row r="19" spans="1:5" x14ac:dyDescent="0.25">
      <c r="A19" s="27" t="s">
        <v>2</v>
      </c>
      <c r="B19" s="20">
        <f t="shared" si="0"/>
        <v>1</v>
      </c>
      <c r="C19" s="21">
        <f t="shared" si="1"/>
        <v>6.26</v>
      </c>
      <c r="D19" s="22">
        <f>IFERROR(VLOOKUP(A19,הכשרה!A:K,5,0)+VLOOKUP('עולים יורדים'!A19,מגדל!A:G,5,0)+VLOOKUP('עולים יורדים'!A19,מנורה!A:G,5,0)+VLOOKUP('עולים יורדים'!A19,איילון!A:G,5,0)+VLOOKUP('עולים יורדים'!A19,הראל!A:G,5,0)+VLOOKUP('עולים יורדים'!A19,הפניקס!A:G,5,0)+VLOOKUP('עולים יורדים'!A19,כלל!A:G,5,0)+VLOOKUP('עולים יורדים'!A19,מור!A:G,5,0)+VLOOKUP('עולים יורדים'!A19,'אלטשולר שחם'!A:G,5,0)+VLOOKUP('עולים יורדים'!A19,'מדיהו '!A:G,5,0)+VLOOKUP('עולים יורדים'!A19,'אנליסט '!A:G,5,0)+VLOOKUP('עולים יורדים'!A19,'מיטב דש'!A:G,5,0)+VLOOKUP('עולים יורדים'!A19,אינפניטי!A:G,5,0),0)</f>
        <v>6.26</v>
      </c>
      <c r="E19" s="23">
        <f>IFERROR(VLOOKUP(A19,הכשרה!A:K,9,0)+VLOOKUP('עולים יורדים'!A19,מגדל!A:K,9,0)+VLOOKUP('עולים יורדים'!A19,מנורה!A:K,9,0)+VLOOKUP('עולים יורדים'!A19,איילון!A:K,9,0)+VLOOKUP('עולים יורדים'!A19,הראל!A:K,9,0)+VLOOKUP('עולים יורדים'!A19,הפניקס!A:K,9,0)+VLOOKUP('עולים יורדים'!A19,כלל!A:K,9,0)+VLOOKUP('עולים יורדים'!A19,מור!A:K,9,0)+VLOOKUP('עולים יורדים'!A19,'אלטשולר שחם'!A:K,9,0)+VLOOKUP('עולים יורדים'!A19,'מדיהו '!A:K,9,0)+VLOOKUP('עולים יורדים'!A19,'אנליסט '!A:K,9,0)+VLOOKUP('עולים יורדים'!A19,'מיטב דש'!A:K,9,0)+VLOOKUP('עולים יורדים'!A19,אינפניטי!A:K,9,0),0)</f>
        <v>0</v>
      </c>
    </row>
    <row r="20" spans="1:5" x14ac:dyDescent="0.25">
      <c r="A20" s="27" t="s">
        <v>1</v>
      </c>
      <c r="B20" s="20">
        <f t="shared" si="0"/>
        <v>-0.3328170094895162</v>
      </c>
      <c r="C20" s="21">
        <f t="shared" si="1"/>
        <v>-40826.343789073726</v>
      </c>
      <c r="D20" s="22">
        <f>IFERROR(VLOOKUP(A20,הכשרה!A:K,5,0)+VLOOKUP('עולים יורדים'!A20,מגדל!A:G,5,0)+VLOOKUP('עולים יורדים'!A20,מנורה!A:G,5,0)+VLOOKUP('עולים יורדים'!A20,איילון!A:G,5,0)+VLOOKUP('עולים יורדים'!A20,הראל!A:G,5,0)+VLOOKUP('עולים יורדים'!A20,הפניקס!A:G,5,0)+VLOOKUP('עולים יורדים'!A20,כלל!A:G,5,0)+VLOOKUP('עולים יורדים'!A20,מור!A:G,5,0)+VLOOKUP('עולים יורדים'!A20,'אלטשולר שחם'!A:G,5,0)+VLOOKUP('עולים יורדים'!A20,'מדיהו '!A:G,5,0)+VLOOKUP('עולים יורדים'!A20,'אנליסט '!A:G,5,0)+VLOOKUP('עולים יורדים'!A20,'מיטב דש'!A:G,5,0)+VLOOKUP('עולים יורדים'!A20,אינפניטי!A:G,5,0),0)</f>
        <v>81842.698432338817</v>
      </c>
      <c r="E20" s="23">
        <f>IFERROR(VLOOKUP(A20,הכשרה!A:K,9,0)+VLOOKUP('עולים יורדים'!A20,מגדל!A:K,9,0)+VLOOKUP('עולים יורדים'!A20,מנורה!A:K,9,0)+VLOOKUP('עולים יורדים'!A20,איילון!A:K,9,0)+VLOOKUP('עולים יורדים'!A20,הראל!A:K,9,0)+VLOOKUP('עולים יורדים'!A20,הפניקס!A:K,9,0)+VLOOKUP('עולים יורדים'!A20,כלל!A:K,9,0)+VLOOKUP('עולים יורדים'!A20,מור!A:K,9,0)+VLOOKUP('עולים יורדים'!A20,'אלטשולר שחם'!A:K,9,0)+VLOOKUP('עולים יורדים'!A20,'מדיהו '!A:K,9,0)+VLOOKUP('עולים יורדים'!A20,'אנליסט '!A:K,9,0)+VLOOKUP('עולים יורדים'!A20,'מיטב דש'!A:K,9,0)+VLOOKUP('עולים יורדים'!A20,אינפניטי!A:K,9,0),0)</f>
        <v>122669.04222141254</v>
      </c>
    </row>
    <row r="21" spans="1:5" x14ac:dyDescent="0.25">
      <c r="A21" s="27" t="s">
        <v>89</v>
      </c>
      <c r="B21" s="20">
        <f t="shared" si="0"/>
        <v>1</v>
      </c>
      <c r="C21" s="21">
        <f t="shared" si="1"/>
        <v>5777.26</v>
      </c>
      <c r="D21" s="22">
        <f>IFERROR(VLOOKUP(A21,הכשרה!A:K,5,0)+VLOOKUP('עולים יורדים'!A21,מגדל!A:G,5,0)+VLOOKUP('עולים יורדים'!A21,מנורה!A:G,5,0)+VLOOKUP('עולים יורדים'!A21,איילון!A:G,5,0)+VLOOKUP('עולים יורדים'!A21,הראל!A:G,5,0)+VLOOKUP('עולים יורדים'!A21,הפניקס!A:G,5,0)+VLOOKUP('עולים יורדים'!A21,כלל!A:G,5,0)+VLOOKUP('עולים יורדים'!A21,מור!A:G,5,0)+VLOOKUP('עולים יורדים'!A21,'אלטשולר שחם'!A:G,5,0)+VLOOKUP('עולים יורדים'!A21,'מדיהו '!A:G,5,0)+VLOOKUP('עולים יורדים'!A21,'אנליסט '!A:G,5,0)+VLOOKUP('עולים יורדים'!A21,'מיטב דש'!A:G,5,0)+VLOOKUP('עולים יורדים'!A21,אינפניטי!A:G,5,0),0)</f>
        <v>5777.26</v>
      </c>
      <c r="E21" s="23">
        <f>IFERROR(VLOOKUP(A21,הכשרה!A:K,9,0)+VLOOKUP('עולים יורדים'!A21,מגדל!A:K,9,0)+VLOOKUP('עולים יורדים'!A21,מנורה!A:K,9,0)+VLOOKUP('עולים יורדים'!A21,איילון!A:K,9,0)+VLOOKUP('עולים יורדים'!A21,הראל!A:K,9,0)+VLOOKUP('עולים יורדים'!A21,הפניקס!A:K,9,0)+VLOOKUP('עולים יורדים'!A21,כלל!A:K,9,0)+VLOOKUP('עולים יורדים'!A21,מור!A:K,9,0)+VLOOKUP('עולים יורדים'!A21,'אלטשולר שחם'!A:K,9,0)+VLOOKUP('עולים יורדים'!A21,'מדיהו '!A:K,9,0)+VLOOKUP('עולים יורדים'!A21,'אנליסט '!A:K,9,0)+VLOOKUP('עולים יורדים'!A21,'מיטב דש'!A:K,9,0)+VLOOKUP('עולים יורדים'!A21,אינפניטי!A:K,9,0),0)</f>
        <v>0</v>
      </c>
    </row>
    <row r="22" spans="1:5" x14ac:dyDescent="0.25">
      <c r="A22" s="27" t="s">
        <v>84</v>
      </c>
      <c r="B22" s="20">
        <f t="shared" si="0"/>
        <v>204.10881321249252</v>
      </c>
      <c r="C22" s="21">
        <f t="shared" si="1"/>
        <v>273369.05679988756</v>
      </c>
      <c r="D22" s="22">
        <f>IFERROR(VLOOKUP(A22,הכשרה!A:K,5,0)+VLOOKUP('עולים יורדים'!A22,מגדל!A:G,5,0)+VLOOKUP('עולים יורדים'!A22,מנורה!A:G,5,0)+VLOOKUP('עולים יורדים'!A22,איילון!A:G,5,0)+VLOOKUP('עולים יורדים'!A22,הראל!A:G,5,0)+VLOOKUP('עולים יורדים'!A22,הפניקס!A:G,5,0)+VLOOKUP('עולים יורדים'!A22,כלל!A:G,5,0)+VLOOKUP('עולים יורדים'!A22,מור!A:G,5,0)+VLOOKUP('עולים יורדים'!A22,'אלטשולר שחם'!A:G,5,0)+VLOOKUP('עולים יורדים'!A22,'מדיהו '!A:G,5,0)+VLOOKUP('עולים יורדים'!A22,'אנליסט '!A:G,5,0)+VLOOKUP('עולים יורדים'!A22,'מיטב דש'!A:G,5,0)+VLOOKUP('עולים יורדים'!A22,אינפניטי!A:G,5,0),0)</f>
        <v>274708.38679988758</v>
      </c>
      <c r="E22" s="23">
        <f>IFERROR(VLOOKUP(A22,הכשרה!A:K,9,0)+VLOOKUP('עולים יורדים'!A22,מגדל!A:K,9,0)+VLOOKUP('עולים יורדים'!A22,מנורה!A:K,9,0)+VLOOKUP('עולים יורדים'!A22,איילון!A:K,9,0)+VLOOKUP('עולים יורדים'!A22,הראל!A:K,9,0)+VLOOKUP('עולים יורדים'!A22,הפניקס!A:K,9,0)+VLOOKUP('עולים יורדים'!A22,כלל!A:K,9,0)+VLOOKUP('עולים יורדים'!A22,מור!A:K,9,0)+VLOOKUP('עולים יורדים'!A22,'אלטשולר שחם'!A:K,9,0)+VLOOKUP('עולים יורדים'!A22,'מדיהו '!A:K,9,0)+VLOOKUP('עולים יורדים'!A22,'אנליסט '!A:K,9,0)+VLOOKUP('עולים יורדים'!A22,'מיטב דש'!A:K,9,0)+VLOOKUP('עולים יורדים'!A22,אינפניטי!A:K,9,0),0)</f>
        <v>1339.33</v>
      </c>
    </row>
    <row r="23" spans="1:5" x14ac:dyDescent="0.25">
      <c r="A23" s="27" t="s">
        <v>19</v>
      </c>
      <c r="B23" s="20">
        <f t="shared" si="0"/>
        <v>-0.59154329892420843</v>
      </c>
      <c r="C23" s="21">
        <f t="shared" si="1"/>
        <v>-28173.726252999997</v>
      </c>
      <c r="D23" s="22">
        <f>IFERROR(VLOOKUP(A23,הכשרה!A:K,5,0)+VLOOKUP('עולים יורדים'!A23,מגדל!A:G,5,0)+VLOOKUP('עולים יורדים'!A23,מנורה!A:G,5,0)+VLOOKUP('עולים יורדים'!A23,איילון!A:G,5,0)+VLOOKUP('עולים יורדים'!A23,הראל!A:G,5,0)+VLOOKUP('עולים יורדים'!A23,הפניקס!A:G,5,0)+VLOOKUP('עולים יורדים'!A23,כלל!A:G,5,0)+VLOOKUP('עולים יורדים'!A23,מור!A:G,5,0)+VLOOKUP('עולים יורדים'!A23,'אלטשולר שחם'!A:G,5,0)+VLOOKUP('עולים יורדים'!A23,'מדיהו '!A:G,5,0)+VLOOKUP('עולים יורדים'!A23,'אנליסט '!A:G,5,0)+VLOOKUP('עולים יורדים'!A23,'מיטב דש'!A:G,5,0)+VLOOKUP('עולים יורדים'!A23,אינפניטי!A:G,5,0),0)</f>
        <v>19453.77</v>
      </c>
      <c r="E23" s="23">
        <f>IFERROR(VLOOKUP(A23,הכשרה!A:K,9,0)+VLOOKUP('עולים יורדים'!A23,מגדל!A:K,9,0)+VLOOKUP('עולים יורדים'!A23,מנורה!A:K,9,0)+VLOOKUP('עולים יורדים'!A23,איילון!A:K,9,0)+VLOOKUP('עולים יורדים'!A23,הראל!A:K,9,0)+VLOOKUP('עולים יורדים'!A23,הפניקס!A:K,9,0)+VLOOKUP('עולים יורדים'!A23,כלל!A:K,9,0)+VLOOKUP('עולים יורדים'!A23,מור!A:K,9,0)+VLOOKUP('עולים יורדים'!A23,'אלטשולר שחם'!A:K,9,0)+VLOOKUP('עולים יורדים'!A23,'מדיהו '!A:K,9,0)+VLOOKUP('עולים יורדים'!A23,'אנליסט '!A:K,9,0)+VLOOKUP('עולים יורדים'!A23,'מיטב דש'!A:K,9,0)+VLOOKUP('עולים יורדים'!A23,אינפניטי!A:K,9,0),0)</f>
        <v>47627.496252999998</v>
      </c>
    </row>
    <row r="24" spans="1:5" x14ac:dyDescent="0.25">
      <c r="A24" s="31" t="s">
        <v>15</v>
      </c>
      <c r="B24" s="20">
        <f t="shared" si="0"/>
        <v>-0.33883220759424815</v>
      </c>
      <c r="C24" s="21">
        <f t="shared" si="1"/>
        <v>-5269.932824999998</v>
      </c>
      <c r="D24" s="22">
        <f>IFERROR(VLOOKUP(A24,הכשרה!A:K,5,0)+VLOOKUP('עולים יורדים'!A24,מגדל!A:G,5,0)+VLOOKUP('עולים יורדים'!A24,מנורה!A:G,5,0)+VLOOKUP('עולים יורדים'!A24,איילון!A:G,5,0)+VLOOKUP('עולים יורדים'!A24,הראל!A:G,5,0)+VLOOKUP('עולים יורדים'!A24,הפניקס!A:G,5,0)+VLOOKUP('עולים יורדים'!A24,כלל!A:G,5,0)+VLOOKUP('עולים יורדים'!A24,מור!A:G,5,0)+VLOOKUP('עולים יורדים'!A24,'אלטשולר שחם'!A:G,5,0)+VLOOKUP('עולים יורדים'!A24,'מדיהו '!A:G,5,0)+VLOOKUP('עולים יורדים'!A24,'אנליסט '!A:G,5,0)+VLOOKUP('עולים יורדים'!A24,'מיטב דש'!A:G,5,0)+VLOOKUP('עולים יורדים'!A24,אינפניטי!A:G,5,0),0)</f>
        <v>10283.290000000001</v>
      </c>
      <c r="E24" s="23">
        <f>IFERROR(VLOOKUP(A24,הכשרה!A:K,9,0)+VLOOKUP('עולים יורדים'!A24,מגדל!A:K,9,0)+VLOOKUP('עולים יורדים'!A24,מנורה!A:K,9,0)+VLOOKUP('עולים יורדים'!A24,איילון!A:K,9,0)+VLOOKUP('עולים יורדים'!A24,הראל!A:K,9,0)+VLOOKUP('עולים יורדים'!A24,הפניקס!A:K,9,0)+VLOOKUP('עולים יורדים'!A24,כלל!A:K,9,0)+VLOOKUP('עולים יורדים'!A24,מור!A:K,9,0)+VLOOKUP('עולים יורדים'!A24,'אלטשולר שחם'!A:K,9,0)+VLOOKUP('עולים יורדים'!A24,'מדיהו '!A:K,9,0)+VLOOKUP('עולים יורדים'!A24,'אנליסט '!A:K,9,0)+VLOOKUP('עולים יורדים'!A24,'מיטב דש'!A:K,9,0)+VLOOKUP('עולים יורדים'!A24,אינפניטי!A:K,9,0),0)</f>
        <v>15553.222824999999</v>
      </c>
    </row>
    <row r="25" spans="1:5" x14ac:dyDescent="0.25">
      <c r="A25" s="27" t="s">
        <v>29</v>
      </c>
      <c r="B25" s="20">
        <f t="shared" si="0"/>
        <v>1</v>
      </c>
      <c r="C25" s="21">
        <f t="shared" si="1"/>
        <v>1921.6</v>
      </c>
      <c r="D25" s="22">
        <f>IFERROR(VLOOKUP(A25,הכשרה!A:K,5,0)+VLOOKUP('עולים יורדים'!A25,מגדל!A:G,5,0)+VLOOKUP('עולים יורדים'!A25,מנורה!A:G,5,0)+VLOOKUP('עולים יורדים'!A25,איילון!A:G,5,0)+VLOOKUP('עולים יורדים'!A25,הראל!A:G,5,0)+VLOOKUP('עולים יורדים'!A25,הפניקס!A:G,5,0)+VLOOKUP('עולים יורדים'!A25,כלל!A:G,5,0)+VLOOKUP('עולים יורדים'!A25,מור!A:G,5,0)+VLOOKUP('עולים יורדים'!A25,'אלטשולר שחם'!A:G,5,0)+VLOOKUP('עולים יורדים'!A25,'מדיהו '!A:G,5,0)+VLOOKUP('עולים יורדים'!A25,'אנליסט '!A:G,5,0)+VLOOKUP('עולים יורדים'!A25,'מיטב דש'!A:G,5,0)+VLOOKUP('עולים יורדים'!A25,אינפניטי!A:G,5,0),0)</f>
        <v>1921.6</v>
      </c>
      <c r="E25" s="23">
        <f>IFERROR(VLOOKUP(A25,הכשרה!A:K,9,0)+VLOOKUP('עולים יורדים'!A25,מגדל!A:K,9,0)+VLOOKUP('עולים יורדים'!A25,מנורה!A:K,9,0)+VLOOKUP('עולים יורדים'!A25,איילון!A:K,9,0)+VLOOKUP('עולים יורדים'!A25,הראל!A:K,9,0)+VLOOKUP('עולים יורדים'!A25,הפניקס!A:K,9,0)+VLOOKUP('עולים יורדים'!A25,כלל!A:K,9,0)+VLOOKUP('עולים יורדים'!A25,מור!A:K,9,0)+VLOOKUP('עולים יורדים'!A25,'אלטשולר שחם'!A:K,9,0)+VLOOKUP('עולים יורדים'!A25,'מדיהו '!A:K,9,0)+VLOOKUP('עולים יורדים'!A25,'אנליסט '!A:K,9,0)+VLOOKUP('עולים יורדים'!A25,'מיטב דש'!A:K,9,0)+VLOOKUP('עולים יורדים'!A25,אינפניטי!A:K,9,0),0)</f>
        <v>0</v>
      </c>
    </row>
    <row r="26" spans="1:5" x14ac:dyDescent="0.25">
      <c r="A26" s="27" t="s">
        <v>9</v>
      </c>
      <c r="B26" s="20">
        <f t="shared" si="0"/>
        <v>-0.89696031026493406</v>
      </c>
      <c r="C26" s="21">
        <f t="shared" si="1"/>
        <v>-2136.9899999999998</v>
      </c>
      <c r="D26" s="22">
        <f>IFERROR(VLOOKUP(A26,הכשרה!A:K,5,0)+VLOOKUP('עולים יורדים'!A26,מגדל!A:G,5,0)+VLOOKUP('עולים יורדים'!A26,מנורה!A:G,5,0)+VLOOKUP('עולים יורדים'!A26,איילון!A:G,5,0)+VLOOKUP('עולים יורדים'!A26,הראל!A:G,5,0)+VLOOKUP('עולים יורדים'!A26,הפניקס!A:G,5,0)+VLOOKUP('עולים יורדים'!A26,כלל!A:G,5,0)+VLOOKUP('עולים יורדים'!A26,מור!A:G,5,0)+VLOOKUP('עולים יורדים'!A26,'אלטשולר שחם'!A:G,5,0)+VLOOKUP('עולים יורדים'!A26,'מדיהו '!A:G,5,0)+VLOOKUP('עולים יורדים'!A26,'אנליסט '!A:G,5,0)+VLOOKUP('עולים יורדים'!A26,'מיטב דש'!A:G,5,0)+VLOOKUP('עולים יורדים'!A26,אינפניטי!A:G,5,0),0)</f>
        <v>245.49</v>
      </c>
      <c r="E26" s="23">
        <f>IFERROR(VLOOKUP(A26,הכשרה!A:K,9,0)+VLOOKUP('עולים יורדים'!A26,מגדל!A:K,9,0)+VLOOKUP('עולים יורדים'!A26,מנורה!A:K,9,0)+VLOOKUP('עולים יורדים'!A26,איילון!A:K,9,0)+VLOOKUP('עולים יורדים'!A26,הראל!A:K,9,0)+VLOOKUP('עולים יורדים'!A26,הפניקס!A:K,9,0)+VLOOKUP('עולים יורדים'!A26,כלל!A:K,9,0)+VLOOKUP('עולים יורדים'!A26,מור!A:K,9,0)+VLOOKUP('עולים יורדים'!A26,'אלטשולר שחם'!A:K,9,0)+VLOOKUP('עולים יורדים'!A26,'מדיהו '!A:K,9,0)+VLOOKUP('עולים יורדים'!A26,'אנליסט '!A:K,9,0)+VLOOKUP('עולים יורדים'!A26,'מיטב דש'!A:K,9,0)+VLOOKUP('עולים יורדים'!A26,אינפניטי!A:K,9,0),0)</f>
        <v>2382.48</v>
      </c>
    </row>
    <row r="27" spans="1:5" x14ac:dyDescent="0.25">
      <c r="A27" s="27" t="s">
        <v>20</v>
      </c>
      <c r="B27" s="20">
        <f t="shared" si="0"/>
        <v>0.1141564900113996</v>
      </c>
      <c r="C27" s="21">
        <f t="shared" si="1"/>
        <v>1084.5171093200752</v>
      </c>
      <c r="D27" s="22">
        <f>IFERROR(VLOOKUP(A27,הכשרה!A:K,5,0)+VLOOKUP('עולים יורדים'!A27,מגדל!A:G,5,0)+VLOOKUP('עולים יורדים'!A27,מנורה!A:G,5,0)+VLOOKUP('עולים יורדים'!A27,איילון!A:G,5,0)+VLOOKUP('עולים יורדים'!A27,הראל!A:G,5,0)+VLOOKUP('עולים יורדים'!A27,הפניקס!A:G,5,0)+VLOOKUP('עולים יורדים'!A27,כלל!A:G,5,0)+VLOOKUP('עולים יורדים'!A27,מור!A:G,5,0)+VLOOKUP('עולים יורדים'!A27,'אלטשולר שחם'!A:G,5,0)+VLOOKUP('עולים יורדים'!A27,'מדיהו '!A:G,5,0)+VLOOKUP('עולים יורדים'!A27,'אנליסט '!A:G,5,0)+VLOOKUP('עולים יורדים'!A27,'מיטב דש'!A:G,5,0)+VLOOKUP('עולים יורדים'!A27,אינפניטי!A:G,5,0),0)</f>
        <v>10584.783885320074</v>
      </c>
      <c r="E27" s="23">
        <f>IFERROR(VLOOKUP(A27,הכשרה!A:K,9,0)+VLOOKUP('עולים יורדים'!A27,מגדל!A:K,9,0)+VLOOKUP('עולים יורדים'!A27,מנורה!A:K,9,0)+VLOOKUP('עולים יורדים'!A27,איילון!A:K,9,0)+VLOOKUP('עולים יורדים'!A27,הראל!A:K,9,0)+VLOOKUP('עולים יורדים'!A27,הפניקס!A:K,9,0)+VLOOKUP('עולים יורדים'!A27,כלל!A:K,9,0)+VLOOKUP('עולים יורדים'!A27,מור!A:K,9,0)+VLOOKUP('עולים יורדים'!A27,'אלטשולר שחם'!A:K,9,0)+VLOOKUP('עולים יורדים'!A27,'מדיהו '!A:K,9,0)+VLOOKUP('עולים יורדים'!A27,'אנליסט '!A:K,9,0)+VLOOKUP('עולים יורדים'!A27,'מיטב דש'!A:K,9,0)+VLOOKUP('עולים יורדים'!A27,אינפניטי!A:K,9,0),0)</f>
        <v>9500.2667759999986</v>
      </c>
    </row>
    <row r="28" spans="1:5" x14ac:dyDescent="0.25">
      <c r="A28" s="31" t="s">
        <v>13</v>
      </c>
      <c r="B28" s="20">
        <f t="shared" si="0"/>
        <v>-0.2736786406929117</v>
      </c>
      <c r="C28" s="21">
        <f t="shared" si="1"/>
        <v>-1132.2871133333801</v>
      </c>
      <c r="D28" s="22">
        <f>IFERROR(VLOOKUP(A28,הכשרה!A:K,5,0)+VLOOKUP('עולים יורדים'!A28,מגדל!A:G,5,0)+VLOOKUP('עולים יורדים'!A28,מנורה!A:G,5,0)+VLOOKUP('עולים יורדים'!A28,איילון!A:G,5,0)+VLOOKUP('עולים יורדים'!A28,הראל!A:G,5,0)+VLOOKUP('עולים יורדים'!A28,הפניקס!A:G,5,0)+VLOOKUP('עולים יורדים'!A28,כלל!A:G,5,0)+VLOOKUP('עולים יורדים'!A28,מור!A:G,5,0)+VLOOKUP('עולים יורדים'!A28,'אלטשולר שחם'!A:G,5,0)+VLOOKUP('עולים יורדים'!A28,'מדיהו '!A:G,5,0)+VLOOKUP('עולים יורדים'!A28,'אנליסט '!A:G,5,0)+VLOOKUP('עולים יורדים'!A28,'מיטב דש'!A:G,5,0)+VLOOKUP('עולים יורדים'!A28,אינפניטי!A:G,5,0),0)</f>
        <v>3005</v>
      </c>
      <c r="E28" s="23">
        <f>IFERROR(VLOOKUP(A28,הכשרה!A:K,9,0)+VLOOKUP('עולים יורדים'!A28,מגדל!A:K,9,0)+VLOOKUP('עולים יורדים'!A28,מנורה!A:K,9,0)+VLOOKUP('עולים יורדים'!A28,איילון!A:K,9,0)+VLOOKUP('עולים יורדים'!A28,הראל!A:K,9,0)+VLOOKUP('עולים יורדים'!A28,הפניקס!A:K,9,0)+VLOOKUP('עולים יורדים'!A28,כלל!A:K,9,0)+VLOOKUP('עולים יורדים'!A28,מור!A:K,9,0)+VLOOKUP('עולים יורדים'!A28,'אלטשולר שחם'!A:K,9,0)+VLOOKUP('עולים יורדים'!A28,'מדיהו '!A:K,9,0)+VLOOKUP('עולים יורדים'!A28,'אנליסט '!A:K,9,0)+VLOOKUP('עולים יורדים'!A28,'מיטב דש'!A:K,9,0)+VLOOKUP('עולים יורדים'!A28,אינפניטי!A:K,9,0),0)</f>
        <v>4137.2871133333801</v>
      </c>
    </row>
    <row r="29" spans="1:5" x14ac:dyDescent="0.25">
      <c r="A29" s="27" t="s">
        <v>91</v>
      </c>
      <c r="B29" s="20">
        <f t="shared" si="0"/>
        <v>0</v>
      </c>
      <c r="C29" s="21">
        <f t="shared" si="1"/>
        <v>-12241.353405</v>
      </c>
      <c r="D29" s="22">
        <f>IFERROR(VLOOKUP(A29,הכשרה!A:K,5,0)+VLOOKUP('עולים יורדים'!A29,מגדל!A:G,5,0)+VLOOKUP('עולים יורדים'!A29,מנורה!A:G,5,0)+VLOOKUP('עולים יורדים'!A29,איילון!A:G,5,0)+VLOOKUP('עולים יורדים'!A29,הראל!A:G,5,0)+VLOOKUP('עולים יורדים'!A29,הפניקס!A:G,5,0)+VLOOKUP('עולים יורדים'!A29,כלל!A:G,5,0)+VLOOKUP('עולים יורדים'!A29,מור!A:G,5,0)+VLOOKUP('עולים יורדים'!A29,'אלטשולר שחם'!A:G,5,0)+VLOOKUP('עולים יורדים'!A29,'מדיהו '!A:G,5,0)+VLOOKUP('עולים יורדים'!A29,'אנליסט '!A:G,5,0)+VLOOKUP('עולים יורדים'!A29,'מיטב דש'!A:G,5,0)+VLOOKUP('עולים יורדים'!A29,אינפניטי!A:G,5,0),0)</f>
        <v>0</v>
      </c>
      <c r="E29" s="23">
        <f>IFERROR(VLOOKUP(A29,הכשרה!A:K,9,0)+VLOOKUP('עולים יורדים'!A29,מגדל!A:K,9,0)+VLOOKUP('עולים יורדים'!A29,מנורה!A:K,9,0)+VLOOKUP('עולים יורדים'!A29,איילון!A:K,9,0)+VLOOKUP('עולים יורדים'!A29,הראל!A:K,9,0)+VLOOKUP('עולים יורדים'!A29,הפניקס!A:K,9,0)+VLOOKUP('עולים יורדים'!A29,כלל!A:K,9,0)+VLOOKUP('עולים יורדים'!A29,מור!A:K,9,0)+VLOOKUP('עולים יורדים'!A29,'אלטשולר שחם'!A:K,9,0)+VLOOKUP('עולים יורדים'!A29,'מדיהו '!A:K,9,0)+VLOOKUP('עולים יורדים'!A29,'אנליסט '!A:K,9,0)+VLOOKUP('עולים יורדים'!A29,'מיטב דש'!A:K,9,0)+VLOOKUP('עולים יורדים'!A29,אינפניטי!A:K,9,0),0)</f>
        <v>12241.353405</v>
      </c>
    </row>
    <row r="30" spans="1:5" x14ac:dyDescent="0.25">
      <c r="A30" s="27" t="s">
        <v>37</v>
      </c>
      <c r="B30" s="20">
        <f t="shared" si="0"/>
        <v>0</v>
      </c>
      <c r="C30" s="21">
        <f t="shared" si="1"/>
        <v>0</v>
      </c>
      <c r="D30" s="22">
        <f>IFERROR(VLOOKUP(A30,הכשרה!A:K,5,0)+VLOOKUP('עולים יורדים'!A30,מגדל!A:G,5,0)+VLOOKUP('עולים יורדים'!A30,מנורה!A:G,5,0)+VLOOKUP('עולים יורדים'!A30,איילון!A:G,5,0)+VLOOKUP('עולים יורדים'!A30,הראל!A:G,5,0)+VLOOKUP('עולים יורדים'!A30,הפניקס!A:G,5,0)+VLOOKUP('עולים יורדים'!A30,כלל!A:G,5,0)+VLOOKUP('עולים יורדים'!A30,מור!A:G,5,0)+VLOOKUP('עולים יורדים'!A30,'אלטשולר שחם'!A:G,5,0)+VLOOKUP('עולים יורדים'!A30,'מדיהו '!A:G,5,0)+VLOOKUP('עולים יורדים'!A30,'אנליסט '!A:G,5,0)+VLOOKUP('עולים יורדים'!A30,'מיטב דש'!A:G,5,0)+VLOOKUP('עולים יורדים'!A30,אינפניטי!A:G,5,0),0)</f>
        <v>0</v>
      </c>
      <c r="E30" s="23">
        <f>IFERROR(VLOOKUP(A30,הכשרה!A:K,9,0)+VLOOKUP('עולים יורדים'!A30,מגדל!A:K,9,0)+VLOOKUP('עולים יורדים'!A30,מנורה!A:K,9,0)+VLOOKUP('עולים יורדים'!A30,איילון!A:K,9,0)+VLOOKUP('עולים יורדים'!A30,הראל!A:K,9,0)+VLOOKUP('עולים יורדים'!A30,הפניקס!A:K,9,0)+VLOOKUP('עולים יורדים'!A30,כלל!A:K,9,0)+VLOOKUP('עולים יורדים'!A30,מור!A:K,9,0)+VLOOKUP('עולים יורדים'!A30,'אלטשולר שחם'!A:K,9,0)+VLOOKUP('עולים יורדים'!A30,'מדיהו '!A:K,9,0)+VLOOKUP('עולים יורדים'!A30,'אנליסט '!A:K,9,0)+VLOOKUP('עולים יורדים'!A30,'מיטב דש'!A:K,9,0)+VLOOKUP('עולים יורדים'!A30,אינפניטי!A:K,9,0),0)</f>
        <v>0</v>
      </c>
    </row>
    <row r="31" spans="1:5" x14ac:dyDescent="0.25">
      <c r="A31" s="27" t="s">
        <v>39</v>
      </c>
      <c r="B31" s="20">
        <f t="shared" si="0"/>
        <v>1</v>
      </c>
      <c r="C31" s="21">
        <f t="shared" si="1"/>
        <v>3811.95</v>
      </c>
      <c r="D31" s="22">
        <f>IFERROR(VLOOKUP(A31,הכשרה!A:K,5,0)+VLOOKUP('עולים יורדים'!A31,מגדל!A:G,5,0)+VLOOKUP('עולים יורדים'!A31,מנורה!A:G,5,0)+VLOOKUP('עולים יורדים'!A31,איילון!A:G,5,0)+VLOOKUP('עולים יורדים'!A31,הראל!A:G,5,0)+VLOOKUP('עולים יורדים'!A31,הפניקס!A:G,5,0)+VLOOKUP('עולים יורדים'!A31,כלל!A:G,5,0)+VLOOKUP('עולים יורדים'!A31,מור!A:G,5,0)+VLOOKUP('עולים יורדים'!A31,'אלטשולר שחם'!A:G,5,0)+VLOOKUP('עולים יורדים'!A31,'מדיהו '!A:G,5,0)+VLOOKUP('עולים יורדים'!A31,'אנליסט '!A:G,5,0)+VLOOKUP('עולים יורדים'!A31,'מיטב דש'!A:G,5,0)+VLOOKUP('עולים יורדים'!A31,אינפניטי!A:G,5,0),0)</f>
        <v>3811.95</v>
      </c>
      <c r="E31" s="23">
        <f>IFERROR(VLOOKUP(A31,הכשרה!A:K,9,0)+VLOOKUP('עולים יורדים'!A31,מגדל!A:K,9,0)+VLOOKUP('עולים יורדים'!A31,מנורה!A:K,9,0)+VLOOKUP('עולים יורדים'!A31,איילון!A:K,9,0)+VLOOKUP('עולים יורדים'!A31,הראל!A:K,9,0)+VLOOKUP('עולים יורדים'!A31,הפניקס!A:K,9,0)+VLOOKUP('עולים יורדים'!A31,כלל!A:K,9,0)+VLOOKUP('עולים יורדים'!A31,מור!A:K,9,0)+VLOOKUP('עולים יורדים'!A31,'אלטשולר שחם'!A:K,9,0)+VLOOKUP('עולים יורדים'!A31,'מדיהו '!A:K,9,0)+VLOOKUP('עולים יורדים'!A31,'אנליסט '!A:K,9,0)+VLOOKUP('עולים יורדים'!A31,'מיטב דש'!A:K,9,0)+VLOOKUP('עולים יורדים'!A31,אינפניטי!A:K,9,0),0)</f>
        <v>0</v>
      </c>
    </row>
    <row r="32" spans="1:5" x14ac:dyDescent="0.25">
      <c r="A32" s="27" t="s">
        <v>108</v>
      </c>
      <c r="B32" s="20">
        <f t="shared" si="0"/>
        <v>4.4650298657495098</v>
      </c>
      <c r="C32" s="21">
        <f t="shared" si="1"/>
        <v>10749.291499999999</v>
      </c>
      <c r="D32" s="22">
        <f>IFERROR(VLOOKUP(A32,הכשרה!A:K,5,0)+VLOOKUP('עולים יורדים'!A32,מגדל!A:G,5,0)+VLOOKUP('עולים יורדים'!A32,מנורה!A:G,5,0)+VLOOKUP('עולים יורדים'!A32,איילון!A:G,5,0)+VLOOKUP('עולים יורדים'!A32,הראל!A:G,5,0)+VLOOKUP('עולים יורדים'!A32,הפניקס!A:G,5,0)+VLOOKUP('עולים יורדים'!A32,כלל!A:G,5,0)+VLOOKUP('עולים יורדים'!A32,מור!A:G,5,0)+VLOOKUP('עולים יורדים'!A32,'אלטשולר שחם'!A:G,5,0)+VLOOKUP('עולים יורדים'!A32,'מדיהו '!A:G,5,0)+VLOOKUP('עולים יורדים'!A32,'אנליסט '!A:G,5,0)+VLOOKUP('עולים יורדים'!A32,'מיטב דש'!A:G,5,0)+VLOOKUP('עולים יורדים'!A32,אינפניטי!A:G,5,0),0)</f>
        <v>13156.7315</v>
      </c>
      <c r="E32" s="23">
        <f>IFERROR(VLOOKUP(A32,הכשרה!A:K,9,0)+VLOOKUP('עולים יורדים'!A32,מגדל!A:K,9,0)+VLOOKUP('עולים יורדים'!A32,מנורה!A:K,9,0)+VLOOKUP('עולים יורדים'!A32,איילון!A:K,9,0)+VLOOKUP('עולים יורדים'!A32,הראל!A:K,9,0)+VLOOKUP('עולים יורדים'!A32,הפניקס!A:K,9,0)+VLOOKUP('עולים יורדים'!A32,כלל!A:K,9,0)+VLOOKUP('עולים יורדים'!A32,מור!A:K,9,0)+VLOOKUP('עולים יורדים'!A32,'אלטשולר שחם'!A:K,9,0)+VLOOKUP('עולים יורדים'!A32,'מדיהו '!A:K,9,0)+VLOOKUP('עולים יורדים'!A32,'אנליסט '!A:K,9,0)+VLOOKUP('עולים יורדים'!A32,'מיטב דש'!A:K,9,0)+VLOOKUP('עולים יורדים'!A32,אינפניטי!A:K,9,0),0)</f>
        <v>2407.44</v>
      </c>
    </row>
    <row r="33" spans="1:6" x14ac:dyDescent="0.25">
      <c r="A33" s="27" t="s">
        <v>31</v>
      </c>
      <c r="B33" s="20">
        <f t="shared" si="0"/>
        <v>0</v>
      </c>
      <c r="C33" s="21">
        <f t="shared" si="1"/>
        <v>0</v>
      </c>
      <c r="D33" s="22">
        <f>IFERROR(VLOOKUP(A33,הכשרה!A:K,5,0)+VLOOKUP('עולים יורדים'!A33,מגדל!A:G,5,0)+VLOOKUP('עולים יורדים'!A33,מנורה!A:G,5,0)+VLOOKUP('עולים יורדים'!A33,איילון!A:G,5,0)+VLOOKUP('עולים יורדים'!A33,הראל!A:G,5,0)+VLOOKUP('עולים יורדים'!A33,הפניקס!A:G,5,0)+VLOOKUP('עולים יורדים'!A33,כלל!A:G,5,0)+VLOOKUP('עולים יורדים'!A33,מור!A:G,5,0)+VLOOKUP('עולים יורדים'!A33,'אלטשולר שחם'!A:G,5,0)+VLOOKUP('עולים יורדים'!A33,'מדיהו '!A:G,5,0)+VLOOKUP('עולים יורדים'!A33,'אנליסט '!A:G,5,0)+VLOOKUP('עולים יורדים'!A33,'מיטב דש'!A:G,5,0)+VLOOKUP('עולים יורדים'!A33,אינפניטי!A:G,5,0),0)</f>
        <v>0</v>
      </c>
      <c r="E33" s="23">
        <f>IFERROR(VLOOKUP(A33,הכשרה!A:K,9,0)+VLOOKUP('עולים יורדים'!A33,מגדל!A:K,9,0)+VLOOKUP('עולים יורדים'!A33,מנורה!A:K,9,0)+VLOOKUP('עולים יורדים'!A33,איילון!A:K,9,0)+VLOOKUP('עולים יורדים'!A33,הראל!A:K,9,0)+VLOOKUP('עולים יורדים'!A33,הפניקס!A:K,9,0)+VLOOKUP('עולים יורדים'!A33,כלל!A:K,9,0)+VLOOKUP('עולים יורדים'!A33,מור!A:K,9,0)+VLOOKUP('עולים יורדים'!A33,'אלטשולר שחם'!A:K,9,0)+VLOOKUP('עולים יורדים'!A33,'מדיהו '!A:K,9,0)+VLOOKUP('עולים יורדים'!A33,'אנליסט '!A:K,9,0)+VLOOKUP('עולים יורדים'!A33,'מיטב דש'!A:K,9,0)+VLOOKUP('עולים יורדים'!A33,אינפניטי!A:K,9,0),0)</f>
        <v>0</v>
      </c>
    </row>
    <row r="34" spans="1:6" x14ac:dyDescent="0.25">
      <c r="A34" s="27" t="s">
        <v>43</v>
      </c>
      <c r="B34" s="20">
        <f t="shared" ref="B34:B65" si="2">IF(D34=0,0%,IF(E34=0,100%,D34/E34-1))</f>
        <v>25.148604284382341</v>
      </c>
      <c r="C34" s="21">
        <f t="shared" ref="C34:C65" si="3">D34-E34</f>
        <v>70543.773144624807</v>
      </c>
      <c r="D34" s="22">
        <f>IFERROR(VLOOKUP(A34,הכשרה!A:K,5,0)+VLOOKUP('עולים יורדים'!A34,מגדל!A:G,5,0)+VLOOKUP('עולים יורדים'!A34,מנורה!A:G,5,0)+VLOOKUP('עולים יורדים'!A34,איילון!A:G,5,0)+VLOOKUP('עולים יורדים'!A34,הראל!A:G,5,0)+VLOOKUP('עולים יורדים'!A34,הפניקס!A:G,5,0)+VLOOKUP('עולים יורדים'!A34,כלל!A:G,5,0)+VLOOKUP('עולים יורדים'!A34,מור!A:G,5,0)+VLOOKUP('עולים יורדים'!A34,'אלטשולר שחם'!A:G,5,0)+VLOOKUP('עולים יורדים'!A34,'מדיהו '!A:G,5,0)+VLOOKUP('עולים יורדים'!A34,'אנליסט '!A:G,5,0)+VLOOKUP('עולים יורדים'!A34,'מיטב דש'!A:G,5,0)+VLOOKUP('עולים יורדים'!A34,אינפניטי!A:G,5,0),0)</f>
        <v>73348.850211602781</v>
      </c>
      <c r="E34" s="23">
        <f>IFERROR(VLOOKUP(A34,הכשרה!A:K,9,0)+VLOOKUP('עולים יורדים'!A34,מגדל!A:K,9,0)+VLOOKUP('עולים יורדים'!A34,מנורה!A:K,9,0)+VLOOKUP('עולים יורדים'!A34,איילון!A:K,9,0)+VLOOKUP('עולים יורדים'!A34,הראל!A:K,9,0)+VLOOKUP('עולים יורדים'!A34,הפניקס!A:K,9,0)+VLOOKUP('עולים יורדים'!A34,כלל!A:K,9,0)+VLOOKUP('עולים יורדים'!A34,מור!A:K,9,0)+VLOOKUP('עולים יורדים'!A34,'אלטשולר שחם'!A:K,9,0)+VLOOKUP('עולים יורדים'!A34,'מדיהו '!A:K,9,0)+VLOOKUP('עולים יורדים'!A34,'אנליסט '!A:K,9,0)+VLOOKUP('עולים יורדים'!A34,'מיטב דש'!A:K,9,0)+VLOOKUP('עולים יורדים'!A34,אינפניטי!A:K,9,0),0)</f>
        <v>2805.0770669779695</v>
      </c>
    </row>
    <row r="35" spans="1:6" x14ac:dyDescent="0.25">
      <c r="A35" s="27" t="s">
        <v>11</v>
      </c>
      <c r="B35" s="20">
        <f t="shared" si="2"/>
        <v>-0.78383756669728999</v>
      </c>
      <c r="C35" s="21">
        <f t="shared" si="3"/>
        <v>-18781.140077952565</v>
      </c>
      <c r="D35" s="22">
        <f>IFERROR(VLOOKUP(A35,הכשרה!A:K,5,0)+VLOOKUP('עולים יורדים'!A35,מגדל!A:G,5,0)+VLOOKUP('עולים יורדים'!A35,מנורה!A:G,5,0)+VLOOKUP('עולים יורדים'!A35,איילון!A:G,5,0)+VLOOKUP('עולים יורדים'!A35,הראל!A:G,5,0)+VLOOKUP('עולים יורדים'!A35,הפניקס!A:G,5,0)+VLOOKUP('עולים יורדים'!A35,כלל!A:G,5,0)+VLOOKUP('עולים יורדים'!A35,מור!A:G,5,0)+VLOOKUP('עולים יורדים'!A35,'אלטשולר שחם'!A:G,5,0)+VLOOKUP('עולים יורדים'!A35,'מדיהו '!A:G,5,0)+VLOOKUP('עולים יורדים'!A35,'אנליסט '!A:G,5,0)+VLOOKUP('עולים יורדים'!A35,'מיטב דש'!A:G,5,0)+VLOOKUP('עולים יורדים'!A35,אינפניטי!A:G,5,0),0)</f>
        <v>5179.3599999999997</v>
      </c>
      <c r="E35" s="23">
        <f>IFERROR(VLOOKUP(A35,הכשרה!A:K,9,0)+VLOOKUP('עולים יורדים'!A35,מגדל!A:K,9,0)+VLOOKUP('עולים יורדים'!A35,מנורה!A:K,9,0)+VLOOKUP('עולים יורדים'!A35,איילון!A:K,9,0)+VLOOKUP('עולים יורדים'!A35,הראל!A:K,9,0)+VLOOKUP('עולים יורדים'!A35,הפניקס!A:K,9,0)+VLOOKUP('עולים יורדים'!A35,כלל!A:K,9,0)+VLOOKUP('עולים יורדים'!A35,מור!A:K,9,0)+VLOOKUP('עולים יורדים'!A35,'אלטשולר שחם'!A:K,9,0)+VLOOKUP('עולים יורדים'!A35,'מדיהו '!A:K,9,0)+VLOOKUP('עולים יורדים'!A35,'אנליסט '!A:K,9,0)+VLOOKUP('עולים יורדים'!A35,'מיטב דש'!A:K,9,0)+VLOOKUP('עולים יורדים'!A35,אינפניטי!A:K,9,0),0)</f>
        <v>23960.500077952565</v>
      </c>
    </row>
    <row r="36" spans="1:6" x14ac:dyDescent="0.25">
      <c r="A36" s="31" t="s">
        <v>16</v>
      </c>
      <c r="B36" s="20">
        <f t="shared" si="2"/>
        <v>0</v>
      </c>
      <c r="C36" s="21">
        <f t="shared" si="3"/>
        <v>0</v>
      </c>
      <c r="D36" s="22">
        <f>IFERROR(VLOOKUP(A36,הכשרה!A:K,5,0)+VLOOKUP('עולים יורדים'!A36,מגדל!A:G,5,0)+VLOOKUP('עולים יורדים'!A36,מנורה!A:G,5,0)+VLOOKUP('עולים יורדים'!A36,איילון!A:G,5,0)+VLOOKUP('עולים יורדים'!A36,הראל!A:G,5,0)+VLOOKUP('עולים יורדים'!A36,הפניקס!A:G,5,0)+VLOOKUP('עולים יורדים'!A36,כלל!A:G,5,0)+VLOOKUP('עולים יורדים'!A36,מור!A:G,5,0)+VLOOKUP('עולים יורדים'!A36,'אלטשולר שחם'!A:G,5,0)+VLOOKUP('עולים יורדים'!A36,'מדיהו '!A:G,5,0)+VLOOKUP('עולים יורדים'!A36,'אנליסט '!A:G,5,0)+VLOOKUP('עולים יורדים'!A36,'מיטב דש'!A:G,5,0)+VLOOKUP('עולים יורדים'!A36,אינפניטי!A:G,5,0),0)</f>
        <v>0</v>
      </c>
      <c r="E36" s="23">
        <f>IFERROR(VLOOKUP(A36,הכשרה!A:K,9,0)+VLOOKUP('עולים יורדים'!A36,מגדל!A:K,9,0)+VLOOKUP('עולים יורדים'!A36,מנורה!A:K,9,0)+VLOOKUP('עולים יורדים'!A36,איילון!A:K,9,0)+VLOOKUP('עולים יורדים'!A36,הראל!A:K,9,0)+VLOOKUP('עולים יורדים'!A36,הפניקס!A:K,9,0)+VLOOKUP('עולים יורדים'!A36,כלל!A:K,9,0)+VLOOKUP('עולים יורדים'!A36,מור!A:K,9,0)+VLOOKUP('עולים יורדים'!A36,'אלטשולר שחם'!A:K,9,0)+VLOOKUP('עולים יורדים'!A36,'מדיהו '!A:K,9,0)+VLOOKUP('עולים יורדים'!A36,'אנליסט '!A:K,9,0)+VLOOKUP('עולים יורדים'!A36,'מיטב דש'!A:K,9,0)+VLOOKUP('עולים יורדים'!A36,אינפניטי!A:K,9,0),0)</f>
        <v>0</v>
      </c>
    </row>
    <row r="37" spans="1:6" x14ac:dyDescent="0.25">
      <c r="A37" s="27" t="s">
        <v>14</v>
      </c>
      <c r="B37" s="20">
        <f t="shared" si="2"/>
        <v>0</v>
      </c>
      <c r="C37" s="21">
        <f t="shared" si="3"/>
        <v>0</v>
      </c>
      <c r="D37" s="22">
        <f>IFERROR(VLOOKUP(A37,הכשרה!A:K,5,0)+VLOOKUP('עולים יורדים'!A37,מגדל!A:G,5,0)+VLOOKUP('עולים יורדים'!A37,מנורה!A:G,5,0)+VLOOKUP('עולים יורדים'!A37,איילון!A:G,5,0)+VLOOKUP('עולים יורדים'!A37,הראל!A:G,5,0)+VLOOKUP('עולים יורדים'!A37,הפניקס!A:G,5,0)+VLOOKUP('עולים יורדים'!A37,כלל!A:G,5,0)+VLOOKUP('עולים יורדים'!A37,מור!A:G,5,0)+VLOOKUP('עולים יורדים'!A37,'אלטשולר שחם'!A:G,5,0)+VLOOKUP('עולים יורדים'!A37,'מדיהו '!A:G,5,0)+VLOOKUP('עולים יורדים'!A37,'אנליסט '!A:G,5,0)+VLOOKUP('עולים יורדים'!A37,'מיטב דש'!A:G,5,0)+VLOOKUP('עולים יורדים'!A37,אינפניטי!A:G,5,0),0)</f>
        <v>0</v>
      </c>
      <c r="E37" s="23">
        <f>IFERROR(VLOOKUP(A37,הכשרה!A:K,9,0)+VLOOKUP('עולים יורדים'!A37,מגדל!A:K,9,0)+VLOOKUP('עולים יורדים'!A37,מנורה!A:K,9,0)+VLOOKUP('עולים יורדים'!A37,איילון!A:K,9,0)+VLOOKUP('עולים יורדים'!A37,הראל!A:K,9,0)+VLOOKUP('עולים יורדים'!A37,הפניקס!A:K,9,0)+VLOOKUP('עולים יורדים'!A37,כלל!A:K,9,0)+VLOOKUP('עולים יורדים'!A37,מור!A:K,9,0)+VLOOKUP('עולים יורדים'!A37,'אלטשולר שחם'!A:K,9,0)+VLOOKUP('עולים יורדים'!A37,'מדיהו '!A:K,9,0)+VLOOKUP('עולים יורדים'!A37,'אנליסט '!A:K,9,0)+VLOOKUP('עולים יורדים'!A37,'מיטב דש'!A:K,9,0)+VLOOKUP('עולים יורדים'!A37,אינפניטי!A:K,9,0),0)</f>
        <v>0</v>
      </c>
    </row>
    <row r="38" spans="1:6" x14ac:dyDescent="0.25">
      <c r="A38" s="27" t="s">
        <v>28</v>
      </c>
      <c r="B38" s="20">
        <f t="shared" si="2"/>
        <v>0</v>
      </c>
      <c r="C38" s="21">
        <f t="shared" si="3"/>
        <v>0</v>
      </c>
      <c r="D38" s="22">
        <f>IFERROR(VLOOKUP(A38,הכשרה!A:K,5,0)+VLOOKUP('עולים יורדים'!A38,מגדל!A:G,5,0)+VLOOKUP('עולים יורדים'!A38,מנורה!A:G,5,0)+VLOOKUP('עולים יורדים'!A38,איילון!A:G,5,0)+VLOOKUP('עולים יורדים'!A38,הראל!A:G,5,0)+VLOOKUP('עולים יורדים'!A38,הפניקס!A:G,5,0)+VLOOKUP('עולים יורדים'!A38,כלל!A:G,5,0)+VLOOKUP('עולים יורדים'!A38,מור!A:G,5,0)+VLOOKUP('עולים יורדים'!A38,'אלטשולר שחם'!A:G,5,0)+VLOOKUP('עולים יורדים'!A38,'מדיהו '!A:G,5,0)+VLOOKUP('עולים יורדים'!A38,'אנליסט '!A:G,5,0)+VLOOKUP('עולים יורדים'!A38,'מיטב דש'!A:G,5,0)+VLOOKUP('עולים יורדים'!A38,אינפניטי!A:G,5,0),0)</f>
        <v>0</v>
      </c>
      <c r="E38" s="23">
        <f>IFERROR(VLOOKUP(A38,הכשרה!A:K,9,0)+VLOOKUP('עולים יורדים'!A38,מגדל!A:K,9,0)+VLOOKUP('עולים יורדים'!A38,מנורה!A:K,9,0)+VLOOKUP('עולים יורדים'!A38,איילון!A:K,9,0)+VLOOKUP('עולים יורדים'!A38,הראל!A:K,9,0)+VLOOKUP('עולים יורדים'!A38,הפניקס!A:K,9,0)+VLOOKUP('עולים יורדים'!A38,כלל!A:K,9,0)+VLOOKUP('עולים יורדים'!A38,מור!A:K,9,0)+VLOOKUP('עולים יורדים'!A38,'אלטשולר שחם'!A:K,9,0)+VLOOKUP('עולים יורדים'!A38,'מדיהו '!A:K,9,0)+VLOOKUP('עולים יורדים'!A38,'אנליסט '!A:K,9,0)+VLOOKUP('עולים יורדים'!A38,'מיטב דש'!A:K,9,0)+VLOOKUP('עולים יורדים'!A38,אינפניטי!A:K,9,0),0)</f>
        <v>0</v>
      </c>
    </row>
    <row r="39" spans="1:6" x14ac:dyDescent="0.25">
      <c r="A39" s="27" t="s">
        <v>5</v>
      </c>
      <c r="B39" s="20">
        <f t="shared" si="2"/>
        <v>1.5080716481649405</v>
      </c>
      <c r="C39" s="21">
        <f t="shared" si="3"/>
        <v>36278.056266589207</v>
      </c>
      <c r="D39" s="22">
        <f>IFERROR(VLOOKUP(A39,הכשרה!A:K,5,0)+VLOOKUP('עולים יורדים'!A39,מגדל!A:G,5,0)+VLOOKUP('עולים יורדים'!A39,מנורה!A:G,5,0)+VLOOKUP('עולים יורדים'!A39,איילון!A:G,5,0)+VLOOKUP('עולים יורדים'!A39,הראל!A:G,5,0)+VLOOKUP('עולים יורדים'!A39,הפניקס!A:G,5,0)+VLOOKUP('עולים יורדים'!A39,כלל!A:G,5,0)+VLOOKUP('עולים יורדים'!A39,מור!A:G,5,0)+VLOOKUP('עולים יורדים'!A39,'אלטשולר שחם'!A:G,5,0)+VLOOKUP('עולים יורדים'!A39,'מדיהו '!A:G,5,0)+VLOOKUP('עולים יורדים'!A39,'אנליסט '!A:G,5,0)+VLOOKUP('עולים יורדים'!A39,'מיטב דש'!A:G,5,0)+VLOOKUP('עולים יורדים'!A39,אינפניטי!A:G,5,0),0)</f>
        <v>60333.979810230681</v>
      </c>
      <c r="E39" s="23">
        <f>IFERROR(VLOOKUP(A39,הכשרה!A:K,9,0)+VLOOKUP('עולים יורדים'!A39,מגדל!A:K,9,0)+VLOOKUP('עולים יורדים'!A39,מנורה!A:K,9,0)+VLOOKUP('עולים יורדים'!A39,איילון!A:K,9,0)+VLOOKUP('עולים יורדים'!A39,הראל!A:K,9,0)+VLOOKUP('עולים יורדים'!A39,הפניקס!A:K,9,0)+VLOOKUP('עולים יורדים'!A39,כלל!A:K,9,0)+VLOOKUP('עולים יורדים'!A39,מור!A:K,9,0)+VLOOKUP('עולים יורדים'!A39,'אלטשולר שחם'!A:K,9,0)+VLOOKUP('עולים יורדים'!A39,'מדיהו '!A:K,9,0)+VLOOKUP('עולים יורדים'!A39,'אנליסט '!A:K,9,0)+VLOOKUP('עולים יורדים'!A39,'מיטב דש'!A:K,9,0)+VLOOKUP('עולים יורדים'!A39,אינפניטי!A:K,9,0),0)</f>
        <v>24055.923543641478</v>
      </c>
    </row>
    <row r="40" spans="1:6" ht="15" x14ac:dyDescent="0.25">
      <c r="A40" s="139" t="s">
        <v>109</v>
      </c>
      <c r="B40" s="20">
        <f t="shared" si="2"/>
        <v>1</v>
      </c>
      <c r="C40" s="21">
        <f t="shared" si="3"/>
        <v>27841.896540477064</v>
      </c>
      <c r="D40" s="22">
        <f>IFERROR(VLOOKUP(A40,הכשרה!A:K,5,0)+VLOOKUP('עולים יורדים'!A40,מגדל!A:G,5,0)+VLOOKUP('עולים יורדים'!A40,מנורה!A:G,5,0)+VLOOKUP('עולים יורדים'!A40,איילון!A:G,5,0)+VLOOKUP('עולים יורדים'!A40,הראל!A:G,5,0)+VLOOKUP('עולים יורדים'!A40,הפניקס!A:G,5,0)+VLOOKUP('עולים יורדים'!A40,כלל!A:G,5,0)+VLOOKUP('עולים יורדים'!A40,מור!A:G,5,0)+VLOOKUP('עולים יורדים'!A40,'אלטשולר שחם'!A:G,5,0)+VLOOKUP('עולים יורדים'!A40,'מדיהו '!A:G,5,0)+VLOOKUP('עולים יורדים'!A40,'אנליסט '!A:G,5,0)+VLOOKUP('עולים יורדים'!A40,'מיטב דש'!A:G,5,0)+VLOOKUP('עולים יורדים'!A40,אינפניטי!A:G,5,0),0)</f>
        <v>27841.896540477064</v>
      </c>
      <c r="E40" s="23">
        <f>IFERROR(VLOOKUP(A40,הכשרה!A:K,9,0)+VLOOKUP('עולים יורדים'!A40,מגדל!A:K,9,0)+VLOOKUP('עולים יורדים'!A40,מנורה!A:K,9,0)+VLOOKUP('עולים יורדים'!A40,איילון!A:K,9,0)+VLOOKUP('עולים יורדים'!A40,הראל!A:K,9,0)+VLOOKUP('עולים יורדים'!A40,הפניקס!A:K,9,0)+VLOOKUP('עולים יורדים'!A40,כלל!A:K,9,0)+VLOOKUP('עולים יורדים'!A40,מור!A:K,9,0)+VLOOKUP('עולים יורדים'!A40,'אלטשולר שחם'!A:K,9,0)+VLOOKUP('עולים יורדים'!A40,'מדיהו '!A:K,9,0)+VLOOKUP('עולים יורדים'!A40,'אנליסט '!A:K,9,0)+VLOOKUP('עולים יורדים'!A40,'מיטב דש'!A:K,9,0)+VLOOKUP('עולים יורדים'!A40,אינפניטי!A:K,9,0),0)</f>
        <v>0</v>
      </c>
    </row>
    <row r="41" spans="1:6" x14ac:dyDescent="0.25">
      <c r="A41" s="31" t="s">
        <v>12</v>
      </c>
      <c r="B41" s="20">
        <f t="shared" si="2"/>
        <v>-0.39186916259916593</v>
      </c>
      <c r="C41" s="21">
        <f t="shared" si="3"/>
        <v>-1948.7921087019813</v>
      </c>
      <c r="D41" s="22">
        <f>IFERROR(VLOOKUP(A41,הכשרה!A:K,5,0)+VLOOKUP('עולים יורדים'!A41,מגדל!A:G,5,0)+VLOOKUP('עולים יורדים'!A41,מנורה!A:G,5,0)+VLOOKUP('עולים יורדים'!A41,איילון!A:G,5,0)+VLOOKUP('עולים יורדים'!A41,הראל!A:G,5,0)+VLOOKUP('עולים יורדים'!A41,הפניקס!A:G,5,0)+VLOOKUP('עולים יורדים'!A41,כלל!A:G,5,0)+VLOOKUP('עולים יורדים'!A41,מור!A:G,5,0)+VLOOKUP('עולים יורדים'!A41,'אלטשולר שחם'!A:G,5,0)+VLOOKUP('עולים יורדים'!A41,'מדיהו '!A:G,5,0)+VLOOKUP('עולים יורדים'!A41,'אנליסט '!A:G,5,0)+VLOOKUP('עולים יורדים'!A41,'מיטב דש'!A:G,5,0)+VLOOKUP('עולים יורדים'!A41,אינפניטי!A:G,5,0),0)</f>
        <v>3024.2761872980191</v>
      </c>
      <c r="E41" s="23">
        <f>IFERROR(VLOOKUP(A41,הכשרה!A:K,9,0)+VLOOKUP('עולים יורדים'!A41,מגדל!A:K,9,0)+VLOOKUP('עולים יורדים'!A41,מנורה!A:K,9,0)+VLOOKUP('עולים יורדים'!A41,איילון!A:K,9,0)+VLOOKUP('עולים יורדים'!A41,הראל!A:K,9,0)+VLOOKUP('עולים יורדים'!A41,הפניקס!A:K,9,0)+VLOOKUP('עולים יורדים'!A41,כלל!A:K,9,0)+VLOOKUP('עולים יורדים'!A41,מור!A:K,9,0)+VLOOKUP('עולים יורדים'!A41,'אלטשולר שחם'!A:K,9,0)+VLOOKUP('עולים יורדים'!A41,'מדיהו '!A:K,9,0)+VLOOKUP('עולים יורדים'!A41,'אנליסט '!A:K,9,0)+VLOOKUP('עולים יורדים'!A41,'מיטב דש'!A:K,9,0)+VLOOKUP('עולים יורדים'!A41,אינפניטי!A:K,9,0),0)</f>
        <v>4973.0682960000004</v>
      </c>
    </row>
    <row r="42" spans="1:6" x14ac:dyDescent="0.25">
      <c r="A42" s="27" t="s">
        <v>92</v>
      </c>
      <c r="B42" s="20">
        <f t="shared" si="2"/>
        <v>3.7652583357571183</v>
      </c>
      <c r="C42" s="21">
        <f t="shared" si="3"/>
        <v>9433.6035288134044</v>
      </c>
      <c r="D42" s="22">
        <f>IFERROR(VLOOKUP(A42,הכשרה!A:K,5,0)+VLOOKUP('עולים יורדים'!A42,מגדל!A:G,5,0)+VLOOKUP('עולים יורדים'!A42,מנורה!A:G,5,0)+VLOOKUP('עולים יורדים'!A42,איילון!A:G,5,0)+VLOOKUP('עולים יורדים'!A42,הראל!A:G,5,0)+VLOOKUP('עולים יורדים'!A42,הפניקס!A:G,5,0)+VLOOKUP('עולים יורדים'!A42,כלל!A:G,5,0)+VLOOKUP('עולים יורדים'!A42,מור!A:G,5,0)+VLOOKUP('עולים יורדים'!A42,'אלטשולר שחם'!A:G,5,0)+VLOOKUP('עולים יורדים'!A42,'מדיהו '!A:G,5,0)+VLOOKUP('עולים יורדים'!A42,'אנליסט '!A:G,5,0)+VLOOKUP('עולים יורדים'!A42,'מיטב דש'!A:G,5,0)+VLOOKUP('עולים יורדים'!A42,אינפניטי!A:G,5,0),0)</f>
        <v>11939.036805257236</v>
      </c>
      <c r="E42" s="23">
        <f>IFERROR(VLOOKUP(A42,הכשרה!A:K,9,0)+VLOOKUP('עולים יורדים'!A42,מגדל!A:K,9,0)+VLOOKUP('עולים יורדים'!A42,מנורה!A:K,9,0)+VLOOKUP('עולים יורדים'!A42,איילון!A:K,9,0)+VLOOKUP('עולים יורדים'!A42,הראל!A:K,9,0)+VLOOKUP('עולים יורדים'!A42,הפניקס!A:K,9,0)+VLOOKUP('עולים יורדים'!A42,כלל!A:K,9,0)+VLOOKUP('עולים יורדים'!A42,מור!A:K,9,0)+VLOOKUP('עולים יורדים'!A42,'אלטשולר שחם'!A:K,9,0)+VLOOKUP('עולים יורדים'!A42,'מדיהו '!A:K,9,0)+VLOOKUP('עולים יורדים'!A42,'אנליסט '!A:K,9,0)+VLOOKUP('עולים יורדים'!A42,'מיטב דש'!A:K,9,0)+VLOOKUP('עולים יורדים'!A42,אינפניטי!A:K,9,0),0)</f>
        <v>2505.4332764438313</v>
      </c>
    </row>
    <row r="43" spans="1:6" x14ac:dyDescent="0.25">
      <c r="A43" s="28" t="s">
        <v>6</v>
      </c>
      <c r="B43" s="20">
        <f t="shared" si="2"/>
        <v>-0.32122602652218935</v>
      </c>
      <c r="C43" s="21">
        <f t="shared" si="3"/>
        <v>-1082.3010680904699</v>
      </c>
      <c r="D43" s="22">
        <f>IFERROR(VLOOKUP(A43,הכשרה!A:K,5,0)+VLOOKUP('עולים יורדים'!A43,מגדל!A:G,5,0)+VLOOKUP('עולים יורדים'!A43,מנורה!A:G,5,0)+VLOOKUP('עולים יורדים'!A43,איילון!A:G,5,0)+VLOOKUP('עולים יורדים'!A43,הראל!A:G,5,0)+VLOOKUP('עולים יורדים'!A43,הפניקס!A:G,5,0)+VLOOKUP('עולים יורדים'!A43,כלל!A:G,5,0)+VLOOKUP('עולים יורדים'!A43,מור!A:G,5,0)+VLOOKUP('עולים יורדים'!A43,'אלטשולר שחם'!A:G,5,0)+VLOOKUP('עולים יורדים'!A43,'מדיהו '!A:G,5,0)+VLOOKUP('עולים יורדים'!A43,'אנליסט '!A:G,5,0)+VLOOKUP('עולים יורדים'!A43,'מיטב דש'!A:G,5,0)+VLOOKUP('עולים יורדים'!A43,אינפניטי!A:G,5,0),0)</f>
        <v>2286.980928789405</v>
      </c>
      <c r="E43" s="23">
        <f>IFERROR(VLOOKUP(A43,הכשרה!A:K,9,0)+VLOOKUP('עולים יורדים'!A43,מגדל!A:K,9,0)+VLOOKUP('עולים יורדים'!A43,מנורה!A:K,9,0)+VLOOKUP('עולים יורדים'!A43,איילון!A:K,9,0)+VLOOKUP('עולים יורדים'!A43,הראל!A:K,9,0)+VLOOKUP('עולים יורדים'!A43,הפניקס!A:K,9,0)+VLOOKUP('עולים יורדים'!A43,כלל!A:K,9,0)+VLOOKUP('עולים יורדים'!A43,מור!A:K,9,0)+VLOOKUP('עולים יורדים'!A43,'אלטשולר שחם'!A:K,9,0)+VLOOKUP('עולים יורדים'!A43,'מדיהו '!A:K,9,0)+VLOOKUP('עולים יורדים'!A43,'אנליסט '!A:K,9,0)+VLOOKUP('עולים יורדים'!A43,'מיטב דש'!A:K,9,0)+VLOOKUP('עולים יורדים'!A43,אינפניטי!A:K,9,0),0)</f>
        <v>3369.2819968798749</v>
      </c>
    </row>
    <row r="44" spans="1:6" x14ac:dyDescent="0.25">
      <c r="A44" s="31" t="s">
        <v>40</v>
      </c>
      <c r="B44" s="20">
        <f t="shared" si="2"/>
        <v>-0.62979988087452654</v>
      </c>
      <c r="C44" s="21">
        <f t="shared" si="3"/>
        <v>-56014.94819253638</v>
      </c>
      <c r="D44" s="22">
        <f>IFERROR(VLOOKUP(A44,הכשרה!A:K,5,0)+VLOOKUP('עולים יורדים'!A44,מגדל!A:G,5,0)+VLOOKUP('עולים יורדים'!A44,מנורה!A:G,5,0)+VLOOKUP('עולים יורדים'!A44,איילון!A:G,5,0)+VLOOKUP('עולים יורדים'!A44,הראל!A:G,5,0)+VLOOKUP('עולים יורדים'!A44,הפניקס!A:G,5,0)+VLOOKUP('עולים יורדים'!A44,כלל!A:G,5,0)+VLOOKUP('עולים יורדים'!A44,מור!A:G,5,0)+VLOOKUP('עולים יורדים'!A44,'אלטשולר שחם'!A:G,5,0)+VLOOKUP('עולים יורדים'!A44,'מדיהו '!A:G,5,0)+VLOOKUP('עולים יורדים'!A44,'אנליסט '!A:G,5,0)+VLOOKUP('עולים יורדים'!A44,'מיטב דש'!A:G,5,0)+VLOOKUP('עולים יורדים'!A44,אינפניטי!A:G,5,0),0)</f>
        <v>32925.919999999998</v>
      </c>
      <c r="E44" s="23">
        <f>IFERROR(VLOOKUP(A44,הכשרה!A:K,9,0)+VLOOKUP('עולים יורדים'!A44,מגדל!A:K,9,0)+VLOOKUP('עולים יורדים'!A44,מנורה!A:K,9,0)+VLOOKUP('עולים יורדים'!A44,איילון!A:K,9,0)+VLOOKUP('עולים יורדים'!A44,הראל!A:K,9,0)+VLOOKUP('עולים יורדים'!A44,הפניקס!A:K,9,0)+VLOOKUP('עולים יורדים'!A44,כלל!A:K,9,0)+VLOOKUP('עולים יורדים'!A44,מור!A:K,9,0)+VLOOKUP('עולים יורדים'!A44,'אלטשולר שחם'!A:K,9,0)+VLOOKUP('עולים יורדים'!A44,'מדיהו '!A:K,9,0)+VLOOKUP('עולים יורדים'!A44,'אנליסט '!A:K,9,0)+VLOOKUP('עולים יורדים'!A44,'מיטב דש'!A:K,9,0)+VLOOKUP('עולים יורדים'!A44,אינפניטי!A:K,9,0),0)</f>
        <v>88940.868192536378</v>
      </c>
    </row>
    <row r="45" spans="1:6" x14ac:dyDescent="0.25">
      <c r="A45" s="27" t="s">
        <v>95</v>
      </c>
      <c r="B45" s="20">
        <f t="shared" si="2"/>
        <v>0</v>
      </c>
      <c r="C45" s="21">
        <f t="shared" si="3"/>
        <v>-2739.17</v>
      </c>
      <c r="D45" s="22">
        <f>IFERROR(VLOOKUP(A45,הכשרה!A:K,5,0)+VLOOKUP('עולים יורדים'!A45,מגדל!A:G,5,0)+VLOOKUP('עולים יורדים'!A45,מנורה!A:G,5,0)+VLOOKUP('עולים יורדים'!A45,איילון!A:G,5,0)+VLOOKUP('עולים יורדים'!A45,הראל!A:G,5,0)+VLOOKUP('עולים יורדים'!A45,הפניקס!A:G,5,0)+VLOOKUP('עולים יורדים'!A45,כלל!A:G,5,0)+VLOOKUP('עולים יורדים'!A45,מור!A:G,5,0)+VLOOKUP('עולים יורדים'!A45,'אלטשולר שחם'!A:G,5,0)+VLOOKUP('עולים יורדים'!A45,'מדיהו '!A:G,5,0)+VLOOKUP('עולים יורדים'!A45,'אנליסט '!A:G,5,0)+VLOOKUP('עולים יורדים'!A45,'מיטב דש'!A:G,5,0)+VLOOKUP('עולים יורדים'!A45,אינפניטי!A:G,5,0),0)</f>
        <v>0</v>
      </c>
      <c r="E45" s="23">
        <f>IFERROR(VLOOKUP(A45,הכשרה!A:K,9,0)+VLOOKUP('עולים יורדים'!A45,מגדל!A:K,9,0)+VLOOKUP('עולים יורדים'!A45,מנורה!A:K,9,0)+VLOOKUP('עולים יורדים'!A45,איילון!A:K,9,0)+VLOOKUP('עולים יורדים'!A45,הראל!A:K,9,0)+VLOOKUP('עולים יורדים'!A45,הפניקס!A:K,9,0)+VLOOKUP('עולים יורדים'!A45,כלל!A:K,9,0)+VLOOKUP('עולים יורדים'!A45,מור!A:K,9,0)+VLOOKUP('עולים יורדים'!A45,'אלטשולר שחם'!A:K,9,0)+VLOOKUP('עולים יורדים'!A45,'מדיהו '!A:K,9,0)+VLOOKUP('עולים יורדים'!A45,'אנליסט '!A:K,9,0)+VLOOKUP('עולים יורדים'!A45,'מיטב דש'!A:K,9,0)+VLOOKUP('עולים יורדים'!A45,אינפניטי!A:K,9,0),0)</f>
        <v>2739.17</v>
      </c>
      <c r="F45" s="7"/>
    </row>
    <row r="46" spans="1:6" x14ac:dyDescent="0.25">
      <c r="A46" s="31" t="s">
        <v>18</v>
      </c>
      <c r="B46" s="20">
        <f t="shared" si="2"/>
        <v>9.9153948656869328E-2</v>
      </c>
      <c r="C46" s="21">
        <f t="shared" si="3"/>
        <v>1903.1590060000017</v>
      </c>
      <c r="D46" s="22">
        <f>IFERROR(VLOOKUP(A46,הכשרה!A:K,5,0)+VLOOKUP('עולים יורדים'!A46,מגדל!A:G,5,0)+VLOOKUP('עולים יורדים'!A46,מנורה!A:G,5,0)+VLOOKUP('עולים יורדים'!A46,איילון!A:G,5,0)+VLOOKUP('עולים יורדים'!A46,הראל!A:G,5,0)+VLOOKUP('עולים יורדים'!A46,הפניקס!A:G,5,0)+VLOOKUP('עולים יורדים'!A46,כלל!A:G,5,0)+VLOOKUP('עולים יורדים'!A46,מור!A:G,5,0)+VLOOKUP('עולים יורדים'!A46,'אלטשולר שחם'!A:G,5,0)+VLOOKUP('עולים יורדים'!A46,'מדיהו '!A:G,5,0)+VLOOKUP('עולים יורדים'!A46,'אנליסט '!A:G,5,0)+VLOOKUP('עולים יורדים'!A46,'מיטב דש'!A:G,5,0)+VLOOKUP('עולים יורדים'!A46,אינפניטי!A:G,5,0),0)</f>
        <v>21097.14</v>
      </c>
      <c r="E46" s="23">
        <f>IFERROR(VLOOKUP(A46,הכשרה!A:K,9,0)+VLOOKUP('עולים יורדים'!A46,מגדל!A:K,9,0)+VLOOKUP('עולים יורדים'!A46,מנורה!A:K,9,0)+VLOOKUP('עולים יורדים'!A46,איילון!A:K,9,0)+VLOOKUP('עולים יורדים'!A46,הראל!A:K,9,0)+VLOOKUP('עולים יורדים'!A46,הפניקס!A:K,9,0)+VLOOKUP('עולים יורדים'!A46,כלל!A:K,9,0)+VLOOKUP('עולים יורדים'!A46,מור!A:K,9,0)+VLOOKUP('עולים יורדים'!A46,'אלטשולר שחם'!A:K,9,0)+VLOOKUP('עולים יורדים'!A46,'מדיהו '!A:K,9,0)+VLOOKUP('עולים יורדים'!A46,'אנליסט '!A:K,9,0)+VLOOKUP('עולים יורדים'!A46,'מיטב דש'!A:K,9,0)+VLOOKUP('עולים יורדים'!A46,אינפניטי!A:K,9,0),0)</f>
        <v>19193.980993999998</v>
      </c>
    </row>
    <row r="47" spans="1:6" x14ac:dyDescent="0.25">
      <c r="A47" s="27" t="s">
        <v>112</v>
      </c>
      <c r="B47" s="20">
        <f t="shared" si="2"/>
        <v>1</v>
      </c>
      <c r="C47" s="21">
        <f t="shared" si="3"/>
        <v>10763.53</v>
      </c>
      <c r="D47" s="22">
        <f>IFERROR(VLOOKUP(A47,הכשרה!A:K,5,0)+VLOOKUP('עולים יורדים'!A47,מגדל!A:G,5,0)+VLOOKUP('עולים יורדים'!A47,מנורה!A:G,5,0)+VLOOKUP('עולים יורדים'!A47,איילון!A:G,5,0)+VLOOKUP('עולים יורדים'!A47,הראל!A:G,5,0)+VLOOKUP('עולים יורדים'!A47,הפניקס!A:G,5,0)+VLOOKUP('עולים יורדים'!A47,כלל!A:G,5,0)+VLOOKUP('עולים יורדים'!A47,מור!A:G,5,0)+VLOOKUP('עולים יורדים'!A47,'אלטשולר שחם'!A:G,5,0)+VLOOKUP('עולים יורדים'!A47,'מדיהו '!A:G,5,0)+VLOOKUP('עולים יורדים'!A47,'אנליסט '!A:G,5,0)+VLOOKUP('עולים יורדים'!A47,'מיטב דש'!A:G,5,0)+VLOOKUP('עולים יורדים'!A47,אינפניטי!A:G,5,0),0)</f>
        <v>10763.53</v>
      </c>
      <c r="E47" s="23">
        <f>IFERROR(VLOOKUP(A47,הכשרה!A:K,9,0)+VLOOKUP('עולים יורדים'!A47,מגדל!A:K,9,0)+VLOOKUP('עולים יורדים'!A47,מנורה!A:K,9,0)+VLOOKUP('עולים יורדים'!A47,איילון!A:K,9,0)+VLOOKUP('עולים יורדים'!A47,הראל!A:K,9,0)+VLOOKUP('עולים יורדים'!A47,הפניקס!A:K,9,0)+VLOOKUP('עולים יורדים'!A47,כלל!A:K,9,0)+VLOOKUP('עולים יורדים'!A47,מור!A:K,9,0)+VLOOKUP('עולים יורדים'!A47,'אלטשולר שחם'!A:K,9,0)+VLOOKUP('עולים יורדים'!A47,'מדיהו '!A:K,9,0)+VLOOKUP('עולים יורדים'!A47,'אנליסט '!A:K,9,0)+VLOOKUP('עולים יורדים'!A47,'מיטב דש'!A:K,9,0)+VLOOKUP('עולים יורדים'!A47,אינפניטי!A:K,9,0),0)</f>
        <v>0</v>
      </c>
    </row>
    <row r="48" spans="1:6" x14ac:dyDescent="0.25">
      <c r="A48" s="27" t="s">
        <v>113</v>
      </c>
      <c r="B48" s="20">
        <f t="shared" si="2"/>
        <v>-0.17269540565649222</v>
      </c>
      <c r="C48" s="21">
        <f t="shared" si="3"/>
        <v>-1803.130000000001</v>
      </c>
      <c r="D48" s="22">
        <f>IFERROR(VLOOKUP(A48,הכשרה!A:K,5,0)+VLOOKUP('עולים יורדים'!A48,מגדל!A:G,5,0)+VLOOKUP('עולים יורדים'!A48,מנורה!A:G,5,0)+VLOOKUP('עולים יורדים'!A48,איילון!A:G,5,0)+VLOOKUP('עולים יורדים'!A48,הראל!A:G,5,0)+VLOOKUP('עולים יורדים'!A48,הפניקס!A:G,5,0)+VLOOKUP('עולים יורדים'!A48,כלל!A:G,5,0)+VLOOKUP('עולים יורדים'!A48,מור!A:G,5,0)+VLOOKUP('עולים יורדים'!A48,'אלטשולר שחם'!A:G,5,0)+VLOOKUP('עולים יורדים'!A48,'מדיהו '!A:G,5,0)+VLOOKUP('עולים יורדים'!A48,'אנליסט '!A:G,5,0)+VLOOKUP('עולים יורדים'!A48,'מיטב דש'!A:G,5,0)+VLOOKUP('עולים יורדים'!A48,אינפניטי!A:G,5,0),0)</f>
        <v>8637.9699999999993</v>
      </c>
      <c r="E48" s="23">
        <f>IFERROR(VLOOKUP(A48,הכשרה!A:K,9,0)+VLOOKUP('עולים יורדים'!A48,מגדל!A:K,9,0)+VLOOKUP('עולים יורדים'!A48,מנורה!A:K,9,0)+VLOOKUP('עולים יורדים'!A48,איילון!A:K,9,0)+VLOOKUP('עולים יורדים'!A48,הראל!A:K,9,0)+VLOOKUP('עולים יורדים'!A48,הפניקס!A:K,9,0)+VLOOKUP('עולים יורדים'!A48,כלל!A:K,9,0)+VLOOKUP('עולים יורדים'!A48,מור!A:K,9,0)+VLOOKUP('עולים יורדים'!A48,'אלטשולר שחם'!A:K,9,0)+VLOOKUP('עולים יורדים'!A48,'מדיהו '!A:K,9,0)+VLOOKUP('עולים יורדים'!A48,'אנליסט '!A:K,9,0)+VLOOKUP('עולים יורדים'!A48,'מיטב דש'!A:K,9,0)+VLOOKUP('עולים יורדים'!A48,אינפניטי!A:K,9,0),0)</f>
        <v>10441.1</v>
      </c>
    </row>
    <row r="49" spans="1:5" x14ac:dyDescent="0.25">
      <c r="A49" s="180" t="s">
        <v>103</v>
      </c>
      <c r="B49" s="20">
        <f t="shared" si="2"/>
        <v>1</v>
      </c>
      <c r="C49" s="21">
        <f t="shared" si="3"/>
        <v>17034.032364914659</v>
      </c>
      <c r="D49" s="22">
        <f>IFERROR(VLOOKUP(A49,הכשרה!A:K,5,0)+VLOOKUP('עולים יורדים'!A49,מגדל!A:G,5,0)+VLOOKUP('עולים יורדים'!A49,מנורה!A:G,5,0)+VLOOKUP('עולים יורדים'!A49,איילון!A:G,5,0)+VLOOKUP('עולים יורדים'!A49,הראל!A:G,5,0)+VLOOKUP('עולים יורדים'!A49,הפניקס!A:G,5,0)+VLOOKUP('עולים יורדים'!A49,כלל!A:G,5,0)+VLOOKUP('עולים יורדים'!A49,מור!A:G,5,0)+VLOOKUP('עולים יורדים'!A49,'אלטשולר שחם'!A:G,5,0)+VLOOKUP('עולים יורדים'!A49,'מדיהו '!A:G,5,0)+VLOOKUP('עולים יורדים'!A49,'אנליסט '!A:G,5,0)+VLOOKUP('עולים יורדים'!A49,'מיטב דש'!A:G,5,0)+VLOOKUP('עולים יורדים'!A49,אינפניטי!A:G,5,0),0)</f>
        <v>17034.032364914659</v>
      </c>
      <c r="E49" s="23">
        <f>IFERROR(VLOOKUP(A49,הכשרה!A:K,9,0)+VLOOKUP('עולים יורדים'!A49,מגדל!A:K,9,0)+VLOOKUP('עולים יורדים'!A49,מנורה!A:K,9,0)+VLOOKUP('עולים יורדים'!A49,איילון!A:K,9,0)+VLOOKUP('עולים יורדים'!A49,הראל!A:K,9,0)+VLOOKUP('עולים יורדים'!A49,הפניקס!A:K,9,0)+VLOOKUP('עולים יורדים'!A49,כלל!A:K,9,0)+VLOOKUP('עולים יורדים'!A49,מור!A:K,9,0)+VLOOKUP('עולים יורדים'!A49,'אלטשולר שחם'!A:K,9,0)+VLOOKUP('עולים יורדים'!A49,'מדיהו '!A:K,9,0)+VLOOKUP('עולים יורדים'!A49,'אנליסט '!A:K,9,0)+VLOOKUP('עולים יורדים'!A49,'מיטב דש'!A:K,9,0)+VLOOKUP('עולים יורדים'!A49,אינפניטי!A:K,9,0),0)</f>
        <v>0</v>
      </c>
    </row>
    <row r="50" spans="1:5" x14ac:dyDescent="0.25">
      <c r="A50" s="29" t="s">
        <v>101</v>
      </c>
      <c r="B50" s="20">
        <f t="shared" si="2"/>
        <v>0</v>
      </c>
      <c r="C50" s="21">
        <f t="shared" si="3"/>
        <v>-22240.953595000003</v>
      </c>
      <c r="D50" s="22">
        <f>IFERROR(VLOOKUP(A50,הכשרה!A:K,5,0)+VLOOKUP('עולים יורדים'!A50,מגדל!A:G,5,0)+VLOOKUP('עולים יורדים'!A50,מנורה!A:G,5,0)+VLOOKUP('עולים יורדים'!A50,איילון!A:G,5,0)+VLOOKUP('עולים יורדים'!A50,הראל!A:G,5,0)+VLOOKUP('עולים יורדים'!A50,הפניקס!A:G,5,0)+VLOOKUP('עולים יורדים'!A50,כלל!A:G,5,0)+VLOOKUP('עולים יורדים'!A50,מור!A:G,5,0)+VLOOKUP('עולים יורדים'!A50,'אלטשולר שחם'!A:G,5,0)+VLOOKUP('עולים יורדים'!A50,'מדיהו '!A:G,5,0)+VLOOKUP('עולים יורדים'!A50,'אנליסט '!A:G,5,0)+VLOOKUP('עולים יורדים'!A50,'מיטב דש'!A:G,5,0)+VLOOKUP('עולים יורדים'!A50,אינפניטי!A:G,5,0),0)</f>
        <v>0</v>
      </c>
      <c r="E50" s="23">
        <f>IFERROR(VLOOKUP(A50,הכשרה!A:K,9,0)+VLOOKUP('עולים יורדים'!A50,מגדל!A:K,9,0)+VLOOKUP('עולים יורדים'!A50,מנורה!A:K,9,0)+VLOOKUP('עולים יורדים'!A50,איילון!A:K,9,0)+VLOOKUP('עולים יורדים'!A50,הראל!A:K,9,0)+VLOOKUP('עולים יורדים'!A50,הפניקס!A:K,9,0)+VLOOKUP('עולים יורדים'!A50,כלל!A:K,9,0)+VLOOKUP('עולים יורדים'!A50,מור!A:K,9,0)+VLOOKUP('עולים יורדים'!A50,'אלטשולר שחם'!A:K,9,0)+VLOOKUP('עולים יורדים'!A50,'מדיהו '!A:K,9,0)+VLOOKUP('עולים יורדים'!A50,'אנליסט '!A:K,9,0)+VLOOKUP('עולים יורדים'!A50,'מיטב דש'!A:K,9,0)+VLOOKUP('עולים יורדים'!A50,אינפניטי!A:K,9,0),0)</f>
        <v>22240.953595000003</v>
      </c>
    </row>
    <row r="51" spans="1:5" x14ac:dyDescent="0.25">
      <c r="A51" s="27" t="s">
        <v>99</v>
      </c>
      <c r="B51" s="20">
        <f t="shared" si="2"/>
        <v>0</v>
      </c>
      <c r="C51" s="21">
        <f t="shared" si="3"/>
        <v>0</v>
      </c>
      <c r="D51" s="22">
        <f>IFERROR(VLOOKUP(A51,הכשרה!A:K,5,0)+VLOOKUP('עולים יורדים'!A51,מגדל!A:G,5,0)+VLOOKUP('עולים יורדים'!A51,מנורה!A:G,5,0)+VLOOKUP('עולים יורדים'!A51,איילון!A:G,5,0)+VLOOKUP('עולים יורדים'!A51,הראל!A:G,5,0)+VLOOKUP('עולים יורדים'!A51,הפניקס!A:G,5,0)+VLOOKUP('עולים יורדים'!A51,כלל!A:G,5,0)+VLOOKUP('עולים יורדים'!A51,מור!A:G,5,0)+VLOOKUP('עולים יורדים'!A51,'אלטשולר שחם'!A:G,5,0)+VLOOKUP('עולים יורדים'!A51,'מדיהו '!A:G,5,0)+VLOOKUP('עולים יורדים'!A51,'אנליסט '!A:G,5,0)+VLOOKUP('עולים יורדים'!A51,'מיטב דש'!A:G,5,0)+VLOOKUP('עולים יורדים'!A51,אינפניטי!A:G,5,0),0)</f>
        <v>0</v>
      </c>
      <c r="E51" s="23">
        <f>IFERROR(VLOOKUP(A51,הכשרה!A:K,9,0)+VLOOKUP('עולים יורדים'!A51,מגדל!A:K,9,0)+VLOOKUP('עולים יורדים'!A51,מנורה!A:K,9,0)+VLOOKUP('עולים יורדים'!A51,איילון!A:K,9,0)+VLOOKUP('עולים יורדים'!A51,הראל!A:K,9,0)+VLOOKUP('עולים יורדים'!A51,הפניקס!A:K,9,0)+VLOOKUP('עולים יורדים'!A51,כלל!A:K,9,0)+VLOOKUP('עולים יורדים'!A51,מור!A:K,9,0)+VLOOKUP('עולים יורדים'!A51,'אלטשולר שחם'!A:K,9,0)+VLOOKUP('עולים יורדים'!A51,'מדיהו '!A:K,9,0)+VLOOKUP('עולים יורדים'!A51,'אנליסט '!A:K,9,0)+VLOOKUP('עולים יורדים'!A51,'מיטב דש'!A:K,9,0)+VLOOKUP('עולים יורדים'!A51,אינפניטי!A:K,9,0),0)</f>
        <v>0</v>
      </c>
    </row>
    <row r="52" spans="1:5" x14ac:dyDescent="0.25">
      <c r="A52" s="27" t="s">
        <v>104</v>
      </c>
      <c r="B52" s="20">
        <f t="shared" si="2"/>
        <v>1</v>
      </c>
      <c r="C52" s="21">
        <f t="shared" si="3"/>
        <v>7267.32</v>
      </c>
      <c r="D52" s="22">
        <f>IFERROR(VLOOKUP(A52,הכשרה!A:K,5,0)+VLOOKUP('עולים יורדים'!A52,מגדל!A:G,5,0)+VLOOKUP('עולים יורדים'!A52,מנורה!A:G,5,0)+VLOOKUP('עולים יורדים'!A52,איילון!A:G,5,0)+VLOOKUP('עולים יורדים'!A52,הראל!A:G,5,0)+VLOOKUP('עולים יורדים'!A52,הפניקס!A:G,5,0)+VLOOKUP('עולים יורדים'!A52,כלל!A:G,5,0)+VLOOKUP('עולים יורדים'!A52,מור!A:G,5,0)+VLOOKUP('עולים יורדים'!A52,'אלטשולר שחם'!A:G,5,0)+VLOOKUP('עולים יורדים'!A52,'מדיהו '!A:G,5,0)+VLOOKUP('עולים יורדים'!A52,'אנליסט '!A:G,5,0)+VLOOKUP('עולים יורדים'!A52,'מיטב דש'!A:G,5,0)+VLOOKUP('עולים יורדים'!A52,אינפניטי!A:G,5,0),0)</f>
        <v>7267.32</v>
      </c>
      <c r="E52" s="23">
        <f>IFERROR(VLOOKUP(A52,הכשרה!A:K,9,0)+VLOOKUP('עולים יורדים'!A52,מגדל!A:K,9,0)+VLOOKUP('עולים יורדים'!A52,מנורה!A:K,9,0)+VLOOKUP('עולים יורדים'!A52,איילון!A:K,9,0)+VLOOKUP('עולים יורדים'!A52,הראל!A:K,9,0)+VLOOKUP('עולים יורדים'!A52,הפניקס!A:K,9,0)+VLOOKUP('עולים יורדים'!A52,כלל!A:K,9,0)+VLOOKUP('עולים יורדים'!A52,מור!A:K,9,0)+VLOOKUP('עולים יורדים'!A52,'אלטשולר שחם'!A:K,9,0)+VLOOKUP('עולים יורדים'!A52,'מדיהו '!A:K,9,0)+VLOOKUP('עולים יורדים'!A52,'אנליסט '!A:K,9,0)+VLOOKUP('עולים יורדים'!A52,'מיטב דש'!A:K,9,0)+VLOOKUP('עולים יורדים'!A52,אינפניטי!A:K,9,0),0)</f>
        <v>0</v>
      </c>
    </row>
    <row r="53" spans="1:5" x14ac:dyDescent="0.25">
      <c r="A53" s="27" t="s">
        <v>98</v>
      </c>
      <c r="B53" s="20">
        <f t="shared" si="2"/>
        <v>0</v>
      </c>
      <c r="C53" s="21">
        <f t="shared" si="3"/>
        <v>-3495.68325</v>
      </c>
      <c r="D53" s="22">
        <f>IFERROR(VLOOKUP(A53,הכשרה!A:K,5,0)+VLOOKUP('עולים יורדים'!A53,מגדל!A:G,5,0)+VLOOKUP('עולים יורדים'!A53,מנורה!A:G,5,0)+VLOOKUP('עולים יורדים'!A53,איילון!A:G,5,0)+VLOOKUP('עולים יורדים'!A53,הראל!A:G,5,0)+VLOOKUP('עולים יורדים'!A53,הפניקס!A:G,5,0)+VLOOKUP('עולים יורדים'!A53,כלל!A:G,5,0)+VLOOKUP('עולים יורדים'!A53,מור!A:G,5,0)+VLOOKUP('עולים יורדים'!A53,'אלטשולר שחם'!A:G,5,0)+VLOOKUP('עולים יורדים'!A53,'מדיהו '!A:G,5,0)+VLOOKUP('עולים יורדים'!A53,'אנליסט '!A:G,5,0)+VLOOKUP('עולים יורדים'!A53,'מיטב דש'!A:G,5,0)+VLOOKUP('עולים יורדים'!A53,אינפניטי!A:G,5,0),0)</f>
        <v>0</v>
      </c>
      <c r="E53" s="23">
        <f>IFERROR(VLOOKUP(A53,הכשרה!A:K,9,0)+VLOOKUP('עולים יורדים'!A53,מגדל!A:K,9,0)+VLOOKUP('עולים יורדים'!A53,מנורה!A:K,9,0)+VLOOKUP('עולים יורדים'!A53,איילון!A:K,9,0)+VLOOKUP('עולים יורדים'!A53,הראל!A:K,9,0)+VLOOKUP('עולים יורדים'!A53,הפניקס!A:K,9,0)+VLOOKUP('עולים יורדים'!A53,כלל!A:K,9,0)+VLOOKUP('עולים יורדים'!A53,מור!A:K,9,0)+VLOOKUP('עולים יורדים'!A53,'אלטשולר שחם'!A:K,9,0)+VLOOKUP('עולים יורדים'!A53,'מדיהו '!A:K,9,0)+VLOOKUP('עולים יורדים'!A53,'אנליסט '!A:K,9,0)+VLOOKUP('עולים יורדים'!A53,'מיטב דש'!A:K,9,0)+VLOOKUP('עולים יורדים'!A53,אינפניטי!A:K,9,0),0)</f>
        <v>3495.68325</v>
      </c>
    </row>
    <row r="54" spans="1:5" ht="15" x14ac:dyDescent="0.25">
      <c r="A54" s="138" t="s">
        <v>107</v>
      </c>
      <c r="B54" s="20">
        <f t="shared" si="2"/>
        <v>1</v>
      </c>
      <c r="C54" s="21">
        <f t="shared" si="3"/>
        <v>4016.3999999999996</v>
      </c>
      <c r="D54" s="22">
        <f>IFERROR(VLOOKUP(A54,הכשרה!A:K,5,0)+VLOOKUP('עולים יורדים'!A54,מגדל!A:G,5,0)+VLOOKUP('עולים יורדים'!A54,מנורה!A:G,5,0)+VLOOKUP('עולים יורדים'!A54,איילון!A:G,5,0)+VLOOKUP('עולים יורדים'!A54,הראל!A:G,5,0)+VLOOKUP('עולים יורדים'!A54,הפניקס!A:G,5,0)+VLOOKUP('עולים יורדים'!A54,כלל!A:G,5,0)+VLOOKUP('עולים יורדים'!A54,מור!A:G,5,0)+VLOOKUP('עולים יורדים'!A54,'אלטשולר שחם'!A:G,5,0)+VLOOKUP('עולים יורדים'!A54,'מדיהו '!A:G,5,0)+VLOOKUP('עולים יורדים'!A54,'אנליסט '!A:G,5,0)+VLOOKUP('עולים יורדים'!A54,'מיטב דש'!A:G,5,0)+VLOOKUP('עולים יורדים'!A54,אינפניטי!A:G,5,0),0)</f>
        <v>4016.3999999999996</v>
      </c>
      <c r="E54" s="23">
        <f>IFERROR(VLOOKUP(A54,הכשרה!A:K,9,0)+VLOOKUP('עולים יורדים'!A54,מגדל!A:K,9,0)+VLOOKUP('עולים יורדים'!A54,מנורה!A:K,9,0)+VLOOKUP('עולים יורדים'!A54,איילון!A:K,9,0)+VLOOKUP('עולים יורדים'!A54,הראל!A:K,9,0)+VLOOKUP('עולים יורדים'!A54,הפניקס!A:K,9,0)+VLOOKUP('עולים יורדים'!A54,כלל!A:K,9,0)+VLOOKUP('עולים יורדים'!A54,מור!A:K,9,0)+VLOOKUP('עולים יורדים'!A54,'אלטשולר שחם'!A:K,9,0)+VLOOKUP('עולים יורדים'!A54,'מדיהו '!A:K,9,0)+VLOOKUP('עולים יורדים'!A54,'אנליסט '!A:K,9,0)+VLOOKUP('עולים יורדים'!A54,'מיטב דש'!A:K,9,0)+VLOOKUP('עולים יורדים'!A54,אינפניטי!A:K,9,0),0)</f>
        <v>0</v>
      </c>
    </row>
    <row r="55" spans="1:5" x14ac:dyDescent="0.25">
      <c r="A55" s="27" t="s">
        <v>100</v>
      </c>
      <c r="B55" s="20">
        <f t="shared" si="2"/>
        <v>0</v>
      </c>
      <c r="C55" s="21">
        <f t="shared" si="3"/>
        <v>0</v>
      </c>
      <c r="D55" s="22">
        <f>IFERROR(VLOOKUP(A55,הכשרה!A:K,5,0)+VLOOKUP('עולים יורדים'!A55,מגדל!A:G,5,0)+VLOOKUP('עולים יורדים'!A55,מנורה!A:G,5,0)+VLOOKUP('עולים יורדים'!A55,איילון!A:G,5,0)+VLOOKUP('עולים יורדים'!A55,הראל!A:G,5,0)+VLOOKUP('עולים יורדים'!A55,הפניקס!A:G,5,0)+VLOOKUP('עולים יורדים'!A55,כלל!A:G,5,0)+VLOOKUP('עולים יורדים'!A55,מור!A:G,5,0)+VLOOKUP('עולים יורדים'!A55,'אלטשולר שחם'!A:G,5,0)+VLOOKUP('עולים יורדים'!A55,'מדיהו '!A:G,5,0)+VLOOKUP('עולים יורדים'!A55,'אנליסט '!A:G,5,0)+VLOOKUP('עולים יורדים'!A55,'מיטב דש'!A:G,5,0)+VLOOKUP('עולים יורדים'!A55,אינפניטי!A:G,5,0),0)</f>
        <v>0</v>
      </c>
      <c r="E55" s="23">
        <f>IFERROR(VLOOKUP(A55,הכשרה!A:K,9,0)+VLOOKUP('עולים יורדים'!A55,מגדל!A:K,9,0)+VLOOKUP('עולים יורדים'!A55,מנורה!A:K,9,0)+VLOOKUP('עולים יורדים'!A55,איילון!A:K,9,0)+VLOOKUP('עולים יורדים'!A55,הראל!A:K,9,0)+VLOOKUP('עולים יורדים'!A55,הפניקס!A:K,9,0)+VLOOKUP('עולים יורדים'!A55,כלל!A:K,9,0)+VLOOKUP('עולים יורדים'!A55,מור!A:K,9,0)+VLOOKUP('עולים יורדים'!A55,'אלטשולר שחם'!A:K,9,0)+VLOOKUP('עולים יורדים'!A55,'מדיהו '!A:K,9,0)+VLOOKUP('עולים יורדים'!A55,'אנליסט '!A:K,9,0)+VLOOKUP('עולים יורדים'!A55,'מיטב דש'!A:K,9,0)+VLOOKUP('עולים יורדים'!A55,אינפניטי!A:K,9,0),0)</f>
        <v>0</v>
      </c>
    </row>
    <row r="56" spans="1:5" x14ac:dyDescent="0.25">
      <c r="A56" s="27" t="s">
        <v>106</v>
      </c>
      <c r="B56" s="20">
        <f t="shared" si="2"/>
        <v>1</v>
      </c>
      <c r="C56" s="21">
        <f t="shared" si="3"/>
        <v>7028.15</v>
      </c>
      <c r="D56" s="22">
        <f>IFERROR(VLOOKUP(A56,הכשרה!A:K,5,0)+VLOOKUP('עולים יורדים'!A56,מגדל!A:G,5,0)+VLOOKUP('עולים יורדים'!A56,מנורה!A:G,5,0)+VLOOKUP('עולים יורדים'!A56,איילון!A:G,5,0)+VLOOKUP('עולים יורדים'!A56,הראל!A:G,5,0)+VLOOKUP('עולים יורדים'!A56,הפניקס!A:G,5,0)+VLOOKUP('עולים יורדים'!A56,כלל!A:G,5,0)+VLOOKUP('עולים יורדים'!A56,מור!A:G,5,0)+VLOOKUP('עולים יורדים'!A56,'אלטשולר שחם'!A:G,5,0)+VLOOKUP('עולים יורדים'!A56,'מדיהו '!A:G,5,0)+VLOOKUP('עולים יורדים'!A56,'אנליסט '!A:G,5,0)+VLOOKUP('עולים יורדים'!A56,'מיטב דש'!A:G,5,0)+VLOOKUP('עולים יורדים'!A56,אינפניטי!A:G,5,0),0)</f>
        <v>7028.15</v>
      </c>
      <c r="E56" s="23">
        <f>IFERROR(VLOOKUP(A56,הכשרה!A:K,9,0)+VLOOKUP('עולים יורדים'!A56,מגדל!A:K,9,0)+VLOOKUP('עולים יורדים'!A56,מנורה!A:K,9,0)+VLOOKUP('עולים יורדים'!A56,איילון!A:K,9,0)+VLOOKUP('עולים יורדים'!A56,הראל!A:K,9,0)+VLOOKUP('עולים יורדים'!A56,הפניקס!A:K,9,0)+VLOOKUP('עולים יורדים'!A56,כלל!A:K,9,0)+VLOOKUP('עולים יורדים'!A56,מור!A:K,9,0)+VLOOKUP('עולים יורדים'!A56,'אלטשולר שחם'!A:K,9,0)+VLOOKUP('עולים יורדים'!A56,'מדיהו '!A:K,9,0)+VLOOKUP('עולים יורדים'!A56,'אנליסט '!A:K,9,0)+VLOOKUP('עולים יורדים'!A56,'מיטב דש'!A:K,9,0)+VLOOKUP('עולים יורדים'!A56,אינפניטי!A:K,9,0),0)</f>
        <v>0</v>
      </c>
    </row>
    <row r="57" spans="1:5" x14ac:dyDescent="0.25">
      <c r="A57" s="27" t="s">
        <v>102</v>
      </c>
      <c r="B57" s="20">
        <f t="shared" si="2"/>
        <v>0</v>
      </c>
      <c r="C57" s="21">
        <f t="shared" si="3"/>
        <v>0</v>
      </c>
      <c r="D57" s="22">
        <f>IFERROR(VLOOKUP(A57,הכשרה!A:K,5,0)+VLOOKUP('עולים יורדים'!A57,מגדל!A:G,5,0)+VLOOKUP('עולים יורדים'!A57,מנורה!A:G,5,0)+VLOOKUP('עולים יורדים'!A57,איילון!A:G,5,0)+VLOOKUP('עולים יורדים'!A57,הראל!A:G,5,0)+VLOOKUP('עולים יורדים'!A57,הפניקס!A:G,5,0)+VLOOKUP('עולים יורדים'!A57,כלל!A:G,5,0)+VLOOKUP('עולים יורדים'!A57,מור!A:G,5,0)+VLOOKUP('עולים יורדים'!A57,'אלטשולר שחם'!A:G,5,0)+VLOOKUP('עולים יורדים'!A57,'מדיהו '!A:G,5,0)+VLOOKUP('עולים יורדים'!A57,'אנליסט '!A:G,5,0)+VLOOKUP('עולים יורדים'!A57,'מיטב דש'!A:G,5,0)+VLOOKUP('עולים יורדים'!A57,אינפניטי!A:G,5,0),0)</f>
        <v>0</v>
      </c>
      <c r="E57" s="23">
        <f>IFERROR(VLOOKUP(A57,הכשרה!A:K,9,0)+VLOOKUP('עולים יורדים'!A57,מגדל!A:K,9,0)+VLOOKUP('עולים יורדים'!A57,מנורה!A:K,9,0)+VLOOKUP('עולים יורדים'!A57,איילון!A:K,9,0)+VLOOKUP('עולים יורדים'!A57,הראל!A:K,9,0)+VLOOKUP('עולים יורדים'!A57,הפניקס!A:K,9,0)+VLOOKUP('עולים יורדים'!A57,כלל!A:K,9,0)+VLOOKUP('עולים יורדים'!A57,מור!A:K,9,0)+VLOOKUP('עולים יורדים'!A57,'אלטשולר שחם'!A:K,9,0)+VLOOKUP('עולים יורדים'!A57,'מדיהו '!A:K,9,0)+VLOOKUP('עולים יורדים'!A57,'אנליסט '!A:K,9,0)+VLOOKUP('עולים יורדים'!A57,'מיטב דש'!A:K,9,0)+VLOOKUP('עולים יורדים'!A57,אינפניטי!A:K,9,0),0)</f>
        <v>0</v>
      </c>
    </row>
    <row r="58" spans="1:5" x14ac:dyDescent="0.25">
      <c r="A58" s="27" t="s">
        <v>105</v>
      </c>
      <c r="B58" s="20">
        <f t="shared" si="2"/>
        <v>1</v>
      </c>
      <c r="C58" s="21">
        <f t="shared" si="3"/>
        <v>1187.72</v>
      </c>
      <c r="D58" s="22">
        <f>IFERROR(VLOOKUP(A58,הכשרה!A:K,5,0)+VLOOKUP('עולים יורדים'!A58,מגדל!A:G,5,0)+VLOOKUP('עולים יורדים'!A58,מנורה!A:G,5,0)+VLOOKUP('עולים יורדים'!A58,איילון!A:G,5,0)+VLOOKUP('עולים יורדים'!A58,הראל!A:G,5,0)+VLOOKUP('עולים יורדים'!A58,הפניקס!A:G,5,0)+VLOOKUP('עולים יורדים'!A58,כלל!A:G,5,0)+VLOOKUP('עולים יורדים'!A58,מור!A:G,5,0)+VLOOKUP('עולים יורדים'!A58,'אלטשולר שחם'!A:G,5,0)+VLOOKUP('עולים יורדים'!A58,'מדיהו '!A:G,5,0)+VLOOKUP('עולים יורדים'!A58,'אנליסט '!A:G,5,0)+VLOOKUP('עולים יורדים'!A58,'מיטב דש'!A:G,5,0)+VLOOKUP('עולים יורדים'!A58,אינפניטי!A:G,5,0),0)</f>
        <v>1187.72</v>
      </c>
      <c r="E58" s="23">
        <f>IFERROR(VLOOKUP(A58,הכשרה!A:K,9,0)+VLOOKUP('עולים יורדים'!A58,מגדל!A:K,9,0)+VLOOKUP('עולים יורדים'!A58,מנורה!A:K,9,0)+VLOOKUP('עולים יורדים'!A58,איילון!A:K,9,0)+VLOOKUP('עולים יורדים'!A58,הראל!A:K,9,0)+VLOOKUP('עולים יורדים'!A58,הפניקס!A:K,9,0)+VLOOKUP('עולים יורדים'!A58,כלל!A:K,9,0)+VLOOKUP('עולים יורדים'!A58,מור!A:K,9,0)+VLOOKUP('עולים יורדים'!A58,'אלטשולר שחם'!A:K,9,0)+VLOOKUP('עולים יורדים'!A58,'מדיהו '!A:K,9,0)+VLOOKUP('עולים יורדים'!A58,'אנליסט '!A:K,9,0)+VLOOKUP('עולים יורדים'!A58,'מיטב דש'!A:K,9,0)+VLOOKUP('עולים יורדים'!A58,אינפניטי!A:K,9,0),0)</f>
        <v>0</v>
      </c>
    </row>
    <row r="59" spans="1:5" x14ac:dyDescent="0.25">
      <c r="A59" s="27" t="s">
        <v>36</v>
      </c>
      <c r="B59" s="20">
        <f t="shared" si="2"/>
        <v>0</v>
      </c>
      <c r="C59" s="21">
        <f t="shared" si="3"/>
        <v>0</v>
      </c>
      <c r="D59" s="22">
        <f>IFERROR(VLOOKUP(A59,הכשרה!A:K,5,0)+VLOOKUP('עולים יורדים'!A59,מגדל!A:G,5,0)+VLOOKUP('עולים יורדים'!A59,מנורה!A:G,5,0)+VLOOKUP('עולים יורדים'!A59,איילון!A:G,5,0)+VLOOKUP('עולים יורדים'!A59,הראל!A:G,5,0)+VLOOKUP('עולים יורדים'!A59,הפניקס!A:G,5,0)+VLOOKUP('עולים יורדים'!A59,כלל!A:G,5,0)+VLOOKUP('עולים יורדים'!A59,מור!A:G,5,0)+VLOOKUP('עולים יורדים'!A59,'אלטשולר שחם'!A:G,5,0)+VLOOKUP('עולים יורדים'!A59,'מדיהו '!A:G,5,0)+VLOOKUP('עולים יורדים'!A59,'אנליסט '!A:G,5,0)+VLOOKUP('עולים יורדים'!A59,'מיטב דש'!A:G,5,0)+VLOOKUP('עולים יורדים'!A59,אינפניטי!A:G,5,0),0)</f>
        <v>0</v>
      </c>
      <c r="E59" s="23">
        <f>IFERROR(VLOOKUP(A59,הכשרה!A:K,9,0)+VLOOKUP('עולים יורדים'!A59,מגדל!A:K,9,0)+VLOOKUP('עולים יורדים'!A59,מנורה!A:K,9,0)+VLOOKUP('עולים יורדים'!A59,איילון!A:K,9,0)+VLOOKUP('עולים יורדים'!A59,הראל!A:K,9,0)+VLOOKUP('עולים יורדים'!A59,הפניקס!A:K,9,0)+VLOOKUP('עולים יורדים'!A59,כלל!A:K,9,0)+VLOOKUP('עולים יורדים'!A59,מור!A:K,9,0)+VLOOKUP('עולים יורדים'!A59,'אלטשולר שחם'!A:K,9,0)+VLOOKUP('עולים יורדים'!A59,'מדיהו '!A:K,9,0)+VLOOKUP('עולים יורדים'!A59,'אנליסט '!A:K,9,0)+VLOOKUP('עולים יורדים'!A59,'מיטב דש'!A:K,9,0)+VLOOKUP('עולים יורדים'!A59,אינפניטי!A:K,9,0),0)</f>
        <v>0</v>
      </c>
    </row>
    <row r="60" spans="1:5" x14ac:dyDescent="0.25">
      <c r="A60" s="27" t="s">
        <v>32</v>
      </c>
      <c r="B60" s="20">
        <f t="shared" si="2"/>
        <v>0</v>
      </c>
      <c r="C60" s="21">
        <f t="shared" si="3"/>
        <v>0</v>
      </c>
      <c r="D60" s="22">
        <f>IFERROR(VLOOKUP(A60,הכשרה!A:K,5,0)+VLOOKUP('עולים יורדים'!A60,מגדל!A:G,5,0)+VLOOKUP('עולים יורדים'!A60,מנורה!A:G,5,0)+VLOOKUP('עולים יורדים'!A60,איילון!A:G,5,0)+VLOOKUP('עולים יורדים'!A60,הראל!A:G,5,0)+VLOOKUP('עולים יורדים'!A60,הפניקס!A:G,5,0)+VLOOKUP('עולים יורדים'!A60,כלל!A:G,5,0)+VLOOKUP('עולים יורדים'!A60,מור!A:G,5,0)+VLOOKUP('עולים יורדים'!A60,'אלטשולר שחם'!A:G,5,0)+VLOOKUP('עולים יורדים'!A60,'מדיהו '!A:G,5,0)+VLOOKUP('עולים יורדים'!A60,'אנליסט '!A:G,5,0)+VLOOKUP('עולים יורדים'!A60,'מיטב דש'!A:G,5,0)+VLOOKUP('עולים יורדים'!A60,אינפניטי!A:G,5,0),0)</f>
        <v>0</v>
      </c>
      <c r="E60" s="23">
        <f>IFERROR(VLOOKUP(A60,הכשרה!A:K,9,0)+VLOOKUP('עולים יורדים'!A60,מגדל!A:K,9,0)+VLOOKUP('עולים יורדים'!A60,מנורה!A:K,9,0)+VLOOKUP('עולים יורדים'!A60,איילון!A:K,9,0)+VLOOKUP('עולים יורדים'!A60,הראל!A:K,9,0)+VLOOKUP('עולים יורדים'!A60,הפניקס!A:K,9,0)+VLOOKUP('עולים יורדים'!A60,כלל!A:K,9,0)+VLOOKUP('עולים יורדים'!A60,מור!A:K,9,0)+VLOOKUP('עולים יורדים'!A60,'אלטשולר שחם'!A:K,9,0)+VLOOKUP('עולים יורדים'!A60,'מדיהו '!A:K,9,0)+VLOOKUP('עולים יורדים'!A60,'אנליסט '!A:K,9,0)+VLOOKUP('עולים יורדים'!A60,'מיטב דש'!A:K,9,0)+VLOOKUP('עולים יורדים'!A60,אינפניטי!A:K,9,0),0)</f>
        <v>0</v>
      </c>
    </row>
    <row r="61" spans="1:5" x14ac:dyDescent="0.25">
      <c r="A61" s="27" t="s">
        <v>94</v>
      </c>
      <c r="B61" s="20">
        <f t="shared" si="2"/>
        <v>-0.27183398157122163</v>
      </c>
      <c r="C61" s="21">
        <f t="shared" si="3"/>
        <v>-7574.7142877416009</v>
      </c>
      <c r="D61" s="22">
        <f>IFERROR(VLOOKUP(A61,הכשרה!A:K,5,0)+VLOOKUP('עולים יורדים'!A61,מגדל!A:G,5,0)+VLOOKUP('עולים יורדים'!A61,מנורה!A:G,5,0)+VLOOKUP('עולים יורדים'!A61,איילון!A:G,5,0)+VLOOKUP('עולים יורדים'!A61,הראל!A:G,5,0)+VLOOKUP('עולים יורדים'!A61,הפניקס!A:G,5,0)+VLOOKUP('עולים יורדים'!A61,כלל!A:G,5,0)+VLOOKUP('עולים יורדים'!A61,מור!A:G,5,0)+VLOOKUP('עולים יורדים'!A61,'אלטשולר שחם'!A:G,5,0)+VLOOKUP('עולים יורדים'!A61,'מדיהו '!A:G,5,0)+VLOOKUP('עולים יורדים'!A61,'אנליסט '!A:G,5,0)+VLOOKUP('עולים יורדים'!A61,'מיטב דש'!A:G,5,0)+VLOOKUP('עולים יורדים'!A61,אינפניטי!A:G,5,0),0)</f>
        <v>20290.507874547169</v>
      </c>
      <c r="E61" s="23">
        <f>IFERROR(VLOOKUP(A61,הכשרה!A:K,9,0)+VLOOKUP('עולים יורדים'!A61,מגדל!A:K,9,0)+VLOOKUP('עולים יורדים'!A61,מנורה!A:K,9,0)+VLOOKUP('עולים יורדים'!A61,איילון!A:K,9,0)+VLOOKUP('עולים יורדים'!A61,הראל!A:K,9,0)+VLOOKUP('עולים יורדים'!A61,הפניקס!A:K,9,0)+VLOOKUP('עולים יורדים'!A61,כלל!A:K,9,0)+VLOOKUP('עולים יורדים'!A61,מור!A:K,9,0)+VLOOKUP('עולים יורדים'!A61,'אלטשולר שחם'!A:K,9,0)+VLOOKUP('עולים יורדים'!A61,'מדיהו '!A:K,9,0)+VLOOKUP('עולים יורדים'!A61,'אנליסט '!A:K,9,0)+VLOOKUP('עולים יורדים'!A61,'מיטב דש'!A:K,9,0)+VLOOKUP('עולים יורדים'!A61,אינפניטי!A:K,9,0),0)</f>
        <v>27865.22216228877</v>
      </c>
    </row>
    <row r="62" spans="1:5" x14ac:dyDescent="0.25">
      <c r="A62" s="27" t="s">
        <v>90</v>
      </c>
      <c r="B62" s="20">
        <f t="shared" si="2"/>
        <v>0.72137884760546833</v>
      </c>
      <c r="C62" s="21">
        <f t="shared" si="3"/>
        <v>86.01</v>
      </c>
      <c r="D62" s="22">
        <f>IFERROR(VLOOKUP(A62,הכשרה!A:K,5,0)+VLOOKUP('עולים יורדים'!A62,מגדל!A:G,5,0)+VLOOKUP('עולים יורדים'!A62,מנורה!A:G,5,0)+VLOOKUP('עולים יורדים'!A62,איילון!A:G,5,0)+VLOOKUP('עולים יורדים'!A62,הראל!A:G,5,0)+VLOOKUP('עולים יורדים'!A62,הפניקס!A:G,5,0)+VLOOKUP('עולים יורדים'!A62,כלל!A:G,5,0)+VLOOKUP('עולים יורדים'!A62,מור!A:G,5,0)+VLOOKUP('עולים יורדים'!A62,'אלטשולר שחם'!A:G,5,0)+VLOOKUP('עולים יורדים'!A62,'מדיהו '!A:G,5,0)+VLOOKUP('עולים יורדים'!A62,'אנליסט '!A:G,5,0)+VLOOKUP('עולים יורדים'!A62,'מיטב דש'!A:G,5,0)+VLOOKUP('עולים יורדים'!A62,אינפניטי!A:G,5,0),0)</f>
        <v>205.24</v>
      </c>
      <c r="E62" s="23">
        <f>IFERROR(VLOOKUP(A62,הכשרה!A:K,9,0)+VLOOKUP('עולים יורדים'!A62,מגדל!A:K,9,0)+VLOOKUP('עולים יורדים'!A62,מנורה!A:K,9,0)+VLOOKUP('עולים יורדים'!A62,איילון!A:K,9,0)+VLOOKUP('עולים יורדים'!A62,הראל!A:K,9,0)+VLOOKUP('עולים יורדים'!A62,הפניקס!A:K,9,0)+VLOOKUP('עולים יורדים'!A62,כלל!A:K,9,0)+VLOOKUP('עולים יורדים'!A62,מור!A:K,9,0)+VLOOKUP('עולים יורדים'!A62,'אלטשולר שחם'!A:K,9,0)+VLOOKUP('עולים יורדים'!A62,'מדיהו '!A:K,9,0)+VLOOKUP('עולים יורדים'!A62,'אנליסט '!A:K,9,0)+VLOOKUP('עולים יורדים'!A62,'מיטב דש'!A:K,9,0)+VLOOKUP('עולים יורדים'!A62,אינפניטי!A:K,9,0),0)</f>
        <v>119.23</v>
      </c>
    </row>
    <row r="63" spans="1:5" x14ac:dyDescent="0.25">
      <c r="A63" s="237" t="s">
        <v>30</v>
      </c>
      <c r="B63" s="20">
        <f t="shared" si="2"/>
        <v>0</v>
      </c>
      <c r="C63" s="21">
        <f t="shared" si="3"/>
        <v>0</v>
      </c>
      <c r="D63" s="22">
        <f>IFERROR(VLOOKUP(A63,הכשרה!A:K,5,0)+VLOOKUP('עולים יורדים'!A63,מגדל!A:G,5,0)+VLOOKUP('עולים יורדים'!A63,מנורה!A:G,5,0)+VLOOKUP('עולים יורדים'!A63,איילון!A:G,5,0)+VLOOKUP('עולים יורדים'!A63,הראל!A:G,5,0)+VLOOKUP('עולים יורדים'!A63,הפניקס!A:G,5,0)+VLOOKUP('עולים יורדים'!A63,כלל!A:G,5,0)+VLOOKUP('עולים יורדים'!A63,מור!A:G,5,0)+VLOOKUP('עולים יורדים'!A63,'אלטשולר שחם'!A:G,5,0)+VLOOKUP('עולים יורדים'!A63,'מדיהו '!A:G,5,0)+VLOOKUP('עולים יורדים'!A63,'אנליסט '!A:G,5,0)+VLOOKUP('עולים יורדים'!A63,'מיטב דש'!A:G,5,0)+VLOOKUP('עולים יורדים'!A63,אינפניטי!A:G,5,0),0)</f>
        <v>0</v>
      </c>
      <c r="E63" s="23">
        <f>IFERROR(VLOOKUP(A63,הכשרה!A:K,9,0)+VLOOKUP('עולים יורדים'!A63,מגדל!A:K,9,0)+VLOOKUP('עולים יורדים'!A63,מנורה!A:K,9,0)+VLOOKUP('עולים יורדים'!A63,איילון!A:K,9,0)+VLOOKUP('עולים יורדים'!A63,הראל!A:K,9,0)+VLOOKUP('עולים יורדים'!A63,הפניקס!A:K,9,0)+VLOOKUP('עולים יורדים'!A63,כלל!A:K,9,0)+VLOOKUP('עולים יורדים'!A63,מור!A:K,9,0)+VLOOKUP('עולים יורדים'!A63,'אלטשולר שחם'!A:K,9,0)+VLOOKUP('עולים יורדים'!A63,'מדיהו '!A:K,9,0)+VLOOKUP('עולים יורדים'!A63,'אנליסט '!A:K,9,0)+VLOOKUP('עולים יורדים'!A63,'מיטב דש'!A:K,9,0)+VLOOKUP('עולים יורדים'!A63,אינפניטי!A:K,9,0),0)</f>
        <v>0</v>
      </c>
    </row>
    <row r="64" spans="1:5" x14ac:dyDescent="0.25">
      <c r="A64" s="31" t="s">
        <v>25</v>
      </c>
      <c r="B64" s="20">
        <f t="shared" si="2"/>
        <v>-0.73228572984932105</v>
      </c>
      <c r="C64" s="21">
        <f t="shared" si="3"/>
        <v>-89924.904097210732</v>
      </c>
      <c r="D64" s="22">
        <f>IFERROR(VLOOKUP(A64,הכשרה!A:K,5,0)+VLOOKUP('עולים יורדים'!A64,מגדל!A:G,5,0)+VLOOKUP('עולים יורדים'!A64,מנורה!A:G,5,0)+VLOOKUP('עולים יורדים'!A64,איילון!A:G,5,0)+VLOOKUP('עולים יורדים'!A64,הראל!A:G,5,0)+VLOOKUP('עולים יורדים'!A64,הפניקס!A:G,5,0)+VLOOKUP('עולים יורדים'!A64,כלל!A:G,5,0)+VLOOKUP('עולים יורדים'!A64,מור!A:G,5,0)+VLOOKUP('עולים יורדים'!A64,'אלטשולר שחם'!A:G,5,0)+VLOOKUP('עולים יורדים'!A64,'מדיהו '!A:G,5,0)+VLOOKUP('עולים יורדים'!A64,'אנליסט '!A:G,5,0)+VLOOKUP('עולים יורדים'!A64,'מיטב דש'!A:G,5,0)+VLOOKUP('עולים יורדים'!A64,אינפניטי!A:G,5,0),0)</f>
        <v>32875.391513785464</v>
      </c>
      <c r="E64" s="23">
        <f>IFERROR(VLOOKUP(A64,הכשרה!A:K,9,0)+VLOOKUP('עולים יורדים'!A64,מגדל!A:K,9,0)+VLOOKUP('עולים יורדים'!A64,מנורה!A:K,9,0)+VLOOKUP('עולים יורדים'!A64,איילון!A:K,9,0)+VLOOKUP('עולים יורדים'!A64,הראל!A:K,9,0)+VLOOKUP('עולים יורדים'!A64,הפניקס!A:K,9,0)+VLOOKUP('עולים יורדים'!A64,כלל!A:K,9,0)+VLOOKUP('עולים יורדים'!A64,מור!A:K,9,0)+VLOOKUP('עולים יורדים'!A64,'אלטשולר שחם'!A:K,9,0)+VLOOKUP('עולים יורדים'!A64,'מדיהו '!A:K,9,0)+VLOOKUP('עולים יורדים'!A64,'אנליסט '!A:K,9,0)+VLOOKUP('עולים יורדים'!A64,'מיטב דש'!A:K,9,0)+VLOOKUP('עולים יורדים'!A64,אינפניטי!A:K,9,0),0)</f>
        <v>122800.2956109962</v>
      </c>
    </row>
    <row r="65" spans="1:5" x14ac:dyDescent="0.25">
      <c r="A65" s="27" t="s">
        <v>38</v>
      </c>
      <c r="B65" s="20">
        <f t="shared" si="2"/>
        <v>0</v>
      </c>
      <c r="C65" s="21">
        <f t="shared" si="3"/>
        <v>-1081.1799999999998</v>
      </c>
      <c r="D65" s="22">
        <f>IFERROR(VLOOKUP(A65,הכשרה!A:K,5,0)+VLOOKUP('עולים יורדים'!A65,מגדל!A:G,5,0)+VLOOKUP('עולים יורדים'!A65,מנורה!A:G,5,0)+VLOOKUP('עולים יורדים'!A65,איילון!A:G,5,0)+VLOOKUP('עולים יורדים'!A65,הראל!A:G,5,0)+VLOOKUP('עולים יורדים'!A65,הפניקס!A:G,5,0)+VLOOKUP('עולים יורדים'!A65,כלל!A:G,5,0)+VLOOKUP('עולים יורדים'!A65,מור!A:G,5,0)+VLOOKUP('עולים יורדים'!A65,'אלטשולר שחם'!A:G,5,0)+VLOOKUP('עולים יורדים'!A65,'מדיהו '!A:G,5,0)+VLOOKUP('עולים יורדים'!A65,'אנליסט '!A:G,5,0)+VLOOKUP('עולים יורדים'!A65,'מיטב דש'!A:G,5,0)+VLOOKUP('עולים יורדים'!A65,אינפניטי!A:G,5,0),0)</f>
        <v>0</v>
      </c>
      <c r="E65" s="23">
        <f>IFERROR(VLOOKUP(A65,הכשרה!A:K,9,0)+VLOOKUP('עולים יורדים'!A65,מגדל!A:K,9,0)+VLOOKUP('עולים יורדים'!A65,מנורה!A:K,9,0)+VLOOKUP('עולים יורדים'!A65,איילון!A:K,9,0)+VLOOKUP('עולים יורדים'!A65,הראל!A:K,9,0)+VLOOKUP('עולים יורדים'!A65,הפניקס!A:K,9,0)+VLOOKUP('עולים יורדים'!A65,כלל!A:K,9,0)+VLOOKUP('עולים יורדים'!A65,מור!A:K,9,0)+VLOOKUP('עולים יורדים'!A65,'אלטשולר שחם'!A:K,9,0)+VLOOKUP('עולים יורדים'!A65,'מדיהו '!A:K,9,0)+VLOOKUP('עולים יורדים'!A65,'אנליסט '!A:K,9,0)+VLOOKUP('עולים יורדים'!A65,'מיטב דש'!A:K,9,0)+VLOOKUP('עולים יורדים'!A65,אינפניטי!A:K,9,0),0)</f>
        <v>1081.1799999999998</v>
      </c>
    </row>
  </sheetData>
  <autoFilter ref="A1:F65" xr:uid="{86B556E0-BEA5-4A33-8A86-06A0464561C3}"/>
  <sortState xmlns:xlrd2="http://schemas.microsoft.com/office/spreadsheetml/2017/richdata2" ref="A2:E67">
    <sortCondition ref="B1:B67"/>
  </sortState>
  <conditionalFormatting sqref="A1:A16">
    <cfRule type="duplicateValues" dxfId="241" priority="168"/>
    <cfRule type="duplicateValues" dxfId="240" priority="169"/>
  </conditionalFormatting>
  <conditionalFormatting sqref="A45">
    <cfRule type="duplicateValues" dxfId="239" priority="1"/>
    <cfRule type="duplicateValues" dxfId="238" priority="2"/>
  </conditionalFormatting>
  <conditionalFormatting sqref="A46:A57 A17:A44">
    <cfRule type="duplicateValues" dxfId="237" priority="11"/>
    <cfRule type="duplicateValues" dxfId="236" priority="12"/>
  </conditionalFormatting>
  <conditionalFormatting sqref="A64">
    <cfRule type="duplicateValues" dxfId="235" priority="5"/>
    <cfRule type="duplicateValues" dxfId="234" priority="6"/>
  </conditionalFormatting>
  <conditionalFormatting sqref="A65 A58:A63">
    <cfRule type="duplicateValues" dxfId="233" priority="9"/>
    <cfRule type="duplicateValues" dxfId="232" priority="10"/>
  </conditionalFormatting>
  <conditionalFormatting sqref="B2:B65">
    <cfRule type="cellIs" dxfId="231" priority="24" operator="lessThan">
      <formula>-0.0001</formula>
    </cfRule>
    <cfRule type="cellIs" dxfId="230" priority="25" operator="greaterThan">
      <formula>0.1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F3476-94B3-4EB2-924E-A95904F321CF}">
  <sheetPr>
    <tabColor theme="0"/>
  </sheetPr>
  <dimension ref="A1:K74"/>
  <sheetViews>
    <sheetView rightToLeft="1" workbookViewId="0">
      <selection activeCell="J18" sqref="J18"/>
    </sheetView>
  </sheetViews>
  <sheetFormatPr defaultColWidth="22.42578125" defaultRowHeight="15" x14ac:dyDescent="0.25"/>
  <cols>
    <col min="1" max="1" width="30" style="33" bestFit="1" customWidth="1"/>
    <col min="2" max="2" width="10.7109375" style="33" bestFit="1" customWidth="1"/>
    <col min="3" max="3" width="11.7109375" style="33" bestFit="1" customWidth="1"/>
    <col min="4" max="4" width="14.42578125" bestFit="1" customWidth="1"/>
    <col min="5" max="5" width="14.7109375" bestFit="1" customWidth="1"/>
    <col min="6" max="6" width="15.42578125" bestFit="1" customWidth="1"/>
    <col min="7" max="7" width="19" bestFit="1" customWidth="1"/>
    <col min="8" max="8" width="14.42578125" style="3" bestFit="1" customWidth="1"/>
    <col min="9" max="9" width="14.7109375" style="3" bestFit="1" customWidth="1"/>
    <col min="10" max="10" width="15.42578125" style="3" bestFit="1" customWidth="1"/>
    <col min="11" max="11" width="19" bestFit="1" customWidth="1"/>
  </cols>
  <sheetData>
    <row r="1" spans="1:11" ht="21" x14ac:dyDescent="0.25">
      <c r="A1" s="27"/>
      <c r="B1" s="27"/>
      <c r="C1" s="27"/>
      <c r="D1" s="278">
        <v>2025</v>
      </c>
      <c r="E1" s="278"/>
      <c r="F1" s="278"/>
      <c r="G1" s="278"/>
      <c r="H1" s="279">
        <v>2024</v>
      </c>
      <c r="I1" s="279"/>
      <c r="J1" s="279"/>
      <c r="K1" s="279"/>
    </row>
    <row r="2" spans="1:11" ht="21" x14ac:dyDescent="0.25">
      <c r="A2" s="11" t="s">
        <v>0</v>
      </c>
      <c r="B2" s="24" t="s">
        <v>53</v>
      </c>
      <c r="C2" s="24" t="s">
        <v>117</v>
      </c>
      <c r="D2" s="13" t="s">
        <v>46</v>
      </c>
      <c r="E2" s="13" t="s">
        <v>47</v>
      </c>
      <c r="F2" s="13" t="s">
        <v>48</v>
      </c>
      <c r="G2" s="13" t="s">
        <v>49</v>
      </c>
      <c r="H2" s="109" t="s">
        <v>46</v>
      </c>
      <c r="I2" s="109" t="s">
        <v>47</v>
      </c>
      <c r="J2" s="109" t="s">
        <v>48</v>
      </c>
      <c r="K2" s="109" t="s">
        <v>97</v>
      </c>
    </row>
    <row r="3" spans="1:11" ht="15.75" x14ac:dyDescent="0.25">
      <c r="A3" s="27" t="s">
        <v>1</v>
      </c>
      <c r="B3" s="27" t="s">
        <v>116</v>
      </c>
      <c r="C3" s="27" t="s">
        <v>58</v>
      </c>
      <c r="D3" s="14"/>
      <c r="E3" s="14"/>
      <c r="F3" s="14"/>
      <c r="G3" s="14"/>
      <c r="H3" s="110"/>
      <c r="I3" s="110"/>
      <c r="J3" s="110"/>
      <c r="K3" s="110"/>
    </row>
    <row r="4" spans="1:11" ht="15.75" x14ac:dyDescent="0.25">
      <c r="A4" s="27" t="s">
        <v>2</v>
      </c>
      <c r="B4" s="27" t="s">
        <v>116</v>
      </c>
      <c r="C4" s="27" t="s">
        <v>58</v>
      </c>
      <c r="D4" s="14"/>
      <c r="E4" s="14"/>
      <c r="F4" s="14"/>
      <c r="G4" s="14"/>
      <c r="H4" s="110"/>
      <c r="I4" s="110"/>
      <c r="J4" s="110"/>
      <c r="K4" s="110"/>
    </row>
    <row r="5" spans="1:11" ht="15.75" x14ac:dyDescent="0.25">
      <c r="A5" s="27" t="s">
        <v>112</v>
      </c>
      <c r="B5" s="27" t="s">
        <v>116</v>
      </c>
      <c r="C5" s="27" t="s">
        <v>58</v>
      </c>
      <c r="D5" s="14"/>
      <c r="E5" s="14"/>
      <c r="F5" s="14"/>
      <c r="G5" s="14"/>
      <c r="H5" s="110"/>
      <c r="I5" s="110"/>
      <c r="J5" s="110"/>
      <c r="K5" s="110"/>
    </row>
    <row r="6" spans="1:11" ht="15.75" x14ac:dyDescent="0.25">
      <c r="A6" s="29" t="s">
        <v>113</v>
      </c>
      <c r="B6" s="27" t="s">
        <v>116</v>
      </c>
      <c r="C6" s="29" t="s">
        <v>58</v>
      </c>
      <c r="D6" s="15"/>
      <c r="E6" s="15"/>
      <c r="F6" s="15"/>
      <c r="G6" s="15"/>
      <c r="H6" s="137"/>
      <c r="I6" s="137"/>
      <c r="J6" s="137"/>
      <c r="K6" s="137"/>
    </row>
    <row r="7" spans="1:11" ht="16.5" thickBot="1" x14ac:dyDescent="0.3">
      <c r="A7" s="27" t="s">
        <v>34</v>
      </c>
      <c r="B7" s="27" t="s">
        <v>116</v>
      </c>
      <c r="C7" s="27" t="s">
        <v>58</v>
      </c>
      <c r="D7" s="14"/>
      <c r="E7" s="14"/>
      <c r="F7" s="14"/>
      <c r="G7" s="14"/>
      <c r="H7" s="110"/>
      <c r="I7" s="110"/>
      <c r="J7" s="110"/>
      <c r="K7" s="110"/>
    </row>
    <row r="8" spans="1:11" ht="21.75" thickBot="1" x14ac:dyDescent="0.35">
      <c r="A8" s="143" t="s">
        <v>3</v>
      </c>
      <c r="B8" s="142"/>
      <c r="C8" s="142"/>
      <c r="D8" s="227">
        <f>SUM(D3:D7)</f>
        <v>0</v>
      </c>
      <c r="E8" s="227">
        <f t="shared" ref="E8:K8" si="0">SUM(E3:E7)</f>
        <v>0</v>
      </c>
      <c r="F8" s="227">
        <f t="shared" si="0"/>
        <v>0</v>
      </c>
      <c r="G8" s="227">
        <f t="shared" si="0"/>
        <v>0</v>
      </c>
      <c r="H8" s="227">
        <f t="shared" si="0"/>
        <v>0</v>
      </c>
      <c r="I8" s="227">
        <f t="shared" si="0"/>
        <v>0</v>
      </c>
      <c r="J8" s="227">
        <f t="shared" si="0"/>
        <v>0</v>
      </c>
      <c r="K8" s="227">
        <f t="shared" si="0"/>
        <v>0</v>
      </c>
    </row>
    <row r="9" spans="1:11" ht="15.75" x14ac:dyDescent="0.25">
      <c r="A9" s="28" t="s">
        <v>4</v>
      </c>
      <c r="B9" s="27" t="s">
        <v>116</v>
      </c>
      <c r="C9" s="28" t="s">
        <v>114</v>
      </c>
      <c r="D9" s="18"/>
      <c r="E9" s="18"/>
      <c r="F9" s="18"/>
      <c r="G9" s="18"/>
      <c r="H9" s="140"/>
      <c r="I9" s="140"/>
      <c r="J9" s="140"/>
      <c r="K9" s="140"/>
    </row>
    <row r="10" spans="1:11" ht="15.75" x14ac:dyDescent="0.25">
      <c r="A10" s="27" t="s">
        <v>5</v>
      </c>
      <c r="B10" s="27" t="s">
        <v>116</v>
      </c>
      <c r="C10" s="27" t="s">
        <v>114</v>
      </c>
      <c r="D10" s="14"/>
      <c r="E10" s="14"/>
      <c r="F10" s="14"/>
      <c r="G10" s="14"/>
      <c r="H10" s="110"/>
      <c r="I10" s="110"/>
      <c r="J10" s="110"/>
      <c r="K10" s="110"/>
    </row>
    <row r="11" spans="1:11" ht="15.75" x14ac:dyDescent="0.25">
      <c r="A11" s="27" t="s">
        <v>6</v>
      </c>
      <c r="B11" s="27" t="s">
        <v>116</v>
      </c>
      <c r="C11" s="27" t="s">
        <v>114</v>
      </c>
      <c r="D11" s="14"/>
      <c r="E11" s="14"/>
      <c r="F11" s="14"/>
      <c r="G11" s="14"/>
      <c r="H11" s="110"/>
      <c r="I11" s="110"/>
      <c r="J11" s="110"/>
      <c r="K11" s="110"/>
    </row>
    <row r="12" spans="1:11" ht="15.75" x14ac:dyDescent="0.25">
      <c r="A12" s="27" t="s">
        <v>7</v>
      </c>
      <c r="B12" s="27" t="s">
        <v>116</v>
      </c>
      <c r="C12" s="27" t="s">
        <v>114</v>
      </c>
      <c r="D12" s="14"/>
      <c r="E12" s="14"/>
      <c r="F12" s="14"/>
      <c r="G12" s="14"/>
      <c r="H12" s="110"/>
      <c r="I12" s="110"/>
      <c r="J12" s="110"/>
      <c r="K12" s="110"/>
    </row>
    <row r="13" spans="1:11" ht="15.75" x14ac:dyDescent="0.25">
      <c r="A13" s="27" t="s">
        <v>8</v>
      </c>
      <c r="B13" s="27" t="s">
        <v>116</v>
      </c>
      <c r="C13" s="27" t="s">
        <v>114</v>
      </c>
      <c r="D13" s="14"/>
      <c r="E13" s="14"/>
      <c r="F13" s="14"/>
      <c r="G13" s="14"/>
      <c r="H13" s="110"/>
      <c r="I13" s="110"/>
      <c r="J13" s="110"/>
      <c r="K13" s="110"/>
    </row>
    <row r="14" spans="1:11" ht="15.75" x14ac:dyDescent="0.25">
      <c r="A14" s="27" t="s">
        <v>9</v>
      </c>
      <c r="B14" s="27" t="s">
        <v>116</v>
      </c>
      <c r="C14" s="27" t="s">
        <v>114</v>
      </c>
      <c r="D14" s="14"/>
      <c r="E14" s="14"/>
      <c r="F14" s="14"/>
      <c r="G14" s="14"/>
      <c r="H14" s="110"/>
      <c r="I14" s="110"/>
      <c r="J14" s="110"/>
      <c r="K14" s="110"/>
    </row>
    <row r="15" spans="1:11" ht="15.75" x14ac:dyDescent="0.25">
      <c r="A15" s="27" t="s">
        <v>31</v>
      </c>
      <c r="B15" s="27" t="s">
        <v>116</v>
      </c>
      <c r="C15" s="27" t="s">
        <v>114</v>
      </c>
      <c r="D15" s="14"/>
      <c r="E15" s="14"/>
      <c r="F15" s="14"/>
      <c r="G15" s="14"/>
      <c r="H15" s="110"/>
      <c r="I15" s="110"/>
      <c r="J15" s="110"/>
      <c r="K15" s="110"/>
    </row>
    <row r="16" spans="1:11" ht="15.75" x14ac:dyDescent="0.25">
      <c r="A16" s="27" t="s">
        <v>104</v>
      </c>
      <c r="B16" s="27" t="s">
        <v>116</v>
      </c>
      <c r="C16" s="27" t="s">
        <v>114</v>
      </c>
      <c r="D16" s="14"/>
      <c r="E16" s="14"/>
      <c r="F16" s="14"/>
      <c r="G16" s="14"/>
      <c r="H16" s="110"/>
      <c r="I16" s="110"/>
      <c r="J16" s="110"/>
      <c r="K16" s="110"/>
    </row>
    <row r="17" spans="1:11" ht="15.75" x14ac:dyDescent="0.25">
      <c r="A17" s="27" t="s">
        <v>42</v>
      </c>
      <c r="B17" s="27" t="s">
        <v>116</v>
      </c>
      <c r="C17" s="27" t="s">
        <v>114</v>
      </c>
      <c r="D17" s="14"/>
      <c r="E17" s="14"/>
      <c r="F17" s="14"/>
      <c r="G17" s="14"/>
      <c r="H17" s="110"/>
      <c r="I17" s="110"/>
      <c r="J17" s="110"/>
      <c r="K17" s="110"/>
    </row>
    <row r="18" spans="1:11" ht="15.75" x14ac:dyDescent="0.25">
      <c r="A18" s="27" t="s">
        <v>43</v>
      </c>
      <c r="B18" s="27" t="s">
        <v>116</v>
      </c>
      <c r="C18" s="27" t="s">
        <v>114</v>
      </c>
      <c r="D18" s="14"/>
      <c r="E18" s="14"/>
      <c r="F18" s="14"/>
      <c r="G18" s="14"/>
      <c r="H18" s="110"/>
      <c r="I18" s="110"/>
      <c r="J18" s="110"/>
      <c r="K18" s="110"/>
    </row>
    <row r="19" spans="1:11" ht="15.75" x14ac:dyDescent="0.25">
      <c r="A19" s="27" t="s">
        <v>30</v>
      </c>
      <c r="B19" s="27" t="s">
        <v>116</v>
      </c>
      <c r="C19" s="27" t="s">
        <v>114</v>
      </c>
      <c r="D19" s="14"/>
      <c r="E19" s="14"/>
      <c r="F19" s="14"/>
      <c r="G19" s="14"/>
      <c r="H19" s="110"/>
      <c r="I19" s="110"/>
      <c r="J19" s="110"/>
      <c r="K19" s="110"/>
    </row>
    <row r="20" spans="1:11" ht="16.5" thickBot="1" x14ac:dyDescent="0.3">
      <c r="A20" s="29" t="s">
        <v>38</v>
      </c>
      <c r="B20" s="27" t="s">
        <v>116</v>
      </c>
      <c r="C20" s="29" t="s">
        <v>114</v>
      </c>
      <c r="D20" s="15"/>
      <c r="E20" s="15"/>
      <c r="F20" s="15"/>
      <c r="G20" s="15"/>
      <c r="H20" s="137"/>
      <c r="I20" s="137"/>
      <c r="J20" s="137"/>
      <c r="K20" s="137"/>
    </row>
    <row r="21" spans="1:11" ht="21.75" thickBot="1" x14ac:dyDescent="0.3">
      <c r="A21" s="143" t="s">
        <v>10</v>
      </c>
      <c r="B21" s="142"/>
      <c r="C21" s="142"/>
      <c r="D21" s="141">
        <f>SUM(D9:D20)</f>
        <v>0</v>
      </c>
      <c r="E21" s="141">
        <f t="shared" ref="E21:K21" si="1">SUM(E9:E20)</f>
        <v>0</v>
      </c>
      <c r="F21" s="141">
        <f t="shared" si="1"/>
        <v>0</v>
      </c>
      <c r="G21" s="141">
        <f>SUM(G9:G20)</f>
        <v>0</v>
      </c>
      <c r="H21" s="141">
        <f t="shared" si="1"/>
        <v>0</v>
      </c>
      <c r="I21" s="141">
        <f t="shared" si="1"/>
        <v>0</v>
      </c>
      <c r="J21" s="141">
        <f t="shared" si="1"/>
        <v>0</v>
      </c>
      <c r="K21" s="141">
        <f t="shared" si="1"/>
        <v>0</v>
      </c>
    </row>
    <row r="22" spans="1:11" ht="15.75" x14ac:dyDescent="0.25">
      <c r="A22" s="28" t="s">
        <v>11</v>
      </c>
      <c r="B22" s="28" t="s">
        <v>56</v>
      </c>
      <c r="C22" s="28" t="s">
        <v>115</v>
      </c>
      <c r="D22" s="18"/>
      <c r="E22" s="18"/>
      <c r="F22" s="18"/>
      <c r="G22" s="18"/>
      <c r="H22" s="140"/>
      <c r="I22" s="140"/>
      <c r="J22" s="140"/>
      <c r="K22" s="140"/>
    </row>
    <row r="23" spans="1:11" ht="15.75" x14ac:dyDescent="0.25">
      <c r="A23" s="31" t="s">
        <v>12</v>
      </c>
      <c r="B23" s="27" t="s">
        <v>56</v>
      </c>
      <c r="C23" s="27" t="s">
        <v>115</v>
      </c>
      <c r="D23" s="14"/>
      <c r="E23" s="14"/>
      <c r="F23" s="14"/>
      <c r="G23" s="14"/>
      <c r="H23" s="110"/>
      <c r="I23" s="110"/>
      <c r="J23" s="110"/>
      <c r="K23" s="110"/>
    </row>
    <row r="24" spans="1:11" ht="15.75" x14ac:dyDescent="0.25">
      <c r="A24" s="31" t="s">
        <v>13</v>
      </c>
      <c r="B24" s="27" t="s">
        <v>56</v>
      </c>
      <c r="C24" s="27" t="s">
        <v>115</v>
      </c>
      <c r="D24" s="14"/>
      <c r="E24" s="14"/>
      <c r="F24" s="14"/>
      <c r="G24" s="14"/>
      <c r="H24" s="110"/>
      <c r="I24" s="110"/>
      <c r="J24" s="110"/>
      <c r="K24" s="110"/>
    </row>
    <row r="25" spans="1:11" ht="31.5" x14ac:dyDescent="0.25">
      <c r="A25" s="27" t="s">
        <v>14</v>
      </c>
      <c r="B25" s="27" t="s">
        <v>55</v>
      </c>
      <c r="C25" s="27" t="s">
        <v>115</v>
      </c>
      <c r="D25" s="14"/>
      <c r="E25" s="14"/>
      <c r="F25" s="14"/>
      <c r="G25" s="14"/>
      <c r="H25" s="110"/>
      <c r="I25" s="110"/>
      <c r="J25" s="110"/>
      <c r="K25" s="110"/>
    </row>
    <row r="26" spans="1:11" ht="15.75" x14ac:dyDescent="0.25">
      <c r="A26" s="31" t="s">
        <v>15</v>
      </c>
      <c r="B26" s="27" t="s">
        <v>56</v>
      </c>
      <c r="C26" s="27" t="s">
        <v>115</v>
      </c>
      <c r="D26" s="14"/>
      <c r="E26" s="14"/>
      <c r="F26" s="14"/>
      <c r="G26" s="14"/>
      <c r="H26" s="110"/>
      <c r="I26" s="110"/>
      <c r="J26" s="110"/>
      <c r="K26" s="110"/>
    </row>
    <row r="27" spans="1:11" ht="15.75" x14ac:dyDescent="0.25">
      <c r="A27" s="31" t="s">
        <v>17</v>
      </c>
      <c r="B27" s="27" t="s">
        <v>56</v>
      </c>
      <c r="C27" s="27" t="s">
        <v>115</v>
      </c>
      <c r="D27" s="14"/>
      <c r="E27" s="14"/>
      <c r="F27" s="14"/>
      <c r="G27" s="14"/>
      <c r="H27" s="110"/>
      <c r="I27" s="110"/>
      <c r="J27" s="110"/>
      <c r="K27" s="110"/>
    </row>
    <row r="28" spans="1:11" ht="15.75" x14ac:dyDescent="0.25">
      <c r="A28" s="31" t="s">
        <v>18</v>
      </c>
      <c r="B28" s="27" t="s">
        <v>56</v>
      </c>
      <c r="C28" s="27" t="s">
        <v>115</v>
      </c>
      <c r="D28" s="14"/>
      <c r="E28" s="14"/>
      <c r="F28" s="14"/>
      <c r="G28" s="14"/>
      <c r="H28" s="110"/>
      <c r="I28" s="110"/>
      <c r="J28" s="110"/>
      <c r="K28" s="110"/>
    </row>
    <row r="29" spans="1:11" ht="15.75" x14ac:dyDescent="0.25">
      <c r="A29" s="27" t="s">
        <v>19</v>
      </c>
      <c r="B29" s="27" t="s">
        <v>56</v>
      </c>
      <c r="C29" s="27" t="s">
        <v>115</v>
      </c>
      <c r="D29" s="14"/>
      <c r="E29" s="14"/>
      <c r="F29" s="14"/>
      <c r="G29" s="14"/>
      <c r="H29" s="110"/>
      <c r="I29" s="110"/>
      <c r="J29" s="110"/>
      <c r="K29" s="110"/>
    </row>
    <row r="30" spans="1:11" ht="15.75" x14ac:dyDescent="0.25">
      <c r="A30" s="27" t="s">
        <v>20</v>
      </c>
      <c r="B30" s="27" t="s">
        <v>56</v>
      </c>
      <c r="C30" s="27" t="s">
        <v>115</v>
      </c>
      <c r="D30" s="14"/>
      <c r="E30" s="14"/>
      <c r="F30" s="14"/>
      <c r="G30" s="14"/>
      <c r="H30" s="110"/>
      <c r="I30" s="110"/>
      <c r="J30" s="110"/>
      <c r="K30" s="110"/>
    </row>
    <row r="31" spans="1:11" ht="15.75" x14ac:dyDescent="0.25">
      <c r="A31" s="27" t="s">
        <v>21</v>
      </c>
      <c r="B31" s="27" t="s">
        <v>56</v>
      </c>
      <c r="C31" s="27" t="s">
        <v>115</v>
      </c>
      <c r="D31" s="14"/>
      <c r="E31" s="14"/>
      <c r="F31" s="14"/>
      <c r="G31" s="14"/>
      <c r="H31" s="110"/>
      <c r="I31" s="110"/>
      <c r="J31" s="110"/>
      <c r="K31" s="110"/>
    </row>
    <row r="32" spans="1:11" ht="15.75" x14ac:dyDescent="0.25">
      <c r="A32" s="27" t="s">
        <v>22</v>
      </c>
      <c r="B32" s="27" t="s">
        <v>56</v>
      </c>
      <c r="C32" s="27" t="s">
        <v>115</v>
      </c>
      <c r="D32" s="14"/>
      <c r="E32" s="14"/>
      <c r="F32" s="14"/>
      <c r="G32" s="14"/>
      <c r="H32" s="110"/>
      <c r="I32" s="110"/>
      <c r="J32" s="110"/>
      <c r="K32" s="110"/>
    </row>
    <row r="33" spans="1:11" ht="15.75" x14ac:dyDescent="0.25">
      <c r="A33" s="27" t="s">
        <v>23</v>
      </c>
      <c r="B33" s="27" t="s">
        <v>56</v>
      </c>
      <c r="C33" s="27" t="s">
        <v>115</v>
      </c>
      <c r="D33" s="14"/>
      <c r="E33" s="14"/>
      <c r="F33" s="14"/>
      <c r="G33" s="14"/>
      <c r="H33" s="110"/>
      <c r="I33" s="110"/>
      <c r="J33" s="110"/>
      <c r="K33" s="110"/>
    </row>
    <row r="34" spans="1:11" ht="15.75" x14ac:dyDescent="0.25">
      <c r="A34" s="27" t="s">
        <v>24</v>
      </c>
      <c r="B34" s="27" t="s">
        <v>56</v>
      </c>
      <c r="C34" s="27" t="s">
        <v>115</v>
      </c>
      <c r="D34" s="14"/>
      <c r="E34" s="14"/>
      <c r="F34" s="14"/>
      <c r="G34" s="14"/>
      <c r="H34" s="110"/>
      <c r="I34" s="110"/>
      <c r="J34" s="110"/>
      <c r="K34" s="110"/>
    </row>
    <row r="35" spans="1:11" ht="15.75" x14ac:dyDescent="0.25">
      <c r="A35" s="31" t="s">
        <v>25</v>
      </c>
      <c r="B35" s="27" t="s">
        <v>56</v>
      </c>
      <c r="C35" s="27" t="s">
        <v>115</v>
      </c>
      <c r="D35" s="14"/>
      <c r="E35" s="14"/>
      <c r="F35" s="14"/>
      <c r="G35" s="14"/>
      <c r="H35" s="110"/>
      <c r="I35" s="110"/>
      <c r="J35" s="110"/>
      <c r="K35" s="110"/>
    </row>
    <row r="36" spans="1:11" ht="15.75" x14ac:dyDescent="0.25">
      <c r="A36" s="27" t="s">
        <v>26</v>
      </c>
      <c r="B36" s="27" t="s">
        <v>56</v>
      </c>
      <c r="C36" s="27" t="s">
        <v>115</v>
      </c>
      <c r="D36" s="14"/>
      <c r="E36" s="14"/>
      <c r="F36" s="14"/>
      <c r="G36" s="14"/>
      <c r="H36" s="110"/>
      <c r="I36" s="110"/>
      <c r="J36" s="110"/>
      <c r="K36" s="110"/>
    </row>
    <row r="37" spans="1:11" ht="15.75" x14ac:dyDescent="0.25">
      <c r="A37" s="27" t="s">
        <v>27</v>
      </c>
      <c r="B37" s="27" t="s">
        <v>56</v>
      </c>
      <c r="C37" s="27" t="s">
        <v>115</v>
      </c>
      <c r="D37" s="14"/>
      <c r="E37" s="14"/>
      <c r="F37" s="14"/>
      <c r="G37" s="14"/>
      <c r="H37" s="110"/>
      <c r="I37" s="110"/>
      <c r="J37" s="110"/>
      <c r="K37" s="110"/>
    </row>
    <row r="38" spans="1:11" ht="15.75" x14ac:dyDescent="0.25">
      <c r="A38" s="27" t="s">
        <v>28</v>
      </c>
      <c r="B38" s="27" t="s">
        <v>56</v>
      </c>
      <c r="C38" s="27" t="s">
        <v>115</v>
      </c>
      <c r="D38" s="14"/>
      <c r="E38" s="14"/>
      <c r="F38" s="14"/>
      <c r="G38" s="14"/>
      <c r="H38" s="110"/>
      <c r="I38" s="110"/>
      <c r="J38" s="110"/>
      <c r="K38" s="110"/>
    </row>
    <row r="39" spans="1:11" ht="15.75" x14ac:dyDescent="0.25">
      <c r="A39" s="27" t="s">
        <v>29</v>
      </c>
      <c r="B39" s="27" t="s">
        <v>56</v>
      </c>
      <c r="C39" s="27" t="s">
        <v>115</v>
      </c>
      <c r="D39" s="14"/>
      <c r="E39" s="14"/>
      <c r="F39" s="14"/>
      <c r="G39" s="14"/>
      <c r="H39" s="110"/>
      <c r="I39" s="110"/>
      <c r="J39" s="110"/>
      <c r="K39" s="110"/>
    </row>
    <row r="40" spans="1:11" ht="31.5" x14ac:dyDescent="0.25">
      <c r="A40" s="27" t="s">
        <v>106</v>
      </c>
      <c r="B40" s="27" t="s">
        <v>55</v>
      </c>
      <c r="C40" s="27" t="s">
        <v>115</v>
      </c>
      <c r="D40" s="14"/>
      <c r="E40" s="14"/>
      <c r="F40" s="14"/>
      <c r="G40" s="14"/>
      <c r="H40" s="110"/>
      <c r="I40" s="110"/>
      <c r="J40" s="110"/>
      <c r="K40" s="110"/>
    </row>
    <row r="41" spans="1:11" ht="31.5" x14ac:dyDescent="0.25">
      <c r="A41" s="27" t="s">
        <v>32</v>
      </c>
      <c r="B41" s="27" t="s">
        <v>55</v>
      </c>
      <c r="C41" s="27" t="s">
        <v>115</v>
      </c>
      <c r="D41" s="14"/>
      <c r="E41" s="14"/>
      <c r="F41" s="14"/>
      <c r="G41" s="14"/>
      <c r="H41" s="110"/>
      <c r="I41" s="110"/>
      <c r="J41" s="110"/>
      <c r="K41" s="110"/>
    </row>
    <row r="42" spans="1:11" ht="15.75" x14ac:dyDescent="0.25">
      <c r="A42" s="31" t="s">
        <v>103</v>
      </c>
      <c r="B42" s="27" t="s">
        <v>56</v>
      </c>
      <c r="C42" s="27" t="s">
        <v>115</v>
      </c>
      <c r="D42" s="14"/>
      <c r="E42" s="14"/>
      <c r="F42" s="14"/>
      <c r="G42" s="14"/>
      <c r="H42" s="110"/>
      <c r="I42" s="110"/>
      <c r="J42" s="110"/>
      <c r="K42" s="110"/>
    </row>
    <row r="43" spans="1:11" ht="15.75" x14ac:dyDescent="0.25">
      <c r="A43" s="27" t="s">
        <v>91</v>
      </c>
      <c r="B43" s="27" t="s">
        <v>56</v>
      </c>
      <c r="C43" s="27" t="s">
        <v>115</v>
      </c>
      <c r="D43" s="14"/>
      <c r="E43" s="14"/>
      <c r="F43" s="14"/>
      <c r="G43" s="14"/>
      <c r="H43" s="110"/>
      <c r="I43" s="110"/>
      <c r="J43" s="110"/>
      <c r="K43" s="110"/>
    </row>
    <row r="44" spans="1:11" ht="15.75" x14ac:dyDescent="0.25">
      <c r="A44" s="27" t="s">
        <v>90</v>
      </c>
      <c r="B44" s="27" t="s">
        <v>56</v>
      </c>
      <c r="C44" s="27" t="s">
        <v>115</v>
      </c>
      <c r="D44" s="14"/>
      <c r="E44" s="14"/>
      <c r="F44" s="14"/>
      <c r="G44" s="14"/>
      <c r="H44" s="110"/>
      <c r="I44" s="110"/>
      <c r="J44" s="110"/>
      <c r="K44" s="110"/>
    </row>
    <row r="45" spans="1:11" ht="31.5" x14ac:dyDescent="0.25">
      <c r="A45" s="27" t="s">
        <v>36</v>
      </c>
      <c r="B45" s="27" t="s">
        <v>55</v>
      </c>
      <c r="C45" s="27" t="s">
        <v>115</v>
      </c>
      <c r="D45" s="14"/>
      <c r="E45" s="14"/>
      <c r="F45" s="14"/>
      <c r="G45" s="14"/>
      <c r="H45" s="110"/>
      <c r="I45" s="110"/>
      <c r="J45" s="110"/>
      <c r="K45" s="110"/>
    </row>
    <row r="46" spans="1:11" ht="31.5" x14ac:dyDescent="0.25">
      <c r="A46" s="27" t="s">
        <v>102</v>
      </c>
      <c r="B46" s="27" t="s">
        <v>55</v>
      </c>
      <c r="C46" s="27" t="s">
        <v>115</v>
      </c>
      <c r="D46" s="14"/>
      <c r="E46" s="14"/>
      <c r="F46" s="14"/>
      <c r="G46" s="14"/>
      <c r="H46" s="110"/>
      <c r="I46" s="110"/>
      <c r="J46" s="110"/>
      <c r="K46" s="110"/>
    </row>
    <row r="47" spans="1:11" ht="15.75" x14ac:dyDescent="0.25">
      <c r="A47" s="27" t="s">
        <v>93</v>
      </c>
      <c r="B47" s="27" t="s">
        <v>56</v>
      </c>
      <c r="C47" s="27" t="s">
        <v>115</v>
      </c>
      <c r="D47" s="14"/>
      <c r="E47" s="14"/>
      <c r="F47" s="14"/>
      <c r="G47" s="14"/>
      <c r="H47" s="110"/>
      <c r="I47" s="110"/>
      <c r="J47" s="110"/>
      <c r="K47" s="110"/>
    </row>
    <row r="48" spans="1:11" ht="15.75" x14ac:dyDescent="0.25">
      <c r="A48" s="27" t="s">
        <v>95</v>
      </c>
      <c r="B48" s="27" t="s">
        <v>56</v>
      </c>
      <c r="C48" s="27" t="s">
        <v>115</v>
      </c>
      <c r="D48" s="14"/>
      <c r="E48" s="14"/>
      <c r="F48" s="14"/>
      <c r="G48" s="14"/>
      <c r="H48" s="110"/>
      <c r="I48" s="110"/>
      <c r="J48" s="110"/>
      <c r="K48" s="110"/>
    </row>
    <row r="49" spans="1:11" ht="15.75" x14ac:dyDescent="0.25">
      <c r="A49" s="27" t="s">
        <v>105</v>
      </c>
      <c r="B49" s="27" t="s">
        <v>56</v>
      </c>
      <c r="C49" s="27" t="s">
        <v>115</v>
      </c>
      <c r="D49" s="14"/>
      <c r="E49" s="14"/>
      <c r="F49" s="14"/>
      <c r="G49" s="14"/>
      <c r="H49" s="110"/>
      <c r="I49" s="110"/>
      <c r="J49" s="110"/>
      <c r="K49" s="110"/>
    </row>
    <row r="50" spans="1:11" ht="15.75" x14ac:dyDescent="0.25">
      <c r="A50" s="27" t="s">
        <v>39</v>
      </c>
      <c r="B50" s="27" t="s">
        <v>56</v>
      </c>
      <c r="C50" s="27" t="s">
        <v>115</v>
      </c>
      <c r="D50" s="14"/>
      <c r="E50" s="14"/>
      <c r="F50" s="14"/>
      <c r="G50" s="14"/>
      <c r="H50" s="110"/>
      <c r="I50" s="110"/>
      <c r="J50" s="110"/>
      <c r="K50" s="110"/>
    </row>
    <row r="51" spans="1:11" ht="15.75" x14ac:dyDescent="0.25">
      <c r="A51" s="27" t="s">
        <v>99</v>
      </c>
      <c r="B51" s="27" t="s">
        <v>56</v>
      </c>
      <c r="C51" s="27" t="s">
        <v>115</v>
      </c>
      <c r="D51" s="14"/>
      <c r="E51" s="14"/>
      <c r="F51" s="14"/>
      <c r="G51" s="14"/>
      <c r="H51" s="110"/>
      <c r="I51" s="110"/>
      <c r="J51" s="110"/>
      <c r="K51" s="110"/>
    </row>
    <row r="52" spans="1:11" ht="15.75" x14ac:dyDescent="0.25">
      <c r="A52" s="27" t="s">
        <v>41</v>
      </c>
      <c r="B52" s="27" t="s">
        <v>56</v>
      </c>
      <c r="C52" s="27" t="s">
        <v>115</v>
      </c>
      <c r="D52" s="14"/>
      <c r="E52" s="14"/>
      <c r="F52" s="14"/>
      <c r="G52" s="14"/>
      <c r="H52" s="110"/>
      <c r="I52" s="110"/>
      <c r="J52" s="110"/>
      <c r="K52" s="110"/>
    </row>
    <row r="53" spans="1:11" ht="16.5" thickBot="1" x14ac:dyDescent="0.3">
      <c r="A53" s="29" t="s">
        <v>96</v>
      </c>
      <c r="B53" s="29" t="s">
        <v>56</v>
      </c>
      <c r="C53" s="29" t="s">
        <v>115</v>
      </c>
      <c r="D53" s="15"/>
      <c r="E53" s="15"/>
      <c r="F53" s="15"/>
      <c r="G53" s="15"/>
      <c r="H53" s="137"/>
      <c r="I53" s="137"/>
      <c r="J53" s="137"/>
      <c r="K53" s="137"/>
    </row>
    <row r="54" spans="1:11" ht="21.75" thickBot="1" x14ac:dyDescent="0.3">
      <c r="A54" s="144" t="s">
        <v>124</v>
      </c>
      <c r="B54" s="142"/>
      <c r="C54" s="142"/>
      <c r="D54" s="141">
        <f t="shared" ref="D54:K54" ca="1" si="2">SUM(D21:D56)</f>
        <v>0</v>
      </c>
      <c r="E54" s="141">
        <f t="shared" ca="1" si="2"/>
        <v>0</v>
      </c>
      <c r="F54" s="141">
        <f t="shared" ca="1" si="2"/>
        <v>0</v>
      </c>
      <c r="G54" s="141">
        <f t="shared" ca="1" si="2"/>
        <v>0</v>
      </c>
      <c r="H54" s="141">
        <f t="shared" ca="1" si="2"/>
        <v>0</v>
      </c>
      <c r="I54" s="141">
        <f t="shared" ca="1" si="2"/>
        <v>0</v>
      </c>
      <c r="J54" s="141">
        <f t="shared" ca="1" si="2"/>
        <v>0</v>
      </c>
      <c r="K54" s="141">
        <f t="shared" ca="1" si="2"/>
        <v>0</v>
      </c>
    </row>
    <row r="55" spans="1:11" ht="15.75" x14ac:dyDescent="0.25">
      <c r="A55" s="31" t="s">
        <v>33</v>
      </c>
      <c r="B55" s="27" t="s">
        <v>123</v>
      </c>
      <c r="C55" s="27" t="s">
        <v>115</v>
      </c>
      <c r="D55" s="14"/>
      <c r="E55" s="14"/>
      <c r="F55" s="14"/>
      <c r="G55" s="14"/>
      <c r="H55" s="110"/>
      <c r="I55" s="110"/>
      <c r="J55" s="110"/>
      <c r="K55" s="110"/>
    </row>
    <row r="56" spans="1:11" ht="15.75" x14ac:dyDescent="0.25">
      <c r="A56" s="27" t="s">
        <v>92</v>
      </c>
      <c r="B56" s="27" t="s">
        <v>123</v>
      </c>
      <c r="C56" s="27" t="s">
        <v>115</v>
      </c>
      <c r="D56" s="14"/>
      <c r="E56" s="14"/>
      <c r="F56" s="14"/>
      <c r="G56" s="14"/>
      <c r="H56" s="110"/>
      <c r="I56" s="110"/>
      <c r="J56" s="110"/>
      <c r="K56" s="110"/>
    </row>
    <row r="57" spans="1:11" ht="15.75" x14ac:dyDescent="0.25">
      <c r="A57" s="27" t="s">
        <v>37</v>
      </c>
      <c r="B57" s="27" t="s">
        <v>123</v>
      </c>
      <c r="C57" s="27" t="s">
        <v>115</v>
      </c>
      <c r="D57" s="14"/>
      <c r="E57" s="14"/>
      <c r="F57" s="14"/>
      <c r="G57" s="14"/>
      <c r="H57" s="110"/>
      <c r="I57" s="110"/>
      <c r="J57" s="110"/>
      <c r="K57" s="110"/>
    </row>
    <row r="58" spans="1:11" ht="15.75" x14ac:dyDescent="0.25">
      <c r="A58" s="27" t="s">
        <v>35</v>
      </c>
      <c r="B58" s="27" t="s">
        <v>123</v>
      </c>
      <c r="C58" s="27" t="s">
        <v>115</v>
      </c>
      <c r="D58" s="14"/>
      <c r="E58" s="14"/>
      <c r="F58" s="14"/>
      <c r="G58" s="14"/>
      <c r="H58" s="110"/>
      <c r="I58" s="110"/>
      <c r="J58" s="110"/>
      <c r="K58" s="110"/>
    </row>
    <row r="59" spans="1:11" ht="15.75" x14ac:dyDescent="0.25">
      <c r="A59" s="28" t="s">
        <v>94</v>
      </c>
      <c r="B59" s="28" t="s">
        <v>123</v>
      </c>
      <c r="C59" s="28" t="s">
        <v>115</v>
      </c>
      <c r="D59" s="14"/>
      <c r="E59" s="14"/>
      <c r="F59" s="14"/>
      <c r="G59" s="14"/>
      <c r="H59" s="110"/>
      <c r="I59" s="110"/>
      <c r="J59" s="110"/>
      <c r="K59" s="110"/>
    </row>
    <row r="60" spans="1:11" ht="15.75" x14ac:dyDescent="0.25">
      <c r="A60" s="31" t="s">
        <v>16</v>
      </c>
      <c r="B60" s="27" t="s">
        <v>123</v>
      </c>
      <c r="C60" s="27" t="s">
        <v>115</v>
      </c>
      <c r="D60" s="14"/>
      <c r="E60" s="14"/>
      <c r="F60" s="14"/>
      <c r="G60" s="14"/>
      <c r="H60" s="110"/>
      <c r="I60" s="110"/>
      <c r="J60" s="110"/>
      <c r="K60" s="110"/>
    </row>
    <row r="61" spans="1:11" ht="15.75" customHeight="1" thickBot="1" x14ac:dyDescent="0.3">
      <c r="A61" s="138" t="s">
        <v>107</v>
      </c>
      <c r="B61" s="27" t="s">
        <v>123</v>
      </c>
      <c r="C61" s="27" t="s">
        <v>115</v>
      </c>
      <c r="D61" s="14"/>
      <c r="E61" s="14"/>
      <c r="F61" s="14"/>
      <c r="G61" s="14"/>
      <c r="H61" s="110"/>
      <c r="I61" s="110"/>
      <c r="J61" s="110"/>
      <c r="K61" s="110"/>
    </row>
    <row r="62" spans="1:11" ht="21.75" thickBot="1" x14ac:dyDescent="0.3">
      <c r="A62" s="144" t="s">
        <v>125</v>
      </c>
      <c r="B62" s="142"/>
      <c r="C62" s="142"/>
      <c r="D62" s="141">
        <f t="shared" ref="D62:K62" si="3">SUM(D22:D53)</f>
        <v>0</v>
      </c>
      <c r="E62" s="141">
        <f t="shared" si="3"/>
        <v>0</v>
      </c>
      <c r="F62" s="141">
        <f t="shared" si="3"/>
        <v>0</v>
      </c>
      <c r="G62" s="141">
        <f t="shared" si="3"/>
        <v>0</v>
      </c>
      <c r="H62" s="141">
        <f t="shared" si="3"/>
        <v>0</v>
      </c>
      <c r="I62" s="141">
        <f t="shared" si="3"/>
        <v>0</v>
      </c>
      <c r="J62" s="141">
        <f t="shared" si="3"/>
        <v>0</v>
      </c>
      <c r="K62" s="141">
        <f t="shared" si="3"/>
        <v>0</v>
      </c>
    </row>
    <row r="63" spans="1:11" ht="15.75" x14ac:dyDescent="0.25">
      <c r="A63" s="28" t="s">
        <v>84</v>
      </c>
      <c r="B63" s="27" t="s">
        <v>116</v>
      </c>
      <c r="C63" s="28" t="s">
        <v>110</v>
      </c>
      <c r="D63" s="18"/>
      <c r="E63" s="18"/>
      <c r="F63" s="18"/>
      <c r="G63" s="18"/>
      <c r="H63" s="140"/>
      <c r="I63" s="140"/>
      <c r="J63" s="140"/>
      <c r="K63" s="140"/>
    </row>
    <row r="64" spans="1:11" ht="15.75" x14ac:dyDescent="0.25">
      <c r="A64" s="31" t="s">
        <v>40</v>
      </c>
      <c r="B64" s="27" t="s">
        <v>56</v>
      </c>
      <c r="C64" s="27" t="s">
        <v>111</v>
      </c>
      <c r="D64" s="14"/>
      <c r="E64" s="14"/>
      <c r="F64" s="14"/>
      <c r="G64" s="14"/>
      <c r="H64" s="110"/>
      <c r="I64" s="110"/>
      <c r="J64" s="110"/>
      <c r="K64" s="110"/>
    </row>
    <row r="65" spans="1:11" ht="15.75" x14ac:dyDescent="0.25">
      <c r="A65" s="27" t="s">
        <v>98</v>
      </c>
      <c r="B65" s="27" t="s">
        <v>116</v>
      </c>
      <c r="C65" s="27" t="s">
        <v>111</v>
      </c>
      <c r="D65" s="14"/>
      <c r="E65" s="14"/>
      <c r="F65" s="14"/>
      <c r="G65" s="14"/>
      <c r="H65" s="110"/>
      <c r="I65" s="110"/>
      <c r="J65" s="110"/>
      <c r="K65" s="110"/>
    </row>
    <row r="66" spans="1:11" ht="15.75" x14ac:dyDescent="0.25">
      <c r="A66" s="27" t="s">
        <v>100</v>
      </c>
      <c r="B66" s="27" t="s">
        <v>56</v>
      </c>
      <c r="C66" s="27" t="s">
        <v>111</v>
      </c>
      <c r="D66" s="14"/>
      <c r="E66" s="14"/>
      <c r="F66" s="14"/>
      <c r="G66" s="14"/>
      <c r="H66" s="110"/>
      <c r="I66" s="110"/>
      <c r="J66" s="110"/>
      <c r="K66" s="110"/>
    </row>
    <row r="67" spans="1:11" ht="15.75" x14ac:dyDescent="0.25">
      <c r="A67" s="27" t="s">
        <v>101</v>
      </c>
      <c r="B67" s="27" t="s">
        <v>56</v>
      </c>
      <c r="C67" s="27" t="s">
        <v>111</v>
      </c>
      <c r="D67" s="14"/>
      <c r="E67" s="14"/>
      <c r="F67" s="14"/>
      <c r="G67" s="14"/>
      <c r="H67" s="110"/>
      <c r="I67" s="110"/>
      <c r="J67" s="110"/>
      <c r="K67" s="110"/>
    </row>
    <row r="68" spans="1:11" ht="15.75" x14ac:dyDescent="0.25">
      <c r="A68" s="27" t="s">
        <v>108</v>
      </c>
      <c r="B68" s="27" t="s">
        <v>56</v>
      </c>
      <c r="C68" s="27" t="s">
        <v>111</v>
      </c>
      <c r="D68" s="14"/>
      <c r="E68" s="14"/>
      <c r="F68" s="14"/>
      <c r="G68" s="14"/>
      <c r="H68" s="110"/>
      <c r="I68" s="110"/>
      <c r="J68" s="110"/>
      <c r="K68" s="110"/>
    </row>
    <row r="69" spans="1:11" ht="15.75" x14ac:dyDescent="0.25">
      <c r="A69" s="139" t="s">
        <v>109</v>
      </c>
      <c r="B69" s="27" t="s">
        <v>56</v>
      </c>
      <c r="C69" s="27" t="s">
        <v>111</v>
      </c>
      <c r="D69" s="14"/>
      <c r="E69" s="14"/>
      <c r="F69" s="14"/>
      <c r="G69" s="14"/>
      <c r="H69" s="110"/>
      <c r="I69" s="110"/>
      <c r="J69" s="110"/>
      <c r="K69" s="110"/>
    </row>
    <row r="70" spans="1:11" ht="16.5" thickBot="1" x14ac:dyDescent="0.3">
      <c r="A70" s="29" t="s">
        <v>89</v>
      </c>
      <c r="B70" s="29" t="s">
        <v>56</v>
      </c>
      <c r="C70" s="29" t="s">
        <v>111</v>
      </c>
      <c r="D70" s="15"/>
      <c r="E70" s="15"/>
      <c r="F70" s="15"/>
      <c r="G70" s="15"/>
      <c r="H70" s="137"/>
      <c r="I70" s="137"/>
      <c r="J70" s="137"/>
      <c r="K70" s="137"/>
    </row>
    <row r="71" spans="1:11" ht="21.75" thickBot="1" x14ac:dyDescent="0.3">
      <c r="A71" s="143" t="s">
        <v>44</v>
      </c>
      <c r="B71" s="142"/>
      <c r="C71" s="142"/>
      <c r="D71" s="152">
        <f t="shared" ref="D71:K71" si="4">SUM(D63:D70)</f>
        <v>0</v>
      </c>
      <c r="E71" s="152">
        <f t="shared" si="4"/>
        <v>0</v>
      </c>
      <c r="F71" s="152">
        <f t="shared" si="4"/>
        <v>0</v>
      </c>
      <c r="G71" s="152">
        <f t="shared" si="4"/>
        <v>0</v>
      </c>
      <c r="H71" s="152">
        <f t="shared" si="4"/>
        <v>0</v>
      </c>
      <c r="I71" s="152">
        <f t="shared" si="4"/>
        <v>0</v>
      </c>
      <c r="J71" s="152">
        <f t="shared" si="4"/>
        <v>0</v>
      </c>
      <c r="K71" s="152">
        <f t="shared" si="4"/>
        <v>0</v>
      </c>
    </row>
    <row r="72" spans="1:11" ht="21.75" thickBot="1" x14ac:dyDescent="0.4">
      <c r="A72" s="143" t="s">
        <v>45</v>
      </c>
      <c r="B72" s="142"/>
      <c r="C72" s="142"/>
      <c r="D72" s="226">
        <f t="shared" ref="D72:K72" si="5">D71+D62+D21+D8</f>
        <v>0</v>
      </c>
      <c r="E72" s="226">
        <f t="shared" si="5"/>
        <v>0</v>
      </c>
      <c r="F72" s="226">
        <f t="shared" si="5"/>
        <v>0</v>
      </c>
      <c r="G72" s="226">
        <f t="shared" si="5"/>
        <v>0</v>
      </c>
      <c r="H72" s="226">
        <f t="shared" si="5"/>
        <v>0</v>
      </c>
      <c r="I72" s="226">
        <f t="shared" si="5"/>
        <v>0</v>
      </c>
      <c r="J72" s="153">
        <f t="shared" si="5"/>
        <v>0</v>
      </c>
      <c r="K72" s="153">
        <f t="shared" si="5"/>
        <v>0</v>
      </c>
    </row>
    <row r="73" spans="1:11" x14ac:dyDescent="0.25">
      <c r="H73" s="10"/>
      <c r="I73" s="10"/>
      <c r="J73" s="10"/>
    </row>
    <row r="74" spans="1:11" x14ac:dyDescent="0.25">
      <c r="F74" s="6"/>
    </row>
  </sheetData>
  <autoFilter ref="A2:K72" xr:uid="{DD7F3476-94B3-4EB2-924E-A95904F321CF}"/>
  <mergeCells count="2">
    <mergeCell ref="D1:G1"/>
    <mergeCell ref="H1:K1"/>
  </mergeCells>
  <conditionalFormatting sqref="A14">
    <cfRule type="duplicateValues" dxfId="229" priority="3"/>
    <cfRule type="duplicateValues" dxfId="228" priority="4"/>
  </conditionalFormatting>
  <conditionalFormatting sqref="A55">
    <cfRule type="duplicateValues" dxfId="227" priority="7"/>
    <cfRule type="duplicateValues" dxfId="226" priority="8"/>
  </conditionalFormatting>
  <conditionalFormatting sqref="A56:A58 A7 A22:A53 A60">
    <cfRule type="duplicateValues" dxfId="225" priority="264"/>
    <cfRule type="duplicateValues" dxfId="224" priority="265"/>
  </conditionalFormatting>
  <conditionalFormatting sqref="A59">
    <cfRule type="duplicateValues" dxfId="223" priority="1"/>
    <cfRule type="duplicateValues" dxfId="222" priority="2"/>
  </conditionalFormatting>
  <conditionalFormatting sqref="A63:A70">
    <cfRule type="duplicateValues" dxfId="221" priority="11"/>
    <cfRule type="duplicateValues" dxfId="220" priority="12"/>
  </conditionalFormatting>
  <conditionalFormatting sqref="A71:A72 A1:A6 A8:A13 A15:A21 A54 A62">
    <cfRule type="duplicateValues" dxfId="219" priority="9"/>
    <cfRule type="duplicateValues" dxfId="218" priority="10"/>
  </conditionalFormatting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B8A06-4D4B-4B30-A1A2-FA16B619E891}">
  <sheetPr>
    <tabColor theme="5" tint="-0.249977111117893"/>
  </sheetPr>
  <dimension ref="A1:M72"/>
  <sheetViews>
    <sheetView rightToLeft="1" zoomScaleNormal="100" workbookViewId="0">
      <pane ySplit="3" topLeftCell="A4" activePane="bottomLeft" state="frozen"/>
      <selection pane="bottomLeft" activeCell="K69" sqref="K69"/>
    </sheetView>
  </sheetViews>
  <sheetFormatPr defaultColWidth="30.140625" defaultRowHeight="15" x14ac:dyDescent="0.25"/>
  <cols>
    <col min="1" max="1" width="30" style="33" bestFit="1" customWidth="1"/>
    <col min="2" max="2" width="11.42578125" style="33" bestFit="1" customWidth="1"/>
    <col min="3" max="3" width="11.7109375" style="33" bestFit="1" customWidth="1"/>
    <col min="4" max="4" width="16.85546875" customWidth="1"/>
    <col min="5" max="5" width="15.28515625" customWidth="1"/>
    <col min="6" max="6" width="16.85546875" customWidth="1"/>
    <col min="7" max="7" width="19" customWidth="1"/>
    <col min="8" max="8" width="16.85546875" style="3" customWidth="1"/>
    <col min="9" max="9" width="15.28515625" style="3" customWidth="1"/>
    <col min="10" max="10" width="16.85546875" style="3" customWidth="1"/>
    <col min="11" max="11" width="19" customWidth="1"/>
  </cols>
  <sheetData>
    <row r="1" spans="1:11" ht="21" x14ac:dyDescent="0.25">
      <c r="A1" s="27"/>
      <c r="B1" s="27"/>
      <c r="C1" s="27"/>
      <c r="D1" s="278">
        <v>2025</v>
      </c>
      <c r="E1" s="278"/>
      <c r="F1" s="278"/>
      <c r="G1" s="278"/>
      <c r="H1" s="279">
        <v>2024</v>
      </c>
      <c r="I1" s="279"/>
      <c r="J1" s="279"/>
      <c r="K1" s="279"/>
    </row>
    <row r="2" spans="1:11" ht="21" x14ac:dyDescent="0.25">
      <c r="A2" s="11" t="s">
        <v>0</v>
      </c>
      <c r="B2" s="24" t="s">
        <v>53</v>
      </c>
      <c r="C2" s="24" t="s">
        <v>117</v>
      </c>
      <c r="D2" s="13" t="s">
        <v>46</v>
      </c>
      <c r="E2" s="13" t="s">
        <v>47</v>
      </c>
      <c r="F2" s="13" t="s">
        <v>48</v>
      </c>
      <c r="G2" s="13" t="s">
        <v>49</v>
      </c>
      <c r="H2" s="109" t="s">
        <v>46</v>
      </c>
      <c r="I2" s="109" t="s">
        <v>47</v>
      </c>
      <c r="J2" s="109" t="s">
        <v>48</v>
      </c>
      <c r="K2" s="109" t="s">
        <v>97</v>
      </c>
    </row>
    <row r="3" spans="1:11" ht="15.75" x14ac:dyDescent="0.25">
      <c r="A3" s="27" t="s">
        <v>1</v>
      </c>
      <c r="B3" s="27" t="s">
        <v>116</v>
      </c>
      <c r="C3" s="27" t="s">
        <v>58</v>
      </c>
      <c r="D3" s="14">
        <v>1750648.04</v>
      </c>
      <c r="E3" s="14">
        <v>43731.57</v>
      </c>
      <c r="F3" s="14">
        <v>1171630.3600000001</v>
      </c>
      <c r="G3" s="14">
        <v>12277219.85</v>
      </c>
      <c r="H3" s="110">
        <v>-102407.31</v>
      </c>
      <c r="I3" s="110">
        <f>VLOOKUP(A3,[3]מגדל!$A:$I,3,0)</f>
        <v>109162.2</v>
      </c>
      <c r="J3" s="110">
        <v>-46.21</v>
      </c>
      <c r="K3" s="110">
        <v>-624049.06000000006</v>
      </c>
    </row>
    <row r="4" spans="1:11" ht="15.75" x14ac:dyDescent="0.25">
      <c r="A4" s="27" t="s">
        <v>2</v>
      </c>
      <c r="B4" s="27" t="s">
        <v>116</v>
      </c>
      <c r="C4" s="27" t="s">
        <v>58</v>
      </c>
      <c r="D4" s="14">
        <v>58602.12</v>
      </c>
      <c r="E4" s="14">
        <v>6.26</v>
      </c>
      <c r="F4" s="14">
        <v>355223.16</v>
      </c>
      <c r="G4" s="14">
        <v>444902.75</v>
      </c>
      <c r="H4" s="110">
        <v>1662.39</v>
      </c>
      <c r="I4" s="110">
        <f>VLOOKUP(A4,[3]מגדל!$A:$I,3,0)</f>
        <v>0</v>
      </c>
      <c r="J4" s="110"/>
      <c r="K4" s="110"/>
    </row>
    <row r="5" spans="1:11" ht="15.75" x14ac:dyDescent="0.25">
      <c r="A5" s="27" t="s">
        <v>112</v>
      </c>
      <c r="B5" s="27" t="s">
        <v>116</v>
      </c>
      <c r="C5" s="27" t="s">
        <v>58</v>
      </c>
      <c r="D5" s="14"/>
      <c r="E5" s="14">
        <v>2548.9899999999998</v>
      </c>
      <c r="F5" s="14"/>
      <c r="G5" s="14"/>
      <c r="H5" s="110"/>
      <c r="I5" s="110"/>
      <c r="J5" s="110"/>
      <c r="K5" s="110"/>
    </row>
    <row r="6" spans="1:11" ht="15.75" x14ac:dyDescent="0.25">
      <c r="A6" s="29" t="s">
        <v>113</v>
      </c>
      <c r="B6" s="27" t="s">
        <v>116</v>
      </c>
      <c r="C6" s="29" t="s">
        <v>58</v>
      </c>
      <c r="D6" s="15">
        <v>62746.41</v>
      </c>
      <c r="E6" s="15">
        <v>1147.97</v>
      </c>
      <c r="F6" s="15"/>
      <c r="G6" s="15">
        <v>41187.589999999997</v>
      </c>
      <c r="H6" s="110">
        <v>-182.85</v>
      </c>
      <c r="I6" s="110"/>
      <c r="J6" s="110"/>
      <c r="K6" s="110"/>
    </row>
    <row r="7" spans="1:11" ht="16.5" thickBot="1" x14ac:dyDescent="0.3">
      <c r="A7" s="27" t="s">
        <v>34</v>
      </c>
      <c r="B7" s="27" t="s">
        <v>116</v>
      </c>
      <c r="C7" s="27" t="s">
        <v>58</v>
      </c>
      <c r="D7" s="14"/>
      <c r="E7" s="14">
        <v>394.07</v>
      </c>
      <c r="F7" s="14"/>
      <c r="G7" s="14"/>
      <c r="H7" s="110"/>
      <c r="I7" s="110">
        <f>VLOOKUP(A7,[3]מגדל!$A:$I,3,0)</f>
        <v>0</v>
      </c>
      <c r="J7" s="110"/>
      <c r="K7" s="110"/>
    </row>
    <row r="8" spans="1:11" ht="21.75" thickBot="1" x14ac:dyDescent="0.4">
      <c r="A8" s="143" t="s">
        <v>3</v>
      </c>
      <c r="B8" s="142"/>
      <c r="C8" s="142"/>
      <c r="D8" s="220">
        <f>SUM(D3:D7)</f>
        <v>1871996.57</v>
      </c>
      <c r="E8" s="220">
        <f t="shared" ref="E8:J8" si="0">SUM(E3:E7)</f>
        <v>47828.86</v>
      </c>
      <c r="F8" s="220">
        <f t="shared" si="0"/>
        <v>1526853.52</v>
      </c>
      <c r="G8" s="220">
        <f t="shared" si="0"/>
        <v>12763310.189999999</v>
      </c>
      <c r="H8" s="220">
        <f t="shared" si="0"/>
        <v>-100927.77</v>
      </c>
      <c r="I8" s="220">
        <f t="shared" si="0"/>
        <v>109162.2</v>
      </c>
      <c r="J8" s="220">
        <f t="shared" si="0"/>
        <v>-46.21</v>
      </c>
      <c r="K8" s="220">
        <f>SUM(K3:K7)</f>
        <v>-624049.06000000006</v>
      </c>
    </row>
    <row r="9" spans="1:11" ht="15.75" x14ac:dyDescent="0.25">
      <c r="A9" s="28" t="s">
        <v>4</v>
      </c>
      <c r="B9" s="27" t="s">
        <v>116</v>
      </c>
      <c r="C9" s="28" t="s">
        <v>114</v>
      </c>
      <c r="D9" s="18">
        <v>129.28</v>
      </c>
      <c r="E9" s="18">
        <v>27</v>
      </c>
      <c r="F9" s="18"/>
      <c r="G9" s="18"/>
      <c r="H9" s="110"/>
      <c r="I9" s="110">
        <f>VLOOKUP(A9,[3]מגדל!$A:$I,3,0)</f>
        <v>80.2</v>
      </c>
      <c r="J9" s="110"/>
      <c r="K9" s="110"/>
    </row>
    <row r="10" spans="1:11" ht="15.75" x14ac:dyDescent="0.25">
      <c r="A10" s="27" t="s">
        <v>5</v>
      </c>
      <c r="B10" s="27" t="s">
        <v>116</v>
      </c>
      <c r="C10" s="27" t="s">
        <v>114</v>
      </c>
      <c r="D10" s="14">
        <v>4871.22</v>
      </c>
      <c r="E10" s="14">
        <v>23944.41</v>
      </c>
      <c r="F10" s="14"/>
      <c r="G10" s="14"/>
      <c r="H10" s="110">
        <v>1.16529E-12</v>
      </c>
      <c r="I10" s="110">
        <f>VLOOKUP(A10,[3]מגדל!$A:$I,3,0)</f>
        <v>0</v>
      </c>
      <c r="J10" s="110"/>
      <c r="K10" s="110"/>
    </row>
    <row r="11" spans="1:11" ht="15.75" x14ac:dyDescent="0.25">
      <c r="A11" s="27" t="s">
        <v>6</v>
      </c>
      <c r="B11" s="27" t="s">
        <v>116</v>
      </c>
      <c r="C11" s="27" t="s">
        <v>114</v>
      </c>
      <c r="D11" s="14">
        <v>17516.189999999999</v>
      </c>
      <c r="E11" s="14">
        <v>594</v>
      </c>
      <c r="F11" s="14">
        <v>136070.32</v>
      </c>
      <c r="G11" s="14">
        <v>413586.85</v>
      </c>
      <c r="H11" s="110"/>
      <c r="I11" s="110">
        <f>VLOOKUP(A11,[3]מגדל!$A:$I,3,0)</f>
        <v>1918.1999999999998</v>
      </c>
      <c r="J11" s="110"/>
      <c r="K11" s="110"/>
    </row>
    <row r="12" spans="1:11" ht="15.75" x14ac:dyDescent="0.25">
      <c r="A12" s="27" t="s">
        <v>7</v>
      </c>
      <c r="B12" s="27" t="s">
        <v>116</v>
      </c>
      <c r="C12" s="27" t="s">
        <v>114</v>
      </c>
      <c r="D12" s="14"/>
      <c r="E12" s="14">
        <v>60.12</v>
      </c>
      <c r="F12" s="14"/>
      <c r="G12" s="14"/>
      <c r="H12" s="110"/>
      <c r="I12" s="110">
        <f>VLOOKUP(A12,[3]מגדל!$A:$I,3,0)</f>
        <v>169.95999999999998</v>
      </c>
      <c r="J12" s="110"/>
      <c r="K12" s="110"/>
    </row>
    <row r="13" spans="1:11" ht="15.75" x14ac:dyDescent="0.25">
      <c r="A13" s="27" t="s">
        <v>8</v>
      </c>
      <c r="B13" s="27" t="s">
        <v>116</v>
      </c>
      <c r="C13" s="27" t="s">
        <v>114</v>
      </c>
      <c r="D13" s="14"/>
      <c r="E13" s="14"/>
      <c r="F13" s="14"/>
      <c r="G13" s="14"/>
      <c r="H13" s="110"/>
      <c r="I13" s="110">
        <f>VLOOKUP(A13,[3]מגדל!$A:$I,3,0)</f>
        <v>7054.4800000000014</v>
      </c>
      <c r="J13" s="110"/>
      <c r="K13" s="110"/>
    </row>
    <row r="14" spans="1:11" ht="15.75" x14ac:dyDescent="0.25">
      <c r="A14" s="27" t="s">
        <v>9</v>
      </c>
      <c r="B14" s="27" t="s">
        <v>116</v>
      </c>
      <c r="C14" s="27" t="s">
        <v>114</v>
      </c>
      <c r="D14" s="14">
        <v>44247.92</v>
      </c>
      <c r="E14" s="14">
        <v>245.49</v>
      </c>
      <c r="F14" s="14"/>
      <c r="G14" s="14">
        <v>297734.75</v>
      </c>
      <c r="H14" s="110">
        <v>-51654.78</v>
      </c>
      <c r="I14" s="110">
        <f>VLOOKUP(A14,[3]מגדל!$A:$I,3,0)</f>
        <v>885.96999999999991</v>
      </c>
      <c r="J14" s="110"/>
      <c r="K14" s="110"/>
    </row>
    <row r="15" spans="1:11" ht="15.75" x14ac:dyDescent="0.25">
      <c r="A15" s="27" t="s">
        <v>31</v>
      </c>
      <c r="B15" s="27" t="s">
        <v>116</v>
      </c>
      <c r="C15" s="27" t="s">
        <v>114</v>
      </c>
      <c r="D15" s="14"/>
      <c r="E15" s="14"/>
      <c r="F15" s="14">
        <v>234152.14</v>
      </c>
      <c r="G15" s="14"/>
      <c r="H15" s="110"/>
      <c r="I15" s="110">
        <f>VLOOKUP(A15,[3]מגדל!$A:$I,3,0)</f>
        <v>0</v>
      </c>
      <c r="J15" s="110"/>
      <c r="K15" s="110"/>
    </row>
    <row r="16" spans="1:11" ht="15.75" x14ac:dyDescent="0.25">
      <c r="A16" s="27" t="s">
        <v>104</v>
      </c>
      <c r="B16" s="27" t="s">
        <v>116</v>
      </c>
      <c r="C16" s="27" t="s">
        <v>114</v>
      </c>
      <c r="D16" s="14"/>
      <c r="E16" s="14">
        <v>7267.32</v>
      </c>
      <c r="F16" s="14">
        <v>6017.28</v>
      </c>
      <c r="G16" s="14"/>
      <c r="H16" s="110"/>
      <c r="I16" s="110"/>
      <c r="J16" s="110"/>
      <c r="K16" s="110"/>
    </row>
    <row r="17" spans="1:11" ht="15.75" x14ac:dyDescent="0.25">
      <c r="A17" s="27" t="s">
        <v>42</v>
      </c>
      <c r="B17" s="27" t="s">
        <v>116</v>
      </c>
      <c r="C17" s="27" t="s">
        <v>114</v>
      </c>
      <c r="D17" s="14">
        <v>157340.28</v>
      </c>
      <c r="E17" s="14">
        <v>11470.35</v>
      </c>
      <c r="F17" s="14">
        <v>342639.31</v>
      </c>
      <c r="G17" s="14">
        <v>337716.78</v>
      </c>
      <c r="H17" s="110">
        <v>-14447.92</v>
      </c>
      <c r="I17" s="110">
        <f>VLOOKUP(A17,[3]מגדל!$A:$I,3,0)</f>
        <v>6337.17</v>
      </c>
      <c r="J17" s="110"/>
      <c r="K17" s="110"/>
    </row>
    <row r="18" spans="1:11" ht="15.75" x14ac:dyDescent="0.25">
      <c r="A18" s="27" t="s">
        <v>43</v>
      </c>
      <c r="B18" s="27" t="s">
        <v>116</v>
      </c>
      <c r="C18" s="27" t="s">
        <v>114</v>
      </c>
      <c r="D18" s="14">
        <v>1433.28</v>
      </c>
      <c r="E18" s="14">
        <v>1816.64</v>
      </c>
      <c r="F18" s="14">
        <v>502486.9</v>
      </c>
      <c r="G18" s="14"/>
      <c r="H18" s="110"/>
      <c r="I18" s="110">
        <f>VLOOKUP(A18,[3]מגדל!$A:$I,3,0)</f>
        <v>2917.21</v>
      </c>
      <c r="J18" s="110"/>
      <c r="K18" s="110"/>
    </row>
    <row r="19" spans="1:11" ht="15.75" x14ac:dyDescent="0.25">
      <c r="A19" s="27" t="s">
        <v>30</v>
      </c>
      <c r="B19" s="27" t="s">
        <v>116</v>
      </c>
      <c r="C19" s="27" t="s">
        <v>114</v>
      </c>
      <c r="D19" s="14">
        <v>463.53</v>
      </c>
      <c r="E19" s="14"/>
      <c r="F19" s="14"/>
      <c r="G19" s="14"/>
      <c r="H19" s="110"/>
      <c r="I19" s="110">
        <f>VLOOKUP(A19,[3]מגדל!$A:$I,3,0)</f>
        <v>0</v>
      </c>
      <c r="J19" s="110"/>
      <c r="K19" s="110"/>
    </row>
    <row r="20" spans="1:11" ht="16.5" thickBot="1" x14ac:dyDescent="0.3">
      <c r="A20" s="29" t="s">
        <v>38</v>
      </c>
      <c r="B20" s="27" t="s">
        <v>116</v>
      </c>
      <c r="C20" s="29" t="s">
        <v>114</v>
      </c>
      <c r="D20" s="15"/>
      <c r="E20" s="15"/>
      <c r="F20" s="15"/>
      <c r="G20" s="15"/>
      <c r="H20" s="110"/>
      <c r="I20" s="110">
        <f>VLOOKUP(A20,[3]מגדל!$A:$I,3,0)</f>
        <v>1081.1799999999998</v>
      </c>
      <c r="J20" s="110"/>
      <c r="K20" s="110"/>
    </row>
    <row r="21" spans="1:11" ht="21.75" thickBot="1" x14ac:dyDescent="0.4">
      <c r="A21" s="143" t="s">
        <v>10</v>
      </c>
      <c r="B21" s="142"/>
      <c r="C21" s="142"/>
      <c r="D21" s="220">
        <f>SUM(D9:D20)</f>
        <v>226001.7</v>
      </c>
      <c r="E21" s="220">
        <f t="shared" ref="E21:K21" si="1">SUM(E9:E20)</f>
        <v>45425.33</v>
      </c>
      <c r="F21" s="220">
        <f t="shared" si="1"/>
        <v>1221365.9500000002</v>
      </c>
      <c r="G21" s="220">
        <f t="shared" si="1"/>
        <v>1049038.3799999999</v>
      </c>
      <c r="H21" s="220">
        <f t="shared" si="1"/>
        <v>-66102.7</v>
      </c>
      <c r="I21" s="220">
        <f t="shared" si="1"/>
        <v>20444.37</v>
      </c>
      <c r="J21" s="220">
        <f t="shared" si="1"/>
        <v>0</v>
      </c>
      <c r="K21" s="220">
        <f t="shared" si="1"/>
        <v>0</v>
      </c>
    </row>
    <row r="22" spans="1:11" ht="15.75" x14ac:dyDescent="0.25">
      <c r="A22" s="28" t="s">
        <v>11</v>
      </c>
      <c r="B22" s="28" t="s">
        <v>56</v>
      </c>
      <c r="C22" s="28" t="s">
        <v>115</v>
      </c>
      <c r="D22" s="18"/>
      <c r="E22" s="18">
        <v>68.36</v>
      </c>
      <c r="F22" s="18"/>
      <c r="G22" s="18"/>
      <c r="H22" s="110">
        <v>-289.32</v>
      </c>
      <c r="I22" s="110">
        <f>VLOOKUP(A22,[3]מגדל!$A:$I,3,0)</f>
        <v>10096.82</v>
      </c>
      <c r="J22" s="110"/>
      <c r="K22" s="110">
        <v>-47476.13</v>
      </c>
    </row>
    <row r="23" spans="1:11" ht="15.75" x14ac:dyDescent="0.25">
      <c r="A23" s="31" t="s">
        <v>12</v>
      </c>
      <c r="B23" s="27" t="s">
        <v>56</v>
      </c>
      <c r="C23" s="27" t="s">
        <v>115</v>
      </c>
      <c r="D23" s="14"/>
      <c r="E23" s="14"/>
      <c r="F23" s="14"/>
      <c r="G23" s="14"/>
      <c r="H23" s="110"/>
      <c r="I23" s="110">
        <f>VLOOKUP(A23,[3]מגדל!$A:$I,3,0)</f>
        <v>0</v>
      </c>
      <c r="J23" s="110"/>
      <c r="K23" s="110"/>
    </row>
    <row r="24" spans="1:11" ht="15.75" x14ac:dyDescent="0.25">
      <c r="A24" s="31" t="s">
        <v>13</v>
      </c>
      <c r="B24" s="27" t="s">
        <v>56</v>
      </c>
      <c r="C24" s="27" t="s">
        <v>115</v>
      </c>
      <c r="D24" s="14"/>
      <c r="E24" s="14"/>
      <c r="F24" s="14"/>
      <c r="G24" s="14"/>
      <c r="H24" s="110"/>
      <c r="I24" s="110">
        <f>VLOOKUP(A24,[3]מגדל!$A:$I,3,0)</f>
        <v>0</v>
      </c>
      <c r="J24" s="110"/>
      <c r="K24" s="110"/>
    </row>
    <row r="25" spans="1:11" ht="15.75" x14ac:dyDescent="0.25">
      <c r="A25" s="27" t="s">
        <v>14</v>
      </c>
      <c r="B25" s="27" t="s">
        <v>55</v>
      </c>
      <c r="C25" s="27" t="s">
        <v>115</v>
      </c>
      <c r="D25" s="14"/>
      <c r="E25" s="14"/>
      <c r="F25" s="14"/>
      <c r="G25" s="14"/>
      <c r="H25" s="110"/>
      <c r="I25" s="110">
        <f>VLOOKUP(A25,[3]מגדל!$A:$I,3,0)</f>
        <v>0</v>
      </c>
      <c r="J25" s="110"/>
      <c r="K25" s="110"/>
    </row>
    <row r="26" spans="1:11" ht="15.75" x14ac:dyDescent="0.25">
      <c r="A26" s="31" t="s">
        <v>15</v>
      </c>
      <c r="B26" s="27" t="s">
        <v>56</v>
      </c>
      <c r="C26" s="27" t="s">
        <v>115</v>
      </c>
      <c r="D26" s="14">
        <v>5468.12</v>
      </c>
      <c r="E26" s="14">
        <v>1348.09</v>
      </c>
      <c r="F26" s="14">
        <v>61343.93</v>
      </c>
      <c r="G26" s="14"/>
      <c r="H26" s="110">
        <v>-133.05000000000001</v>
      </c>
      <c r="I26" s="110">
        <f>VLOOKUP(A26,[3]מגדל!$A:$I,3,0)</f>
        <v>3573.2400000000002</v>
      </c>
      <c r="J26" s="110"/>
      <c r="K26" s="110">
        <v>-23517.71</v>
      </c>
    </row>
    <row r="27" spans="1:11" ht="15.75" x14ac:dyDescent="0.25">
      <c r="A27" s="31" t="s">
        <v>17</v>
      </c>
      <c r="B27" s="27" t="s">
        <v>56</v>
      </c>
      <c r="C27" s="27" t="s">
        <v>115</v>
      </c>
      <c r="D27" s="14"/>
      <c r="E27" s="14"/>
      <c r="F27" s="14"/>
      <c r="G27" s="14"/>
      <c r="H27" s="110"/>
      <c r="I27" s="110">
        <f>VLOOKUP(A27,[3]מגדל!$A:$I,3,0)</f>
        <v>0</v>
      </c>
      <c r="J27" s="110"/>
      <c r="K27" s="110"/>
    </row>
    <row r="28" spans="1:11" ht="15.75" x14ac:dyDescent="0.25">
      <c r="A28" s="31" t="s">
        <v>18</v>
      </c>
      <c r="B28" s="27" t="s">
        <v>56</v>
      </c>
      <c r="C28" s="27" t="s">
        <v>115</v>
      </c>
      <c r="D28" s="14">
        <v>4353.3999999999996</v>
      </c>
      <c r="E28" s="14">
        <v>3404.14</v>
      </c>
      <c r="F28" s="14">
        <v>1593.98</v>
      </c>
      <c r="G28" s="14"/>
      <c r="H28" s="110">
        <v>-147.08000000000001</v>
      </c>
      <c r="I28" s="110">
        <f>VLOOKUP(A28,[3]מגדל!$A:$I,3,0)</f>
        <v>2880.71</v>
      </c>
      <c r="J28" s="110"/>
      <c r="K28" s="110"/>
    </row>
    <row r="29" spans="1:11" ht="15.75" x14ac:dyDescent="0.25">
      <c r="A29" s="27" t="s">
        <v>19</v>
      </c>
      <c r="B29" s="27" t="s">
        <v>56</v>
      </c>
      <c r="C29" s="27" t="s">
        <v>115</v>
      </c>
      <c r="D29" s="14">
        <v>117306.59</v>
      </c>
      <c r="E29" s="14">
        <v>19453.77</v>
      </c>
      <c r="F29" s="14">
        <v>531670.52</v>
      </c>
      <c r="G29" s="14">
        <v>265483.21999999997</v>
      </c>
      <c r="H29" s="110">
        <v>38314.800000000003</v>
      </c>
      <c r="I29" s="110">
        <f>VLOOKUP(A29,[3]מגדל!$A:$I,3,0)</f>
        <v>46149.52</v>
      </c>
      <c r="J29" s="110">
        <v>-29183.82</v>
      </c>
      <c r="K29" s="110"/>
    </row>
    <row r="30" spans="1:11" ht="15.75" x14ac:dyDescent="0.25">
      <c r="A30" s="27" t="s">
        <v>20</v>
      </c>
      <c r="B30" s="27" t="s">
        <v>56</v>
      </c>
      <c r="C30" s="27" t="s">
        <v>115</v>
      </c>
      <c r="D30" s="14">
        <v>103865.33</v>
      </c>
      <c r="E30" s="14">
        <v>3396.68</v>
      </c>
      <c r="F30" s="14"/>
      <c r="G30" s="14">
        <v>738313.1</v>
      </c>
      <c r="H30" s="110">
        <v>-2726.46</v>
      </c>
      <c r="I30" s="110">
        <f>VLOOKUP(A30,[3]מגדל!$A:$I,3,0)</f>
        <v>2993.9100000000003</v>
      </c>
      <c r="J30" s="110"/>
      <c r="K30" s="110"/>
    </row>
    <row r="31" spans="1:11" ht="15.75" x14ac:dyDescent="0.25">
      <c r="A31" s="27" t="s">
        <v>21</v>
      </c>
      <c r="B31" s="27" t="s">
        <v>56</v>
      </c>
      <c r="C31" s="27" t="s">
        <v>115</v>
      </c>
      <c r="D31" s="14"/>
      <c r="E31" s="14"/>
      <c r="F31" s="14"/>
      <c r="G31" s="14"/>
      <c r="H31" s="110"/>
      <c r="I31" s="110">
        <f>VLOOKUP(A31,[3]מגדל!$A:$I,3,0)</f>
        <v>7.82</v>
      </c>
      <c r="J31" s="110"/>
      <c r="K31" s="110"/>
    </row>
    <row r="32" spans="1:11" ht="15.75" x14ac:dyDescent="0.25">
      <c r="A32" s="27" t="s">
        <v>22</v>
      </c>
      <c r="B32" s="27" t="s">
        <v>56</v>
      </c>
      <c r="C32" s="27" t="s">
        <v>115</v>
      </c>
      <c r="D32" s="14"/>
      <c r="E32" s="14"/>
      <c r="F32" s="14"/>
      <c r="G32" s="14"/>
      <c r="H32" s="110"/>
      <c r="I32" s="110">
        <f>VLOOKUP(A32,[3]מגדל!$A:$I,3,0)</f>
        <v>2397.5</v>
      </c>
      <c r="J32" s="110"/>
      <c r="K32" s="110"/>
    </row>
    <row r="33" spans="1:12" ht="15.75" x14ac:dyDescent="0.25">
      <c r="A33" s="27" t="s">
        <v>23</v>
      </c>
      <c r="B33" s="27" t="s">
        <v>56</v>
      </c>
      <c r="C33" s="27" t="s">
        <v>115</v>
      </c>
      <c r="D33" s="14"/>
      <c r="E33" s="14"/>
      <c r="F33" s="14"/>
      <c r="G33" s="14"/>
      <c r="H33" s="110"/>
      <c r="I33" s="110">
        <f>VLOOKUP(A33,[3]מגדל!$A:$I,3,0)</f>
        <v>7.3</v>
      </c>
      <c r="J33" s="110"/>
      <c r="K33" s="110"/>
    </row>
    <row r="34" spans="1:12" ht="15.75" x14ac:dyDescent="0.25">
      <c r="A34" s="27" t="s">
        <v>24</v>
      </c>
      <c r="B34" s="27" t="s">
        <v>56</v>
      </c>
      <c r="C34" s="27" t="s">
        <v>115</v>
      </c>
      <c r="D34" s="14"/>
      <c r="E34" s="14"/>
      <c r="F34" s="14"/>
      <c r="G34" s="14"/>
      <c r="H34" s="110"/>
      <c r="I34" s="110">
        <f>VLOOKUP(A34,[3]מגדל!$A:$I,3,0)</f>
        <v>0</v>
      </c>
      <c r="J34" s="110"/>
      <c r="K34" s="110"/>
    </row>
    <row r="35" spans="1:12" ht="15.75" x14ac:dyDescent="0.25">
      <c r="A35" s="31" t="s">
        <v>25</v>
      </c>
      <c r="B35" s="27" t="s">
        <v>56</v>
      </c>
      <c r="C35" s="27" t="s">
        <v>115</v>
      </c>
      <c r="D35" s="14"/>
      <c r="E35" s="14"/>
      <c r="F35" s="14">
        <v>2950.55</v>
      </c>
      <c r="G35" s="14"/>
      <c r="H35" s="110">
        <v>-24.04</v>
      </c>
      <c r="I35" s="110">
        <f>VLOOKUP(A35,[3]מגדל!$A:$I,3,0)</f>
        <v>133.95000000000002</v>
      </c>
      <c r="J35" s="110"/>
      <c r="K35" s="110"/>
    </row>
    <row r="36" spans="1:12" ht="15.75" x14ac:dyDescent="0.25">
      <c r="A36" s="27" t="s">
        <v>26</v>
      </c>
      <c r="B36" s="27" t="s">
        <v>56</v>
      </c>
      <c r="C36" s="27" t="s">
        <v>115</v>
      </c>
      <c r="D36" s="14"/>
      <c r="E36" s="14"/>
      <c r="F36" s="14"/>
      <c r="G36" s="14"/>
      <c r="H36" s="110">
        <v>-111.8</v>
      </c>
      <c r="I36" s="110">
        <f>VLOOKUP(A36,[3]מגדל!$A:$I,3,0)</f>
        <v>0</v>
      </c>
      <c r="J36" s="110"/>
      <c r="K36" s="110"/>
    </row>
    <row r="37" spans="1:12" ht="15.75" x14ac:dyDescent="0.25">
      <c r="A37" s="27" t="s">
        <v>27</v>
      </c>
      <c r="B37" s="27" t="s">
        <v>56</v>
      </c>
      <c r="C37" s="27" t="s">
        <v>115</v>
      </c>
      <c r="D37" s="14"/>
      <c r="E37" s="14"/>
      <c r="F37" s="14"/>
      <c r="G37" s="14"/>
      <c r="H37" s="110"/>
      <c r="I37" s="110">
        <f>VLOOKUP(A37,[3]מגדל!$A:$I,3,0)</f>
        <v>0</v>
      </c>
      <c r="J37" s="110"/>
      <c r="K37" s="110"/>
    </row>
    <row r="38" spans="1:12" ht="15.75" x14ac:dyDescent="0.25">
      <c r="A38" s="27" t="s">
        <v>28</v>
      </c>
      <c r="B38" s="27" t="s">
        <v>56</v>
      </c>
      <c r="C38" s="27" t="s">
        <v>115</v>
      </c>
      <c r="D38" s="14"/>
      <c r="E38" s="14"/>
      <c r="F38" s="14"/>
      <c r="G38" s="14"/>
      <c r="H38" s="110"/>
      <c r="I38" s="110">
        <f>VLOOKUP(A38,[3]מגדל!$A:$I,3,0)</f>
        <v>0</v>
      </c>
      <c r="J38" s="110"/>
      <c r="K38" s="110"/>
    </row>
    <row r="39" spans="1:12" ht="15.75" x14ac:dyDescent="0.25">
      <c r="A39" s="27" t="s">
        <v>29</v>
      </c>
      <c r="B39" s="27" t="s">
        <v>56</v>
      </c>
      <c r="C39" s="27" t="s">
        <v>115</v>
      </c>
      <c r="D39" s="14">
        <v>6854.6</v>
      </c>
      <c r="E39" s="14">
        <v>1921.6</v>
      </c>
      <c r="F39" s="14">
        <v>248240.32</v>
      </c>
      <c r="G39" s="14">
        <v>226444.66</v>
      </c>
      <c r="H39" s="110">
        <v>-7624.07</v>
      </c>
      <c r="I39" s="110">
        <f>VLOOKUP(A39,[3]מגדל!$A:$I,3,0)</f>
        <v>0</v>
      </c>
      <c r="J39" s="110"/>
      <c r="K39" s="110"/>
    </row>
    <row r="40" spans="1:12" ht="15.75" x14ac:dyDescent="0.25">
      <c r="A40" s="27" t="s">
        <v>106</v>
      </c>
      <c r="B40" s="27" t="s">
        <v>55</v>
      </c>
      <c r="C40" s="27" t="s">
        <v>115</v>
      </c>
      <c r="D40" s="14">
        <v>18.82</v>
      </c>
      <c r="E40" s="14">
        <v>7028.15</v>
      </c>
      <c r="F40" s="14"/>
      <c r="G40" s="14"/>
      <c r="H40" s="110"/>
      <c r="I40" s="110"/>
      <c r="J40" s="110"/>
      <c r="K40" s="110"/>
    </row>
    <row r="41" spans="1:12" ht="15.75" x14ac:dyDescent="0.25">
      <c r="A41" s="27" t="s">
        <v>32</v>
      </c>
      <c r="B41" s="27" t="s">
        <v>55</v>
      </c>
      <c r="C41" s="27" t="s">
        <v>115</v>
      </c>
      <c r="D41" s="14"/>
      <c r="E41" s="14"/>
      <c r="F41" s="14"/>
      <c r="G41" s="14"/>
      <c r="H41" s="110"/>
      <c r="I41" s="110"/>
      <c r="J41" s="110"/>
      <c r="K41" s="110"/>
    </row>
    <row r="42" spans="1:12" ht="15.75" x14ac:dyDescent="0.25">
      <c r="A42" s="31" t="s">
        <v>103</v>
      </c>
      <c r="B42" s="27" t="s">
        <v>56</v>
      </c>
      <c r="C42" s="27" t="s">
        <v>115</v>
      </c>
      <c r="D42" s="14">
        <v>4353.3999999999996</v>
      </c>
      <c r="E42" s="14"/>
      <c r="F42" s="14"/>
      <c r="G42" s="14"/>
      <c r="H42" s="110"/>
      <c r="I42" s="110"/>
      <c r="J42" s="110"/>
      <c r="K42" s="110"/>
    </row>
    <row r="43" spans="1:12" ht="15.75" x14ac:dyDescent="0.25">
      <c r="A43" s="27" t="s">
        <v>91</v>
      </c>
      <c r="B43" s="27" t="s">
        <v>56</v>
      </c>
      <c r="C43" s="27" t="s">
        <v>115</v>
      </c>
      <c r="D43" s="14"/>
      <c r="E43" s="14"/>
      <c r="F43" s="14"/>
      <c r="G43" s="14"/>
      <c r="H43" s="110"/>
      <c r="I43" s="110"/>
      <c r="J43" s="110"/>
      <c r="K43" s="110"/>
    </row>
    <row r="44" spans="1:12" ht="15.75" x14ac:dyDescent="0.25">
      <c r="A44" s="27" t="s">
        <v>90</v>
      </c>
      <c r="B44" s="27" t="s">
        <v>56</v>
      </c>
      <c r="C44" s="27" t="s">
        <v>115</v>
      </c>
      <c r="D44" s="14"/>
      <c r="E44" s="14">
        <v>205.24</v>
      </c>
      <c r="F44" s="14"/>
      <c r="G44" s="14"/>
      <c r="H44" s="110"/>
      <c r="I44" s="110">
        <f>VLOOKUP(A44,[3]מגדל!$A:$I,3,0)</f>
        <v>119.23</v>
      </c>
      <c r="J44" s="110"/>
      <c r="K44" s="110"/>
    </row>
    <row r="45" spans="1:12" ht="15.75" x14ac:dyDescent="0.25">
      <c r="A45" s="27" t="s">
        <v>36</v>
      </c>
      <c r="B45" s="27" t="s">
        <v>55</v>
      </c>
      <c r="C45" s="27" t="s">
        <v>115</v>
      </c>
      <c r="D45" s="14"/>
      <c r="E45" s="14"/>
      <c r="F45" s="14"/>
      <c r="G45" s="14"/>
      <c r="H45" s="110"/>
      <c r="I45" s="110">
        <f>VLOOKUP(A45,[3]מגדל!$A:$I,3,0)</f>
        <v>0</v>
      </c>
      <c r="J45" s="110"/>
      <c r="K45" s="110"/>
    </row>
    <row r="46" spans="1:12" ht="15.75" x14ac:dyDescent="0.25">
      <c r="A46" s="27" t="s">
        <v>102</v>
      </c>
      <c r="B46" s="27" t="s">
        <v>55</v>
      </c>
      <c r="C46" s="27" t="s">
        <v>115</v>
      </c>
      <c r="D46" s="14"/>
      <c r="E46" s="14"/>
      <c r="F46" s="14"/>
      <c r="G46" s="14"/>
      <c r="H46" s="110"/>
      <c r="I46" s="110"/>
      <c r="J46" s="110"/>
      <c r="K46" s="110"/>
      <c r="L46" s="159"/>
    </row>
    <row r="47" spans="1:12" ht="15.75" x14ac:dyDescent="0.25">
      <c r="A47" s="27" t="s">
        <v>93</v>
      </c>
      <c r="B47" s="27" t="s">
        <v>56</v>
      </c>
      <c r="C47" s="27" t="s">
        <v>115</v>
      </c>
      <c r="D47" s="14"/>
      <c r="E47" s="14"/>
      <c r="F47" s="14"/>
      <c r="G47" s="14"/>
      <c r="H47" s="110"/>
      <c r="I47" s="110"/>
      <c r="J47" s="110"/>
      <c r="K47" s="110"/>
    </row>
    <row r="48" spans="1:12" ht="15.75" x14ac:dyDescent="0.25">
      <c r="A48" s="27" t="s">
        <v>95</v>
      </c>
      <c r="B48" s="27" t="s">
        <v>56</v>
      </c>
      <c r="C48" s="27" t="s">
        <v>115</v>
      </c>
      <c r="D48" s="14"/>
      <c r="E48" s="14"/>
      <c r="F48" s="14"/>
      <c r="G48" s="14"/>
      <c r="H48" s="110"/>
      <c r="I48" s="110"/>
      <c r="J48" s="110"/>
      <c r="K48" s="110"/>
    </row>
    <row r="49" spans="1:13" ht="15.75" x14ac:dyDescent="0.25">
      <c r="A49" s="27" t="s">
        <v>105</v>
      </c>
      <c r="B49" s="27" t="s">
        <v>56</v>
      </c>
      <c r="C49" s="27" t="s">
        <v>115</v>
      </c>
      <c r="D49" s="14">
        <v>13497.76</v>
      </c>
      <c r="E49" s="14">
        <v>1187.72</v>
      </c>
      <c r="F49" s="14">
        <v>7370.27</v>
      </c>
      <c r="G49" s="14"/>
      <c r="H49" s="110">
        <v>-15439.49</v>
      </c>
      <c r="I49" s="110"/>
      <c r="J49" s="110"/>
      <c r="K49" s="110"/>
    </row>
    <row r="50" spans="1:13" ht="15.75" x14ac:dyDescent="0.25">
      <c r="A50" s="27" t="s">
        <v>39</v>
      </c>
      <c r="B50" s="27" t="s">
        <v>56</v>
      </c>
      <c r="C50" s="27" t="s">
        <v>115</v>
      </c>
      <c r="D50" s="14">
        <v>6854.6</v>
      </c>
      <c r="E50" s="14">
        <v>3811.95</v>
      </c>
      <c r="F50" s="14"/>
      <c r="G50" s="14">
        <v>138621.92000000001</v>
      </c>
      <c r="H50" s="110">
        <v>-74.06</v>
      </c>
      <c r="I50" s="110">
        <f>VLOOKUP(A50,[3]מגדל!$A:$I,3,0)</f>
        <v>0</v>
      </c>
      <c r="J50" s="110"/>
      <c r="K50" s="110"/>
    </row>
    <row r="51" spans="1:13" ht="15.75" x14ac:dyDescent="0.25">
      <c r="A51" s="27" t="s">
        <v>99</v>
      </c>
      <c r="B51" s="27" t="s">
        <v>56</v>
      </c>
      <c r="C51" s="27" t="s">
        <v>115</v>
      </c>
      <c r="D51" s="14">
        <v>4353.3999999999996</v>
      </c>
      <c r="E51" s="14"/>
      <c r="F51" s="14">
        <v>34101.230000000003</v>
      </c>
      <c r="G51" s="14"/>
      <c r="H51" s="110"/>
      <c r="I51" s="110">
        <f>VLOOKUP(A51,[3]מגדל!$A:$I,3,0)</f>
        <v>0</v>
      </c>
      <c r="J51" s="110"/>
      <c r="K51" s="110"/>
    </row>
    <row r="52" spans="1:13" ht="15.75" x14ac:dyDescent="0.25">
      <c r="A52" s="27" t="s">
        <v>41</v>
      </c>
      <c r="B52" s="27" t="s">
        <v>56</v>
      </c>
      <c r="C52" s="27" t="s">
        <v>115</v>
      </c>
      <c r="D52" s="14"/>
      <c r="E52" s="14"/>
      <c r="F52" s="14"/>
      <c r="G52" s="14"/>
      <c r="H52" s="110"/>
      <c r="I52" s="110">
        <f>VLOOKUP(A52,[3]מגדל!$A:$I,3,0)</f>
        <v>0</v>
      </c>
      <c r="J52" s="110"/>
      <c r="K52" s="110"/>
    </row>
    <row r="53" spans="1:13" ht="16.5" thickBot="1" x14ac:dyDescent="0.3">
      <c r="A53" s="29" t="s">
        <v>96</v>
      </c>
      <c r="B53" s="29" t="s">
        <v>56</v>
      </c>
      <c r="C53" s="29" t="s">
        <v>115</v>
      </c>
      <c r="D53" s="15"/>
      <c r="E53" s="15">
        <v>1407.55</v>
      </c>
      <c r="F53" s="15"/>
      <c r="G53" s="15"/>
      <c r="H53" s="110"/>
      <c r="I53" s="110">
        <f>VLOOKUP(A53,[3]מגדל!$A:$I,3,0)</f>
        <v>0</v>
      </c>
      <c r="J53" s="110"/>
      <c r="K53" s="110"/>
    </row>
    <row r="54" spans="1:13" ht="21.75" thickBot="1" x14ac:dyDescent="0.4">
      <c r="A54" s="144" t="s">
        <v>124</v>
      </c>
      <c r="B54" s="142"/>
      <c r="C54" s="142"/>
      <c r="D54" s="220">
        <f>SUM(D22:D53)</f>
        <v>266926.02</v>
      </c>
      <c r="E54" s="220">
        <f t="shared" ref="E54:K54" si="2">SUM(E22:E53)</f>
        <v>43233.25</v>
      </c>
      <c r="F54" s="220">
        <f t="shared" si="2"/>
        <v>887270.8</v>
      </c>
      <c r="G54" s="220">
        <f t="shared" si="2"/>
        <v>1368862.9</v>
      </c>
      <c r="H54" s="220">
        <f t="shared" si="2"/>
        <v>11745.430000000004</v>
      </c>
      <c r="I54" s="220">
        <f t="shared" si="2"/>
        <v>68360</v>
      </c>
      <c r="J54" s="220">
        <f t="shared" si="2"/>
        <v>-29183.82</v>
      </c>
      <c r="K54" s="220">
        <f t="shared" si="2"/>
        <v>-70993.84</v>
      </c>
    </row>
    <row r="55" spans="1:13" ht="15.75" x14ac:dyDescent="0.25">
      <c r="A55" s="31" t="s">
        <v>33</v>
      </c>
      <c r="B55" s="27" t="s">
        <v>123</v>
      </c>
      <c r="C55" s="27" t="s">
        <v>115</v>
      </c>
      <c r="D55" s="14">
        <v>10515.61</v>
      </c>
      <c r="E55" s="14">
        <v>517.66</v>
      </c>
      <c r="F55" s="14">
        <v>635650.80000000005</v>
      </c>
      <c r="G55" s="14"/>
      <c r="H55" s="110">
        <v>-148.34</v>
      </c>
      <c r="I55" s="110">
        <f>VLOOKUP(A55,[3]מגדל!$A:$I,3,0)</f>
        <v>1905.4</v>
      </c>
      <c r="J55" s="110"/>
      <c r="K55" s="110"/>
    </row>
    <row r="56" spans="1:13" ht="15.75" x14ac:dyDescent="0.25">
      <c r="A56" s="27" t="s">
        <v>92</v>
      </c>
      <c r="B56" s="27" t="s">
        <v>123</v>
      </c>
      <c r="C56" s="27" t="s">
        <v>115</v>
      </c>
      <c r="D56" s="14">
        <v>149633.45000000001</v>
      </c>
      <c r="E56" s="14">
        <v>5951.46</v>
      </c>
      <c r="F56" s="14">
        <v>1750531.56</v>
      </c>
      <c r="G56" s="14">
        <v>87822.74</v>
      </c>
      <c r="H56" s="110">
        <v>-4512.8599999999997</v>
      </c>
      <c r="I56" s="110">
        <f>VLOOKUP(A56,[3]מגדל!$A:$I,3,0)</f>
        <v>880.88</v>
      </c>
      <c r="J56" s="110">
        <v>-3016.91</v>
      </c>
      <c r="K56" s="110"/>
    </row>
    <row r="57" spans="1:13" ht="15.75" x14ac:dyDescent="0.25">
      <c r="A57" s="27" t="s">
        <v>37</v>
      </c>
      <c r="B57" s="27" t="s">
        <v>123</v>
      </c>
      <c r="C57" s="27" t="s">
        <v>115</v>
      </c>
      <c r="D57" s="14">
        <v>9592.08</v>
      </c>
      <c r="E57" s="14"/>
      <c r="F57" s="14"/>
      <c r="G57" s="14"/>
      <c r="H57" s="110">
        <v>-2841.03</v>
      </c>
      <c r="I57" s="110">
        <f>VLOOKUP(A57,[3]מגדל!$A:$I,3,0)</f>
        <v>0</v>
      </c>
      <c r="J57" s="110"/>
      <c r="K57" s="110"/>
      <c r="M57" s="154"/>
    </row>
    <row r="58" spans="1:13" ht="15.75" x14ac:dyDescent="0.25">
      <c r="A58" s="27" t="s">
        <v>35</v>
      </c>
      <c r="B58" s="27" t="s">
        <v>123</v>
      </c>
      <c r="C58" s="27" t="s">
        <v>115</v>
      </c>
      <c r="D58" s="14">
        <v>17496.55</v>
      </c>
      <c r="E58" s="14"/>
      <c r="F58" s="14"/>
      <c r="G58" s="14"/>
      <c r="H58" s="110"/>
      <c r="I58" s="110">
        <f>VLOOKUP(A58,[3]מגדל!$A:$I,3,0)</f>
        <v>2419.58</v>
      </c>
      <c r="J58" s="110"/>
      <c r="K58" s="110"/>
      <c r="M58" s="154"/>
    </row>
    <row r="59" spans="1:13" ht="15.75" x14ac:dyDescent="0.25">
      <c r="A59" s="28" t="s">
        <v>94</v>
      </c>
      <c r="B59" s="28" t="s">
        <v>123</v>
      </c>
      <c r="C59" s="28" t="s">
        <v>115</v>
      </c>
      <c r="D59" s="14">
        <v>26637.25</v>
      </c>
      <c r="E59" s="14">
        <v>2269.52</v>
      </c>
      <c r="F59" s="14"/>
      <c r="G59" s="14">
        <v>1436228.62</v>
      </c>
      <c r="H59" s="110"/>
      <c r="I59" s="110">
        <f>VLOOKUP(A59,[3]מגדל!$A:$I,3,0)</f>
        <v>0</v>
      </c>
      <c r="J59" s="110"/>
      <c r="K59" s="110"/>
      <c r="M59" s="154"/>
    </row>
    <row r="60" spans="1:13" ht="15.75" x14ac:dyDescent="0.25">
      <c r="A60" s="31" t="s">
        <v>16</v>
      </c>
      <c r="B60" s="27" t="s">
        <v>123</v>
      </c>
      <c r="C60" s="27" t="s">
        <v>115</v>
      </c>
      <c r="D60" s="14"/>
      <c r="E60" s="14"/>
      <c r="F60" s="14"/>
      <c r="G60" s="14"/>
      <c r="H60" s="110"/>
      <c r="I60" s="110">
        <f>VLOOKUP(A60,[3]מגדל!$A:$I,3,0)</f>
        <v>0</v>
      </c>
      <c r="J60" s="110"/>
      <c r="K60" s="110"/>
    </row>
    <row r="61" spans="1:13" ht="16.5" thickBot="1" x14ac:dyDescent="0.3">
      <c r="A61" s="138" t="s">
        <v>107</v>
      </c>
      <c r="B61" s="27" t="s">
        <v>123</v>
      </c>
      <c r="C61" s="27" t="s">
        <v>115</v>
      </c>
      <c r="D61" s="14">
        <v>62109.54</v>
      </c>
      <c r="E61" s="14">
        <v>1768.32</v>
      </c>
      <c r="F61" s="14"/>
      <c r="G61" s="14"/>
      <c r="H61" s="110"/>
      <c r="I61" s="110"/>
      <c r="J61" s="110"/>
      <c r="K61" s="110"/>
    </row>
    <row r="62" spans="1:13" ht="21.75" thickBot="1" x14ac:dyDescent="0.4">
      <c r="A62" s="144" t="s">
        <v>125</v>
      </c>
      <c r="B62" s="142"/>
      <c r="C62" s="142"/>
      <c r="D62" s="220">
        <f>SUM(D55:D61)</f>
        <v>275984.48</v>
      </c>
      <c r="E62" s="220">
        <f t="shared" ref="E62:J62" si="3">SUM(E55:E61)</f>
        <v>10506.96</v>
      </c>
      <c r="F62" s="220">
        <f t="shared" si="3"/>
        <v>2386182.3600000003</v>
      </c>
      <c r="G62" s="220">
        <f t="shared" si="3"/>
        <v>1524051.36</v>
      </c>
      <c r="H62" s="220">
        <f t="shared" si="3"/>
        <v>-7502.23</v>
      </c>
      <c r="I62" s="220">
        <f t="shared" si="3"/>
        <v>5205.8600000000006</v>
      </c>
      <c r="J62" s="220">
        <f t="shared" si="3"/>
        <v>-3016.91</v>
      </c>
      <c r="K62" s="220">
        <f>SUM(K55:K61)</f>
        <v>0</v>
      </c>
    </row>
    <row r="63" spans="1:13" ht="15.75" x14ac:dyDescent="0.25">
      <c r="A63" s="28" t="s">
        <v>84</v>
      </c>
      <c r="B63" s="27" t="s">
        <v>116</v>
      </c>
      <c r="C63" s="28" t="s">
        <v>110</v>
      </c>
      <c r="D63" s="18">
        <v>1151.3800000000001</v>
      </c>
      <c r="E63" s="18">
        <v>1605.35</v>
      </c>
      <c r="F63" s="18">
        <f>322072.63+117261.25</f>
        <v>439333.88</v>
      </c>
      <c r="G63" s="18">
        <v>754129.07</v>
      </c>
      <c r="H63" s="110">
        <v>-1668.43</v>
      </c>
      <c r="I63" s="110">
        <f>VLOOKUP(A63,[3]מגדל!$A:$I,3,0)</f>
        <v>878.33</v>
      </c>
      <c r="J63" s="110"/>
      <c r="K63" s="110"/>
    </row>
    <row r="64" spans="1:13" ht="15.75" x14ac:dyDescent="0.25">
      <c r="A64" s="31" t="s">
        <v>40</v>
      </c>
      <c r="B64" s="27" t="s">
        <v>56</v>
      </c>
      <c r="C64" s="27" t="s">
        <v>111</v>
      </c>
      <c r="D64" s="14">
        <v>332315.52000000002</v>
      </c>
      <c r="E64" s="14">
        <v>17270.919999999998</v>
      </c>
      <c r="F64" s="14">
        <v>730035.8</v>
      </c>
      <c r="G64" s="14">
        <v>1549618.49</v>
      </c>
      <c r="H64" s="110">
        <v>1454.49</v>
      </c>
      <c r="I64" s="110">
        <f>VLOOKUP(A64,[3]מגדל!$A:$I,3,0)</f>
        <v>5694.29</v>
      </c>
      <c r="J64" s="110">
        <v>-18628.14</v>
      </c>
      <c r="K64" s="110"/>
    </row>
    <row r="65" spans="1:12" ht="15.75" x14ac:dyDescent="0.25">
      <c r="A65" s="27" t="s">
        <v>98</v>
      </c>
      <c r="B65" s="27" t="s">
        <v>116</v>
      </c>
      <c r="C65" s="27" t="s">
        <v>111</v>
      </c>
      <c r="D65" s="14"/>
      <c r="E65" s="14"/>
      <c r="F65" s="14"/>
      <c r="G65" s="14"/>
      <c r="H65" s="110">
        <v>61268.01</v>
      </c>
      <c r="I65" s="110">
        <f>VLOOKUP(A65,[3]מגדל!$A:$I,3,0)</f>
        <v>0</v>
      </c>
      <c r="J65" s="110"/>
      <c r="K65" s="110"/>
    </row>
    <row r="66" spans="1:12" ht="15.75" x14ac:dyDescent="0.25">
      <c r="A66" s="27" t="s">
        <v>100</v>
      </c>
      <c r="B66" s="27" t="s">
        <v>56</v>
      </c>
      <c r="C66" s="27" t="s">
        <v>111</v>
      </c>
      <c r="D66" s="14">
        <v>90580.75</v>
      </c>
      <c r="E66" s="14"/>
      <c r="F66" s="14"/>
      <c r="G66" s="14">
        <v>809852.38</v>
      </c>
      <c r="H66" s="110"/>
      <c r="I66" s="110">
        <f>VLOOKUP(A66,[3]מגדל!$A:$I,3,0)</f>
        <v>0</v>
      </c>
      <c r="J66" s="110"/>
      <c r="K66" s="110"/>
    </row>
    <row r="67" spans="1:12" ht="15.75" x14ac:dyDescent="0.25">
      <c r="A67" s="27" t="s">
        <v>101</v>
      </c>
      <c r="B67" s="27" t="s">
        <v>56</v>
      </c>
      <c r="C67" s="27" t="s">
        <v>111</v>
      </c>
      <c r="D67" s="14"/>
      <c r="E67" s="14"/>
      <c r="F67" s="14"/>
      <c r="G67" s="14"/>
      <c r="H67" s="110"/>
      <c r="I67" s="110">
        <f>VLOOKUP(A67,[3]מגדל!$A:$I,3,0)</f>
        <v>6118.12</v>
      </c>
      <c r="J67" s="110"/>
      <c r="K67" s="110"/>
    </row>
    <row r="68" spans="1:12" ht="15.75" x14ac:dyDescent="0.25">
      <c r="A68" s="27" t="s">
        <v>108</v>
      </c>
      <c r="B68" s="27" t="s">
        <v>56</v>
      </c>
      <c r="C68" s="27" t="s">
        <v>111</v>
      </c>
      <c r="D68" s="14">
        <v>54689.760000000002</v>
      </c>
      <c r="E68" s="14">
        <v>4022.96</v>
      </c>
      <c r="F68" s="14">
        <v>1172839.6599999999</v>
      </c>
      <c r="G68" s="14">
        <v>501824.07</v>
      </c>
      <c r="H68" s="110">
        <v>-22.59</v>
      </c>
      <c r="I68" s="110"/>
      <c r="J68" s="110">
        <v>-179.66</v>
      </c>
      <c r="K68" s="110"/>
      <c r="L68" s="159"/>
    </row>
    <row r="69" spans="1:12" ht="15.75" x14ac:dyDescent="0.25">
      <c r="A69" s="139" t="s">
        <v>109</v>
      </c>
      <c r="B69" s="27" t="s">
        <v>56</v>
      </c>
      <c r="C69" s="27" t="s">
        <v>111</v>
      </c>
      <c r="D69" s="14">
        <v>425697.16</v>
      </c>
      <c r="E69" s="14">
        <v>14998.44</v>
      </c>
      <c r="F69" s="14">
        <v>3949316.21</v>
      </c>
      <c r="G69" s="14">
        <v>2271004.7799999998</v>
      </c>
      <c r="H69" s="110">
        <v>-2069.83</v>
      </c>
      <c r="I69" s="110"/>
      <c r="J69" s="110"/>
      <c r="K69" s="110"/>
    </row>
    <row r="70" spans="1:12" ht="15.75" x14ac:dyDescent="0.25">
      <c r="A70" s="27" t="s">
        <v>89</v>
      </c>
      <c r="B70" s="27" t="s">
        <v>56</v>
      </c>
      <c r="C70" s="27" t="s">
        <v>111</v>
      </c>
      <c r="D70" s="14">
        <v>48519.14</v>
      </c>
      <c r="E70" s="14">
        <v>5777.26</v>
      </c>
      <c r="F70" s="15"/>
      <c r="G70" s="15"/>
      <c r="H70" s="110">
        <v>14289.02</v>
      </c>
      <c r="I70" s="110">
        <f>VLOOKUP(A70,[3]מגדל!$A:$I,3,0)</f>
        <v>0</v>
      </c>
      <c r="J70" s="110"/>
      <c r="K70" s="110"/>
    </row>
    <row r="71" spans="1:12" ht="21.75" thickBot="1" x14ac:dyDescent="0.3">
      <c r="A71" s="231" t="s">
        <v>44</v>
      </c>
      <c r="B71" s="232"/>
      <c r="C71" s="232"/>
      <c r="D71" s="233">
        <f>SUM(D63:D70)</f>
        <v>952953.71000000008</v>
      </c>
      <c r="E71" s="233">
        <f t="shared" ref="E71:K71" si="4">SUM(E63:E70)</f>
        <v>43674.93</v>
      </c>
      <c r="F71" s="233">
        <f t="shared" si="4"/>
        <v>6291525.5499999998</v>
      </c>
      <c r="G71" s="233">
        <f t="shared" si="4"/>
        <v>5886428.7899999991</v>
      </c>
      <c r="H71" s="233">
        <f t="shared" si="4"/>
        <v>73250.67</v>
      </c>
      <c r="I71" s="233">
        <f t="shared" si="4"/>
        <v>12690.74</v>
      </c>
      <c r="J71" s="233">
        <f t="shared" si="4"/>
        <v>-18807.8</v>
      </c>
      <c r="K71" s="233">
        <f t="shared" si="4"/>
        <v>0</v>
      </c>
    </row>
    <row r="72" spans="1:12" ht="21.75" thickBot="1" x14ac:dyDescent="0.3">
      <c r="A72" s="143" t="s">
        <v>45</v>
      </c>
      <c r="B72" s="142"/>
      <c r="C72" s="142"/>
      <c r="D72" s="152">
        <f>D71+D62+D54+D21+D8</f>
        <v>3593862.48</v>
      </c>
      <c r="E72" s="152">
        <f t="shared" ref="E72:K72" si="5">E71+E62+E54+E21+E8</f>
        <v>190669.33000000002</v>
      </c>
      <c r="F72" s="152">
        <f t="shared" si="5"/>
        <v>12313198.18</v>
      </c>
      <c r="G72" s="152">
        <f t="shared" si="5"/>
        <v>22591691.619999997</v>
      </c>
      <c r="H72" s="152">
        <f t="shared" si="5"/>
        <v>-89536.599999999991</v>
      </c>
      <c r="I72" s="152">
        <f t="shared" si="5"/>
        <v>215863.16999999998</v>
      </c>
      <c r="J72" s="152">
        <f t="shared" si="5"/>
        <v>-51054.74</v>
      </c>
      <c r="K72" s="152">
        <f t="shared" si="5"/>
        <v>-695042.9</v>
      </c>
    </row>
  </sheetData>
  <autoFilter ref="A2:M72" xr:uid="{548B8A06-4D4B-4B30-A1A2-FA16B619E891}"/>
  <mergeCells count="2">
    <mergeCell ref="D1:G1"/>
    <mergeCell ref="H1:K1"/>
  </mergeCells>
  <conditionalFormatting sqref="A1">
    <cfRule type="duplicateValues" dxfId="217" priority="21"/>
    <cfRule type="duplicateValues" dxfId="216" priority="22"/>
  </conditionalFormatting>
  <conditionalFormatting sqref="A14">
    <cfRule type="duplicateValues" dxfId="215" priority="3"/>
    <cfRule type="duplicateValues" dxfId="214" priority="4"/>
  </conditionalFormatting>
  <conditionalFormatting sqref="A55">
    <cfRule type="duplicateValues" dxfId="213" priority="5"/>
    <cfRule type="duplicateValues" dxfId="212" priority="6"/>
  </conditionalFormatting>
  <conditionalFormatting sqref="A56:A58 A7 A22:A53 A60">
    <cfRule type="duplicateValues" dxfId="211" priority="11"/>
    <cfRule type="duplicateValues" dxfId="210" priority="12"/>
  </conditionalFormatting>
  <conditionalFormatting sqref="A59">
    <cfRule type="duplicateValues" dxfId="209" priority="1"/>
    <cfRule type="duplicateValues" dxfId="208" priority="2"/>
  </conditionalFormatting>
  <conditionalFormatting sqref="A63:A70">
    <cfRule type="duplicateValues" dxfId="207" priority="9"/>
    <cfRule type="duplicateValues" dxfId="206" priority="10"/>
  </conditionalFormatting>
  <conditionalFormatting sqref="A71:A72 A2:A6 A8:A13 A15:A21 A54 A62">
    <cfRule type="duplicateValues" dxfId="205" priority="7"/>
    <cfRule type="duplicateValues" dxfId="204" priority="8"/>
  </conditionalFormatting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9A6CA-D251-4DF4-BDA3-15E6C5643ED5}">
  <sheetPr>
    <tabColor theme="5" tint="-0.249977111117893"/>
  </sheetPr>
  <dimension ref="A1:M80"/>
  <sheetViews>
    <sheetView rightToLeft="1" zoomScaleNormal="100" workbookViewId="0">
      <pane ySplit="3" topLeftCell="A4" activePane="bottomLeft" state="frozen"/>
      <selection pane="bottomLeft" activeCell="F27" sqref="F27"/>
    </sheetView>
  </sheetViews>
  <sheetFormatPr defaultColWidth="30.140625" defaultRowHeight="15" x14ac:dyDescent="0.25"/>
  <cols>
    <col min="1" max="1" width="30" style="33" bestFit="1" customWidth="1"/>
    <col min="2" max="2" width="11.42578125" style="33" bestFit="1" customWidth="1"/>
    <col min="3" max="3" width="11.7109375" style="33" bestFit="1" customWidth="1"/>
    <col min="4" max="4" width="16.85546875" bestFit="1" customWidth="1"/>
    <col min="5" max="5" width="15.28515625" bestFit="1" customWidth="1"/>
    <col min="6" max="6" width="16.85546875" bestFit="1" customWidth="1"/>
    <col min="7" max="7" width="19.140625" bestFit="1" customWidth="1"/>
    <col min="8" max="8" width="17" style="3" bestFit="1" customWidth="1"/>
    <col min="9" max="9" width="15.42578125" style="3" bestFit="1" customWidth="1"/>
    <col min="10" max="10" width="17" style="3" bestFit="1" customWidth="1"/>
    <col min="11" max="11" width="19.42578125" bestFit="1" customWidth="1"/>
  </cols>
  <sheetData>
    <row r="1" spans="1:11" ht="21" x14ac:dyDescent="0.25">
      <c r="A1" s="27"/>
      <c r="B1" s="27"/>
      <c r="C1" s="27"/>
      <c r="D1" s="278">
        <v>2025</v>
      </c>
      <c r="E1" s="278"/>
      <c r="F1" s="278"/>
      <c r="G1" s="278"/>
      <c r="H1" s="279">
        <v>2024</v>
      </c>
      <c r="I1" s="279"/>
      <c r="J1" s="279"/>
      <c r="K1" s="279"/>
    </row>
    <row r="2" spans="1:11" ht="21" x14ac:dyDescent="0.25">
      <c r="A2" s="11" t="s">
        <v>0</v>
      </c>
      <c r="B2" s="24" t="s">
        <v>53</v>
      </c>
      <c r="C2" s="24" t="s">
        <v>117</v>
      </c>
      <c r="D2" s="13" t="s">
        <v>46</v>
      </c>
      <c r="E2" s="13" t="s">
        <v>47</v>
      </c>
      <c r="F2" s="13" t="s">
        <v>48</v>
      </c>
      <c r="G2" s="13" t="s">
        <v>49</v>
      </c>
      <c r="H2" s="109" t="s">
        <v>46</v>
      </c>
      <c r="I2" s="109" t="s">
        <v>47</v>
      </c>
      <c r="J2" s="109" t="s">
        <v>48</v>
      </c>
      <c r="K2" s="109" t="s">
        <v>97</v>
      </c>
    </row>
    <row r="3" spans="1:11" ht="15.75" x14ac:dyDescent="0.25">
      <c r="A3" s="27" t="s">
        <v>1</v>
      </c>
      <c r="B3" s="27" t="s">
        <v>116</v>
      </c>
      <c r="C3" s="27" t="s">
        <v>58</v>
      </c>
      <c r="D3" s="14">
        <v>163963.65803306978</v>
      </c>
      <c r="E3" s="14">
        <v>7876.5684323388123</v>
      </c>
      <c r="F3" s="14">
        <v>4.0115217085850779E-2</v>
      </c>
      <c r="G3" s="14"/>
      <c r="H3" s="110">
        <f>VLOOKUP(A3,[3]מנורה!$A:$E,2,0)</f>
        <v>221519.86261958827</v>
      </c>
      <c r="I3" s="110">
        <f>VLOOKUP(A3,[3]מנורה!$A:$E,3,0)</f>
        <v>-546.82934858745284</v>
      </c>
      <c r="J3" s="110">
        <f>VLOOKUP(A3,[3]מנורה!$A:$E,4,0)</f>
        <v>43171.035303008299</v>
      </c>
      <c r="K3" s="110">
        <f>VLOOKUP(A3,[3]מנורה!$A:$E,5,0)</f>
        <v>523474.11999999988</v>
      </c>
    </row>
    <row r="4" spans="1:11" ht="15.75" x14ac:dyDescent="0.25">
      <c r="A4" s="27" t="s">
        <v>2</v>
      </c>
      <c r="B4" s="27" t="s">
        <v>116</v>
      </c>
      <c r="C4" s="27" t="s">
        <v>58</v>
      </c>
      <c r="D4" s="14"/>
      <c r="E4" s="14"/>
      <c r="F4" s="14"/>
      <c r="G4" s="14"/>
      <c r="H4" s="110">
        <f>VLOOKUP(A4,[3]מנורה!$A:$E,2,0)</f>
        <v>6685.6731398647171</v>
      </c>
      <c r="I4" s="110">
        <f>VLOOKUP(A4,[3]מנורה!$A:$E,3,0)</f>
        <v>0</v>
      </c>
      <c r="J4" s="110">
        <f>VLOOKUP(A4,[3]מנורה!$A:$E,4,0)</f>
        <v>0</v>
      </c>
      <c r="K4" s="110">
        <f>VLOOKUP(A4,[3]מנורה!$A:$E,5,0)</f>
        <v>566732.81000000006</v>
      </c>
    </row>
    <row r="5" spans="1:11" ht="15.75" x14ac:dyDescent="0.25">
      <c r="A5" s="27" t="s">
        <v>112</v>
      </c>
      <c r="B5" s="27" t="s">
        <v>116</v>
      </c>
      <c r="C5" s="27" t="s">
        <v>58</v>
      </c>
      <c r="D5" s="14"/>
      <c r="E5" s="14"/>
      <c r="F5" s="14"/>
      <c r="G5" s="14"/>
      <c r="H5" s="110"/>
      <c r="I5" s="110"/>
      <c r="J5" s="110"/>
      <c r="K5" s="110"/>
    </row>
    <row r="6" spans="1:11" ht="15.75" x14ac:dyDescent="0.25">
      <c r="A6" s="29" t="s">
        <v>113</v>
      </c>
      <c r="B6" s="27" t="s">
        <v>116</v>
      </c>
      <c r="C6" s="29" t="s">
        <v>58</v>
      </c>
      <c r="D6" s="15"/>
      <c r="E6" s="15"/>
      <c r="F6" s="15"/>
      <c r="G6" s="15"/>
      <c r="H6" s="110"/>
      <c r="I6" s="110"/>
      <c r="J6" s="110"/>
      <c r="K6" s="110"/>
    </row>
    <row r="7" spans="1:11" ht="16.5" thickBot="1" x14ac:dyDescent="0.3">
      <c r="A7" s="27" t="s">
        <v>34</v>
      </c>
      <c r="B7" s="27" t="s">
        <v>116</v>
      </c>
      <c r="C7" s="27" t="s">
        <v>58</v>
      </c>
      <c r="D7" s="14"/>
      <c r="E7" s="14"/>
      <c r="F7" s="14"/>
      <c r="G7" s="14"/>
      <c r="H7" s="110">
        <f>VLOOKUP(A7,[3]מנורה!$A:$E,2,0)</f>
        <v>0</v>
      </c>
      <c r="I7" s="110">
        <f>VLOOKUP(A7,[3]מנורה!$A:$E,3,0)</f>
        <v>0</v>
      </c>
      <c r="J7" s="110">
        <f>VLOOKUP(A7,[3]מנורה!$A:$E,4,0)</f>
        <v>0</v>
      </c>
      <c r="K7" s="110">
        <f>VLOOKUP(A7,[3]מנורה!$A:$E,5,0)</f>
        <v>0</v>
      </c>
    </row>
    <row r="8" spans="1:11" ht="21.75" thickBot="1" x14ac:dyDescent="0.3">
      <c r="A8" s="143" t="s">
        <v>3</v>
      </c>
      <c r="B8" s="142"/>
      <c r="C8" s="142"/>
      <c r="D8" s="145">
        <f>SUM(D3:D6)</f>
        <v>163963.65803306978</v>
      </c>
      <c r="E8" s="145">
        <f t="shared" ref="E8:K8" si="0">SUM(E3:E6)</f>
        <v>7876.5684323388123</v>
      </c>
      <c r="F8" s="145">
        <f t="shared" si="0"/>
        <v>4.0115217085850779E-2</v>
      </c>
      <c r="G8" s="145">
        <f t="shared" si="0"/>
        <v>0</v>
      </c>
      <c r="H8" s="145">
        <f t="shared" si="0"/>
        <v>228205.53575945299</v>
      </c>
      <c r="I8" s="145">
        <f t="shared" si="0"/>
        <v>-546.82934858745284</v>
      </c>
      <c r="J8" s="145">
        <f t="shared" si="0"/>
        <v>43171.035303008299</v>
      </c>
      <c r="K8" s="145">
        <f t="shared" si="0"/>
        <v>1090206.93</v>
      </c>
    </row>
    <row r="9" spans="1:11" ht="15.75" x14ac:dyDescent="0.25">
      <c r="A9" s="28" t="s">
        <v>4</v>
      </c>
      <c r="B9" s="27" t="s">
        <v>116</v>
      </c>
      <c r="C9" s="28" t="s">
        <v>114</v>
      </c>
      <c r="D9" s="154">
        <v>19919.342039450508</v>
      </c>
      <c r="E9" s="18">
        <v>0</v>
      </c>
      <c r="F9" s="18">
        <v>0</v>
      </c>
      <c r="G9" s="18"/>
      <c r="H9" s="110">
        <f>VLOOKUP(A9,[3]מנורה!$A:$E,2,0)</f>
        <v>2415.028462434479</v>
      </c>
      <c r="I9" s="110">
        <f>VLOOKUP(A9,[3]מנורה!$A:$E,3,0)</f>
        <v>0</v>
      </c>
      <c r="J9" s="110">
        <f>VLOOKUP(A9,[3]מנורה!$A:$E,4,0)</f>
        <v>0</v>
      </c>
      <c r="K9" s="110">
        <f>VLOOKUP(A9,[3]מנורה!$A:$E,5,0)</f>
        <v>0</v>
      </c>
    </row>
    <row r="10" spans="1:11" ht="15.75" x14ac:dyDescent="0.25">
      <c r="A10" s="27" t="s">
        <v>5</v>
      </c>
      <c r="B10" s="27" t="s">
        <v>116</v>
      </c>
      <c r="C10" s="27" t="s">
        <v>114</v>
      </c>
      <c r="D10" s="14">
        <v>-6498.1834236668801</v>
      </c>
      <c r="E10" s="14">
        <v>31212.569810230681</v>
      </c>
      <c r="F10" s="14">
        <v>0</v>
      </c>
      <c r="G10" s="14"/>
      <c r="H10" s="110">
        <f>VLOOKUP(A10,[3]מנורה!$A:$E,2,0)</f>
        <v>-14730.4846490663</v>
      </c>
      <c r="I10" s="110">
        <f>VLOOKUP(A10,[3]מנורה!$A:$E,3,0)</f>
        <v>6725.1303066414775</v>
      </c>
      <c r="J10" s="110">
        <f>VLOOKUP(A10,[3]מנורה!$A:$E,4,0)</f>
        <v>4895.04</v>
      </c>
      <c r="K10" s="110">
        <f>VLOOKUP(A10,[3]מנורה!$A:$E,5,0)</f>
        <v>8305.619999999999</v>
      </c>
    </row>
    <row r="11" spans="1:11" ht="15.75" x14ac:dyDescent="0.25">
      <c r="A11" s="27" t="s">
        <v>6</v>
      </c>
      <c r="B11" s="27" t="s">
        <v>116</v>
      </c>
      <c r="C11" s="27" t="s">
        <v>114</v>
      </c>
      <c r="D11" s="14">
        <v>63120.762765292093</v>
      </c>
      <c r="E11" s="14">
        <v>1692.980928789405</v>
      </c>
      <c r="F11" s="14">
        <v>57615.842865934603</v>
      </c>
      <c r="G11" s="14"/>
      <c r="H11" s="110">
        <f>VLOOKUP(A11,[3]מנורה!$A:$E,2,0)</f>
        <v>-10335.43759839992</v>
      </c>
      <c r="I11" s="110">
        <f>VLOOKUP(A11,[3]מנורה!$A:$E,3,0)</f>
        <v>-3492.9180031201249</v>
      </c>
      <c r="J11" s="110">
        <f>VLOOKUP(A11,[3]מנורה!$A:$E,4,0)</f>
        <v>0</v>
      </c>
      <c r="K11" s="110">
        <f>VLOOKUP(A11,[3]מנורה!$A:$E,5,0)</f>
        <v>-914536.28</v>
      </c>
    </row>
    <row r="12" spans="1:11" ht="15.75" x14ac:dyDescent="0.25">
      <c r="A12" s="27" t="s">
        <v>7</v>
      </c>
      <c r="B12" s="27" t="s">
        <v>116</v>
      </c>
      <c r="C12" s="27" t="s">
        <v>114</v>
      </c>
      <c r="D12" s="14"/>
      <c r="E12" s="14"/>
      <c r="F12" s="14"/>
      <c r="G12" s="14"/>
      <c r="H12" s="110">
        <f>VLOOKUP(A12,[3]מנורה!$A:$E,2,0)</f>
        <v>0</v>
      </c>
      <c r="I12" s="110">
        <f>VLOOKUP(A12,[3]מנורה!$A:$E,3,0)</f>
        <v>0</v>
      </c>
      <c r="J12" s="110">
        <f>VLOOKUP(A12,[3]מנורה!$A:$E,4,0)</f>
        <v>0</v>
      </c>
      <c r="K12" s="110">
        <f>VLOOKUP(A12,[3]מנורה!$A:$E,5,0)</f>
        <v>0</v>
      </c>
    </row>
    <row r="13" spans="1:11" ht="15.75" x14ac:dyDescent="0.25">
      <c r="A13" s="27" t="s">
        <v>8</v>
      </c>
      <c r="B13" s="27" t="s">
        <v>116</v>
      </c>
      <c r="C13" s="27" t="s">
        <v>114</v>
      </c>
      <c r="D13" s="14">
        <v>0</v>
      </c>
      <c r="E13" s="14">
        <v>-925.40711173024715</v>
      </c>
      <c r="F13" s="14">
        <v>0</v>
      </c>
      <c r="G13" s="14"/>
      <c r="H13" s="110">
        <f>VLOOKUP(A13,[3]מנורה!$A:$E,2,0)</f>
        <v>0</v>
      </c>
      <c r="I13" s="110">
        <f>VLOOKUP(A13,[3]מנורה!$A:$E,3,0)</f>
        <v>-6914.2207680558586</v>
      </c>
      <c r="J13" s="110">
        <f>VLOOKUP(A13,[3]מנורה!$A:$E,4,0)</f>
        <v>0</v>
      </c>
      <c r="K13" s="110">
        <f>VLOOKUP(A13,[3]מנורה!$A:$E,5,0)</f>
        <v>266743.92</v>
      </c>
    </row>
    <row r="14" spans="1:11" ht="15.75" x14ac:dyDescent="0.25">
      <c r="A14" s="27" t="s">
        <v>9</v>
      </c>
      <c r="B14" s="27" t="s">
        <v>116</v>
      </c>
      <c r="C14" s="27" t="s">
        <v>114</v>
      </c>
      <c r="D14" s="14">
        <v>16831.32617118704</v>
      </c>
      <c r="E14" s="14">
        <v>0</v>
      </c>
      <c r="F14" s="14">
        <v>0</v>
      </c>
      <c r="G14" s="14"/>
      <c r="H14" s="110">
        <f>VLOOKUP(A14,[3]מנורה!$A:$E,2,0)</f>
        <v>952.10254002213799</v>
      </c>
      <c r="I14" s="110">
        <f>VLOOKUP(A14,[3]מנורה!$A:$E,3,0)</f>
        <v>0</v>
      </c>
      <c r="J14" s="110">
        <f>VLOOKUP(A14,[3]מנורה!$A:$E,4,0)</f>
        <v>0</v>
      </c>
      <c r="K14" s="110">
        <f>VLOOKUP(A14,[3]מנורה!$A:$E,5,0)</f>
        <v>-16765.080000000002</v>
      </c>
    </row>
    <row r="15" spans="1:11" ht="15.75" x14ac:dyDescent="0.25">
      <c r="A15" s="27" t="s">
        <v>31</v>
      </c>
      <c r="B15" s="27" t="s">
        <v>116</v>
      </c>
      <c r="C15" s="27" t="s">
        <v>114</v>
      </c>
      <c r="D15" s="14"/>
      <c r="E15" s="14"/>
      <c r="F15" s="14"/>
      <c r="G15" s="14"/>
      <c r="H15" s="110">
        <f>VLOOKUP(A15,[3]מנורה!$A:$E,2,0)</f>
        <v>0</v>
      </c>
      <c r="I15" s="110">
        <f>VLOOKUP(A15,[3]מנורה!$A:$E,3,0)</f>
        <v>0</v>
      </c>
      <c r="J15" s="110">
        <f>VLOOKUP(A15,[3]מנורה!$A:$E,4,0)</f>
        <v>0</v>
      </c>
      <c r="K15" s="110">
        <f>VLOOKUP(A15,[3]מנורה!$A:$E,5,0)</f>
        <v>0</v>
      </c>
    </row>
    <row r="16" spans="1:11" ht="15.75" x14ac:dyDescent="0.25">
      <c r="A16" s="27" t="s">
        <v>104</v>
      </c>
      <c r="B16" s="27" t="s">
        <v>116</v>
      </c>
      <c r="C16" s="27" t="s">
        <v>114</v>
      </c>
      <c r="D16" s="14"/>
      <c r="E16" s="14"/>
      <c r="F16" s="14"/>
      <c r="G16" s="14"/>
      <c r="H16" s="110"/>
      <c r="I16" s="110"/>
      <c r="J16" s="110"/>
      <c r="K16" s="110"/>
    </row>
    <row r="17" spans="1:11" ht="15.75" x14ac:dyDescent="0.25">
      <c r="A17" s="27" t="s">
        <v>42</v>
      </c>
      <c r="B17" s="27" t="s">
        <v>116</v>
      </c>
      <c r="C17" s="27" t="s">
        <v>114</v>
      </c>
      <c r="D17" s="14">
        <v>16348.861604467889</v>
      </c>
      <c r="E17" s="14">
        <v>26590.252870966691</v>
      </c>
      <c r="F17">
        <v>0</v>
      </c>
      <c r="G17" s="14"/>
      <c r="H17" s="110">
        <f>VLOOKUP(A17,[3]מנורה!$A:$E,2,0)</f>
        <v>21685.656740126549</v>
      </c>
      <c r="I17" s="110">
        <f>VLOOKUP(A17,[3]מנורה!$A:$E,3,0)</f>
        <v>-744.06734299354696</v>
      </c>
      <c r="J17" s="110">
        <f>VLOOKUP(A17,[3]מנורה!$A:$E,4,0)</f>
        <v>0</v>
      </c>
      <c r="K17" s="110">
        <f>VLOOKUP(A17,[3]מנורה!$A:$E,5,0)</f>
        <v>403000.35999999993</v>
      </c>
    </row>
    <row r="18" spans="1:11" ht="15.75" x14ac:dyDescent="0.25">
      <c r="A18" s="27" t="s">
        <v>43</v>
      </c>
      <c r="B18" s="27" t="s">
        <v>116</v>
      </c>
      <c r="C18" s="27" t="s">
        <v>114</v>
      </c>
      <c r="D18" s="14">
        <v>60543.517667574117</v>
      </c>
      <c r="E18" s="14">
        <v>4424.3931316027802</v>
      </c>
      <c r="F18" s="14">
        <v>1002.88042714627</v>
      </c>
      <c r="G18" s="14"/>
      <c r="H18" s="110">
        <f>VLOOKUP(A18,[3]מנורה!$A:$E,2,0)</f>
        <v>103620.00622772195</v>
      </c>
      <c r="I18" s="110">
        <f>VLOOKUP(A18,[3]מנורה!$A:$E,3,0)</f>
        <v>-2090.2942040220305</v>
      </c>
      <c r="J18" s="110">
        <f>VLOOKUP(A18,[3]מנורה!$A:$E,4,0)</f>
        <v>63129.672774888728</v>
      </c>
      <c r="K18" s="110">
        <f>VLOOKUP(A18,[3]מנורה!$A:$E,5,0)</f>
        <v>-156647.75</v>
      </c>
    </row>
    <row r="19" spans="1:11" ht="15.75" x14ac:dyDescent="0.25">
      <c r="A19" s="27" t="s">
        <v>30</v>
      </c>
      <c r="B19" s="27" t="s">
        <v>116</v>
      </c>
      <c r="C19" s="27" t="s">
        <v>114</v>
      </c>
      <c r="D19" s="14"/>
      <c r="E19" s="14"/>
      <c r="F19" s="14"/>
      <c r="G19" s="14"/>
      <c r="H19" s="110">
        <f>VLOOKUP(A19,[3]מנורה!$A:$E,2,0)</f>
        <v>0</v>
      </c>
      <c r="I19" s="110">
        <f>VLOOKUP(A19,[3]מנורה!$A:$E,3,0)</f>
        <v>0</v>
      </c>
      <c r="J19" s="110">
        <f>VLOOKUP(A19,[3]מנורה!$A:$E,4,0)</f>
        <v>0</v>
      </c>
      <c r="K19" s="110">
        <f>VLOOKUP(A19,[3]מנורה!$A:$E,5,0)</f>
        <v>0</v>
      </c>
    </row>
    <row r="20" spans="1:11" ht="16.5" thickBot="1" x14ac:dyDescent="0.3">
      <c r="A20" s="29" t="s">
        <v>38</v>
      </c>
      <c r="B20" s="27" t="s">
        <v>116</v>
      </c>
      <c r="C20" s="29" t="s">
        <v>114</v>
      </c>
      <c r="D20" s="15"/>
      <c r="E20" s="15"/>
      <c r="F20" s="15"/>
      <c r="G20" s="15"/>
      <c r="H20" s="110">
        <f>VLOOKUP(A20,[3]מנורה!$A:$E,2,0)</f>
        <v>0</v>
      </c>
      <c r="I20" s="110">
        <f>VLOOKUP(A20,[3]מנורה!$A:$E,3,0)</f>
        <v>0</v>
      </c>
      <c r="J20" s="110">
        <f>VLOOKUP(A20,[3]מנורה!$A:$E,4,0)</f>
        <v>0</v>
      </c>
      <c r="K20" s="110">
        <f>VLOOKUP(A20,[3]מנורה!$A:$E,5,0)</f>
        <v>0</v>
      </c>
    </row>
    <row r="21" spans="1:11" ht="21.75" thickBot="1" x14ac:dyDescent="0.3">
      <c r="A21" s="143" t="s">
        <v>10</v>
      </c>
      <c r="B21" s="142"/>
      <c r="C21" s="142"/>
      <c r="D21" s="145">
        <f>SUM(D9:D20)</f>
        <v>170265.62682430478</v>
      </c>
      <c r="E21" s="145">
        <f t="shared" ref="E21:K21" si="1">SUM(E9:E20)</f>
        <v>62994.789629859311</v>
      </c>
      <c r="F21" s="145">
        <f t="shared" si="1"/>
        <v>58618.723293080875</v>
      </c>
      <c r="G21" s="145">
        <f t="shared" si="1"/>
        <v>0</v>
      </c>
      <c r="H21" s="145">
        <f t="shared" si="1"/>
        <v>103606.8717228389</v>
      </c>
      <c r="I21" s="145">
        <f t="shared" si="1"/>
        <v>-6516.3700115500833</v>
      </c>
      <c r="J21" s="145">
        <f t="shared" si="1"/>
        <v>68024.712774888729</v>
      </c>
      <c r="K21" s="145">
        <f t="shared" si="1"/>
        <v>-409899.21</v>
      </c>
    </row>
    <row r="22" spans="1:11" ht="15.75" x14ac:dyDescent="0.25">
      <c r="A22" s="28" t="s">
        <v>11</v>
      </c>
      <c r="B22" s="28" t="s">
        <v>56</v>
      </c>
      <c r="C22" s="28" t="s">
        <v>115</v>
      </c>
      <c r="D22" s="18"/>
      <c r="E22" s="18"/>
      <c r="F22" s="18"/>
      <c r="G22" s="18"/>
      <c r="H22" s="110">
        <f>VLOOKUP(A22,[3]מנורה!$A:$E,2,0)</f>
        <v>0</v>
      </c>
      <c r="I22" s="110">
        <f>VLOOKUP(A22,[3]מנורה!$A:$E,3,0)</f>
        <v>212.03674695256279</v>
      </c>
      <c r="J22" s="110">
        <f>VLOOKUP(A22,[3]מנורה!$A:$E,4,0)</f>
        <v>0</v>
      </c>
      <c r="K22" s="110">
        <f>VLOOKUP(A22,[3]מנורה!$A:$E,5,0)</f>
        <v>0</v>
      </c>
    </row>
    <row r="23" spans="1:11" ht="15.75" x14ac:dyDescent="0.25">
      <c r="A23" s="31" t="s">
        <v>12</v>
      </c>
      <c r="B23" s="27" t="s">
        <v>56</v>
      </c>
      <c r="C23" s="27" t="s">
        <v>115</v>
      </c>
      <c r="D23" s="14">
        <v>0</v>
      </c>
      <c r="E23" s="14">
        <v>3024.2761872980191</v>
      </c>
      <c r="F23" s="14">
        <v>0</v>
      </c>
      <c r="G23" s="14"/>
      <c r="H23" s="110">
        <f>VLOOKUP(A23,[3]מנורה!$A:$E,2,0)</f>
        <v>15313.54062453752</v>
      </c>
      <c r="I23" s="110">
        <f>VLOOKUP(A23,[3]מנורה!$A:$E,3,0)</f>
        <v>0</v>
      </c>
      <c r="J23" s="110">
        <f>VLOOKUP(A23,[3]מנורה!$A:$E,4,0)</f>
        <v>0</v>
      </c>
      <c r="K23" s="110">
        <f>VLOOKUP(A23,[3]מנורה!$A:$E,5,0)</f>
        <v>-125703.22</v>
      </c>
    </row>
    <row r="24" spans="1:11" ht="15.75" x14ac:dyDescent="0.25">
      <c r="A24" s="31" t="s">
        <v>13</v>
      </c>
      <c r="B24" s="27" t="s">
        <v>56</v>
      </c>
      <c r="C24" s="27" t="s">
        <v>115</v>
      </c>
      <c r="D24" s="14">
        <v>-5815.0658521631894</v>
      </c>
      <c r="E24" s="14">
        <v>0</v>
      </c>
      <c r="F24" s="14">
        <v>0</v>
      </c>
      <c r="G24" s="14"/>
      <c r="H24" s="110">
        <f>VLOOKUP(A24,[3]מנורה!$A:$E,2,0)</f>
        <v>0</v>
      </c>
      <c r="I24" s="110">
        <f>VLOOKUP(A24,[3]מנורה!$A:$E,3,0)</f>
        <v>4137.2871133333801</v>
      </c>
      <c r="J24" s="110">
        <f>VLOOKUP(A24,[3]מנורה!$A:$E,4,0)</f>
        <v>11877.248911193539</v>
      </c>
      <c r="K24" s="110">
        <f>VLOOKUP(A24,[3]מנורה!$A:$E,5,0)</f>
        <v>-2249.4099999999962</v>
      </c>
    </row>
    <row r="25" spans="1:11" ht="15.75" x14ac:dyDescent="0.25">
      <c r="A25" s="27" t="s">
        <v>14</v>
      </c>
      <c r="B25" s="27" t="s">
        <v>55</v>
      </c>
      <c r="C25" s="27" t="s">
        <v>115</v>
      </c>
      <c r="D25" s="14"/>
      <c r="E25" s="14"/>
      <c r="F25" s="14"/>
      <c r="G25" s="14"/>
      <c r="H25" s="110">
        <f>VLOOKUP(A25,[3]מנורה!$A:$E,2,0)</f>
        <v>0</v>
      </c>
      <c r="I25" s="110">
        <f>VLOOKUP(A25,[3]מנורה!$A:$E,3,0)</f>
        <v>0</v>
      </c>
      <c r="J25" s="110">
        <f>VLOOKUP(A25,[3]מנורה!$A:$E,4,0)</f>
        <v>0</v>
      </c>
      <c r="K25" s="110">
        <f>VLOOKUP(A25,[3]מנורה!$A:$E,5,0)</f>
        <v>0</v>
      </c>
    </row>
    <row r="26" spans="1:11" ht="15.75" x14ac:dyDescent="0.25">
      <c r="A26" s="31" t="s">
        <v>15</v>
      </c>
      <c r="B26" s="27" t="s">
        <v>56</v>
      </c>
      <c r="C26" s="27" t="s">
        <v>115</v>
      </c>
      <c r="D26" s="14"/>
      <c r="E26" s="14"/>
      <c r="F26" s="14"/>
      <c r="G26" s="14"/>
      <c r="H26" s="110">
        <f>VLOOKUP(A26,[3]מנורה!$A:$E,2,0)</f>
        <v>0</v>
      </c>
      <c r="I26" s="110">
        <f>VLOOKUP(A26,[3]מנורה!$A:$E,3,0)</f>
        <v>0</v>
      </c>
      <c r="J26" s="110">
        <f>VLOOKUP(A26,[3]מנורה!$A:$E,4,0)</f>
        <v>0</v>
      </c>
      <c r="K26" s="110">
        <f>VLOOKUP(A26,[3]מנורה!$A:$E,5,0)</f>
        <v>0</v>
      </c>
    </row>
    <row r="27" spans="1:11" ht="15.75" x14ac:dyDescent="0.25">
      <c r="A27" s="31" t="s">
        <v>17</v>
      </c>
      <c r="B27" s="27" t="s">
        <v>56</v>
      </c>
      <c r="C27" s="27" t="s">
        <v>115</v>
      </c>
      <c r="D27" s="14">
        <v>28883.798721371371</v>
      </c>
      <c r="E27" s="14">
        <v>23230.57339091523</v>
      </c>
      <c r="F27" s="14">
        <v>0</v>
      </c>
      <c r="G27" s="14"/>
      <c r="H27" s="110">
        <f>VLOOKUP(A27,[3]מנורה!$A:$E,2,0)</f>
        <v>0</v>
      </c>
      <c r="I27" s="110">
        <f>VLOOKUP(A27,[3]מנורה!$A:$E,3,0)</f>
        <v>13645.49102121997</v>
      </c>
      <c r="J27" s="110">
        <f>VLOOKUP(A27,[3]מנורה!$A:$E,4,0)</f>
        <v>0</v>
      </c>
      <c r="K27" s="110">
        <f>VLOOKUP(A27,[3]מנורה!$A:$E,5,0)</f>
        <v>0</v>
      </c>
    </row>
    <row r="28" spans="1:11" ht="15.75" x14ac:dyDescent="0.25">
      <c r="A28" s="31" t="s">
        <v>18</v>
      </c>
      <c r="B28" s="27" t="s">
        <v>56</v>
      </c>
      <c r="C28" s="27" t="s">
        <v>115</v>
      </c>
      <c r="D28" s="14"/>
      <c r="E28" s="14"/>
      <c r="F28" s="14"/>
      <c r="G28" s="14"/>
      <c r="H28" s="110">
        <f>VLOOKUP(A28,[3]מנורה!$A:$E,2,0)</f>
        <v>0</v>
      </c>
      <c r="I28" s="110">
        <f>VLOOKUP(A28,[3]מנורה!$A:$E,3,0)</f>
        <v>0</v>
      </c>
      <c r="J28" s="110">
        <f>VLOOKUP(A28,[3]מנורה!$A:$E,4,0)</f>
        <v>0</v>
      </c>
      <c r="K28" s="110">
        <f>VLOOKUP(A28,[3]מנורה!$A:$E,5,0)</f>
        <v>0</v>
      </c>
    </row>
    <row r="29" spans="1:11" ht="15.75" x14ac:dyDescent="0.25">
      <c r="A29" s="27" t="s">
        <v>19</v>
      </c>
      <c r="B29" s="27" t="s">
        <v>56</v>
      </c>
      <c r="C29" s="27" t="s">
        <v>115</v>
      </c>
      <c r="D29" s="14">
        <v>2567.2134326261071</v>
      </c>
      <c r="E29" s="14">
        <v>0</v>
      </c>
      <c r="F29" s="14">
        <v>0</v>
      </c>
      <c r="G29" s="14"/>
      <c r="H29" s="110">
        <f>VLOOKUP(A29,[3]מנורה!$A:$E,2,0)</f>
        <v>0</v>
      </c>
      <c r="I29" s="110">
        <f>VLOOKUP(A29,[3]מנורה!$A:$E,3,0)</f>
        <v>0</v>
      </c>
      <c r="J29" s="110">
        <f>VLOOKUP(A29,[3]מנורה!$A:$E,4,0)</f>
        <v>0</v>
      </c>
      <c r="K29" s="110">
        <f>VLOOKUP(A29,[3]מנורה!$A:$E,5,0)</f>
        <v>-384475.39</v>
      </c>
    </row>
    <row r="30" spans="1:11" ht="15.75" x14ac:dyDescent="0.25">
      <c r="A30" s="27" t="s">
        <v>20</v>
      </c>
      <c r="B30" s="27" t="s">
        <v>56</v>
      </c>
      <c r="C30" s="27" t="s">
        <v>115</v>
      </c>
      <c r="D30" s="14">
        <v>0</v>
      </c>
      <c r="E30" s="14">
        <v>3592.103885320073</v>
      </c>
      <c r="F30" s="14">
        <v>0</v>
      </c>
      <c r="G30" s="14"/>
      <c r="H30" s="110">
        <f>VLOOKUP(A30,[3]מנורה!$A:$E,2,0)</f>
        <v>12415.159379341459</v>
      </c>
      <c r="I30" s="110">
        <f>VLOOKUP(A30,[3]מנורה!$A:$E,3,0)</f>
        <v>0</v>
      </c>
      <c r="J30" s="110">
        <f>VLOOKUP(A30,[3]מנורה!$A:$E,4,0)</f>
        <v>0</v>
      </c>
      <c r="K30" s="110">
        <f>VLOOKUP(A30,[3]מנורה!$A:$E,5,0)</f>
        <v>-145443.79999999999</v>
      </c>
    </row>
    <row r="31" spans="1:11" ht="15.75" x14ac:dyDescent="0.25">
      <c r="A31" s="27" t="s">
        <v>21</v>
      </c>
      <c r="B31" s="27" t="s">
        <v>56</v>
      </c>
      <c r="C31" s="27" t="s">
        <v>115</v>
      </c>
      <c r="D31" s="14"/>
      <c r="E31" s="18"/>
      <c r="F31" s="14"/>
      <c r="G31" s="14"/>
      <c r="H31" s="110">
        <f>VLOOKUP(A31,[3]מנורה!$A:$E,2,0)</f>
        <v>0</v>
      </c>
      <c r="I31" s="110">
        <f>VLOOKUP(A31,[3]מנורה!$A:$E,3,0)</f>
        <v>0</v>
      </c>
      <c r="J31" s="110">
        <f>VLOOKUP(A31,[3]מנורה!$A:$E,4,0)</f>
        <v>0</v>
      </c>
      <c r="K31" s="110">
        <f>VLOOKUP(A31,[3]מנורה!$A:$E,5,0)</f>
        <v>0</v>
      </c>
    </row>
    <row r="32" spans="1:11" ht="15.75" x14ac:dyDescent="0.25">
      <c r="A32" s="27" t="s">
        <v>22</v>
      </c>
      <c r="B32" s="27" t="s">
        <v>56</v>
      </c>
      <c r="C32" s="27" t="s">
        <v>115</v>
      </c>
      <c r="D32" s="14">
        <v>-109126.2403952102</v>
      </c>
      <c r="E32" s="14">
        <v>0</v>
      </c>
      <c r="F32" s="14">
        <v>0</v>
      </c>
      <c r="G32" s="14"/>
      <c r="H32" s="110">
        <f>VLOOKUP(A32,[3]מנורה!$A:$E,2,0)</f>
        <v>36000</v>
      </c>
      <c r="I32" s="110">
        <f>VLOOKUP(A32,[3]מנורה!$A:$E,3,0)</f>
        <v>0</v>
      </c>
      <c r="J32" s="110">
        <f>VLOOKUP(A32,[3]מנורה!$A:$E,4,0)</f>
        <v>42546.798651358811</v>
      </c>
      <c r="K32" s="110">
        <f>VLOOKUP(A32,[3]מנורה!$A:$E,5,0)</f>
        <v>0</v>
      </c>
    </row>
    <row r="33" spans="1:12" ht="15.75" x14ac:dyDescent="0.25">
      <c r="A33" s="27" t="s">
        <v>23</v>
      </c>
      <c r="B33" s="27" t="s">
        <v>56</v>
      </c>
      <c r="C33" s="27" t="s">
        <v>115</v>
      </c>
      <c r="D33" s="14"/>
      <c r="E33" s="14"/>
      <c r="F33" s="14"/>
      <c r="G33" s="14"/>
      <c r="H33" s="110">
        <f>VLOOKUP(A33,[3]מנורה!$A:$E,2,0)</f>
        <v>0</v>
      </c>
      <c r="I33" s="110">
        <f>VLOOKUP(A33,[3]מנורה!$A:$E,3,0)</f>
        <v>0</v>
      </c>
      <c r="J33" s="110">
        <f>VLOOKUP(A33,[3]מנורה!$A:$E,4,0)</f>
        <v>0</v>
      </c>
      <c r="K33" s="110">
        <f>VLOOKUP(A33,[3]מנורה!$A:$E,5,0)</f>
        <v>0</v>
      </c>
    </row>
    <row r="34" spans="1:12" ht="15.75" x14ac:dyDescent="0.25">
      <c r="A34" s="27" t="s">
        <v>24</v>
      </c>
      <c r="B34" s="27" t="s">
        <v>56</v>
      </c>
      <c r="C34" s="27" t="s">
        <v>115</v>
      </c>
      <c r="D34" s="14"/>
      <c r="E34" s="14"/>
      <c r="F34" s="14"/>
      <c r="G34" s="14"/>
      <c r="H34" s="110">
        <f>VLOOKUP(A34,[3]מנורה!$A:$E,2,0)</f>
        <v>0</v>
      </c>
      <c r="I34" s="110">
        <f>VLOOKUP(A34,[3]מנורה!$A:$E,3,0)</f>
        <v>0</v>
      </c>
      <c r="J34" s="110">
        <f>VLOOKUP(A34,[3]מנורה!$A:$E,4,0)</f>
        <v>0</v>
      </c>
      <c r="K34" s="110">
        <f>VLOOKUP(A34,[3]מנורה!$A:$E,5,0)</f>
        <v>0</v>
      </c>
    </row>
    <row r="35" spans="1:12" ht="15.75" x14ac:dyDescent="0.25">
      <c r="A35" s="31" t="s">
        <v>25</v>
      </c>
      <c r="B35" s="27" t="s">
        <v>56</v>
      </c>
      <c r="C35" s="27" t="s">
        <v>115</v>
      </c>
      <c r="D35" s="14">
        <v>450633.37509563623</v>
      </c>
      <c r="E35" s="14">
        <v>32875.391513785464</v>
      </c>
      <c r="F35" s="14">
        <v>941087.05962240393</v>
      </c>
      <c r="G35" s="14"/>
      <c r="H35" s="110">
        <f>VLOOKUP(A35,[3]מנורה!$A:$E,2,0)</f>
        <v>640999.44526268926</v>
      </c>
      <c r="I35" s="110">
        <f>VLOOKUP(A35,[3]מנורה!$A:$E,3,0)</f>
        <v>122864.3456109962</v>
      </c>
      <c r="J35" s="110">
        <f>VLOOKUP(A35,[3]מנורה!$A:$E,4,0)</f>
        <v>4059324.1758453152</v>
      </c>
      <c r="K35" s="110">
        <f>VLOOKUP(A35,[3]מנורה!$A:$E,5,0)</f>
        <v>5254343.8000000026</v>
      </c>
    </row>
    <row r="36" spans="1:12" ht="15.75" x14ac:dyDescent="0.25">
      <c r="A36" s="27" t="s">
        <v>26</v>
      </c>
      <c r="B36" s="27" t="s">
        <v>56</v>
      </c>
      <c r="C36" s="27" t="s">
        <v>115</v>
      </c>
      <c r="D36" s="14"/>
      <c r="E36" s="14"/>
      <c r="F36" s="14"/>
      <c r="G36" s="14"/>
      <c r="H36" s="110">
        <f>VLOOKUP(A36,[3]מנורה!$A:$E,2,0)</f>
        <v>0</v>
      </c>
      <c r="I36" s="110">
        <f>VLOOKUP(A36,[3]מנורה!$A:$E,3,0)</f>
        <v>0</v>
      </c>
      <c r="J36" s="110">
        <f>VLOOKUP(A36,[3]מנורה!$A:$E,4,0)</f>
        <v>0</v>
      </c>
      <c r="K36" s="110">
        <f>VLOOKUP(A36,[3]מנורה!$A:$E,5,0)</f>
        <v>0</v>
      </c>
    </row>
    <row r="37" spans="1:12" ht="15.75" x14ac:dyDescent="0.25">
      <c r="A37" s="27" t="s">
        <v>27</v>
      </c>
      <c r="B37" s="27" t="s">
        <v>56</v>
      </c>
      <c r="C37" s="27" t="s">
        <v>115</v>
      </c>
      <c r="D37" s="14"/>
      <c r="E37" s="14"/>
      <c r="F37" s="14"/>
      <c r="G37" s="14"/>
      <c r="H37" s="110">
        <f>VLOOKUP(A37,[3]מנורה!$A:$E,2,0)</f>
        <v>0</v>
      </c>
      <c r="I37" s="110">
        <f>VLOOKUP(A37,[3]מנורה!$A:$E,3,0)</f>
        <v>0</v>
      </c>
      <c r="J37" s="110">
        <f>VLOOKUP(A37,[3]מנורה!$A:$E,4,0)</f>
        <v>0</v>
      </c>
      <c r="K37" s="110">
        <f>VLOOKUP(A37,[3]מנורה!$A:$E,5,0)</f>
        <v>0</v>
      </c>
    </row>
    <row r="38" spans="1:12" ht="15.75" x14ac:dyDescent="0.25">
      <c r="A38" s="27" t="s">
        <v>28</v>
      </c>
      <c r="B38" s="27" t="s">
        <v>56</v>
      </c>
      <c r="C38" s="27" t="s">
        <v>115</v>
      </c>
      <c r="D38" s="14"/>
      <c r="E38" s="14"/>
      <c r="F38" s="14"/>
      <c r="G38" s="14"/>
      <c r="H38" s="110">
        <f>VLOOKUP(A38,[3]מנורה!$A:$E,2,0)</f>
        <v>-17347.69979534551</v>
      </c>
      <c r="I38" s="110">
        <f>VLOOKUP(A38,[3]מנורה!$A:$E,3,0)</f>
        <v>0</v>
      </c>
      <c r="J38" s="110">
        <f>VLOOKUP(A38,[3]מנורה!$A:$E,4,0)</f>
        <v>0</v>
      </c>
      <c r="K38" s="110">
        <f>VLOOKUP(A38,[3]מנורה!$A:$E,5,0)</f>
        <v>0</v>
      </c>
    </row>
    <row r="39" spans="1:12" ht="15.75" x14ac:dyDescent="0.25">
      <c r="A39" s="27" t="s">
        <v>29</v>
      </c>
      <c r="B39" s="27" t="s">
        <v>56</v>
      </c>
      <c r="C39" s="27" t="s">
        <v>115</v>
      </c>
      <c r="D39" s="14"/>
      <c r="E39" s="14"/>
      <c r="F39" s="14"/>
      <c r="G39" s="14"/>
      <c r="H39" s="110">
        <f>VLOOKUP(A39,[3]מנורה!$A:$E,2,0)</f>
        <v>0</v>
      </c>
      <c r="I39" s="110">
        <f>VLOOKUP(A39,[3]מנורה!$A:$E,3,0)</f>
        <v>0</v>
      </c>
      <c r="J39" s="110">
        <f>VLOOKUP(A39,[3]מנורה!$A:$E,4,0)</f>
        <v>0</v>
      </c>
      <c r="K39" s="110">
        <f>VLOOKUP(A39,[3]מנורה!$A:$E,5,0)</f>
        <v>0</v>
      </c>
    </row>
    <row r="40" spans="1:12" ht="15.75" x14ac:dyDescent="0.25">
      <c r="A40" s="27" t="s">
        <v>106</v>
      </c>
      <c r="B40" s="27" t="s">
        <v>55</v>
      </c>
      <c r="C40" s="27" t="s">
        <v>115</v>
      </c>
      <c r="D40" s="14"/>
      <c r="E40" s="14"/>
      <c r="F40" s="14"/>
      <c r="G40" s="14"/>
      <c r="H40" s="110"/>
      <c r="I40" s="110"/>
      <c r="J40" s="110"/>
      <c r="K40" s="110"/>
    </row>
    <row r="41" spans="1:12" ht="15.75" x14ac:dyDescent="0.25">
      <c r="A41" s="27" t="s">
        <v>32</v>
      </c>
      <c r="B41" s="27" t="s">
        <v>55</v>
      </c>
      <c r="C41" s="27" t="s">
        <v>115</v>
      </c>
      <c r="D41" s="14"/>
      <c r="E41" s="14"/>
      <c r="F41" s="14"/>
      <c r="G41" s="14"/>
      <c r="H41" s="110"/>
      <c r="I41" s="110"/>
      <c r="J41" s="110"/>
      <c r="K41" s="110"/>
    </row>
    <row r="42" spans="1:12" ht="15.75" x14ac:dyDescent="0.25">
      <c r="A42" s="31" t="s">
        <v>103</v>
      </c>
      <c r="B42" s="27" t="s">
        <v>56</v>
      </c>
      <c r="C42" s="27" t="s">
        <v>115</v>
      </c>
      <c r="D42" s="14">
        <v>95097.448890197455</v>
      </c>
      <c r="E42" s="14">
        <v>14259.043739914659</v>
      </c>
      <c r="F42" s="14">
        <v>88904.728435348312</v>
      </c>
      <c r="G42" s="14"/>
      <c r="H42" s="110"/>
      <c r="I42" s="110"/>
      <c r="J42" s="110"/>
      <c r="K42" s="110"/>
    </row>
    <row r="43" spans="1:12" ht="15.75" x14ac:dyDescent="0.25">
      <c r="A43" s="27" t="s">
        <v>91</v>
      </c>
      <c r="B43" s="27" t="s">
        <v>56</v>
      </c>
      <c r="C43" s="27" t="s">
        <v>115</v>
      </c>
      <c r="D43" s="14">
        <v>-79.231654047757715</v>
      </c>
      <c r="E43" s="14">
        <v>0</v>
      </c>
      <c r="F43" s="14">
        <v>0</v>
      </c>
      <c r="G43" s="14"/>
      <c r="H43" s="110"/>
      <c r="I43" s="110"/>
      <c r="J43" s="110"/>
      <c r="K43" s="110"/>
    </row>
    <row r="44" spans="1:12" ht="15.75" x14ac:dyDescent="0.25">
      <c r="A44" s="27" t="s">
        <v>90</v>
      </c>
      <c r="B44" s="27" t="s">
        <v>56</v>
      </c>
      <c r="C44" s="27" t="s">
        <v>115</v>
      </c>
      <c r="D44" s="14"/>
      <c r="E44" s="14"/>
      <c r="F44" s="14"/>
      <c r="G44" s="14"/>
      <c r="H44" s="110"/>
      <c r="I44" s="110"/>
      <c r="J44" s="110"/>
      <c r="K44" s="110"/>
    </row>
    <row r="45" spans="1:12" ht="15.75" x14ac:dyDescent="0.25">
      <c r="A45" s="27" t="s">
        <v>36</v>
      </c>
      <c r="B45" s="27" t="s">
        <v>55</v>
      </c>
      <c r="C45" s="27" t="s">
        <v>115</v>
      </c>
      <c r="D45" s="14"/>
      <c r="E45" s="14"/>
      <c r="F45" s="14"/>
      <c r="G45" s="14"/>
      <c r="H45" s="110"/>
      <c r="I45" s="110"/>
      <c r="J45" s="110"/>
      <c r="K45" s="110"/>
    </row>
    <row r="46" spans="1:12" ht="15.75" x14ac:dyDescent="0.25">
      <c r="A46" s="27" t="s">
        <v>102</v>
      </c>
      <c r="B46" s="27" t="s">
        <v>55</v>
      </c>
      <c r="C46" s="27" t="s">
        <v>115</v>
      </c>
      <c r="D46" s="14"/>
      <c r="E46" s="14"/>
      <c r="F46" s="14"/>
      <c r="G46" s="14"/>
      <c r="H46" s="110"/>
      <c r="I46" s="110"/>
      <c r="J46" s="110"/>
      <c r="K46" s="110"/>
      <c r="L46" s="159"/>
    </row>
    <row r="47" spans="1:12" ht="15.75" x14ac:dyDescent="0.25">
      <c r="A47" s="27" t="s">
        <v>93</v>
      </c>
      <c r="B47" s="27" t="s">
        <v>56</v>
      </c>
      <c r="C47" s="27" t="s">
        <v>115</v>
      </c>
      <c r="D47" s="14"/>
      <c r="E47" s="14"/>
      <c r="F47" s="14"/>
      <c r="G47" s="14"/>
      <c r="H47" s="110"/>
      <c r="I47" s="110"/>
      <c r="J47" s="110"/>
      <c r="K47" s="110"/>
    </row>
    <row r="48" spans="1:12" ht="15.75" x14ac:dyDescent="0.25">
      <c r="A48" s="27" t="s">
        <v>95</v>
      </c>
      <c r="B48" s="27" t="s">
        <v>56</v>
      </c>
      <c r="C48" s="27" t="s">
        <v>115</v>
      </c>
      <c r="D48" s="14"/>
      <c r="E48" s="14"/>
      <c r="F48" s="14"/>
      <c r="G48" s="14"/>
      <c r="H48" s="110"/>
      <c r="I48" s="110"/>
      <c r="J48" s="110"/>
      <c r="K48" s="110"/>
    </row>
    <row r="49" spans="1:13" ht="15.75" x14ac:dyDescent="0.25">
      <c r="A49" s="27" t="s">
        <v>105</v>
      </c>
      <c r="B49" s="27" t="s">
        <v>56</v>
      </c>
      <c r="C49" s="27" t="s">
        <v>115</v>
      </c>
      <c r="D49" s="14"/>
      <c r="E49" s="14"/>
      <c r="F49" s="14"/>
      <c r="G49" s="14"/>
      <c r="H49" s="110"/>
      <c r="I49" s="110"/>
      <c r="J49" s="110"/>
      <c r="K49" s="110"/>
    </row>
    <row r="50" spans="1:13" ht="15.75" x14ac:dyDescent="0.25">
      <c r="A50" s="27" t="s">
        <v>39</v>
      </c>
      <c r="B50" s="27" t="s">
        <v>56</v>
      </c>
      <c r="C50" s="27" t="s">
        <v>115</v>
      </c>
      <c r="D50" s="14"/>
      <c r="E50" s="14"/>
      <c r="F50" s="14"/>
      <c r="G50" s="14"/>
      <c r="H50" s="110">
        <f>VLOOKUP(A50,[3]מנורה!$A:$E,2,0)</f>
        <v>0</v>
      </c>
      <c r="I50" s="110">
        <f>VLOOKUP(A50,[3]מנורה!$A:$E,3,0)</f>
        <v>0</v>
      </c>
      <c r="J50" s="110">
        <f>VLOOKUP(A50,[3]מנורה!$A:$E,4,0)</f>
        <v>0</v>
      </c>
      <c r="K50" s="110">
        <f>VLOOKUP(A50,[3]מנורה!$A:$E,5,0)</f>
        <v>0</v>
      </c>
    </row>
    <row r="51" spans="1:13" ht="15.75" x14ac:dyDescent="0.25">
      <c r="A51" s="27" t="s">
        <v>99</v>
      </c>
      <c r="B51" s="27" t="s">
        <v>56</v>
      </c>
      <c r="C51" s="27" t="s">
        <v>115</v>
      </c>
      <c r="D51" s="14"/>
      <c r="E51" s="14"/>
      <c r="F51" s="14"/>
      <c r="G51" s="14"/>
      <c r="H51" s="110">
        <f>VLOOKUP(A51,[3]מנורה!$A:$E,2,0)</f>
        <v>0</v>
      </c>
      <c r="I51" s="110">
        <f>VLOOKUP(A51,[3]מנורה!$A:$E,3,0)</f>
        <v>0</v>
      </c>
      <c r="J51" s="110">
        <f>VLOOKUP(A51,[3]מנורה!$A:$E,4,0)</f>
        <v>0</v>
      </c>
      <c r="K51" s="110">
        <f>VLOOKUP(A51,[3]מנורה!$A:$E,5,0)</f>
        <v>0</v>
      </c>
    </row>
    <row r="52" spans="1:13" ht="15.75" x14ac:dyDescent="0.25">
      <c r="A52" s="27" t="s">
        <v>41</v>
      </c>
      <c r="B52" s="27" t="s">
        <v>56</v>
      </c>
      <c r="C52" s="27" t="s">
        <v>115</v>
      </c>
      <c r="D52" s="14"/>
      <c r="E52" s="14"/>
      <c r="F52" s="14"/>
      <c r="G52" s="14"/>
      <c r="H52" s="110">
        <f>VLOOKUP(A52,[3]מנורה!$A:$E,2,0)</f>
        <v>0</v>
      </c>
      <c r="I52" s="110">
        <f>VLOOKUP(A52,[3]מנורה!$A:$E,3,0)</f>
        <v>-12688.12954195676</v>
      </c>
      <c r="J52" s="110">
        <f>VLOOKUP(A52,[3]מנורה!$A:$E,4,0)</f>
        <v>0</v>
      </c>
      <c r="K52" s="110">
        <f>VLOOKUP(A52,[3]מנורה!$A:$E,5,0)</f>
        <v>0</v>
      </c>
    </row>
    <row r="53" spans="1:13" ht="16.5" thickBot="1" x14ac:dyDescent="0.3">
      <c r="A53" s="29" t="s">
        <v>96</v>
      </c>
      <c r="B53" s="29" t="s">
        <v>56</v>
      </c>
      <c r="C53" s="29" t="s">
        <v>115</v>
      </c>
      <c r="D53" s="15"/>
      <c r="E53" s="14"/>
      <c r="F53" s="15"/>
      <c r="G53" s="15"/>
      <c r="H53" s="110">
        <f>VLOOKUP(A53,[3]מנורה!$A:$E,2,0)</f>
        <v>0</v>
      </c>
      <c r="I53" s="110">
        <f>VLOOKUP(A53,[3]מנורה!$A:$E,3,0)</f>
        <v>0</v>
      </c>
      <c r="J53" s="110">
        <f>VLOOKUP(A53,[3]מנורה!$A:$E,4,0)</f>
        <v>0</v>
      </c>
      <c r="K53" s="110">
        <f>VLOOKUP(A53,[3]מנורה!$A:$E,5,0)</f>
        <v>0</v>
      </c>
    </row>
    <row r="54" spans="1:13" ht="21.75" thickBot="1" x14ac:dyDescent="0.3">
      <c r="A54" s="144" t="s">
        <v>124</v>
      </c>
      <c r="B54" s="142"/>
      <c r="C54" s="142"/>
      <c r="D54" s="144">
        <f>SUM(D22:D53)</f>
        <v>462161.29823841003</v>
      </c>
      <c r="E54" s="144">
        <f t="shared" ref="E54:K54" si="2">SUM(E22:E53)</f>
        <v>76981.388717233451</v>
      </c>
      <c r="F54" s="144">
        <f t="shared" si="2"/>
        <v>1029991.7880577522</v>
      </c>
      <c r="G54" s="144">
        <f t="shared" si="2"/>
        <v>0</v>
      </c>
      <c r="H54" s="144">
        <f t="shared" si="2"/>
        <v>687380.44547122275</v>
      </c>
      <c r="I54" s="144">
        <f t="shared" si="2"/>
        <v>128171.03095054536</v>
      </c>
      <c r="J54" s="144">
        <f t="shared" si="2"/>
        <v>4113748.2234078674</v>
      </c>
      <c r="K54" s="144">
        <f t="shared" si="2"/>
        <v>4596471.9800000023</v>
      </c>
    </row>
    <row r="55" spans="1:13" ht="15.75" x14ac:dyDescent="0.25">
      <c r="A55" s="31" t="s">
        <v>33</v>
      </c>
      <c r="B55" s="27" t="s">
        <v>123</v>
      </c>
      <c r="C55" s="27" t="s">
        <v>115</v>
      </c>
      <c r="D55" s="14"/>
      <c r="E55" s="14"/>
      <c r="F55" s="14"/>
      <c r="G55" s="14"/>
      <c r="H55" s="110">
        <f>VLOOKUP(A55,[3]מנורה!$A:$E,2,0)</f>
        <v>-8229.1559308530632</v>
      </c>
      <c r="I55" s="110">
        <f>VLOOKUP(A55,[3]מנורה!$A:$E,3,0)</f>
        <v>0</v>
      </c>
      <c r="J55" s="110">
        <f>VLOOKUP(A55,[3]מנורה!$A:$E,4,0)</f>
        <v>4513.0794942595548</v>
      </c>
      <c r="K55" s="110">
        <f>VLOOKUP(A55,[3]מנורה!$A:$E,5,0)</f>
        <v>0</v>
      </c>
    </row>
    <row r="56" spans="1:13" ht="15.75" x14ac:dyDescent="0.25">
      <c r="A56" s="27" t="s">
        <v>92</v>
      </c>
      <c r="B56" s="27" t="s">
        <v>123</v>
      </c>
      <c r="C56" s="27" t="s">
        <v>115</v>
      </c>
      <c r="D56" s="14">
        <v>190.18584008453681</v>
      </c>
      <c r="E56" s="239">
        <v>1098.1609052572353</v>
      </c>
      <c r="F56" s="14">
        <v>0</v>
      </c>
      <c r="G56" s="14"/>
      <c r="H56" s="110">
        <f>VLOOKUP(A56,[3]מנורה!$A:$E,2,0)</f>
        <v>20805.621145035886</v>
      </c>
      <c r="I56" s="110">
        <f>VLOOKUP(A56,[3]מנורה!$A:$E,3,0)</f>
        <v>344.6588664438309</v>
      </c>
      <c r="J56" s="110">
        <f>VLOOKUP(A56,[3]מנורה!$A:$E,4,0)</f>
        <v>0</v>
      </c>
      <c r="K56" s="110">
        <f>VLOOKUP(A56,[3]מנורה!$A:$E,5,0)</f>
        <v>-224287.45</v>
      </c>
    </row>
    <row r="57" spans="1:13" ht="15.75" x14ac:dyDescent="0.25">
      <c r="A57" s="27" t="s">
        <v>37</v>
      </c>
      <c r="B57" s="27" t="s">
        <v>123</v>
      </c>
      <c r="C57" s="27" t="s">
        <v>115</v>
      </c>
      <c r="D57" s="14"/>
      <c r="E57" s="14"/>
      <c r="F57" s="14"/>
      <c r="G57" s="14"/>
      <c r="H57" s="110">
        <f>VLOOKUP(A57,[3]מנורה!$A:$E,2,0)</f>
        <v>0</v>
      </c>
      <c r="I57" s="110">
        <f>VLOOKUP(A57,[3]מנורה!$A:$E,3,0)</f>
        <v>0</v>
      </c>
      <c r="J57" s="110">
        <f>VLOOKUP(A57,[3]מנורה!$A:$E,4,0)</f>
        <v>0</v>
      </c>
      <c r="K57" s="110">
        <f>VLOOKUP(A57,[3]מנורה!$A:$E,5,0)</f>
        <v>0</v>
      </c>
      <c r="M57" s="154"/>
    </row>
    <row r="58" spans="1:13" ht="15.75" x14ac:dyDescent="0.25">
      <c r="A58" s="27" t="s">
        <v>35</v>
      </c>
      <c r="B58" s="27" t="s">
        <v>123</v>
      </c>
      <c r="C58" s="27" t="s">
        <v>115</v>
      </c>
      <c r="D58" s="14"/>
      <c r="E58" s="14"/>
      <c r="F58" s="14"/>
      <c r="G58" s="14"/>
      <c r="H58" s="110">
        <f>VLOOKUP(A58,[3]מנורה!$A:$E,2,0)</f>
        <v>0</v>
      </c>
      <c r="I58" s="110">
        <f>VLOOKUP(A58,[3]מנורה!$A:$E,3,0)</f>
        <v>0</v>
      </c>
      <c r="J58" s="110">
        <f>VLOOKUP(A58,[3]מנורה!$A:$E,4,0)</f>
        <v>0</v>
      </c>
      <c r="K58" s="110">
        <f>VLOOKUP(A58,[3]מנורה!$A:$E,5,0)</f>
        <v>0</v>
      </c>
      <c r="M58" s="154"/>
    </row>
    <row r="59" spans="1:13" ht="15.75" x14ac:dyDescent="0.25">
      <c r="A59" s="28" t="s">
        <v>94</v>
      </c>
      <c r="B59" s="28" t="s">
        <v>123</v>
      </c>
      <c r="C59" s="28" t="s">
        <v>115</v>
      </c>
      <c r="D59" s="14">
        <v>200002.6809758762</v>
      </c>
      <c r="E59" s="14">
        <v>18020.987874547169</v>
      </c>
      <c r="F59" s="14">
        <v>170958.08383233531</v>
      </c>
      <c r="G59" s="14"/>
      <c r="H59" s="110">
        <f>VLOOKUP(A59,[3]מנורה!$A:$E,2,0)</f>
        <v>87053.444878900278</v>
      </c>
      <c r="I59" s="110">
        <f>VLOOKUP(A59,[3]מנורה!$A:$E,3,0)</f>
        <v>27865.22216228877</v>
      </c>
      <c r="J59" s="110">
        <f>VLOOKUP(A59,[3]מנורה!$A:$E,4,0)</f>
        <v>1179477.5519183259</v>
      </c>
      <c r="K59" s="110">
        <f>VLOOKUP(A59,[3]מנורה!$A:$E,5,0)</f>
        <v>1835168.9000000006</v>
      </c>
      <c r="M59" s="154"/>
    </row>
    <row r="60" spans="1:13" ht="15.75" x14ac:dyDescent="0.25">
      <c r="A60" s="31" t="s">
        <v>16</v>
      </c>
      <c r="B60" s="27" t="s">
        <v>123</v>
      </c>
      <c r="C60" s="27" t="s">
        <v>115</v>
      </c>
      <c r="D60" s="14"/>
      <c r="E60" s="14"/>
      <c r="F60" s="14"/>
      <c r="G60" s="14"/>
      <c r="H60" s="110">
        <f>VLOOKUP(A60,[3]מנורה!$A:$E,2,0)</f>
        <v>0</v>
      </c>
      <c r="I60" s="110">
        <f>VLOOKUP(A60,[3]מנורה!$A:$E,3,0)</f>
        <v>0</v>
      </c>
      <c r="J60" s="110">
        <f>VLOOKUP(A60,[3]מנורה!$A:$E,4,0)</f>
        <v>0</v>
      </c>
      <c r="K60" s="110">
        <f>VLOOKUP(A60,[3]מנורה!$A:$E,5,0)</f>
        <v>0</v>
      </c>
    </row>
    <row r="61" spans="1:13" ht="16.5" thickBot="1" x14ac:dyDescent="0.3">
      <c r="A61" s="138" t="s">
        <v>107</v>
      </c>
      <c r="B61" s="27" t="s">
        <v>123</v>
      </c>
      <c r="C61" s="27" t="s">
        <v>115</v>
      </c>
      <c r="D61" s="14"/>
      <c r="E61" s="14"/>
      <c r="F61" s="14"/>
      <c r="G61" s="14"/>
      <c r="H61" s="110"/>
      <c r="I61" s="110"/>
      <c r="J61" s="110"/>
      <c r="K61" s="110"/>
    </row>
    <row r="62" spans="1:13" ht="21.75" thickBot="1" x14ac:dyDescent="0.3">
      <c r="A62" s="144" t="s">
        <v>125</v>
      </c>
      <c r="B62" s="142"/>
      <c r="C62" s="142"/>
      <c r="D62" s="144">
        <f>SUM(D55:D61)</f>
        <v>200192.86681596073</v>
      </c>
      <c r="E62" s="144">
        <f t="shared" ref="E62:K62" si="3">SUM(E55:E61)</f>
        <v>19119.148779804404</v>
      </c>
      <c r="F62" s="144">
        <f t="shared" si="3"/>
        <v>170958.08383233531</v>
      </c>
      <c r="G62" s="144">
        <f t="shared" si="3"/>
        <v>0</v>
      </c>
      <c r="H62" s="144">
        <f t="shared" si="3"/>
        <v>99629.910093083105</v>
      </c>
      <c r="I62" s="144">
        <f t="shared" si="3"/>
        <v>28209.881028732601</v>
      </c>
      <c r="J62" s="144">
        <f t="shared" si="3"/>
        <v>1183990.6314125855</v>
      </c>
      <c r="K62" s="144">
        <f t="shared" si="3"/>
        <v>1610881.4500000007</v>
      </c>
    </row>
    <row r="63" spans="1:13" ht="15.75" x14ac:dyDescent="0.25">
      <c r="A63" s="28" t="s">
        <v>84</v>
      </c>
      <c r="B63" s="27" t="s">
        <v>116</v>
      </c>
      <c r="C63" s="28" t="s">
        <v>110</v>
      </c>
      <c r="D63" s="18">
        <v>0</v>
      </c>
      <c r="E63" s="18">
        <v>2441.5123998875929</v>
      </c>
      <c r="F63" s="18">
        <v>0</v>
      </c>
      <c r="G63" s="18"/>
      <c r="H63" s="110">
        <f>VLOOKUP(A63,[3]מנורה!$A:$E,2,0)</f>
        <v>0</v>
      </c>
      <c r="I63" s="110">
        <f>VLOOKUP(A63,[3]מנורה!$A:$E,3,0)</f>
        <v>0</v>
      </c>
      <c r="J63" s="110">
        <f>VLOOKUP(A63,[3]מנורה!$A:$E,4,0)</f>
        <v>0</v>
      </c>
      <c r="K63" s="110">
        <f>VLOOKUP(A63,[3]מנורה!$A:$E,5,0)</f>
        <v>0</v>
      </c>
    </row>
    <row r="64" spans="1:13" ht="15.75" x14ac:dyDescent="0.25">
      <c r="A64" s="31" t="s">
        <v>40</v>
      </c>
      <c r="B64" s="27" t="s">
        <v>56</v>
      </c>
      <c r="C64" s="27" t="s">
        <v>111</v>
      </c>
      <c r="D64" s="14">
        <v>3804.0853317282399</v>
      </c>
      <c r="E64" s="14">
        <v>0</v>
      </c>
      <c r="F64" s="14">
        <v>0</v>
      </c>
      <c r="G64" s="14"/>
      <c r="H64" s="110">
        <f>VLOOKUP(A64,[3]מנורה!$A:$E,2,0)</f>
        <v>28425.028107762882</v>
      </c>
      <c r="I64" s="110">
        <f>VLOOKUP(A64,[3]מנורה!$A:$E,3,0)</f>
        <v>2689.3585755364129</v>
      </c>
      <c r="J64" s="110">
        <f>VLOOKUP(A64,[3]מנורה!$A:$E,4,0)</f>
        <v>0</v>
      </c>
      <c r="K64" s="110">
        <f>VLOOKUP(A64,[3]מנורה!$A:$E,5,0)</f>
        <v>-177565.77999999997</v>
      </c>
    </row>
    <row r="65" spans="1:12" ht="15.75" x14ac:dyDescent="0.25">
      <c r="A65" s="27" t="s">
        <v>98</v>
      </c>
      <c r="B65" s="27" t="s">
        <v>116</v>
      </c>
      <c r="C65" s="27" t="s">
        <v>111</v>
      </c>
      <c r="D65" s="14"/>
      <c r="E65" s="14"/>
      <c r="F65" s="14"/>
      <c r="G65" s="14"/>
      <c r="H65" s="110">
        <f>VLOOKUP(A65,[3]מנורה!$A:$E,2,0)</f>
        <v>0</v>
      </c>
      <c r="I65" s="110">
        <f>VLOOKUP(A65,[3]מנורה!$A:$E,3,0)</f>
        <v>0</v>
      </c>
      <c r="J65" s="110">
        <f>VLOOKUP(A65,[3]מנורה!$A:$E,4,0)</f>
        <v>0</v>
      </c>
      <c r="K65" s="110">
        <f>VLOOKUP(A65,[3]מנורה!$A:$E,5,0)</f>
        <v>0</v>
      </c>
    </row>
    <row r="66" spans="1:12" ht="15.75" x14ac:dyDescent="0.25">
      <c r="A66" s="27" t="s">
        <v>100</v>
      </c>
      <c r="B66" s="27" t="s">
        <v>56</v>
      </c>
      <c r="C66" s="27" t="s">
        <v>111</v>
      </c>
      <c r="D66" s="14"/>
      <c r="E66" s="14"/>
      <c r="F66" s="14"/>
      <c r="G66" s="14"/>
      <c r="H66" s="110">
        <f>VLOOKUP(A66,[3]מנורה!$A:$E,2,0)</f>
        <v>0</v>
      </c>
      <c r="I66" s="110">
        <f>VLOOKUP(A66,[3]מנורה!$A:$E,3,0)</f>
        <v>0</v>
      </c>
      <c r="J66" s="110">
        <f>VLOOKUP(A66,[3]מנורה!$A:$E,4,0)</f>
        <v>0</v>
      </c>
      <c r="K66" s="110">
        <f>VLOOKUP(A66,[3]מנורה!$A:$E,5,0)</f>
        <v>0</v>
      </c>
    </row>
    <row r="67" spans="1:12" ht="15.75" x14ac:dyDescent="0.25">
      <c r="A67" s="27" t="s">
        <v>101</v>
      </c>
      <c r="B67" s="27" t="s">
        <v>56</v>
      </c>
      <c r="C67" s="27" t="s">
        <v>111</v>
      </c>
      <c r="D67" s="14"/>
      <c r="E67" s="14"/>
      <c r="F67" s="14"/>
      <c r="G67" s="14"/>
      <c r="H67" s="110">
        <f>VLOOKUP(A67,[3]מנורה!$A:$E,2,0)</f>
        <v>0</v>
      </c>
      <c r="I67" s="110">
        <f>VLOOKUP(A67,[3]מנורה!$A:$E,3,0)</f>
        <v>0</v>
      </c>
      <c r="J67" s="110">
        <f>VLOOKUP(A67,[3]מנורה!$A:$E,4,0)</f>
        <v>0</v>
      </c>
      <c r="K67" s="110">
        <f>VLOOKUP(A67,[3]מנורה!$A:$E,5,0)</f>
        <v>0</v>
      </c>
    </row>
    <row r="68" spans="1:12" ht="15.75" x14ac:dyDescent="0.25">
      <c r="A68" s="27" t="s">
        <v>108</v>
      </c>
      <c r="B68" s="27" t="s">
        <v>56</v>
      </c>
      <c r="C68" s="27" t="s">
        <v>111</v>
      </c>
      <c r="D68" s="14">
        <v>5752.5221301110014</v>
      </c>
      <c r="E68" s="14">
        <v>0</v>
      </c>
      <c r="F68" s="14">
        <v>0</v>
      </c>
      <c r="G68" s="14"/>
      <c r="H68" s="110"/>
      <c r="I68" s="110"/>
      <c r="J68" s="110"/>
      <c r="K68" s="110"/>
      <c r="L68" s="159"/>
    </row>
    <row r="69" spans="1:12" ht="15.75" x14ac:dyDescent="0.25">
      <c r="A69" s="139" t="s">
        <v>109</v>
      </c>
      <c r="B69" s="27" t="s">
        <v>56</v>
      </c>
      <c r="C69" s="27" t="s">
        <v>111</v>
      </c>
      <c r="D69" s="14">
        <v>19270.466139263404</v>
      </c>
      <c r="E69" s="229">
        <v>6068.4732654770633</v>
      </c>
      <c r="F69" s="14">
        <v>0</v>
      </c>
      <c r="G69" s="14"/>
      <c r="H69" s="110"/>
      <c r="I69" s="110"/>
      <c r="J69" s="110"/>
      <c r="K69" s="110"/>
    </row>
    <row r="70" spans="1:12" ht="16.5" thickBot="1" x14ac:dyDescent="0.3">
      <c r="A70" s="29" t="s">
        <v>89</v>
      </c>
      <c r="B70" s="29" t="s">
        <v>56</v>
      </c>
      <c r="C70" s="29" t="s">
        <v>111</v>
      </c>
      <c r="D70" s="15"/>
      <c r="E70" s="228"/>
      <c r="F70" s="15"/>
      <c r="G70" s="15"/>
      <c r="H70" s="110">
        <f>VLOOKUP(A70,[3]מנורה!$A:$E,2,0)</f>
        <v>0</v>
      </c>
      <c r="I70" s="110">
        <f>VLOOKUP(A70,[3]מנורה!$A:$E,3,0)</f>
        <v>0</v>
      </c>
      <c r="J70" s="110">
        <f>VLOOKUP(A70,[3]מנורה!$A:$E,4,0)</f>
        <v>0</v>
      </c>
      <c r="K70" s="110">
        <f>VLOOKUP(A70,[3]מנורה!$A:$E,5,0)</f>
        <v>0</v>
      </c>
    </row>
    <row r="71" spans="1:12" ht="21.75" thickBot="1" x14ac:dyDescent="0.3">
      <c r="A71" s="143" t="s">
        <v>44</v>
      </c>
      <c r="B71" s="142"/>
      <c r="C71" s="142"/>
      <c r="D71" s="152">
        <f>SUM(D63:D70)</f>
        <v>28827.073601102646</v>
      </c>
      <c r="E71" s="152">
        <f t="shared" ref="E71:K71" si="4">SUM(E63:E70)</f>
        <v>8509.9856653646566</v>
      </c>
      <c r="F71" s="152">
        <f t="shared" si="4"/>
        <v>0</v>
      </c>
      <c r="G71" s="152">
        <f t="shared" si="4"/>
        <v>0</v>
      </c>
      <c r="H71" s="152">
        <f>SUM(H63:H70)</f>
        <v>28425.028107762882</v>
      </c>
      <c r="I71" s="152">
        <f t="shared" si="4"/>
        <v>2689.3585755364129</v>
      </c>
      <c r="J71" s="152">
        <f t="shared" si="4"/>
        <v>0</v>
      </c>
      <c r="K71" s="152">
        <f t="shared" si="4"/>
        <v>-177565.77999999997</v>
      </c>
    </row>
    <row r="72" spans="1:12" ht="21.75" thickBot="1" x14ac:dyDescent="0.3">
      <c r="A72" s="143" t="s">
        <v>45</v>
      </c>
      <c r="B72" s="142"/>
      <c r="C72" s="142"/>
      <c r="D72" s="152">
        <f>D71+D62+D54+D21+D8</f>
        <v>1025410.523512848</v>
      </c>
      <c r="E72" s="152">
        <f t="shared" ref="E72:J72" si="5">E71+E62+E54+E21+E8</f>
        <v>175481.88122460066</v>
      </c>
      <c r="F72" s="152">
        <f t="shared" si="5"/>
        <v>1259568.6352983855</v>
      </c>
      <c r="G72" s="152">
        <f t="shared" si="5"/>
        <v>0</v>
      </c>
      <c r="H72" s="152">
        <f>H71+H62+H54+H21+H8</f>
        <v>1147247.7911543606</v>
      </c>
      <c r="I72" s="152">
        <f t="shared" si="5"/>
        <v>152007.07119467683</v>
      </c>
      <c r="J72" s="152">
        <f t="shared" si="5"/>
        <v>5408934.60289835</v>
      </c>
      <c r="K72" s="152">
        <f>K71+K62+K54+K21+K8</f>
        <v>6710095.3700000029</v>
      </c>
    </row>
    <row r="73" spans="1:12" x14ac:dyDescent="0.25">
      <c r="C73"/>
      <c r="F73" s="3"/>
      <c r="H73"/>
      <c r="I73"/>
      <c r="J73" s="10"/>
    </row>
    <row r="74" spans="1:12" x14ac:dyDescent="0.25">
      <c r="C74"/>
      <c r="F74" s="3"/>
      <c r="H74"/>
      <c r="I74"/>
    </row>
    <row r="75" spans="1:12" x14ac:dyDescent="0.25">
      <c r="C75"/>
      <c r="F75" s="3"/>
      <c r="H75"/>
      <c r="I75"/>
    </row>
    <row r="76" spans="1:12" x14ac:dyDescent="0.25">
      <c r="C76"/>
      <c r="F76" s="3"/>
      <c r="H76"/>
      <c r="I76"/>
    </row>
    <row r="77" spans="1:12" x14ac:dyDescent="0.25">
      <c r="C77"/>
      <c r="F77" s="3"/>
      <c r="H77"/>
      <c r="I77"/>
    </row>
    <row r="78" spans="1:12" x14ac:dyDescent="0.25">
      <c r="C78"/>
      <c r="F78" s="3"/>
      <c r="H78"/>
      <c r="I78"/>
    </row>
    <row r="79" spans="1:12" x14ac:dyDescent="0.25">
      <c r="C79"/>
      <c r="F79" s="3"/>
      <c r="H79"/>
      <c r="I79"/>
    </row>
    <row r="80" spans="1:12" x14ac:dyDescent="0.25">
      <c r="C80"/>
      <c r="F80" s="3"/>
      <c r="H80"/>
      <c r="I80"/>
    </row>
  </sheetData>
  <autoFilter ref="A2:L72" xr:uid="{4219A6CA-D251-4DF4-BDA3-15E6C5643ED5}"/>
  <mergeCells count="2">
    <mergeCell ref="D1:G1"/>
    <mergeCell ref="H1:K1"/>
  </mergeCells>
  <conditionalFormatting sqref="A1">
    <cfRule type="duplicateValues" dxfId="203" priority="23"/>
    <cfRule type="duplicateValues" dxfId="202" priority="24"/>
  </conditionalFormatting>
  <conditionalFormatting sqref="A14">
    <cfRule type="duplicateValues" dxfId="201" priority="13"/>
    <cfRule type="duplicateValues" dxfId="200" priority="14"/>
  </conditionalFormatting>
  <conditionalFormatting sqref="A55">
    <cfRule type="duplicateValues" dxfId="199" priority="15"/>
    <cfRule type="duplicateValues" dxfId="198" priority="16"/>
  </conditionalFormatting>
  <conditionalFormatting sqref="A56:A58 A7 A22:A53 A60">
    <cfRule type="duplicateValues" dxfId="197" priority="21"/>
    <cfRule type="duplicateValues" dxfId="196" priority="22"/>
  </conditionalFormatting>
  <conditionalFormatting sqref="A59">
    <cfRule type="duplicateValues" dxfId="195" priority="11"/>
    <cfRule type="duplicateValues" dxfId="194" priority="12"/>
  </conditionalFormatting>
  <conditionalFormatting sqref="A63:A70">
    <cfRule type="duplicateValues" dxfId="193" priority="19"/>
    <cfRule type="duplicateValues" dxfId="192" priority="20"/>
  </conditionalFormatting>
  <conditionalFormatting sqref="A71:A72 A2:A6 A8:A13 A15:A21 A54 A62">
    <cfRule type="duplicateValues" dxfId="191" priority="17"/>
    <cfRule type="duplicateValues" dxfId="190" priority="18"/>
  </conditionalFormatting>
  <conditionalFormatting sqref="D8:F8">
    <cfRule type="duplicateValues" dxfId="189" priority="1"/>
    <cfRule type="duplicateValues" dxfId="188" priority="2"/>
  </conditionalFormatting>
  <conditionalFormatting sqref="D21:K21">
    <cfRule type="duplicateValues" dxfId="187" priority="7"/>
    <cfRule type="duplicateValues" dxfId="186" priority="8"/>
  </conditionalFormatting>
  <conditionalFormatting sqref="D54:K54">
    <cfRule type="duplicateValues" dxfId="185" priority="5"/>
    <cfRule type="duplicateValues" dxfId="184" priority="6"/>
  </conditionalFormatting>
  <conditionalFormatting sqref="D62:K62">
    <cfRule type="duplicateValues" dxfId="183" priority="3"/>
    <cfRule type="duplicateValues" dxfId="182" priority="4"/>
  </conditionalFormatting>
  <conditionalFormatting sqref="G8:K8">
    <cfRule type="duplicateValues" dxfId="181" priority="9"/>
    <cfRule type="duplicateValues" dxfId="180" priority="10"/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92088-57B0-4CA1-9D21-345272FEC0C7}">
  <sheetPr>
    <tabColor theme="5" tint="-0.249977111117893"/>
  </sheetPr>
  <dimension ref="A1:M72"/>
  <sheetViews>
    <sheetView rightToLeft="1" zoomScaleNormal="100" workbookViewId="0">
      <pane ySplit="3" topLeftCell="A4" activePane="bottomLeft" state="frozen"/>
      <selection pane="bottomLeft" activeCell="F14" sqref="F14"/>
    </sheetView>
  </sheetViews>
  <sheetFormatPr defaultColWidth="30.140625" defaultRowHeight="15" x14ac:dyDescent="0.25"/>
  <cols>
    <col min="1" max="1" width="30" style="33" bestFit="1" customWidth="1"/>
    <col min="2" max="2" width="11.42578125" style="33" bestFit="1" customWidth="1"/>
    <col min="3" max="3" width="11.7109375" style="33" bestFit="1" customWidth="1"/>
    <col min="4" max="4" width="16.85546875" bestFit="1" customWidth="1"/>
    <col min="5" max="5" width="15.28515625" bestFit="1" customWidth="1"/>
    <col min="6" max="6" width="16.85546875" bestFit="1" customWidth="1"/>
    <col min="7" max="7" width="19" bestFit="1" customWidth="1"/>
    <col min="8" max="9" width="15.28515625" style="3" bestFit="1" customWidth="1"/>
    <col min="10" max="10" width="16.85546875" style="3" bestFit="1" customWidth="1"/>
    <col min="11" max="11" width="19" bestFit="1" customWidth="1"/>
  </cols>
  <sheetData>
    <row r="1" spans="1:11" ht="21" x14ac:dyDescent="0.25">
      <c r="A1" s="27"/>
      <c r="B1" s="27"/>
      <c r="C1" s="27"/>
      <c r="D1" s="278">
        <v>2025</v>
      </c>
      <c r="E1" s="278"/>
      <c r="F1" s="278"/>
      <c r="G1" s="278"/>
      <c r="H1" s="279">
        <v>2024</v>
      </c>
      <c r="I1" s="279"/>
      <c r="J1" s="279"/>
      <c r="K1" s="279"/>
    </row>
    <row r="2" spans="1:11" ht="21" x14ac:dyDescent="0.25">
      <c r="A2" s="11" t="s">
        <v>0</v>
      </c>
      <c r="B2" s="24" t="s">
        <v>53</v>
      </c>
      <c r="C2" s="24" t="s">
        <v>117</v>
      </c>
      <c r="D2" s="13" t="s">
        <v>46</v>
      </c>
      <c r="E2" s="13" t="s">
        <v>47</v>
      </c>
      <c r="F2" s="13" t="s">
        <v>48</v>
      </c>
      <c r="G2" s="13" t="s">
        <v>49</v>
      </c>
      <c r="H2" s="109" t="s">
        <v>46</v>
      </c>
      <c r="I2" s="109" t="s">
        <v>47</v>
      </c>
      <c r="J2" s="109" t="s">
        <v>48</v>
      </c>
      <c r="K2" s="109" t="s">
        <v>97</v>
      </c>
    </row>
    <row r="3" spans="1:11" ht="15.75" x14ac:dyDescent="0.25">
      <c r="A3" s="27" t="s">
        <v>1</v>
      </c>
      <c r="B3" s="27" t="s">
        <v>116</v>
      </c>
      <c r="C3" s="27" t="s">
        <v>58</v>
      </c>
      <c r="D3" s="14"/>
      <c r="E3" s="14">
        <v>19053.560000000001</v>
      </c>
      <c r="F3" s="14"/>
      <c r="G3" s="14"/>
      <c r="H3" s="110"/>
      <c r="I3" s="110">
        <f>3808.34+6857.53</f>
        <v>10665.869999999999</v>
      </c>
      <c r="J3" s="110"/>
      <c r="K3" s="110"/>
    </row>
    <row r="4" spans="1:11" ht="15.75" x14ac:dyDescent="0.25">
      <c r="A4" s="27" t="s">
        <v>2</v>
      </c>
      <c r="B4" s="27" t="s">
        <v>116</v>
      </c>
      <c r="C4" s="27" t="s">
        <v>58</v>
      </c>
      <c r="D4" s="14"/>
      <c r="E4" s="14"/>
      <c r="F4" s="14"/>
      <c r="G4" s="14"/>
      <c r="H4" s="110"/>
      <c r="I4" s="110">
        <f>VLOOKUP(A4,[4]איילון!$A:$E,3,0)</f>
        <v>0</v>
      </c>
      <c r="J4" s="110"/>
      <c r="K4" s="110"/>
    </row>
    <row r="5" spans="1:11" ht="15.75" x14ac:dyDescent="0.25">
      <c r="A5" s="27" t="s">
        <v>112</v>
      </c>
      <c r="B5" s="27" t="s">
        <v>116</v>
      </c>
      <c r="C5" s="27" t="s">
        <v>58</v>
      </c>
      <c r="D5" s="14"/>
      <c r="E5" s="14">
        <f>7031.54+1183</f>
        <v>8214.5400000000009</v>
      </c>
      <c r="F5" s="14"/>
      <c r="G5" s="14"/>
      <c r="H5" s="110"/>
      <c r="I5" s="110"/>
      <c r="J5" s="110"/>
      <c r="K5" s="110"/>
    </row>
    <row r="6" spans="1:11" ht="15.75" x14ac:dyDescent="0.25">
      <c r="A6" s="29" t="s">
        <v>113</v>
      </c>
      <c r="B6" s="27" t="s">
        <v>116</v>
      </c>
      <c r="C6" s="29" t="s">
        <v>58</v>
      </c>
      <c r="D6" s="15"/>
      <c r="E6" s="15"/>
      <c r="F6" s="15"/>
      <c r="G6" s="15"/>
      <c r="H6" s="137"/>
      <c r="I6" s="110">
        <f>2185.94+8255.16</f>
        <v>10441.1</v>
      </c>
      <c r="J6" s="137"/>
      <c r="K6" s="137"/>
    </row>
    <row r="7" spans="1:11" ht="16.5" thickBot="1" x14ac:dyDescent="0.3">
      <c r="A7" s="27" t="s">
        <v>34</v>
      </c>
      <c r="B7" s="27" t="s">
        <v>116</v>
      </c>
      <c r="C7" s="27" t="s">
        <v>58</v>
      </c>
      <c r="D7" s="14"/>
      <c r="E7" s="14"/>
      <c r="F7" s="14"/>
      <c r="G7" s="14"/>
      <c r="H7" s="110"/>
      <c r="I7" s="110">
        <v>762.49</v>
      </c>
      <c r="J7" s="110"/>
      <c r="K7" s="110"/>
    </row>
    <row r="8" spans="1:11" ht="21.75" thickBot="1" x14ac:dyDescent="0.3">
      <c r="A8" s="143" t="s">
        <v>3</v>
      </c>
      <c r="B8" s="142"/>
      <c r="C8" s="142"/>
      <c r="D8" s="230">
        <f>SUM(D3:D7)</f>
        <v>0</v>
      </c>
      <c r="E8" s="230">
        <f t="shared" ref="E8:K8" si="0">SUM(E3:E7)</f>
        <v>27268.100000000002</v>
      </c>
      <c r="F8" s="230">
        <f t="shared" si="0"/>
        <v>0</v>
      </c>
      <c r="G8" s="230">
        <f t="shared" si="0"/>
        <v>0</v>
      </c>
      <c r="H8" s="230">
        <f t="shared" si="0"/>
        <v>0</v>
      </c>
      <c r="I8" s="230">
        <f t="shared" si="0"/>
        <v>21869.460000000003</v>
      </c>
      <c r="J8" s="230">
        <f t="shared" si="0"/>
        <v>0</v>
      </c>
      <c r="K8" s="230">
        <f t="shared" si="0"/>
        <v>0</v>
      </c>
    </row>
    <row r="9" spans="1:11" ht="15.75" x14ac:dyDescent="0.25">
      <c r="A9" s="28" t="s">
        <v>4</v>
      </c>
      <c r="B9" s="27" t="s">
        <v>116</v>
      </c>
      <c r="C9" s="28" t="s">
        <v>114</v>
      </c>
      <c r="D9" s="18"/>
      <c r="E9" s="18"/>
      <c r="F9" s="18"/>
      <c r="G9" s="18"/>
      <c r="H9" s="140"/>
      <c r="I9" s="110">
        <f>VLOOKUP(A9,[4]איילון!$A:$E,3,0)</f>
        <v>0</v>
      </c>
      <c r="J9" s="140"/>
      <c r="K9" s="140"/>
    </row>
    <row r="10" spans="1:11" ht="15.75" x14ac:dyDescent="0.25">
      <c r="A10" s="27" t="s">
        <v>5</v>
      </c>
      <c r="B10" s="27" t="s">
        <v>116</v>
      </c>
      <c r="C10" s="27" t="s">
        <v>114</v>
      </c>
      <c r="D10" s="14"/>
      <c r="E10" s="14"/>
      <c r="F10" s="14"/>
      <c r="G10" s="14"/>
      <c r="H10" s="110"/>
      <c r="I10" s="110"/>
      <c r="J10" s="110"/>
      <c r="K10" s="110"/>
    </row>
    <row r="11" spans="1:11" ht="15.75" x14ac:dyDescent="0.25">
      <c r="A11" s="27" t="s">
        <v>6</v>
      </c>
      <c r="B11" s="27" t="s">
        <v>116</v>
      </c>
      <c r="C11" s="27" t="s">
        <v>114</v>
      </c>
      <c r="D11" s="14"/>
      <c r="E11" s="14"/>
      <c r="F11" s="14"/>
      <c r="G11" s="14"/>
      <c r="H11" s="110"/>
      <c r="I11" s="110">
        <v>4944</v>
      </c>
      <c r="J11" s="110"/>
      <c r="K11" s="110"/>
    </row>
    <row r="12" spans="1:11" ht="15.75" x14ac:dyDescent="0.25">
      <c r="A12" s="27" t="s">
        <v>7</v>
      </c>
      <c r="B12" s="27" t="s">
        <v>116</v>
      </c>
      <c r="C12" s="27" t="s">
        <v>114</v>
      </c>
      <c r="D12" s="14"/>
      <c r="E12" s="14"/>
      <c r="F12" s="14"/>
      <c r="G12" s="14"/>
      <c r="H12" s="110"/>
      <c r="I12" s="110"/>
      <c r="J12" s="110"/>
      <c r="K12" s="110"/>
    </row>
    <row r="13" spans="1:11" ht="15.75" x14ac:dyDescent="0.25">
      <c r="A13" s="27" t="s">
        <v>8</v>
      </c>
      <c r="B13" s="27" t="s">
        <v>116</v>
      </c>
      <c r="C13" s="27" t="s">
        <v>114</v>
      </c>
      <c r="D13" s="14"/>
      <c r="F13" s="14"/>
      <c r="G13" s="14"/>
      <c r="H13" s="110"/>
      <c r="I13" s="110">
        <v>3325.12</v>
      </c>
      <c r="J13" s="110"/>
      <c r="K13" s="110"/>
    </row>
    <row r="14" spans="1:11" ht="15.75" x14ac:dyDescent="0.25">
      <c r="A14" s="27" t="s">
        <v>9</v>
      </c>
      <c r="B14" s="27" t="s">
        <v>116</v>
      </c>
      <c r="C14" s="27" t="s">
        <v>114</v>
      </c>
      <c r="D14" s="14"/>
      <c r="E14" s="14"/>
      <c r="F14" s="14"/>
      <c r="G14" s="14"/>
      <c r="H14" s="110"/>
      <c r="I14" s="110">
        <v>1496.51</v>
      </c>
      <c r="J14" s="110"/>
      <c r="K14" s="110"/>
    </row>
    <row r="15" spans="1:11" ht="15.75" x14ac:dyDescent="0.25">
      <c r="A15" s="27" t="s">
        <v>31</v>
      </c>
      <c r="B15" s="27" t="s">
        <v>116</v>
      </c>
      <c r="C15" s="27" t="s">
        <v>114</v>
      </c>
      <c r="D15" s="14"/>
      <c r="E15" s="14"/>
      <c r="F15" s="14"/>
      <c r="G15" s="14"/>
      <c r="H15" s="110"/>
      <c r="I15" s="110"/>
      <c r="J15" s="110"/>
      <c r="K15" s="110"/>
    </row>
    <row r="16" spans="1:11" ht="15.75" x14ac:dyDescent="0.25">
      <c r="A16" s="27" t="s">
        <v>104</v>
      </c>
      <c r="B16" s="27" t="s">
        <v>116</v>
      </c>
      <c r="C16" s="27" t="s">
        <v>114</v>
      </c>
      <c r="D16" s="14"/>
      <c r="E16" s="14"/>
      <c r="F16" s="14"/>
      <c r="G16" s="14"/>
      <c r="H16" s="110"/>
      <c r="I16" s="110"/>
      <c r="J16" s="110"/>
      <c r="K16" s="110"/>
    </row>
    <row r="17" spans="1:11" ht="15.75" x14ac:dyDescent="0.25">
      <c r="A17" s="27" t="s">
        <v>42</v>
      </c>
      <c r="B17" s="27" t="s">
        <v>116</v>
      </c>
      <c r="C17" s="27" t="s">
        <v>114</v>
      </c>
      <c r="D17" s="14"/>
      <c r="E17" s="14">
        <v>12698.76</v>
      </c>
      <c r="F17" s="14"/>
      <c r="G17" s="14"/>
      <c r="H17" s="110"/>
      <c r="I17" s="110">
        <v>9333.7099999999991</v>
      </c>
      <c r="J17" s="110"/>
      <c r="K17" s="110"/>
    </row>
    <row r="18" spans="1:11" ht="15.75" x14ac:dyDescent="0.25">
      <c r="A18" s="27" t="s">
        <v>43</v>
      </c>
      <c r="B18" s="27" t="s">
        <v>116</v>
      </c>
      <c r="C18" s="27" t="s">
        <v>114</v>
      </c>
      <c r="D18" s="14"/>
      <c r="E18" s="14"/>
      <c r="F18" s="14"/>
      <c r="G18" s="14"/>
      <c r="H18" s="110"/>
      <c r="I18" s="110">
        <v>466.06</v>
      </c>
      <c r="J18" s="110"/>
      <c r="K18" s="110"/>
    </row>
    <row r="19" spans="1:11" ht="15.75" x14ac:dyDescent="0.25">
      <c r="A19" s="27" t="s">
        <v>30</v>
      </c>
      <c r="B19" s="27" t="s">
        <v>116</v>
      </c>
      <c r="C19" s="27" t="s">
        <v>114</v>
      </c>
      <c r="D19" s="14"/>
      <c r="E19" s="14"/>
      <c r="F19" s="14"/>
      <c r="G19" s="14"/>
      <c r="H19" s="110"/>
      <c r="I19" s="110"/>
      <c r="J19" s="110"/>
      <c r="K19" s="110"/>
    </row>
    <row r="20" spans="1:11" ht="16.5" thickBot="1" x14ac:dyDescent="0.3">
      <c r="A20" s="29" t="s">
        <v>38</v>
      </c>
      <c r="B20" s="27" t="s">
        <v>116</v>
      </c>
      <c r="C20" s="29" t="s">
        <v>114</v>
      </c>
      <c r="D20" s="15"/>
      <c r="E20" s="15"/>
      <c r="F20" s="15"/>
      <c r="G20" s="15"/>
      <c r="H20" s="137"/>
      <c r="I20" s="110"/>
      <c r="J20" s="137"/>
      <c r="K20" s="137"/>
    </row>
    <row r="21" spans="1:11" ht="21.75" thickBot="1" x14ac:dyDescent="0.3">
      <c r="A21" s="143" t="s">
        <v>10</v>
      </c>
      <c r="B21" s="142"/>
      <c r="C21" s="142"/>
      <c r="D21" s="230">
        <f>SUM(D9:D20)</f>
        <v>0</v>
      </c>
      <c r="E21" s="230">
        <f t="shared" ref="E21:K21" si="1">SUM(E9:E20)</f>
        <v>12698.76</v>
      </c>
      <c r="F21" s="230">
        <f t="shared" si="1"/>
        <v>0</v>
      </c>
      <c r="G21" s="230">
        <f t="shared" si="1"/>
        <v>0</v>
      </c>
      <c r="H21" s="230">
        <f t="shared" si="1"/>
        <v>0</v>
      </c>
      <c r="I21" s="230">
        <f t="shared" si="1"/>
        <v>19565.399999999998</v>
      </c>
      <c r="J21" s="230">
        <f t="shared" si="1"/>
        <v>0</v>
      </c>
      <c r="K21" s="230">
        <f t="shared" si="1"/>
        <v>0</v>
      </c>
    </row>
    <row r="22" spans="1:11" ht="15.75" x14ac:dyDescent="0.25">
      <c r="A22" s="28" t="s">
        <v>11</v>
      </c>
      <c r="B22" s="28" t="s">
        <v>56</v>
      </c>
      <c r="C22" s="28" t="s">
        <v>115</v>
      </c>
      <c r="D22" s="18"/>
      <c r="E22" s="18"/>
      <c r="F22" s="18"/>
      <c r="G22" s="18"/>
      <c r="H22" s="140"/>
      <c r="I22" s="110">
        <f>VLOOKUP(A22,[4]איילון!$A:$E,3,0)</f>
        <v>0</v>
      </c>
      <c r="J22" s="140"/>
      <c r="K22" s="140"/>
    </row>
    <row r="23" spans="1:11" ht="15.75" x14ac:dyDescent="0.25">
      <c r="A23" s="31" t="s">
        <v>12</v>
      </c>
      <c r="B23" s="27" t="s">
        <v>56</v>
      </c>
      <c r="C23" s="27" t="s">
        <v>115</v>
      </c>
      <c r="D23" s="14"/>
      <c r="E23" s="14"/>
      <c r="F23" s="14"/>
      <c r="G23" s="14"/>
      <c r="H23" s="110"/>
      <c r="I23" s="110">
        <f>VLOOKUP(A23,[4]איילון!$A:$E,3,0)</f>
        <v>0</v>
      </c>
      <c r="J23" s="110"/>
      <c r="K23" s="110"/>
    </row>
    <row r="24" spans="1:11" ht="15.75" x14ac:dyDescent="0.25">
      <c r="A24" s="31" t="s">
        <v>13</v>
      </c>
      <c r="B24" s="27" t="s">
        <v>56</v>
      </c>
      <c r="C24" s="27" t="s">
        <v>115</v>
      </c>
      <c r="D24" s="14"/>
      <c r="E24" s="14"/>
      <c r="F24" s="14"/>
      <c r="G24" s="14"/>
      <c r="H24" s="110"/>
      <c r="I24" s="110">
        <f>VLOOKUP(A24,[4]איילון!$A:$E,3,0)</f>
        <v>0</v>
      </c>
      <c r="J24" s="110"/>
      <c r="K24" s="110"/>
    </row>
    <row r="25" spans="1:11" ht="15.75" x14ac:dyDescent="0.25">
      <c r="A25" s="27" t="s">
        <v>14</v>
      </c>
      <c r="B25" s="27" t="s">
        <v>55</v>
      </c>
      <c r="C25" s="27" t="s">
        <v>115</v>
      </c>
      <c r="D25" s="14"/>
      <c r="E25" s="14"/>
      <c r="F25" s="14"/>
      <c r="G25" s="14"/>
      <c r="H25" s="110"/>
      <c r="I25" s="110"/>
      <c r="J25" s="110"/>
      <c r="K25" s="110"/>
    </row>
    <row r="26" spans="1:11" ht="15.75" x14ac:dyDescent="0.25">
      <c r="A26" s="31" t="s">
        <v>15</v>
      </c>
      <c r="B26" s="27" t="s">
        <v>56</v>
      </c>
      <c r="C26" s="27" t="s">
        <v>115</v>
      </c>
      <c r="D26" s="14"/>
      <c r="E26" s="14">
        <v>4247.2</v>
      </c>
      <c r="F26" s="14"/>
      <c r="G26" s="14"/>
      <c r="H26" s="110"/>
      <c r="I26" s="110">
        <v>7773.82</v>
      </c>
      <c r="J26" s="110"/>
      <c r="K26" s="110"/>
    </row>
    <row r="27" spans="1:11" ht="15.75" x14ac:dyDescent="0.25">
      <c r="A27" s="31" t="s">
        <v>17</v>
      </c>
      <c r="B27" s="27" t="s">
        <v>56</v>
      </c>
      <c r="C27" s="27" t="s">
        <v>115</v>
      </c>
      <c r="D27" s="14"/>
      <c r="E27" s="14"/>
      <c r="F27" s="14"/>
      <c r="G27" s="14"/>
      <c r="H27" s="110"/>
      <c r="I27" s="110"/>
      <c r="J27" s="110"/>
      <c r="K27" s="110"/>
    </row>
    <row r="28" spans="1:11" ht="15.75" x14ac:dyDescent="0.25">
      <c r="A28" s="31" t="s">
        <v>18</v>
      </c>
      <c r="B28" s="27" t="s">
        <v>56</v>
      </c>
      <c r="C28" s="27" t="s">
        <v>115</v>
      </c>
      <c r="D28" s="14"/>
      <c r="E28" s="14"/>
      <c r="F28" s="14"/>
      <c r="G28" s="14"/>
      <c r="H28" s="110"/>
      <c r="I28" s="110">
        <f>VLOOKUP(A28,[4]איילון!$A:$E,3,0)</f>
        <v>0</v>
      </c>
      <c r="J28" s="110"/>
      <c r="K28" s="110"/>
    </row>
    <row r="29" spans="1:11" ht="15.75" x14ac:dyDescent="0.25">
      <c r="A29" s="27" t="s">
        <v>19</v>
      </c>
      <c r="B29" s="27" t="s">
        <v>56</v>
      </c>
      <c r="C29" s="27" t="s">
        <v>115</v>
      </c>
      <c r="D29" s="14"/>
      <c r="E29" s="14"/>
      <c r="F29" s="14"/>
      <c r="G29" s="14"/>
      <c r="H29" s="110"/>
      <c r="I29" s="110">
        <f>VLOOKUP(A29,[4]איילון!$A:$E,3,0)</f>
        <v>0</v>
      </c>
      <c r="J29" s="110"/>
      <c r="K29" s="110"/>
    </row>
    <row r="30" spans="1:11" ht="15.75" x14ac:dyDescent="0.25">
      <c r="A30" s="27" t="s">
        <v>20</v>
      </c>
      <c r="B30" s="27" t="s">
        <v>56</v>
      </c>
      <c r="C30" s="27" t="s">
        <v>115</v>
      </c>
      <c r="D30" s="14"/>
      <c r="E30" s="14"/>
      <c r="F30" s="14"/>
      <c r="G30" s="14"/>
      <c r="H30" s="110"/>
      <c r="I30" s="110">
        <f>VLOOKUP(A30,[4]איילון!$A:$E,3,0)</f>
        <v>0</v>
      </c>
      <c r="J30" s="110"/>
      <c r="K30" s="110"/>
    </row>
    <row r="31" spans="1:11" ht="15.75" x14ac:dyDescent="0.25">
      <c r="A31" s="27" t="s">
        <v>21</v>
      </c>
      <c r="B31" s="27" t="s">
        <v>56</v>
      </c>
      <c r="C31" s="27" t="s">
        <v>115</v>
      </c>
      <c r="D31" s="14"/>
      <c r="E31" s="14"/>
      <c r="F31" s="14"/>
      <c r="G31" s="14"/>
      <c r="H31" s="110"/>
      <c r="I31" s="110">
        <f>VLOOKUP(A31,[4]איילון!$A:$E,3,0)</f>
        <v>0</v>
      </c>
      <c r="J31" s="110"/>
      <c r="K31" s="110"/>
    </row>
    <row r="32" spans="1:11" ht="15.75" x14ac:dyDescent="0.25">
      <c r="A32" s="27" t="s">
        <v>22</v>
      </c>
      <c r="B32" s="27" t="s">
        <v>56</v>
      </c>
      <c r="C32" s="27" t="s">
        <v>115</v>
      </c>
      <c r="D32" s="14"/>
      <c r="E32" s="14"/>
      <c r="F32" s="14"/>
      <c r="G32" s="14"/>
      <c r="H32" s="110"/>
      <c r="I32" s="110">
        <f>VLOOKUP(A32,[4]איילון!$A:$E,3,0)</f>
        <v>0</v>
      </c>
      <c r="J32" s="110"/>
      <c r="K32" s="110"/>
    </row>
    <row r="33" spans="1:12" ht="15.75" x14ac:dyDescent="0.25">
      <c r="A33" s="27" t="s">
        <v>23</v>
      </c>
      <c r="B33" s="27" t="s">
        <v>56</v>
      </c>
      <c r="C33" s="27" t="s">
        <v>115</v>
      </c>
      <c r="D33" s="14"/>
      <c r="E33" s="14"/>
      <c r="F33" s="14"/>
      <c r="G33" s="14"/>
      <c r="H33" s="110"/>
      <c r="I33" s="110">
        <f>VLOOKUP(A33,[4]איילון!$A:$E,3,0)</f>
        <v>0</v>
      </c>
      <c r="J33" s="110"/>
      <c r="K33" s="110"/>
    </row>
    <row r="34" spans="1:12" ht="15.75" x14ac:dyDescent="0.25">
      <c r="A34" s="27" t="s">
        <v>24</v>
      </c>
      <c r="B34" s="27" t="s">
        <v>56</v>
      </c>
      <c r="C34" s="27" t="s">
        <v>115</v>
      </c>
      <c r="D34" s="14"/>
      <c r="E34" s="14"/>
      <c r="F34" s="14"/>
      <c r="G34" s="14"/>
      <c r="H34" s="110"/>
      <c r="I34" s="110">
        <f>VLOOKUP(A34,[4]איילון!$A:$E,3,0)</f>
        <v>0</v>
      </c>
      <c r="J34" s="110"/>
      <c r="K34" s="110"/>
    </row>
    <row r="35" spans="1:12" ht="15.75" x14ac:dyDescent="0.25">
      <c r="A35" s="31" t="s">
        <v>25</v>
      </c>
      <c r="B35" s="27" t="s">
        <v>56</v>
      </c>
      <c r="C35" s="27" t="s">
        <v>115</v>
      </c>
      <c r="D35" s="14"/>
      <c r="E35" s="14"/>
      <c r="F35" s="14"/>
      <c r="G35" s="14"/>
      <c r="H35" s="110"/>
      <c r="I35" s="110">
        <f>VLOOKUP(A35,[4]איילון!$A:$E,3,0)</f>
        <v>0</v>
      </c>
      <c r="J35" s="110"/>
      <c r="K35" s="110"/>
    </row>
    <row r="36" spans="1:12" ht="15.75" x14ac:dyDescent="0.25">
      <c r="A36" s="27" t="s">
        <v>26</v>
      </c>
      <c r="B36" s="27" t="s">
        <v>56</v>
      </c>
      <c r="C36" s="27" t="s">
        <v>115</v>
      </c>
      <c r="D36" s="14"/>
      <c r="E36" s="14"/>
      <c r="F36" s="14"/>
      <c r="G36" s="14"/>
      <c r="H36" s="110"/>
      <c r="I36" s="110">
        <f>VLOOKUP(A36,[4]איילון!$A:$E,3,0)</f>
        <v>0</v>
      </c>
      <c r="J36" s="110"/>
      <c r="K36" s="110"/>
    </row>
    <row r="37" spans="1:12" ht="15.75" x14ac:dyDescent="0.25">
      <c r="A37" s="27" t="s">
        <v>27</v>
      </c>
      <c r="B37" s="27" t="s">
        <v>56</v>
      </c>
      <c r="C37" s="27" t="s">
        <v>115</v>
      </c>
      <c r="D37" s="14"/>
      <c r="E37" s="14"/>
      <c r="F37" s="14"/>
      <c r="G37" s="14"/>
      <c r="H37" s="110"/>
      <c r="I37" s="110">
        <f>VLOOKUP(A37,[4]איילון!$A:$E,3,0)</f>
        <v>0</v>
      </c>
      <c r="J37" s="110"/>
      <c r="K37" s="110"/>
    </row>
    <row r="38" spans="1:12" ht="15.75" x14ac:dyDescent="0.25">
      <c r="A38" s="27" t="s">
        <v>28</v>
      </c>
      <c r="B38" s="27" t="s">
        <v>56</v>
      </c>
      <c r="C38" s="27" t="s">
        <v>115</v>
      </c>
      <c r="D38" s="14"/>
      <c r="E38" s="14"/>
      <c r="F38" s="14"/>
      <c r="G38" s="14"/>
      <c r="H38" s="110"/>
      <c r="I38" s="110">
        <f>VLOOKUP(A38,[4]איילון!$A:$E,3,0)</f>
        <v>0</v>
      </c>
      <c r="J38" s="110"/>
      <c r="K38" s="110"/>
    </row>
    <row r="39" spans="1:12" ht="15.75" x14ac:dyDescent="0.25">
      <c r="A39" s="27" t="s">
        <v>29</v>
      </c>
      <c r="B39" s="27" t="s">
        <v>56</v>
      </c>
      <c r="C39" s="27" t="s">
        <v>115</v>
      </c>
      <c r="D39" s="14"/>
      <c r="E39" s="14"/>
      <c r="F39" s="14"/>
      <c r="G39" s="14"/>
      <c r="H39" s="110"/>
      <c r="I39" s="110">
        <f>VLOOKUP(A39,[4]איילון!$A:$E,3,0)</f>
        <v>0</v>
      </c>
      <c r="J39" s="110"/>
      <c r="K39" s="110"/>
    </row>
    <row r="40" spans="1:12" ht="15.75" x14ac:dyDescent="0.25">
      <c r="A40" s="27" t="s">
        <v>106</v>
      </c>
      <c r="B40" s="27" t="s">
        <v>55</v>
      </c>
      <c r="C40" s="27" t="s">
        <v>115</v>
      </c>
      <c r="D40" s="14"/>
      <c r="E40" s="14"/>
      <c r="F40" s="14"/>
      <c r="G40" s="14"/>
      <c r="H40" s="110"/>
      <c r="I40" s="110"/>
      <c r="J40" s="110"/>
      <c r="K40" s="110"/>
    </row>
    <row r="41" spans="1:12" ht="15.75" x14ac:dyDescent="0.25">
      <c r="A41" s="27" t="s">
        <v>32</v>
      </c>
      <c r="B41" s="27" t="s">
        <v>55</v>
      </c>
      <c r="C41" s="27" t="s">
        <v>115</v>
      </c>
      <c r="D41" s="14"/>
      <c r="E41" s="14"/>
      <c r="F41" s="14"/>
      <c r="G41" s="14"/>
      <c r="H41" s="110"/>
      <c r="I41" s="110"/>
      <c r="J41" s="110"/>
      <c r="K41" s="110"/>
    </row>
    <row r="42" spans="1:12" ht="15.75" x14ac:dyDescent="0.25">
      <c r="A42" s="31" t="s">
        <v>103</v>
      </c>
      <c r="B42" s="27" t="s">
        <v>56</v>
      </c>
      <c r="C42" s="27" t="s">
        <v>115</v>
      </c>
      <c r="D42" s="14"/>
      <c r="E42" s="14"/>
      <c r="F42" s="14"/>
      <c r="G42" s="14"/>
      <c r="H42" s="110"/>
      <c r="I42" s="110"/>
      <c r="J42" s="110"/>
      <c r="K42" s="110"/>
    </row>
    <row r="43" spans="1:12" ht="15.75" x14ac:dyDescent="0.25">
      <c r="A43" s="27" t="s">
        <v>91</v>
      </c>
      <c r="B43" s="27" t="s">
        <v>56</v>
      </c>
      <c r="C43" s="27" t="s">
        <v>115</v>
      </c>
      <c r="D43" s="14"/>
      <c r="E43" s="14"/>
      <c r="F43" s="14"/>
      <c r="G43" s="14"/>
      <c r="H43" s="110"/>
      <c r="I43" s="110"/>
      <c r="J43" s="110"/>
      <c r="K43" s="110"/>
    </row>
    <row r="44" spans="1:12" ht="15.75" x14ac:dyDescent="0.25">
      <c r="A44" s="27" t="s">
        <v>90</v>
      </c>
      <c r="B44" s="27" t="s">
        <v>56</v>
      </c>
      <c r="C44" s="27" t="s">
        <v>115</v>
      </c>
      <c r="D44" s="14"/>
      <c r="E44" s="14"/>
      <c r="F44" s="14"/>
      <c r="G44" s="14"/>
      <c r="H44" s="110"/>
      <c r="I44" s="110"/>
      <c r="J44" s="110"/>
      <c r="K44" s="110"/>
    </row>
    <row r="45" spans="1:12" ht="15.75" x14ac:dyDescent="0.25">
      <c r="A45" s="27" t="s">
        <v>36</v>
      </c>
      <c r="B45" s="27" t="s">
        <v>55</v>
      </c>
      <c r="C45" s="27" t="s">
        <v>115</v>
      </c>
      <c r="D45" s="14"/>
      <c r="E45" s="14"/>
      <c r="F45" s="14"/>
      <c r="G45" s="14"/>
      <c r="H45" s="110"/>
      <c r="I45" s="110"/>
      <c r="J45" s="110"/>
      <c r="K45" s="110"/>
    </row>
    <row r="46" spans="1:12" ht="15.75" x14ac:dyDescent="0.25">
      <c r="A46" s="27" t="s">
        <v>102</v>
      </c>
      <c r="B46" s="27" t="s">
        <v>55</v>
      </c>
      <c r="C46" s="27" t="s">
        <v>115</v>
      </c>
      <c r="D46" s="14"/>
      <c r="E46" s="14"/>
      <c r="F46" s="14"/>
      <c r="G46" s="14"/>
      <c r="H46" s="110"/>
      <c r="I46" s="110"/>
      <c r="J46" s="110"/>
      <c r="K46" s="110"/>
      <c r="L46" s="159"/>
    </row>
    <row r="47" spans="1:12" ht="15.75" x14ac:dyDescent="0.25">
      <c r="A47" s="27" t="s">
        <v>93</v>
      </c>
      <c r="B47" s="27" t="s">
        <v>56</v>
      </c>
      <c r="C47" s="27" t="s">
        <v>115</v>
      </c>
      <c r="D47" s="14"/>
      <c r="E47" s="14"/>
      <c r="F47" s="14"/>
      <c r="G47" s="14"/>
      <c r="H47" s="110"/>
      <c r="I47" s="110">
        <f>VLOOKUP(A47,[4]איילון!$A:$E,3,0)</f>
        <v>0</v>
      </c>
      <c r="J47" s="110"/>
      <c r="K47" s="110"/>
    </row>
    <row r="48" spans="1:12" ht="15.75" x14ac:dyDescent="0.25">
      <c r="A48" s="27" t="s">
        <v>95</v>
      </c>
      <c r="B48" s="27" t="s">
        <v>56</v>
      </c>
      <c r="C48" s="27" t="s">
        <v>115</v>
      </c>
      <c r="D48" s="14"/>
      <c r="E48" s="14"/>
      <c r="F48" s="14"/>
      <c r="G48" s="14"/>
      <c r="H48" s="110"/>
      <c r="I48" s="110">
        <v>2739.17</v>
      </c>
      <c r="J48" s="110"/>
      <c r="K48" s="110"/>
    </row>
    <row r="49" spans="1:13" ht="15.75" x14ac:dyDescent="0.25">
      <c r="A49" s="27" t="s">
        <v>105</v>
      </c>
      <c r="B49" s="27" t="s">
        <v>56</v>
      </c>
      <c r="C49" s="27" t="s">
        <v>115</v>
      </c>
      <c r="D49" s="14"/>
      <c r="E49" s="14"/>
      <c r="F49" s="14"/>
      <c r="G49" s="14"/>
      <c r="H49" s="110"/>
      <c r="I49" s="110"/>
      <c r="J49" s="110"/>
      <c r="K49" s="110"/>
    </row>
    <row r="50" spans="1:13" ht="15.75" x14ac:dyDescent="0.25">
      <c r="A50" s="27" t="s">
        <v>39</v>
      </c>
      <c r="B50" s="27" t="s">
        <v>56</v>
      </c>
      <c r="C50" s="27" t="s">
        <v>115</v>
      </c>
      <c r="D50" s="14"/>
      <c r="E50" s="14"/>
      <c r="F50" s="14"/>
      <c r="G50" s="14"/>
      <c r="H50" s="110"/>
      <c r="I50" s="110">
        <f>VLOOKUP(A50,[4]איילון!$A:$E,3,0)</f>
        <v>0</v>
      </c>
      <c r="J50" s="110"/>
      <c r="K50" s="110"/>
    </row>
    <row r="51" spans="1:13" ht="15.75" x14ac:dyDescent="0.25">
      <c r="A51" s="27" t="s">
        <v>99</v>
      </c>
      <c r="B51" s="27" t="s">
        <v>56</v>
      </c>
      <c r="C51" s="27" t="s">
        <v>115</v>
      </c>
      <c r="D51" s="14"/>
      <c r="E51" s="14"/>
      <c r="F51" s="14"/>
      <c r="G51" s="14"/>
      <c r="H51" s="110"/>
      <c r="I51" s="110">
        <f>VLOOKUP(A51,[4]איילון!$A:$E,3,0)</f>
        <v>0</v>
      </c>
      <c r="J51" s="110"/>
      <c r="K51" s="110"/>
    </row>
    <row r="52" spans="1:13" ht="15.75" x14ac:dyDescent="0.25">
      <c r="A52" s="27" t="s">
        <v>41</v>
      </c>
      <c r="B52" s="27" t="s">
        <v>56</v>
      </c>
      <c r="C52" s="27" t="s">
        <v>115</v>
      </c>
      <c r="D52" s="14"/>
      <c r="E52" s="14"/>
      <c r="F52" s="14"/>
      <c r="G52" s="14"/>
      <c r="H52" s="110"/>
      <c r="I52" s="110">
        <f>VLOOKUP(A52,[4]איילון!$A:$E,3,0)</f>
        <v>0</v>
      </c>
      <c r="J52" s="110"/>
      <c r="K52" s="110"/>
    </row>
    <row r="53" spans="1:13" ht="16.5" thickBot="1" x14ac:dyDescent="0.3">
      <c r="A53" s="29" t="s">
        <v>96</v>
      </c>
      <c r="B53" s="29" t="s">
        <v>56</v>
      </c>
      <c r="C53" s="29" t="s">
        <v>115</v>
      </c>
      <c r="D53" s="15"/>
      <c r="E53" s="15"/>
      <c r="F53" s="15"/>
      <c r="G53" s="15"/>
      <c r="H53" s="137"/>
      <c r="I53" s="110">
        <f>VLOOKUP(A53,[4]איילון!$A:$E,3,0)</f>
        <v>0</v>
      </c>
      <c r="J53" s="137"/>
      <c r="K53" s="137"/>
    </row>
    <row r="54" spans="1:13" ht="21.75" thickBot="1" x14ac:dyDescent="0.3">
      <c r="A54" s="144" t="s">
        <v>124</v>
      </c>
      <c r="B54" s="142"/>
      <c r="C54" s="142"/>
      <c r="D54" s="230">
        <f>SUM(D22:D53)</f>
        <v>0</v>
      </c>
      <c r="E54" s="230">
        <f t="shared" ref="E54:K54" si="2">SUM(E22:E53)</f>
        <v>4247.2</v>
      </c>
      <c r="F54" s="230">
        <f t="shared" si="2"/>
        <v>0</v>
      </c>
      <c r="G54" s="230">
        <f t="shared" si="2"/>
        <v>0</v>
      </c>
      <c r="H54" s="230">
        <f t="shared" si="2"/>
        <v>0</v>
      </c>
      <c r="I54" s="230">
        <f t="shared" si="2"/>
        <v>10512.99</v>
      </c>
      <c r="J54" s="230">
        <f t="shared" si="2"/>
        <v>0</v>
      </c>
      <c r="K54" s="230">
        <f t="shared" si="2"/>
        <v>0</v>
      </c>
    </row>
    <row r="55" spans="1:13" ht="15.75" x14ac:dyDescent="0.25">
      <c r="A55" s="31" t="s">
        <v>33</v>
      </c>
      <c r="B55" s="27" t="s">
        <v>123</v>
      </c>
      <c r="C55" s="27" t="s">
        <v>115</v>
      </c>
      <c r="D55" s="14"/>
      <c r="E55" s="14"/>
      <c r="F55" s="14"/>
      <c r="G55" s="14"/>
      <c r="H55" s="110"/>
      <c r="I55" s="110">
        <f>VLOOKUP(A55,[4]איילון!$A:$E,3,0)</f>
        <v>0</v>
      </c>
      <c r="J55" s="110"/>
      <c r="K55" s="110"/>
    </row>
    <row r="56" spans="1:13" ht="15.75" x14ac:dyDescent="0.25">
      <c r="A56" s="27" t="s">
        <v>92</v>
      </c>
      <c r="B56" s="27" t="s">
        <v>123</v>
      </c>
      <c r="C56" s="27" t="s">
        <v>115</v>
      </c>
      <c r="D56" s="14"/>
      <c r="E56" s="14"/>
      <c r="F56" s="14"/>
      <c r="G56" s="14"/>
      <c r="H56" s="110"/>
      <c r="I56" s="110"/>
      <c r="J56" s="110"/>
      <c r="K56" s="110"/>
    </row>
    <row r="57" spans="1:13" ht="15.75" x14ac:dyDescent="0.25">
      <c r="A57" s="27" t="s">
        <v>37</v>
      </c>
      <c r="B57" s="27" t="s">
        <v>123</v>
      </c>
      <c r="C57" s="27" t="s">
        <v>115</v>
      </c>
      <c r="D57" s="14"/>
      <c r="E57" s="14"/>
      <c r="F57" s="14"/>
      <c r="G57" s="14"/>
      <c r="H57" s="110"/>
      <c r="I57" s="110"/>
      <c r="J57" s="110"/>
      <c r="K57" s="110"/>
      <c r="M57" s="154"/>
    </row>
    <row r="58" spans="1:13" ht="15.75" x14ac:dyDescent="0.25">
      <c r="A58" s="27" t="s">
        <v>35</v>
      </c>
      <c r="B58" s="27" t="s">
        <v>123</v>
      </c>
      <c r="C58" s="27" t="s">
        <v>115</v>
      </c>
      <c r="D58" s="14"/>
      <c r="E58" s="14"/>
      <c r="F58" s="14"/>
      <c r="G58" s="14"/>
      <c r="H58" s="110"/>
      <c r="I58" s="110"/>
      <c r="J58" s="110"/>
      <c r="K58" s="110"/>
      <c r="M58" s="154"/>
    </row>
    <row r="59" spans="1:13" ht="15.75" x14ac:dyDescent="0.25">
      <c r="A59" s="28" t="s">
        <v>94</v>
      </c>
      <c r="B59" s="28" t="s">
        <v>123</v>
      </c>
      <c r="C59" s="28" t="s">
        <v>115</v>
      </c>
      <c r="D59" s="14"/>
      <c r="E59" s="14"/>
      <c r="F59" s="14"/>
      <c r="G59" s="14"/>
      <c r="H59" s="110"/>
      <c r="I59" s="110"/>
      <c r="J59" s="110"/>
      <c r="K59" s="110"/>
      <c r="M59" s="154"/>
    </row>
    <row r="60" spans="1:13" ht="15.75" x14ac:dyDescent="0.25">
      <c r="A60" s="31" t="s">
        <v>16</v>
      </c>
      <c r="B60" s="27" t="s">
        <v>123</v>
      </c>
      <c r="C60" s="27" t="s">
        <v>115</v>
      </c>
      <c r="D60" s="14"/>
      <c r="E60" s="14"/>
      <c r="F60" s="14"/>
      <c r="G60" s="14"/>
      <c r="H60" s="110"/>
      <c r="I60" s="110"/>
      <c r="J60" s="110"/>
      <c r="K60" s="110"/>
    </row>
    <row r="61" spans="1:13" ht="16.5" thickBot="1" x14ac:dyDescent="0.3">
      <c r="A61" s="138" t="s">
        <v>107</v>
      </c>
      <c r="B61" s="27" t="s">
        <v>123</v>
      </c>
      <c r="C61" s="27" t="s">
        <v>115</v>
      </c>
      <c r="D61" s="14"/>
      <c r="E61" s="14">
        <v>2248.08</v>
      </c>
      <c r="F61" s="14"/>
      <c r="G61" s="14"/>
      <c r="H61" s="110"/>
      <c r="I61" s="110"/>
      <c r="J61" s="110"/>
      <c r="K61" s="110"/>
    </row>
    <row r="62" spans="1:13" ht="21.75" thickBot="1" x14ac:dyDescent="0.3">
      <c r="A62" s="144" t="s">
        <v>125</v>
      </c>
      <c r="B62" s="142"/>
      <c r="C62" s="142"/>
      <c r="D62" s="230">
        <f>SUM(D55:D61)</f>
        <v>0</v>
      </c>
      <c r="E62" s="230">
        <f t="shared" ref="E62:K62" si="3">SUM(E55:E61)</f>
        <v>2248.08</v>
      </c>
      <c r="F62" s="230">
        <f t="shared" si="3"/>
        <v>0</v>
      </c>
      <c r="G62" s="230">
        <f t="shared" si="3"/>
        <v>0</v>
      </c>
      <c r="H62" s="230">
        <f t="shared" si="3"/>
        <v>0</v>
      </c>
      <c r="I62" s="230">
        <f t="shared" si="3"/>
        <v>0</v>
      </c>
      <c r="J62" s="230">
        <f t="shared" si="3"/>
        <v>0</v>
      </c>
      <c r="K62" s="230">
        <f t="shared" si="3"/>
        <v>0</v>
      </c>
    </row>
    <row r="63" spans="1:13" ht="15.75" x14ac:dyDescent="0.25">
      <c r="A63" s="28" t="s">
        <v>84</v>
      </c>
      <c r="B63" s="27" t="s">
        <v>116</v>
      </c>
      <c r="C63" s="28" t="s">
        <v>110</v>
      </c>
      <c r="D63" s="18"/>
      <c r="E63" s="18">
        <v>659.17</v>
      </c>
      <c r="F63" s="18"/>
      <c r="G63" s="18"/>
      <c r="H63" s="140"/>
      <c r="I63" s="110">
        <v>461</v>
      </c>
      <c r="J63" s="140"/>
      <c r="K63" s="140"/>
    </row>
    <row r="64" spans="1:13" ht="15.75" x14ac:dyDescent="0.25">
      <c r="A64" s="31" t="s">
        <v>40</v>
      </c>
      <c r="B64" s="27" t="s">
        <v>56</v>
      </c>
      <c r="C64" s="27" t="s">
        <v>111</v>
      </c>
      <c r="D64" s="14"/>
      <c r="E64" s="14"/>
      <c r="F64" s="14"/>
      <c r="G64" s="14"/>
      <c r="H64" s="110"/>
      <c r="I64" s="110"/>
      <c r="J64" s="110"/>
      <c r="K64" s="110"/>
    </row>
    <row r="65" spans="1:12" ht="15.75" x14ac:dyDescent="0.25">
      <c r="A65" s="27" t="s">
        <v>98</v>
      </c>
      <c r="B65" s="27" t="s">
        <v>116</v>
      </c>
      <c r="C65" s="27" t="s">
        <v>111</v>
      </c>
      <c r="D65" s="14"/>
      <c r="E65" s="14"/>
      <c r="F65" s="14"/>
      <c r="G65" s="14"/>
      <c r="H65" s="110"/>
      <c r="I65" s="110"/>
      <c r="J65" s="110"/>
      <c r="K65" s="110"/>
    </row>
    <row r="66" spans="1:12" ht="15.75" x14ac:dyDescent="0.25">
      <c r="A66" s="27" t="s">
        <v>100</v>
      </c>
      <c r="B66" s="27" t="s">
        <v>56</v>
      </c>
      <c r="C66" s="27" t="s">
        <v>111</v>
      </c>
      <c r="D66" s="14"/>
      <c r="E66" s="14"/>
      <c r="F66" s="14"/>
      <c r="G66" s="14"/>
      <c r="H66" s="110"/>
      <c r="I66" s="110"/>
      <c r="J66" s="110"/>
      <c r="K66" s="110"/>
    </row>
    <row r="67" spans="1:12" ht="15.75" x14ac:dyDescent="0.25">
      <c r="A67" s="27" t="s">
        <v>101</v>
      </c>
      <c r="B67" s="27" t="s">
        <v>56</v>
      </c>
      <c r="C67" s="27" t="s">
        <v>111</v>
      </c>
      <c r="D67" s="14"/>
      <c r="E67" s="14"/>
      <c r="F67" s="14"/>
      <c r="G67" s="14"/>
      <c r="H67" s="110"/>
      <c r="I67" s="110"/>
      <c r="J67" s="110"/>
      <c r="K67" s="110"/>
    </row>
    <row r="68" spans="1:12" ht="15.75" x14ac:dyDescent="0.25">
      <c r="A68" s="27" t="s">
        <v>108</v>
      </c>
      <c r="B68" s="27" t="s">
        <v>56</v>
      </c>
      <c r="C68" s="27" t="s">
        <v>111</v>
      </c>
      <c r="D68" s="14"/>
      <c r="E68" s="14">
        <v>479.28</v>
      </c>
      <c r="F68" s="14"/>
      <c r="G68" s="14"/>
      <c r="H68" s="110"/>
      <c r="I68" s="110">
        <v>2407.44</v>
      </c>
      <c r="J68" s="110"/>
      <c r="K68" s="110"/>
      <c r="L68" s="159"/>
    </row>
    <row r="69" spans="1:12" ht="15.75" x14ac:dyDescent="0.25">
      <c r="A69" s="139" t="s">
        <v>109</v>
      </c>
      <c r="B69" s="27" t="s">
        <v>56</v>
      </c>
      <c r="C69" s="27" t="s">
        <v>111</v>
      </c>
      <c r="D69" s="14"/>
      <c r="E69" s="14"/>
      <c r="F69" s="14"/>
      <c r="G69" s="14"/>
      <c r="H69" s="110"/>
      <c r="I69" s="110"/>
      <c r="J69" s="110"/>
      <c r="K69" s="110"/>
    </row>
    <row r="70" spans="1:12" ht="16.5" thickBot="1" x14ac:dyDescent="0.3">
      <c r="A70" s="29" t="s">
        <v>89</v>
      </c>
      <c r="B70" s="29" t="s">
        <v>56</v>
      </c>
      <c r="C70" s="29" t="s">
        <v>111</v>
      </c>
      <c r="D70" s="15"/>
      <c r="E70" s="15"/>
      <c r="F70" s="15"/>
      <c r="G70" s="15"/>
      <c r="H70" s="137"/>
      <c r="I70" s="110">
        <f>VLOOKUP(A70,[4]איילון!$A:$E,3,0)</f>
        <v>0</v>
      </c>
      <c r="J70" s="137"/>
      <c r="K70" s="137"/>
    </row>
    <row r="71" spans="1:12" ht="21.75" thickBot="1" x14ac:dyDescent="0.3">
      <c r="A71" s="143" t="s">
        <v>44</v>
      </c>
      <c r="B71" s="142"/>
      <c r="C71" s="142"/>
      <c r="D71" s="143">
        <f t="shared" ref="D71:K71" si="4">SUM(D63:D70)</f>
        <v>0</v>
      </c>
      <c r="E71" s="143">
        <f t="shared" si="4"/>
        <v>1138.4499999999998</v>
      </c>
      <c r="F71" s="143">
        <f t="shared" si="4"/>
        <v>0</v>
      </c>
      <c r="G71" s="143">
        <f t="shared" si="4"/>
        <v>0</v>
      </c>
      <c r="H71" s="143">
        <f t="shared" si="4"/>
        <v>0</v>
      </c>
      <c r="I71" s="145">
        <f t="shared" si="4"/>
        <v>2868.44</v>
      </c>
      <c r="J71" s="143">
        <f t="shared" si="4"/>
        <v>0</v>
      </c>
      <c r="K71" s="143">
        <f t="shared" si="4"/>
        <v>0</v>
      </c>
    </row>
    <row r="72" spans="1:12" ht="21.75" thickBot="1" x14ac:dyDescent="0.3">
      <c r="A72" s="143" t="s">
        <v>45</v>
      </c>
      <c r="B72" s="142"/>
      <c r="C72" s="142"/>
      <c r="D72" s="230">
        <f>D71+D62+D54+D8</f>
        <v>0</v>
      </c>
      <c r="E72" s="230">
        <f t="shared" ref="E72:K72" si="5">E71+E62+E54+E8</f>
        <v>34901.83</v>
      </c>
      <c r="F72" s="230">
        <f t="shared" si="5"/>
        <v>0</v>
      </c>
      <c r="G72" s="230">
        <f t="shared" si="5"/>
        <v>0</v>
      </c>
      <c r="H72" s="230">
        <f t="shared" si="5"/>
        <v>0</v>
      </c>
      <c r="I72" s="230">
        <f t="shared" si="5"/>
        <v>35250.89</v>
      </c>
      <c r="J72" s="230">
        <f t="shared" si="5"/>
        <v>0</v>
      </c>
      <c r="K72" s="230">
        <f t="shared" si="5"/>
        <v>0</v>
      </c>
    </row>
  </sheetData>
  <autoFilter ref="A2:N72" xr:uid="{A0592088-57B0-4CA1-9D21-345272FEC0C7}"/>
  <mergeCells count="2">
    <mergeCell ref="D1:G1"/>
    <mergeCell ref="H1:K1"/>
  </mergeCells>
  <conditionalFormatting sqref="A1">
    <cfRule type="duplicateValues" dxfId="179" priority="23"/>
    <cfRule type="duplicateValues" dxfId="178" priority="24"/>
  </conditionalFormatting>
  <conditionalFormatting sqref="A14">
    <cfRule type="duplicateValues" dxfId="177" priority="13"/>
    <cfRule type="duplicateValues" dxfId="176" priority="14"/>
  </conditionalFormatting>
  <conditionalFormatting sqref="A55">
    <cfRule type="duplicateValues" dxfId="175" priority="15"/>
    <cfRule type="duplicateValues" dxfId="174" priority="16"/>
  </conditionalFormatting>
  <conditionalFormatting sqref="A56:A58 A7 A22:A53 A60">
    <cfRule type="duplicateValues" dxfId="173" priority="21"/>
    <cfRule type="duplicateValues" dxfId="172" priority="22"/>
  </conditionalFormatting>
  <conditionalFormatting sqref="A59">
    <cfRule type="duplicateValues" dxfId="171" priority="11"/>
    <cfRule type="duplicateValues" dxfId="170" priority="12"/>
  </conditionalFormatting>
  <conditionalFormatting sqref="A63:A70">
    <cfRule type="duplicateValues" dxfId="169" priority="19"/>
    <cfRule type="duplicateValues" dxfId="168" priority="20"/>
  </conditionalFormatting>
  <conditionalFormatting sqref="A71:A72 A2:A6 A8:A13 A15:A21 A54 A62">
    <cfRule type="duplicateValues" dxfId="167" priority="17"/>
    <cfRule type="duplicateValues" dxfId="166" priority="18"/>
  </conditionalFormatting>
  <conditionalFormatting sqref="D8:K8">
    <cfRule type="duplicateValues" dxfId="165" priority="9"/>
    <cfRule type="duplicateValues" dxfId="164" priority="10"/>
  </conditionalFormatting>
  <conditionalFormatting sqref="D21:K21">
    <cfRule type="duplicateValues" dxfId="163" priority="7"/>
    <cfRule type="duplicateValues" dxfId="162" priority="8"/>
  </conditionalFormatting>
  <conditionalFormatting sqref="D54:K54">
    <cfRule type="duplicateValues" dxfId="161" priority="5"/>
    <cfRule type="duplicateValues" dxfId="160" priority="6"/>
  </conditionalFormatting>
  <conditionalFormatting sqref="D62:K62">
    <cfRule type="duplicateValues" dxfId="159" priority="3"/>
    <cfRule type="duplicateValues" dxfId="158" priority="4"/>
  </conditionalFormatting>
  <conditionalFormatting sqref="D71:K72">
    <cfRule type="duplicateValues" dxfId="157" priority="1"/>
    <cfRule type="duplicateValues" dxfId="156" priority="2"/>
  </conditionalFormatting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671D0-2B28-494D-BDF1-4E5175A67A8E}">
  <sheetPr>
    <tabColor theme="5" tint="-0.249977111117893"/>
  </sheetPr>
  <dimension ref="A1:M78"/>
  <sheetViews>
    <sheetView rightToLeft="1" zoomScaleNormal="100" workbookViewId="0">
      <pane ySplit="3" topLeftCell="A4" activePane="bottomLeft" state="frozen"/>
      <selection pane="bottomLeft" activeCell="L15" sqref="L15"/>
    </sheetView>
  </sheetViews>
  <sheetFormatPr defaultColWidth="30.140625" defaultRowHeight="15" x14ac:dyDescent="0.25"/>
  <cols>
    <col min="1" max="1" width="30" style="33" bestFit="1" customWidth="1"/>
    <col min="2" max="2" width="11.42578125" style="33" bestFit="1" customWidth="1"/>
    <col min="3" max="3" width="11.7109375" style="33" bestFit="1" customWidth="1"/>
    <col min="4" max="4" width="16.85546875" bestFit="1" customWidth="1"/>
    <col min="5" max="5" width="15.28515625" bestFit="1" customWidth="1"/>
    <col min="6" max="6" width="16.85546875" bestFit="1" customWidth="1"/>
    <col min="7" max="7" width="19" bestFit="1" customWidth="1"/>
    <col min="8" max="9" width="15.28515625" style="3" bestFit="1" customWidth="1"/>
    <col min="10" max="10" width="16.85546875" style="3" bestFit="1" customWidth="1"/>
    <col min="11" max="11" width="19" bestFit="1" customWidth="1"/>
  </cols>
  <sheetData>
    <row r="1" spans="1:11" ht="21" x14ac:dyDescent="0.25">
      <c r="A1" s="27"/>
      <c r="B1" s="27"/>
      <c r="C1" s="27"/>
      <c r="D1" s="278">
        <v>2025</v>
      </c>
      <c r="E1" s="278"/>
      <c r="F1" s="278"/>
      <c r="G1" s="278"/>
      <c r="H1" s="279">
        <v>2024</v>
      </c>
      <c r="I1" s="279"/>
      <c r="J1" s="279"/>
      <c r="K1" s="279"/>
    </row>
    <row r="2" spans="1:11" ht="21" x14ac:dyDescent="0.25">
      <c r="A2" s="11" t="s">
        <v>0</v>
      </c>
      <c r="B2" s="24" t="s">
        <v>53</v>
      </c>
      <c r="C2" s="24" t="s">
        <v>117</v>
      </c>
      <c r="D2" s="13" t="s">
        <v>46</v>
      </c>
      <c r="E2" s="13" t="s">
        <v>47</v>
      </c>
      <c r="F2" s="13" t="s">
        <v>48</v>
      </c>
      <c r="G2" s="13" t="s">
        <v>49</v>
      </c>
      <c r="H2" s="109" t="s">
        <v>46</v>
      </c>
      <c r="I2" s="109" t="s">
        <v>47</v>
      </c>
      <c r="J2" s="109" t="s">
        <v>48</v>
      </c>
      <c r="K2" s="109" t="s">
        <v>97</v>
      </c>
    </row>
    <row r="3" spans="1:11" ht="15.75" x14ac:dyDescent="0.25">
      <c r="A3" s="27" t="s">
        <v>1</v>
      </c>
      <c r="B3" s="27" t="s">
        <v>116</v>
      </c>
      <c r="C3" s="27" t="s">
        <v>58</v>
      </c>
      <c r="D3" s="14">
        <v>55</v>
      </c>
      <c r="E3" s="14">
        <v>6983</v>
      </c>
      <c r="F3" s="14">
        <v>50528</v>
      </c>
      <c r="G3" s="14"/>
      <c r="H3" s="110">
        <f>VLOOKUP(A3,[3]הראל!$A:$E,2,0)</f>
        <v>22080.000315000001</v>
      </c>
      <c r="I3" s="110">
        <f>VLOOKUP(A3,[3]הראל!$A:$E,3,0)</f>
        <v>2265.1889969999975</v>
      </c>
      <c r="J3" s="110">
        <f>VLOOKUP(A3,[3]הראל!$A:$E,4,0)</f>
        <v>0</v>
      </c>
      <c r="K3" s="110">
        <f>VLOOKUP(A3,[3]הראל!$A:$E,5,0)</f>
        <v>0</v>
      </c>
    </row>
    <row r="4" spans="1:11" ht="15.75" x14ac:dyDescent="0.25">
      <c r="A4" s="27" t="s">
        <v>2</v>
      </c>
      <c r="B4" s="27" t="s">
        <v>116</v>
      </c>
      <c r="C4" s="27" t="s">
        <v>58</v>
      </c>
      <c r="D4" s="14"/>
      <c r="E4" s="14"/>
      <c r="F4" s="14"/>
      <c r="G4" s="14"/>
      <c r="H4" s="110">
        <f>VLOOKUP(A4,[3]הראל!$A:$E,2,0)</f>
        <v>2797.1928029999999</v>
      </c>
      <c r="I4" s="110">
        <f>VLOOKUP(A4,[3]הראל!$A:$E,3,0)</f>
        <v>0</v>
      </c>
      <c r="J4" s="110">
        <f>VLOOKUP(A4,[3]הראל!$A:$E,4,0)</f>
        <v>0</v>
      </c>
      <c r="K4" s="110">
        <f>VLOOKUP(A4,[3]הראל!$A:$E,5,0)</f>
        <v>0</v>
      </c>
    </row>
    <row r="5" spans="1:11" ht="15.75" x14ac:dyDescent="0.25">
      <c r="A5" s="27" t="s">
        <v>112</v>
      </c>
      <c r="B5" s="27" t="s">
        <v>116</v>
      </c>
      <c r="C5" s="27" t="s">
        <v>58</v>
      </c>
      <c r="D5" s="14"/>
      <c r="E5" s="14"/>
      <c r="F5" s="14"/>
      <c r="G5" s="14"/>
      <c r="H5" s="110"/>
      <c r="I5" s="110"/>
      <c r="J5" s="110"/>
      <c r="K5" s="110"/>
    </row>
    <row r="6" spans="1:11" ht="15.75" x14ac:dyDescent="0.25">
      <c r="A6" s="29" t="s">
        <v>113</v>
      </c>
      <c r="B6" s="27" t="s">
        <v>116</v>
      </c>
      <c r="C6" s="29" t="s">
        <v>58</v>
      </c>
      <c r="D6" s="15"/>
      <c r="E6" s="15"/>
      <c r="F6" s="15"/>
      <c r="G6" s="15"/>
      <c r="H6" s="110"/>
      <c r="I6" s="110"/>
      <c r="J6" s="110"/>
      <c r="K6" s="110"/>
    </row>
    <row r="7" spans="1:11" ht="16.5" thickBot="1" x14ac:dyDescent="0.3">
      <c r="A7" s="27" t="s">
        <v>34</v>
      </c>
      <c r="B7" s="27" t="s">
        <v>116</v>
      </c>
      <c r="C7" s="27" t="s">
        <v>58</v>
      </c>
      <c r="D7" s="14"/>
      <c r="E7" s="14"/>
      <c r="F7" s="14"/>
      <c r="G7" s="14"/>
      <c r="H7" s="110">
        <f>VLOOKUP(A7,[3]הראל!$A:$E,2,0)</f>
        <v>0</v>
      </c>
      <c r="I7" s="110">
        <f>VLOOKUP(A7,[3]הראל!$A:$E,3,0)</f>
        <v>0</v>
      </c>
      <c r="J7" s="110">
        <f>VLOOKUP(A7,[3]הראל!$A:$E,4,0)</f>
        <v>0</v>
      </c>
      <c r="K7" s="110">
        <f>VLOOKUP(A7,[3]הראל!$A:$E,5,0)</f>
        <v>0</v>
      </c>
    </row>
    <row r="8" spans="1:11" ht="21.75" thickBot="1" x14ac:dyDescent="0.3">
      <c r="A8" s="143" t="s">
        <v>3</v>
      </c>
      <c r="B8" s="142"/>
      <c r="C8" s="142"/>
      <c r="D8" s="152">
        <f>SUM(D3:D7)</f>
        <v>55</v>
      </c>
      <c r="E8" s="152">
        <f t="shared" ref="E8:F8" si="0">SUM(E3:E7)</f>
        <v>6983</v>
      </c>
      <c r="F8" s="152">
        <f t="shared" si="0"/>
        <v>50528</v>
      </c>
      <c r="G8" s="152">
        <f>SUM(G3:G7)</f>
        <v>0</v>
      </c>
      <c r="H8" s="152">
        <f>SUM(H3:H7)</f>
        <v>24877.193118000003</v>
      </c>
      <c r="I8" s="152">
        <f>SUM(I3:I7)</f>
        <v>2265.1889969999975</v>
      </c>
      <c r="J8" s="152">
        <f t="shared" ref="J8:K8" si="1">SUM(J3:J7)</f>
        <v>0</v>
      </c>
      <c r="K8" s="152">
        <f t="shared" si="1"/>
        <v>0</v>
      </c>
    </row>
    <row r="9" spans="1:11" ht="15.75" x14ac:dyDescent="0.25">
      <c r="A9" s="28" t="s">
        <v>4</v>
      </c>
      <c r="B9" s="27" t="s">
        <v>116</v>
      </c>
      <c r="C9" s="28" t="s">
        <v>114</v>
      </c>
      <c r="D9" s="223"/>
      <c r="E9" s="18"/>
      <c r="F9" s="18"/>
      <c r="G9" s="18"/>
      <c r="H9" s="110">
        <f>VLOOKUP(A9,[3]הראל!$A:$E,2,0)</f>
        <v>0</v>
      </c>
      <c r="I9" s="110">
        <f>VLOOKUP(A9,[3]הראל!$A:$E,3,0)</f>
        <v>0</v>
      </c>
      <c r="J9" s="110">
        <f>VLOOKUP(A9,[3]הראל!$A:$E,4,0)</f>
        <v>0</v>
      </c>
      <c r="K9" s="110">
        <f>VLOOKUP(A9,[3]הראל!$A:$E,5,0)</f>
        <v>0</v>
      </c>
    </row>
    <row r="10" spans="1:11" ht="15.75" x14ac:dyDescent="0.25">
      <c r="A10" s="27" t="s">
        <v>5</v>
      </c>
      <c r="B10" s="27" t="s">
        <v>116</v>
      </c>
      <c r="C10" s="27" t="s">
        <v>114</v>
      </c>
      <c r="D10" s="224"/>
      <c r="E10" s="219">
        <v>5177</v>
      </c>
      <c r="F10" s="14"/>
      <c r="G10" s="14"/>
      <c r="H10" s="110">
        <f>VLOOKUP(A10,[3]הראל!$A:$E,2,0)</f>
        <v>0</v>
      </c>
      <c r="I10" s="110">
        <f>VLOOKUP(A10,[3]הראל!$A:$E,3,0)</f>
        <v>17330.793237000002</v>
      </c>
      <c r="J10" s="110">
        <f>VLOOKUP(A10,[3]הראל!$A:$E,4,0)</f>
        <v>0</v>
      </c>
      <c r="K10" s="110">
        <f>VLOOKUP(A10,[3]הראל!$A:$E,5,0)</f>
        <v>0</v>
      </c>
    </row>
    <row r="11" spans="1:11" ht="15.75" x14ac:dyDescent="0.25">
      <c r="A11" s="27" t="s">
        <v>6</v>
      </c>
      <c r="B11" s="27" t="s">
        <v>116</v>
      </c>
      <c r="C11" s="27" t="s">
        <v>114</v>
      </c>
      <c r="D11" s="224"/>
      <c r="E11" s="14"/>
      <c r="F11" s="14"/>
      <c r="G11" s="14"/>
      <c r="H11" s="110">
        <f>VLOOKUP(A11,[3]הראל!$A:$E,2,0)</f>
        <v>0</v>
      </c>
      <c r="I11" s="110">
        <f>VLOOKUP(A11,[3]הראל!$A:$E,3,0)</f>
        <v>0</v>
      </c>
      <c r="J11" s="110">
        <f>VLOOKUP(A11,[3]הראל!$A:$E,4,0)</f>
        <v>0</v>
      </c>
      <c r="K11" s="110">
        <f>VLOOKUP(A11,[3]הראל!$A:$E,5,0)</f>
        <v>0</v>
      </c>
    </row>
    <row r="12" spans="1:11" ht="15.75" x14ac:dyDescent="0.25">
      <c r="A12" s="27" t="s">
        <v>7</v>
      </c>
      <c r="B12" s="27" t="s">
        <v>116</v>
      </c>
      <c r="C12" s="27" t="s">
        <v>114</v>
      </c>
      <c r="D12" s="224"/>
      <c r="E12" s="14"/>
      <c r="F12" s="14"/>
      <c r="G12" s="14"/>
      <c r="H12" s="110">
        <f>VLOOKUP(A12,[3]הראל!$A:$E,2,0)</f>
        <v>0</v>
      </c>
      <c r="I12" s="110">
        <f>VLOOKUP(A12,[3]הראל!$A:$E,3,0)</f>
        <v>0</v>
      </c>
      <c r="J12" s="110">
        <f>VLOOKUP(A12,[3]הראל!$A:$E,4,0)</f>
        <v>0</v>
      </c>
      <c r="K12" s="110">
        <f>VLOOKUP(A12,[3]הראל!$A:$E,5,0)</f>
        <v>0</v>
      </c>
    </row>
    <row r="13" spans="1:11" ht="15.75" x14ac:dyDescent="0.25">
      <c r="A13" s="27" t="s">
        <v>8</v>
      </c>
      <c r="B13" s="27" t="s">
        <v>116</v>
      </c>
      <c r="C13" s="27" t="s">
        <v>114</v>
      </c>
      <c r="D13" s="224"/>
      <c r="E13" s="14"/>
      <c r="F13" s="14"/>
      <c r="G13" s="14"/>
      <c r="H13" s="110">
        <f>VLOOKUP(A13,[3]הראל!$A:$E,2,0)</f>
        <v>0</v>
      </c>
      <c r="I13" s="110">
        <f>VLOOKUP(A13,[3]הראל!$A:$E,3,0)</f>
        <v>19302.771059999995</v>
      </c>
      <c r="J13" s="110">
        <f>VLOOKUP(A13,[3]הראל!$A:$E,4,0)</f>
        <v>0</v>
      </c>
      <c r="K13" s="110">
        <f>VLOOKUP(A13,[3]הראל!$A:$E,5,0)</f>
        <v>0</v>
      </c>
    </row>
    <row r="14" spans="1:11" ht="15.75" x14ac:dyDescent="0.25">
      <c r="A14" s="27" t="s">
        <v>9</v>
      </c>
      <c r="B14" s="27" t="s">
        <v>116</v>
      </c>
      <c r="C14" s="27" t="s">
        <v>114</v>
      </c>
      <c r="D14" s="224"/>
      <c r="E14" s="14"/>
      <c r="F14" s="14"/>
      <c r="G14" s="14"/>
      <c r="H14" s="110">
        <f>VLOOKUP(A14,[3]הראל!$A:$E,2,0)</f>
        <v>0</v>
      </c>
      <c r="I14" s="110">
        <f>VLOOKUP(A14,[3]הראל!$A:$E,3,0)</f>
        <v>0</v>
      </c>
      <c r="J14" s="110">
        <f>VLOOKUP(A14,[3]הראל!$A:$E,4,0)</f>
        <v>14985.832542</v>
      </c>
      <c r="K14" s="110">
        <f>VLOOKUP(A14,[3]הראל!$A:$E,5,0)</f>
        <v>0</v>
      </c>
    </row>
    <row r="15" spans="1:11" ht="15.75" x14ac:dyDescent="0.25">
      <c r="A15" s="27" t="s">
        <v>31</v>
      </c>
      <c r="B15" s="27" t="s">
        <v>116</v>
      </c>
      <c r="C15" s="27" t="s">
        <v>114</v>
      </c>
      <c r="D15" s="224"/>
      <c r="E15" s="14"/>
      <c r="F15" s="14"/>
      <c r="G15" s="14"/>
      <c r="H15" s="110">
        <f>VLOOKUP(A15,[3]הראל!$A:$E,2,0)</f>
        <v>0</v>
      </c>
      <c r="I15" s="110">
        <f>VLOOKUP(A15,[3]הראל!$A:$E,3,0)</f>
        <v>0</v>
      </c>
      <c r="J15" s="110">
        <f>VLOOKUP(A15,[3]הראל!$A:$E,4,0)</f>
        <v>0</v>
      </c>
      <c r="K15" s="110">
        <f>VLOOKUP(A15,[3]הראל!$A:$E,5,0)</f>
        <v>0</v>
      </c>
    </row>
    <row r="16" spans="1:11" ht="15.75" x14ac:dyDescent="0.25">
      <c r="A16" s="27" t="s">
        <v>104</v>
      </c>
      <c r="B16" s="27" t="s">
        <v>116</v>
      </c>
      <c r="C16" s="27" t="s">
        <v>114</v>
      </c>
      <c r="D16" s="224"/>
      <c r="E16" s="14"/>
      <c r="F16" s="14"/>
      <c r="G16" s="14"/>
      <c r="H16" s="110"/>
      <c r="I16" s="110"/>
      <c r="J16" s="110"/>
      <c r="K16" s="110"/>
    </row>
    <row r="17" spans="1:11" ht="15.75" x14ac:dyDescent="0.25">
      <c r="A17" s="27" t="s">
        <v>42</v>
      </c>
      <c r="B17" s="27" t="s">
        <v>116</v>
      </c>
      <c r="C17" s="27" t="s">
        <v>114</v>
      </c>
      <c r="D17" s="115">
        <v>52</v>
      </c>
      <c r="E17" s="239">
        <v>1528</v>
      </c>
      <c r="F17" s="115"/>
      <c r="G17" s="14"/>
      <c r="H17" s="110">
        <f>VLOOKUP(A17,[3]הראל!$A:$E,2,0)</f>
        <v>0</v>
      </c>
      <c r="I17" s="110">
        <f>VLOOKUP(A17,[3]הראל!$A:$E,3,0)</f>
        <v>0</v>
      </c>
      <c r="J17" s="110">
        <f>VLOOKUP(A17,[3]הראל!$A:$E,4,0)</f>
        <v>0</v>
      </c>
      <c r="K17" s="110">
        <f>VLOOKUP(A17,[3]הראל!$A:$E,5,0)</f>
        <v>0</v>
      </c>
    </row>
    <row r="18" spans="1:11" ht="15.75" x14ac:dyDescent="0.25">
      <c r="A18" s="27" t="s">
        <v>43</v>
      </c>
      <c r="B18" s="27" t="s">
        <v>116</v>
      </c>
      <c r="C18" s="27" t="s">
        <v>114</v>
      </c>
      <c r="D18" s="224"/>
      <c r="E18" s="14"/>
      <c r="F18" s="14"/>
      <c r="G18" s="14"/>
      <c r="H18" s="110">
        <f>VLOOKUP(A18,[3]הראל!$A:$E,2,0)</f>
        <v>0</v>
      </c>
      <c r="I18" s="110">
        <f>VLOOKUP(A18,[3]הראל!$A:$E,3,0)</f>
        <v>-203.45770200000001</v>
      </c>
      <c r="J18" s="110">
        <f>VLOOKUP(A18,[3]הראל!$A:$E,4,0)</f>
        <v>54746.772228000002</v>
      </c>
      <c r="K18" s="110">
        <f>VLOOKUP(A18,[3]הראל!$A:$E,5,0)</f>
        <v>0</v>
      </c>
    </row>
    <row r="19" spans="1:11" ht="15.75" x14ac:dyDescent="0.25">
      <c r="A19" s="27" t="s">
        <v>30</v>
      </c>
      <c r="B19" s="27" t="s">
        <v>116</v>
      </c>
      <c r="C19" s="27" t="s">
        <v>114</v>
      </c>
      <c r="D19" s="224"/>
      <c r="E19" s="14"/>
      <c r="F19" s="14"/>
      <c r="G19" s="14"/>
      <c r="H19" s="110">
        <f>VLOOKUP(A19,[3]הראל!$A:$E,2,0)</f>
        <v>0</v>
      </c>
      <c r="I19" s="110">
        <f>VLOOKUP(A19,[3]הראל!$A:$E,3,0)</f>
        <v>0</v>
      </c>
      <c r="J19" s="110">
        <f>VLOOKUP(A19,[3]הראל!$A:$E,4,0)</f>
        <v>8787.0408960000004</v>
      </c>
      <c r="K19" s="110">
        <f>VLOOKUP(A19,[3]הראל!$A:$E,5,0)</f>
        <v>0</v>
      </c>
    </row>
    <row r="20" spans="1:11" ht="16.5" thickBot="1" x14ac:dyDescent="0.3">
      <c r="A20" s="29" t="s">
        <v>38</v>
      </c>
      <c r="B20" s="27" t="s">
        <v>116</v>
      </c>
      <c r="C20" s="29" t="s">
        <v>114</v>
      </c>
      <c r="D20" s="225"/>
      <c r="E20" s="15"/>
      <c r="F20" s="15"/>
      <c r="G20" s="15"/>
      <c r="H20" s="110">
        <f>VLOOKUP(A20,[3]הראל!$A:$E,2,0)</f>
        <v>0</v>
      </c>
      <c r="I20" s="110">
        <f>VLOOKUP(A20,[3]הראל!$A:$E,3,0)</f>
        <v>0</v>
      </c>
      <c r="J20" s="110">
        <f>VLOOKUP(A20,[3]הראל!$A:$E,4,0)</f>
        <v>0</v>
      </c>
      <c r="K20" s="110">
        <f>VLOOKUP(A20,[3]הראל!$A:$E,5,0)</f>
        <v>0</v>
      </c>
    </row>
    <row r="21" spans="1:11" ht="21.75" thickBot="1" x14ac:dyDescent="0.3">
      <c r="A21" s="143" t="s">
        <v>10</v>
      </c>
      <c r="B21" s="142"/>
      <c r="C21" s="142"/>
      <c r="D21" s="152">
        <f>SUM(D9:D20)</f>
        <v>52</v>
      </c>
      <c r="E21" s="152">
        <f t="shared" ref="E21:K21" si="2">SUM(E9:E20)</f>
        <v>6705</v>
      </c>
      <c r="F21" s="152">
        <f t="shared" si="2"/>
        <v>0</v>
      </c>
      <c r="G21" s="152">
        <f t="shared" si="2"/>
        <v>0</v>
      </c>
      <c r="H21" s="152">
        <f t="shared" si="2"/>
        <v>0</v>
      </c>
      <c r="I21" s="152">
        <f t="shared" si="2"/>
        <v>36430.106594999997</v>
      </c>
      <c r="J21" s="152">
        <f>SUM(J9:J20)</f>
        <v>78519.645666000011</v>
      </c>
      <c r="K21" s="152">
        <f t="shared" si="2"/>
        <v>0</v>
      </c>
    </row>
    <row r="22" spans="1:11" ht="15.75" x14ac:dyDescent="0.25">
      <c r="A22" s="28" t="s">
        <v>11</v>
      </c>
      <c r="B22" s="28" t="s">
        <v>56</v>
      </c>
      <c r="C22" s="28" t="s">
        <v>115</v>
      </c>
      <c r="D22" s="18">
        <v>84548</v>
      </c>
      <c r="E22" s="18">
        <v>4967</v>
      </c>
      <c r="F22" s="18">
        <v>50045</v>
      </c>
      <c r="G22" s="18"/>
      <c r="H22" s="110">
        <f>VLOOKUP(A22,[3]הראל!$A:$E,2,0)</f>
        <v>399962.36971200001</v>
      </c>
      <c r="I22" s="110">
        <f>VLOOKUP(A22,[3]הראל!$A:$E,3,0)</f>
        <v>13651.643331000001</v>
      </c>
      <c r="J22" s="110">
        <f>VLOOKUP(A22,[3]הראל!$A:$E,4,0)</f>
        <v>65983.004637000005</v>
      </c>
      <c r="K22" s="110">
        <f>VLOOKUP(A22,[3]הראל!$A:$E,5,0)</f>
        <v>0</v>
      </c>
    </row>
    <row r="23" spans="1:11" ht="15.75" x14ac:dyDescent="0.25">
      <c r="A23" s="31" t="s">
        <v>12</v>
      </c>
      <c r="B23" s="27" t="s">
        <v>56</v>
      </c>
      <c r="C23" s="27" t="s">
        <v>115</v>
      </c>
      <c r="D23" s="14"/>
      <c r="E23" s="14"/>
      <c r="F23" s="14"/>
      <c r="G23" s="14"/>
      <c r="H23" s="110">
        <f>VLOOKUP(A23,[3]הראל!$A:$E,2,0)</f>
        <v>24780.001436999999</v>
      </c>
      <c r="I23" s="110">
        <f>VLOOKUP(A23,[3]הראל!$A:$E,3,0)</f>
        <v>4973.0682960000004</v>
      </c>
      <c r="J23" s="110">
        <f>VLOOKUP(A23,[3]הראל!$A:$E,4,0)</f>
        <v>80596.954227000009</v>
      </c>
      <c r="K23" s="110">
        <f>VLOOKUP(A23,[3]הראל!$A:$E,5,0)</f>
        <v>6786.4376549999997</v>
      </c>
    </row>
    <row r="24" spans="1:11" ht="15.75" x14ac:dyDescent="0.25">
      <c r="A24" s="31" t="s">
        <v>13</v>
      </c>
      <c r="B24" s="27" t="s">
        <v>56</v>
      </c>
      <c r="C24" s="27" t="s">
        <v>115</v>
      </c>
      <c r="D24" s="115"/>
      <c r="E24" s="239">
        <v>3005</v>
      </c>
      <c r="F24" s="115"/>
      <c r="G24" s="14"/>
      <c r="H24" s="110">
        <f>VLOOKUP(A24,[3]הראל!$A:$E,2,0)</f>
        <v>0</v>
      </c>
      <c r="I24" s="110">
        <f>VLOOKUP(A24,[3]הראל!$A:$E,3,0)</f>
        <v>0</v>
      </c>
      <c r="J24" s="110">
        <f>VLOOKUP(A24,[3]הראל!$A:$E,4,0)</f>
        <v>0</v>
      </c>
      <c r="K24" s="110">
        <f>VLOOKUP(A24,[3]הראל!$A:$E,5,0)</f>
        <v>0</v>
      </c>
    </row>
    <row r="25" spans="1:11" ht="15.75" x14ac:dyDescent="0.25">
      <c r="A25" s="27" t="s">
        <v>14</v>
      </c>
      <c r="B25" s="27" t="s">
        <v>55</v>
      </c>
      <c r="C25" s="27" t="s">
        <v>115</v>
      </c>
      <c r="D25" s="14"/>
      <c r="E25" s="14"/>
      <c r="F25" s="14"/>
      <c r="G25" s="14"/>
      <c r="H25" s="110">
        <f>VLOOKUP(A25,[3]הראל!$A:$E,2,0)</f>
        <v>0</v>
      </c>
      <c r="I25" s="110">
        <f>VLOOKUP(A25,[3]הראל!$A:$E,3,0)</f>
        <v>0</v>
      </c>
      <c r="J25" s="110">
        <f>VLOOKUP(A25,[3]הראל!$A:$E,4,0)</f>
        <v>0</v>
      </c>
      <c r="K25" s="110">
        <f>VLOOKUP(A25,[3]הראל!$A:$E,5,0)</f>
        <v>0</v>
      </c>
    </row>
    <row r="26" spans="1:11" ht="15.75" x14ac:dyDescent="0.25">
      <c r="A26" s="31" t="s">
        <v>15</v>
      </c>
      <c r="B26" s="27" t="s">
        <v>56</v>
      </c>
      <c r="C26" s="27" t="s">
        <v>115</v>
      </c>
      <c r="D26" s="14"/>
      <c r="E26" s="14">
        <v>4688</v>
      </c>
      <c r="F26" s="14"/>
      <c r="G26" s="14"/>
      <c r="H26" s="110">
        <f>VLOOKUP(A26,[3]הראל!$A:$E,2,0)</f>
        <v>0</v>
      </c>
      <c r="I26" s="110">
        <f>VLOOKUP(A26,[3]הראל!$A:$E,3,0)</f>
        <v>2834.4663419999997</v>
      </c>
      <c r="J26" s="110">
        <f>VLOOKUP(A26,[3]הראל!$A:$E,4,0)</f>
        <v>0</v>
      </c>
      <c r="K26" s="110">
        <f>VLOOKUP(A26,[3]הראל!$A:$E,5,0)</f>
        <v>0</v>
      </c>
    </row>
    <row r="27" spans="1:11" ht="15.75" x14ac:dyDescent="0.25">
      <c r="A27" s="31" t="s">
        <v>17</v>
      </c>
      <c r="B27" s="27" t="s">
        <v>56</v>
      </c>
      <c r="C27" s="27" t="s">
        <v>115</v>
      </c>
      <c r="D27" s="14"/>
      <c r="E27" s="14"/>
      <c r="F27" s="14"/>
      <c r="G27" s="14"/>
      <c r="H27" s="110">
        <f>VLOOKUP(A27,[3]הראל!$A:$E,2,0)</f>
        <v>57836.887125000001</v>
      </c>
      <c r="I27" s="110">
        <f>VLOOKUP(A27,[3]הראל!$A:$E,3,0)</f>
        <v>1203.2162370000001</v>
      </c>
      <c r="J27" s="110">
        <f>VLOOKUP(A27,[3]הראל!$A:$E,4,0)</f>
        <v>0</v>
      </c>
      <c r="K27" s="110">
        <f>VLOOKUP(A27,[3]הראל!$A:$E,5,0)</f>
        <v>108668.260029</v>
      </c>
    </row>
    <row r="28" spans="1:11" ht="15.75" x14ac:dyDescent="0.25">
      <c r="A28" s="31" t="s">
        <v>18</v>
      </c>
      <c r="B28" s="27" t="s">
        <v>56</v>
      </c>
      <c r="C28" s="27" t="s">
        <v>115</v>
      </c>
      <c r="D28" s="115"/>
      <c r="E28" s="239">
        <v>17693</v>
      </c>
      <c r="F28" s="115"/>
      <c r="G28" s="14"/>
      <c r="H28" s="110">
        <f>VLOOKUP(A28,[3]הראל!$A:$E,2,0)</f>
        <v>0</v>
      </c>
      <c r="I28" s="110">
        <f>VLOOKUP(A28,[3]הראל!$A:$E,3,0)</f>
        <v>16313.270993999999</v>
      </c>
      <c r="J28" s="110">
        <f>VLOOKUP(A28,[3]הראל!$A:$E,4,0)</f>
        <v>0</v>
      </c>
      <c r="K28" s="110">
        <f>VLOOKUP(A28,[3]הראל!$A:$E,5,0)</f>
        <v>0</v>
      </c>
    </row>
    <row r="29" spans="1:11" ht="15.75" x14ac:dyDescent="0.25">
      <c r="A29" s="27" t="s">
        <v>19</v>
      </c>
      <c r="B29" s="27" t="s">
        <v>56</v>
      </c>
      <c r="C29" s="27" t="s">
        <v>115</v>
      </c>
      <c r="D29" s="14"/>
      <c r="E29" s="14"/>
      <c r="F29" s="14"/>
      <c r="G29" s="14"/>
      <c r="H29" s="110">
        <f>VLOOKUP(A29,[3]הראל!$A:$E,2,0)</f>
        <v>0</v>
      </c>
      <c r="I29" s="110">
        <f>VLOOKUP(A29,[3]הראל!$A:$E,3,0)</f>
        <v>1477.976253</v>
      </c>
      <c r="J29" s="110">
        <f>VLOOKUP(A29,[3]הראל!$A:$E,4,0)</f>
        <v>0</v>
      </c>
      <c r="K29" s="110">
        <f>VLOOKUP(A29,[3]הראל!$A:$E,5,0)</f>
        <v>0</v>
      </c>
    </row>
    <row r="30" spans="1:11" ht="15.75" x14ac:dyDescent="0.25">
      <c r="A30" s="27" t="s">
        <v>20</v>
      </c>
      <c r="B30" s="27" t="s">
        <v>56</v>
      </c>
      <c r="C30" s="27" t="s">
        <v>115</v>
      </c>
      <c r="D30" s="239">
        <v>120242</v>
      </c>
      <c r="E30" s="239">
        <v>3470</v>
      </c>
      <c r="F30" s="239">
        <v>302968</v>
      </c>
      <c r="G30" s="14"/>
      <c r="H30" s="110">
        <f>VLOOKUP(A30,[3]הראל!$A:$E,2,0)</f>
        <v>146573.15310900001</v>
      </c>
      <c r="I30" s="110">
        <f>VLOOKUP(A30,[3]הראל!$A:$E,3,0)</f>
        <v>6506.3567759999987</v>
      </c>
      <c r="J30" s="110">
        <f>VLOOKUP(A30,[3]הראל!$A:$E,4,0)</f>
        <v>476342.83561499999</v>
      </c>
      <c r="K30" s="110">
        <f>VLOOKUP(A30,[3]הראל!$A:$E,5,0)</f>
        <v>297924.01497299998</v>
      </c>
    </row>
    <row r="31" spans="1:11" ht="15.75" x14ac:dyDescent="0.25">
      <c r="A31" s="27" t="s">
        <v>21</v>
      </c>
      <c r="B31" s="27" t="s">
        <v>56</v>
      </c>
      <c r="C31" s="27" t="s">
        <v>115</v>
      </c>
      <c r="D31" s="14"/>
      <c r="E31" s="14"/>
      <c r="F31" s="14"/>
      <c r="G31" s="14"/>
      <c r="H31" s="110">
        <f>VLOOKUP(A31,[3]הראל!$A:$E,2,0)</f>
        <v>0</v>
      </c>
      <c r="I31" s="110">
        <f>VLOOKUP(A31,[3]הראל!$A:$E,3,0)</f>
        <v>0</v>
      </c>
      <c r="J31" s="110">
        <f>VLOOKUP(A31,[3]הראל!$A:$E,4,0)</f>
        <v>0</v>
      </c>
      <c r="K31" s="110">
        <f>VLOOKUP(A31,[3]הראל!$A:$E,5,0)</f>
        <v>0</v>
      </c>
    </row>
    <row r="32" spans="1:11" ht="15.75" x14ac:dyDescent="0.25">
      <c r="A32" s="27" t="s">
        <v>22</v>
      </c>
      <c r="B32" s="27" t="s">
        <v>56</v>
      </c>
      <c r="C32" s="27" t="s">
        <v>115</v>
      </c>
      <c r="D32" s="14"/>
      <c r="E32" s="14"/>
      <c r="F32" s="14"/>
      <c r="G32" s="14"/>
      <c r="H32" s="110">
        <f>VLOOKUP(A32,[3]הראל!$A:$E,2,0)</f>
        <v>0</v>
      </c>
      <c r="I32" s="110">
        <f>VLOOKUP(A32,[3]הראל!$A:$E,3,0)</f>
        <v>0</v>
      </c>
      <c r="J32" s="110">
        <f>VLOOKUP(A32,[3]הראל!$A:$E,4,0)</f>
        <v>0</v>
      </c>
      <c r="K32" s="110">
        <f>VLOOKUP(A32,[3]הראל!$A:$E,5,0)</f>
        <v>0</v>
      </c>
    </row>
    <row r="33" spans="1:12" ht="15.75" x14ac:dyDescent="0.25">
      <c r="A33" s="27" t="s">
        <v>23</v>
      </c>
      <c r="B33" s="27" t="s">
        <v>56</v>
      </c>
      <c r="C33" s="27" t="s">
        <v>115</v>
      </c>
      <c r="D33" s="14"/>
      <c r="E33" s="14"/>
      <c r="F33" s="14"/>
      <c r="G33" s="14"/>
      <c r="H33" s="110">
        <f>VLOOKUP(A33,[3]הראל!$A:$E,2,0)</f>
        <v>0</v>
      </c>
      <c r="I33" s="110">
        <f>VLOOKUP(A33,[3]הראל!$A:$E,3,0)</f>
        <v>-1692.8731230000001</v>
      </c>
      <c r="J33" s="110">
        <f>VLOOKUP(A33,[3]הראל!$A:$E,4,0)</f>
        <v>0</v>
      </c>
      <c r="K33" s="110">
        <f>VLOOKUP(A33,[3]הראל!$A:$E,5,0)</f>
        <v>0</v>
      </c>
    </row>
    <row r="34" spans="1:12" ht="15.75" x14ac:dyDescent="0.25">
      <c r="A34" s="27" t="s">
        <v>24</v>
      </c>
      <c r="B34" s="27" t="s">
        <v>56</v>
      </c>
      <c r="C34" s="27" t="s">
        <v>115</v>
      </c>
      <c r="D34" s="14"/>
      <c r="E34" s="14"/>
      <c r="F34" s="14"/>
      <c r="G34" s="14"/>
      <c r="H34" s="110">
        <f>VLOOKUP(A34,[3]הראל!$A:$E,2,0)</f>
        <v>0</v>
      </c>
      <c r="I34" s="110">
        <f>VLOOKUP(A34,[3]הראל!$A:$E,3,0)</f>
        <v>0</v>
      </c>
      <c r="J34" s="110">
        <f>VLOOKUP(A34,[3]הראל!$A:$E,4,0)</f>
        <v>0</v>
      </c>
      <c r="K34" s="110">
        <f>VLOOKUP(A34,[3]הראל!$A:$E,5,0)</f>
        <v>0</v>
      </c>
    </row>
    <row r="35" spans="1:12" ht="15.75" x14ac:dyDescent="0.25">
      <c r="A35" s="31" t="s">
        <v>25</v>
      </c>
      <c r="B35" s="27" t="s">
        <v>56</v>
      </c>
      <c r="C35" s="27" t="s">
        <v>115</v>
      </c>
      <c r="D35" s="14"/>
      <c r="E35" s="14"/>
      <c r="F35" s="14"/>
      <c r="G35" s="14"/>
      <c r="H35" s="110">
        <f>VLOOKUP(A35,[3]הראל!$A:$E,2,0)</f>
        <v>0</v>
      </c>
      <c r="I35" s="110">
        <f>VLOOKUP(A35,[3]הראל!$A:$E,3,0)</f>
        <v>0</v>
      </c>
      <c r="J35" s="110">
        <f>VLOOKUP(A35,[3]הראל!$A:$E,4,0)</f>
        <v>0</v>
      </c>
      <c r="K35" s="110">
        <f>VLOOKUP(A35,[3]הראל!$A:$E,5,0)</f>
        <v>0</v>
      </c>
    </row>
    <row r="36" spans="1:12" ht="15.75" x14ac:dyDescent="0.25">
      <c r="A36" s="27" t="s">
        <v>26</v>
      </c>
      <c r="B36" s="27" t="s">
        <v>56</v>
      </c>
      <c r="C36" s="27" t="s">
        <v>115</v>
      </c>
      <c r="D36" s="14"/>
      <c r="E36" s="14"/>
      <c r="F36" s="14"/>
      <c r="G36" s="14"/>
      <c r="H36" s="110">
        <f>VLOOKUP(A36,[3]הראל!$A:$E,2,0)</f>
        <v>0</v>
      </c>
      <c r="I36" s="110">
        <f>VLOOKUP(A36,[3]הראל!$A:$E,3,0)</f>
        <v>0</v>
      </c>
      <c r="J36" s="110">
        <f>VLOOKUP(A36,[3]הראל!$A:$E,4,0)</f>
        <v>0</v>
      </c>
      <c r="K36" s="110">
        <f>VLOOKUP(A36,[3]הראל!$A:$E,5,0)</f>
        <v>0</v>
      </c>
    </row>
    <row r="37" spans="1:12" ht="15.75" x14ac:dyDescent="0.25">
      <c r="A37" s="27" t="s">
        <v>27</v>
      </c>
      <c r="B37" s="27" t="s">
        <v>56</v>
      </c>
      <c r="C37" s="27" t="s">
        <v>115</v>
      </c>
      <c r="D37" s="14"/>
      <c r="E37" s="14"/>
      <c r="F37" s="14"/>
      <c r="G37" s="14"/>
      <c r="H37" s="110">
        <f>VLOOKUP(A37,[3]הראל!$A:$E,2,0)</f>
        <v>0</v>
      </c>
      <c r="I37" s="110">
        <f>VLOOKUP(A37,[3]הראל!$A:$E,3,0)</f>
        <v>0</v>
      </c>
      <c r="J37" s="110">
        <f>VLOOKUP(A37,[3]הראל!$A:$E,4,0)</f>
        <v>0</v>
      </c>
      <c r="K37" s="110">
        <f>VLOOKUP(A37,[3]הראל!$A:$E,5,0)</f>
        <v>3931.1965740000001</v>
      </c>
    </row>
    <row r="38" spans="1:12" ht="15.75" x14ac:dyDescent="0.25">
      <c r="A38" s="27" t="s">
        <v>28</v>
      </c>
      <c r="B38" s="27" t="s">
        <v>56</v>
      </c>
      <c r="C38" s="27" t="s">
        <v>115</v>
      </c>
      <c r="D38" s="14"/>
      <c r="E38" s="14"/>
      <c r="F38" s="14"/>
      <c r="G38" s="14"/>
      <c r="H38" s="110">
        <f>VLOOKUP(A38,[3]הראל!$A:$E,2,0)</f>
        <v>0</v>
      </c>
      <c r="I38" s="110">
        <f>VLOOKUP(A38,[3]הראל!$A:$E,3,0)</f>
        <v>0</v>
      </c>
      <c r="J38" s="110">
        <f>VLOOKUP(A38,[3]הראל!$A:$E,4,0)</f>
        <v>0</v>
      </c>
      <c r="K38" s="110">
        <f>VLOOKUP(A38,[3]הראל!$A:$E,5,0)</f>
        <v>0</v>
      </c>
    </row>
    <row r="39" spans="1:12" ht="15.75" x14ac:dyDescent="0.25">
      <c r="A39" s="27" t="s">
        <v>29</v>
      </c>
      <c r="B39" s="27" t="s">
        <v>56</v>
      </c>
      <c r="C39" s="27" t="s">
        <v>115</v>
      </c>
      <c r="D39" s="14"/>
      <c r="E39" s="14"/>
      <c r="F39" s="14"/>
      <c r="G39" s="14"/>
      <c r="H39" s="110">
        <f>VLOOKUP(A39,[3]הראל!$A:$E,2,0)</f>
        <v>0</v>
      </c>
      <c r="I39" s="110">
        <f>VLOOKUP(A39,[3]הראל!$A:$E,3,0)</f>
        <v>0</v>
      </c>
      <c r="J39" s="110">
        <f>VLOOKUP(A39,[3]הראל!$A:$E,4,0)</f>
        <v>0</v>
      </c>
      <c r="K39" s="110">
        <f>VLOOKUP(A39,[3]הראל!$A:$E,5,0)</f>
        <v>0</v>
      </c>
    </row>
    <row r="40" spans="1:12" ht="15.75" x14ac:dyDescent="0.25">
      <c r="A40" s="27" t="s">
        <v>106</v>
      </c>
      <c r="B40" s="27" t="s">
        <v>55</v>
      </c>
      <c r="C40" s="27" t="s">
        <v>115</v>
      </c>
      <c r="D40" s="14"/>
      <c r="E40" s="14"/>
      <c r="F40" s="14"/>
      <c r="G40" s="14"/>
      <c r="H40" s="110"/>
      <c r="I40" s="110"/>
      <c r="J40" s="110"/>
      <c r="K40" s="110"/>
    </row>
    <row r="41" spans="1:12" ht="15.75" x14ac:dyDescent="0.25">
      <c r="A41" s="27" t="s">
        <v>32</v>
      </c>
      <c r="B41" s="27" t="s">
        <v>55</v>
      </c>
      <c r="C41" s="27" t="s">
        <v>115</v>
      </c>
      <c r="D41" s="14"/>
      <c r="E41" s="14"/>
      <c r="F41" s="14"/>
      <c r="G41" s="14"/>
      <c r="H41" s="110"/>
      <c r="I41" s="110"/>
      <c r="J41" s="110"/>
      <c r="K41" s="110"/>
    </row>
    <row r="42" spans="1:12" ht="15.75" x14ac:dyDescent="0.25">
      <c r="A42" s="31" t="s">
        <v>103</v>
      </c>
      <c r="B42" s="27" t="s">
        <v>56</v>
      </c>
      <c r="C42" s="27" t="s">
        <v>115</v>
      </c>
      <c r="D42" s="14"/>
      <c r="E42" s="14"/>
      <c r="F42" s="14"/>
      <c r="G42" s="14"/>
      <c r="H42" s="110"/>
      <c r="I42" s="110"/>
      <c r="J42" s="110"/>
      <c r="K42" s="110"/>
    </row>
    <row r="43" spans="1:12" ht="15.75" x14ac:dyDescent="0.25">
      <c r="A43" s="27" t="s">
        <v>91</v>
      </c>
      <c r="B43" s="27" t="s">
        <v>56</v>
      </c>
      <c r="C43" s="27" t="s">
        <v>115</v>
      </c>
      <c r="D43" s="14"/>
      <c r="E43" s="14"/>
      <c r="F43" s="14"/>
      <c r="G43" s="14"/>
      <c r="H43" s="110">
        <f>VLOOKUP(A43,[3]הראל!$A:$E,2,0)</f>
        <v>9600.0055169999996</v>
      </c>
      <c r="I43" s="110">
        <f>VLOOKUP(A43,[3]הראל!$A:$E,3,0)</f>
        <v>12241.353405</v>
      </c>
      <c r="J43" s="110">
        <f>VLOOKUP(A43,[3]הראל!$A:$E,4,0)</f>
        <v>0</v>
      </c>
      <c r="K43" s="110">
        <f>VLOOKUP(A43,[3]הראל!$A:$E,5,0)</f>
        <v>0</v>
      </c>
    </row>
    <row r="44" spans="1:12" ht="15.75" x14ac:dyDescent="0.25">
      <c r="A44" s="27" t="s">
        <v>90</v>
      </c>
      <c r="B44" s="27" t="s">
        <v>56</v>
      </c>
      <c r="C44" s="27" t="s">
        <v>115</v>
      </c>
      <c r="D44" s="14"/>
      <c r="E44" s="14"/>
      <c r="F44" s="14"/>
      <c r="G44" s="14"/>
      <c r="H44" s="110">
        <f>VLOOKUP(A44,[3]הראל!$A:$E,2,0)</f>
        <v>0</v>
      </c>
      <c r="I44" s="110">
        <f>VLOOKUP(A44,[3]הראל!$A:$E,3,0)</f>
        <v>0</v>
      </c>
      <c r="J44" s="110">
        <f>VLOOKUP(A44,[3]הראל!$A:$E,4,0)</f>
        <v>0</v>
      </c>
      <c r="K44" s="110">
        <f>VLOOKUP(A44,[3]הראל!$A:$E,5,0)</f>
        <v>0</v>
      </c>
    </row>
    <row r="45" spans="1:12" ht="15.75" x14ac:dyDescent="0.25">
      <c r="A45" s="27" t="s">
        <v>36</v>
      </c>
      <c r="B45" s="27" t="s">
        <v>55</v>
      </c>
      <c r="C45" s="27" t="s">
        <v>115</v>
      </c>
      <c r="D45" s="14"/>
      <c r="E45" s="14"/>
      <c r="F45" s="14"/>
      <c r="G45" s="14"/>
      <c r="H45" s="110">
        <f>VLOOKUP(A45,[3]הראל!$A:$E,2,0)</f>
        <v>0</v>
      </c>
      <c r="I45" s="110">
        <f>VLOOKUP(A45,[3]הראל!$A:$E,3,0)</f>
        <v>0</v>
      </c>
      <c r="J45" s="110">
        <f>VLOOKUP(A45,[3]הראל!$A:$E,4,0)</f>
        <v>0</v>
      </c>
      <c r="K45" s="110">
        <f>VLOOKUP(A45,[3]הראל!$A:$E,5,0)</f>
        <v>0</v>
      </c>
    </row>
    <row r="46" spans="1:12" ht="15.75" x14ac:dyDescent="0.25">
      <c r="A46" s="27" t="s">
        <v>102</v>
      </c>
      <c r="B46" s="27" t="s">
        <v>55</v>
      </c>
      <c r="C46" s="27" t="s">
        <v>115</v>
      </c>
      <c r="D46" s="14"/>
      <c r="E46" s="14"/>
      <c r="F46" s="14"/>
      <c r="G46" s="14"/>
      <c r="H46" s="110"/>
      <c r="I46" s="110"/>
      <c r="J46" s="110"/>
      <c r="K46" s="110"/>
      <c r="L46" s="159"/>
    </row>
    <row r="47" spans="1:12" ht="15.75" x14ac:dyDescent="0.25">
      <c r="A47" s="27" t="s">
        <v>93</v>
      </c>
      <c r="B47" s="27" t="s">
        <v>56</v>
      </c>
      <c r="C47" s="27" t="s">
        <v>115</v>
      </c>
      <c r="D47" s="14"/>
      <c r="E47" s="14"/>
      <c r="F47" s="14"/>
      <c r="G47" s="14"/>
      <c r="H47" s="110"/>
      <c r="I47" s="110">
        <f>VLOOKUP(A47,[3]הראל!$A:$E,3,0)</f>
        <v>0</v>
      </c>
      <c r="J47" s="110">
        <f>VLOOKUP(A47,[3]הראל!$A:$E,4,0)</f>
        <v>0</v>
      </c>
      <c r="K47" s="110">
        <f>VLOOKUP(A47,[3]הראל!$A:$E,5,0)</f>
        <v>0</v>
      </c>
    </row>
    <row r="48" spans="1:12" ht="15.75" x14ac:dyDescent="0.25">
      <c r="A48" s="27" t="s">
        <v>95</v>
      </c>
      <c r="B48" s="27" t="s">
        <v>56</v>
      </c>
      <c r="C48" s="27" t="s">
        <v>115</v>
      </c>
      <c r="D48" s="14"/>
      <c r="E48" s="14"/>
      <c r="F48" s="14"/>
      <c r="G48" s="14"/>
      <c r="H48" s="110"/>
      <c r="I48" s="110">
        <f>VLOOKUP(A48,[3]הראל!$A:$E,3,0)</f>
        <v>0</v>
      </c>
      <c r="J48" s="110">
        <f>VLOOKUP(A48,[3]הראל!$A:$E,4,0)</f>
        <v>0</v>
      </c>
      <c r="K48" s="110">
        <f>VLOOKUP(A48,[3]הראל!$A:$E,5,0)</f>
        <v>0</v>
      </c>
    </row>
    <row r="49" spans="1:13" ht="15.75" x14ac:dyDescent="0.25">
      <c r="A49" s="27" t="s">
        <v>105</v>
      </c>
      <c r="B49" s="27" t="s">
        <v>56</v>
      </c>
      <c r="C49" s="27" t="s">
        <v>115</v>
      </c>
      <c r="D49" s="14"/>
      <c r="E49" s="14"/>
      <c r="F49" s="14"/>
      <c r="G49" s="14"/>
      <c r="H49" s="110"/>
      <c r="I49" s="110"/>
      <c r="J49" s="110"/>
      <c r="K49" s="110"/>
    </row>
    <row r="50" spans="1:13" ht="15.75" x14ac:dyDescent="0.25">
      <c r="A50" s="27" t="s">
        <v>39</v>
      </c>
      <c r="B50" s="27" t="s">
        <v>56</v>
      </c>
      <c r="C50" s="27" t="s">
        <v>115</v>
      </c>
      <c r="D50" s="14"/>
      <c r="E50" s="14"/>
      <c r="F50" s="14"/>
      <c r="G50" s="14"/>
      <c r="H50" s="110">
        <f>VLOOKUP(A50,[3]הראל!$A:$E,2,0)</f>
        <v>0</v>
      </c>
      <c r="I50" s="110">
        <f>VLOOKUP(A50,[3]הראל!$A:$E,3,0)</f>
        <v>0</v>
      </c>
      <c r="J50" s="110">
        <f>VLOOKUP(A50,[3]הראל!$A:$E,4,0)</f>
        <v>0</v>
      </c>
      <c r="K50" s="110">
        <f>VLOOKUP(A50,[3]הראל!$A:$E,5,0)</f>
        <v>0</v>
      </c>
    </row>
    <row r="51" spans="1:13" ht="15.75" x14ac:dyDescent="0.25">
      <c r="A51" s="27" t="s">
        <v>99</v>
      </c>
      <c r="B51" s="27" t="s">
        <v>56</v>
      </c>
      <c r="C51" s="27" t="s">
        <v>115</v>
      </c>
      <c r="D51" s="14"/>
      <c r="E51" s="14"/>
      <c r="F51" s="14"/>
      <c r="G51" s="14"/>
      <c r="H51" s="110">
        <f>VLOOKUP(A51,[3]הראל!$A:$E,2,0)</f>
        <v>5999.9948549999999</v>
      </c>
      <c r="I51" s="110">
        <f>VLOOKUP(A51,[3]הראל!$A:$E,3,0)</f>
        <v>0</v>
      </c>
      <c r="J51" s="110">
        <f>VLOOKUP(A51,[3]הראל!$A:$E,4,0)</f>
        <v>19019.239182000001</v>
      </c>
      <c r="K51" s="110">
        <f>VLOOKUP(A51,[3]הראל!$A:$E,5,0)</f>
        <v>0</v>
      </c>
    </row>
    <row r="52" spans="1:13" ht="15.75" x14ac:dyDescent="0.25">
      <c r="A52" s="27" t="s">
        <v>41</v>
      </c>
      <c r="B52" s="27" t="s">
        <v>56</v>
      </c>
      <c r="C52" s="27" t="s">
        <v>115</v>
      </c>
      <c r="D52" s="14"/>
      <c r="E52" s="14"/>
      <c r="F52" s="14"/>
      <c r="G52" s="14"/>
      <c r="H52" s="110">
        <f>VLOOKUP(A52,[3]הראל!$A:$E,2,0)</f>
        <v>0</v>
      </c>
      <c r="I52" s="110">
        <f>VLOOKUP(A52,[3]הראל!$A:$E,3,0)</f>
        <v>0</v>
      </c>
      <c r="J52" s="110">
        <f>VLOOKUP(A52,[3]הראל!$A:$E,4,0)</f>
        <v>0</v>
      </c>
      <c r="K52" s="110">
        <f>VLOOKUP(A52,[3]הראל!$A:$E,5,0)</f>
        <v>0</v>
      </c>
    </row>
    <row r="53" spans="1:13" ht="16.5" thickBot="1" x14ac:dyDescent="0.3">
      <c r="A53" s="29" t="s">
        <v>96</v>
      </c>
      <c r="B53" s="29" t="s">
        <v>56</v>
      </c>
      <c r="C53" s="29" t="s">
        <v>115</v>
      </c>
      <c r="D53" s="15"/>
      <c r="E53" s="15"/>
      <c r="F53" s="15"/>
      <c r="G53" s="15"/>
      <c r="H53" s="110">
        <f>VLOOKUP(A53,[3]הראל!$A:$E,2,0)</f>
        <v>0</v>
      </c>
      <c r="I53" s="110">
        <f>VLOOKUP(A53,[3]הראל!$A:$E,3,0)</f>
        <v>0</v>
      </c>
      <c r="J53" s="110">
        <f>VLOOKUP(A53,[3]הראל!$A:$E,4,0)</f>
        <v>0</v>
      </c>
      <c r="K53" s="110">
        <f>VLOOKUP(A53,[3]הראל!$A:$E,5,0)</f>
        <v>4700.6318609999998</v>
      </c>
    </row>
    <row r="54" spans="1:13" ht="21.75" thickBot="1" x14ac:dyDescent="0.3">
      <c r="A54" s="144" t="s">
        <v>124</v>
      </c>
      <c r="B54" s="142"/>
      <c r="C54" s="142"/>
      <c r="D54" s="152">
        <f>SUM(D22:D53)</f>
        <v>204790</v>
      </c>
      <c r="E54" s="152">
        <f t="shared" ref="E54:K54" si="3">SUM(E22:E53)</f>
        <v>33823</v>
      </c>
      <c r="F54" s="152">
        <f t="shared" si="3"/>
        <v>353013</v>
      </c>
      <c r="G54" s="152">
        <f t="shared" si="3"/>
        <v>0</v>
      </c>
      <c r="H54" s="152">
        <f t="shared" si="3"/>
        <v>644752.41175500001</v>
      </c>
      <c r="I54" s="152">
        <f t="shared" si="3"/>
        <v>57508.478511000008</v>
      </c>
      <c r="J54" s="152">
        <f t="shared" si="3"/>
        <v>641942.03366100008</v>
      </c>
      <c r="K54" s="152">
        <f t="shared" si="3"/>
        <v>422010.54109199997</v>
      </c>
    </row>
    <row r="55" spans="1:13" ht="15.75" x14ac:dyDescent="0.25">
      <c r="A55" s="31" t="s">
        <v>33</v>
      </c>
      <c r="B55" s="27" t="s">
        <v>123</v>
      </c>
      <c r="C55" s="27" t="s">
        <v>115</v>
      </c>
      <c r="D55" s="14"/>
      <c r="E55" s="14"/>
      <c r="F55" s="14"/>
      <c r="G55" s="14"/>
      <c r="H55" s="110">
        <f>VLOOKUP(A55,[3]הראל!$A:$E,2,0)</f>
        <v>0</v>
      </c>
      <c r="I55" s="110">
        <f>VLOOKUP(A55,[3]הראל!$A:$E,3,0)</f>
        <v>0</v>
      </c>
      <c r="J55" s="110">
        <f>VLOOKUP(A55,[3]הראל!$A:$E,4,0)</f>
        <v>0</v>
      </c>
      <c r="K55" s="110">
        <f>VLOOKUP(A55,[3]הראל!$A:$E,5,0)</f>
        <v>0</v>
      </c>
    </row>
    <row r="56" spans="1:13" ht="15.75" x14ac:dyDescent="0.25">
      <c r="A56" s="27" t="s">
        <v>92</v>
      </c>
      <c r="B56" s="27" t="s">
        <v>123</v>
      </c>
      <c r="C56" s="27" t="s">
        <v>115</v>
      </c>
      <c r="D56" s="14">
        <v>3280</v>
      </c>
      <c r="E56" s="14"/>
      <c r="F56" s="14">
        <v>-4042</v>
      </c>
      <c r="G56" s="14"/>
      <c r="H56" s="110">
        <f>VLOOKUP(A56,[3]הראל!$A:$E,2,0)</f>
        <v>0</v>
      </c>
      <c r="I56" s="110">
        <f>VLOOKUP(A56,[3]הראל!$A:$E,3,0)</f>
        <v>1279.8944100000001</v>
      </c>
      <c r="J56" s="110">
        <f>VLOOKUP(A56,[3]הראל!$A:$E,4,0)</f>
        <v>7994.3285519999999</v>
      </c>
      <c r="K56" s="110">
        <f>VLOOKUP(A56,[3]הראל!$A:$E,5,0)</f>
        <v>0</v>
      </c>
    </row>
    <row r="57" spans="1:13" ht="15.75" x14ac:dyDescent="0.25">
      <c r="A57" s="27" t="s">
        <v>37</v>
      </c>
      <c r="B57" s="27" t="s">
        <v>123</v>
      </c>
      <c r="C57" s="27" t="s">
        <v>115</v>
      </c>
      <c r="D57" s="14"/>
      <c r="E57" s="14"/>
      <c r="F57" s="14"/>
      <c r="G57" s="14"/>
      <c r="H57" s="110">
        <f>VLOOKUP(A57,[3]הראל!$A:$E,2,0)</f>
        <v>36787.195623</v>
      </c>
      <c r="I57" s="110">
        <f>VLOOKUP(A57,[3]הראל!$A:$E,3,0)</f>
        <v>0</v>
      </c>
      <c r="J57" s="110">
        <f>VLOOKUP(A57,[3]הראל!$A:$E,4,0)</f>
        <v>89.011026000000001</v>
      </c>
      <c r="K57" s="110">
        <f>VLOOKUP(A57,[3]הראל!$A:$E,5,0)</f>
        <v>15623.53866</v>
      </c>
      <c r="M57" s="154"/>
    </row>
    <row r="58" spans="1:13" ht="15.75" x14ac:dyDescent="0.25">
      <c r="A58" s="27" t="s">
        <v>35</v>
      </c>
      <c r="B58" s="27" t="s">
        <v>123</v>
      </c>
      <c r="C58" s="27" t="s">
        <v>115</v>
      </c>
      <c r="D58" s="14"/>
      <c r="E58" s="14"/>
      <c r="F58" s="14"/>
      <c r="G58" s="14"/>
      <c r="H58" s="110">
        <f>VLOOKUP(A58,[3]הראל!$A:$E,2,0)</f>
        <v>0</v>
      </c>
      <c r="I58" s="110">
        <f>VLOOKUP(A58,[3]הראל!$A:$E,3,0)</f>
        <v>0</v>
      </c>
      <c r="J58" s="110">
        <f>VLOOKUP(A58,[3]הראל!$A:$E,4,0)</f>
        <v>0</v>
      </c>
      <c r="K58" s="110">
        <f>VLOOKUP(A58,[3]הראל!$A:$E,5,0)</f>
        <v>0</v>
      </c>
      <c r="M58" s="154"/>
    </row>
    <row r="59" spans="1:13" ht="15.75" x14ac:dyDescent="0.25">
      <c r="A59" s="28" t="s">
        <v>94</v>
      </c>
      <c r="B59" s="28" t="s">
        <v>123</v>
      </c>
      <c r="C59" s="28" t="s">
        <v>115</v>
      </c>
      <c r="D59" s="14"/>
      <c r="E59" s="14"/>
      <c r="F59" s="14"/>
      <c r="G59" s="14"/>
      <c r="H59" s="110">
        <f>VLOOKUP(A59,[3]הראל!$A:$E,2,0)</f>
        <v>0</v>
      </c>
      <c r="I59" s="110">
        <f>VLOOKUP(A59,[3]הראל!$A:$E,3,0)</f>
        <v>0</v>
      </c>
      <c r="J59" s="110">
        <f>VLOOKUP(A59,[3]הראל!$A:$E,4,0)</f>
        <v>0</v>
      </c>
      <c r="K59" s="110">
        <f>VLOOKUP(A59,[3]הראל!$A:$E,5,0)</f>
        <v>4175.5850490000003</v>
      </c>
      <c r="M59" s="154"/>
    </row>
    <row r="60" spans="1:13" ht="15.75" x14ac:dyDescent="0.25">
      <c r="A60" s="31" t="s">
        <v>16</v>
      </c>
      <c r="B60" s="27" t="s">
        <v>123</v>
      </c>
      <c r="C60" s="27" t="s">
        <v>115</v>
      </c>
      <c r="D60" s="14"/>
      <c r="E60" s="14"/>
      <c r="F60" s="14"/>
      <c r="G60" s="14"/>
      <c r="H60" s="110">
        <f>VLOOKUP(A60,[3]הראל!$A:$E,2,0)</f>
        <v>0</v>
      </c>
      <c r="I60" s="110">
        <f>VLOOKUP(A60,[3]הראל!$A:$E,3,0)</f>
        <v>0</v>
      </c>
      <c r="J60" s="110">
        <f>VLOOKUP(A60,[3]הראל!$A:$E,4,0)</f>
        <v>0</v>
      </c>
      <c r="K60" s="110">
        <f>VLOOKUP(A60,[3]הראל!$A:$E,5,0)</f>
        <v>0</v>
      </c>
    </row>
    <row r="61" spans="1:13" ht="16.5" thickBot="1" x14ac:dyDescent="0.3">
      <c r="A61" s="138" t="s">
        <v>107</v>
      </c>
      <c r="B61" s="27" t="s">
        <v>123</v>
      </c>
      <c r="C61" s="27" t="s">
        <v>115</v>
      </c>
      <c r="D61" s="14"/>
      <c r="E61" s="14"/>
      <c r="F61" s="14"/>
      <c r="G61" s="14"/>
      <c r="H61" s="110"/>
      <c r="I61" s="110"/>
      <c r="J61" s="110"/>
      <c r="K61" s="110"/>
    </row>
    <row r="62" spans="1:13" ht="21.75" thickBot="1" x14ac:dyDescent="0.3">
      <c r="A62" s="144" t="s">
        <v>125</v>
      </c>
      <c r="B62" s="142"/>
      <c r="C62" s="142"/>
      <c r="D62" s="152">
        <f>SUM(D55:D61)</f>
        <v>3280</v>
      </c>
      <c r="E62" s="152">
        <f t="shared" ref="E62:K62" si="4">SUM(E55:E61)</f>
        <v>0</v>
      </c>
      <c r="F62" s="152">
        <f t="shared" si="4"/>
        <v>-4042</v>
      </c>
      <c r="G62" s="152">
        <f t="shared" si="4"/>
        <v>0</v>
      </c>
      <c r="H62" s="152">
        <f t="shared" si="4"/>
        <v>36787.195623</v>
      </c>
      <c r="I62" s="152">
        <f t="shared" si="4"/>
        <v>1279.8944100000001</v>
      </c>
      <c r="J62" s="152">
        <f t="shared" si="4"/>
        <v>8083.3395780000001</v>
      </c>
      <c r="K62" s="152">
        <f t="shared" si="4"/>
        <v>19799.123709</v>
      </c>
    </row>
    <row r="63" spans="1:13" ht="15.75" x14ac:dyDescent="0.25">
      <c r="A63" s="28" t="s">
        <v>84</v>
      </c>
      <c r="B63" s="27" t="s">
        <v>116</v>
      </c>
      <c r="C63" s="28" t="s">
        <v>110</v>
      </c>
      <c r="D63" s="239">
        <v>13461</v>
      </c>
      <c r="E63" s="115"/>
      <c r="F63" s="115"/>
      <c r="G63" s="18"/>
      <c r="H63" s="110">
        <f>VLOOKUP(A63,[3]הראל!$A:$E,2,0)</f>
        <v>0</v>
      </c>
      <c r="I63" s="110">
        <f>VLOOKUP(A63,[3]הראל!$A:$E,3,0)</f>
        <v>0</v>
      </c>
      <c r="J63" s="110">
        <f>VLOOKUP(A63,[3]הראל!$A:$E,4,0)</f>
        <v>31984.106213999999</v>
      </c>
      <c r="K63" s="110">
        <f>VLOOKUP(A63,[3]הראל!$A:$E,5,0)</f>
        <v>0</v>
      </c>
    </row>
    <row r="64" spans="1:13" ht="15.75" x14ac:dyDescent="0.25">
      <c r="A64" s="31" t="s">
        <v>40</v>
      </c>
      <c r="B64" s="27" t="s">
        <v>56</v>
      </c>
      <c r="C64" s="27" t="s">
        <v>111</v>
      </c>
      <c r="D64" s="239">
        <v>124656</v>
      </c>
      <c r="E64" s="239">
        <v>14362</v>
      </c>
      <c r="F64" s="239">
        <v>25668</v>
      </c>
      <c r="G64" s="14"/>
      <c r="H64" s="110">
        <f>VLOOKUP(A64,[3]הראל!$A:$E,2,0)</f>
        <v>103893.369819</v>
      </c>
      <c r="I64" s="110">
        <f>VLOOKUP(A64,[3]הראל!$A:$E,3,0)</f>
        <v>80557.219616999966</v>
      </c>
      <c r="J64" s="110">
        <f>VLOOKUP(A64,[3]הראל!$A:$E,4,0)</f>
        <v>193421.86693200003</v>
      </c>
      <c r="K64" s="110">
        <f>VLOOKUP(A64,[3]הראל!$A:$E,5,0)</f>
        <v>251782.040997</v>
      </c>
    </row>
    <row r="65" spans="1:12" ht="15.75" x14ac:dyDescent="0.25">
      <c r="A65" s="27" t="s">
        <v>98</v>
      </c>
      <c r="B65" s="27" t="s">
        <v>116</v>
      </c>
      <c r="C65" s="27" t="s">
        <v>111</v>
      </c>
      <c r="D65" s="14"/>
      <c r="E65" s="14"/>
      <c r="F65" s="14"/>
      <c r="G65" s="14"/>
      <c r="H65" s="110">
        <f>VLOOKUP(A65,[3]הראל!$A:$E,2,0)</f>
        <v>0</v>
      </c>
      <c r="I65" s="110">
        <f>VLOOKUP(A65,[3]הראל!$A:$E,3,0)</f>
        <v>3495.68325</v>
      </c>
      <c r="J65" s="110">
        <f>VLOOKUP(A65,[3]הראל!$A:$E,4,0)</f>
        <v>0</v>
      </c>
      <c r="K65" s="110">
        <f>VLOOKUP(A65,[3]הראל!$A:$E,5,0)</f>
        <v>0</v>
      </c>
    </row>
    <row r="66" spans="1:12" ht="15.75" x14ac:dyDescent="0.25">
      <c r="A66" s="27" t="s">
        <v>100</v>
      </c>
      <c r="B66" s="27" t="s">
        <v>56</v>
      </c>
      <c r="C66" s="27" t="s">
        <v>111</v>
      </c>
      <c r="D66" s="14"/>
      <c r="E66" s="14"/>
      <c r="F66" s="14"/>
      <c r="G66" s="14"/>
      <c r="H66" s="110">
        <f>VLOOKUP(A66,[3]הראל!$A:$E,2,0)</f>
        <v>0</v>
      </c>
      <c r="I66" s="110">
        <f>VLOOKUP(A66,[3]הראל!$A:$E,3,0)</f>
        <v>0</v>
      </c>
      <c r="J66" s="110">
        <f>VLOOKUP(A66,[3]הראל!$A:$E,4,0)</f>
        <v>0</v>
      </c>
      <c r="K66" s="110">
        <f>VLOOKUP(A66,[3]הראל!$A:$E,5,0)</f>
        <v>0</v>
      </c>
    </row>
    <row r="67" spans="1:12" ht="15.75" x14ac:dyDescent="0.25">
      <c r="A67" s="27" t="s">
        <v>101</v>
      </c>
      <c r="B67" s="27" t="s">
        <v>56</v>
      </c>
      <c r="C67" s="27" t="s">
        <v>111</v>
      </c>
      <c r="D67" s="14"/>
      <c r="E67" s="14"/>
      <c r="F67" s="14"/>
      <c r="G67" s="14"/>
      <c r="H67" s="110"/>
      <c r="I67" s="110">
        <f>VLOOKUP(A67,[3]הראל!$A:$E,3,0)</f>
        <v>16122.833595000004</v>
      </c>
      <c r="J67" s="110">
        <f>VLOOKUP(A67,[3]הראל!$A:$E,4,0)</f>
        <v>0</v>
      </c>
      <c r="K67" s="110">
        <f>VLOOKUP(A67,[3]הראל!$A:$E,5,0)</f>
        <v>0</v>
      </c>
    </row>
    <row r="68" spans="1:12" ht="15.75" x14ac:dyDescent="0.25">
      <c r="A68" s="27" t="s">
        <v>108</v>
      </c>
      <c r="B68" s="27" t="s">
        <v>56</v>
      </c>
      <c r="C68" s="27" t="s">
        <v>111</v>
      </c>
      <c r="D68" s="115"/>
      <c r="E68" s="115">
        <v>554</v>
      </c>
      <c r="F68" s="115"/>
      <c r="G68" s="14"/>
      <c r="H68" s="110"/>
      <c r="I68" s="110"/>
      <c r="J68" s="110"/>
      <c r="K68" s="110"/>
      <c r="L68" s="159"/>
    </row>
    <row r="69" spans="1:12" ht="15.75" x14ac:dyDescent="0.25">
      <c r="A69" s="139" t="s">
        <v>109</v>
      </c>
      <c r="B69" s="27" t="s">
        <v>56</v>
      </c>
      <c r="C69" s="27" t="s">
        <v>111</v>
      </c>
      <c r="D69" s="14"/>
      <c r="E69" s="14"/>
      <c r="F69" s="14"/>
      <c r="G69" s="14"/>
      <c r="H69" s="110"/>
      <c r="I69" s="110"/>
      <c r="J69" s="110"/>
      <c r="K69" s="110"/>
    </row>
    <row r="70" spans="1:12" ht="16.5" thickBot="1" x14ac:dyDescent="0.3">
      <c r="A70" s="29" t="s">
        <v>89</v>
      </c>
      <c r="B70" s="29" t="s">
        <v>56</v>
      </c>
      <c r="C70" s="29" t="s">
        <v>111</v>
      </c>
      <c r="D70" s="15"/>
      <c r="E70" s="15"/>
      <c r="F70" s="15"/>
      <c r="G70" s="15"/>
      <c r="H70" s="110">
        <f>VLOOKUP(A70,[3]הראל!$A:$E,2,0)</f>
        <v>0</v>
      </c>
      <c r="I70" s="110">
        <f>VLOOKUP(A70,[3]הראל!$A:$E,3,0)</f>
        <v>0</v>
      </c>
      <c r="J70" s="110">
        <f>VLOOKUP(A70,[3]הראל!$A:$E,4,0)</f>
        <v>0</v>
      </c>
      <c r="K70" s="110">
        <f>VLOOKUP(A70,[3]הראל!$A:$E,5,0)</f>
        <v>0</v>
      </c>
    </row>
    <row r="71" spans="1:12" ht="21.75" thickBot="1" x14ac:dyDescent="0.3">
      <c r="A71" s="143" t="s">
        <v>44</v>
      </c>
      <c r="B71" s="142"/>
      <c r="C71" s="142"/>
      <c r="D71" s="152">
        <f>SUM(D63:D70)</f>
        <v>138117</v>
      </c>
      <c r="E71" s="152">
        <f t="shared" ref="E71:K71" si="5">SUM(E63:E70)</f>
        <v>14916</v>
      </c>
      <c r="F71" s="152">
        <f t="shared" si="5"/>
        <v>25668</v>
      </c>
      <c r="G71" s="152">
        <f t="shared" si="5"/>
        <v>0</v>
      </c>
      <c r="H71" s="152">
        <f t="shared" si="5"/>
        <v>103893.369819</v>
      </c>
      <c r="I71" s="152">
        <f t="shared" si="5"/>
        <v>100175.73646199997</v>
      </c>
      <c r="J71" s="152">
        <f t="shared" si="5"/>
        <v>225405.97314600003</v>
      </c>
      <c r="K71" s="152">
        <f t="shared" si="5"/>
        <v>251782.040997</v>
      </c>
    </row>
    <row r="72" spans="1:12" ht="21.75" thickBot="1" x14ac:dyDescent="0.3">
      <c r="A72" s="143" t="s">
        <v>45</v>
      </c>
      <c r="B72" s="142"/>
      <c r="C72" s="142"/>
      <c r="D72" s="152">
        <f>D71+D62+D54+D21+D8</f>
        <v>346294</v>
      </c>
      <c r="E72" s="152">
        <f t="shared" ref="E72:J72" si="6">E71+E62+E54+E21+E8</f>
        <v>62427</v>
      </c>
      <c r="F72" s="152">
        <f t="shared" si="6"/>
        <v>425167</v>
      </c>
      <c r="G72" s="152">
        <f t="shared" si="6"/>
        <v>0</v>
      </c>
      <c r="H72" s="152">
        <f t="shared" si="6"/>
        <v>810310.17031500011</v>
      </c>
      <c r="I72" s="152">
        <f t="shared" si="6"/>
        <v>197659.40497499995</v>
      </c>
      <c r="J72" s="152">
        <f t="shared" si="6"/>
        <v>953950.99205100012</v>
      </c>
      <c r="K72" s="152">
        <f>K71+K62+K54+K21+K8</f>
        <v>693591.70579799998</v>
      </c>
    </row>
    <row r="73" spans="1:12" x14ac:dyDescent="0.25">
      <c r="H73" s="10"/>
      <c r="I73" s="10"/>
      <c r="J73" s="10"/>
    </row>
    <row r="74" spans="1:12" x14ac:dyDescent="0.25">
      <c r="D74" s="178"/>
      <c r="E74" s="178"/>
      <c r="F74" s="178"/>
      <c r="G74" s="178"/>
    </row>
    <row r="75" spans="1:12" x14ac:dyDescent="0.25">
      <c r="D75" s="158"/>
      <c r="E75" s="158"/>
      <c r="F75" s="158"/>
      <c r="G75" s="158"/>
    </row>
    <row r="76" spans="1:12" x14ac:dyDescent="0.25">
      <c r="D76" s="179"/>
      <c r="E76" s="179"/>
      <c r="F76" s="179"/>
      <c r="G76" s="179"/>
    </row>
    <row r="77" spans="1:12" x14ac:dyDescent="0.25">
      <c r="D77" s="179"/>
      <c r="E77" s="158"/>
      <c r="F77" s="158"/>
      <c r="G77" s="158"/>
    </row>
    <row r="78" spans="1:12" x14ac:dyDescent="0.25">
      <c r="D78" s="179"/>
      <c r="E78" s="179"/>
      <c r="F78" s="179"/>
      <c r="G78" s="179"/>
    </row>
  </sheetData>
  <autoFilter ref="A2:P72" xr:uid="{8F9671D0-2B28-494D-BDF1-4E5175A67A8E}"/>
  <mergeCells count="2">
    <mergeCell ref="D1:G1"/>
    <mergeCell ref="H1:K1"/>
  </mergeCells>
  <conditionalFormatting sqref="A1">
    <cfRule type="duplicateValues" dxfId="155" priority="15"/>
    <cfRule type="duplicateValues" dxfId="154" priority="16"/>
  </conditionalFormatting>
  <conditionalFormatting sqref="A14">
    <cfRule type="duplicateValues" dxfId="153" priority="5"/>
    <cfRule type="duplicateValues" dxfId="152" priority="6"/>
  </conditionalFormatting>
  <conditionalFormatting sqref="A55">
    <cfRule type="duplicateValues" dxfId="151" priority="7"/>
    <cfRule type="duplicateValues" dxfId="150" priority="8"/>
  </conditionalFormatting>
  <conditionalFormatting sqref="A56:A58 A7 A22:A53 A60">
    <cfRule type="duplicateValues" dxfId="149" priority="13"/>
    <cfRule type="duplicateValues" dxfId="148" priority="14"/>
  </conditionalFormatting>
  <conditionalFormatting sqref="A59">
    <cfRule type="duplicateValues" dxfId="147" priority="3"/>
    <cfRule type="duplicateValues" dxfId="146" priority="4"/>
  </conditionalFormatting>
  <conditionalFormatting sqref="A63:A70">
    <cfRule type="duplicateValues" dxfId="145" priority="11"/>
    <cfRule type="duplicateValues" dxfId="144" priority="12"/>
  </conditionalFormatting>
  <conditionalFormatting sqref="A71:A72 A2:A6 A8:A13 A15:A21 A54 A62">
    <cfRule type="duplicateValues" dxfId="143" priority="9"/>
    <cfRule type="duplicateValues" dxfId="142" priority="10"/>
  </conditionalFormatting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FFD32-F11B-4794-BC1B-20DC7255B5B1}">
  <sheetPr>
    <tabColor theme="5" tint="-0.249977111117893"/>
  </sheetPr>
  <dimension ref="A1:M72"/>
  <sheetViews>
    <sheetView rightToLeft="1" zoomScaleNormal="100" workbookViewId="0">
      <pane ySplit="3" topLeftCell="A46" activePane="bottomLeft" state="frozen"/>
      <selection pane="bottomLeft" activeCell="H62" sqref="H62"/>
    </sheetView>
  </sheetViews>
  <sheetFormatPr defaultColWidth="30.140625" defaultRowHeight="15" x14ac:dyDescent="0.25"/>
  <cols>
    <col min="1" max="1" width="30" style="33" bestFit="1" customWidth="1"/>
    <col min="2" max="2" width="11.42578125" style="33" bestFit="1" customWidth="1"/>
    <col min="3" max="3" width="11.7109375" style="33" bestFit="1" customWidth="1"/>
    <col min="4" max="4" width="16.85546875" bestFit="1" customWidth="1"/>
    <col min="5" max="5" width="15.28515625" bestFit="1" customWidth="1"/>
    <col min="6" max="6" width="16.85546875" bestFit="1" customWidth="1"/>
    <col min="7" max="7" width="19" bestFit="1" customWidth="1"/>
    <col min="8" max="9" width="15.28515625" style="3" bestFit="1" customWidth="1"/>
    <col min="10" max="10" width="16.85546875" style="3" bestFit="1" customWidth="1"/>
    <col min="11" max="11" width="19" bestFit="1" customWidth="1"/>
  </cols>
  <sheetData>
    <row r="1" spans="1:11" ht="21" x14ac:dyDescent="0.25">
      <c r="A1" s="27"/>
      <c r="B1" s="27"/>
      <c r="C1" s="27"/>
      <c r="D1" s="278">
        <v>2025</v>
      </c>
      <c r="E1" s="278"/>
      <c r="F1" s="278"/>
      <c r="G1" s="278"/>
      <c r="H1" s="279">
        <v>2024</v>
      </c>
      <c r="I1" s="279"/>
      <c r="J1" s="279"/>
      <c r="K1" s="279"/>
    </row>
    <row r="2" spans="1:11" ht="21" x14ac:dyDescent="0.25">
      <c r="A2" s="11" t="s">
        <v>0</v>
      </c>
      <c r="B2" s="24" t="s">
        <v>53</v>
      </c>
      <c r="C2" s="24" t="s">
        <v>117</v>
      </c>
      <c r="D2" s="13" t="s">
        <v>46</v>
      </c>
      <c r="E2" s="13" t="s">
        <v>47</v>
      </c>
      <c r="F2" s="13" t="s">
        <v>48</v>
      </c>
      <c r="G2" s="13" t="s">
        <v>49</v>
      </c>
      <c r="H2" s="109" t="s">
        <v>46</v>
      </c>
      <c r="I2" s="109" t="s">
        <v>47</v>
      </c>
      <c r="J2" s="109" t="s">
        <v>48</v>
      </c>
      <c r="K2" s="109" t="s">
        <v>97</v>
      </c>
    </row>
    <row r="3" spans="1:11" ht="15.75" x14ac:dyDescent="0.25">
      <c r="A3" s="27" t="s">
        <v>1</v>
      </c>
      <c r="B3" s="27" t="s">
        <v>116</v>
      </c>
      <c r="C3" s="27" t="s">
        <v>58</v>
      </c>
      <c r="D3" s="14">
        <v>2372224.7680000002</v>
      </c>
      <c r="E3" s="14">
        <v>3584</v>
      </c>
      <c r="F3" s="14">
        <v>1560049.5819999999</v>
      </c>
      <c r="G3" s="14"/>
      <c r="H3" s="110">
        <f>VLOOKUP(A3,[3]הפניקס!$A:$E,2,0)</f>
        <v>0</v>
      </c>
      <c r="I3" s="110">
        <f>VLOOKUP(A3,[3]הפניקס!$A:$E,3,0)</f>
        <v>978.612573</v>
      </c>
      <c r="J3" s="110">
        <f>VLOOKUP(A3,[3]הפניקס!$A:$E,4,0)</f>
        <v>287021.54999999993</v>
      </c>
      <c r="K3" s="110">
        <f>VLOOKUP(A3,[3]הפניקס!$A:$E,5,0)</f>
        <v>5664</v>
      </c>
    </row>
    <row r="4" spans="1:11" ht="15.75" x14ac:dyDescent="0.25">
      <c r="A4" s="27" t="s">
        <v>2</v>
      </c>
      <c r="B4" s="27" t="s">
        <v>116</v>
      </c>
      <c r="C4" s="27" t="s">
        <v>58</v>
      </c>
      <c r="D4" s="14"/>
      <c r="E4" s="221"/>
      <c r="F4" s="14" t="s">
        <v>135</v>
      </c>
      <c r="G4" s="14"/>
      <c r="H4" s="110">
        <f>VLOOKUP(A4,[3]הפניקס!$A:$E,2,0)</f>
        <v>0</v>
      </c>
      <c r="I4" s="110">
        <f>VLOOKUP(A4,[3]הפניקס!$A:$E,3,0)</f>
        <v>0</v>
      </c>
      <c r="J4" s="110">
        <f>VLOOKUP(A4,[3]הפניקס!$A:$E,4,0)</f>
        <v>621131.62</v>
      </c>
      <c r="K4" s="110">
        <f>VLOOKUP(A4,[3]הפניקס!$A:$E,5,0)</f>
        <v>0</v>
      </c>
    </row>
    <row r="5" spans="1:11" ht="15.75" x14ac:dyDescent="0.25">
      <c r="A5" s="27" t="s">
        <v>112</v>
      </c>
      <c r="B5" s="27" t="s">
        <v>116</v>
      </c>
      <c r="C5" s="27" t="s">
        <v>58</v>
      </c>
      <c r="D5" s="14"/>
      <c r="E5" s="14"/>
      <c r="F5" s="14"/>
      <c r="G5" s="14"/>
      <c r="H5" s="110"/>
      <c r="I5" s="110"/>
      <c r="J5" s="110"/>
      <c r="K5" s="110"/>
    </row>
    <row r="6" spans="1:11" ht="15.75" x14ac:dyDescent="0.25">
      <c r="A6" s="29" t="s">
        <v>113</v>
      </c>
      <c r="B6" s="27" t="s">
        <v>116</v>
      </c>
      <c r="C6" s="29" t="s">
        <v>58</v>
      </c>
      <c r="D6" s="15">
        <v>115393.36</v>
      </c>
      <c r="E6" s="15">
        <v>7490</v>
      </c>
      <c r="F6" s="15">
        <v>240809.92</v>
      </c>
      <c r="G6" s="15"/>
      <c r="H6" s="110"/>
      <c r="I6" s="110"/>
      <c r="J6" s="110"/>
      <c r="K6" s="110"/>
    </row>
    <row r="7" spans="1:11" ht="16.5" thickBot="1" x14ac:dyDescent="0.3">
      <c r="A7" s="27" t="s">
        <v>34</v>
      </c>
      <c r="B7" s="27" t="s">
        <v>116</v>
      </c>
      <c r="C7" s="27" t="s">
        <v>58</v>
      </c>
      <c r="D7" s="14"/>
      <c r="E7" s="14"/>
      <c r="F7" s="14"/>
      <c r="G7" s="14"/>
      <c r="H7" s="110">
        <f>VLOOKUP(A7,[3]הפניקס!$A:$E,2,0)</f>
        <v>0</v>
      </c>
      <c r="I7" s="110">
        <f>VLOOKUP(A7,[3]הפניקס!$A:$E,3,0)</f>
        <v>0</v>
      </c>
      <c r="J7" s="110">
        <f>VLOOKUP(A7,[3]הפניקס!$A:$E,4,0)</f>
        <v>0</v>
      </c>
      <c r="K7" s="110">
        <f>VLOOKUP(A7,[3]הפניקס!$A:$E,5,0)</f>
        <v>0</v>
      </c>
    </row>
    <row r="8" spans="1:11" ht="21.75" thickBot="1" x14ac:dyDescent="0.4">
      <c r="A8" s="143" t="s">
        <v>3</v>
      </c>
      <c r="B8" s="142"/>
      <c r="C8" s="142"/>
      <c r="D8" s="220">
        <f>SUM(D3:D7)</f>
        <v>2487618.128</v>
      </c>
      <c r="E8" s="220">
        <f t="shared" ref="E8:K8" si="0">SUM(E3:E7)</f>
        <v>11074</v>
      </c>
      <c r="F8" s="220">
        <f t="shared" si="0"/>
        <v>1800859.5019999999</v>
      </c>
      <c r="G8" s="220">
        <f t="shared" si="0"/>
        <v>0</v>
      </c>
      <c r="H8" s="220">
        <f t="shared" si="0"/>
        <v>0</v>
      </c>
      <c r="I8" s="220">
        <f t="shared" si="0"/>
        <v>978.612573</v>
      </c>
      <c r="J8" s="220">
        <f t="shared" si="0"/>
        <v>908153.16999999993</v>
      </c>
      <c r="K8" s="220">
        <f t="shared" si="0"/>
        <v>5664</v>
      </c>
    </row>
    <row r="9" spans="1:11" ht="15.75" x14ac:dyDescent="0.25">
      <c r="A9" s="28" t="s">
        <v>4</v>
      </c>
      <c r="B9" s="27" t="s">
        <v>116</v>
      </c>
      <c r="C9" s="28" t="s">
        <v>114</v>
      </c>
      <c r="D9" s="18"/>
      <c r="E9" s="18"/>
      <c r="F9" s="18"/>
      <c r="G9" s="18"/>
      <c r="H9" s="110">
        <f>VLOOKUP(A9,[3]הפניקס!$A:$E,2,0)</f>
        <v>0</v>
      </c>
      <c r="I9" s="110">
        <f>VLOOKUP(A9,[3]הפניקס!$A:$E,3,0)</f>
        <v>0</v>
      </c>
      <c r="J9" s="110">
        <f>VLOOKUP(A9,[3]הפניקס!$A:$E,4,0)</f>
        <v>0</v>
      </c>
      <c r="K9" s="110">
        <f>VLOOKUP(A9,[3]הפניקס!$A:$E,5,0)</f>
        <v>0</v>
      </c>
    </row>
    <row r="10" spans="1:11" ht="15.75" x14ac:dyDescent="0.25">
      <c r="A10" s="27" t="s">
        <v>5</v>
      </c>
      <c r="B10" s="27" t="s">
        <v>116</v>
      </c>
      <c r="C10" s="27" t="s">
        <v>114</v>
      </c>
      <c r="D10" s="14"/>
      <c r="E10" s="14"/>
      <c r="F10" s="14"/>
      <c r="G10" s="14"/>
      <c r="H10" s="110">
        <f>VLOOKUP(A10,[3]הפניקס!$A:$E,2,0)</f>
        <v>0</v>
      </c>
      <c r="I10" s="110">
        <f>VLOOKUP(A10,[3]הפניקס!$A:$E,3,0)</f>
        <v>0</v>
      </c>
      <c r="J10" s="110">
        <f>VLOOKUP(A10,[3]הפניקס!$A:$E,4,0)</f>
        <v>0</v>
      </c>
      <c r="K10" s="110">
        <f>VLOOKUP(A10,[3]הפניקס!$A:$E,5,0)</f>
        <v>0</v>
      </c>
    </row>
    <row r="11" spans="1:11" ht="15.75" x14ac:dyDescent="0.25">
      <c r="A11" s="27" t="s">
        <v>6</v>
      </c>
      <c r="B11" s="27" t="s">
        <v>116</v>
      </c>
      <c r="C11" s="27" t="s">
        <v>114</v>
      </c>
      <c r="D11" s="14"/>
      <c r="E11" s="14"/>
      <c r="F11" s="14"/>
      <c r="G11" s="14"/>
      <c r="H11" s="110">
        <f>VLOOKUP(A11,[3]הפניקס!$A:$E,2,0)</f>
        <v>0</v>
      </c>
      <c r="I11" s="110">
        <f>VLOOKUP(A11,[3]הפניקס!$A:$E,3,0)</f>
        <v>0</v>
      </c>
      <c r="J11" s="110">
        <f>VLOOKUP(A11,[3]הפניקס!$A:$E,4,0)</f>
        <v>0</v>
      </c>
      <c r="K11" s="110">
        <f>VLOOKUP(A11,[3]הפניקס!$A:$E,5,0)</f>
        <v>0</v>
      </c>
    </row>
    <row r="12" spans="1:11" ht="15.75" x14ac:dyDescent="0.25">
      <c r="A12" s="27" t="s">
        <v>7</v>
      </c>
      <c r="B12" s="27" t="s">
        <v>116</v>
      </c>
      <c r="C12" s="27" t="s">
        <v>114</v>
      </c>
      <c r="D12" s="14"/>
      <c r="E12" s="14"/>
      <c r="F12" s="14"/>
      <c r="G12" s="14"/>
      <c r="H12" s="110">
        <f>VLOOKUP(A12,[3]הפניקס!$A:$E,2,0)</f>
        <v>0</v>
      </c>
      <c r="I12" s="110">
        <f>VLOOKUP(A12,[3]הפניקס!$A:$E,3,0)</f>
        <v>0</v>
      </c>
      <c r="J12" s="110">
        <f>VLOOKUP(A12,[3]הפניקס!$A:$E,4,0)</f>
        <v>0</v>
      </c>
      <c r="K12" s="110">
        <f>VLOOKUP(A12,[3]הפניקס!$A:$E,5,0)</f>
        <v>0</v>
      </c>
    </row>
    <row r="13" spans="1:11" ht="15.75" x14ac:dyDescent="0.25">
      <c r="A13" s="27" t="s">
        <v>8</v>
      </c>
      <c r="B13" s="27" t="s">
        <v>116</v>
      </c>
      <c r="C13" s="27" t="s">
        <v>114</v>
      </c>
      <c r="D13" s="14"/>
      <c r="E13" s="14">
        <v>11161.25135</v>
      </c>
      <c r="F13" s="14"/>
      <c r="G13" s="14"/>
      <c r="H13" s="110">
        <f>VLOOKUP(A13,[3]הפניקס!$A:$E,2,0)</f>
        <v>0</v>
      </c>
      <c r="I13" s="110">
        <f>VLOOKUP(A13,[3]הפניקס!$A:$E,3,0)</f>
        <v>0</v>
      </c>
      <c r="J13" s="110">
        <f>VLOOKUP(A13,[3]הפניקס!$A:$E,4,0)</f>
        <v>64075.95</v>
      </c>
      <c r="K13" s="110">
        <f>VLOOKUP(A13,[3]הפניקס!$A:$E,5,0)</f>
        <v>0</v>
      </c>
    </row>
    <row r="14" spans="1:11" ht="15.75" x14ac:dyDescent="0.25">
      <c r="A14" s="27" t="s">
        <v>9</v>
      </c>
      <c r="B14" s="27" t="s">
        <v>116</v>
      </c>
      <c r="C14" s="27" t="s">
        <v>114</v>
      </c>
      <c r="D14" s="14"/>
      <c r="E14" s="14"/>
      <c r="F14" s="14"/>
      <c r="G14" s="14"/>
      <c r="H14" s="110">
        <f>VLOOKUP(A14,[3]הפניקס!$A:$E,2,0)</f>
        <v>0</v>
      </c>
      <c r="I14" s="110">
        <f>VLOOKUP(A14,[3]הפניקס!$A:$E,3,0)</f>
        <v>0</v>
      </c>
      <c r="J14" s="110">
        <f>VLOOKUP(A14,[3]הפניקס!$A:$E,4,0)</f>
        <v>0</v>
      </c>
      <c r="K14" s="110">
        <f>VLOOKUP(A14,[3]הפניקס!$A:$E,5,0)</f>
        <v>0</v>
      </c>
    </row>
    <row r="15" spans="1:11" ht="15.75" x14ac:dyDescent="0.25">
      <c r="A15" s="27" t="s">
        <v>31</v>
      </c>
      <c r="B15" s="27" t="s">
        <v>116</v>
      </c>
      <c r="C15" s="27" t="s">
        <v>114</v>
      </c>
      <c r="D15" s="14"/>
      <c r="E15" s="14"/>
      <c r="F15" s="14"/>
      <c r="G15" s="14"/>
      <c r="H15" s="110">
        <f>VLOOKUP(A15,[3]הפניקס!$A:$E,2,0)</f>
        <v>0</v>
      </c>
      <c r="I15" s="110">
        <f>VLOOKUP(A15,[3]הפניקס!$A:$E,3,0)</f>
        <v>0</v>
      </c>
      <c r="J15" s="110">
        <f>VLOOKUP(A15,[3]הפניקס!$A:$E,4,0)</f>
        <v>0</v>
      </c>
      <c r="K15" s="110">
        <f>VLOOKUP(A15,[3]הפניקס!$A:$E,5,0)</f>
        <v>0</v>
      </c>
    </row>
    <row r="16" spans="1:11" ht="15.75" x14ac:dyDescent="0.25">
      <c r="A16" s="27" t="s">
        <v>104</v>
      </c>
      <c r="B16" s="27" t="s">
        <v>116</v>
      </c>
      <c r="C16" s="27" t="s">
        <v>114</v>
      </c>
      <c r="D16" s="14">
        <v>23351.458979999999</v>
      </c>
      <c r="E16" s="14"/>
      <c r="F16" s="14"/>
      <c r="G16" s="14"/>
      <c r="H16" s="110"/>
      <c r="I16" s="110"/>
      <c r="J16" s="110"/>
      <c r="K16" s="110"/>
    </row>
    <row r="17" spans="1:11" ht="15.75" x14ac:dyDescent="0.25">
      <c r="A17" s="27" t="s">
        <v>42</v>
      </c>
      <c r="B17" s="27" t="s">
        <v>116</v>
      </c>
      <c r="C17" s="27" t="s">
        <v>114</v>
      </c>
      <c r="D17" s="14">
        <v>101424.0294</v>
      </c>
      <c r="E17" s="14">
        <v>2121.5219499999998</v>
      </c>
      <c r="F17" s="14"/>
      <c r="G17" s="14"/>
      <c r="H17" s="110">
        <f>VLOOKUP(A17,[3]הפניקס!$A:$E,2,0)</f>
        <v>0</v>
      </c>
      <c r="I17" s="110">
        <f>VLOOKUP(A17,[3]הפניקס!$A:$E,3,0)</f>
        <v>0</v>
      </c>
      <c r="J17" s="110">
        <f>VLOOKUP(A17,[3]הפניקס!$A:$E,4,0)</f>
        <v>560983.42999999993</v>
      </c>
      <c r="K17" s="110">
        <f>VLOOKUP(A17,[3]הפניקס!$A:$E,5,0)</f>
        <v>58281</v>
      </c>
    </row>
    <row r="18" spans="1:11" ht="15.75" x14ac:dyDescent="0.25">
      <c r="A18" s="27" t="s">
        <v>43</v>
      </c>
      <c r="B18" s="27" t="s">
        <v>116</v>
      </c>
      <c r="C18" s="27" t="s">
        <v>114</v>
      </c>
      <c r="D18" s="14">
        <v>83435.915399999998</v>
      </c>
      <c r="E18" s="280">
        <v>67107.817079999993</v>
      </c>
      <c r="F18" s="14">
        <v>1788993.213</v>
      </c>
      <c r="G18" s="14"/>
      <c r="H18" s="110">
        <f>VLOOKUP(A18,[3]הפניקס!$A:$E,2,0)</f>
        <v>0</v>
      </c>
      <c r="I18" s="110">
        <f>VLOOKUP(A18,[3]הפניקס!$A:$E,3,0)</f>
        <v>1715.5589729999999</v>
      </c>
      <c r="J18" s="110">
        <f>VLOOKUP(A18,[3]הפניקס!$A:$E,4,0)</f>
        <v>1364370.14</v>
      </c>
      <c r="K18" s="110">
        <f>VLOOKUP(A18,[3]הפניקס!$A:$E,5,0)</f>
        <v>83824</v>
      </c>
    </row>
    <row r="19" spans="1:11" ht="15.75" x14ac:dyDescent="0.25">
      <c r="A19" s="27" t="s">
        <v>30</v>
      </c>
      <c r="B19" s="27" t="s">
        <v>116</v>
      </c>
      <c r="C19" s="27" t="s">
        <v>114</v>
      </c>
      <c r="D19" s="14"/>
      <c r="E19" s="14"/>
      <c r="F19" s="14"/>
      <c r="G19" s="14"/>
      <c r="H19" s="110">
        <f>VLOOKUP(A19,[3]הפניקס!$A:$E,2,0)</f>
        <v>0</v>
      </c>
      <c r="I19" s="110">
        <f>VLOOKUP(A19,[3]הפניקס!$A:$E,3,0)</f>
        <v>0</v>
      </c>
      <c r="J19" s="110">
        <f>VLOOKUP(A19,[3]הפניקס!$A:$E,4,0)</f>
        <v>0</v>
      </c>
      <c r="K19" s="110">
        <f>VLOOKUP(A19,[3]הפניקס!$A:$E,5,0)</f>
        <v>0</v>
      </c>
    </row>
    <row r="20" spans="1:11" ht="16.5" thickBot="1" x14ac:dyDescent="0.3">
      <c r="A20" s="29" t="s">
        <v>38</v>
      </c>
      <c r="B20" s="27" t="s">
        <v>116</v>
      </c>
      <c r="C20" s="29" t="s">
        <v>114</v>
      </c>
      <c r="D20" s="15"/>
      <c r="E20" s="15"/>
      <c r="F20" s="15"/>
      <c r="G20" s="15"/>
      <c r="H20" s="110">
        <f>VLOOKUP(A20,[3]הפניקס!$A:$E,2,0)</f>
        <v>0</v>
      </c>
      <c r="I20" s="110">
        <f>VLOOKUP(A20,[3]הפניקס!$A:$E,3,0)</f>
        <v>0</v>
      </c>
      <c r="J20" s="110">
        <f>VLOOKUP(A20,[3]הפניקס!$A:$E,4,0)</f>
        <v>0</v>
      </c>
      <c r="K20" s="110">
        <f>VLOOKUP(A20,[3]הפניקס!$A:$E,5,0)</f>
        <v>0</v>
      </c>
    </row>
    <row r="21" spans="1:11" ht="21.75" thickBot="1" x14ac:dyDescent="0.4">
      <c r="A21" s="143" t="s">
        <v>10</v>
      </c>
      <c r="B21" s="142"/>
      <c r="C21" s="142"/>
      <c r="D21" s="220">
        <f>SUM(D9:D20)</f>
        <v>208211.40377999999</v>
      </c>
      <c r="E21" s="220">
        <f t="shared" ref="E21:K21" si="1">SUM(E9:E20)</f>
        <v>80390.590379999994</v>
      </c>
      <c r="F21" s="220">
        <f t="shared" si="1"/>
        <v>1788993.213</v>
      </c>
      <c r="G21" s="220">
        <f t="shared" si="1"/>
        <v>0</v>
      </c>
      <c r="H21" s="220">
        <f t="shared" si="1"/>
        <v>0</v>
      </c>
      <c r="I21" s="220">
        <f t="shared" si="1"/>
        <v>1715.5589729999999</v>
      </c>
      <c r="J21" s="220">
        <f>SUM(J9:J20)</f>
        <v>1989429.5199999998</v>
      </c>
      <c r="K21" s="220">
        <f t="shared" si="1"/>
        <v>142105</v>
      </c>
    </row>
    <row r="22" spans="1:11" ht="15.75" x14ac:dyDescent="0.25">
      <c r="A22" s="28" t="s">
        <v>11</v>
      </c>
      <c r="B22" s="28" t="s">
        <v>56</v>
      </c>
      <c r="C22" s="28" t="s">
        <v>115</v>
      </c>
      <c r="D22" s="18">
        <v>17375.330150000002</v>
      </c>
      <c r="E22" s="18"/>
      <c r="F22" s="18"/>
      <c r="G22" s="18"/>
      <c r="H22" s="110">
        <f>VLOOKUP(A22,[3]הפניקס!$A:$E,2,0)</f>
        <v>0</v>
      </c>
      <c r="I22" s="110">
        <f>VLOOKUP(A22,[3]הפניקס!$A:$E,3,0)</f>
        <v>0</v>
      </c>
      <c r="J22" s="110">
        <f>VLOOKUP(A22,[3]הפניקס!$A:$E,4,0)</f>
        <v>0</v>
      </c>
      <c r="K22" s="110">
        <f>VLOOKUP(A22,[3]הפניקס!$A:$E,5,0)</f>
        <v>0</v>
      </c>
    </row>
    <row r="23" spans="1:11" ht="15.75" x14ac:dyDescent="0.25">
      <c r="A23" s="31" t="s">
        <v>12</v>
      </c>
      <c r="B23" s="27" t="s">
        <v>56</v>
      </c>
      <c r="C23" s="27" t="s">
        <v>115</v>
      </c>
      <c r="D23" s="14"/>
      <c r="E23" s="14"/>
      <c r="F23" s="14"/>
      <c r="G23" s="14"/>
      <c r="H23" s="110">
        <f>VLOOKUP(A23,[3]הפניקס!$A:$E,2,0)</f>
        <v>0</v>
      </c>
      <c r="I23" s="110">
        <f>VLOOKUP(A23,[3]הפניקס!$A:$E,3,0)</f>
        <v>0</v>
      </c>
      <c r="J23" s="110">
        <f>VLOOKUP(A23,[3]הפניקס!$A:$E,4,0)</f>
        <v>0</v>
      </c>
      <c r="K23" s="110">
        <f>VLOOKUP(A23,[3]הפניקס!$A:$E,5,0)</f>
        <v>0</v>
      </c>
    </row>
    <row r="24" spans="1:11" ht="15.75" x14ac:dyDescent="0.25">
      <c r="A24" s="31" t="s">
        <v>13</v>
      </c>
      <c r="B24" s="27" t="s">
        <v>56</v>
      </c>
      <c r="C24" s="27" t="s">
        <v>115</v>
      </c>
      <c r="D24" s="14"/>
      <c r="E24" s="14"/>
      <c r="F24" s="14"/>
      <c r="G24" s="14"/>
      <c r="H24" s="110">
        <f>VLOOKUP(A24,[3]הפניקס!$A:$E,2,0)</f>
        <v>0</v>
      </c>
      <c r="I24" s="110">
        <f>VLOOKUP(A24,[3]הפניקס!$A:$E,3,0)</f>
        <v>0</v>
      </c>
      <c r="J24" s="110">
        <f>VLOOKUP(A24,[3]הפניקס!$A:$E,4,0)</f>
        <v>0</v>
      </c>
      <c r="K24" s="110">
        <f>VLOOKUP(A24,[3]הפניקס!$A:$E,5,0)</f>
        <v>0</v>
      </c>
    </row>
    <row r="25" spans="1:11" ht="15.75" x14ac:dyDescent="0.25">
      <c r="A25" s="27" t="s">
        <v>14</v>
      </c>
      <c r="B25" s="27" t="s">
        <v>55</v>
      </c>
      <c r="C25" s="27" t="s">
        <v>115</v>
      </c>
      <c r="D25" s="14"/>
      <c r="E25" s="14"/>
      <c r="F25" s="14"/>
      <c r="G25" s="14"/>
      <c r="H25" s="110">
        <f>VLOOKUP(A25,[3]הפניקס!$A:$E,2,0)</f>
        <v>0</v>
      </c>
      <c r="I25" s="110">
        <f>VLOOKUP(A25,[3]הפניקס!$A:$E,3,0)</f>
        <v>0</v>
      </c>
      <c r="J25" s="110">
        <f>VLOOKUP(A25,[3]הפניקס!$A:$E,4,0)</f>
        <v>0</v>
      </c>
      <c r="K25" s="110">
        <f>VLOOKUP(A25,[3]הפניקס!$A:$E,5,0)</f>
        <v>0</v>
      </c>
    </row>
    <row r="26" spans="1:11" ht="15.75" x14ac:dyDescent="0.25">
      <c r="A26" s="31" t="s">
        <v>15</v>
      </c>
      <c r="B26" s="27" t="s">
        <v>56</v>
      </c>
      <c r="C26" s="27" t="s">
        <v>115</v>
      </c>
      <c r="D26" s="14"/>
      <c r="E26" s="14"/>
      <c r="F26" s="14"/>
      <c r="G26" s="14"/>
      <c r="H26" s="110">
        <f>VLOOKUP(A26,[3]הפניקס!$A:$E,2,0)</f>
        <v>44511.040097999998</v>
      </c>
      <c r="I26" s="110">
        <f>VLOOKUP(A26,[3]הפניקס!$A:$E,3,0)</f>
        <v>1371.6964829999999</v>
      </c>
      <c r="J26" s="110">
        <f>VLOOKUP(A26,[3]הפניקס!$A:$E,4,0)</f>
        <v>0</v>
      </c>
      <c r="K26" s="110">
        <f>VLOOKUP(A26,[3]הפניקס!$A:$E,5,0)</f>
        <v>217702</v>
      </c>
    </row>
    <row r="27" spans="1:11" ht="15.75" x14ac:dyDescent="0.25">
      <c r="A27" s="31" t="s">
        <v>17</v>
      </c>
      <c r="B27" s="27" t="s">
        <v>56</v>
      </c>
      <c r="C27" s="27" t="s">
        <v>115</v>
      </c>
      <c r="D27" s="14"/>
      <c r="E27" s="14"/>
      <c r="F27" s="14">
        <v>100000</v>
      </c>
      <c r="G27" s="14"/>
      <c r="H27" s="110">
        <f>VLOOKUP(A27,[3]הפניקס!$A:$E,2,0)</f>
        <v>0</v>
      </c>
      <c r="I27" s="110">
        <f>VLOOKUP(A27,[3]הפניקס!$A:$E,3,0)</f>
        <v>13890.628449</v>
      </c>
      <c r="J27" s="110">
        <f>VLOOKUP(A27,[3]הפניקס!$A:$E,4,0)</f>
        <v>0</v>
      </c>
      <c r="K27" s="110">
        <f>VLOOKUP(A27,[3]הפניקס!$A:$E,5,0)</f>
        <v>0</v>
      </c>
    </row>
    <row r="28" spans="1:11" ht="15.75" x14ac:dyDescent="0.25">
      <c r="A28" s="31" t="s">
        <v>18</v>
      </c>
      <c r="B28" s="27" t="s">
        <v>56</v>
      </c>
      <c r="C28" s="27" t="s">
        <v>115</v>
      </c>
      <c r="D28" s="14"/>
      <c r="E28" s="14"/>
      <c r="F28" s="14"/>
      <c r="G28" s="14"/>
      <c r="H28" s="110">
        <f>VLOOKUP(A28,[3]הפניקס!$A:$E,2,0)</f>
        <v>0</v>
      </c>
      <c r="I28" s="110">
        <f>VLOOKUP(A28,[3]הפניקס!$A:$E,3,0)</f>
        <v>0</v>
      </c>
      <c r="J28" s="110">
        <f>VLOOKUP(A28,[3]הפניקס!$A:$E,4,0)</f>
        <v>0</v>
      </c>
      <c r="K28" s="110">
        <f>VLOOKUP(A28,[3]הפניקס!$A:$E,5,0)</f>
        <v>0</v>
      </c>
    </row>
    <row r="29" spans="1:11" ht="15.75" x14ac:dyDescent="0.25">
      <c r="A29" s="27" t="s">
        <v>19</v>
      </c>
      <c r="B29" s="27" t="s">
        <v>56</v>
      </c>
      <c r="C29" s="27" t="s">
        <v>115</v>
      </c>
      <c r="D29" s="14"/>
      <c r="E29" s="14"/>
      <c r="F29" s="14"/>
      <c r="G29" s="14"/>
      <c r="H29" s="110">
        <f>VLOOKUP(A29,[3]הפניקס!$A:$E,2,0)</f>
        <v>0</v>
      </c>
      <c r="I29" s="110">
        <f>VLOOKUP(A29,[3]הפניקס!$A:$E,3,0)</f>
        <v>0</v>
      </c>
      <c r="J29" s="110">
        <f>VLOOKUP(A29,[3]הפניקס!$A:$E,4,0)</f>
        <v>0</v>
      </c>
      <c r="K29" s="110">
        <f>VLOOKUP(A29,[3]הפניקס!$A:$E,5,0)</f>
        <v>0</v>
      </c>
    </row>
    <row r="30" spans="1:11" ht="15.75" x14ac:dyDescent="0.25">
      <c r="A30" s="27" t="s">
        <v>20</v>
      </c>
      <c r="B30" s="27" t="s">
        <v>56</v>
      </c>
      <c r="C30" s="27" t="s">
        <v>115</v>
      </c>
      <c r="D30" s="14">
        <v>110917</v>
      </c>
      <c r="E30" s="14"/>
      <c r="F30" s="14"/>
      <c r="G30" s="14"/>
      <c r="H30" s="110">
        <f>VLOOKUP(A30,[3]הפניקס!$A:$E,2,0)</f>
        <v>0</v>
      </c>
      <c r="I30" s="110">
        <f>VLOOKUP(A30,[3]הפניקס!$A:$E,3,0)</f>
        <v>0</v>
      </c>
      <c r="J30" s="110">
        <f>VLOOKUP(A30,[3]הפניקס!$A:$E,4,0)</f>
        <v>0</v>
      </c>
      <c r="K30" s="110">
        <f>VLOOKUP(A30,[3]הפניקס!$A:$E,5,0)</f>
        <v>0</v>
      </c>
    </row>
    <row r="31" spans="1:11" ht="15.75" x14ac:dyDescent="0.25">
      <c r="A31" s="27" t="s">
        <v>21</v>
      </c>
      <c r="B31" s="27" t="s">
        <v>56</v>
      </c>
      <c r="C31" s="27" t="s">
        <v>115</v>
      </c>
      <c r="D31" s="14"/>
      <c r="E31" s="14"/>
      <c r="F31" s="14"/>
      <c r="G31" s="14"/>
      <c r="H31" s="110">
        <f>VLOOKUP(A31,[3]הפניקס!$A:$E,2,0)</f>
        <v>0</v>
      </c>
      <c r="I31" s="110">
        <f>VLOOKUP(A31,[3]הפניקס!$A:$E,3,0)</f>
        <v>0</v>
      </c>
      <c r="J31" s="110">
        <f>VLOOKUP(A31,[3]הפניקס!$A:$E,4,0)</f>
        <v>0</v>
      </c>
      <c r="K31" s="110">
        <f>VLOOKUP(A31,[3]הפניקס!$A:$E,5,0)</f>
        <v>0</v>
      </c>
    </row>
    <row r="32" spans="1:11" ht="15.75" x14ac:dyDescent="0.25">
      <c r="A32" s="27" t="s">
        <v>22</v>
      </c>
      <c r="B32" s="27" t="s">
        <v>56</v>
      </c>
      <c r="C32" s="27" t="s">
        <v>115</v>
      </c>
      <c r="D32" s="14"/>
      <c r="E32" s="14"/>
      <c r="F32" s="14"/>
      <c r="G32" s="14"/>
      <c r="H32" s="110">
        <f>VLOOKUP(A32,[3]הפניקס!$A:$E,2,0)</f>
        <v>0</v>
      </c>
      <c r="I32" s="110">
        <f>VLOOKUP(A32,[3]הפניקס!$A:$E,3,0)</f>
        <v>0</v>
      </c>
      <c r="J32" s="110">
        <f>VLOOKUP(A32,[3]הפניקס!$A:$E,4,0)</f>
        <v>0</v>
      </c>
      <c r="K32" s="110">
        <f>VLOOKUP(A32,[3]הפניקס!$A:$E,5,0)</f>
        <v>0</v>
      </c>
    </row>
    <row r="33" spans="1:12" ht="15.75" x14ac:dyDescent="0.25">
      <c r="A33" s="27" t="s">
        <v>23</v>
      </c>
      <c r="B33" s="27" t="s">
        <v>56</v>
      </c>
      <c r="C33" s="27" t="s">
        <v>115</v>
      </c>
      <c r="D33" s="14"/>
      <c r="E33" s="14"/>
      <c r="F33" s="14"/>
      <c r="G33" s="14"/>
      <c r="H33" s="110">
        <f>VLOOKUP(A33,[3]הפניקס!$A:$E,2,0)</f>
        <v>0</v>
      </c>
      <c r="I33" s="110">
        <f>VLOOKUP(A33,[3]הפניקס!$A:$E,3,0)</f>
        <v>0</v>
      </c>
      <c r="J33" s="110">
        <f>VLOOKUP(A33,[3]הפניקס!$A:$E,4,0)</f>
        <v>0</v>
      </c>
      <c r="K33" s="110">
        <f>VLOOKUP(A33,[3]הפניקס!$A:$E,5,0)</f>
        <v>0</v>
      </c>
    </row>
    <row r="34" spans="1:12" ht="15.75" x14ac:dyDescent="0.25">
      <c r="A34" s="27" t="s">
        <v>24</v>
      </c>
      <c r="B34" s="27" t="s">
        <v>56</v>
      </c>
      <c r="C34" s="27" t="s">
        <v>115</v>
      </c>
      <c r="D34" s="14"/>
      <c r="E34" s="14"/>
      <c r="F34" s="14"/>
      <c r="G34" s="14"/>
      <c r="H34" s="110">
        <f>VLOOKUP(A34,[3]הפניקס!$A:$E,2,0)</f>
        <v>0</v>
      </c>
      <c r="I34" s="110">
        <f>VLOOKUP(A34,[3]הפניקס!$A:$E,3,0)</f>
        <v>0</v>
      </c>
      <c r="J34" s="110">
        <f>VLOOKUP(A34,[3]הפניקס!$A:$E,4,0)</f>
        <v>0</v>
      </c>
      <c r="K34" s="110">
        <f>VLOOKUP(A34,[3]הפניקס!$A:$E,5,0)</f>
        <v>0</v>
      </c>
    </row>
    <row r="35" spans="1:12" ht="15.75" x14ac:dyDescent="0.25">
      <c r="A35" s="31" t="s">
        <v>25</v>
      </c>
      <c r="B35" s="27" t="s">
        <v>56</v>
      </c>
      <c r="C35" s="27" t="s">
        <v>115</v>
      </c>
      <c r="D35" s="14"/>
      <c r="E35" s="14"/>
      <c r="F35" s="14"/>
      <c r="G35" s="14"/>
      <c r="H35" s="110">
        <f>VLOOKUP(A35,[3]הפניקס!$A:$E,2,0)</f>
        <v>0</v>
      </c>
      <c r="I35" s="110">
        <f>VLOOKUP(A35,[3]הפניקס!$A:$E,3,0)</f>
        <v>0</v>
      </c>
      <c r="J35" s="110">
        <f>VLOOKUP(A35,[3]הפניקס!$A:$E,4,0)</f>
        <v>0</v>
      </c>
      <c r="K35" s="110">
        <f>VLOOKUP(A35,[3]הפניקס!$A:$E,5,0)</f>
        <v>0</v>
      </c>
    </row>
    <row r="36" spans="1:12" ht="15.75" x14ac:dyDescent="0.25">
      <c r="A36" s="27" t="s">
        <v>26</v>
      </c>
      <c r="B36" s="27" t="s">
        <v>56</v>
      </c>
      <c r="C36" s="27" t="s">
        <v>115</v>
      </c>
      <c r="D36" s="14"/>
      <c r="E36" s="14"/>
      <c r="F36" s="14"/>
      <c r="G36" s="14"/>
      <c r="H36" s="110">
        <f>VLOOKUP(A36,[3]הפניקס!$A:$E,2,0)</f>
        <v>0</v>
      </c>
      <c r="I36" s="110">
        <f>VLOOKUP(A36,[3]הפניקס!$A:$E,3,0)</f>
        <v>0</v>
      </c>
      <c r="J36" s="110">
        <f>VLOOKUP(A36,[3]הפניקס!$A:$E,4,0)</f>
        <v>0</v>
      </c>
      <c r="K36" s="110">
        <f>VLOOKUP(A36,[3]הפניקס!$A:$E,5,0)</f>
        <v>0</v>
      </c>
    </row>
    <row r="37" spans="1:12" ht="15.75" x14ac:dyDescent="0.25">
      <c r="A37" s="27" t="s">
        <v>27</v>
      </c>
      <c r="B37" s="27" t="s">
        <v>56</v>
      </c>
      <c r="C37" s="27" t="s">
        <v>115</v>
      </c>
      <c r="D37" s="14"/>
      <c r="E37" s="14"/>
      <c r="F37" s="14"/>
      <c r="G37" s="14"/>
      <c r="H37" s="110">
        <f>VLOOKUP(A37,[3]הפניקס!$A:$E,2,0)</f>
        <v>0</v>
      </c>
      <c r="I37" s="110">
        <f>VLOOKUP(A37,[3]הפניקס!$A:$E,3,0)</f>
        <v>0</v>
      </c>
      <c r="J37" s="110">
        <f>VLOOKUP(A37,[3]הפניקס!$A:$E,4,0)</f>
        <v>0</v>
      </c>
      <c r="K37" s="110">
        <f>VLOOKUP(A37,[3]הפניקס!$A:$E,5,0)</f>
        <v>0</v>
      </c>
    </row>
    <row r="38" spans="1:12" ht="15.75" x14ac:dyDescent="0.25">
      <c r="A38" s="27" t="s">
        <v>28</v>
      </c>
      <c r="B38" s="27" t="s">
        <v>56</v>
      </c>
      <c r="C38" s="27" t="s">
        <v>115</v>
      </c>
      <c r="D38" s="14"/>
      <c r="E38" s="14"/>
      <c r="F38" s="14"/>
      <c r="G38" s="14"/>
      <c r="H38" s="110">
        <f>VLOOKUP(A38,[3]הפניקס!$A:$E,2,0)</f>
        <v>0</v>
      </c>
      <c r="I38" s="110">
        <f>VLOOKUP(A38,[3]הפניקס!$A:$E,3,0)</f>
        <v>0</v>
      </c>
      <c r="J38" s="110">
        <f>VLOOKUP(A38,[3]הפניקס!$A:$E,4,0)</f>
        <v>0</v>
      </c>
      <c r="K38" s="110">
        <f>VLOOKUP(A38,[3]הפניקס!$A:$E,5,0)</f>
        <v>0</v>
      </c>
    </row>
    <row r="39" spans="1:12" ht="15.75" x14ac:dyDescent="0.25">
      <c r="A39" s="27" t="s">
        <v>29</v>
      </c>
      <c r="B39" s="27" t="s">
        <v>56</v>
      </c>
      <c r="C39" s="27" t="s">
        <v>115</v>
      </c>
      <c r="D39" s="14"/>
      <c r="E39" s="14"/>
      <c r="F39" s="14"/>
      <c r="G39" s="14"/>
      <c r="H39" s="110">
        <f>VLOOKUP(A39,[3]הפניקס!$A:$E,2,0)</f>
        <v>0</v>
      </c>
      <c r="I39" s="110">
        <f>VLOOKUP(A39,[3]הפניקס!$A:$E,3,0)</f>
        <v>0</v>
      </c>
      <c r="J39" s="110">
        <f>VLOOKUP(A39,[3]הפניקס!$A:$E,4,0)</f>
        <v>0</v>
      </c>
      <c r="K39" s="110">
        <f>VLOOKUP(A39,[3]הפניקס!$A:$E,5,0)</f>
        <v>0</v>
      </c>
    </row>
    <row r="40" spans="1:12" ht="15.75" x14ac:dyDescent="0.25">
      <c r="A40" s="27" t="s">
        <v>106</v>
      </c>
      <c r="B40" s="27" t="s">
        <v>55</v>
      </c>
      <c r="C40" s="27" t="s">
        <v>115</v>
      </c>
      <c r="D40" s="14"/>
      <c r="E40" s="14"/>
      <c r="F40" s="14"/>
      <c r="G40" s="14"/>
      <c r="H40" s="110"/>
      <c r="I40" s="110"/>
      <c r="J40" s="110"/>
      <c r="K40" s="110"/>
    </row>
    <row r="41" spans="1:12" ht="15.75" x14ac:dyDescent="0.25">
      <c r="A41" s="27" t="s">
        <v>32</v>
      </c>
      <c r="B41" s="27" t="s">
        <v>55</v>
      </c>
      <c r="C41" s="27" t="s">
        <v>115</v>
      </c>
      <c r="D41" s="14"/>
      <c r="E41" s="14"/>
      <c r="F41" s="14"/>
      <c r="G41" s="14"/>
      <c r="H41" s="110"/>
      <c r="I41" s="110"/>
      <c r="J41" s="110"/>
      <c r="K41" s="110"/>
    </row>
    <row r="42" spans="1:12" ht="15.75" x14ac:dyDescent="0.25">
      <c r="A42" s="31" t="s">
        <v>103</v>
      </c>
      <c r="B42" s="27" t="s">
        <v>56</v>
      </c>
      <c r="C42" s="27" t="s">
        <v>115</v>
      </c>
      <c r="D42" s="14"/>
      <c r="E42" s="14">
        <v>2774.988625</v>
      </c>
      <c r="F42" s="14"/>
      <c r="G42" s="14"/>
      <c r="H42" s="110"/>
      <c r="I42" s="110"/>
      <c r="J42" s="110"/>
      <c r="K42" s="110"/>
    </row>
    <row r="43" spans="1:12" ht="15.75" x14ac:dyDescent="0.25">
      <c r="A43" s="27" t="s">
        <v>91</v>
      </c>
      <c r="B43" s="27" t="s">
        <v>56</v>
      </c>
      <c r="C43" s="27" t="s">
        <v>115</v>
      </c>
      <c r="D43" s="14"/>
      <c r="E43" s="14"/>
      <c r="F43" s="14">
        <v>9373.58</v>
      </c>
      <c r="G43" s="14"/>
      <c r="H43" s="110">
        <f>VLOOKUP(A43,[3]הפניקס!$A:$E,2,0)</f>
        <v>0</v>
      </c>
      <c r="I43" s="110">
        <f>VLOOKUP(A43,[3]הפניקס!$A:$E,3,0)</f>
        <v>0</v>
      </c>
      <c r="J43" s="110">
        <f>VLOOKUP(A43,[3]הפניקס!$A:$E,4,0)</f>
        <v>30000</v>
      </c>
      <c r="K43" s="110">
        <f>VLOOKUP(A43,[3]הפניקס!$A:$E,5,0)</f>
        <v>0</v>
      </c>
    </row>
    <row r="44" spans="1:12" ht="15.75" x14ac:dyDescent="0.25">
      <c r="A44" s="27" t="s">
        <v>90</v>
      </c>
      <c r="B44" s="27" t="s">
        <v>56</v>
      </c>
      <c r="C44" s="27" t="s">
        <v>115</v>
      </c>
      <c r="D44" s="14"/>
      <c r="E44" s="14"/>
      <c r="F44" s="14"/>
      <c r="G44" s="14"/>
      <c r="H44" s="110">
        <f>VLOOKUP(A44,[3]הפניקס!$A:$E,2,0)</f>
        <v>0</v>
      </c>
      <c r="I44" s="110">
        <f>VLOOKUP(A44,[3]הפניקס!$A:$E,3,0)</f>
        <v>0</v>
      </c>
      <c r="J44" s="110">
        <f>VLOOKUP(A44,[3]הפניקס!$A:$E,4,0)</f>
        <v>0</v>
      </c>
      <c r="K44" s="110">
        <f>VLOOKUP(A44,[3]הפניקס!$A:$E,5,0)</f>
        <v>0</v>
      </c>
    </row>
    <row r="45" spans="1:12" ht="15.75" x14ac:dyDescent="0.25">
      <c r="A45" s="27" t="s">
        <v>36</v>
      </c>
      <c r="B45" s="27" t="s">
        <v>55</v>
      </c>
      <c r="C45" s="27" t="s">
        <v>115</v>
      </c>
      <c r="D45" s="14"/>
      <c r="E45" s="14"/>
      <c r="F45" s="14"/>
      <c r="G45" s="14"/>
      <c r="H45" s="110">
        <f>VLOOKUP(A45,[3]הפניקס!$A:$E,2,0)</f>
        <v>0</v>
      </c>
      <c r="I45" s="110">
        <f>VLOOKUP(A45,[3]הפניקס!$A:$E,3,0)</f>
        <v>0</v>
      </c>
      <c r="J45" s="110">
        <f>VLOOKUP(A45,[3]הפניקס!$A:$E,4,0)</f>
        <v>0</v>
      </c>
      <c r="K45" s="110">
        <f>VLOOKUP(A45,[3]הפניקס!$A:$E,5,0)</f>
        <v>0</v>
      </c>
    </row>
    <row r="46" spans="1:12" ht="15.75" x14ac:dyDescent="0.25">
      <c r="A46" s="27" t="s">
        <v>102</v>
      </c>
      <c r="B46" s="27" t="s">
        <v>55</v>
      </c>
      <c r="C46" s="27" t="s">
        <v>115</v>
      </c>
      <c r="D46" s="14"/>
      <c r="E46" s="14"/>
      <c r="F46" s="14"/>
      <c r="G46" s="14"/>
      <c r="H46" s="110"/>
      <c r="I46" s="110"/>
      <c r="J46" s="110"/>
      <c r="K46" s="110"/>
      <c r="L46" s="159"/>
    </row>
    <row r="47" spans="1:12" ht="15.75" x14ac:dyDescent="0.25">
      <c r="A47" s="27" t="s">
        <v>93</v>
      </c>
      <c r="B47" s="27" t="s">
        <v>56</v>
      </c>
      <c r="C47" s="27" t="s">
        <v>115</v>
      </c>
      <c r="D47" s="14"/>
      <c r="E47" s="14"/>
      <c r="F47" s="14"/>
      <c r="G47" s="14"/>
      <c r="H47" s="110">
        <f>VLOOKUP(A47,[3]הפניקס!$A:$E,2,0)</f>
        <v>0</v>
      </c>
      <c r="I47" s="110">
        <f>VLOOKUP(A47,[3]הפניקס!$A:$E,3,0)</f>
        <v>0</v>
      </c>
      <c r="J47" s="110">
        <f>VLOOKUP(A47,[3]הפניקס!$A:$E,4,0)</f>
        <v>0</v>
      </c>
      <c r="K47" s="110">
        <f>VLOOKUP(A47,[3]הפניקס!$A:$E,5,0)</f>
        <v>0</v>
      </c>
    </row>
    <row r="48" spans="1:12" ht="15.75" x14ac:dyDescent="0.25">
      <c r="A48" s="27" t="s">
        <v>95</v>
      </c>
      <c r="B48" s="27" t="s">
        <v>56</v>
      </c>
      <c r="C48" s="27" t="s">
        <v>115</v>
      </c>
      <c r="D48" s="14"/>
      <c r="E48" s="14"/>
      <c r="F48" s="14">
        <v>79000</v>
      </c>
      <c r="G48" s="14"/>
      <c r="H48" s="110">
        <f>VLOOKUP(A48,[3]הפניקס!$A:$E,2,0)</f>
        <v>0</v>
      </c>
      <c r="I48" s="110">
        <f>VLOOKUP(A48,[3]הפניקס!$A:$E,3,0)</f>
        <v>0</v>
      </c>
      <c r="J48" s="110">
        <f>VLOOKUP(A48,[3]הפניקס!$A:$E,4,0)</f>
        <v>79000</v>
      </c>
      <c r="K48" s="110">
        <f>VLOOKUP(A48,[3]הפניקס!$A:$E,5,0)</f>
        <v>0</v>
      </c>
    </row>
    <row r="49" spans="1:13" ht="15.75" x14ac:dyDescent="0.25">
      <c r="A49" s="27" t="s">
        <v>105</v>
      </c>
      <c r="B49" s="27" t="s">
        <v>56</v>
      </c>
      <c r="C49" s="27" t="s">
        <v>115</v>
      </c>
      <c r="D49" s="14">
        <v>25139.988000000001</v>
      </c>
      <c r="E49" s="14"/>
      <c r="F49" s="14">
        <v>726456.89</v>
      </c>
      <c r="G49" s="14"/>
      <c r="H49" s="110"/>
      <c r="I49" s="110"/>
      <c r="J49" s="110"/>
      <c r="K49" s="110"/>
    </row>
    <row r="50" spans="1:13" ht="15.75" x14ac:dyDescent="0.25">
      <c r="A50" s="27" t="s">
        <v>39</v>
      </c>
      <c r="B50" s="27" t="s">
        <v>56</v>
      </c>
      <c r="C50" s="27" t="s">
        <v>115</v>
      </c>
      <c r="D50" s="14"/>
      <c r="E50" s="14"/>
      <c r="F50" s="14"/>
      <c r="G50" s="14"/>
      <c r="H50" s="110">
        <f>VLOOKUP(A50,[3]הפניקס!$A:$E,2,0)</f>
        <v>0</v>
      </c>
      <c r="I50" s="110">
        <f>VLOOKUP(A50,[3]הפניקס!$A:$E,3,0)</f>
        <v>0</v>
      </c>
      <c r="J50" s="110">
        <f>VLOOKUP(A50,[3]הפניקס!$A:$E,4,0)</f>
        <v>0</v>
      </c>
      <c r="K50" s="110">
        <f>VLOOKUP(A50,[3]הפניקס!$A:$E,5,0)</f>
        <v>0</v>
      </c>
    </row>
    <row r="51" spans="1:13" ht="15.75" x14ac:dyDescent="0.25">
      <c r="A51" s="27" t="s">
        <v>99</v>
      </c>
      <c r="B51" s="27" t="s">
        <v>56</v>
      </c>
      <c r="C51" s="27" t="s">
        <v>115</v>
      </c>
      <c r="D51" s="14">
        <v>83435.915399999998</v>
      </c>
      <c r="E51" s="14"/>
      <c r="F51" s="14"/>
      <c r="G51" s="14"/>
      <c r="H51" s="110">
        <f>VLOOKUP(A51,[3]הפניקס!$A:$E,2,0)</f>
        <v>8987.5975589999998</v>
      </c>
      <c r="I51" s="110">
        <f>VLOOKUP(A51,[3]הפניקס!$A:$E,3,0)</f>
        <v>0</v>
      </c>
      <c r="J51" s="110">
        <f>VLOOKUP(A51,[3]הפניקס!$A:$E,4,0)</f>
        <v>0</v>
      </c>
      <c r="K51" s="110">
        <f>VLOOKUP(A51,[3]הפניקס!$A:$E,5,0)</f>
        <v>55089</v>
      </c>
    </row>
    <row r="52" spans="1:13" ht="15.75" x14ac:dyDescent="0.25">
      <c r="A52" s="27" t="s">
        <v>41</v>
      </c>
      <c r="B52" s="27" t="s">
        <v>56</v>
      </c>
      <c r="C52" s="27" t="s">
        <v>115</v>
      </c>
      <c r="D52" s="14"/>
      <c r="E52" s="14"/>
      <c r="F52" s="14"/>
      <c r="G52" s="14"/>
      <c r="H52" s="110">
        <f>VLOOKUP(A52,[3]הפניקס!$A:$E,2,0)</f>
        <v>0</v>
      </c>
      <c r="I52" s="110">
        <f>VLOOKUP(A52,[3]הפניקס!$A:$E,3,0)</f>
        <v>0</v>
      </c>
      <c r="J52" s="110">
        <f>VLOOKUP(A52,[3]הפניקס!$A:$E,4,0)</f>
        <v>0</v>
      </c>
      <c r="K52" s="110">
        <f>VLOOKUP(A52,[3]הפניקס!$A:$E,5,0)</f>
        <v>0</v>
      </c>
    </row>
    <row r="53" spans="1:13" ht="16.5" thickBot="1" x14ac:dyDescent="0.3">
      <c r="A53" s="29" t="s">
        <v>96</v>
      </c>
      <c r="B53" s="29" t="s">
        <v>56</v>
      </c>
      <c r="C53" s="29" t="s">
        <v>115</v>
      </c>
      <c r="D53" s="15"/>
      <c r="E53" s="15"/>
      <c r="F53" s="15"/>
      <c r="G53" s="15"/>
      <c r="H53" s="110">
        <f>VLOOKUP(A53,[3]הפניקס!$A:$E,2,0)</f>
        <v>0</v>
      </c>
      <c r="I53" s="110">
        <f>VLOOKUP(A53,[3]הפניקס!$A:$E,3,0)</f>
        <v>0</v>
      </c>
      <c r="J53" s="110">
        <f>VLOOKUP(A53,[3]הפניקס!$A:$E,4,0)</f>
        <v>0</v>
      </c>
      <c r="K53" s="110">
        <f>VLOOKUP(A53,[3]הפניקס!$A:$E,5,0)</f>
        <v>0</v>
      </c>
    </row>
    <row r="54" spans="1:13" ht="21.75" thickBot="1" x14ac:dyDescent="0.4">
      <c r="A54" s="144" t="s">
        <v>124</v>
      </c>
      <c r="B54" s="142"/>
      <c r="C54" s="142"/>
      <c r="D54" s="220">
        <f>SUM(D22:D53)</f>
        <v>236868.23355</v>
      </c>
      <c r="E54" s="220">
        <f t="shared" ref="E54:K54" si="2">SUM(E22:E53)</f>
        <v>2774.988625</v>
      </c>
      <c r="F54" s="220">
        <f t="shared" si="2"/>
        <v>914830.47</v>
      </c>
      <c r="G54" s="220">
        <f t="shared" si="2"/>
        <v>0</v>
      </c>
      <c r="H54" s="220">
        <f t="shared" si="2"/>
        <v>53498.637656999999</v>
      </c>
      <c r="I54" s="220">
        <f t="shared" si="2"/>
        <v>15262.324932</v>
      </c>
      <c r="J54" s="220">
        <f t="shared" si="2"/>
        <v>109000</v>
      </c>
      <c r="K54" s="220">
        <f t="shared" si="2"/>
        <v>272791</v>
      </c>
    </row>
    <row r="55" spans="1:13" ht="15.75" x14ac:dyDescent="0.25">
      <c r="A55" s="31" t="s">
        <v>33</v>
      </c>
      <c r="B55" s="27" t="s">
        <v>123</v>
      </c>
      <c r="C55" s="27" t="s">
        <v>115</v>
      </c>
      <c r="D55" s="14"/>
      <c r="E55" s="14"/>
      <c r="F55" s="14"/>
      <c r="G55" s="14"/>
      <c r="H55" s="110">
        <f>VLOOKUP(A55,[3]הפניקס!$A:$E,2,0)</f>
        <v>0</v>
      </c>
      <c r="I55" s="110">
        <f>VLOOKUP(A55,[3]הפניקס!$A:$E,3,0)</f>
        <v>0</v>
      </c>
      <c r="J55" s="110">
        <f>VLOOKUP(A55,[3]הפניקס!$A:$E,4,0)</f>
        <v>0</v>
      </c>
      <c r="K55" s="110">
        <f>VLOOKUP(A55,[3]הפניקס!$A:$E,5,0)</f>
        <v>0</v>
      </c>
    </row>
    <row r="56" spans="1:13" ht="15.75" x14ac:dyDescent="0.25">
      <c r="A56" s="27" t="s">
        <v>92</v>
      </c>
      <c r="B56" s="27" t="s">
        <v>123</v>
      </c>
      <c r="C56" s="27" t="s">
        <v>115</v>
      </c>
      <c r="D56" s="14"/>
      <c r="E56" s="14">
        <v>4889.4159</v>
      </c>
      <c r="F56" s="14">
        <v>15000</v>
      </c>
      <c r="G56" s="14"/>
      <c r="H56" s="110">
        <f>VLOOKUP(A56,[3]הפניקס!$A:$E,2,0)</f>
        <v>0</v>
      </c>
      <c r="I56" s="110">
        <f>VLOOKUP(A56,[3]הפניקס!$A:$E,3,0)</f>
        <v>0</v>
      </c>
      <c r="J56" s="110">
        <f>VLOOKUP(A56,[3]הפניקס!$A:$E,4,0)</f>
        <v>0</v>
      </c>
      <c r="K56" s="110">
        <f>VLOOKUP(A56,[3]הפניקס!$A:$E,5,0)</f>
        <v>0</v>
      </c>
    </row>
    <row r="57" spans="1:13" ht="15.75" x14ac:dyDescent="0.25">
      <c r="A57" s="27" t="s">
        <v>37</v>
      </c>
      <c r="B57" s="27" t="s">
        <v>123</v>
      </c>
      <c r="C57" s="27" t="s">
        <v>115</v>
      </c>
      <c r="D57" s="14"/>
      <c r="E57" s="14"/>
      <c r="F57" s="14"/>
      <c r="G57" s="14"/>
      <c r="H57" s="110">
        <f>VLOOKUP(A57,[3]הפניקס!$A:$E,2,0)</f>
        <v>0</v>
      </c>
      <c r="I57" s="110">
        <f>VLOOKUP(A57,[3]הפניקס!$A:$E,3,0)</f>
        <v>0</v>
      </c>
      <c r="J57" s="110">
        <f>VLOOKUP(A57,[3]הפניקס!$A:$E,4,0)</f>
        <v>0</v>
      </c>
      <c r="K57" s="110">
        <f>VLOOKUP(A57,[3]הפניקס!$A:$E,5,0)</f>
        <v>0</v>
      </c>
      <c r="M57" s="154"/>
    </row>
    <row r="58" spans="1:13" ht="15.75" x14ac:dyDescent="0.25">
      <c r="A58" s="27" t="s">
        <v>35</v>
      </c>
      <c r="B58" s="27" t="s">
        <v>123</v>
      </c>
      <c r="C58" s="27" t="s">
        <v>115</v>
      </c>
      <c r="D58" s="14"/>
      <c r="E58" s="14"/>
      <c r="F58" s="14"/>
      <c r="G58" s="14"/>
      <c r="H58" s="110">
        <f>VLOOKUP(A58,[3]הפניקס!$A:$E,2,0)</f>
        <v>0</v>
      </c>
      <c r="I58" s="110">
        <f>VLOOKUP(A58,[3]הפניקס!$A:$E,3,0)</f>
        <v>0</v>
      </c>
      <c r="J58" s="110">
        <f>VLOOKUP(A58,[3]הפניקס!$A:$E,4,0)</f>
        <v>0</v>
      </c>
      <c r="K58" s="110">
        <f>VLOOKUP(A58,[3]הפניקס!$A:$E,5,0)</f>
        <v>0</v>
      </c>
      <c r="M58" s="154"/>
    </row>
    <row r="59" spans="1:13" ht="15.75" x14ac:dyDescent="0.25">
      <c r="A59" s="28" t="s">
        <v>94</v>
      </c>
      <c r="B59" s="28" t="s">
        <v>123</v>
      </c>
      <c r="C59" s="28" t="s">
        <v>115</v>
      </c>
      <c r="D59" s="14"/>
      <c r="E59" s="14"/>
      <c r="F59" s="14"/>
      <c r="G59" s="14"/>
      <c r="H59" s="110">
        <f>VLOOKUP(A59,[3]הפניקס!$A:$E,2,0)</f>
        <v>0</v>
      </c>
      <c r="I59" s="110">
        <f>VLOOKUP(A59,[3]הפניקס!$A:$E,3,0)</f>
        <v>0</v>
      </c>
      <c r="J59" s="110">
        <f>VLOOKUP(A59,[3]הפניקס!$A:$E,4,0)</f>
        <v>23977.321068000001</v>
      </c>
      <c r="K59" s="110">
        <f>VLOOKUP(A59,[3]הפניקס!$A:$E,5,0)</f>
        <v>1937</v>
      </c>
      <c r="M59" s="154"/>
    </row>
    <row r="60" spans="1:13" ht="15.75" x14ac:dyDescent="0.25">
      <c r="A60" s="31" t="s">
        <v>16</v>
      </c>
      <c r="B60" s="27" t="s">
        <v>123</v>
      </c>
      <c r="C60" s="27" t="s">
        <v>115</v>
      </c>
      <c r="D60" s="14"/>
      <c r="E60" s="14"/>
      <c r="F60" s="14"/>
      <c r="G60" s="14"/>
      <c r="H60" s="110">
        <f>VLOOKUP(A60,[3]הפניקס!$A:$E,2,0)</f>
        <v>0</v>
      </c>
      <c r="I60" s="110">
        <f>VLOOKUP(A60,[3]הפניקס!$A:$E,3,0)</f>
        <v>0</v>
      </c>
      <c r="J60" s="110">
        <f>VLOOKUP(A60,[3]הפניקס!$A:$E,4,0)</f>
        <v>0</v>
      </c>
      <c r="K60" s="110">
        <f>VLOOKUP(A60,[3]הפניקס!$A:$E,5,0)</f>
        <v>0</v>
      </c>
    </row>
    <row r="61" spans="1:13" ht="16.5" thickBot="1" x14ac:dyDescent="0.3">
      <c r="A61" s="138" t="s">
        <v>107</v>
      </c>
      <c r="B61" s="27" t="s">
        <v>123</v>
      </c>
      <c r="C61" s="27" t="s">
        <v>115</v>
      </c>
      <c r="D61" s="14"/>
      <c r="E61" s="14"/>
      <c r="F61" s="14">
        <v>33500</v>
      </c>
      <c r="G61" s="14"/>
      <c r="H61" s="110"/>
      <c r="I61" s="110"/>
      <c r="J61" s="110"/>
      <c r="K61" s="110"/>
    </row>
    <row r="62" spans="1:13" ht="21.75" thickBot="1" x14ac:dyDescent="0.4">
      <c r="A62" s="144" t="s">
        <v>125</v>
      </c>
      <c r="B62" s="143"/>
      <c r="C62" s="143"/>
      <c r="D62" s="220">
        <f>SUM(D55:D61)</f>
        <v>0</v>
      </c>
      <c r="E62" s="220">
        <f t="shared" ref="E62:K62" si="3">SUM(E55:E61)</f>
        <v>4889.4159</v>
      </c>
      <c r="F62" s="220">
        <f t="shared" si="3"/>
        <v>48500</v>
      </c>
      <c r="G62" s="220">
        <f t="shared" si="3"/>
        <v>0</v>
      </c>
      <c r="H62" s="220">
        <f t="shared" si="3"/>
        <v>0</v>
      </c>
      <c r="I62" s="220">
        <f t="shared" si="3"/>
        <v>0</v>
      </c>
      <c r="J62" s="220">
        <f t="shared" si="3"/>
        <v>23977.321068000001</v>
      </c>
      <c r="K62" s="220">
        <f t="shared" si="3"/>
        <v>1937</v>
      </c>
    </row>
    <row r="63" spans="1:13" ht="15.75" x14ac:dyDescent="0.25">
      <c r="A63" s="28" t="s">
        <v>84</v>
      </c>
      <c r="B63" s="27" t="s">
        <v>116</v>
      </c>
      <c r="C63" s="28" t="s">
        <v>110</v>
      </c>
      <c r="D63" s="18"/>
      <c r="E63" s="18">
        <v>269552.35440000001</v>
      </c>
      <c r="F63" s="18">
        <v>136858.32</v>
      </c>
      <c r="G63" s="18"/>
      <c r="H63" s="110">
        <f>VLOOKUP(A63,[3]הפניקס!$A:$E,2,0)</f>
        <v>4247.0386020000005</v>
      </c>
      <c r="I63" s="110">
        <f>VLOOKUP(A63,[3]הפניקס!$A:$E,3,0)</f>
        <v>0</v>
      </c>
      <c r="J63" s="110">
        <f>VLOOKUP(A63,[3]הפניקס!$A:$E,4,0)</f>
        <v>165836.57000000004</v>
      </c>
      <c r="K63" s="110">
        <f>VLOOKUP(A63,[3]הפניקס!$A:$E,5,0)</f>
        <v>0</v>
      </c>
    </row>
    <row r="64" spans="1:13" ht="15.75" x14ac:dyDescent="0.25">
      <c r="A64" s="31" t="s">
        <v>40</v>
      </c>
      <c r="B64" s="27" t="s">
        <v>56</v>
      </c>
      <c r="C64" s="27" t="s">
        <v>111</v>
      </c>
      <c r="D64" s="14">
        <v>298034.99050000001</v>
      </c>
      <c r="E64" s="14"/>
      <c r="F64" s="14"/>
      <c r="G64" s="14"/>
      <c r="H64" s="110">
        <f>VLOOKUP(A64,[3]הפניקס!$A:$E,2,0)</f>
        <v>0</v>
      </c>
      <c r="I64" s="110">
        <f>VLOOKUP(A64,[3]הפניקס!$A:$E,3,0)</f>
        <v>0</v>
      </c>
      <c r="J64" s="110">
        <f>VLOOKUP(A64,[3]הפניקס!$A:$E,4,0)</f>
        <v>0</v>
      </c>
      <c r="K64" s="110">
        <f>VLOOKUP(A64,[3]הפניקס!$A:$E,5,0)</f>
        <v>0</v>
      </c>
    </row>
    <row r="65" spans="1:12" ht="15.75" x14ac:dyDescent="0.25">
      <c r="A65" s="27" t="s">
        <v>98</v>
      </c>
      <c r="B65" s="27" t="s">
        <v>116</v>
      </c>
      <c r="C65" s="27" t="s">
        <v>111</v>
      </c>
      <c r="D65" s="14"/>
      <c r="E65" s="14"/>
      <c r="F65" s="14">
        <v>500</v>
      </c>
      <c r="G65" s="14"/>
      <c r="H65" s="110">
        <f>VLOOKUP(A65,[3]הפניקס!$A:$E,2,0)</f>
        <v>0</v>
      </c>
      <c r="I65" s="110">
        <f>VLOOKUP(A65,[3]הפניקס!$A:$E,3,0)</f>
        <v>0</v>
      </c>
      <c r="J65" s="110">
        <f>VLOOKUP(A65,[3]הפניקס!$A:$E,4,0)</f>
        <v>77999.75</v>
      </c>
      <c r="K65" s="110">
        <f>VLOOKUP(A65,[3]הפניקס!$A:$E,5,0)</f>
        <v>0</v>
      </c>
    </row>
    <row r="66" spans="1:12" ht="15.75" x14ac:dyDescent="0.25">
      <c r="A66" s="27" t="s">
        <v>100</v>
      </c>
      <c r="B66" s="27" t="s">
        <v>56</v>
      </c>
      <c r="C66" s="27" t="s">
        <v>111</v>
      </c>
      <c r="D66" s="14"/>
      <c r="E66" s="14"/>
      <c r="F66" s="14">
        <v>3000</v>
      </c>
      <c r="G66" s="14"/>
      <c r="H66" s="110">
        <f>VLOOKUP(A66,[3]הפניקס!$A:$E,2,0)</f>
        <v>0</v>
      </c>
      <c r="I66" s="110">
        <f>VLOOKUP(A66,[3]הפניקס!$A:$E,3,0)</f>
        <v>0</v>
      </c>
      <c r="J66" s="110">
        <f>VLOOKUP(A66,[3]הפניקס!$A:$E,4,0)</f>
        <v>0</v>
      </c>
      <c r="K66" s="110">
        <f>VLOOKUP(A66,[3]הפניקס!$A:$E,5,0)</f>
        <v>0</v>
      </c>
    </row>
    <row r="67" spans="1:12" ht="15.75" x14ac:dyDescent="0.25">
      <c r="A67" s="27" t="s">
        <v>101</v>
      </c>
      <c r="B67" s="27" t="s">
        <v>56</v>
      </c>
      <c r="C67" s="27" t="s">
        <v>111</v>
      </c>
      <c r="D67" s="14"/>
      <c r="E67" s="14"/>
      <c r="F67" s="14"/>
      <c r="G67" s="14"/>
      <c r="H67" s="110">
        <f>VLOOKUP(A67,[3]הפניקס!$A:$E,2,0)</f>
        <v>0</v>
      </c>
      <c r="I67" s="110">
        <f>VLOOKUP(A67,[3]הפניקס!$A:$E,3,0)</f>
        <v>0</v>
      </c>
      <c r="J67" s="110">
        <f>VLOOKUP(A67,[3]הפניקס!$A:$E,4,0)</f>
        <v>0</v>
      </c>
      <c r="K67" s="110">
        <f>VLOOKUP(A67,[3]הפניקס!$A:$E,5,0)</f>
        <v>90372</v>
      </c>
    </row>
    <row r="68" spans="1:12" ht="15.75" x14ac:dyDescent="0.25">
      <c r="A68" s="27" t="s">
        <v>108</v>
      </c>
      <c r="B68" s="27" t="s">
        <v>56</v>
      </c>
      <c r="C68" s="27" t="s">
        <v>111</v>
      </c>
      <c r="D68" s="14"/>
      <c r="E68" s="14">
        <v>8100.4915000000001</v>
      </c>
      <c r="F68" s="14"/>
      <c r="G68" s="14"/>
      <c r="H68" s="110"/>
      <c r="I68" s="110"/>
      <c r="J68" s="110"/>
      <c r="K68" s="110"/>
      <c r="L68" s="159"/>
    </row>
    <row r="69" spans="1:12" ht="15.75" x14ac:dyDescent="0.25">
      <c r="A69" s="139" t="s">
        <v>109</v>
      </c>
      <c r="B69" s="27" t="s">
        <v>56</v>
      </c>
      <c r="C69" s="27" t="s">
        <v>111</v>
      </c>
      <c r="D69" s="14">
        <v>216055.66</v>
      </c>
      <c r="E69" s="14">
        <v>6702.9832749999996</v>
      </c>
      <c r="F69" s="14">
        <v>1363615.04</v>
      </c>
      <c r="G69" s="14"/>
      <c r="H69" s="110"/>
      <c r="I69" s="110"/>
      <c r="J69" s="110"/>
      <c r="K69" s="110"/>
    </row>
    <row r="70" spans="1:12" ht="16.5" thickBot="1" x14ac:dyDescent="0.3">
      <c r="A70" s="29" t="s">
        <v>89</v>
      </c>
      <c r="B70" s="29" t="s">
        <v>56</v>
      </c>
      <c r="C70" s="29" t="s">
        <v>111</v>
      </c>
      <c r="D70" s="15"/>
      <c r="E70" s="15"/>
      <c r="F70" s="15"/>
      <c r="G70" s="15"/>
      <c r="H70" s="110">
        <f>VLOOKUP(A70,[3]הפניקס!$A:$E,2,0)</f>
        <v>0</v>
      </c>
      <c r="I70" s="110">
        <f>VLOOKUP(A70,[3]הפניקס!$A:$E,3,0)</f>
        <v>0</v>
      </c>
      <c r="J70" s="110">
        <f>VLOOKUP(A70,[3]הפניקס!$A:$E,4,0)</f>
        <v>0</v>
      </c>
      <c r="K70" s="110">
        <f>VLOOKUP(A70,[3]הפניקס!$A:$E,5,0)</f>
        <v>0</v>
      </c>
    </row>
    <row r="71" spans="1:12" ht="21.75" thickBot="1" x14ac:dyDescent="0.3">
      <c r="A71" s="143" t="s">
        <v>44</v>
      </c>
      <c r="B71" s="142"/>
      <c r="C71" s="142"/>
      <c r="D71" s="152">
        <f>SUM(D63:D70)</f>
        <v>514090.65049999999</v>
      </c>
      <c r="E71" s="152">
        <f t="shared" ref="E71:K71" si="4">SUM(E63:E70)</f>
        <v>284355.82917500002</v>
      </c>
      <c r="F71" s="152">
        <f t="shared" si="4"/>
        <v>1503973.36</v>
      </c>
      <c r="G71" s="152">
        <f t="shared" si="4"/>
        <v>0</v>
      </c>
      <c r="H71" s="152">
        <f>SUM(H63:H70)</f>
        <v>4247.0386020000005</v>
      </c>
      <c r="I71" s="152">
        <f t="shared" si="4"/>
        <v>0</v>
      </c>
      <c r="J71" s="152">
        <f t="shared" si="4"/>
        <v>243836.32000000004</v>
      </c>
      <c r="K71" s="152">
        <f t="shared" si="4"/>
        <v>90372</v>
      </c>
    </row>
    <row r="72" spans="1:12" ht="21.75" thickBot="1" x14ac:dyDescent="0.3">
      <c r="A72" s="143" t="s">
        <v>45</v>
      </c>
      <c r="B72" s="142"/>
      <c r="C72" s="142"/>
      <c r="D72" s="152">
        <f>D71+D62+D54+D21+D8</f>
        <v>3446788.4158300003</v>
      </c>
      <c r="E72" s="152">
        <f t="shared" ref="E72:J72" si="5">E71+E62+E54+E21+E8</f>
        <v>383484.82408000005</v>
      </c>
      <c r="F72" s="152">
        <f t="shared" si="5"/>
        <v>6057156.5449999999</v>
      </c>
      <c r="G72" s="152">
        <f t="shared" si="5"/>
        <v>0</v>
      </c>
      <c r="H72" s="152">
        <f>H71+H62+H54+H21+H8</f>
        <v>57745.676259</v>
      </c>
      <c r="I72" s="152">
        <f t="shared" si="5"/>
        <v>17956.496477999997</v>
      </c>
      <c r="J72" s="152">
        <f t="shared" si="5"/>
        <v>3274396.3310679998</v>
      </c>
      <c r="K72" s="152">
        <f>K71+K62+K54+K21+K8</f>
        <v>512869</v>
      </c>
    </row>
  </sheetData>
  <autoFilter ref="A2:K72" xr:uid="{C38FFD32-F11B-4794-BC1B-20DC7255B5B1}"/>
  <mergeCells count="2">
    <mergeCell ref="D1:G1"/>
    <mergeCell ref="H1:K1"/>
  </mergeCells>
  <conditionalFormatting sqref="A1">
    <cfRule type="duplicateValues" dxfId="141" priority="19"/>
    <cfRule type="duplicateValues" dxfId="140" priority="20"/>
  </conditionalFormatting>
  <conditionalFormatting sqref="A14">
    <cfRule type="duplicateValues" dxfId="139" priority="9"/>
    <cfRule type="duplicateValues" dxfId="138" priority="10"/>
  </conditionalFormatting>
  <conditionalFormatting sqref="A55">
    <cfRule type="duplicateValues" dxfId="137" priority="11"/>
    <cfRule type="duplicateValues" dxfId="136" priority="12"/>
  </conditionalFormatting>
  <conditionalFormatting sqref="A56:A58 A7 A22:A53 A60">
    <cfRule type="duplicateValues" dxfId="135" priority="17"/>
    <cfRule type="duplicateValues" dxfId="134" priority="18"/>
  </conditionalFormatting>
  <conditionalFormatting sqref="A59">
    <cfRule type="duplicateValues" dxfId="133" priority="7"/>
    <cfRule type="duplicateValues" dxfId="132" priority="8"/>
  </conditionalFormatting>
  <conditionalFormatting sqref="A63:A70">
    <cfRule type="duplicateValues" dxfId="131" priority="15"/>
    <cfRule type="duplicateValues" dxfId="130" priority="16"/>
  </conditionalFormatting>
  <conditionalFormatting sqref="A71:A72 A2:A6 A8:A13 A15:A21 A54 A62">
    <cfRule type="duplicateValues" dxfId="129" priority="13"/>
    <cfRule type="duplicateValues" dxfId="128" priority="14"/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F1864-30CD-4899-A197-CCB85FE84C05}">
  <sheetPr>
    <tabColor theme="0"/>
  </sheetPr>
  <dimension ref="A1:M72"/>
  <sheetViews>
    <sheetView rightToLeft="1" zoomScaleNormal="100" workbookViewId="0">
      <pane ySplit="3" topLeftCell="A48" activePane="bottomLeft" state="frozen"/>
      <selection pane="bottomLeft" activeCell="D63" sqref="D63:K70"/>
    </sheetView>
  </sheetViews>
  <sheetFormatPr defaultColWidth="30.140625" defaultRowHeight="15" x14ac:dyDescent="0.25"/>
  <cols>
    <col min="1" max="1" width="30" style="33" bestFit="1" customWidth="1"/>
    <col min="2" max="2" width="11.42578125" style="33" bestFit="1" customWidth="1"/>
    <col min="3" max="3" width="11.7109375" style="33" bestFit="1" customWidth="1"/>
    <col min="4" max="4" width="16.85546875" bestFit="1" customWidth="1"/>
    <col min="5" max="5" width="15.28515625" bestFit="1" customWidth="1"/>
    <col min="6" max="6" width="16.85546875" bestFit="1" customWidth="1"/>
    <col min="7" max="7" width="19" bestFit="1" customWidth="1"/>
    <col min="8" max="9" width="15.28515625" style="3" bestFit="1" customWidth="1"/>
    <col min="10" max="10" width="16.85546875" style="3" bestFit="1" customWidth="1"/>
    <col min="11" max="11" width="19" bestFit="1" customWidth="1"/>
  </cols>
  <sheetData>
    <row r="1" spans="1:11" ht="21" x14ac:dyDescent="0.25">
      <c r="A1" s="27"/>
      <c r="B1" s="27"/>
      <c r="C1" s="27"/>
      <c r="D1" s="278">
        <v>2025</v>
      </c>
      <c r="E1" s="278"/>
      <c r="F1" s="278"/>
      <c r="G1" s="278"/>
      <c r="H1" s="279">
        <v>2024</v>
      </c>
      <c r="I1" s="279"/>
      <c r="J1" s="279"/>
      <c r="K1" s="279"/>
    </row>
    <row r="2" spans="1:11" ht="21" x14ac:dyDescent="0.25">
      <c r="A2" s="11" t="s">
        <v>0</v>
      </c>
      <c r="B2" s="24" t="s">
        <v>53</v>
      </c>
      <c r="C2" s="24" t="s">
        <v>117</v>
      </c>
      <c r="D2" s="13" t="s">
        <v>46</v>
      </c>
      <c r="E2" s="13" t="s">
        <v>47</v>
      </c>
      <c r="F2" s="13" t="s">
        <v>48</v>
      </c>
      <c r="G2" s="13" t="s">
        <v>49</v>
      </c>
      <c r="H2" s="109" t="s">
        <v>46</v>
      </c>
      <c r="I2" s="109" t="s">
        <v>47</v>
      </c>
      <c r="J2" s="109" t="s">
        <v>48</v>
      </c>
      <c r="K2" s="109" t="s">
        <v>97</v>
      </c>
    </row>
    <row r="3" spans="1:11" ht="15.75" x14ac:dyDescent="0.25">
      <c r="A3" s="27" t="s">
        <v>1</v>
      </c>
      <c r="B3" s="27" t="s">
        <v>116</v>
      </c>
      <c r="C3" s="27" t="s">
        <v>58</v>
      </c>
      <c r="D3" s="14"/>
      <c r="E3" s="14"/>
      <c r="F3" s="14"/>
      <c r="G3" s="14"/>
      <c r="H3" s="110"/>
      <c r="I3" s="110"/>
      <c r="J3" s="110"/>
      <c r="K3" s="110"/>
    </row>
    <row r="4" spans="1:11" ht="15.75" x14ac:dyDescent="0.25">
      <c r="A4" s="27" t="s">
        <v>2</v>
      </c>
      <c r="B4" s="27" t="s">
        <v>116</v>
      </c>
      <c r="C4" s="27" t="s">
        <v>58</v>
      </c>
      <c r="D4" s="14"/>
      <c r="E4" s="14"/>
      <c r="F4" s="14"/>
      <c r="G4" s="14"/>
      <c r="H4" s="110"/>
      <c r="I4" s="110"/>
      <c r="J4" s="110"/>
      <c r="K4" s="110"/>
    </row>
    <row r="5" spans="1:11" ht="15.75" x14ac:dyDescent="0.25">
      <c r="A5" s="27" t="s">
        <v>112</v>
      </c>
      <c r="B5" s="27" t="s">
        <v>116</v>
      </c>
      <c r="C5" s="27" t="s">
        <v>58</v>
      </c>
      <c r="D5" s="14"/>
      <c r="E5" s="14"/>
      <c r="F5" s="14"/>
      <c r="G5" s="14"/>
      <c r="H5" s="110"/>
      <c r="I5" s="110"/>
      <c r="J5" s="110"/>
      <c r="K5" s="110"/>
    </row>
    <row r="6" spans="1:11" ht="15.75" x14ac:dyDescent="0.25">
      <c r="A6" s="29" t="s">
        <v>113</v>
      </c>
      <c r="B6" s="27" t="s">
        <v>116</v>
      </c>
      <c r="C6" s="29" t="s">
        <v>58</v>
      </c>
      <c r="D6" s="15"/>
      <c r="E6" s="15"/>
      <c r="F6" s="15"/>
      <c r="G6" s="15"/>
      <c r="H6" s="110"/>
      <c r="I6" s="110"/>
      <c r="J6" s="110"/>
      <c r="K6" s="110"/>
    </row>
    <row r="7" spans="1:11" ht="16.5" thickBot="1" x14ac:dyDescent="0.3">
      <c r="A7" s="27" t="s">
        <v>34</v>
      </c>
      <c r="B7" s="27" t="s">
        <v>116</v>
      </c>
      <c r="C7" s="27" t="s">
        <v>58</v>
      </c>
      <c r="D7" s="14"/>
      <c r="E7" s="14"/>
      <c r="F7" s="14"/>
      <c r="G7" s="14"/>
      <c r="H7" s="110"/>
      <c r="I7" s="110"/>
      <c r="J7" s="110"/>
      <c r="K7" s="110"/>
    </row>
    <row r="8" spans="1:11" ht="21.75" thickBot="1" x14ac:dyDescent="0.3">
      <c r="A8" s="143" t="s">
        <v>3</v>
      </c>
      <c r="B8" s="142"/>
      <c r="C8" s="142"/>
      <c r="D8" s="145">
        <f>SUM(D3:D7)</f>
        <v>0</v>
      </c>
      <c r="E8" s="145">
        <f t="shared" ref="E8:K8" si="0">SUM(E3:E7)</f>
        <v>0</v>
      </c>
      <c r="F8" s="145">
        <f t="shared" si="0"/>
        <v>0</v>
      </c>
      <c r="G8" s="145">
        <f t="shared" si="0"/>
        <v>0</v>
      </c>
      <c r="H8" s="145">
        <f t="shared" si="0"/>
        <v>0</v>
      </c>
      <c r="I8" s="145">
        <f t="shared" si="0"/>
        <v>0</v>
      </c>
      <c r="J8" s="145">
        <f>SUM(J3:J7)</f>
        <v>0</v>
      </c>
      <c r="K8" s="145">
        <f t="shared" si="0"/>
        <v>0</v>
      </c>
    </row>
    <row r="9" spans="1:11" ht="15.75" x14ac:dyDescent="0.25">
      <c r="A9" s="28" t="s">
        <v>4</v>
      </c>
      <c r="B9" s="27" t="s">
        <v>116</v>
      </c>
      <c r="C9" s="28" t="s">
        <v>114</v>
      </c>
      <c r="D9" s="18"/>
      <c r="E9" s="18"/>
      <c r="F9" s="18"/>
      <c r="G9" s="18"/>
      <c r="H9" s="110"/>
      <c r="I9" s="110"/>
      <c r="J9" s="110"/>
      <c r="K9" s="110"/>
    </row>
    <row r="10" spans="1:11" ht="15.75" x14ac:dyDescent="0.25">
      <c r="A10" s="27" t="s">
        <v>5</v>
      </c>
      <c r="B10" s="27" t="s">
        <v>116</v>
      </c>
      <c r="C10" s="27" t="s">
        <v>114</v>
      </c>
      <c r="D10" s="14"/>
      <c r="E10" s="14"/>
      <c r="F10" s="14"/>
      <c r="G10" s="14"/>
      <c r="H10" s="110"/>
      <c r="I10" s="110"/>
      <c r="J10" s="110"/>
      <c r="K10" s="110"/>
    </row>
    <row r="11" spans="1:11" ht="15.75" x14ac:dyDescent="0.25">
      <c r="A11" s="27" t="s">
        <v>6</v>
      </c>
      <c r="B11" s="27" t="s">
        <v>116</v>
      </c>
      <c r="C11" s="27" t="s">
        <v>114</v>
      </c>
      <c r="D11" s="14"/>
      <c r="E11" s="14"/>
      <c r="F11" s="14"/>
      <c r="G11" s="14"/>
      <c r="H11" s="110"/>
      <c r="I11" s="110"/>
      <c r="J11" s="110"/>
      <c r="K11" s="110"/>
    </row>
    <row r="12" spans="1:11" ht="15.75" x14ac:dyDescent="0.25">
      <c r="A12" s="27" t="s">
        <v>7</v>
      </c>
      <c r="B12" s="27" t="s">
        <v>116</v>
      </c>
      <c r="C12" s="27" t="s">
        <v>114</v>
      </c>
      <c r="D12" s="14"/>
      <c r="E12" s="14"/>
      <c r="F12" s="14"/>
      <c r="G12" s="14"/>
      <c r="H12" s="110"/>
      <c r="I12" s="110"/>
      <c r="J12" s="110"/>
      <c r="K12" s="110"/>
    </row>
    <row r="13" spans="1:11" ht="15.75" x14ac:dyDescent="0.25">
      <c r="A13" s="27" t="s">
        <v>8</v>
      </c>
      <c r="B13" s="27" t="s">
        <v>116</v>
      </c>
      <c r="C13" s="27" t="s">
        <v>114</v>
      </c>
      <c r="D13" s="14"/>
      <c r="E13" s="14"/>
      <c r="F13" s="14"/>
      <c r="G13" s="14"/>
      <c r="H13" s="110"/>
      <c r="I13" s="110"/>
      <c r="J13" s="110"/>
      <c r="K13" s="110"/>
    </row>
    <row r="14" spans="1:11" ht="15.75" x14ac:dyDescent="0.25">
      <c r="A14" s="27" t="s">
        <v>9</v>
      </c>
      <c r="B14" s="27" t="s">
        <v>116</v>
      </c>
      <c r="C14" s="27" t="s">
        <v>114</v>
      </c>
      <c r="D14" s="14"/>
      <c r="E14" s="14"/>
      <c r="F14" s="14"/>
      <c r="G14" s="14"/>
      <c r="H14" s="110"/>
      <c r="I14" s="110"/>
      <c r="J14" s="110"/>
      <c r="K14" s="110"/>
    </row>
    <row r="15" spans="1:11" ht="15.75" x14ac:dyDescent="0.25">
      <c r="A15" s="27" t="s">
        <v>31</v>
      </c>
      <c r="B15" s="27" t="s">
        <v>116</v>
      </c>
      <c r="C15" s="27" t="s">
        <v>114</v>
      </c>
      <c r="D15" s="14"/>
      <c r="E15" s="14"/>
      <c r="F15" s="14"/>
      <c r="G15" s="14"/>
      <c r="H15" s="110"/>
      <c r="I15" s="110"/>
      <c r="J15" s="110"/>
      <c r="K15" s="110"/>
    </row>
    <row r="16" spans="1:11" ht="15.75" x14ac:dyDescent="0.25">
      <c r="A16" s="27" t="s">
        <v>104</v>
      </c>
      <c r="B16" s="27" t="s">
        <v>116</v>
      </c>
      <c r="C16" s="27" t="s">
        <v>114</v>
      </c>
      <c r="D16" s="14"/>
      <c r="E16" s="14"/>
      <c r="F16" s="14"/>
      <c r="G16" s="14"/>
      <c r="H16" s="110"/>
      <c r="I16" s="110"/>
      <c r="J16" s="110"/>
      <c r="K16" s="110"/>
    </row>
    <row r="17" spans="1:11" ht="15.75" x14ac:dyDescent="0.25">
      <c r="A17" s="27" t="s">
        <v>42</v>
      </c>
      <c r="B17" s="27" t="s">
        <v>116</v>
      </c>
      <c r="C17" s="27" t="s">
        <v>114</v>
      </c>
      <c r="D17" s="14"/>
      <c r="E17" s="14"/>
      <c r="F17" s="14"/>
      <c r="G17" s="14"/>
      <c r="H17" s="110"/>
      <c r="I17" s="110"/>
      <c r="J17" s="110"/>
      <c r="K17" s="110"/>
    </row>
    <row r="18" spans="1:11" ht="15.75" x14ac:dyDescent="0.25">
      <c r="A18" s="27" t="s">
        <v>43</v>
      </c>
      <c r="B18" s="27" t="s">
        <v>116</v>
      </c>
      <c r="C18" s="27" t="s">
        <v>114</v>
      </c>
      <c r="D18" s="14"/>
      <c r="E18" s="14"/>
      <c r="F18" s="14"/>
      <c r="G18" s="14"/>
      <c r="H18" s="110"/>
      <c r="I18" s="110"/>
      <c r="J18" s="110"/>
      <c r="K18" s="110"/>
    </row>
    <row r="19" spans="1:11" ht="15.75" x14ac:dyDescent="0.25">
      <c r="A19" s="27" t="s">
        <v>30</v>
      </c>
      <c r="B19" s="27" t="s">
        <v>116</v>
      </c>
      <c r="C19" s="27" t="s">
        <v>114</v>
      </c>
      <c r="G19" s="14"/>
      <c r="H19" s="110"/>
      <c r="I19" s="110"/>
      <c r="J19" s="110"/>
      <c r="K19" s="110"/>
    </row>
    <row r="20" spans="1:11" ht="16.5" thickBot="1" x14ac:dyDescent="0.3">
      <c r="A20" s="29" t="s">
        <v>38</v>
      </c>
      <c r="B20" s="27" t="s">
        <v>116</v>
      </c>
      <c r="C20" s="29" t="s">
        <v>114</v>
      </c>
      <c r="D20" s="15"/>
      <c r="E20" s="15"/>
      <c r="F20" s="15"/>
      <c r="G20" s="15"/>
      <c r="H20" s="110"/>
      <c r="I20" s="110"/>
      <c r="J20" s="110"/>
      <c r="K20" s="110"/>
    </row>
    <row r="21" spans="1:11" ht="21.75" thickBot="1" x14ac:dyDescent="0.3">
      <c r="A21" s="143" t="s">
        <v>10</v>
      </c>
      <c r="B21" s="142"/>
      <c r="C21" s="142"/>
      <c r="D21" s="145">
        <f>SUM(D9:D20)</f>
        <v>0</v>
      </c>
      <c r="E21" s="145">
        <f t="shared" ref="E21:K21" si="1">SUM(E9:E20)</f>
        <v>0</v>
      </c>
      <c r="F21" s="145">
        <f t="shared" si="1"/>
        <v>0</v>
      </c>
      <c r="G21" s="145">
        <f>SUM(G9:G20)</f>
        <v>0</v>
      </c>
      <c r="H21" s="145">
        <f t="shared" si="1"/>
        <v>0</v>
      </c>
      <c r="I21" s="145">
        <f t="shared" si="1"/>
        <v>0</v>
      </c>
      <c r="J21" s="145">
        <f t="shared" si="1"/>
        <v>0</v>
      </c>
      <c r="K21" s="145">
        <f t="shared" si="1"/>
        <v>0</v>
      </c>
    </row>
    <row r="22" spans="1:11" ht="15.75" x14ac:dyDescent="0.25">
      <c r="A22" s="28" t="s">
        <v>11</v>
      </c>
      <c r="B22" s="28" t="s">
        <v>56</v>
      </c>
      <c r="C22" s="28" t="s">
        <v>115</v>
      </c>
      <c r="D22" s="18"/>
      <c r="E22" s="18"/>
      <c r="F22" s="18"/>
      <c r="G22" s="18"/>
      <c r="H22" s="110"/>
      <c r="I22" s="110"/>
      <c r="J22" s="110"/>
      <c r="K22" s="110"/>
    </row>
    <row r="23" spans="1:11" ht="15.75" x14ac:dyDescent="0.25">
      <c r="A23" s="31" t="s">
        <v>12</v>
      </c>
      <c r="B23" s="27" t="s">
        <v>56</v>
      </c>
      <c r="C23" s="27" t="s">
        <v>115</v>
      </c>
      <c r="D23" s="14"/>
      <c r="E23" s="14"/>
      <c r="F23" s="14"/>
      <c r="G23" s="14"/>
      <c r="H23" s="110"/>
      <c r="I23" s="110"/>
      <c r="J23" s="110"/>
      <c r="K23" s="110"/>
    </row>
    <row r="24" spans="1:11" ht="15.75" x14ac:dyDescent="0.25">
      <c r="A24" s="31" t="s">
        <v>13</v>
      </c>
      <c r="B24" s="27" t="s">
        <v>56</v>
      </c>
      <c r="C24" s="27" t="s">
        <v>115</v>
      </c>
      <c r="D24" s="14"/>
      <c r="E24" s="14"/>
      <c r="F24" s="14"/>
      <c r="G24" s="14"/>
      <c r="H24" s="110"/>
      <c r="I24" s="110"/>
      <c r="J24" s="110"/>
      <c r="K24" s="110"/>
    </row>
    <row r="25" spans="1:11" ht="15.75" x14ac:dyDescent="0.25">
      <c r="A25" s="27" t="s">
        <v>14</v>
      </c>
      <c r="B25" s="27" t="s">
        <v>55</v>
      </c>
      <c r="C25" s="27" t="s">
        <v>115</v>
      </c>
      <c r="D25" s="14"/>
      <c r="E25" s="14"/>
      <c r="F25" s="14"/>
      <c r="G25" s="14"/>
      <c r="H25" s="110"/>
      <c r="I25" s="110"/>
      <c r="J25" s="110"/>
      <c r="K25" s="110"/>
    </row>
    <row r="26" spans="1:11" ht="15.75" x14ac:dyDescent="0.25">
      <c r="A26" s="31" t="s">
        <v>15</v>
      </c>
      <c r="B26" s="27" t="s">
        <v>56</v>
      </c>
      <c r="C26" s="27" t="s">
        <v>115</v>
      </c>
      <c r="D26" s="14"/>
      <c r="E26" s="14"/>
      <c r="F26" s="14"/>
      <c r="G26" s="14"/>
      <c r="H26" s="110"/>
      <c r="I26" s="110"/>
      <c r="J26" s="110"/>
      <c r="K26" s="110"/>
    </row>
    <row r="27" spans="1:11" ht="15.75" x14ac:dyDescent="0.25">
      <c r="A27" s="31" t="s">
        <v>17</v>
      </c>
      <c r="B27" s="27" t="s">
        <v>56</v>
      </c>
      <c r="C27" s="27" t="s">
        <v>115</v>
      </c>
      <c r="D27" s="14"/>
      <c r="E27" s="14"/>
      <c r="F27" s="14"/>
      <c r="G27" s="14"/>
      <c r="H27" s="110"/>
      <c r="I27" s="110"/>
      <c r="J27" s="110"/>
      <c r="K27" s="110"/>
    </row>
    <row r="28" spans="1:11" ht="15.75" x14ac:dyDescent="0.25">
      <c r="A28" s="31" t="s">
        <v>18</v>
      </c>
      <c r="B28" s="27" t="s">
        <v>56</v>
      </c>
      <c r="C28" s="27" t="s">
        <v>115</v>
      </c>
      <c r="D28" s="14"/>
      <c r="E28" s="14"/>
      <c r="F28" s="14"/>
      <c r="G28" s="14"/>
      <c r="H28" s="110"/>
      <c r="I28" s="110"/>
      <c r="J28" s="110"/>
      <c r="K28" s="110"/>
    </row>
    <row r="29" spans="1:11" ht="15.75" x14ac:dyDescent="0.25">
      <c r="A29" s="27" t="s">
        <v>19</v>
      </c>
      <c r="B29" s="27" t="s">
        <v>56</v>
      </c>
      <c r="C29" s="27" t="s">
        <v>115</v>
      </c>
      <c r="D29" s="14"/>
      <c r="E29" s="14"/>
      <c r="F29" s="14"/>
      <c r="G29" s="14"/>
      <c r="H29" s="110"/>
      <c r="I29" s="110"/>
      <c r="J29" s="110"/>
      <c r="K29" s="110"/>
    </row>
    <row r="30" spans="1:11" ht="15.75" x14ac:dyDescent="0.25">
      <c r="A30" s="27" t="s">
        <v>20</v>
      </c>
      <c r="B30" s="27" t="s">
        <v>56</v>
      </c>
      <c r="C30" s="27" t="s">
        <v>115</v>
      </c>
      <c r="D30" s="14"/>
      <c r="E30" s="14"/>
      <c r="F30" s="14"/>
      <c r="G30" s="14"/>
      <c r="H30" s="110"/>
      <c r="I30" s="110"/>
      <c r="J30" s="110"/>
      <c r="K30" s="110"/>
    </row>
    <row r="31" spans="1:11" ht="15.75" x14ac:dyDescent="0.25">
      <c r="A31" s="27" t="s">
        <v>21</v>
      </c>
      <c r="B31" s="27" t="s">
        <v>56</v>
      </c>
      <c r="C31" s="27" t="s">
        <v>115</v>
      </c>
      <c r="D31" s="14"/>
      <c r="E31" s="14"/>
      <c r="F31" s="14"/>
      <c r="G31" s="14"/>
      <c r="H31" s="110"/>
      <c r="I31" s="110"/>
      <c r="J31" s="110"/>
      <c r="K31" s="110"/>
    </row>
    <row r="32" spans="1:11" ht="15.75" x14ac:dyDescent="0.25">
      <c r="A32" s="27" t="s">
        <v>22</v>
      </c>
      <c r="B32" s="27" t="s">
        <v>56</v>
      </c>
      <c r="C32" s="27" t="s">
        <v>115</v>
      </c>
      <c r="D32" s="14"/>
      <c r="E32" s="14"/>
      <c r="F32" s="14"/>
      <c r="G32" s="14"/>
      <c r="H32" s="110"/>
      <c r="I32" s="110"/>
      <c r="J32" s="110"/>
      <c r="K32" s="110"/>
    </row>
    <row r="33" spans="1:12" ht="15.75" x14ac:dyDescent="0.25">
      <c r="A33" s="27" t="s">
        <v>23</v>
      </c>
      <c r="B33" s="27" t="s">
        <v>56</v>
      </c>
      <c r="C33" s="27" t="s">
        <v>115</v>
      </c>
      <c r="D33" s="14"/>
      <c r="E33" s="14"/>
      <c r="F33" s="14"/>
      <c r="G33" s="14"/>
      <c r="H33" s="110"/>
      <c r="I33" s="110"/>
      <c r="J33" s="110"/>
      <c r="K33" s="110"/>
    </row>
    <row r="34" spans="1:12" ht="15.75" x14ac:dyDescent="0.25">
      <c r="A34" s="27" t="s">
        <v>24</v>
      </c>
      <c r="B34" s="27" t="s">
        <v>56</v>
      </c>
      <c r="C34" s="27" t="s">
        <v>115</v>
      </c>
      <c r="D34" s="14"/>
      <c r="E34" s="14"/>
      <c r="F34" s="14"/>
      <c r="G34" s="14"/>
      <c r="H34" s="110"/>
      <c r="I34" s="110"/>
      <c r="J34" s="110"/>
      <c r="K34" s="110"/>
    </row>
    <row r="35" spans="1:12" ht="15.75" x14ac:dyDescent="0.25">
      <c r="A35" s="31" t="s">
        <v>25</v>
      </c>
      <c r="B35" s="27" t="s">
        <v>56</v>
      </c>
      <c r="C35" s="27" t="s">
        <v>115</v>
      </c>
      <c r="D35" s="14"/>
      <c r="E35" s="14"/>
      <c r="F35" s="14"/>
      <c r="G35" s="14"/>
      <c r="H35" s="110"/>
      <c r="I35" s="110"/>
      <c r="J35" s="110"/>
      <c r="K35" s="110"/>
    </row>
    <row r="36" spans="1:12" ht="15.75" x14ac:dyDescent="0.25">
      <c r="A36" s="27" t="s">
        <v>26</v>
      </c>
      <c r="B36" s="27" t="s">
        <v>56</v>
      </c>
      <c r="C36" s="27" t="s">
        <v>115</v>
      </c>
      <c r="D36" s="14"/>
      <c r="E36" s="14"/>
      <c r="F36" s="14"/>
      <c r="G36" s="14"/>
      <c r="H36" s="110"/>
      <c r="I36" s="110"/>
      <c r="J36" s="110"/>
      <c r="K36" s="110"/>
    </row>
    <row r="37" spans="1:12" ht="15.75" x14ac:dyDescent="0.25">
      <c r="A37" s="27" t="s">
        <v>27</v>
      </c>
      <c r="B37" s="27" t="s">
        <v>56</v>
      </c>
      <c r="C37" s="27" t="s">
        <v>115</v>
      </c>
      <c r="D37" s="14"/>
      <c r="E37" s="14"/>
      <c r="F37" s="14"/>
      <c r="G37" s="14"/>
      <c r="H37" s="110"/>
      <c r="I37" s="110"/>
      <c r="J37" s="110"/>
      <c r="K37" s="110"/>
    </row>
    <row r="38" spans="1:12" ht="15.75" x14ac:dyDescent="0.25">
      <c r="A38" s="27" t="s">
        <v>28</v>
      </c>
      <c r="B38" s="27" t="s">
        <v>56</v>
      </c>
      <c r="C38" s="27" t="s">
        <v>115</v>
      </c>
      <c r="D38" s="14"/>
      <c r="E38" s="14"/>
      <c r="F38" s="14"/>
      <c r="G38" s="14"/>
      <c r="H38" s="110"/>
      <c r="I38" s="110"/>
      <c r="J38" s="110"/>
      <c r="K38" s="110"/>
    </row>
    <row r="39" spans="1:12" ht="15.75" x14ac:dyDescent="0.25">
      <c r="A39" s="27" t="s">
        <v>29</v>
      </c>
      <c r="B39" s="27" t="s">
        <v>56</v>
      </c>
      <c r="C39" s="27" t="s">
        <v>115</v>
      </c>
      <c r="D39" s="14"/>
      <c r="E39" s="14"/>
      <c r="F39" s="14"/>
      <c r="G39" s="14"/>
      <c r="H39" s="110"/>
      <c r="I39" s="110"/>
      <c r="J39" s="110"/>
      <c r="K39" s="110"/>
    </row>
    <row r="40" spans="1:12" ht="15.75" x14ac:dyDescent="0.25">
      <c r="A40" s="27" t="s">
        <v>106</v>
      </c>
      <c r="B40" s="27" t="s">
        <v>55</v>
      </c>
      <c r="C40" s="27" t="s">
        <v>115</v>
      </c>
      <c r="D40" s="14"/>
      <c r="E40" s="14"/>
      <c r="F40" s="14"/>
      <c r="G40" s="14"/>
      <c r="H40" s="110"/>
      <c r="I40" s="110"/>
      <c r="J40" s="110"/>
      <c r="K40" s="110"/>
    </row>
    <row r="41" spans="1:12" ht="15.75" x14ac:dyDescent="0.25">
      <c r="A41" s="27" t="s">
        <v>32</v>
      </c>
      <c r="B41" s="27" t="s">
        <v>55</v>
      </c>
      <c r="C41" s="27" t="s">
        <v>115</v>
      </c>
      <c r="D41" s="14"/>
      <c r="E41" s="14"/>
      <c r="F41" s="14"/>
      <c r="G41" s="14"/>
      <c r="H41" s="110"/>
      <c r="I41" s="110"/>
      <c r="J41" s="110"/>
      <c r="K41" s="110"/>
    </row>
    <row r="42" spans="1:12" ht="15.75" x14ac:dyDescent="0.25">
      <c r="A42" s="31" t="s">
        <v>103</v>
      </c>
      <c r="B42" s="27" t="s">
        <v>56</v>
      </c>
      <c r="C42" s="27" t="s">
        <v>115</v>
      </c>
      <c r="D42" s="14"/>
      <c r="E42" s="14"/>
      <c r="F42" s="14"/>
      <c r="G42" s="14"/>
      <c r="H42" s="110"/>
      <c r="I42" s="110"/>
      <c r="J42" s="110"/>
      <c r="K42" s="110"/>
    </row>
    <row r="43" spans="1:12" ht="15.75" x14ac:dyDescent="0.25">
      <c r="A43" s="27" t="s">
        <v>91</v>
      </c>
      <c r="B43" s="27" t="s">
        <v>56</v>
      </c>
      <c r="C43" s="27" t="s">
        <v>115</v>
      </c>
      <c r="D43" s="14"/>
      <c r="E43" s="14"/>
      <c r="F43" s="14"/>
      <c r="G43" s="14"/>
      <c r="H43" s="110"/>
      <c r="I43" s="110"/>
      <c r="J43" s="110"/>
      <c r="K43" s="110"/>
    </row>
    <row r="44" spans="1:12" ht="15.75" x14ac:dyDescent="0.25">
      <c r="A44" s="27" t="s">
        <v>90</v>
      </c>
      <c r="B44" s="27" t="s">
        <v>56</v>
      </c>
      <c r="C44" s="27" t="s">
        <v>115</v>
      </c>
      <c r="D44" s="14"/>
      <c r="E44" s="14"/>
      <c r="F44" s="14"/>
      <c r="G44" s="14"/>
      <c r="H44" s="110"/>
      <c r="I44" s="110"/>
      <c r="J44" s="110"/>
      <c r="K44" s="110"/>
    </row>
    <row r="45" spans="1:12" ht="15.75" x14ac:dyDescent="0.25">
      <c r="A45" s="27" t="s">
        <v>36</v>
      </c>
      <c r="B45" s="27" t="s">
        <v>55</v>
      </c>
      <c r="C45" s="27" t="s">
        <v>115</v>
      </c>
      <c r="D45" s="14"/>
      <c r="E45" s="14"/>
      <c r="F45" s="14"/>
      <c r="G45" s="14"/>
      <c r="H45" s="110"/>
      <c r="I45" s="110"/>
      <c r="J45" s="110"/>
      <c r="K45" s="110"/>
    </row>
    <row r="46" spans="1:12" ht="15.75" x14ac:dyDescent="0.25">
      <c r="A46" s="27" t="s">
        <v>102</v>
      </c>
      <c r="B46" s="27" t="s">
        <v>55</v>
      </c>
      <c r="C46" s="27" t="s">
        <v>115</v>
      </c>
      <c r="D46" s="14"/>
      <c r="E46" s="14"/>
      <c r="F46" s="14"/>
      <c r="G46" s="14"/>
      <c r="H46" s="110"/>
      <c r="I46" s="110"/>
      <c r="J46" s="110"/>
      <c r="K46" s="110"/>
      <c r="L46" s="159"/>
    </row>
    <row r="47" spans="1:12" ht="15.75" x14ac:dyDescent="0.25">
      <c r="A47" s="27" t="s">
        <v>93</v>
      </c>
      <c r="B47" s="27" t="s">
        <v>56</v>
      </c>
      <c r="C47" s="27" t="s">
        <v>115</v>
      </c>
      <c r="D47" s="14"/>
      <c r="E47" s="14"/>
      <c r="F47" s="14"/>
      <c r="G47" s="14"/>
      <c r="H47" s="110"/>
      <c r="I47" s="110"/>
      <c r="J47" s="110"/>
      <c r="K47" s="110"/>
    </row>
    <row r="48" spans="1:12" ht="15.75" x14ac:dyDescent="0.25">
      <c r="A48" s="27" t="s">
        <v>95</v>
      </c>
      <c r="B48" s="27" t="s">
        <v>56</v>
      </c>
      <c r="C48" s="27" t="s">
        <v>115</v>
      </c>
      <c r="D48" s="14"/>
      <c r="E48" s="14"/>
      <c r="F48" s="14"/>
      <c r="G48" s="14"/>
      <c r="H48" s="110"/>
      <c r="I48" s="110"/>
      <c r="J48" s="110"/>
      <c r="K48" s="110"/>
    </row>
    <row r="49" spans="1:13" ht="15.75" x14ac:dyDescent="0.25">
      <c r="A49" s="27" t="s">
        <v>105</v>
      </c>
      <c r="B49" s="27" t="s">
        <v>56</v>
      </c>
      <c r="C49" s="27" t="s">
        <v>115</v>
      </c>
      <c r="D49" s="14"/>
      <c r="E49" s="14"/>
      <c r="F49" s="14"/>
      <c r="G49" s="14"/>
      <c r="H49" s="110"/>
      <c r="I49" s="110"/>
      <c r="J49" s="110"/>
      <c r="K49" s="110"/>
    </row>
    <row r="50" spans="1:13" ht="15.75" x14ac:dyDescent="0.25">
      <c r="A50" s="27" t="s">
        <v>39</v>
      </c>
      <c r="B50" s="27" t="s">
        <v>56</v>
      </c>
      <c r="C50" s="27" t="s">
        <v>115</v>
      </c>
      <c r="D50" s="14"/>
      <c r="E50" s="14"/>
      <c r="F50" s="14"/>
      <c r="G50" s="14"/>
      <c r="H50" s="110"/>
      <c r="I50" s="110"/>
      <c r="J50" s="110"/>
      <c r="K50" s="110"/>
    </row>
    <row r="51" spans="1:13" ht="15.75" x14ac:dyDescent="0.25">
      <c r="A51" s="27" t="s">
        <v>99</v>
      </c>
      <c r="B51" s="27" t="s">
        <v>56</v>
      </c>
      <c r="C51" s="27" t="s">
        <v>115</v>
      </c>
      <c r="D51" s="14"/>
      <c r="E51" s="14"/>
      <c r="F51" s="14"/>
      <c r="G51" s="14"/>
      <c r="H51" s="110"/>
      <c r="I51" s="110"/>
      <c r="J51" s="110"/>
      <c r="K51" s="110"/>
    </row>
    <row r="52" spans="1:13" ht="15.75" x14ac:dyDescent="0.25">
      <c r="A52" s="27" t="s">
        <v>41</v>
      </c>
      <c r="B52" s="27" t="s">
        <v>56</v>
      </c>
      <c r="C52" s="27" t="s">
        <v>115</v>
      </c>
      <c r="D52" s="14"/>
      <c r="E52" s="14"/>
      <c r="F52" s="14"/>
      <c r="G52" s="14"/>
      <c r="H52" s="110"/>
      <c r="I52" s="110"/>
      <c r="J52" s="110"/>
      <c r="K52" s="110"/>
    </row>
    <row r="53" spans="1:13" ht="16.5" thickBot="1" x14ac:dyDescent="0.3">
      <c r="A53" s="29" t="s">
        <v>96</v>
      </c>
      <c r="B53" s="29" t="s">
        <v>56</v>
      </c>
      <c r="C53" s="29" t="s">
        <v>115</v>
      </c>
      <c r="D53" s="15"/>
      <c r="E53" s="15"/>
      <c r="F53" s="15"/>
      <c r="G53" s="15"/>
      <c r="H53" s="110"/>
      <c r="I53" s="110"/>
      <c r="J53" s="110"/>
      <c r="K53" s="110"/>
    </row>
    <row r="54" spans="1:13" ht="21.75" thickBot="1" x14ac:dyDescent="0.3">
      <c r="A54" s="144" t="s">
        <v>124</v>
      </c>
      <c r="B54" s="142"/>
      <c r="C54" s="142"/>
      <c r="D54" s="145">
        <f>SUM(D22:D53)</f>
        <v>0</v>
      </c>
      <c r="E54" s="145">
        <f t="shared" ref="E54:K54" si="2">SUM(E22:E53)</f>
        <v>0</v>
      </c>
      <c r="F54" s="145">
        <f t="shared" si="2"/>
        <v>0</v>
      </c>
      <c r="G54" s="145">
        <f t="shared" si="2"/>
        <v>0</v>
      </c>
      <c r="H54" s="145">
        <f t="shared" si="2"/>
        <v>0</v>
      </c>
      <c r="I54" s="145">
        <f t="shared" si="2"/>
        <v>0</v>
      </c>
      <c r="J54" s="145">
        <f>SUM(J22:J53)</f>
        <v>0</v>
      </c>
      <c r="K54" s="145">
        <f t="shared" si="2"/>
        <v>0</v>
      </c>
    </row>
    <row r="55" spans="1:13" ht="15.75" x14ac:dyDescent="0.25">
      <c r="A55" s="31" t="s">
        <v>33</v>
      </c>
      <c r="B55" s="27" t="s">
        <v>123</v>
      </c>
      <c r="C55" s="27" t="s">
        <v>115</v>
      </c>
      <c r="D55" s="14"/>
      <c r="E55" s="14"/>
      <c r="F55" s="14"/>
      <c r="G55" s="14"/>
      <c r="H55" s="110"/>
      <c r="I55" s="110"/>
      <c r="J55" s="110"/>
      <c r="K55" s="110"/>
    </row>
    <row r="56" spans="1:13" ht="15.75" x14ac:dyDescent="0.25">
      <c r="A56" s="27" t="s">
        <v>92</v>
      </c>
      <c r="B56" s="27" t="s">
        <v>123</v>
      </c>
      <c r="C56" s="27" t="s">
        <v>115</v>
      </c>
      <c r="D56" s="14"/>
      <c r="E56" s="14"/>
      <c r="F56" s="14"/>
      <c r="G56" s="14"/>
      <c r="H56" s="110"/>
      <c r="I56" s="110"/>
      <c r="J56" s="110"/>
      <c r="K56" s="110"/>
    </row>
    <row r="57" spans="1:13" ht="15.75" x14ac:dyDescent="0.25">
      <c r="A57" s="27" t="s">
        <v>37</v>
      </c>
      <c r="B57" s="27" t="s">
        <v>123</v>
      </c>
      <c r="C57" s="27" t="s">
        <v>115</v>
      </c>
      <c r="D57" s="14"/>
      <c r="E57" s="14"/>
      <c r="F57" s="14"/>
      <c r="G57" s="14"/>
      <c r="H57" s="110"/>
      <c r="I57" s="110"/>
      <c r="J57" s="110"/>
      <c r="K57" s="110"/>
      <c r="M57" s="154"/>
    </row>
    <row r="58" spans="1:13" ht="15.75" x14ac:dyDescent="0.25">
      <c r="A58" s="27" t="s">
        <v>35</v>
      </c>
      <c r="B58" s="27" t="s">
        <v>123</v>
      </c>
      <c r="C58" s="27" t="s">
        <v>115</v>
      </c>
      <c r="D58" s="14"/>
      <c r="E58" s="14"/>
      <c r="F58" s="14"/>
      <c r="G58" s="14"/>
      <c r="H58" s="110"/>
      <c r="I58" s="110"/>
      <c r="J58" s="110"/>
      <c r="K58" s="110"/>
      <c r="M58" s="154"/>
    </row>
    <row r="59" spans="1:13" ht="15.75" x14ac:dyDescent="0.25">
      <c r="A59" s="28" t="s">
        <v>94</v>
      </c>
      <c r="B59" s="28" t="s">
        <v>123</v>
      </c>
      <c r="C59" s="28" t="s">
        <v>115</v>
      </c>
      <c r="D59" s="14"/>
      <c r="E59" s="14"/>
      <c r="F59" s="14"/>
      <c r="G59" s="14"/>
      <c r="H59" s="110"/>
      <c r="I59" s="110"/>
      <c r="J59" s="110"/>
      <c r="K59" s="110"/>
      <c r="M59" s="154"/>
    </row>
    <row r="60" spans="1:13" ht="15.75" x14ac:dyDescent="0.25">
      <c r="A60" s="31" t="s">
        <v>16</v>
      </c>
      <c r="B60" s="27" t="s">
        <v>123</v>
      </c>
      <c r="C60" s="27" t="s">
        <v>115</v>
      </c>
      <c r="D60" s="14"/>
      <c r="E60" s="14"/>
      <c r="F60" s="14"/>
      <c r="G60" s="14"/>
      <c r="H60" s="110"/>
      <c r="I60" s="110"/>
      <c r="J60" s="110"/>
      <c r="K60" s="110"/>
    </row>
    <row r="61" spans="1:13" ht="16.5" thickBot="1" x14ac:dyDescent="0.3">
      <c r="A61" s="138" t="s">
        <v>107</v>
      </c>
      <c r="B61" s="27" t="s">
        <v>123</v>
      </c>
      <c r="C61" s="27" t="s">
        <v>115</v>
      </c>
      <c r="D61" s="14"/>
      <c r="E61" s="14"/>
      <c r="F61" s="14"/>
      <c r="G61" s="14"/>
      <c r="H61" s="110"/>
      <c r="I61" s="110"/>
      <c r="J61" s="110"/>
      <c r="K61" s="110"/>
    </row>
    <row r="62" spans="1:13" ht="21.75" thickBot="1" x14ac:dyDescent="0.3">
      <c r="A62" s="144" t="s">
        <v>125</v>
      </c>
      <c r="B62" s="142"/>
      <c r="C62" s="142"/>
      <c r="D62" s="145">
        <f>SUM(D55:D61)</f>
        <v>0</v>
      </c>
      <c r="E62" s="145">
        <f t="shared" ref="E62:K62" si="3">SUM(E55:E61)</f>
        <v>0</v>
      </c>
      <c r="F62" s="145">
        <f t="shared" si="3"/>
        <v>0</v>
      </c>
      <c r="G62" s="145">
        <f>SUM(G55:G61)</f>
        <v>0</v>
      </c>
      <c r="H62" s="145">
        <f t="shared" si="3"/>
        <v>0</v>
      </c>
      <c r="I62" s="145">
        <f t="shared" si="3"/>
        <v>0</v>
      </c>
      <c r="J62" s="145">
        <f>SUM(J55:J61)</f>
        <v>0</v>
      </c>
      <c r="K62" s="145">
        <f t="shared" si="3"/>
        <v>0</v>
      </c>
    </row>
    <row r="63" spans="1:13" ht="15.75" x14ac:dyDescent="0.25">
      <c r="A63" s="28" t="s">
        <v>84</v>
      </c>
      <c r="B63" s="27" t="s">
        <v>116</v>
      </c>
      <c r="C63" s="28" t="s">
        <v>110</v>
      </c>
      <c r="D63" s="18"/>
      <c r="E63" s="18"/>
      <c r="F63" s="18"/>
      <c r="G63" s="18"/>
      <c r="H63" s="110"/>
      <c r="I63" s="110"/>
      <c r="J63" s="110"/>
      <c r="K63" s="110"/>
    </row>
    <row r="64" spans="1:13" ht="15.75" x14ac:dyDescent="0.25">
      <c r="A64" s="31" t="s">
        <v>40</v>
      </c>
      <c r="B64" s="27" t="s">
        <v>56</v>
      </c>
      <c r="C64" s="27" t="s">
        <v>111</v>
      </c>
      <c r="D64" s="14"/>
      <c r="E64" s="14"/>
      <c r="F64" s="14"/>
      <c r="G64" s="14"/>
      <c r="H64" s="110"/>
      <c r="I64" s="110"/>
      <c r="J64" s="110"/>
      <c r="K64" s="110"/>
    </row>
    <row r="65" spans="1:12" ht="15.75" x14ac:dyDescent="0.25">
      <c r="A65" s="27" t="s">
        <v>98</v>
      </c>
      <c r="B65" s="27" t="s">
        <v>116</v>
      </c>
      <c r="C65" s="27" t="s">
        <v>111</v>
      </c>
      <c r="D65" s="14"/>
      <c r="E65" s="14"/>
      <c r="F65" s="14"/>
      <c r="G65" s="14"/>
      <c r="H65" s="110"/>
      <c r="I65" s="110"/>
      <c r="J65" s="110"/>
      <c r="K65" s="110"/>
    </row>
    <row r="66" spans="1:12" ht="15.75" x14ac:dyDescent="0.25">
      <c r="A66" s="27" t="s">
        <v>100</v>
      </c>
      <c r="B66" s="27" t="s">
        <v>56</v>
      </c>
      <c r="C66" s="27" t="s">
        <v>111</v>
      </c>
      <c r="D66" s="14"/>
      <c r="E66" s="14"/>
      <c r="F66" s="14"/>
      <c r="G66" s="14"/>
      <c r="H66" s="110"/>
      <c r="I66" s="110"/>
      <c r="J66" s="110"/>
      <c r="K66" s="110"/>
    </row>
    <row r="67" spans="1:12" ht="15.75" x14ac:dyDescent="0.25">
      <c r="A67" s="27" t="s">
        <v>101</v>
      </c>
      <c r="B67" s="27" t="s">
        <v>56</v>
      </c>
      <c r="C67" s="27" t="s">
        <v>111</v>
      </c>
      <c r="D67" s="14"/>
      <c r="E67" s="14"/>
      <c r="F67" s="14"/>
      <c r="G67" s="14"/>
      <c r="H67" s="110"/>
      <c r="I67" s="110"/>
      <c r="J67" s="110"/>
      <c r="K67" s="110"/>
    </row>
    <row r="68" spans="1:12" ht="15.75" x14ac:dyDescent="0.25">
      <c r="A68" s="27" t="s">
        <v>108</v>
      </c>
      <c r="B68" s="27" t="s">
        <v>56</v>
      </c>
      <c r="C68" s="27" t="s">
        <v>111</v>
      </c>
      <c r="D68" s="14"/>
      <c r="E68" s="14"/>
      <c r="F68" s="14"/>
      <c r="G68" s="14"/>
      <c r="H68" s="110"/>
      <c r="I68" s="110"/>
      <c r="J68" s="110"/>
      <c r="K68" s="110"/>
      <c r="L68" s="159"/>
    </row>
    <row r="69" spans="1:12" ht="15.75" x14ac:dyDescent="0.25">
      <c r="A69" s="139" t="s">
        <v>109</v>
      </c>
      <c r="B69" s="27" t="s">
        <v>56</v>
      </c>
      <c r="C69" s="27" t="s">
        <v>111</v>
      </c>
      <c r="D69" s="14"/>
      <c r="E69" s="14"/>
      <c r="F69" s="14"/>
      <c r="G69" s="14"/>
      <c r="H69" s="110"/>
      <c r="I69" s="110"/>
      <c r="J69" s="110"/>
      <c r="K69" s="110"/>
    </row>
    <row r="70" spans="1:12" ht="15.75" x14ac:dyDescent="0.25">
      <c r="A70" s="27" t="s">
        <v>89</v>
      </c>
      <c r="B70" s="27" t="s">
        <v>56</v>
      </c>
      <c r="C70" s="27" t="s">
        <v>111</v>
      </c>
      <c r="D70" s="14"/>
      <c r="E70" s="14"/>
      <c r="F70" s="14"/>
      <c r="G70" s="14"/>
      <c r="H70" s="110"/>
      <c r="I70" s="110"/>
      <c r="J70" s="110"/>
      <c r="K70" s="110"/>
    </row>
    <row r="71" spans="1:12" ht="21.75" thickBot="1" x14ac:dyDescent="0.3">
      <c r="A71" s="231" t="s">
        <v>44</v>
      </c>
      <c r="B71" s="232"/>
      <c r="C71" s="232"/>
      <c r="D71" s="233">
        <f>SUM(D63:D70)</f>
        <v>0</v>
      </c>
      <c r="E71" s="233">
        <f t="shared" ref="E71:K71" si="4">SUM(E63:E70)</f>
        <v>0</v>
      </c>
      <c r="F71" s="233">
        <f t="shared" si="4"/>
        <v>0</v>
      </c>
      <c r="G71" s="233">
        <f t="shared" si="4"/>
        <v>0</v>
      </c>
      <c r="H71" s="233">
        <f t="shared" si="4"/>
        <v>0</v>
      </c>
      <c r="I71" s="233">
        <f t="shared" si="4"/>
        <v>0</v>
      </c>
      <c r="J71" s="233">
        <f t="shared" si="4"/>
        <v>0</v>
      </c>
      <c r="K71" s="233">
        <f t="shared" si="4"/>
        <v>0</v>
      </c>
    </row>
    <row r="72" spans="1:12" ht="21.75" thickBot="1" x14ac:dyDescent="0.3">
      <c r="A72" s="143" t="s">
        <v>45</v>
      </c>
      <c r="B72" s="142"/>
      <c r="C72" s="142"/>
      <c r="D72" s="233">
        <f>D71+D62+D54+D21+D8</f>
        <v>0</v>
      </c>
      <c r="E72" s="233">
        <f t="shared" ref="E72:K72" si="5">E71+E62+E54+E21+E8</f>
        <v>0</v>
      </c>
      <c r="F72" s="233">
        <f t="shared" si="5"/>
        <v>0</v>
      </c>
      <c r="G72" s="233">
        <f t="shared" si="5"/>
        <v>0</v>
      </c>
      <c r="H72" s="233">
        <f t="shared" si="5"/>
        <v>0</v>
      </c>
      <c r="I72" s="233">
        <f t="shared" si="5"/>
        <v>0</v>
      </c>
      <c r="J72" s="233">
        <f t="shared" si="5"/>
        <v>0</v>
      </c>
      <c r="K72" s="233">
        <f t="shared" si="5"/>
        <v>0</v>
      </c>
    </row>
  </sheetData>
  <autoFilter ref="A2:L72" xr:uid="{B42F1864-30CD-4899-A197-CCB85FE84C05}"/>
  <mergeCells count="2">
    <mergeCell ref="D1:G1"/>
    <mergeCell ref="H1:K1"/>
  </mergeCells>
  <conditionalFormatting sqref="A1">
    <cfRule type="duplicateValues" dxfId="127" priority="21"/>
    <cfRule type="duplicateValues" dxfId="126" priority="22"/>
  </conditionalFormatting>
  <conditionalFormatting sqref="A14">
    <cfRule type="duplicateValues" dxfId="125" priority="11"/>
    <cfRule type="duplicateValues" dxfId="124" priority="12"/>
  </conditionalFormatting>
  <conditionalFormatting sqref="A55">
    <cfRule type="duplicateValues" dxfId="123" priority="13"/>
    <cfRule type="duplicateValues" dxfId="122" priority="14"/>
  </conditionalFormatting>
  <conditionalFormatting sqref="A56:A58 A7 A22:A53 A60">
    <cfRule type="duplicateValues" dxfId="121" priority="19"/>
    <cfRule type="duplicateValues" dxfId="120" priority="20"/>
  </conditionalFormatting>
  <conditionalFormatting sqref="A59">
    <cfRule type="duplicateValues" dxfId="119" priority="9"/>
    <cfRule type="duplicateValues" dxfId="118" priority="10"/>
  </conditionalFormatting>
  <conditionalFormatting sqref="A63:A70">
    <cfRule type="duplicateValues" dxfId="117" priority="17"/>
    <cfRule type="duplicateValues" dxfId="116" priority="18"/>
  </conditionalFormatting>
  <conditionalFormatting sqref="A71:A72 A2:A6 A8:A13 A15:A21 A54 A62">
    <cfRule type="duplicateValues" dxfId="115" priority="15"/>
    <cfRule type="duplicateValues" dxfId="114" priority="16"/>
  </conditionalFormatting>
  <conditionalFormatting sqref="D8:K8">
    <cfRule type="duplicateValues" dxfId="113" priority="7"/>
    <cfRule type="duplicateValues" dxfId="112" priority="8"/>
  </conditionalFormatting>
  <conditionalFormatting sqref="D21:K21">
    <cfRule type="duplicateValues" dxfId="111" priority="5"/>
    <cfRule type="duplicateValues" dxfId="110" priority="6"/>
  </conditionalFormatting>
  <conditionalFormatting sqref="D54:K54">
    <cfRule type="duplicateValues" dxfId="109" priority="3"/>
    <cfRule type="duplicateValues" dxfId="108" priority="4"/>
  </conditionalFormatting>
  <conditionalFormatting sqref="D62:K62">
    <cfRule type="duplicateValues" dxfId="107" priority="1"/>
    <cfRule type="duplicateValues" dxfId="106" priority="2"/>
  </conditionalFormatting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CE8AC-DFB4-481F-BF31-12F2118B912A}">
  <sheetPr>
    <tabColor theme="5" tint="-0.249977111117893"/>
  </sheetPr>
  <dimension ref="A1:M72"/>
  <sheetViews>
    <sheetView rightToLeft="1" workbookViewId="0">
      <pane ySplit="3" topLeftCell="A48" activePane="bottomLeft" state="frozen"/>
      <selection pane="bottomLeft" activeCell="I71" sqref="I71"/>
    </sheetView>
  </sheetViews>
  <sheetFormatPr defaultColWidth="30.140625" defaultRowHeight="15" x14ac:dyDescent="0.25"/>
  <cols>
    <col min="1" max="1" width="30" style="33" bestFit="1" customWidth="1"/>
    <col min="2" max="2" width="11.42578125" style="33" bestFit="1" customWidth="1"/>
    <col min="3" max="3" width="11.7109375" style="33" bestFit="1" customWidth="1"/>
    <col min="4" max="4" width="16.85546875" bestFit="1" customWidth="1"/>
    <col min="5" max="5" width="15.28515625" bestFit="1" customWidth="1"/>
    <col min="6" max="6" width="16.85546875" bestFit="1" customWidth="1"/>
    <col min="7" max="7" width="19" bestFit="1" customWidth="1"/>
    <col min="8" max="9" width="15.28515625" style="3" bestFit="1" customWidth="1"/>
    <col min="10" max="10" width="16.85546875" style="3" bestFit="1" customWidth="1"/>
    <col min="11" max="11" width="19" bestFit="1" customWidth="1"/>
  </cols>
  <sheetData>
    <row r="1" spans="1:11" ht="21" x14ac:dyDescent="0.25">
      <c r="A1" s="27"/>
      <c r="B1" s="27"/>
      <c r="C1" s="27"/>
      <c r="D1" s="278">
        <v>2025</v>
      </c>
      <c r="E1" s="278"/>
      <c r="F1" s="278"/>
      <c r="G1" s="278"/>
      <c r="H1" s="279">
        <v>2024</v>
      </c>
      <c r="I1" s="279"/>
      <c r="J1" s="279"/>
      <c r="K1" s="279"/>
    </row>
    <row r="2" spans="1:11" ht="21" x14ac:dyDescent="0.25">
      <c r="A2" s="11" t="s">
        <v>0</v>
      </c>
      <c r="B2" s="24" t="s">
        <v>53</v>
      </c>
      <c r="C2" s="24" t="s">
        <v>117</v>
      </c>
      <c r="D2" s="13" t="s">
        <v>46</v>
      </c>
      <c r="E2" s="13" t="s">
        <v>47</v>
      </c>
      <c r="F2" s="13" t="s">
        <v>48</v>
      </c>
      <c r="G2" s="13" t="s">
        <v>49</v>
      </c>
      <c r="H2" s="109" t="s">
        <v>46</v>
      </c>
      <c r="I2" s="109" t="s">
        <v>47</v>
      </c>
      <c r="J2" s="109" t="s">
        <v>48</v>
      </c>
      <c r="K2" s="109" t="s">
        <v>97</v>
      </c>
    </row>
    <row r="3" spans="1:11" ht="15.75" x14ac:dyDescent="0.25">
      <c r="A3" s="27" t="s">
        <v>1</v>
      </c>
      <c r="B3" s="27" t="s">
        <v>116</v>
      </c>
      <c r="C3" s="27" t="s">
        <v>58</v>
      </c>
      <c r="D3" s="14"/>
      <c r="E3" s="14"/>
      <c r="F3" s="238">
        <v>17245</v>
      </c>
      <c r="G3" s="14"/>
      <c r="H3" s="110"/>
      <c r="I3" s="110"/>
      <c r="J3" s="110">
        <v>22245</v>
      </c>
      <c r="K3" s="110"/>
    </row>
    <row r="4" spans="1:11" ht="15.75" x14ac:dyDescent="0.25">
      <c r="A4" s="27" t="s">
        <v>2</v>
      </c>
      <c r="B4" s="27" t="s">
        <v>116</v>
      </c>
      <c r="C4" s="27" t="s">
        <v>58</v>
      </c>
      <c r="D4" s="14"/>
      <c r="E4" s="14"/>
      <c r="F4" s="14"/>
      <c r="G4" s="14"/>
      <c r="H4" s="110"/>
      <c r="I4" s="110"/>
      <c r="J4" s="110">
        <f>VLOOKUP(A4,[3]מור!$A:$I,4,0)</f>
        <v>0</v>
      </c>
      <c r="K4" s="110"/>
    </row>
    <row r="5" spans="1:11" ht="15.75" x14ac:dyDescent="0.25">
      <c r="A5" s="27" t="s">
        <v>112</v>
      </c>
      <c r="B5" s="27" t="s">
        <v>116</v>
      </c>
      <c r="C5" s="27" t="s">
        <v>58</v>
      </c>
      <c r="D5" s="14"/>
      <c r="E5" s="14"/>
      <c r="F5" s="14"/>
      <c r="G5" s="14"/>
      <c r="H5" s="110"/>
      <c r="I5" s="110"/>
      <c r="J5" s="110"/>
      <c r="K5" s="110"/>
    </row>
    <row r="6" spans="1:11" ht="15.75" x14ac:dyDescent="0.25">
      <c r="A6" s="29" t="s">
        <v>113</v>
      </c>
      <c r="B6" s="27" t="s">
        <v>116</v>
      </c>
      <c r="C6" s="29" t="s">
        <v>58</v>
      </c>
      <c r="D6" s="15"/>
      <c r="E6" s="15"/>
      <c r="F6" s="15"/>
      <c r="G6" s="15"/>
      <c r="H6" s="110"/>
      <c r="I6" s="110"/>
      <c r="J6" s="110"/>
      <c r="K6" s="110"/>
    </row>
    <row r="7" spans="1:11" ht="16.5" thickBot="1" x14ac:dyDescent="0.3">
      <c r="A7" s="27" t="s">
        <v>34</v>
      </c>
      <c r="B7" s="27" t="s">
        <v>116</v>
      </c>
      <c r="C7" s="27" t="s">
        <v>58</v>
      </c>
      <c r="D7" s="14"/>
      <c r="E7" s="14"/>
      <c r="F7" s="14"/>
      <c r="G7" s="14"/>
      <c r="H7" s="110"/>
      <c r="I7" s="110"/>
      <c r="J7" s="110">
        <f>VLOOKUP(A7,[3]מור!$A:$I,4,0)</f>
        <v>0</v>
      </c>
      <c r="K7" s="110"/>
    </row>
    <row r="8" spans="1:11" ht="21.75" thickBot="1" x14ac:dyDescent="0.4">
      <c r="A8" s="143" t="s">
        <v>3</v>
      </c>
      <c r="B8" s="142"/>
      <c r="C8" s="142"/>
      <c r="D8" s="220">
        <f>SUM(D3:D7)</f>
        <v>0</v>
      </c>
      <c r="E8" s="220">
        <f t="shared" ref="E8:K8" si="0">SUM(E3:E7)</f>
        <v>0</v>
      </c>
      <c r="F8" s="220">
        <f t="shared" si="0"/>
        <v>17245</v>
      </c>
      <c r="G8" s="220">
        <f t="shared" si="0"/>
        <v>0</v>
      </c>
      <c r="H8" s="220">
        <f t="shared" si="0"/>
        <v>0</v>
      </c>
      <c r="I8" s="220">
        <f t="shared" si="0"/>
        <v>0</v>
      </c>
      <c r="J8" s="220">
        <f t="shared" si="0"/>
        <v>22245</v>
      </c>
      <c r="K8" s="220">
        <f t="shared" si="0"/>
        <v>0</v>
      </c>
    </row>
    <row r="9" spans="1:11" ht="15.75" x14ac:dyDescent="0.25">
      <c r="A9" s="28" t="s">
        <v>4</v>
      </c>
      <c r="B9" s="27" t="s">
        <v>116</v>
      </c>
      <c r="C9" s="28" t="s">
        <v>114</v>
      </c>
      <c r="D9" s="18"/>
      <c r="E9" s="18"/>
      <c r="F9" s="18"/>
      <c r="G9" s="18"/>
      <c r="H9" s="110"/>
      <c r="I9" s="110"/>
      <c r="J9" s="110">
        <f>VLOOKUP(A9,[3]מור!$A:$I,4,0)</f>
        <v>0</v>
      </c>
      <c r="K9" s="110">
        <f>VLOOKUP(A9,[5]מור!$1:$1048576,8,0)</f>
        <v>0</v>
      </c>
    </row>
    <row r="10" spans="1:11" ht="15.75" x14ac:dyDescent="0.25">
      <c r="A10" s="27" t="s">
        <v>5</v>
      </c>
      <c r="B10" s="27" t="s">
        <v>116</v>
      </c>
      <c r="C10" s="27" t="s">
        <v>114</v>
      </c>
      <c r="D10" s="14"/>
      <c r="E10" s="14"/>
      <c r="F10" s="14"/>
      <c r="G10" s="14"/>
      <c r="H10" s="110"/>
      <c r="I10" s="110"/>
      <c r="J10" s="110">
        <f>VLOOKUP(A10,[3]מור!$A:$I,4,0)</f>
        <v>0</v>
      </c>
      <c r="K10" s="110">
        <f>VLOOKUP(A10,[5]מור!$1:$1048576,8,0)</f>
        <v>0</v>
      </c>
    </row>
    <row r="11" spans="1:11" ht="15.75" x14ac:dyDescent="0.25">
      <c r="A11" s="27" t="s">
        <v>6</v>
      </c>
      <c r="B11" s="27" t="s">
        <v>116</v>
      </c>
      <c r="C11" s="27" t="s">
        <v>114</v>
      </c>
      <c r="D11" s="14"/>
      <c r="E11" s="14"/>
      <c r="F11" s="238">
        <v>81700</v>
      </c>
      <c r="G11" s="14"/>
      <c r="H11" s="110"/>
      <c r="I11" s="110"/>
      <c r="J11" s="110">
        <f>VLOOKUP(A11,[3]מור!$A:$I,4,0)</f>
        <v>0</v>
      </c>
      <c r="K11" s="110">
        <f>VLOOKUP(A11,[5]מור!$1:$1048576,8,0)</f>
        <v>0</v>
      </c>
    </row>
    <row r="12" spans="1:11" ht="15.75" x14ac:dyDescent="0.25">
      <c r="A12" s="27" t="s">
        <v>7</v>
      </c>
      <c r="B12" s="27" t="s">
        <v>116</v>
      </c>
      <c r="C12" s="27" t="s">
        <v>114</v>
      </c>
      <c r="D12" s="14"/>
      <c r="E12" s="14"/>
      <c r="F12" s="14"/>
      <c r="G12" s="14"/>
      <c r="H12" s="110"/>
      <c r="I12" s="110"/>
      <c r="J12" s="110">
        <f>VLOOKUP(A12,[3]מור!$A:$I,4,0)</f>
        <v>0</v>
      </c>
      <c r="K12" s="110">
        <f>VLOOKUP(A12,[5]מור!$1:$1048576,8,0)</f>
        <v>0</v>
      </c>
    </row>
    <row r="13" spans="1:11" ht="15.75" x14ac:dyDescent="0.25">
      <c r="A13" s="27" t="s">
        <v>8</v>
      </c>
      <c r="B13" s="27" t="s">
        <v>116</v>
      </c>
      <c r="C13" s="27" t="s">
        <v>114</v>
      </c>
      <c r="D13" s="14"/>
      <c r="E13" s="14"/>
      <c r="F13" s="14"/>
      <c r="G13" s="14"/>
      <c r="H13" s="110"/>
      <c r="I13" s="110"/>
      <c r="J13" s="110">
        <f>VLOOKUP(A13,[3]מור!$A:$I,4,0)</f>
        <v>0</v>
      </c>
      <c r="K13" s="110">
        <f>VLOOKUP(A13,[5]מור!$1:$1048576,8,0)</f>
        <v>0</v>
      </c>
    </row>
    <row r="14" spans="1:11" ht="15.75" x14ac:dyDescent="0.25">
      <c r="A14" s="27" t="s">
        <v>9</v>
      </c>
      <c r="B14" s="27" t="s">
        <v>116</v>
      </c>
      <c r="C14" s="27" t="s">
        <v>114</v>
      </c>
      <c r="D14" s="14"/>
      <c r="E14" s="14"/>
      <c r="F14" s="14"/>
      <c r="G14" s="14"/>
      <c r="H14" s="110"/>
      <c r="I14" s="110"/>
      <c r="J14" s="110">
        <f>VLOOKUP(A14,[3]מור!$A:$I,4,0)</f>
        <v>0</v>
      </c>
      <c r="K14" s="110">
        <f>VLOOKUP(A14,[5]מור!$1:$1048576,8,0)</f>
        <v>0</v>
      </c>
    </row>
    <row r="15" spans="1:11" ht="15.75" x14ac:dyDescent="0.25">
      <c r="A15" s="27" t="s">
        <v>31</v>
      </c>
      <c r="B15" s="27" t="s">
        <v>116</v>
      </c>
      <c r="C15" s="27" t="s">
        <v>114</v>
      </c>
      <c r="D15" s="14"/>
      <c r="E15" s="14"/>
      <c r="F15" s="14"/>
      <c r="G15" s="14"/>
      <c r="H15" s="110"/>
      <c r="I15" s="110"/>
      <c r="J15" s="110">
        <f>VLOOKUP(A15,[3]מור!$A:$I,4,0)</f>
        <v>0</v>
      </c>
      <c r="K15" s="110">
        <f>VLOOKUP(A15,[5]מור!$1:$1048576,8,0)</f>
        <v>0</v>
      </c>
    </row>
    <row r="16" spans="1:11" ht="15.75" x14ac:dyDescent="0.25">
      <c r="A16" s="27" t="s">
        <v>104</v>
      </c>
      <c r="B16" s="27" t="s">
        <v>116</v>
      </c>
      <c r="C16" s="27" t="s">
        <v>114</v>
      </c>
      <c r="D16" s="14"/>
      <c r="E16" s="14"/>
      <c r="F16" s="14"/>
      <c r="G16" s="14"/>
      <c r="H16" s="110"/>
      <c r="I16" s="110"/>
      <c r="J16" s="110"/>
      <c r="K16" s="110">
        <f>VLOOKUP(A16,[5]מור!$1:$1048576,8,0)</f>
        <v>0</v>
      </c>
    </row>
    <row r="17" spans="1:11" ht="15.75" x14ac:dyDescent="0.25">
      <c r="A17" s="27" t="s">
        <v>42</v>
      </c>
      <c r="B17" s="27" t="s">
        <v>116</v>
      </c>
      <c r="C17" s="27" t="s">
        <v>114</v>
      </c>
      <c r="D17" s="14"/>
      <c r="E17" s="14"/>
      <c r="F17" s="238">
        <v>338417.27</v>
      </c>
      <c r="G17" s="14"/>
      <c r="H17" s="110"/>
      <c r="I17" s="110"/>
      <c r="J17" s="110">
        <f>VLOOKUP(A17,[3]מור!$A:$I,4,0)</f>
        <v>209244.09999999998</v>
      </c>
      <c r="K17" s="110">
        <f>VLOOKUP(A17,[5]מור!$1:$1048576,8,0)</f>
        <v>0</v>
      </c>
    </row>
    <row r="18" spans="1:11" ht="15.75" x14ac:dyDescent="0.25">
      <c r="A18" s="27" t="s">
        <v>43</v>
      </c>
      <c r="B18" s="27" t="s">
        <v>116</v>
      </c>
      <c r="C18" s="27" t="s">
        <v>114</v>
      </c>
      <c r="D18" s="14"/>
      <c r="E18" s="14"/>
      <c r="F18" s="14">
        <v>211463.53000000003</v>
      </c>
      <c r="G18" s="14"/>
      <c r="H18" s="110"/>
      <c r="I18" s="110"/>
      <c r="J18" s="110">
        <f>VLOOKUP(A18,[3]מור!$A:$I,4,0)</f>
        <v>18480.599999999999</v>
      </c>
      <c r="K18" s="110">
        <f>VLOOKUP(A18,[5]מור!$1:$1048576,8,0)</f>
        <v>0</v>
      </c>
    </row>
    <row r="19" spans="1:11" ht="15.75" x14ac:dyDescent="0.25">
      <c r="A19" s="27" t="s">
        <v>30</v>
      </c>
      <c r="B19" s="27" t="s">
        <v>116</v>
      </c>
      <c r="C19" s="27" t="s">
        <v>114</v>
      </c>
      <c r="D19" s="14"/>
      <c r="E19" s="14"/>
      <c r="F19" s="14"/>
      <c r="G19" s="14"/>
      <c r="H19" s="110"/>
      <c r="I19" s="110"/>
      <c r="J19" s="110">
        <f>VLOOKUP(A19,[3]מור!$A:$I,4,0)</f>
        <v>0</v>
      </c>
      <c r="K19" s="110">
        <f>VLOOKUP(A19,[5]מור!$1:$1048576,8,0)</f>
        <v>0</v>
      </c>
    </row>
    <row r="20" spans="1:11" ht="16.5" thickBot="1" x14ac:dyDescent="0.3">
      <c r="A20" s="29" t="s">
        <v>38</v>
      </c>
      <c r="B20" s="27" t="s">
        <v>116</v>
      </c>
      <c r="C20" s="29" t="s">
        <v>114</v>
      </c>
      <c r="D20" s="15"/>
      <c r="E20" s="15"/>
      <c r="F20" s="15"/>
      <c r="G20" s="15"/>
      <c r="H20" s="110">
        <f>VLOOKUP(A20,[5]מור!$1:$1048576,4,0)</f>
        <v>0</v>
      </c>
      <c r="I20" s="110">
        <f>VLOOKUP(A20,[5]מור!$1:$1048576,5,0)</f>
        <v>0</v>
      </c>
      <c r="J20" s="110">
        <f>VLOOKUP(A20,[3]מור!$A:$I,4,0)</f>
        <v>0</v>
      </c>
      <c r="K20" s="110">
        <f>VLOOKUP(A20,[5]מור!$1:$1048576,8,0)</f>
        <v>0</v>
      </c>
    </row>
    <row r="21" spans="1:11" ht="21.75" thickBot="1" x14ac:dyDescent="0.4">
      <c r="A21" s="143" t="s">
        <v>10</v>
      </c>
      <c r="B21" s="142"/>
      <c r="C21" s="142"/>
      <c r="D21" s="220">
        <f>SUM(D9:D20)</f>
        <v>0</v>
      </c>
      <c r="E21" s="220">
        <f t="shared" ref="E21:K21" si="1">SUM(E9:E20)</f>
        <v>0</v>
      </c>
      <c r="F21" s="220">
        <f t="shared" si="1"/>
        <v>631580.80000000005</v>
      </c>
      <c r="G21" s="220">
        <f t="shared" si="1"/>
        <v>0</v>
      </c>
      <c r="H21" s="220">
        <f t="shared" si="1"/>
        <v>0</v>
      </c>
      <c r="I21" s="220">
        <f t="shared" si="1"/>
        <v>0</v>
      </c>
      <c r="J21" s="220">
        <f t="shared" si="1"/>
        <v>227724.69999999998</v>
      </c>
      <c r="K21" s="220">
        <f t="shared" si="1"/>
        <v>0</v>
      </c>
    </row>
    <row r="22" spans="1:11" ht="15.75" x14ac:dyDescent="0.25">
      <c r="A22" s="28" t="s">
        <v>11</v>
      </c>
      <c r="B22" s="28" t="s">
        <v>56</v>
      </c>
      <c r="C22" s="28" t="s">
        <v>115</v>
      </c>
      <c r="D22" s="18"/>
      <c r="E22" s="18"/>
      <c r="F22" s="18"/>
      <c r="G22" s="18"/>
      <c r="H22" s="110">
        <f>VLOOKUP(A22,[5]מור!$1:$1048576,4,0)</f>
        <v>0</v>
      </c>
      <c r="I22" s="110">
        <f>VLOOKUP(A22,[5]מור!$1:$1048576,5,0)</f>
        <v>0</v>
      </c>
      <c r="J22" s="110">
        <f>VLOOKUP(A22,[3]מור!$A:$I,4,0)</f>
        <v>0</v>
      </c>
      <c r="K22" s="110">
        <f>VLOOKUP(A22,[5]מור!$1:$1048576,8,0)</f>
        <v>0</v>
      </c>
    </row>
    <row r="23" spans="1:11" ht="15.75" x14ac:dyDescent="0.25">
      <c r="A23" s="31" t="s">
        <v>12</v>
      </c>
      <c r="B23" s="27" t="s">
        <v>56</v>
      </c>
      <c r="C23" s="27" t="s">
        <v>115</v>
      </c>
      <c r="D23" s="14"/>
      <c r="E23" s="14"/>
      <c r="F23" s="14"/>
      <c r="G23" s="14"/>
      <c r="H23" s="110">
        <f>VLOOKUP(A23,[5]מור!$1:$1048576,4,0)</f>
        <v>0</v>
      </c>
      <c r="I23" s="110">
        <f>VLOOKUP(A23,[5]מור!$1:$1048576,5,0)</f>
        <v>0</v>
      </c>
      <c r="J23" s="110">
        <f>VLOOKUP(A23,[3]מור!$A:$I,4,0)</f>
        <v>0</v>
      </c>
      <c r="K23" s="110">
        <f>VLOOKUP(A23,[5]מור!$1:$1048576,8,0)</f>
        <v>0</v>
      </c>
    </row>
    <row r="24" spans="1:11" ht="15.75" x14ac:dyDescent="0.25">
      <c r="A24" s="31" t="s">
        <v>13</v>
      </c>
      <c r="B24" s="27" t="s">
        <v>56</v>
      </c>
      <c r="C24" s="27" t="s">
        <v>115</v>
      </c>
      <c r="D24" s="14"/>
      <c r="E24" s="14"/>
      <c r="F24" s="14"/>
      <c r="G24" s="14"/>
      <c r="H24" s="110">
        <f>VLOOKUP(A24,[5]מור!$1:$1048576,4,0)</f>
        <v>0</v>
      </c>
      <c r="I24" s="110">
        <f>VLOOKUP(A24,[5]מור!$1:$1048576,5,0)</f>
        <v>0</v>
      </c>
      <c r="J24" s="110">
        <f>VLOOKUP(A24,[3]מור!$A:$I,4,0)</f>
        <v>0</v>
      </c>
      <c r="K24" s="110">
        <f>VLOOKUP(A24,[5]מור!$1:$1048576,8,0)</f>
        <v>0</v>
      </c>
    </row>
    <row r="25" spans="1:11" ht="15.75" x14ac:dyDescent="0.25">
      <c r="A25" s="27" t="s">
        <v>14</v>
      </c>
      <c r="B25" s="27" t="s">
        <v>55</v>
      </c>
      <c r="C25" s="27" t="s">
        <v>115</v>
      </c>
      <c r="D25" s="14"/>
      <c r="E25" s="14"/>
      <c r="F25" s="14"/>
      <c r="G25" s="14"/>
      <c r="H25" s="110">
        <f>VLOOKUP(A25,[5]מור!$1:$1048576,4,0)</f>
        <v>0</v>
      </c>
      <c r="I25" s="110">
        <f>VLOOKUP(A25,[5]מור!$1:$1048576,5,0)</f>
        <v>0</v>
      </c>
      <c r="J25" s="110">
        <f>VLOOKUP(A25,[3]מור!$A:$I,4,0)</f>
        <v>0</v>
      </c>
      <c r="K25" s="110">
        <f>VLOOKUP(A25,[5]מור!$1:$1048576,8,0)</f>
        <v>0</v>
      </c>
    </row>
    <row r="26" spans="1:11" ht="15.75" x14ac:dyDescent="0.25">
      <c r="A26" s="31" t="s">
        <v>15</v>
      </c>
      <c r="B26" s="27" t="s">
        <v>56</v>
      </c>
      <c r="C26" s="27" t="s">
        <v>115</v>
      </c>
      <c r="D26" s="14"/>
      <c r="E26" s="14"/>
      <c r="F26" s="14"/>
      <c r="G26" s="14"/>
      <c r="H26" s="110">
        <f>VLOOKUP(A26,[5]מור!$1:$1048576,4,0)</f>
        <v>0</v>
      </c>
      <c r="I26" s="110">
        <f>VLOOKUP(A26,[5]מור!$1:$1048576,5,0)</f>
        <v>0</v>
      </c>
      <c r="J26" s="110">
        <f>VLOOKUP(A26,[3]מור!$A:$I,4,0)</f>
        <v>0</v>
      </c>
      <c r="K26" s="110">
        <f>VLOOKUP(A26,[5]מור!$1:$1048576,8,0)</f>
        <v>0</v>
      </c>
    </row>
    <row r="27" spans="1:11" ht="15.75" x14ac:dyDescent="0.25">
      <c r="A27" s="31" t="s">
        <v>17</v>
      </c>
      <c r="B27" s="27" t="s">
        <v>56</v>
      </c>
      <c r="C27" s="27" t="s">
        <v>115</v>
      </c>
      <c r="D27" s="14"/>
      <c r="E27" s="14"/>
      <c r="F27" s="14"/>
      <c r="G27" s="14"/>
      <c r="H27" s="110">
        <f>VLOOKUP(A27,[5]מור!$1:$1048576,4,0)</f>
        <v>0</v>
      </c>
      <c r="I27" s="110">
        <f>VLOOKUP(A27,[5]מור!$1:$1048576,5,0)</f>
        <v>0</v>
      </c>
      <c r="J27" s="110">
        <f>VLOOKUP(A27,[3]מור!$A:$I,4,0)</f>
        <v>0</v>
      </c>
      <c r="K27" s="110">
        <f>VLOOKUP(A27,[5]מור!$1:$1048576,8,0)</f>
        <v>0</v>
      </c>
    </row>
    <row r="28" spans="1:11" ht="15.75" x14ac:dyDescent="0.25">
      <c r="A28" s="31" t="s">
        <v>18</v>
      </c>
      <c r="B28" s="27" t="s">
        <v>56</v>
      </c>
      <c r="C28" s="27" t="s">
        <v>115</v>
      </c>
      <c r="D28" s="14"/>
      <c r="E28" s="14"/>
      <c r="F28" s="14"/>
      <c r="G28" s="14"/>
      <c r="H28" s="110">
        <f>VLOOKUP(A28,[5]מור!$1:$1048576,4,0)</f>
        <v>0</v>
      </c>
      <c r="I28" s="110">
        <f>VLOOKUP(A28,[5]מור!$1:$1048576,5,0)</f>
        <v>0</v>
      </c>
      <c r="J28" s="110">
        <f>VLOOKUP(A28,[3]מור!$A:$I,4,0)</f>
        <v>0</v>
      </c>
      <c r="K28" s="110">
        <f>VLOOKUP(A28,[5]מור!$1:$1048576,8,0)</f>
        <v>0</v>
      </c>
    </row>
    <row r="29" spans="1:11" ht="15.75" x14ac:dyDescent="0.25">
      <c r="A29" s="27" t="s">
        <v>19</v>
      </c>
      <c r="B29" s="27" t="s">
        <v>56</v>
      </c>
      <c r="C29" s="27" t="s">
        <v>115</v>
      </c>
      <c r="D29" s="14"/>
      <c r="E29" s="14"/>
      <c r="F29" s="14"/>
      <c r="G29" s="14"/>
      <c r="H29" s="110">
        <f>VLOOKUP(A29,[5]מור!$1:$1048576,4,0)</f>
        <v>0</v>
      </c>
      <c r="I29" s="110">
        <f>VLOOKUP(A29,[5]מור!$1:$1048576,5,0)</f>
        <v>0</v>
      </c>
      <c r="J29" s="110">
        <f>VLOOKUP(A29,[3]מור!$A:$I,4,0)</f>
        <v>0</v>
      </c>
      <c r="K29" s="110">
        <f>VLOOKUP(A29,[5]מור!$1:$1048576,8,0)</f>
        <v>0</v>
      </c>
    </row>
    <row r="30" spans="1:11" ht="15.75" x14ac:dyDescent="0.25">
      <c r="A30" s="27" t="s">
        <v>20</v>
      </c>
      <c r="B30" s="27" t="s">
        <v>56</v>
      </c>
      <c r="C30" s="27" t="s">
        <v>115</v>
      </c>
      <c r="D30" s="14"/>
      <c r="E30" s="14"/>
      <c r="F30" s="14"/>
      <c r="G30" s="14"/>
      <c r="H30" s="110">
        <f>VLOOKUP(A30,[5]מור!$1:$1048576,4,0)</f>
        <v>0</v>
      </c>
      <c r="I30" s="110">
        <f>VLOOKUP(A30,[5]מור!$1:$1048576,5,0)</f>
        <v>0</v>
      </c>
      <c r="J30" s="110">
        <f>VLOOKUP(A30,[3]מור!$A:$I,4,0)</f>
        <v>0</v>
      </c>
      <c r="K30" s="110">
        <f>VLOOKUP(A30,[5]מור!$1:$1048576,8,0)</f>
        <v>0</v>
      </c>
    </row>
    <row r="31" spans="1:11" ht="15.75" x14ac:dyDescent="0.25">
      <c r="A31" s="27" t="s">
        <v>21</v>
      </c>
      <c r="B31" s="27" t="s">
        <v>56</v>
      </c>
      <c r="C31" s="27" t="s">
        <v>115</v>
      </c>
      <c r="D31" s="14"/>
      <c r="E31" s="14"/>
      <c r="F31" s="14"/>
      <c r="G31" s="14"/>
      <c r="H31" s="110">
        <f>VLOOKUP(A31,[5]מור!$1:$1048576,4,0)</f>
        <v>0</v>
      </c>
      <c r="I31" s="110">
        <f>VLOOKUP(A31,[5]מור!$1:$1048576,5,0)</f>
        <v>0</v>
      </c>
      <c r="J31" s="110">
        <f>VLOOKUP(A31,[3]מור!$A:$I,4,0)</f>
        <v>0</v>
      </c>
      <c r="K31" s="110">
        <f>VLOOKUP(A31,[5]מור!$1:$1048576,8,0)</f>
        <v>0</v>
      </c>
    </row>
    <row r="32" spans="1:11" ht="15.75" x14ac:dyDescent="0.25">
      <c r="A32" s="27" t="s">
        <v>22</v>
      </c>
      <c r="B32" s="27" t="s">
        <v>56</v>
      </c>
      <c r="C32" s="27" t="s">
        <v>115</v>
      </c>
      <c r="D32" s="14"/>
      <c r="E32" s="14"/>
      <c r="F32" s="14"/>
      <c r="G32" s="14"/>
      <c r="H32" s="110">
        <f>VLOOKUP(A32,[5]מור!$1:$1048576,4,0)</f>
        <v>0</v>
      </c>
      <c r="I32" s="110">
        <f>VLOOKUP(A32,[5]מור!$1:$1048576,5,0)</f>
        <v>0</v>
      </c>
      <c r="J32" s="110">
        <f>VLOOKUP(A32,[3]מור!$A:$I,4,0)</f>
        <v>0</v>
      </c>
      <c r="K32" s="110">
        <f>VLOOKUP(A32,[5]מור!$1:$1048576,8,0)</f>
        <v>0</v>
      </c>
    </row>
    <row r="33" spans="1:12" ht="15.75" x14ac:dyDescent="0.25">
      <c r="A33" s="27" t="s">
        <v>23</v>
      </c>
      <c r="B33" s="27" t="s">
        <v>56</v>
      </c>
      <c r="C33" s="27" t="s">
        <v>115</v>
      </c>
      <c r="D33" s="14"/>
      <c r="E33" s="14"/>
      <c r="F33" s="14"/>
      <c r="G33" s="14"/>
      <c r="H33" s="110">
        <f>VLOOKUP(A33,[5]מור!$1:$1048576,4,0)</f>
        <v>0</v>
      </c>
      <c r="I33" s="110">
        <f>VLOOKUP(A33,[5]מור!$1:$1048576,5,0)</f>
        <v>0</v>
      </c>
      <c r="J33" s="110">
        <f>VLOOKUP(A33,[3]מור!$A:$I,4,0)</f>
        <v>0</v>
      </c>
      <c r="K33" s="110">
        <f>VLOOKUP(A33,[5]מור!$1:$1048576,8,0)</f>
        <v>0</v>
      </c>
    </row>
    <row r="34" spans="1:12" ht="15.75" x14ac:dyDescent="0.25">
      <c r="A34" s="27" t="s">
        <v>24</v>
      </c>
      <c r="B34" s="27" t="s">
        <v>56</v>
      </c>
      <c r="C34" s="27" t="s">
        <v>115</v>
      </c>
      <c r="D34" s="14"/>
      <c r="E34" s="14"/>
      <c r="F34" s="14"/>
      <c r="G34" s="14"/>
      <c r="H34" s="110">
        <f>VLOOKUP(A34,[5]מור!$1:$1048576,4,0)</f>
        <v>0</v>
      </c>
      <c r="I34" s="110">
        <f>VLOOKUP(A34,[5]מור!$1:$1048576,5,0)</f>
        <v>0</v>
      </c>
      <c r="J34" s="110">
        <f>VLOOKUP(A34,[3]מור!$A:$I,4,0)</f>
        <v>0</v>
      </c>
      <c r="K34" s="110">
        <f>VLOOKUP(A34,[5]מור!$1:$1048576,8,0)</f>
        <v>0</v>
      </c>
    </row>
    <row r="35" spans="1:12" ht="15.75" x14ac:dyDescent="0.25">
      <c r="A35" s="31" t="s">
        <v>25</v>
      </c>
      <c r="B35" s="27" t="s">
        <v>56</v>
      </c>
      <c r="C35" s="27" t="s">
        <v>115</v>
      </c>
      <c r="D35" s="14"/>
      <c r="E35" s="14"/>
      <c r="F35" s="14"/>
      <c r="G35" s="14"/>
      <c r="H35" s="110">
        <f>VLOOKUP(A35,[5]מור!$1:$1048576,4,0)</f>
        <v>0</v>
      </c>
      <c r="I35" s="110">
        <f>VLOOKUP(A35,[5]מור!$1:$1048576,5,0)</f>
        <v>0</v>
      </c>
      <c r="J35" s="110">
        <f>VLOOKUP(A35,[3]מור!$A:$I,4,0)</f>
        <v>0</v>
      </c>
      <c r="K35" s="110">
        <f>VLOOKUP(A35,[5]מור!$1:$1048576,8,0)</f>
        <v>0</v>
      </c>
    </row>
    <row r="36" spans="1:12" ht="15.75" x14ac:dyDescent="0.25">
      <c r="A36" s="27" t="s">
        <v>26</v>
      </c>
      <c r="B36" s="27" t="s">
        <v>56</v>
      </c>
      <c r="C36" s="27" t="s">
        <v>115</v>
      </c>
      <c r="D36" s="14"/>
      <c r="E36" s="14"/>
      <c r="F36" s="14"/>
      <c r="G36" s="14"/>
      <c r="H36" s="110">
        <f>VLOOKUP(A36,[5]מור!$1:$1048576,4,0)</f>
        <v>0</v>
      </c>
      <c r="I36" s="110">
        <f>VLOOKUP(A36,[5]מור!$1:$1048576,5,0)</f>
        <v>0</v>
      </c>
      <c r="J36" s="110">
        <f>VLOOKUP(A36,[3]מור!$A:$I,4,0)</f>
        <v>0</v>
      </c>
      <c r="K36" s="110">
        <f>VLOOKUP(A36,[5]מור!$1:$1048576,8,0)</f>
        <v>0</v>
      </c>
    </row>
    <row r="37" spans="1:12" ht="15.75" x14ac:dyDescent="0.25">
      <c r="A37" s="27" t="s">
        <v>27</v>
      </c>
      <c r="B37" s="27" t="s">
        <v>56</v>
      </c>
      <c r="C37" s="27" t="s">
        <v>115</v>
      </c>
      <c r="D37" s="14"/>
      <c r="E37" s="14"/>
      <c r="F37" s="14"/>
      <c r="G37" s="14"/>
      <c r="H37" s="110">
        <f>VLOOKUP(A37,[5]מור!$1:$1048576,4,0)</f>
        <v>0</v>
      </c>
      <c r="I37" s="110">
        <f>VLOOKUP(A37,[5]מור!$1:$1048576,5,0)</f>
        <v>0</v>
      </c>
      <c r="J37" s="110">
        <f>VLOOKUP(A37,[3]מור!$A:$I,4,0)</f>
        <v>0</v>
      </c>
      <c r="K37" s="110">
        <f>VLOOKUP(A37,[5]מור!$1:$1048576,8,0)</f>
        <v>0</v>
      </c>
    </row>
    <row r="38" spans="1:12" ht="15.75" x14ac:dyDescent="0.25">
      <c r="A38" s="27" t="s">
        <v>28</v>
      </c>
      <c r="B38" s="27" t="s">
        <v>56</v>
      </c>
      <c r="C38" s="27" t="s">
        <v>115</v>
      </c>
      <c r="D38" s="14"/>
      <c r="E38" s="14"/>
      <c r="F38" s="14"/>
      <c r="G38" s="14"/>
      <c r="H38" s="110">
        <f>VLOOKUP(A38,[5]מור!$1:$1048576,4,0)</f>
        <v>0</v>
      </c>
      <c r="I38" s="110">
        <f>VLOOKUP(A38,[5]מור!$1:$1048576,5,0)</f>
        <v>0</v>
      </c>
      <c r="J38" s="110">
        <f>VLOOKUP(A38,[3]מור!$A:$I,4,0)</f>
        <v>0</v>
      </c>
      <c r="K38" s="110">
        <f>VLOOKUP(A38,[5]מור!$1:$1048576,8,0)</f>
        <v>0</v>
      </c>
    </row>
    <row r="39" spans="1:12" ht="15.75" x14ac:dyDescent="0.25">
      <c r="A39" s="27" t="s">
        <v>29</v>
      </c>
      <c r="B39" s="27" t="s">
        <v>56</v>
      </c>
      <c r="C39" s="27" t="s">
        <v>115</v>
      </c>
      <c r="D39" s="14"/>
      <c r="E39" s="14"/>
      <c r="F39" s="14"/>
      <c r="G39" s="14"/>
      <c r="H39" s="110">
        <f>VLOOKUP(A39,[5]מור!$1:$1048576,4,0)</f>
        <v>0</v>
      </c>
      <c r="I39" s="110">
        <f>VLOOKUP(A39,[5]מור!$1:$1048576,5,0)</f>
        <v>0</v>
      </c>
      <c r="J39" s="110">
        <f>VLOOKUP(A39,[3]מור!$A:$I,4,0)</f>
        <v>0</v>
      </c>
      <c r="K39" s="110">
        <f>VLOOKUP(A39,[5]מור!$1:$1048576,8,0)</f>
        <v>0</v>
      </c>
    </row>
    <row r="40" spans="1:12" ht="15.75" x14ac:dyDescent="0.25">
      <c r="A40" s="27" t="s">
        <v>106</v>
      </c>
      <c r="B40" s="27" t="s">
        <v>55</v>
      </c>
      <c r="C40" s="27" t="s">
        <v>115</v>
      </c>
      <c r="D40" s="14"/>
      <c r="E40" s="14"/>
      <c r="F40" s="14"/>
      <c r="G40" s="14"/>
      <c r="H40" s="110">
        <f>VLOOKUP(A40,[5]מור!$1:$1048576,4,0)</f>
        <v>0</v>
      </c>
      <c r="I40" s="110">
        <f>VLOOKUP(A40,[5]מור!$1:$1048576,5,0)</f>
        <v>0</v>
      </c>
      <c r="J40" s="110"/>
      <c r="K40" s="110">
        <f>VLOOKUP(A40,[5]מור!$1:$1048576,8,0)</f>
        <v>0</v>
      </c>
    </row>
    <row r="41" spans="1:12" ht="15.75" x14ac:dyDescent="0.25">
      <c r="A41" s="27" t="s">
        <v>32</v>
      </c>
      <c r="B41" s="27" t="s">
        <v>55</v>
      </c>
      <c r="C41" s="27" t="s">
        <v>115</v>
      </c>
      <c r="D41" s="14"/>
      <c r="E41" s="14"/>
      <c r="F41" s="14"/>
      <c r="G41" s="14"/>
      <c r="H41" s="110">
        <f>VLOOKUP(A41,[5]מור!$1:$1048576,4,0)</f>
        <v>0</v>
      </c>
      <c r="I41" s="110">
        <f>VLOOKUP(A41,[5]מור!$1:$1048576,5,0)</f>
        <v>0</v>
      </c>
      <c r="J41" s="110"/>
      <c r="K41" s="110">
        <f>VLOOKUP(A41,[5]מור!$1:$1048576,8,0)</f>
        <v>0</v>
      </c>
    </row>
    <row r="42" spans="1:12" ht="15.75" x14ac:dyDescent="0.25">
      <c r="A42" s="31" t="s">
        <v>103</v>
      </c>
      <c r="B42" s="27" t="s">
        <v>56</v>
      </c>
      <c r="C42" s="27" t="s">
        <v>115</v>
      </c>
      <c r="D42" s="14"/>
      <c r="E42" s="14"/>
      <c r="F42" s="14"/>
      <c r="G42" s="14"/>
      <c r="H42" s="110">
        <f>VLOOKUP(A42,[5]מור!$1:$1048576,4,0)</f>
        <v>0</v>
      </c>
      <c r="I42" s="110">
        <f>VLOOKUP(A42,[5]מור!$1:$1048576,5,0)</f>
        <v>0</v>
      </c>
      <c r="J42" s="110"/>
      <c r="K42" s="110">
        <f>VLOOKUP(A42,[5]מור!$1:$1048576,8,0)</f>
        <v>0</v>
      </c>
    </row>
    <row r="43" spans="1:12" ht="15.75" x14ac:dyDescent="0.25">
      <c r="A43" s="27" t="s">
        <v>91</v>
      </c>
      <c r="B43" s="27" t="s">
        <v>56</v>
      </c>
      <c r="C43" s="27" t="s">
        <v>115</v>
      </c>
      <c r="D43" s="14"/>
      <c r="E43" s="14"/>
      <c r="F43" s="14"/>
      <c r="G43" s="14"/>
      <c r="H43" s="110">
        <f>VLOOKUP(A43,[5]מור!$1:$1048576,4,0)</f>
        <v>0</v>
      </c>
      <c r="I43" s="110">
        <f>VLOOKUP(A43,[5]מור!$1:$1048576,5,0)</f>
        <v>0</v>
      </c>
      <c r="J43" s="110"/>
      <c r="K43" s="110">
        <f>VLOOKUP(A43,[5]מור!$1:$1048576,8,0)</f>
        <v>0</v>
      </c>
    </row>
    <row r="44" spans="1:12" ht="15.75" x14ac:dyDescent="0.25">
      <c r="A44" s="27" t="s">
        <v>90</v>
      </c>
      <c r="B44" s="27" t="s">
        <v>56</v>
      </c>
      <c r="C44" s="27" t="s">
        <v>115</v>
      </c>
      <c r="D44" s="14"/>
      <c r="E44" s="14"/>
      <c r="F44" s="14"/>
      <c r="G44" s="14"/>
      <c r="H44" s="110">
        <f>VLOOKUP(A44,[5]מור!$1:$1048576,4,0)</f>
        <v>0</v>
      </c>
      <c r="I44" s="110">
        <f>VLOOKUP(A44,[5]מור!$1:$1048576,5,0)</f>
        <v>0</v>
      </c>
      <c r="J44" s="110"/>
      <c r="K44" s="110">
        <f>VLOOKUP(A44,[5]מור!$1:$1048576,8,0)</f>
        <v>0</v>
      </c>
    </row>
    <row r="45" spans="1:12" ht="15.75" x14ac:dyDescent="0.25">
      <c r="A45" s="27" t="s">
        <v>36</v>
      </c>
      <c r="B45" s="27" t="s">
        <v>55</v>
      </c>
      <c r="C45" s="27" t="s">
        <v>115</v>
      </c>
      <c r="D45" s="14"/>
      <c r="E45" s="14"/>
      <c r="F45" s="14"/>
      <c r="G45" s="14"/>
      <c r="H45" s="110">
        <f>VLOOKUP(A45,[5]מור!$1:$1048576,4,0)</f>
        <v>0</v>
      </c>
      <c r="I45" s="110">
        <f>VLOOKUP(A45,[5]מור!$1:$1048576,5,0)</f>
        <v>0</v>
      </c>
      <c r="J45" s="110"/>
      <c r="K45" s="110">
        <f>VLOOKUP(A45,[5]מור!$1:$1048576,8,0)</f>
        <v>0</v>
      </c>
    </row>
    <row r="46" spans="1:12" ht="15.75" x14ac:dyDescent="0.25">
      <c r="A46" s="27" t="s">
        <v>102</v>
      </c>
      <c r="B46" s="27" t="s">
        <v>55</v>
      </c>
      <c r="C46" s="27" t="s">
        <v>115</v>
      </c>
      <c r="D46" s="14"/>
      <c r="E46" s="14"/>
      <c r="F46" s="14"/>
      <c r="G46" s="14"/>
      <c r="H46" s="110">
        <f>VLOOKUP(A46,[5]מור!$1:$1048576,4,0)</f>
        <v>0</v>
      </c>
      <c r="I46" s="110">
        <f>VLOOKUP(A46,[5]מור!$1:$1048576,5,0)</f>
        <v>0</v>
      </c>
      <c r="J46" s="110"/>
      <c r="K46" s="110">
        <f>VLOOKUP(A46,[5]מור!$1:$1048576,8,0)</f>
        <v>0</v>
      </c>
      <c r="L46" s="159"/>
    </row>
    <row r="47" spans="1:12" ht="15.75" x14ac:dyDescent="0.25">
      <c r="A47" s="27" t="s">
        <v>93</v>
      </c>
      <c r="B47" s="27" t="s">
        <v>56</v>
      </c>
      <c r="C47" s="27" t="s">
        <v>115</v>
      </c>
      <c r="D47" s="14"/>
      <c r="E47" s="14"/>
      <c r="F47" s="14"/>
      <c r="G47" s="14"/>
      <c r="H47" s="110">
        <f>VLOOKUP(A47,[5]מור!$1:$1048576,4,0)</f>
        <v>0</v>
      </c>
      <c r="I47" s="110">
        <f>VLOOKUP(A47,[5]מור!$1:$1048576,5,0)</f>
        <v>0</v>
      </c>
      <c r="J47" s="110">
        <f>VLOOKUP(A47,[3]מור!$A:$I,4,0)</f>
        <v>0</v>
      </c>
      <c r="K47" s="110">
        <f>VLOOKUP(A47,[5]מור!$1:$1048576,8,0)</f>
        <v>0</v>
      </c>
    </row>
    <row r="48" spans="1:12" ht="15.75" x14ac:dyDescent="0.25">
      <c r="A48" s="27" t="s">
        <v>95</v>
      </c>
      <c r="B48" s="27" t="s">
        <v>56</v>
      </c>
      <c r="C48" s="27" t="s">
        <v>115</v>
      </c>
      <c r="D48" s="14"/>
      <c r="E48" s="14"/>
      <c r="F48" s="14"/>
      <c r="G48" s="14"/>
      <c r="H48" s="110">
        <f>VLOOKUP(A48,[5]מור!$1:$1048576,4,0)</f>
        <v>0</v>
      </c>
      <c r="I48" s="110">
        <f>VLOOKUP(A48,[5]מור!$1:$1048576,5,0)</f>
        <v>0</v>
      </c>
      <c r="J48" s="110">
        <f>VLOOKUP(A48,[3]מור!$A:$I,4,0)</f>
        <v>0</v>
      </c>
      <c r="K48" s="110">
        <f>VLOOKUP(A48,[5]מור!$1:$1048576,8,0)</f>
        <v>0</v>
      </c>
    </row>
    <row r="49" spans="1:13" ht="15.75" x14ac:dyDescent="0.25">
      <c r="A49" s="27" t="s">
        <v>105</v>
      </c>
      <c r="B49" s="27" t="s">
        <v>56</v>
      </c>
      <c r="C49" s="27" t="s">
        <v>115</v>
      </c>
      <c r="D49" s="14"/>
      <c r="E49" s="14"/>
      <c r="F49" s="14"/>
      <c r="G49" s="14"/>
      <c r="H49" s="110">
        <f>VLOOKUP(A49,[5]מור!$1:$1048576,4,0)</f>
        <v>0</v>
      </c>
      <c r="I49" s="110">
        <f>VLOOKUP(A49,[5]מור!$1:$1048576,5,0)</f>
        <v>0</v>
      </c>
      <c r="J49" s="110"/>
      <c r="K49" s="110">
        <f>VLOOKUP(A49,[5]מור!$1:$1048576,8,0)</f>
        <v>0</v>
      </c>
    </row>
    <row r="50" spans="1:13" ht="15.75" x14ac:dyDescent="0.25">
      <c r="A50" s="27" t="s">
        <v>39</v>
      </c>
      <c r="B50" s="27" t="s">
        <v>56</v>
      </c>
      <c r="C50" s="27" t="s">
        <v>115</v>
      </c>
      <c r="D50" s="14"/>
      <c r="E50" s="14"/>
      <c r="F50" s="14"/>
      <c r="G50" s="14"/>
      <c r="H50" s="110">
        <f>VLOOKUP(A50,[5]מור!$1:$1048576,4,0)</f>
        <v>0</v>
      </c>
      <c r="I50" s="110">
        <f>VLOOKUP(A50,[5]מור!$1:$1048576,5,0)</f>
        <v>0</v>
      </c>
      <c r="J50" s="110">
        <f>VLOOKUP(A50,[3]מור!$A:$I,4,0)</f>
        <v>0</v>
      </c>
      <c r="K50" s="110">
        <f>VLOOKUP(A50,[5]מור!$1:$1048576,8,0)</f>
        <v>0</v>
      </c>
    </row>
    <row r="51" spans="1:13" ht="15.75" x14ac:dyDescent="0.25">
      <c r="A51" s="27" t="s">
        <v>99</v>
      </c>
      <c r="B51" s="27" t="s">
        <v>56</v>
      </c>
      <c r="C51" s="27" t="s">
        <v>115</v>
      </c>
      <c r="D51" s="14"/>
      <c r="E51" s="14"/>
      <c r="F51" s="14"/>
      <c r="G51" s="14"/>
      <c r="H51" s="110">
        <f>VLOOKUP(A51,[5]מור!$1:$1048576,4,0)</f>
        <v>0</v>
      </c>
      <c r="I51" s="110">
        <f>VLOOKUP(A51,[5]מור!$1:$1048576,5,0)</f>
        <v>0</v>
      </c>
      <c r="J51" s="110">
        <f>VLOOKUP(A51,[3]מור!$A:$I,4,0)</f>
        <v>0</v>
      </c>
      <c r="K51" s="110">
        <f>VLOOKUP(A51,[5]מור!$1:$1048576,8,0)</f>
        <v>0</v>
      </c>
    </row>
    <row r="52" spans="1:13" ht="15.75" x14ac:dyDescent="0.25">
      <c r="A52" s="27" t="s">
        <v>41</v>
      </c>
      <c r="B52" s="27" t="s">
        <v>56</v>
      </c>
      <c r="C52" s="27" t="s">
        <v>115</v>
      </c>
      <c r="D52" s="14"/>
      <c r="E52" s="14"/>
      <c r="F52" s="14"/>
      <c r="G52" s="14"/>
      <c r="H52" s="110">
        <f>VLOOKUP(A52,[5]מור!$1:$1048576,4,0)</f>
        <v>0</v>
      </c>
      <c r="I52" s="110">
        <f>VLOOKUP(A52,[5]מור!$1:$1048576,5,0)</f>
        <v>0</v>
      </c>
      <c r="J52" s="110">
        <f>VLOOKUP(A52,[3]מור!$A:$I,4,0)</f>
        <v>0</v>
      </c>
      <c r="K52" s="110">
        <f>VLOOKUP(A52,[5]מור!$1:$1048576,8,0)</f>
        <v>0</v>
      </c>
    </row>
    <row r="53" spans="1:13" ht="16.5" thickBot="1" x14ac:dyDescent="0.3">
      <c r="A53" s="29" t="s">
        <v>96</v>
      </c>
      <c r="B53" s="29" t="s">
        <v>56</v>
      </c>
      <c r="C53" s="29" t="s">
        <v>115</v>
      </c>
      <c r="D53" s="15"/>
      <c r="E53" s="15"/>
      <c r="F53" s="15"/>
      <c r="G53" s="15"/>
      <c r="H53" s="110">
        <f>VLOOKUP(A53,[5]מור!$1:$1048576,4,0)</f>
        <v>0</v>
      </c>
      <c r="I53" s="110">
        <f>VLOOKUP(A53,[5]מור!$1:$1048576,5,0)</f>
        <v>0</v>
      </c>
      <c r="J53" s="110">
        <f>VLOOKUP(A53,[3]מור!$A:$I,4,0)</f>
        <v>0</v>
      </c>
      <c r="K53" s="110">
        <f>VLOOKUP(A53,[5]מור!$1:$1048576,8,0)</f>
        <v>0</v>
      </c>
    </row>
    <row r="54" spans="1:13" ht="21.75" thickBot="1" x14ac:dyDescent="0.4">
      <c r="A54" s="144" t="s">
        <v>124</v>
      </c>
      <c r="B54" s="142"/>
      <c r="C54" s="142"/>
      <c r="D54" s="220">
        <f>SUM(D22:D53)</f>
        <v>0</v>
      </c>
      <c r="E54" s="220">
        <f t="shared" ref="E54:K54" si="2">SUM(E22:E53)</f>
        <v>0</v>
      </c>
      <c r="F54" s="220">
        <f t="shared" si="2"/>
        <v>0</v>
      </c>
      <c r="G54" s="220">
        <f t="shared" si="2"/>
        <v>0</v>
      </c>
      <c r="H54" s="220">
        <f t="shared" si="2"/>
        <v>0</v>
      </c>
      <c r="I54" s="220">
        <f t="shared" si="2"/>
        <v>0</v>
      </c>
      <c r="J54" s="220">
        <f t="shared" si="2"/>
        <v>0</v>
      </c>
      <c r="K54" s="220">
        <f t="shared" si="2"/>
        <v>0</v>
      </c>
    </row>
    <row r="55" spans="1:13" ht="15.75" x14ac:dyDescent="0.25">
      <c r="A55" s="31" t="s">
        <v>33</v>
      </c>
      <c r="B55" s="27" t="s">
        <v>123</v>
      </c>
      <c r="C55" s="27" t="s">
        <v>115</v>
      </c>
      <c r="D55" s="14"/>
      <c r="E55" s="14"/>
      <c r="F55" s="14"/>
      <c r="G55" s="14"/>
      <c r="H55" s="110"/>
      <c r="I55" s="110"/>
      <c r="J55" s="110">
        <f>VLOOKUP(A55,[3]מור!$A:$I,4,0)</f>
        <v>0</v>
      </c>
      <c r="K55" s="110">
        <f>VLOOKUP(A55,[5]מור!$1:$1048576,8,0)</f>
        <v>0</v>
      </c>
    </row>
    <row r="56" spans="1:13" ht="15.75" x14ac:dyDescent="0.25">
      <c r="A56" s="27" t="s">
        <v>92</v>
      </c>
      <c r="B56" s="27" t="s">
        <v>123</v>
      </c>
      <c r="C56" s="27" t="s">
        <v>115</v>
      </c>
      <c r="D56" s="14"/>
      <c r="E56" s="14"/>
      <c r="F56" s="14"/>
      <c r="G56" s="14"/>
      <c r="H56" s="110"/>
      <c r="I56" s="110"/>
      <c r="J56" s="110">
        <f>VLOOKUP(A56,[3]מור!$A:$I,4,0)</f>
        <v>0</v>
      </c>
      <c r="K56" s="110">
        <f>VLOOKUP(A56,[5]מור!$1:$1048576,8,0)</f>
        <v>0</v>
      </c>
    </row>
    <row r="57" spans="1:13" ht="15.75" x14ac:dyDescent="0.25">
      <c r="A57" s="27" t="s">
        <v>37</v>
      </c>
      <c r="B57" s="27" t="s">
        <v>123</v>
      </c>
      <c r="C57" s="27" t="s">
        <v>115</v>
      </c>
      <c r="D57" s="14"/>
      <c r="E57" s="14"/>
      <c r="F57" s="14"/>
      <c r="G57" s="14"/>
      <c r="H57" s="110"/>
      <c r="I57" s="110"/>
      <c r="J57" s="110">
        <f>VLOOKUP(A57,[3]מור!$A:$I,4,0)</f>
        <v>0</v>
      </c>
      <c r="K57" s="110">
        <f>VLOOKUP(A57,[5]מור!$1:$1048576,8,0)</f>
        <v>0</v>
      </c>
      <c r="M57" s="154"/>
    </row>
    <row r="58" spans="1:13" ht="15.75" x14ac:dyDescent="0.25">
      <c r="A58" s="27" t="s">
        <v>35</v>
      </c>
      <c r="B58" s="27" t="s">
        <v>123</v>
      </c>
      <c r="C58" s="27" t="s">
        <v>115</v>
      </c>
      <c r="D58" s="14"/>
      <c r="E58" s="14"/>
      <c r="F58" s="14"/>
      <c r="G58" s="14"/>
      <c r="H58" s="110"/>
      <c r="I58" s="110"/>
      <c r="J58" s="110">
        <f>VLOOKUP(A58,[3]מור!$A:$I,4,0)</f>
        <v>0</v>
      </c>
      <c r="K58" s="110">
        <f>VLOOKUP(A58,[5]מור!$1:$1048576,8,0)</f>
        <v>0</v>
      </c>
      <c r="M58" s="154"/>
    </row>
    <row r="59" spans="1:13" ht="15.75" x14ac:dyDescent="0.25">
      <c r="A59" s="28" t="s">
        <v>94</v>
      </c>
      <c r="B59" s="28" t="s">
        <v>123</v>
      </c>
      <c r="C59" s="28" t="s">
        <v>115</v>
      </c>
      <c r="D59" s="14"/>
      <c r="E59" s="14"/>
      <c r="F59" s="14"/>
      <c r="G59" s="14"/>
      <c r="H59" s="110"/>
      <c r="I59" s="110"/>
      <c r="J59" s="110">
        <f>VLOOKUP(A59,[3]מור!$A:$I,4,0)</f>
        <v>559461.71</v>
      </c>
      <c r="K59" s="110">
        <f>VLOOKUP(A59,[5]מור!$1:$1048576,8,0)</f>
        <v>0</v>
      </c>
      <c r="M59" s="154"/>
    </row>
    <row r="60" spans="1:13" ht="15.75" x14ac:dyDescent="0.25">
      <c r="A60" s="31" t="s">
        <v>16</v>
      </c>
      <c r="B60" s="27" t="s">
        <v>123</v>
      </c>
      <c r="C60" s="27" t="s">
        <v>115</v>
      </c>
      <c r="D60" s="14"/>
      <c r="E60" s="14"/>
      <c r="F60" s="14"/>
      <c r="G60" s="14"/>
      <c r="H60" s="110">
        <f>VLOOKUP(A60,[5]מור!$1:$1048576,4,0)</f>
        <v>0</v>
      </c>
      <c r="I60" s="110">
        <f>VLOOKUP(A60,[5]מור!$1:$1048576,5,0)</f>
        <v>0</v>
      </c>
      <c r="J60" s="110">
        <f>VLOOKUP(A60,[3]מור!$A:$I,4,0)</f>
        <v>0</v>
      </c>
      <c r="K60" s="110">
        <f>VLOOKUP(A60,[5]מור!$1:$1048576,8,0)</f>
        <v>0</v>
      </c>
    </row>
    <row r="61" spans="1:13" ht="16.5" thickBot="1" x14ac:dyDescent="0.3">
      <c r="A61" s="138" t="s">
        <v>107</v>
      </c>
      <c r="B61" s="27" t="s">
        <v>123</v>
      </c>
      <c r="C61" s="27" t="s">
        <v>115</v>
      </c>
      <c r="D61" s="14"/>
      <c r="E61" s="14"/>
      <c r="F61" s="14"/>
      <c r="G61" s="14"/>
      <c r="H61" s="110">
        <f>VLOOKUP(A61,[5]מור!$1:$1048576,4,0)</f>
        <v>0</v>
      </c>
      <c r="I61" s="110">
        <f>VLOOKUP(A61,[5]מור!$1:$1048576,5,0)</f>
        <v>0</v>
      </c>
      <c r="J61" s="110"/>
      <c r="K61" s="110">
        <f>VLOOKUP(A61,[5]מור!$1:$1048576,8,0)</f>
        <v>0</v>
      </c>
    </row>
    <row r="62" spans="1:13" ht="21.75" thickBot="1" x14ac:dyDescent="0.4">
      <c r="A62" s="144" t="s">
        <v>125</v>
      </c>
      <c r="B62" s="142"/>
      <c r="C62" s="142"/>
      <c r="D62" s="220">
        <f>SUM(D55:D61)</f>
        <v>0</v>
      </c>
      <c r="E62" s="220">
        <f t="shared" ref="E62:K62" si="3">SUM(E55:E61)</f>
        <v>0</v>
      </c>
      <c r="F62" s="220">
        <f t="shared" si="3"/>
        <v>0</v>
      </c>
      <c r="G62" s="220">
        <f t="shared" si="3"/>
        <v>0</v>
      </c>
      <c r="H62" s="220">
        <f t="shared" si="3"/>
        <v>0</v>
      </c>
      <c r="I62" s="220">
        <f t="shared" si="3"/>
        <v>0</v>
      </c>
      <c r="J62" s="220">
        <f t="shared" si="3"/>
        <v>559461.71</v>
      </c>
      <c r="K62" s="220">
        <f t="shared" si="3"/>
        <v>0</v>
      </c>
    </row>
    <row r="63" spans="1:13" ht="15.75" x14ac:dyDescent="0.25">
      <c r="A63" s="28" t="s">
        <v>84</v>
      </c>
      <c r="B63" s="27" t="s">
        <v>116</v>
      </c>
      <c r="C63" s="28" t="s">
        <v>110</v>
      </c>
      <c r="D63" s="18"/>
      <c r="E63" s="18"/>
      <c r="F63" s="18"/>
      <c r="G63" s="18"/>
      <c r="H63" s="110"/>
      <c r="I63" s="110"/>
      <c r="J63" s="110">
        <f>VLOOKUP(A63,[3]מור!$A:$I,4,0)</f>
        <v>0</v>
      </c>
      <c r="K63" s="110"/>
    </row>
    <row r="64" spans="1:13" ht="15.75" x14ac:dyDescent="0.25">
      <c r="A64" s="31" t="s">
        <v>40</v>
      </c>
      <c r="B64" s="27" t="s">
        <v>56</v>
      </c>
      <c r="C64" s="27" t="s">
        <v>111</v>
      </c>
      <c r="D64" s="14"/>
      <c r="E64" s="14"/>
      <c r="F64" s="14"/>
      <c r="G64" s="14"/>
      <c r="H64" s="110"/>
      <c r="I64" s="110"/>
      <c r="J64" s="110">
        <f>VLOOKUP(A64,[3]מור!$A:$I,4,0)</f>
        <v>0</v>
      </c>
      <c r="K64" s="110"/>
    </row>
    <row r="65" spans="1:12" ht="15.75" x14ac:dyDescent="0.25">
      <c r="A65" s="27" t="s">
        <v>98</v>
      </c>
      <c r="B65" s="27" t="s">
        <v>116</v>
      </c>
      <c r="C65" s="27" t="s">
        <v>111</v>
      </c>
      <c r="D65" s="14"/>
      <c r="E65" s="14"/>
      <c r="F65" s="14"/>
      <c r="G65" s="14"/>
      <c r="H65" s="110"/>
      <c r="I65" s="110"/>
      <c r="J65" s="110">
        <f>VLOOKUP(A65,[3]מור!$A:$I,4,0)</f>
        <v>0</v>
      </c>
      <c r="K65" s="110"/>
    </row>
    <row r="66" spans="1:12" ht="15.75" x14ac:dyDescent="0.25">
      <c r="A66" s="27" t="s">
        <v>100</v>
      </c>
      <c r="B66" s="27" t="s">
        <v>56</v>
      </c>
      <c r="C66" s="27" t="s">
        <v>111</v>
      </c>
      <c r="D66" s="14"/>
      <c r="E66" s="14"/>
      <c r="F66" s="14"/>
      <c r="G66" s="14"/>
      <c r="H66" s="110"/>
      <c r="I66" s="110"/>
      <c r="J66" s="110">
        <f>VLOOKUP(A66,[3]מור!$A:$I,4,0)</f>
        <v>0</v>
      </c>
      <c r="K66" s="110"/>
    </row>
    <row r="67" spans="1:12" ht="15.75" x14ac:dyDescent="0.25">
      <c r="A67" s="27" t="s">
        <v>101</v>
      </c>
      <c r="B67" s="27" t="s">
        <v>56</v>
      </c>
      <c r="C67" s="27" t="s">
        <v>111</v>
      </c>
      <c r="D67" s="14"/>
      <c r="E67" s="14"/>
      <c r="F67" s="14"/>
      <c r="G67" s="14"/>
      <c r="H67" s="110"/>
      <c r="I67" s="110"/>
      <c r="J67" s="110">
        <f>VLOOKUP(A67,[3]מור!$A:$I,4,0)</f>
        <v>0</v>
      </c>
      <c r="K67" s="110"/>
    </row>
    <row r="68" spans="1:12" ht="15.75" x14ac:dyDescent="0.25">
      <c r="A68" s="27" t="s">
        <v>108</v>
      </c>
      <c r="B68" s="27" t="s">
        <v>56</v>
      </c>
      <c r="C68" s="27" t="s">
        <v>111</v>
      </c>
      <c r="D68" s="14"/>
      <c r="E68" s="14"/>
      <c r="F68" s="14"/>
      <c r="G68" s="14"/>
      <c r="H68" s="110"/>
      <c r="I68" s="110"/>
      <c r="J68" s="110"/>
      <c r="K68" s="110"/>
      <c r="L68" s="159"/>
    </row>
    <row r="69" spans="1:12" ht="15.75" x14ac:dyDescent="0.25">
      <c r="A69" s="139" t="s">
        <v>109</v>
      </c>
      <c r="B69" s="27" t="s">
        <v>56</v>
      </c>
      <c r="C69" s="27" t="s">
        <v>111</v>
      </c>
      <c r="D69" s="14"/>
      <c r="E69" s="14"/>
      <c r="F69" s="238">
        <v>5200</v>
      </c>
      <c r="G69" s="14"/>
      <c r="H69" s="110"/>
      <c r="I69" s="110"/>
      <c r="J69" s="110">
        <v>43878.53</v>
      </c>
      <c r="K69" s="110"/>
    </row>
    <row r="70" spans="1:12" ht="16.5" thickBot="1" x14ac:dyDescent="0.3">
      <c r="A70" s="29" t="s">
        <v>89</v>
      </c>
      <c r="B70" s="29" t="s">
        <v>56</v>
      </c>
      <c r="C70" s="29" t="s">
        <v>111</v>
      </c>
      <c r="D70" s="15"/>
      <c r="E70" s="15"/>
      <c r="F70" s="15"/>
      <c r="G70" s="15"/>
      <c r="H70" s="110"/>
      <c r="I70" s="110"/>
      <c r="J70" s="110">
        <f>VLOOKUP(A70,[3]מור!$A:$I,4,0)</f>
        <v>0</v>
      </c>
      <c r="K70" s="110"/>
    </row>
    <row r="71" spans="1:12" ht="21.75" thickBot="1" x14ac:dyDescent="0.4">
      <c r="A71" s="143" t="s">
        <v>44</v>
      </c>
      <c r="B71" s="142"/>
      <c r="C71" s="142"/>
      <c r="D71" s="220">
        <f>SUM(D63:D70)</f>
        <v>0</v>
      </c>
      <c r="E71" s="220">
        <f t="shared" ref="E71:K71" si="4">SUM(E63:E70)</f>
        <v>0</v>
      </c>
      <c r="F71" s="220">
        <f t="shared" si="4"/>
        <v>5200</v>
      </c>
      <c r="G71" s="220">
        <f t="shared" si="4"/>
        <v>0</v>
      </c>
      <c r="H71" s="220">
        <f t="shared" si="4"/>
        <v>0</v>
      </c>
      <c r="I71" s="220">
        <f t="shared" si="4"/>
        <v>0</v>
      </c>
      <c r="J71" s="220">
        <f t="shared" si="4"/>
        <v>43878.53</v>
      </c>
      <c r="K71" s="220">
        <f t="shared" si="4"/>
        <v>0</v>
      </c>
    </row>
    <row r="72" spans="1:12" ht="21.75" thickBot="1" x14ac:dyDescent="0.4">
      <c r="A72" s="143" t="s">
        <v>45</v>
      </c>
      <c r="B72" s="142"/>
      <c r="C72" s="142"/>
      <c r="D72" s="220">
        <f>D71+D62+D54+D21+D8</f>
        <v>0</v>
      </c>
      <c r="E72" s="220">
        <f t="shared" ref="E72:K72" si="5">E71+E62+E54+E21+E8</f>
        <v>0</v>
      </c>
      <c r="F72" s="220">
        <f>F71+F62+F54+F21+F8</f>
        <v>654025.80000000005</v>
      </c>
      <c r="G72" s="220">
        <f t="shared" si="5"/>
        <v>0</v>
      </c>
      <c r="H72" s="220">
        <f t="shared" si="5"/>
        <v>0</v>
      </c>
      <c r="I72" s="220">
        <f t="shared" si="5"/>
        <v>0</v>
      </c>
      <c r="J72" s="220">
        <f t="shared" si="5"/>
        <v>853309.94</v>
      </c>
      <c r="K72" s="220">
        <f t="shared" si="5"/>
        <v>0</v>
      </c>
    </row>
  </sheetData>
  <autoFilter ref="A2:O72" xr:uid="{EDBCE8AC-DFB4-481F-BF31-12F2118B912A}"/>
  <mergeCells count="2">
    <mergeCell ref="D1:G1"/>
    <mergeCell ref="H1:K1"/>
  </mergeCells>
  <conditionalFormatting sqref="A1">
    <cfRule type="duplicateValues" dxfId="105" priority="13"/>
    <cfRule type="duplicateValues" dxfId="104" priority="14"/>
  </conditionalFormatting>
  <conditionalFormatting sqref="A14">
    <cfRule type="duplicateValues" dxfId="103" priority="3"/>
    <cfRule type="duplicateValues" dxfId="102" priority="4"/>
  </conditionalFormatting>
  <conditionalFormatting sqref="A55">
    <cfRule type="duplicateValues" dxfId="101" priority="5"/>
    <cfRule type="duplicateValues" dxfId="100" priority="6"/>
  </conditionalFormatting>
  <conditionalFormatting sqref="A56:A58 A7 A22:A53 A60">
    <cfRule type="duplicateValues" dxfId="99" priority="11"/>
    <cfRule type="duplicateValues" dxfId="98" priority="12"/>
  </conditionalFormatting>
  <conditionalFormatting sqref="A59">
    <cfRule type="duplicateValues" dxfId="97" priority="1"/>
    <cfRule type="duplicateValues" dxfId="96" priority="2"/>
  </conditionalFormatting>
  <conditionalFormatting sqref="A63:A70">
    <cfRule type="duplicateValues" dxfId="95" priority="9"/>
    <cfRule type="duplicateValues" dxfId="94" priority="10"/>
  </conditionalFormatting>
  <conditionalFormatting sqref="A71:A72 A2:A6 A8:A13 A15:A21 A54 A62">
    <cfRule type="duplicateValues" dxfId="93" priority="7"/>
    <cfRule type="duplicateValues" dxfId="92" priority="8"/>
  </conditionalFormatting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942E4-EDC3-4912-B68F-202C63AD69E3}">
  <sheetPr>
    <tabColor theme="5" tint="-0.249977111117893"/>
  </sheetPr>
  <dimension ref="A1:M78"/>
  <sheetViews>
    <sheetView rightToLeft="1" zoomScaleNormal="100" workbookViewId="0">
      <pane ySplit="3" topLeftCell="A62" activePane="bottomLeft" state="frozen"/>
      <selection pane="bottomLeft" activeCell="J55" sqref="J55:J59"/>
    </sheetView>
  </sheetViews>
  <sheetFormatPr defaultColWidth="30.140625" defaultRowHeight="15" x14ac:dyDescent="0.25"/>
  <cols>
    <col min="1" max="1" width="30" style="33" bestFit="1" customWidth="1"/>
    <col min="2" max="2" width="11.42578125" style="33" bestFit="1" customWidth="1"/>
    <col min="3" max="3" width="11.7109375" style="33" bestFit="1" customWidth="1"/>
    <col min="4" max="4" width="16.85546875" bestFit="1" customWidth="1"/>
    <col min="5" max="5" width="15.28515625" bestFit="1" customWidth="1"/>
    <col min="6" max="6" width="16.85546875" bestFit="1" customWidth="1"/>
    <col min="7" max="7" width="19" bestFit="1" customWidth="1"/>
    <col min="8" max="9" width="15.28515625" style="3" bestFit="1" customWidth="1"/>
    <col min="10" max="10" width="16.85546875" style="3" bestFit="1" customWidth="1"/>
    <col min="11" max="11" width="19" bestFit="1" customWidth="1"/>
  </cols>
  <sheetData>
    <row r="1" spans="1:11" ht="21" x14ac:dyDescent="0.25">
      <c r="A1" s="27"/>
      <c r="B1" s="27"/>
      <c r="C1" s="27"/>
      <c r="D1" s="278">
        <v>2025</v>
      </c>
      <c r="E1" s="278"/>
      <c r="F1" s="278"/>
      <c r="G1" s="278"/>
      <c r="H1" s="279">
        <v>2024</v>
      </c>
      <c r="I1" s="279"/>
      <c r="J1" s="279"/>
      <c r="K1" s="279"/>
    </row>
    <row r="2" spans="1:11" ht="21" x14ac:dyDescent="0.25">
      <c r="A2" s="11" t="s">
        <v>0</v>
      </c>
      <c r="B2" s="24" t="s">
        <v>53</v>
      </c>
      <c r="C2" s="24" t="s">
        <v>117</v>
      </c>
      <c r="D2" s="13" t="s">
        <v>46</v>
      </c>
      <c r="E2" s="13" t="s">
        <v>47</v>
      </c>
      <c r="F2" s="13" t="s">
        <v>48</v>
      </c>
      <c r="G2" s="13" t="s">
        <v>49</v>
      </c>
      <c r="H2" s="109" t="s">
        <v>46</v>
      </c>
      <c r="I2" s="109" t="s">
        <v>47</v>
      </c>
      <c r="J2" s="109" t="s">
        <v>48</v>
      </c>
      <c r="K2" s="109" t="s">
        <v>97</v>
      </c>
    </row>
    <row r="3" spans="1:11" ht="15.75" x14ac:dyDescent="0.25">
      <c r="A3" s="27" t="s">
        <v>1</v>
      </c>
      <c r="B3" s="27" t="s">
        <v>116</v>
      </c>
      <c r="C3" s="27" t="s">
        <v>58</v>
      </c>
      <c r="D3" s="14"/>
      <c r="E3" s="14"/>
      <c r="F3" s="14"/>
      <c r="G3" s="14"/>
      <c r="H3" s="110"/>
      <c r="I3" s="110"/>
      <c r="J3" s="110"/>
      <c r="K3" s="110"/>
    </row>
    <row r="4" spans="1:11" ht="15.75" x14ac:dyDescent="0.25">
      <c r="A4" s="27" t="s">
        <v>2</v>
      </c>
      <c r="B4" s="27" t="s">
        <v>116</v>
      </c>
      <c r="C4" s="27" t="s">
        <v>58</v>
      </c>
      <c r="D4" s="14"/>
      <c r="E4" s="14"/>
      <c r="F4" s="14"/>
      <c r="G4" s="14"/>
      <c r="H4" s="110"/>
      <c r="I4" s="110"/>
      <c r="J4" s="110">
        <f>VLOOKUP(A4,'[4]אלטשולר שחם'!$A:$E,4,0)</f>
        <v>0</v>
      </c>
      <c r="K4" s="110"/>
    </row>
    <row r="5" spans="1:11" ht="15.75" x14ac:dyDescent="0.25">
      <c r="A5" s="27" t="s">
        <v>112</v>
      </c>
      <c r="B5" s="27" t="s">
        <v>116</v>
      </c>
      <c r="C5" s="27" t="s">
        <v>58</v>
      </c>
      <c r="D5" s="14"/>
      <c r="E5" s="14"/>
      <c r="F5" s="14"/>
      <c r="G5" s="14"/>
      <c r="H5" s="110"/>
      <c r="I5" s="110"/>
      <c r="J5" s="110"/>
      <c r="K5" s="110"/>
    </row>
    <row r="6" spans="1:11" ht="15.75" x14ac:dyDescent="0.25">
      <c r="A6" s="29" t="s">
        <v>113</v>
      </c>
      <c r="B6" s="27" t="s">
        <v>116</v>
      </c>
      <c r="C6" s="29" t="s">
        <v>58</v>
      </c>
      <c r="D6" s="15"/>
      <c r="E6" s="15"/>
      <c r="F6" s="15"/>
      <c r="G6" s="15"/>
      <c r="H6" s="137"/>
      <c r="I6" s="137"/>
      <c r="J6" s="110"/>
      <c r="K6" s="137"/>
    </row>
    <row r="7" spans="1:11" ht="16.5" thickBot="1" x14ac:dyDescent="0.3">
      <c r="A7" s="27" t="s">
        <v>34</v>
      </c>
      <c r="B7" s="27" t="s">
        <v>116</v>
      </c>
      <c r="C7" s="27" t="s">
        <v>58</v>
      </c>
      <c r="D7" s="14"/>
      <c r="E7" s="14"/>
      <c r="F7" s="14"/>
      <c r="G7" s="14"/>
      <c r="H7" s="110"/>
      <c r="I7" s="110"/>
      <c r="J7" s="110"/>
      <c r="K7" s="110"/>
    </row>
    <row r="8" spans="1:11" ht="21.75" thickBot="1" x14ac:dyDescent="0.3">
      <c r="A8" s="143" t="s">
        <v>3</v>
      </c>
      <c r="B8" s="142"/>
      <c r="C8" s="142"/>
      <c r="D8" s="141">
        <f>SUM(D3:D6)</f>
        <v>0</v>
      </c>
      <c r="E8" s="141">
        <f t="shared" ref="E8:K8" si="0">SUM(E3:E6)</f>
        <v>0</v>
      </c>
      <c r="F8" s="141">
        <f t="shared" si="0"/>
        <v>0</v>
      </c>
      <c r="G8" s="141">
        <f t="shared" si="0"/>
        <v>0</v>
      </c>
      <c r="H8" s="141">
        <f t="shared" si="0"/>
        <v>0</v>
      </c>
      <c r="I8" s="141">
        <f t="shared" si="0"/>
        <v>0</v>
      </c>
      <c r="J8" s="143"/>
      <c r="K8" s="141">
        <f t="shared" si="0"/>
        <v>0</v>
      </c>
    </row>
    <row r="9" spans="1:11" ht="15.75" x14ac:dyDescent="0.25">
      <c r="A9" s="28" t="s">
        <v>4</v>
      </c>
      <c r="B9" s="27" t="s">
        <v>116</v>
      </c>
      <c r="C9" s="28" t="s">
        <v>114</v>
      </c>
      <c r="D9" s="18"/>
      <c r="E9" s="18"/>
      <c r="F9" s="18"/>
      <c r="G9" s="18"/>
      <c r="H9" s="140"/>
      <c r="I9" s="140"/>
      <c r="J9" s="110">
        <f>VLOOKUP(A9,'[4]אלטשולר שחם'!$A:$E,4,0)</f>
        <v>0</v>
      </c>
      <c r="K9" s="140"/>
    </row>
    <row r="10" spans="1:11" ht="15.75" x14ac:dyDescent="0.25">
      <c r="A10" s="27" t="s">
        <v>5</v>
      </c>
      <c r="B10" s="27" t="s">
        <v>116</v>
      </c>
      <c r="C10" s="27" t="s">
        <v>114</v>
      </c>
      <c r="D10" s="14"/>
      <c r="E10" s="14"/>
      <c r="F10" s="14"/>
      <c r="G10" s="14"/>
      <c r="H10" s="110"/>
      <c r="I10" s="110"/>
      <c r="J10" s="110">
        <f>VLOOKUP(A10,'[4]אלטשולר שחם'!$A:$E,4,0)</f>
        <v>0</v>
      </c>
      <c r="K10" s="110"/>
    </row>
    <row r="11" spans="1:11" ht="15.75" x14ac:dyDescent="0.25">
      <c r="A11" s="27" t="s">
        <v>6</v>
      </c>
      <c r="B11" s="27" t="s">
        <v>116</v>
      </c>
      <c r="C11" s="27" t="s">
        <v>114</v>
      </c>
      <c r="D11" s="14"/>
      <c r="E11" s="14"/>
      <c r="F11" s="14"/>
      <c r="G11" s="14"/>
      <c r="H11" s="110"/>
      <c r="I11" s="110"/>
      <c r="J11" s="110">
        <f>VLOOKUP(A11,'[4]אלטשולר שחם'!$A:$E,4,0)</f>
        <v>0</v>
      </c>
      <c r="K11" s="110"/>
    </row>
    <row r="12" spans="1:11" ht="15.75" x14ac:dyDescent="0.25">
      <c r="A12" s="27" t="s">
        <v>7</v>
      </c>
      <c r="B12" s="27" t="s">
        <v>116</v>
      </c>
      <c r="C12" s="27" t="s">
        <v>114</v>
      </c>
      <c r="D12" s="14"/>
      <c r="E12" s="14"/>
      <c r="F12" s="14"/>
      <c r="G12" s="14"/>
      <c r="H12" s="110"/>
      <c r="I12" s="110"/>
      <c r="J12" s="110">
        <f>VLOOKUP(A12,'[4]אלטשולר שחם'!$A:$E,4,0)</f>
        <v>0</v>
      </c>
      <c r="K12" s="110"/>
    </row>
    <row r="13" spans="1:11" ht="15.75" x14ac:dyDescent="0.25">
      <c r="A13" s="27" t="s">
        <v>8</v>
      </c>
      <c r="B13" s="27" t="s">
        <v>116</v>
      </c>
      <c r="C13" s="27" t="s">
        <v>114</v>
      </c>
      <c r="D13" s="14"/>
      <c r="E13" s="14"/>
      <c r="F13" s="14"/>
      <c r="G13" s="14"/>
      <c r="H13" s="110"/>
      <c r="I13" s="110"/>
      <c r="J13" s="110">
        <f>VLOOKUP(A13,'[4]אלטשולר שחם'!$A:$E,4,0)</f>
        <v>0</v>
      </c>
      <c r="K13" s="110"/>
    </row>
    <row r="14" spans="1:11" ht="15.75" x14ac:dyDescent="0.25">
      <c r="A14" s="27" t="s">
        <v>9</v>
      </c>
      <c r="B14" s="27" t="s">
        <v>116</v>
      </c>
      <c r="C14" s="27" t="s">
        <v>114</v>
      </c>
      <c r="D14" s="14"/>
      <c r="E14" s="14"/>
      <c r="F14" s="14"/>
      <c r="G14" s="14"/>
      <c r="H14" s="110"/>
      <c r="I14" s="110"/>
      <c r="J14" s="110">
        <f>VLOOKUP(A14,'[4]אלטשולר שחם'!$A:$E,4,0)</f>
        <v>0</v>
      </c>
      <c r="K14" s="110"/>
    </row>
    <row r="15" spans="1:11" ht="15.75" x14ac:dyDescent="0.25">
      <c r="A15" s="27" t="s">
        <v>31</v>
      </c>
      <c r="B15" s="27" t="s">
        <v>116</v>
      </c>
      <c r="C15" s="27" t="s">
        <v>114</v>
      </c>
      <c r="D15" s="14"/>
      <c r="E15" s="14"/>
      <c r="F15" s="14"/>
      <c r="G15" s="14"/>
      <c r="H15" s="110"/>
      <c r="I15" s="110"/>
      <c r="J15" s="110">
        <f>VLOOKUP(A15,'[4]אלטשולר שחם'!$A:$E,4,0)</f>
        <v>0</v>
      </c>
      <c r="K15" s="110"/>
    </row>
    <row r="16" spans="1:11" ht="15.75" x14ac:dyDescent="0.25">
      <c r="A16" s="27" t="s">
        <v>104</v>
      </c>
      <c r="B16" s="27" t="s">
        <v>116</v>
      </c>
      <c r="C16" s="27" t="s">
        <v>114</v>
      </c>
      <c r="D16" s="14"/>
      <c r="E16" s="14"/>
      <c r="F16" s="14"/>
      <c r="G16" s="14"/>
      <c r="H16" s="110"/>
      <c r="I16" s="110"/>
      <c r="J16" s="110"/>
      <c r="K16" s="110"/>
    </row>
    <row r="17" spans="1:11" ht="15.75" x14ac:dyDescent="0.25">
      <c r="A17" s="27" t="s">
        <v>42</v>
      </c>
      <c r="B17" s="27" t="s">
        <v>116</v>
      </c>
      <c r="C17" s="27" t="s">
        <v>114</v>
      </c>
      <c r="D17" s="14"/>
      <c r="E17" s="14"/>
      <c r="F17" s="14"/>
      <c r="G17" s="14"/>
      <c r="H17" s="110"/>
      <c r="I17" s="110"/>
      <c r="J17" s="110"/>
      <c r="K17" s="110"/>
    </row>
    <row r="18" spans="1:11" ht="15.75" x14ac:dyDescent="0.25">
      <c r="A18" s="27" t="s">
        <v>43</v>
      </c>
      <c r="B18" s="27" t="s">
        <v>116</v>
      </c>
      <c r="C18" s="27" t="s">
        <v>114</v>
      </c>
      <c r="D18" s="14"/>
      <c r="E18" s="14"/>
      <c r="F18" s="14"/>
      <c r="G18" s="14"/>
      <c r="H18" s="110"/>
      <c r="I18" s="110"/>
      <c r="J18" s="110">
        <f>VLOOKUP(A18,'[4]אלטשולר שחם'!$A:$E,4,0)</f>
        <v>0</v>
      </c>
      <c r="K18" s="110"/>
    </row>
    <row r="19" spans="1:11" ht="15.75" x14ac:dyDescent="0.25">
      <c r="A19" s="27" t="s">
        <v>30</v>
      </c>
      <c r="B19" s="27" t="s">
        <v>116</v>
      </c>
      <c r="C19" s="27" t="s">
        <v>114</v>
      </c>
      <c r="D19" s="14"/>
      <c r="E19" s="14"/>
      <c r="F19" s="14"/>
      <c r="G19" s="14"/>
      <c r="H19" s="110"/>
      <c r="I19" s="110"/>
      <c r="J19" s="110">
        <f>VLOOKUP(A19,'[4]אלטשולר שחם'!$A:$E,4,0)</f>
        <v>0</v>
      </c>
      <c r="K19" s="110"/>
    </row>
    <row r="20" spans="1:11" ht="16.5" thickBot="1" x14ac:dyDescent="0.3">
      <c r="A20" s="29" t="s">
        <v>38</v>
      </c>
      <c r="B20" s="27" t="s">
        <v>116</v>
      </c>
      <c r="C20" s="29" t="s">
        <v>114</v>
      </c>
      <c r="D20" s="15"/>
      <c r="E20" s="15"/>
      <c r="F20" s="15"/>
      <c r="G20" s="15"/>
      <c r="H20" s="137"/>
      <c r="I20" s="137"/>
      <c r="J20" s="110">
        <f>VLOOKUP(A20,'[4]אלטשולר שחם'!$A:$E,4,0)</f>
        <v>0</v>
      </c>
      <c r="K20" s="137"/>
    </row>
    <row r="21" spans="1:11" ht="21.75" thickBot="1" x14ac:dyDescent="0.3">
      <c r="A21" s="143" t="s">
        <v>10</v>
      </c>
      <c r="B21" s="142"/>
      <c r="C21" s="142"/>
      <c r="D21" s="141">
        <f>SUM(D9:D20)</f>
        <v>0</v>
      </c>
      <c r="E21" s="141">
        <f t="shared" ref="E21:K21" si="1">SUM(E9:E20)</f>
        <v>0</v>
      </c>
      <c r="F21" s="141">
        <f t="shared" si="1"/>
        <v>0</v>
      </c>
      <c r="G21" s="141">
        <f>SUM(G9:G20)</f>
        <v>0</v>
      </c>
      <c r="H21" s="141">
        <f t="shared" si="1"/>
        <v>0</v>
      </c>
      <c r="I21" s="141">
        <f t="shared" si="1"/>
        <v>0</v>
      </c>
      <c r="J21" s="230">
        <f>SUM(J9:J20)</f>
        <v>0</v>
      </c>
      <c r="K21" s="141">
        <f t="shared" si="1"/>
        <v>0</v>
      </c>
    </row>
    <row r="22" spans="1:11" ht="15.75" x14ac:dyDescent="0.25">
      <c r="A22" s="28" t="s">
        <v>11</v>
      </c>
      <c r="B22" s="28" t="s">
        <v>56</v>
      </c>
      <c r="C22" s="28" t="s">
        <v>115</v>
      </c>
      <c r="D22" s="18"/>
      <c r="E22" s="18"/>
      <c r="F22" s="18"/>
      <c r="G22" s="18"/>
      <c r="H22" s="140"/>
      <c r="I22" s="140"/>
      <c r="J22" s="110">
        <f>VLOOKUP(A22,'[4]אלטשולר שחם'!$A:$E,4,0)</f>
        <v>0</v>
      </c>
      <c r="K22" s="140"/>
    </row>
    <row r="23" spans="1:11" ht="15.75" x14ac:dyDescent="0.25">
      <c r="A23" s="31" t="s">
        <v>12</v>
      </c>
      <c r="B23" s="27" t="s">
        <v>56</v>
      </c>
      <c r="C23" s="27" t="s">
        <v>115</v>
      </c>
      <c r="D23" s="14"/>
      <c r="E23" s="14"/>
      <c r="F23" s="14"/>
      <c r="G23" s="14"/>
      <c r="H23" s="110"/>
      <c r="I23" s="110"/>
      <c r="J23" s="110">
        <f>VLOOKUP(A23,'[4]אלטשולר שחם'!$A:$E,4,0)</f>
        <v>0</v>
      </c>
      <c r="K23" s="110"/>
    </row>
    <row r="24" spans="1:11" ht="15.75" x14ac:dyDescent="0.25">
      <c r="A24" s="31" t="s">
        <v>13</v>
      </c>
      <c r="B24" s="27" t="s">
        <v>56</v>
      </c>
      <c r="C24" s="27" t="s">
        <v>115</v>
      </c>
      <c r="D24" s="14"/>
      <c r="E24" s="14"/>
      <c r="F24" s="14"/>
      <c r="G24" s="14"/>
      <c r="H24" s="110"/>
      <c r="I24" s="110"/>
      <c r="J24" s="110">
        <f>VLOOKUP(A24,'[4]אלטשולר שחם'!$A:$E,4,0)</f>
        <v>0</v>
      </c>
      <c r="K24" s="110"/>
    </row>
    <row r="25" spans="1:11" ht="15.75" x14ac:dyDescent="0.25">
      <c r="A25" s="27" t="s">
        <v>14</v>
      </c>
      <c r="B25" s="27" t="s">
        <v>55</v>
      </c>
      <c r="C25" s="27" t="s">
        <v>115</v>
      </c>
      <c r="D25" s="14"/>
      <c r="E25" s="14"/>
      <c r="F25" s="14"/>
      <c r="G25" s="14"/>
      <c r="H25" s="110"/>
      <c r="I25" s="110"/>
      <c r="J25" s="110">
        <f>VLOOKUP(A25,'[4]אלטשולר שחם'!$A:$E,4,0)</f>
        <v>0</v>
      </c>
      <c r="K25" s="110"/>
    </row>
    <row r="26" spans="1:11" ht="15.75" x14ac:dyDescent="0.25">
      <c r="A26" s="31" t="s">
        <v>15</v>
      </c>
      <c r="B26" s="27" t="s">
        <v>56</v>
      </c>
      <c r="C26" s="27" t="s">
        <v>115</v>
      </c>
      <c r="D26" s="14"/>
      <c r="E26" s="14"/>
      <c r="F26" s="14"/>
      <c r="G26" s="14"/>
      <c r="H26" s="110"/>
      <c r="I26" s="110"/>
      <c r="J26" s="110">
        <f>VLOOKUP(A26,'[4]אלטשולר שחם'!$A:$E,4,0)</f>
        <v>0</v>
      </c>
      <c r="K26" s="110"/>
    </row>
    <row r="27" spans="1:11" ht="15.75" x14ac:dyDescent="0.25">
      <c r="A27" s="31" t="s">
        <v>17</v>
      </c>
      <c r="B27" s="27" t="s">
        <v>56</v>
      </c>
      <c r="C27" s="27" t="s">
        <v>115</v>
      </c>
      <c r="D27" s="14"/>
      <c r="E27" s="14"/>
      <c r="F27" s="14"/>
      <c r="G27" s="14"/>
      <c r="H27" s="110"/>
      <c r="I27" s="110"/>
      <c r="J27" s="110">
        <f>VLOOKUP(A27,'[4]אלטשולר שחם'!$A:$E,4,0)</f>
        <v>0</v>
      </c>
      <c r="K27" s="110"/>
    </row>
    <row r="28" spans="1:11" ht="15.75" x14ac:dyDescent="0.25">
      <c r="A28" s="31" t="s">
        <v>18</v>
      </c>
      <c r="B28" s="27" t="s">
        <v>56</v>
      </c>
      <c r="C28" s="27" t="s">
        <v>115</v>
      </c>
      <c r="D28" s="14"/>
      <c r="E28" s="14"/>
      <c r="F28" s="14"/>
      <c r="G28" s="14"/>
      <c r="H28" s="110"/>
      <c r="I28" s="110"/>
      <c r="J28" s="110"/>
      <c r="K28" s="110"/>
    </row>
    <row r="29" spans="1:11" ht="15.75" x14ac:dyDescent="0.25">
      <c r="A29" s="27" t="s">
        <v>19</v>
      </c>
      <c r="B29" s="27" t="s">
        <v>56</v>
      </c>
      <c r="C29" s="27" t="s">
        <v>115</v>
      </c>
      <c r="D29" s="14"/>
      <c r="E29" s="14"/>
      <c r="F29" s="14"/>
      <c r="G29" s="14"/>
      <c r="H29" s="110"/>
      <c r="I29" s="110"/>
      <c r="J29" s="110"/>
      <c r="K29" s="110"/>
    </row>
    <row r="30" spans="1:11" ht="15.75" x14ac:dyDescent="0.25">
      <c r="A30" s="27" t="s">
        <v>20</v>
      </c>
      <c r="B30" s="27" t="s">
        <v>56</v>
      </c>
      <c r="C30" s="27" t="s">
        <v>115</v>
      </c>
      <c r="D30" s="14"/>
      <c r="E30" s="14"/>
      <c r="F30" s="14"/>
      <c r="G30" s="14"/>
      <c r="H30" s="110"/>
      <c r="I30" s="110"/>
      <c r="J30" s="110"/>
      <c r="K30" s="110"/>
    </row>
    <row r="31" spans="1:11" ht="15.75" x14ac:dyDescent="0.25">
      <c r="A31" s="27" t="s">
        <v>21</v>
      </c>
      <c r="B31" s="27" t="s">
        <v>56</v>
      </c>
      <c r="C31" s="27" t="s">
        <v>115</v>
      </c>
      <c r="D31" s="14"/>
      <c r="E31" s="14"/>
      <c r="F31" s="14"/>
      <c r="G31" s="14"/>
      <c r="H31" s="110"/>
      <c r="I31" s="110"/>
      <c r="J31" s="110"/>
      <c r="K31" s="110"/>
    </row>
    <row r="32" spans="1:11" ht="15.75" x14ac:dyDescent="0.25">
      <c r="A32" s="27" t="s">
        <v>22</v>
      </c>
      <c r="B32" s="27" t="s">
        <v>56</v>
      </c>
      <c r="C32" s="27" t="s">
        <v>115</v>
      </c>
      <c r="D32" s="14"/>
      <c r="E32" s="14"/>
      <c r="F32" s="14"/>
      <c r="G32" s="14"/>
      <c r="H32" s="110"/>
      <c r="I32" s="110"/>
      <c r="J32" s="110"/>
      <c r="K32" s="110"/>
    </row>
    <row r="33" spans="1:12" ht="15.75" x14ac:dyDescent="0.25">
      <c r="A33" s="27" t="s">
        <v>23</v>
      </c>
      <c r="B33" s="27" t="s">
        <v>56</v>
      </c>
      <c r="C33" s="27" t="s">
        <v>115</v>
      </c>
      <c r="D33" s="14"/>
      <c r="E33" s="14"/>
      <c r="F33" s="14"/>
      <c r="G33" s="14"/>
      <c r="H33" s="110"/>
      <c r="I33" s="110"/>
      <c r="J33" s="110"/>
      <c r="K33" s="110"/>
    </row>
    <row r="34" spans="1:12" ht="15.75" x14ac:dyDescent="0.25">
      <c r="A34" s="27" t="s">
        <v>24</v>
      </c>
      <c r="B34" s="27" t="s">
        <v>56</v>
      </c>
      <c r="C34" s="27" t="s">
        <v>115</v>
      </c>
      <c r="D34" s="14"/>
      <c r="E34" s="14"/>
      <c r="F34" s="14"/>
      <c r="G34" s="14"/>
      <c r="H34" s="110"/>
      <c r="I34" s="110"/>
      <c r="J34" s="110"/>
      <c r="K34" s="110"/>
    </row>
    <row r="35" spans="1:12" ht="15.75" x14ac:dyDescent="0.25">
      <c r="A35" s="31" t="s">
        <v>25</v>
      </c>
      <c r="B35" s="27" t="s">
        <v>56</v>
      </c>
      <c r="C35" s="27" t="s">
        <v>115</v>
      </c>
      <c r="D35" s="14"/>
      <c r="E35" s="14"/>
      <c r="F35" s="14"/>
      <c r="G35" s="14"/>
      <c r="H35" s="110"/>
      <c r="I35" s="110"/>
      <c r="J35" s="110"/>
      <c r="K35" s="110"/>
    </row>
    <row r="36" spans="1:12" ht="15.75" x14ac:dyDescent="0.25">
      <c r="A36" s="27" t="s">
        <v>26</v>
      </c>
      <c r="B36" s="27" t="s">
        <v>56</v>
      </c>
      <c r="C36" s="27" t="s">
        <v>115</v>
      </c>
      <c r="D36" s="14"/>
      <c r="E36" s="14"/>
      <c r="F36" s="14"/>
      <c r="G36" s="14"/>
      <c r="H36" s="110"/>
      <c r="I36" s="110"/>
      <c r="J36" s="110">
        <f>VLOOKUP(A36,'[4]אלטשולר שחם'!$A:$E,4,0)</f>
        <v>0</v>
      </c>
      <c r="K36" s="110"/>
    </row>
    <row r="37" spans="1:12" ht="15.75" x14ac:dyDescent="0.25">
      <c r="A37" s="27" t="s">
        <v>27</v>
      </c>
      <c r="B37" s="27" t="s">
        <v>56</v>
      </c>
      <c r="C37" s="27" t="s">
        <v>115</v>
      </c>
      <c r="D37" s="14"/>
      <c r="E37" s="14"/>
      <c r="F37" s="14"/>
      <c r="G37" s="14"/>
      <c r="H37" s="110"/>
      <c r="I37" s="110"/>
      <c r="J37" s="110">
        <f>VLOOKUP(A37,'[4]אלטשולר שחם'!$A:$E,4,0)</f>
        <v>0</v>
      </c>
      <c r="K37" s="110"/>
    </row>
    <row r="38" spans="1:12" ht="15.75" x14ac:dyDescent="0.25">
      <c r="A38" s="27" t="s">
        <v>28</v>
      </c>
      <c r="B38" s="27" t="s">
        <v>56</v>
      </c>
      <c r="C38" s="27" t="s">
        <v>115</v>
      </c>
      <c r="D38" s="14"/>
      <c r="E38" s="14"/>
      <c r="F38" s="14"/>
      <c r="G38" s="14"/>
      <c r="H38" s="110"/>
      <c r="I38" s="110"/>
      <c r="J38" s="110">
        <f>VLOOKUP(A38,'[4]אלטשולר שחם'!$A:$E,4,0)</f>
        <v>0</v>
      </c>
      <c r="K38" s="110"/>
    </row>
    <row r="39" spans="1:12" ht="15.75" x14ac:dyDescent="0.25">
      <c r="A39" s="27" t="s">
        <v>29</v>
      </c>
      <c r="B39" s="27" t="s">
        <v>56</v>
      </c>
      <c r="C39" s="27" t="s">
        <v>115</v>
      </c>
      <c r="D39" s="14"/>
      <c r="E39" s="14"/>
      <c r="F39" s="14"/>
      <c r="G39" s="14"/>
      <c r="H39" s="110"/>
      <c r="I39" s="110"/>
      <c r="J39" s="110"/>
      <c r="K39" s="110"/>
    </row>
    <row r="40" spans="1:12" ht="15.75" x14ac:dyDescent="0.25">
      <c r="A40" s="27" t="s">
        <v>106</v>
      </c>
      <c r="B40" s="27" t="s">
        <v>55</v>
      </c>
      <c r="C40" s="27" t="s">
        <v>115</v>
      </c>
      <c r="D40" s="14"/>
      <c r="E40" s="14"/>
      <c r="F40" s="14"/>
      <c r="G40" s="14"/>
      <c r="H40" s="110"/>
      <c r="I40" s="110"/>
      <c r="J40" s="110"/>
      <c r="K40" s="110"/>
    </row>
    <row r="41" spans="1:12" ht="15.75" x14ac:dyDescent="0.25">
      <c r="A41" s="27" t="s">
        <v>32</v>
      </c>
      <c r="B41" s="27" t="s">
        <v>55</v>
      </c>
      <c r="C41" s="27" t="s">
        <v>115</v>
      </c>
      <c r="D41" s="14"/>
      <c r="E41" s="14"/>
      <c r="F41" s="14"/>
      <c r="G41" s="14"/>
      <c r="H41" s="110"/>
      <c r="I41" s="110"/>
      <c r="J41" s="110"/>
      <c r="K41" s="110"/>
    </row>
    <row r="42" spans="1:12" ht="15.75" x14ac:dyDescent="0.25">
      <c r="A42" s="31" t="s">
        <v>103</v>
      </c>
      <c r="B42" s="27" t="s">
        <v>56</v>
      </c>
      <c r="C42" s="27" t="s">
        <v>115</v>
      </c>
      <c r="D42" s="14"/>
      <c r="E42" s="14"/>
      <c r="F42" s="14"/>
      <c r="G42" s="14"/>
      <c r="H42" s="110"/>
      <c r="I42" s="110"/>
      <c r="J42" s="110"/>
      <c r="K42" s="110"/>
    </row>
    <row r="43" spans="1:12" ht="15.75" x14ac:dyDescent="0.25">
      <c r="A43" s="27" t="s">
        <v>91</v>
      </c>
      <c r="B43" s="27" t="s">
        <v>56</v>
      </c>
      <c r="C43" s="27" t="s">
        <v>115</v>
      </c>
      <c r="D43" s="14"/>
      <c r="E43" s="14"/>
      <c r="F43" s="14"/>
      <c r="G43" s="14"/>
      <c r="H43" s="110"/>
      <c r="I43" s="110"/>
      <c r="J43" s="110"/>
      <c r="K43" s="110"/>
    </row>
    <row r="44" spans="1:12" ht="15.75" x14ac:dyDescent="0.25">
      <c r="A44" s="27" t="s">
        <v>90</v>
      </c>
      <c r="B44" s="27" t="s">
        <v>56</v>
      </c>
      <c r="C44" s="27" t="s">
        <v>115</v>
      </c>
      <c r="D44" s="14"/>
      <c r="E44" s="14"/>
      <c r="F44" s="14"/>
      <c r="G44" s="14"/>
      <c r="H44" s="110"/>
      <c r="I44" s="110"/>
      <c r="J44" s="110"/>
      <c r="K44" s="110"/>
    </row>
    <row r="45" spans="1:12" ht="15.75" x14ac:dyDescent="0.25">
      <c r="A45" s="27" t="s">
        <v>36</v>
      </c>
      <c r="B45" s="27" t="s">
        <v>55</v>
      </c>
      <c r="C45" s="27" t="s">
        <v>115</v>
      </c>
      <c r="D45" s="14"/>
      <c r="E45" s="14"/>
      <c r="F45" s="14"/>
      <c r="G45" s="14"/>
      <c r="H45" s="110"/>
      <c r="I45" s="110"/>
      <c r="J45" s="110"/>
      <c r="K45" s="110"/>
    </row>
    <row r="46" spans="1:12" ht="15.75" x14ac:dyDescent="0.25">
      <c r="A46" s="27" t="s">
        <v>102</v>
      </c>
      <c r="B46" s="27" t="s">
        <v>55</v>
      </c>
      <c r="C46" s="27" t="s">
        <v>115</v>
      </c>
      <c r="D46" s="14"/>
      <c r="E46" s="14"/>
      <c r="F46" s="14"/>
      <c r="G46" s="14"/>
      <c r="H46" s="110"/>
      <c r="I46" s="110"/>
      <c r="J46" s="110"/>
      <c r="K46" s="110"/>
      <c r="L46" s="159"/>
    </row>
    <row r="47" spans="1:12" ht="15.75" x14ac:dyDescent="0.25">
      <c r="A47" s="27" t="s">
        <v>93</v>
      </c>
      <c r="B47" s="27" t="s">
        <v>56</v>
      </c>
      <c r="C47" s="27" t="s">
        <v>115</v>
      </c>
      <c r="D47" s="14"/>
      <c r="E47" s="14"/>
      <c r="F47" s="14"/>
      <c r="G47" s="14"/>
      <c r="H47" s="110"/>
      <c r="I47" s="110"/>
      <c r="J47" s="110"/>
      <c r="K47" s="110"/>
    </row>
    <row r="48" spans="1:12" ht="15.75" x14ac:dyDescent="0.25">
      <c r="A48" s="27" t="s">
        <v>95</v>
      </c>
      <c r="B48" s="27" t="s">
        <v>56</v>
      </c>
      <c r="C48" s="27" t="s">
        <v>115</v>
      </c>
      <c r="D48" s="14"/>
      <c r="E48" s="14"/>
      <c r="F48" s="14"/>
      <c r="G48" s="14"/>
      <c r="H48" s="110"/>
      <c r="I48" s="110"/>
      <c r="J48" s="110"/>
      <c r="K48" s="110"/>
    </row>
    <row r="49" spans="1:13" ht="15.75" x14ac:dyDescent="0.25">
      <c r="A49" s="27" t="s">
        <v>105</v>
      </c>
      <c r="B49" s="27" t="s">
        <v>56</v>
      </c>
      <c r="C49" s="27" t="s">
        <v>115</v>
      </c>
      <c r="D49" s="14"/>
      <c r="E49" s="14"/>
      <c r="F49" s="14"/>
      <c r="G49" s="14"/>
      <c r="H49" s="110"/>
      <c r="I49" s="110"/>
      <c r="J49" s="110"/>
      <c r="K49" s="110"/>
    </row>
    <row r="50" spans="1:13" ht="15.75" x14ac:dyDescent="0.25">
      <c r="A50" s="27" t="s">
        <v>39</v>
      </c>
      <c r="B50" s="27" t="s">
        <v>56</v>
      </c>
      <c r="C50" s="27" t="s">
        <v>115</v>
      </c>
      <c r="D50" s="14"/>
      <c r="E50" s="14"/>
      <c r="F50" s="14"/>
      <c r="G50" s="14"/>
      <c r="H50" s="110"/>
      <c r="I50" s="110"/>
      <c r="J50" s="110">
        <f>VLOOKUP(A50,'[4]אלטשולר שחם'!$A:$E,4,0)</f>
        <v>0</v>
      </c>
      <c r="K50" s="110"/>
    </row>
    <row r="51" spans="1:13" ht="15.75" x14ac:dyDescent="0.25">
      <c r="A51" s="27" t="s">
        <v>99</v>
      </c>
      <c r="B51" s="27" t="s">
        <v>56</v>
      </c>
      <c r="C51" s="27" t="s">
        <v>115</v>
      </c>
      <c r="D51" s="14"/>
      <c r="E51" s="14"/>
      <c r="F51" s="14"/>
      <c r="G51" s="14"/>
      <c r="H51" s="110"/>
      <c r="I51" s="110"/>
      <c r="J51" s="110">
        <f>VLOOKUP(A51,'[4]אלטשולר שחם'!$A:$E,4,0)</f>
        <v>0</v>
      </c>
      <c r="K51" s="110"/>
    </row>
    <row r="52" spans="1:13" ht="15.75" x14ac:dyDescent="0.25">
      <c r="A52" s="27" t="s">
        <v>41</v>
      </c>
      <c r="B52" s="27" t="s">
        <v>56</v>
      </c>
      <c r="C52" s="27" t="s">
        <v>115</v>
      </c>
      <c r="D52" s="14"/>
      <c r="E52" s="14"/>
      <c r="F52" s="14"/>
      <c r="G52" s="14"/>
      <c r="H52" s="110"/>
      <c r="I52" s="110"/>
      <c r="J52" s="110">
        <f>VLOOKUP(A52,'[4]אלטשולר שחם'!$A:$E,4,0)</f>
        <v>0</v>
      </c>
      <c r="K52" s="110"/>
    </row>
    <row r="53" spans="1:13" ht="16.5" thickBot="1" x14ac:dyDescent="0.3">
      <c r="A53" s="29" t="s">
        <v>96</v>
      </c>
      <c r="B53" s="29" t="s">
        <v>56</v>
      </c>
      <c r="C53" s="29" t="s">
        <v>115</v>
      </c>
      <c r="D53" s="15"/>
      <c r="E53" s="15"/>
      <c r="F53" s="15"/>
      <c r="G53" s="15"/>
      <c r="H53" s="137"/>
      <c r="I53" s="137"/>
      <c r="J53" s="110">
        <f>VLOOKUP(A53,'[4]אלטשולר שחם'!$A:$E,4,0)</f>
        <v>0</v>
      </c>
      <c r="K53" s="137"/>
    </row>
    <row r="54" spans="1:13" ht="21.75" thickBot="1" x14ac:dyDescent="0.3">
      <c r="A54" s="144" t="s">
        <v>124</v>
      </c>
      <c r="B54" s="142"/>
      <c r="C54" s="142"/>
      <c r="D54" s="141">
        <f t="shared" ref="D54:K54" ca="1" si="2">SUM(D21:D56)</f>
        <v>0</v>
      </c>
      <c r="E54" s="141">
        <f t="shared" ca="1" si="2"/>
        <v>0</v>
      </c>
      <c r="F54" s="141">
        <f t="shared" ca="1" si="2"/>
        <v>0</v>
      </c>
      <c r="G54" s="141">
        <f t="shared" ca="1" si="2"/>
        <v>0</v>
      </c>
      <c r="H54" s="141">
        <f t="shared" ca="1" si="2"/>
        <v>0</v>
      </c>
      <c r="I54" s="141">
        <f t="shared" ca="1" si="2"/>
        <v>0</v>
      </c>
      <c r="J54" s="144">
        <f>SUM(J22:J53)</f>
        <v>0</v>
      </c>
      <c r="K54" s="141">
        <f t="shared" ca="1" si="2"/>
        <v>0</v>
      </c>
    </row>
    <row r="55" spans="1:13" ht="15.75" x14ac:dyDescent="0.25">
      <c r="A55" s="31" t="s">
        <v>33</v>
      </c>
      <c r="B55" s="27" t="s">
        <v>123</v>
      </c>
      <c r="C55" s="27" t="s">
        <v>115</v>
      </c>
      <c r="D55" s="14"/>
      <c r="E55" s="14"/>
      <c r="F55" s="14"/>
      <c r="G55" s="14"/>
      <c r="H55" s="110"/>
      <c r="I55" s="110"/>
      <c r="J55" s="110"/>
      <c r="K55" s="110"/>
    </row>
    <row r="56" spans="1:13" ht="15.75" x14ac:dyDescent="0.25">
      <c r="A56" s="27" t="s">
        <v>92</v>
      </c>
      <c r="B56" s="27" t="s">
        <v>123</v>
      </c>
      <c r="C56" s="27" t="s">
        <v>115</v>
      </c>
      <c r="D56" s="14"/>
      <c r="E56" s="14"/>
      <c r="F56" s="14"/>
      <c r="G56" s="14"/>
      <c r="H56" s="110"/>
      <c r="I56" s="110"/>
      <c r="J56" s="110"/>
      <c r="K56" s="110"/>
    </row>
    <row r="57" spans="1:13" ht="15.75" x14ac:dyDescent="0.25">
      <c r="A57" s="27" t="s">
        <v>37</v>
      </c>
      <c r="B57" s="27" t="s">
        <v>123</v>
      </c>
      <c r="C57" s="27" t="s">
        <v>115</v>
      </c>
      <c r="D57" s="14"/>
      <c r="E57" s="14"/>
      <c r="F57" s="14"/>
      <c r="G57" s="14"/>
      <c r="H57" s="110"/>
      <c r="I57" s="110"/>
      <c r="J57" s="110"/>
      <c r="K57" s="110"/>
      <c r="M57" s="154"/>
    </row>
    <row r="58" spans="1:13" ht="15.75" x14ac:dyDescent="0.25">
      <c r="A58" s="27" t="s">
        <v>35</v>
      </c>
      <c r="B58" s="27" t="s">
        <v>123</v>
      </c>
      <c r="C58" s="27" t="s">
        <v>115</v>
      </c>
      <c r="D58" s="14"/>
      <c r="E58" s="14"/>
      <c r="F58" s="14"/>
      <c r="G58" s="14"/>
      <c r="H58" s="110"/>
      <c r="I58" s="110"/>
      <c r="J58" s="110"/>
      <c r="K58" s="110"/>
      <c r="M58" s="154"/>
    </row>
    <row r="59" spans="1:13" ht="15.75" x14ac:dyDescent="0.25">
      <c r="A59" s="28" t="s">
        <v>94</v>
      </c>
      <c r="B59" s="28" t="s">
        <v>123</v>
      </c>
      <c r="C59" s="28" t="s">
        <v>115</v>
      </c>
      <c r="D59" s="14"/>
      <c r="E59" s="14"/>
      <c r="F59" s="14"/>
      <c r="G59" s="14"/>
      <c r="H59" s="110"/>
      <c r="I59" s="110"/>
      <c r="J59" s="110"/>
      <c r="K59" s="110"/>
      <c r="M59" s="154"/>
    </row>
    <row r="60" spans="1:13" ht="15.75" x14ac:dyDescent="0.25">
      <c r="A60" s="31" t="s">
        <v>16</v>
      </c>
      <c r="B60" s="27" t="s">
        <v>123</v>
      </c>
      <c r="C60" s="27" t="s">
        <v>115</v>
      </c>
      <c r="D60" s="14"/>
      <c r="E60" s="14"/>
      <c r="F60" s="14"/>
      <c r="G60" s="14"/>
      <c r="H60" s="110"/>
      <c r="I60" s="110"/>
      <c r="J60" s="110"/>
      <c r="K60" s="110"/>
    </row>
    <row r="61" spans="1:13" ht="16.5" thickBot="1" x14ac:dyDescent="0.3">
      <c r="A61" s="138" t="s">
        <v>107</v>
      </c>
      <c r="B61" s="27" t="s">
        <v>123</v>
      </c>
      <c r="C61" s="27" t="s">
        <v>115</v>
      </c>
      <c r="D61" s="14"/>
      <c r="E61" s="14"/>
      <c r="F61" s="14"/>
      <c r="G61" s="14"/>
      <c r="H61" s="110"/>
      <c r="I61" s="110"/>
      <c r="J61" s="110"/>
      <c r="K61" s="110"/>
    </row>
    <row r="62" spans="1:13" ht="21.75" thickBot="1" x14ac:dyDescent="0.3">
      <c r="A62" s="144" t="s">
        <v>125</v>
      </c>
      <c r="B62" s="142"/>
      <c r="C62" s="142"/>
      <c r="D62" s="141">
        <f t="shared" ref="D62:K62" si="3">SUM(D22:D53)</f>
        <v>0</v>
      </c>
      <c r="E62" s="141">
        <f t="shared" si="3"/>
        <v>0</v>
      </c>
      <c r="F62" s="141">
        <f t="shared" si="3"/>
        <v>0</v>
      </c>
      <c r="G62" s="141">
        <f t="shared" si="3"/>
        <v>0</v>
      </c>
      <c r="H62" s="141">
        <f t="shared" si="3"/>
        <v>0</v>
      </c>
      <c r="I62" s="141">
        <f t="shared" si="3"/>
        <v>0</v>
      </c>
      <c r="J62" s="144">
        <f>SUM(J55:J61)</f>
        <v>0</v>
      </c>
      <c r="K62" s="141">
        <f t="shared" si="3"/>
        <v>0</v>
      </c>
    </row>
    <row r="63" spans="1:13" ht="15.75" x14ac:dyDescent="0.25">
      <c r="A63" s="28" t="s">
        <v>84</v>
      </c>
      <c r="B63" s="27" t="s">
        <v>116</v>
      </c>
      <c r="C63" s="28" t="s">
        <v>110</v>
      </c>
      <c r="D63" s="18"/>
      <c r="E63" s="18"/>
      <c r="F63" s="18"/>
      <c r="G63" s="18"/>
      <c r="H63" s="140"/>
      <c r="I63" s="140"/>
      <c r="J63" s="110"/>
      <c r="K63" s="140"/>
    </row>
    <row r="64" spans="1:13" ht="15.75" x14ac:dyDescent="0.25">
      <c r="A64" s="31" t="s">
        <v>40</v>
      </c>
      <c r="B64" s="27" t="s">
        <v>56</v>
      </c>
      <c r="C64" s="27" t="s">
        <v>111</v>
      </c>
      <c r="D64" s="14"/>
      <c r="E64" s="14"/>
      <c r="F64" s="14"/>
      <c r="G64" s="14"/>
      <c r="H64" s="110"/>
      <c r="I64" s="110"/>
      <c r="J64" s="110"/>
      <c r="K64" s="110"/>
    </row>
    <row r="65" spans="1:12" ht="15.75" x14ac:dyDescent="0.25">
      <c r="A65" s="27" t="s">
        <v>98</v>
      </c>
      <c r="B65" s="27" t="s">
        <v>116</v>
      </c>
      <c r="C65" s="27" t="s">
        <v>111</v>
      </c>
      <c r="D65" s="14"/>
      <c r="E65" s="14"/>
      <c r="F65" s="14"/>
      <c r="G65" s="14"/>
      <c r="H65" s="110"/>
      <c r="I65" s="110"/>
      <c r="J65" s="110"/>
      <c r="K65" s="110"/>
    </row>
    <row r="66" spans="1:12" ht="15.75" x14ac:dyDescent="0.25">
      <c r="A66" s="27" t="s">
        <v>100</v>
      </c>
      <c r="B66" s="27" t="s">
        <v>56</v>
      </c>
      <c r="C66" s="27" t="s">
        <v>111</v>
      </c>
      <c r="D66" s="14"/>
      <c r="E66" s="14"/>
      <c r="F66" s="14"/>
      <c r="G66" s="14"/>
      <c r="H66" s="110"/>
      <c r="I66" s="110"/>
      <c r="J66" s="110"/>
      <c r="K66" s="110"/>
    </row>
    <row r="67" spans="1:12" ht="15.75" x14ac:dyDescent="0.25">
      <c r="A67" s="27" t="s">
        <v>101</v>
      </c>
      <c r="B67" s="27" t="s">
        <v>56</v>
      </c>
      <c r="C67" s="27" t="s">
        <v>111</v>
      </c>
      <c r="D67" s="14"/>
      <c r="E67" s="14"/>
      <c r="F67" s="14"/>
      <c r="G67" s="14"/>
      <c r="H67" s="110"/>
      <c r="I67" s="110"/>
      <c r="J67" s="110"/>
      <c r="K67" s="110"/>
    </row>
    <row r="68" spans="1:12" ht="15.75" x14ac:dyDescent="0.25">
      <c r="A68" s="27" t="s">
        <v>108</v>
      </c>
      <c r="B68" s="27" t="s">
        <v>56</v>
      </c>
      <c r="C68" s="27" t="s">
        <v>111</v>
      </c>
      <c r="D68" s="14"/>
      <c r="E68" s="14"/>
      <c r="F68" s="14"/>
      <c r="G68" s="14"/>
      <c r="H68" s="110"/>
      <c r="I68" s="110"/>
      <c r="J68" s="110"/>
      <c r="K68" s="110"/>
      <c r="L68" s="159"/>
    </row>
    <row r="69" spans="1:12" ht="15.75" x14ac:dyDescent="0.25">
      <c r="A69" s="139" t="s">
        <v>109</v>
      </c>
      <c r="B69" s="27" t="s">
        <v>56</v>
      </c>
      <c r="C69" s="27" t="s">
        <v>111</v>
      </c>
      <c r="D69" s="14"/>
      <c r="E69" s="14"/>
      <c r="F69" s="14"/>
      <c r="G69" s="14"/>
      <c r="H69" s="110"/>
      <c r="I69" s="110"/>
      <c r="J69" s="110"/>
      <c r="K69" s="110"/>
    </row>
    <row r="70" spans="1:12" ht="16.5" thickBot="1" x14ac:dyDescent="0.3">
      <c r="A70" s="29" t="s">
        <v>89</v>
      </c>
      <c r="B70" s="29" t="s">
        <v>56</v>
      </c>
      <c r="C70" s="29" t="s">
        <v>111</v>
      </c>
      <c r="D70" s="15"/>
      <c r="E70" s="15"/>
      <c r="F70" s="15"/>
      <c r="G70" s="15"/>
      <c r="H70" s="137"/>
      <c r="I70" s="137"/>
      <c r="J70" s="110"/>
      <c r="K70" s="137"/>
    </row>
    <row r="71" spans="1:12" ht="21.75" thickBot="1" x14ac:dyDescent="0.3">
      <c r="A71" s="143" t="s">
        <v>44</v>
      </c>
      <c r="B71" s="142"/>
      <c r="C71" s="142"/>
      <c r="D71" s="152">
        <f t="shared" ref="D71:K71" si="4">SUM(D63:D70)</f>
        <v>0</v>
      </c>
      <c r="E71" s="152">
        <f t="shared" si="4"/>
        <v>0</v>
      </c>
      <c r="F71" s="152">
        <f t="shared" si="4"/>
        <v>0</v>
      </c>
      <c r="G71" s="152">
        <f t="shared" si="4"/>
        <v>0</v>
      </c>
      <c r="H71" s="152">
        <f t="shared" si="4"/>
        <v>0</v>
      </c>
      <c r="I71" s="152">
        <f t="shared" si="4"/>
        <v>0</v>
      </c>
      <c r="J71" s="152">
        <f t="shared" si="4"/>
        <v>0</v>
      </c>
      <c r="K71" s="152">
        <f t="shared" si="4"/>
        <v>0</v>
      </c>
    </row>
    <row r="72" spans="1:12" ht="21.75" thickBot="1" x14ac:dyDescent="0.3">
      <c r="A72" s="143" t="s">
        <v>45</v>
      </c>
      <c r="B72" s="142"/>
      <c r="C72" s="142"/>
      <c r="D72" s="153">
        <f t="shared" ref="D72:K72" si="5">D71+D62+D21+D8</f>
        <v>0</v>
      </c>
      <c r="E72" s="153">
        <f t="shared" si="5"/>
        <v>0</v>
      </c>
      <c r="F72" s="153">
        <f t="shared" si="5"/>
        <v>0</v>
      </c>
      <c r="G72" s="153">
        <f t="shared" si="5"/>
        <v>0</v>
      </c>
      <c r="H72" s="153">
        <f t="shared" si="5"/>
        <v>0</v>
      </c>
      <c r="I72" s="153">
        <f t="shared" si="5"/>
        <v>0</v>
      </c>
      <c r="J72" s="144">
        <f>J71+J62+J54+J21+J8</f>
        <v>0</v>
      </c>
      <c r="K72" s="153">
        <f t="shared" si="5"/>
        <v>0</v>
      </c>
    </row>
    <row r="73" spans="1:12" x14ac:dyDescent="0.25">
      <c r="H73" s="10"/>
      <c r="I73" s="10"/>
      <c r="J73" s="10"/>
    </row>
    <row r="74" spans="1:12" x14ac:dyDescent="0.25">
      <c r="D74" s="178"/>
      <c r="E74" s="178"/>
      <c r="F74" s="178"/>
      <c r="G74" s="178"/>
    </row>
    <row r="75" spans="1:12" x14ac:dyDescent="0.25">
      <c r="D75" s="158"/>
      <c r="E75" s="158"/>
      <c r="F75" s="158"/>
      <c r="G75" s="158"/>
    </row>
    <row r="76" spans="1:12" x14ac:dyDescent="0.25">
      <c r="D76" s="179"/>
      <c r="E76" s="179"/>
      <c r="F76" s="179"/>
      <c r="G76" s="179"/>
    </row>
    <row r="77" spans="1:12" x14ac:dyDescent="0.25">
      <c r="D77" s="179"/>
      <c r="E77" s="158"/>
      <c r="F77" s="158"/>
      <c r="G77" s="158"/>
    </row>
    <row r="78" spans="1:12" x14ac:dyDescent="0.25">
      <c r="D78" s="179"/>
      <c r="E78" s="179"/>
      <c r="F78" s="179"/>
      <c r="G78" s="179"/>
    </row>
  </sheetData>
  <autoFilter ref="A2:K72" xr:uid="{885942E4-EDC3-4912-B68F-202C63AD69E3}"/>
  <mergeCells count="2">
    <mergeCell ref="D1:G1"/>
    <mergeCell ref="H1:K1"/>
  </mergeCells>
  <conditionalFormatting sqref="A1">
    <cfRule type="duplicateValues" dxfId="91" priority="23"/>
    <cfRule type="duplicateValues" dxfId="90" priority="24"/>
  </conditionalFormatting>
  <conditionalFormatting sqref="A14">
    <cfRule type="duplicateValues" dxfId="89" priority="13"/>
    <cfRule type="duplicateValues" dxfId="88" priority="14"/>
  </conditionalFormatting>
  <conditionalFormatting sqref="A55">
    <cfRule type="duplicateValues" dxfId="87" priority="15"/>
    <cfRule type="duplicateValues" dxfId="86" priority="16"/>
  </conditionalFormatting>
  <conditionalFormatting sqref="A56:A58 A7 A22:A53 A60">
    <cfRule type="duplicateValues" dxfId="85" priority="21"/>
    <cfRule type="duplicateValues" dxfId="84" priority="22"/>
  </conditionalFormatting>
  <conditionalFormatting sqref="A59">
    <cfRule type="duplicateValues" dxfId="83" priority="11"/>
    <cfRule type="duplicateValues" dxfId="82" priority="12"/>
  </conditionalFormatting>
  <conditionalFormatting sqref="A63:A70">
    <cfRule type="duplicateValues" dxfId="81" priority="19"/>
    <cfRule type="duplicateValues" dxfId="80" priority="20"/>
  </conditionalFormatting>
  <conditionalFormatting sqref="A71:A72 A2:A6 A8:A13 A15:A21 A54 A62">
    <cfRule type="duplicateValues" dxfId="79" priority="17"/>
    <cfRule type="duplicateValues" dxfId="78" priority="18"/>
  </conditionalFormatting>
  <conditionalFormatting sqref="J8">
    <cfRule type="duplicateValues" dxfId="77" priority="9"/>
    <cfRule type="duplicateValues" dxfId="76" priority="10"/>
  </conditionalFormatting>
  <conditionalFormatting sqref="J21">
    <cfRule type="duplicateValues" dxfId="75" priority="7"/>
    <cfRule type="duplicateValues" dxfId="74" priority="8"/>
  </conditionalFormatting>
  <conditionalFormatting sqref="J54">
    <cfRule type="duplicateValues" dxfId="73" priority="5"/>
    <cfRule type="duplicateValues" dxfId="72" priority="6"/>
  </conditionalFormatting>
  <conditionalFormatting sqref="J62">
    <cfRule type="duplicateValues" dxfId="71" priority="3"/>
    <cfRule type="duplicateValues" dxfId="70" priority="4"/>
  </conditionalFormatting>
  <conditionalFormatting sqref="J72">
    <cfRule type="duplicateValues" dxfId="69" priority="1"/>
    <cfRule type="duplicateValues" dxfId="68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1526D-BE69-4CEF-9B1E-B00AE498E64D}">
  <sheetPr>
    <tabColor theme="5" tint="-0.249977111117893"/>
  </sheetPr>
  <dimension ref="A1:M72"/>
  <sheetViews>
    <sheetView rightToLeft="1" tabSelected="1" workbookViewId="0">
      <selection activeCell="H14" sqref="H14"/>
    </sheetView>
  </sheetViews>
  <sheetFormatPr defaultColWidth="30.140625" defaultRowHeight="15" x14ac:dyDescent="0.25"/>
  <cols>
    <col min="1" max="1" width="30" style="33" bestFit="1" customWidth="1"/>
    <col min="2" max="2" width="11.42578125" style="33" bestFit="1" customWidth="1"/>
    <col min="3" max="3" width="11.7109375" style="33" bestFit="1" customWidth="1"/>
    <col min="4" max="4" width="16.85546875" bestFit="1" customWidth="1"/>
    <col min="5" max="5" width="15.28515625" bestFit="1" customWidth="1"/>
    <col min="6" max="6" width="16.85546875" bestFit="1" customWidth="1"/>
    <col min="7" max="7" width="19" bestFit="1" customWidth="1"/>
    <col min="8" max="9" width="15.28515625" style="3" bestFit="1" customWidth="1"/>
    <col min="10" max="10" width="16.85546875" style="3" bestFit="1" customWidth="1"/>
    <col min="11" max="11" width="19" bestFit="1" customWidth="1"/>
  </cols>
  <sheetData>
    <row r="1" spans="1:11" ht="21" x14ac:dyDescent="0.25">
      <c r="A1" s="27"/>
      <c r="B1" s="27"/>
      <c r="C1" s="27"/>
      <c r="D1" s="278">
        <v>2025</v>
      </c>
      <c r="E1" s="278"/>
      <c r="F1" s="278"/>
      <c r="G1" s="278"/>
      <c r="H1" s="279">
        <v>2024</v>
      </c>
      <c r="I1" s="279"/>
      <c r="J1" s="279"/>
      <c r="K1" s="279"/>
    </row>
    <row r="2" spans="1:11" ht="21" x14ac:dyDescent="0.25">
      <c r="A2" s="11" t="s">
        <v>0</v>
      </c>
      <c r="B2" s="24" t="s">
        <v>53</v>
      </c>
      <c r="C2" s="24" t="s">
        <v>117</v>
      </c>
      <c r="D2" s="13" t="s">
        <v>46</v>
      </c>
      <c r="E2" s="13" t="s">
        <v>47</v>
      </c>
      <c r="F2" s="13" t="s">
        <v>48</v>
      </c>
      <c r="G2" s="13" t="s">
        <v>49</v>
      </c>
      <c r="H2" s="109" t="s">
        <v>46</v>
      </c>
      <c r="I2" s="109" t="s">
        <v>47</v>
      </c>
      <c r="J2" s="109" t="s">
        <v>48</v>
      </c>
      <c r="K2" s="109" t="s">
        <v>97</v>
      </c>
    </row>
    <row r="3" spans="1:11" ht="15.75" x14ac:dyDescent="0.25">
      <c r="A3" s="27" t="s">
        <v>1</v>
      </c>
      <c r="B3" s="27" t="s">
        <v>116</v>
      </c>
      <c r="C3" s="27" t="s">
        <v>58</v>
      </c>
      <c r="D3" s="14"/>
      <c r="E3" s="14">
        <v>614</v>
      </c>
      <c r="F3" s="14"/>
      <c r="G3" s="14"/>
      <c r="H3" s="110"/>
      <c r="I3" s="110">
        <v>144</v>
      </c>
      <c r="J3" s="110"/>
      <c r="K3" s="110"/>
    </row>
    <row r="4" spans="1:11" ht="15.75" x14ac:dyDescent="0.25">
      <c r="A4" s="27" t="s">
        <v>2</v>
      </c>
      <c r="B4" s="27" t="s">
        <v>116</v>
      </c>
      <c r="C4" s="27" t="s">
        <v>58</v>
      </c>
      <c r="D4" s="14"/>
      <c r="E4" s="14"/>
      <c r="F4" s="14"/>
      <c r="G4" s="14"/>
      <c r="H4" s="110"/>
      <c r="I4" s="110"/>
      <c r="J4" s="110"/>
      <c r="K4" s="110"/>
    </row>
    <row r="5" spans="1:11" ht="15.75" x14ac:dyDescent="0.25">
      <c r="A5" s="27" t="s">
        <v>112</v>
      </c>
      <c r="B5" s="27" t="s">
        <v>116</v>
      </c>
      <c r="C5" s="27" t="s">
        <v>58</v>
      </c>
      <c r="D5" s="14"/>
      <c r="E5" s="14"/>
      <c r="F5" s="14"/>
      <c r="G5" s="14"/>
      <c r="H5" s="110"/>
      <c r="I5" s="110"/>
      <c r="J5" s="110"/>
      <c r="K5" s="110"/>
    </row>
    <row r="6" spans="1:11" ht="15.75" x14ac:dyDescent="0.25">
      <c r="A6" s="29" t="s">
        <v>113</v>
      </c>
      <c r="B6" s="27" t="s">
        <v>116</v>
      </c>
      <c r="C6" s="29" t="s">
        <v>58</v>
      </c>
      <c r="D6" s="15"/>
      <c r="E6" s="15"/>
      <c r="F6" s="15"/>
      <c r="G6" s="15"/>
      <c r="H6" s="137"/>
      <c r="I6" s="137"/>
      <c r="J6" s="137"/>
      <c r="K6" s="137"/>
    </row>
    <row r="7" spans="1:11" ht="16.5" thickBot="1" x14ac:dyDescent="0.3">
      <c r="A7" s="27" t="s">
        <v>34</v>
      </c>
      <c r="B7" s="27" t="s">
        <v>116</v>
      </c>
      <c r="C7" s="27" t="s">
        <v>58</v>
      </c>
      <c r="D7" s="14"/>
      <c r="E7" s="14"/>
      <c r="F7" s="14"/>
      <c r="G7" s="14"/>
      <c r="H7" s="110"/>
      <c r="I7" s="110"/>
      <c r="J7" s="110"/>
      <c r="K7" s="110"/>
    </row>
    <row r="8" spans="1:11" ht="21.75" thickBot="1" x14ac:dyDescent="0.3">
      <c r="A8" s="143" t="s">
        <v>3</v>
      </c>
      <c r="B8" s="142"/>
      <c r="C8" s="142"/>
      <c r="D8" s="143">
        <f>SUM(D3:D7)</f>
        <v>0</v>
      </c>
      <c r="E8" s="143">
        <f t="shared" ref="E8:K8" si="0">SUM(E3:E7)</f>
        <v>614</v>
      </c>
      <c r="F8" s="143">
        <f t="shared" si="0"/>
        <v>0</v>
      </c>
      <c r="G8" s="143">
        <f t="shared" si="0"/>
        <v>0</v>
      </c>
      <c r="H8" s="143">
        <f t="shared" si="0"/>
        <v>0</v>
      </c>
      <c r="I8" s="143">
        <f t="shared" si="0"/>
        <v>144</v>
      </c>
      <c r="J8" s="143">
        <f t="shared" si="0"/>
        <v>0</v>
      </c>
      <c r="K8" s="143">
        <f t="shared" si="0"/>
        <v>0</v>
      </c>
    </row>
    <row r="9" spans="1:11" ht="15.75" x14ac:dyDescent="0.25">
      <c r="A9" s="28" t="s">
        <v>4</v>
      </c>
      <c r="B9" s="27" t="s">
        <v>116</v>
      </c>
      <c r="C9" s="28" t="s">
        <v>114</v>
      </c>
      <c r="D9" s="18"/>
      <c r="E9" s="18"/>
      <c r="F9" s="18"/>
      <c r="G9" s="18"/>
      <c r="H9" s="140"/>
      <c r="I9" s="140"/>
      <c r="J9" s="140"/>
      <c r="K9" s="140"/>
    </row>
    <row r="10" spans="1:11" ht="15.75" x14ac:dyDescent="0.25">
      <c r="A10" s="27" t="s">
        <v>5</v>
      </c>
      <c r="B10" s="27" t="s">
        <v>116</v>
      </c>
      <c r="C10" s="27" t="s">
        <v>114</v>
      </c>
      <c r="D10" s="14"/>
      <c r="E10" s="14"/>
      <c r="F10" s="14"/>
      <c r="G10" s="14"/>
      <c r="H10" s="110"/>
      <c r="I10" s="110"/>
      <c r="J10" s="110"/>
      <c r="K10" s="110"/>
    </row>
    <row r="11" spans="1:11" ht="15.75" x14ac:dyDescent="0.25">
      <c r="A11" s="27" t="s">
        <v>6</v>
      </c>
      <c r="B11" s="27" t="s">
        <v>116</v>
      </c>
      <c r="C11" s="27" t="s">
        <v>114</v>
      </c>
      <c r="D11" s="14"/>
      <c r="E11" s="14"/>
      <c r="F11" s="14"/>
      <c r="G11" s="14"/>
      <c r="H11" s="110"/>
      <c r="I11" s="110"/>
      <c r="J11" s="110"/>
      <c r="K11" s="110"/>
    </row>
    <row r="12" spans="1:11" ht="15.75" x14ac:dyDescent="0.25">
      <c r="A12" s="27" t="s">
        <v>7</v>
      </c>
      <c r="B12" s="27" t="s">
        <v>116</v>
      </c>
      <c r="C12" s="27" t="s">
        <v>114</v>
      </c>
      <c r="D12" s="14"/>
      <c r="E12" s="14"/>
      <c r="F12" s="14"/>
      <c r="G12" s="14"/>
      <c r="H12" s="110"/>
      <c r="I12" s="110"/>
      <c r="J12" s="110"/>
      <c r="K12" s="110"/>
    </row>
    <row r="13" spans="1:11" ht="15.75" x14ac:dyDescent="0.25">
      <c r="A13" s="27" t="s">
        <v>8</v>
      </c>
      <c r="B13" s="27" t="s">
        <v>116</v>
      </c>
      <c r="C13" s="27" t="s">
        <v>114</v>
      </c>
      <c r="D13" s="14"/>
      <c r="E13" s="14"/>
      <c r="F13" s="14"/>
      <c r="G13" s="14"/>
      <c r="H13" s="110"/>
      <c r="I13" s="110"/>
      <c r="J13" s="110"/>
      <c r="K13" s="110"/>
    </row>
    <row r="14" spans="1:11" ht="15.75" x14ac:dyDescent="0.25">
      <c r="A14" s="27" t="s">
        <v>9</v>
      </c>
      <c r="B14" s="27" t="s">
        <v>116</v>
      </c>
      <c r="C14" s="27" t="s">
        <v>114</v>
      </c>
      <c r="D14" s="14"/>
      <c r="E14" s="14"/>
      <c r="F14" s="14"/>
      <c r="G14" s="14"/>
      <c r="H14" s="110"/>
      <c r="I14" s="110"/>
      <c r="J14" s="110"/>
      <c r="K14" s="110"/>
    </row>
    <row r="15" spans="1:11" ht="15.75" x14ac:dyDescent="0.25">
      <c r="A15" s="27" t="s">
        <v>31</v>
      </c>
      <c r="B15" s="27" t="s">
        <v>116</v>
      </c>
      <c r="C15" s="27" t="s">
        <v>114</v>
      </c>
      <c r="D15" s="14"/>
      <c r="E15" s="14"/>
      <c r="F15" s="14"/>
      <c r="G15" s="14"/>
      <c r="H15" s="110"/>
      <c r="I15" s="110"/>
      <c r="J15" s="110"/>
      <c r="K15" s="110"/>
    </row>
    <row r="16" spans="1:11" ht="15.75" x14ac:dyDescent="0.25">
      <c r="A16" s="27" t="s">
        <v>104</v>
      </c>
      <c r="B16" s="27" t="s">
        <v>116</v>
      </c>
      <c r="C16" s="27" t="s">
        <v>114</v>
      </c>
      <c r="D16" s="14"/>
      <c r="E16" s="14"/>
      <c r="F16" s="14"/>
      <c r="G16" s="14"/>
      <c r="H16" s="110"/>
      <c r="I16" s="110"/>
      <c r="J16" s="110"/>
      <c r="K16" s="110"/>
    </row>
    <row r="17" spans="1:11" ht="15.75" x14ac:dyDescent="0.25">
      <c r="A17" s="27" t="s">
        <v>42</v>
      </c>
      <c r="B17" s="27" t="s">
        <v>116</v>
      </c>
      <c r="C17" s="27" t="s">
        <v>114</v>
      </c>
      <c r="D17" s="14"/>
      <c r="E17" s="14"/>
      <c r="F17" s="14"/>
      <c r="G17" s="14"/>
      <c r="H17" s="110"/>
      <c r="I17" s="110"/>
      <c r="J17" s="110"/>
      <c r="K17" s="110"/>
    </row>
    <row r="18" spans="1:11" ht="15.75" x14ac:dyDescent="0.25">
      <c r="A18" s="27" t="s">
        <v>43</v>
      </c>
      <c r="B18" s="27" t="s">
        <v>116</v>
      </c>
      <c r="C18" s="27" t="s">
        <v>114</v>
      </c>
      <c r="D18" s="14"/>
      <c r="E18" s="14"/>
      <c r="F18" s="14"/>
      <c r="G18" s="14"/>
      <c r="H18" s="110"/>
      <c r="I18" s="110"/>
      <c r="J18" s="110"/>
      <c r="K18" s="110"/>
    </row>
    <row r="19" spans="1:11" ht="15.75" x14ac:dyDescent="0.25">
      <c r="A19" s="27" t="s">
        <v>30</v>
      </c>
      <c r="B19" s="27" t="s">
        <v>116</v>
      </c>
      <c r="C19" s="27" t="s">
        <v>114</v>
      </c>
      <c r="D19" s="14"/>
      <c r="E19" s="14"/>
      <c r="F19" s="14"/>
      <c r="G19" s="14"/>
      <c r="H19" s="110"/>
      <c r="I19" s="110"/>
      <c r="J19" s="110"/>
      <c r="K19" s="110"/>
    </row>
    <row r="20" spans="1:11" ht="16.5" thickBot="1" x14ac:dyDescent="0.3">
      <c r="A20" s="29" t="s">
        <v>38</v>
      </c>
      <c r="B20" s="27" t="s">
        <v>116</v>
      </c>
      <c r="C20" s="29" t="s">
        <v>114</v>
      </c>
      <c r="D20" s="15"/>
      <c r="E20" s="15"/>
      <c r="F20" s="15"/>
      <c r="G20" s="15"/>
      <c r="H20" s="137"/>
      <c r="I20" s="137"/>
      <c r="J20" s="137"/>
      <c r="K20" s="137"/>
    </row>
    <row r="21" spans="1:11" ht="21.75" thickBot="1" x14ac:dyDescent="0.3">
      <c r="A21" s="143" t="s">
        <v>10</v>
      </c>
      <c r="B21" s="142"/>
      <c r="C21" s="142"/>
      <c r="D21" s="143">
        <f>SUM(D9:D20)</f>
        <v>0</v>
      </c>
      <c r="E21" s="143">
        <f t="shared" ref="E21:K21" si="1">SUM(E9:E20)</f>
        <v>0</v>
      </c>
      <c r="F21" s="143">
        <f t="shared" si="1"/>
        <v>0</v>
      </c>
      <c r="G21" s="143">
        <f t="shared" si="1"/>
        <v>0</v>
      </c>
      <c r="H21" s="143">
        <f t="shared" si="1"/>
        <v>0</v>
      </c>
      <c r="I21" s="143">
        <f t="shared" si="1"/>
        <v>0</v>
      </c>
      <c r="J21" s="143">
        <f t="shared" si="1"/>
        <v>0</v>
      </c>
      <c r="K21" s="143">
        <f t="shared" si="1"/>
        <v>0</v>
      </c>
    </row>
    <row r="22" spans="1:11" ht="15.75" x14ac:dyDescent="0.25">
      <c r="A22" s="28" t="s">
        <v>11</v>
      </c>
      <c r="B22" s="28" t="s">
        <v>56</v>
      </c>
      <c r="C22" s="28" t="s">
        <v>115</v>
      </c>
      <c r="D22" s="18"/>
      <c r="E22" s="18">
        <v>144</v>
      </c>
      <c r="F22" s="18"/>
      <c r="G22" s="18"/>
      <c r="H22" s="140"/>
      <c r="I22" s="140"/>
      <c r="J22" s="140"/>
      <c r="K22" s="140"/>
    </row>
    <row r="23" spans="1:11" ht="15.75" x14ac:dyDescent="0.25">
      <c r="A23" s="31" t="s">
        <v>12</v>
      </c>
      <c r="B23" s="27" t="s">
        <v>56</v>
      </c>
      <c r="C23" s="27" t="s">
        <v>115</v>
      </c>
      <c r="D23" s="14"/>
      <c r="E23" s="14"/>
      <c r="F23" s="14"/>
      <c r="G23" s="14"/>
      <c r="H23" s="110"/>
      <c r="I23" s="110"/>
      <c r="J23" s="110"/>
      <c r="K23" s="110"/>
    </row>
    <row r="24" spans="1:11" ht="15.75" x14ac:dyDescent="0.25">
      <c r="A24" s="31" t="s">
        <v>13</v>
      </c>
      <c r="B24" s="27" t="s">
        <v>56</v>
      </c>
      <c r="C24" s="27" t="s">
        <v>115</v>
      </c>
      <c r="D24" s="14"/>
      <c r="E24" s="14"/>
      <c r="F24" s="14"/>
      <c r="G24" s="14"/>
      <c r="H24" s="110"/>
      <c r="I24" s="110"/>
      <c r="J24" s="110"/>
      <c r="K24" s="110"/>
    </row>
    <row r="25" spans="1:11" ht="15.75" x14ac:dyDescent="0.25">
      <c r="A25" s="27" t="s">
        <v>14</v>
      </c>
      <c r="B25" s="27" t="s">
        <v>55</v>
      </c>
      <c r="C25" s="27" t="s">
        <v>115</v>
      </c>
      <c r="D25" s="14"/>
      <c r="E25" s="14"/>
      <c r="F25" s="14"/>
      <c r="G25" s="14"/>
      <c r="H25" s="110"/>
      <c r="I25" s="110"/>
      <c r="J25" s="110"/>
      <c r="K25" s="110"/>
    </row>
    <row r="26" spans="1:11" ht="15.75" x14ac:dyDescent="0.25">
      <c r="A26" s="31" t="s">
        <v>15</v>
      </c>
      <c r="B26" s="27" t="s">
        <v>56</v>
      </c>
      <c r="C26" s="27" t="s">
        <v>115</v>
      </c>
      <c r="D26" s="14"/>
      <c r="E26" s="14"/>
      <c r="F26" s="14"/>
      <c r="G26" s="14"/>
      <c r="H26" s="110"/>
      <c r="I26" s="110"/>
      <c r="J26" s="110"/>
      <c r="K26" s="110"/>
    </row>
    <row r="27" spans="1:11" ht="15.75" x14ac:dyDescent="0.25">
      <c r="A27" s="31" t="s">
        <v>17</v>
      </c>
      <c r="B27" s="27" t="s">
        <v>56</v>
      </c>
      <c r="C27" s="27" t="s">
        <v>115</v>
      </c>
      <c r="D27" s="14"/>
      <c r="E27" s="14"/>
      <c r="F27" s="14"/>
      <c r="G27" s="14"/>
      <c r="H27" s="110"/>
      <c r="I27" s="110"/>
      <c r="J27" s="110"/>
      <c r="K27" s="110"/>
    </row>
    <row r="28" spans="1:11" ht="15.75" x14ac:dyDescent="0.25">
      <c r="A28" s="31" t="s">
        <v>18</v>
      </c>
      <c r="B28" s="27" t="s">
        <v>56</v>
      </c>
      <c r="C28" s="27" t="s">
        <v>115</v>
      </c>
      <c r="D28" s="14"/>
      <c r="E28" s="14"/>
      <c r="F28" s="14"/>
      <c r="G28" s="14"/>
      <c r="H28" s="110"/>
      <c r="I28" s="110"/>
      <c r="J28" s="110"/>
      <c r="K28" s="110"/>
    </row>
    <row r="29" spans="1:11" ht="15.75" x14ac:dyDescent="0.25">
      <c r="A29" s="27" t="s">
        <v>19</v>
      </c>
      <c r="B29" s="27" t="s">
        <v>56</v>
      </c>
      <c r="C29" s="27" t="s">
        <v>115</v>
      </c>
      <c r="D29" s="14"/>
      <c r="E29" s="14"/>
      <c r="F29" s="14"/>
      <c r="G29" s="14"/>
      <c r="H29" s="110"/>
      <c r="I29" s="110"/>
      <c r="J29" s="110"/>
      <c r="K29" s="110"/>
    </row>
    <row r="30" spans="1:11" ht="15.75" x14ac:dyDescent="0.25">
      <c r="A30" s="27" t="s">
        <v>20</v>
      </c>
      <c r="B30" s="27" t="s">
        <v>56</v>
      </c>
      <c r="C30" s="27" t="s">
        <v>115</v>
      </c>
      <c r="D30" s="14"/>
      <c r="E30" s="14">
        <v>126</v>
      </c>
      <c r="F30" s="14"/>
      <c r="G30" s="14"/>
      <c r="H30" s="110"/>
      <c r="I30" s="110"/>
      <c r="J30" s="110"/>
      <c r="K30" s="110"/>
    </row>
    <row r="31" spans="1:11" ht="15.75" x14ac:dyDescent="0.25">
      <c r="A31" s="27" t="s">
        <v>21</v>
      </c>
      <c r="B31" s="27" t="s">
        <v>56</v>
      </c>
      <c r="C31" s="27" t="s">
        <v>115</v>
      </c>
      <c r="D31" s="14"/>
      <c r="E31" s="14"/>
      <c r="F31" s="14"/>
      <c r="G31" s="14"/>
      <c r="H31" s="110"/>
      <c r="I31" s="110"/>
      <c r="J31" s="110"/>
      <c r="K31" s="110"/>
    </row>
    <row r="32" spans="1:11" ht="15.75" x14ac:dyDescent="0.25">
      <c r="A32" s="27" t="s">
        <v>22</v>
      </c>
      <c r="B32" s="27" t="s">
        <v>56</v>
      </c>
      <c r="C32" s="27" t="s">
        <v>115</v>
      </c>
      <c r="D32" s="14"/>
      <c r="E32" s="14"/>
      <c r="F32" s="14"/>
      <c r="G32" s="14"/>
      <c r="H32" s="110"/>
      <c r="I32" s="110"/>
      <c r="J32" s="110"/>
      <c r="K32" s="110"/>
    </row>
    <row r="33" spans="1:12" ht="15.75" x14ac:dyDescent="0.25">
      <c r="A33" s="27" t="s">
        <v>23</v>
      </c>
      <c r="B33" s="27" t="s">
        <v>56</v>
      </c>
      <c r="C33" s="27" t="s">
        <v>115</v>
      </c>
      <c r="D33" s="14"/>
      <c r="E33" s="14"/>
      <c r="F33" s="14"/>
      <c r="G33" s="14"/>
      <c r="H33" s="110"/>
      <c r="I33" s="110"/>
      <c r="J33" s="110"/>
      <c r="K33" s="110"/>
    </row>
    <row r="34" spans="1:12" ht="15.75" x14ac:dyDescent="0.25">
      <c r="A34" s="27" t="s">
        <v>24</v>
      </c>
      <c r="B34" s="27" t="s">
        <v>56</v>
      </c>
      <c r="C34" s="27" t="s">
        <v>115</v>
      </c>
      <c r="D34" s="14"/>
      <c r="E34" s="14"/>
      <c r="F34" s="14"/>
      <c r="G34" s="14"/>
      <c r="H34" s="110"/>
      <c r="I34" s="110"/>
      <c r="J34" s="110"/>
      <c r="K34" s="110"/>
    </row>
    <row r="35" spans="1:12" ht="15.75" x14ac:dyDescent="0.25">
      <c r="A35" s="31" t="s">
        <v>25</v>
      </c>
      <c r="B35" s="27" t="s">
        <v>56</v>
      </c>
      <c r="C35" s="27" t="s">
        <v>115</v>
      </c>
      <c r="D35" s="14"/>
      <c r="E35" s="14"/>
      <c r="F35" s="14"/>
      <c r="G35" s="14"/>
      <c r="H35" s="110"/>
      <c r="I35" s="110">
        <v>-198</v>
      </c>
      <c r="J35" s="110"/>
      <c r="K35" s="110"/>
    </row>
    <row r="36" spans="1:12" ht="15.75" x14ac:dyDescent="0.25">
      <c r="A36" s="27" t="s">
        <v>26</v>
      </c>
      <c r="B36" s="27" t="s">
        <v>56</v>
      </c>
      <c r="C36" s="27" t="s">
        <v>115</v>
      </c>
      <c r="D36" s="14"/>
      <c r="E36" s="14"/>
      <c r="F36" s="14"/>
      <c r="G36" s="14"/>
      <c r="H36" s="110"/>
      <c r="I36" s="110"/>
      <c r="J36" s="110"/>
      <c r="K36" s="110"/>
    </row>
    <row r="37" spans="1:12" ht="15.75" x14ac:dyDescent="0.25">
      <c r="A37" s="27" t="s">
        <v>27</v>
      </c>
      <c r="B37" s="27" t="s">
        <v>56</v>
      </c>
      <c r="C37" s="27" t="s">
        <v>115</v>
      </c>
      <c r="D37" s="14"/>
      <c r="E37" s="14"/>
      <c r="F37" s="14"/>
      <c r="G37" s="14"/>
      <c r="H37" s="110"/>
      <c r="I37" s="110"/>
      <c r="J37" s="110"/>
      <c r="K37" s="110"/>
    </row>
    <row r="38" spans="1:12" ht="15.75" x14ac:dyDescent="0.25">
      <c r="A38" s="27" t="s">
        <v>28</v>
      </c>
      <c r="B38" s="27" t="s">
        <v>56</v>
      </c>
      <c r="C38" s="27" t="s">
        <v>115</v>
      </c>
      <c r="D38" s="14"/>
      <c r="E38" s="14"/>
      <c r="F38" s="14"/>
      <c r="G38" s="14"/>
      <c r="H38" s="110"/>
      <c r="I38" s="110"/>
      <c r="J38" s="110"/>
      <c r="K38" s="110"/>
    </row>
    <row r="39" spans="1:12" ht="15.75" x14ac:dyDescent="0.25">
      <c r="A39" s="27" t="s">
        <v>29</v>
      </c>
      <c r="B39" s="27" t="s">
        <v>56</v>
      </c>
      <c r="C39" s="27" t="s">
        <v>115</v>
      </c>
      <c r="D39" s="14"/>
      <c r="E39" s="14"/>
      <c r="F39" s="14"/>
      <c r="G39" s="14"/>
      <c r="H39" s="110"/>
      <c r="I39" s="110"/>
      <c r="J39" s="110"/>
      <c r="K39" s="110"/>
    </row>
    <row r="40" spans="1:12" ht="15.75" x14ac:dyDescent="0.25">
      <c r="A40" s="27" t="s">
        <v>106</v>
      </c>
      <c r="B40" s="27" t="s">
        <v>55</v>
      </c>
      <c r="C40" s="27" t="s">
        <v>115</v>
      </c>
      <c r="D40" s="14"/>
      <c r="E40" s="14"/>
      <c r="F40" s="14"/>
      <c r="G40" s="14"/>
      <c r="H40" s="110"/>
      <c r="I40" s="110"/>
      <c r="J40" s="110"/>
      <c r="K40" s="110"/>
    </row>
    <row r="41" spans="1:12" ht="15.75" x14ac:dyDescent="0.25">
      <c r="A41" s="27" t="s">
        <v>32</v>
      </c>
      <c r="B41" s="27" t="s">
        <v>55</v>
      </c>
      <c r="C41" s="27" t="s">
        <v>115</v>
      </c>
      <c r="D41" s="14"/>
      <c r="E41" s="14"/>
      <c r="F41" s="14"/>
      <c r="G41" s="14"/>
      <c r="H41" s="110"/>
      <c r="I41" s="110"/>
      <c r="J41" s="110"/>
      <c r="K41" s="110"/>
    </row>
    <row r="42" spans="1:12" ht="15.75" x14ac:dyDescent="0.25">
      <c r="A42" s="31" t="s">
        <v>103</v>
      </c>
      <c r="B42" s="27" t="s">
        <v>56</v>
      </c>
      <c r="C42" s="27" t="s">
        <v>115</v>
      </c>
      <c r="D42" s="14"/>
      <c r="E42" s="14"/>
      <c r="F42" s="14"/>
      <c r="G42" s="14"/>
      <c r="H42" s="110"/>
      <c r="I42" s="110"/>
      <c r="J42" s="110"/>
      <c r="K42" s="110"/>
    </row>
    <row r="43" spans="1:12" ht="15.75" x14ac:dyDescent="0.25">
      <c r="A43" s="27" t="s">
        <v>91</v>
      </c>
      <c r="B43" s="27" t="s">
        <v>56</v>
      </c>
      <c r="C43" s="27" t="s">
        <v>115</v>
      </c>
      <c r="D43" s="14"/>
      <c r="E43" s="14"/>
      <c r="F43" s="14"/>
      <c r="G43" s="14"/>
      <c r="H43" s="110"/>
      <c r="I43" s="110"/>
      <c r="J43" s="110"/>
      <c r="K43" s="110"/>
    </row>
    <row r="44" spans="1:12" ht="15.75" x14ac:dyDescent="0.25">
      <c r="A44" s="27" t="s">
        <v>90</v>
      </c>
      <c r="B44" s="27" t="s">
        <v>56</v>
      </c>
      <c r="C44" s="27" t="s">
        <v>115</v>
      </c>
      <c r="D44" s="14"/>
      <c r="E44" s="14"/>
      <c r="F44" s="14"/>
      <c r="G44" s="14"/>
      <c r="H44" s="110"/>
      <c r="I44" s="110"/>
      <c r="J44" s="110"/>
      <c r="K44" s="110"/>
    </row>
    <row r="45" spans="1:12" ht="15.75" x14ac:dyDescent="0.25">
      <c r="A45" s="27" t="s">
        <v>36</v>
      </c>
      <c r="B45" s="27" t="s">
        <v>55</v>
      </c>
      <c r="C45" s="27" t="s">
        <v>115</v>
      </c>
      <c r="D45" s="14"/>
      <c r="E45" s="14"/>
      <c r="F45" s="14"/>
      <c r="G45" s="14"/>
      <c r="H45" s="110"/>
      <c r="I45" s="110"/>
      <c r="J45" s="110"/>
      <c r="K45" s="110"/>
    </row>
    <row r="46" spans="1:12" ht="15.75" x14ac:dyDescent="0.25">
      <c r="A46" s="27" t="s">
        <v>102</v>
      </c>
      <c r="B46" s="27" t="s">
        <v>55</v>
      </c>
      <c r="C46" s="27" t="s">
        <v>115</v>
      </c>
      <c r="D46" s="14"/>
      <c r="E46" s="14"/>
      <c r="F46" s="14"/>
      <c r="G46" s="14"/>
      <c r="H46" s="110"/>
      <c r="I46" s="110"/>
      <c r="J46" s="110"/>
      <c r="K46" s="110"/>
      <c r="L46" s="159"/>
    </row>
    <row r="47" spans="1:12" ht="15.75" x14ac:dyDescent="0.25">
      <c r="A47" s="27" t="s">
        <v>93</v>
      </c>
      <c r="B47" s="27" t="s">
        <v>56</v>
      </c>
      <c r="C47" s="27" t="s">
        <v>115</v>
      </c>
      <c r="D47" s="14"/>
      <c r="E47" s="14"/>
      <c r="F47" s="14"/>
      <c r="G47" s="14"/>
      <c r="H47" s="110"/>
      <c r="I47" s="110"/>
      <c r="J47" s="110"/>
      <c r="K47" s="110"/>
    </row>
    <row r="48" spans="1:12" ht="15.75" x14ac:dyDescent="0.25">
      <c r="A48" s="27" t="s">
        <v>95</v>
      </c>
      <c r="B48" s="27" t="s">
        <v>56</v>
      </c>
      <c r="C48" s="27" t="s">
        <v>115</v>
      </c>
      <c r="D48" s="14"/>
      <c r="E48" s="14"/>
      <c r="F48" s="14"/>
      <c r="G48" s="14"/>
      <c r="H48" s="110"/>
      <c r="I48" s="110"/>
      <c r="J48" s="110"/>
      <c r="K48" s="110"/>
    </row>
    <row r="49" spans="1:13" ht="15.75" x14ac:dyDescent="0.25">
      <c r="A49" s="27" t="s">
        <v>105</v>
      </c>
      <c r="B49" s="27" t="s">
        <v>56</v>
      </c>
      <c r="C49" s="27" t="s">
        <v>115</v>
      </c>
      <c r="D49" s="14"/>
      <c r="E49" s="14"/>
      <c r="F49" s="14"/>
      <c r="G49" s="14"/>
      <c r="H49" s="110"/>
      <c r="I49" s="110"/>
      <c r="J49" s="110"/>
      <c r="K49" s="110"/>
    </row>
    <row r="50" spans="1:13" ht="15.75" x14ac:dyDescent="0.25">
      <c r="A50" s="27" t="s">
        <v>39</v>
      </c>
      <c r="B50" s="27" t="s">
        <v>56</v>
      </c>
      <c r="C50" s="27" t="s">
        <v>115</v>
      </c>
      <c r="D50" s="14"/>
      <c r="E50" s="14"/>
      <c r="F50" s="14"/>
      <c r="G50" s="14"/>
      <c r="H50" s="110"/>
      <c r="I50" s="110"/>
      <c r="J50" s="110"/>
      <c r="K50" s="110"/>
    </row>
    <row r="51" spans="1:13" ht="15.75" x14ac:dyDescent="0.25">
      <c r="A51" s="27" t="s">
        <v>99</v>
      </c>
      <c r="B51" s="27" t="s">
        <v>56</v>
      </c>
      <c r="C51" s="27" t="s">
        <v>115</v>
      </c>
      <c r="D51" s="14"/>
      <c r="E51" s="14"/>
      <c r="F51" s="14"/>
      <c r="G51" s="14"/>
      <c r="H51" s="110"/>
      <c r="I51" s="110"/>
      <c r="J51" s="110"/>
      <c r="K51" s="110"/>
    </row>
    <row r="52" spans="1:13" ht="15.75" x14ac:dyDescent="0.25">
      <c r="A52" s="27" t="s">
        <v>41</v>
      </c>
      <c r="B52" s="27" t="s">
        <v>56</v>
      </c>
      <c r="C52" s="27" t="s">
        <v>115</v>
      </c>
      <c r="D52" s="14"/>
      <c r="E52" s="14"/>
      <c r="F52" s="14"/>
      <c r="G52" s="14"/>
      <c r="H52" s="110"/>
      <c r="I52" s="110"/>
      <c r="J52" s="110"/>
      <c r="K52" s="110"/>
    </row>
    <row r="53" spans="1:13" ht="16.5" thickBot="1" x14ac:dyDescent="0.3">
      <c r="A53" s="29" t="s">
        <v>96</v>
      </c>
      <c r="B53" s="29" t="s">
        <v>56</v>
      </c>
      <c r="C53" s="29" t="s">
        <v>115</v>
      </c>
      <c r="D53" s="15"/>
      <c r="E53" s="15"/>
      <c r="F53" s="15"/>
      <c r="G53" s="15"/>
      <c r="H53" s="137"/>
      <c r="I53" s="137"/>
      <c r="J53" s="137"/>
      <c r="K53" s="137"/>
    </row>
    <row r="54" spans="1:13" ht="21.75" thickBot="1" x14ac:dyDescent="0.3">
      <c r="A54" s="144" t="s">
        <v>124</v>
      </c>
      <c r="B54" s="142"/>
      <c r="C54" s="142"/>
      <c r="D54" s="144">
        <f>SUM(D22:D53)</f>
        <v>0</v>
      </c>
      <c r="E54" s="144">
        <f t="shared" ref="E54:K54" si="2">SUM(E22:E53)</f>
        <v>270</v>
      </c>
      <c r="F54" s="144">
        <f t="shared" si="2"/>
        <v>0</v>
      </c>
      <c r="G54" s="144">
        <f t="shared" si="2"/>
        <v>0</v>
      </c>
      <c r="H54" s="144">
        <f t="shared" si="2"/>
        <v>0</v>
      </c>
      <c r="I54" s="144">
        <f t="shared" si="2"/>
        <v>-198</v>
      </c>
      <c r="J54" s="144">
        <f t="shared" si="2"/>
        <v>0</v>
      </c>
      <c r="K54" s="144">
        <f t="shared" si="2"/>
        <v>0</v>
      </c>
    </row>
    <row r="55" spans="1:13" ht="15.75" x14ac:dyDescent="0.25">
      <c r="A55" s="31" t="s">
        <v>33</v>
      </c>
      <c r="B55" s="27" t="s">
        <v>123</v>
      </c>
      <c r="C55" s="27" t="s">
        <v>115</v>
      </c>
      <c r="D55" s="14"/>
      <c r="E55" s="14"/>
      <c r="F55" s="14"/>
      <c r="G55" s="14"/>
      <c r="H55" s="110"/>
      <c r="I55" s="110"/>
      <c r="J55" s="110"/>
      <c r="K55" s="110"/>
    </row>
    <row r="56" spans="1:13" ht="15.75" x14ac:dyDescent="0.25">
      <c r="A56" s="27" t="s">
        <v>92</v>
      </c>
      <c r="B56" s="27" t="s">
        <v>123</v>
      </c>
      <c r="C56" s="27" t="s">
        <v>115</v>
      </c>
      <c r="D56" s="14"/>
      <c r="E56" s="14"/>
      <c r="F56" s="14"/>
      <c r="G56" s="14"/>
      <c r="H56" s="110"/>
      <c r="I56" s="110"/>
      <c r="J56" s="110"/>
      <c r="K56" s="110"/>
    </row>
    <row r="57" spans="1:13" ht="15.75" x14ac:dyDescent="0.25">
      <c r="A57" s="27" t="s">
        <v>37</v>
      </c>
      <c r="B57" s="27" t="s">
        <v>123</v>
      </c>
      <c r="C57" s="27" t="s">
        <v>115</v>
      </c>
      <c r="D57" s="14"/>
      <c r="E57" s="14"/>
      <c r="F57" s="14"/>
      <c r="G57" s="14"/>
      <c r="H57" s="110"/>
      <c r="I57" s="110"/>
      <c r="J57" s="110"/>
      <c r="K57" s="110"/>
      <c r="M57" s="154"/>
    </row>
    <row r="58" spans="1:13" ht="15.75" x14ac:dyDescent="0.25">
      <c r="A58" s="27" t="s">
        <v>35</v>
      </c>
      <c r="B58" s="27" t="s">
        <v>123</v>
      </c>
      <c r="C58" s="27" t="s">
        <v>115</v>
      </c>
      <c r="D58" s="14"/>
      <c r="E58" s="14"/>
      <c r="F58" s="14"/>
      <c r="G58" s="14"/>
      <c r="H58" s="110"/>
      <c r="I58" s="110"/>
      <c r="J58" s="110"/>
      <c r="K58" s="110"/>
      <c r="M58" s="154"/>
    </row>
    <row r="59" spans="1:13" ht="15.75" x14ac:dyDescent="0.25">
      <c r="A59" s="28" t="s">
        <v>94</v>
      </c>
      <c r="B59" s="28" t="s">
        <v>123</v>
      </c>
      <c r="C59" s="28" t="s">
        <v>115</v>
      </c>
      <c r="D59" s="14"/>
      <c r="E59" s="14"/>
      <c r="F59" s="14"/>
      <c r="G59" s="14"/>
      <c r="H59" s="110"/>
      <c r="I59" s="110"/>
      <c r="J59" s="110"/>
      <c r="K59" s="110"/>
      <c r="M59" s="154"/>
    </row>
    <row r="60" spans="1:13" ht="15.75" x14ac:dyDescent="0.25">
      <c r="A60" s="31" t="s">
        <v>16</v>
      </c>
      <c r="B60" s="27" t="s">
        <v>123</v>
      </c>
      <c r="C60" s="27" t="s">
        <v>115</v>
      </c>
      <c r="D60" s="14"/>
      <c r="E60" s="14"/>
      <c r="F60" s="14"/>
      <c r="G60" s="14"/>
      <c r="H60" s="110"/>
      <c r="I60" s="110"/>
      <c r="J60" s="110"/>
      <c r="K60" s="110"/>
    </row>
    <row r="61" spans="1:13" ht="16.5" thickBot="1" x14ac:dyDescent="0.3">
      <c r="A61" s="138" t="s">
        <v>107</v>
      </c>
      <c r="B61" s="27" t="s">
        <v>123</v>
      </c>
      <c r="C61" s="27" t="s">
        <v>115</v>
      </c>
      <c r="D61" s="14"/>
      <c r="E61" s="14"/>
      <c r="F61" s="14"/>
      <c r="G61" s="14"/>
      <c r="H61" s="110"/>
      <c r="I61" s="110"/>
      <c r="J61" s="110"/>
      <c r="K61" s="110"/>
    </row>
    <row r="62" spans="1:13" ht="21.75" thickBot="1" x14ac:dyDescent="0.3">
      <c r="A62" s="144" t="s">
        <v>125</v>
      </c>
      <c r="B62" s="142"/>
      <c r="C62" s="142"/>
      <c r="D62" s="144">
        <f>D61+D60+D59+D58+D57+D56+D55</f>
        <v>0</v>
      </c>
      <c r="E62" s="144">
        <f t="shared" ref="E62:K62" si="3">E61+E60+E59+E58+E57+E56+E55</f>
        <v>0</v>
      </c>
      <c r="F62" s="144">
        <f t="shared" si="3"/>
        <v>0</v>
      </c>
      <c r="G62" s="144">
        <f t="shared" si="3"/>
        <v>0</v>
      </c>
      <c r="H62" s="144">
        <f t="shared" si="3"/>
        <v>0</v>
      </c>
      <c r="I62" s="144">
        <f t="shared" si="3"/>
        <v>0</v>
      </c>
      <c r="J62" s="144">
        <f t="shared" si="3"/>
        <v>0</v>
      </c>
      <c r="K62" s="144">
        <f t="shared" si="3"/>
        <v>0</v>
      </c>
    </row>
    <row r="63" spans="1:13" ht="15.75" x14ac:dyDescent="0.25">
      <c r="A63" s="28" t="s">
        <v>84</v>
      </c>
      <c r="B63" s="27" t="s">
        <v>116</v>
      </c>
      <c r="C63" s="28" t="s">
        <v>110</v>
      </c>
      <c r="D63" s="18"/>
      <c r="E63" s="18">
        <v>450</v>
      </c>
      <c r="F63" s="18"/>
      <c r="G63" s="18"/>
      <c r="H63" s="140"/>
      <c r="I63" s="140"/>
      <c r="J63" s="140"/>
      <c r="K63" s="140"/>
    </row>
    <row r="64" spans="1:13" ht="15.75" x14ac:dyDescent="0.25">
      <c r="A64" s="31" t="s">
        <v>40</v>
      </c>
      <c r="B64" s="27" t="s">
        <v>56</v>
      </c>
      <c r="C64" s="27" t="s">
        <v>111</v>
      </c>
      <c r="D64" s="14"/>
      <c r="E64" s="14">
        <v>1293</v>
      </c>
      <c r="F64" s="14"/>
      <c r="G64" s="14"/>
      <c r="H64" s="110"/>
      <c r="I64" s="110"/>
      <c r="J64" s="110"/>
      <c r="K64" s="110"/>
    </row>
    <row r="65" spans="1:12" ht="15.75" x14ac:dyDescent="0.25">
      <c r="A65" s="27" t="s">
        <v>98</v>
      </c>
      <c r="B65" s="27" t="s">
        <v>116</v>
      </c>
      <c r="C65" s="27" t="s">
        <v>111</v>
      </c>
      <c r="D65" s="14"/>
      <c r="E65" s="14"/>
      <c r="F65" s="14"/>
      <c r="G65" s="14"/>
      <c r="H65" s="110"/>
      <c r="I65" s="110"/>
      <c r="J65" s="110"/>
      <c r="K65" s="110"/>
    </row>
    <row r="66" spans="1:12" ht="15.75" x14ac:dyDescent="0.25">
      <c r="A66" s="27" t="s">
        <v>100</v>
      </c>
      <c r="B66" s="27" t="s">
        <v>56</v>
      </c>
      <c r="C66" s="27" t="s">
        <v>111</v>
      </c>
      <c r="D66" s="14"/>
      <c r="E66" s="14"/>
      <c r="F66" s="14"/>
      <c r="G66" s="14"/>
      <c r="H66" s="110"/>
      <c r="I66" s="110"/>
      <c r="J66" s="110"/>
      <c r="K66" s="110"/>
    </row>
    <row r="67" spans="1:12" ht="15.75" x14ac:dyDescent="0.25">
      <c r="A67" s="27" t="s">
        <v>101</v>
      </c>
      <c r="B67" s="27" t="s">
        <v>56</v>
      </c>
      <c r="C67" s="27" t="s">
        <v>111</v>
      </c>
      <c r="D67" s="14"/>
      <c r="E67" s="14"/>
      <c r="F67" s="14"/>
      <c r="G67" s="14"/>
      <c r="H67" s="110"/>
      <c r="I67" s="110"/>
      <c r="J67" s="110"/>
      <c r="K67" s="110"/>
    </row>
    <row r="68" spans="1:12" ht="15.75" x14ac:dyDescent="0.25">
      <c r="A68" s="27" t="s">
        <v>108</v>
      </c>
      <c r="B68" s="27" t="s">
        <v>56</v>
      </c>
      <c r="C68" s="27" t="s">
        <v>111</v>
      </c>
      <c r="D68" s="14"/>
      <c r="E68" s="14"/>
      <c r="F68" s="14"/>
      <c r="G68" s="14"/>
      <c r="H68" s="110"/>
      <c r="I68" s="110"/>
      <c r="J68" s="110"/>
      <c r="K68" s="110"/>
      <c r="L68" s="159"/>
    </row>
    <row r="69" spans="1:12" ht="15.75" x14ac:dyDescent="0.25">
      <c r="A69" s="139" t="s">
        <v>109</v>
      </c>
      <c r="B69" s="27" t="s">
        <v>56</v>
      </c>
      <c r="C69" s="27" t="s">
        <v>111</v>
      </c>
      <c r="D69" s="14"/>
      <c r="E69" s="14">
        <v>72</v>
      </c>
      <c r="F69" s="14"/>
      <c r="G69" s="14"/>
      <c r="H69" s="110"/>
      <c r="I69" s="110"/>
      <c r="J69" s="110"/>
      <c r="K69" s="110"/>
    </row>
    <row r="70" spans="1:12" ht="16.5" thickBot="1" x14ac:dyDescent="0.3">
      <c r="A70" s="29" t="s">
        <v>89</v>
      </c>
      <c r="B70" s="29" t="s">
        <v>56</v>
      </c>
      <c r="C70" s="29" t="s">
        <v>111</v>
      </c>
      <c r="D70" s="15"/>
      <c r="E70" s="15"/>
      <c r="F70" s="15"/>
      <c r="G70" s="15"/>
      <c r="H70" s="137"/>
      <c r="I70" s="137"/>
      <c r="J70" s="137"/>
      <c r="K70" s="137"/>
    </row>
    <row r="71" spans="1:12" ht="21.75" thickBot="1" x14ac:dyDescent="0.3">
      <c r="A71" s="143" t="s">
        <v>44</v>
      </c>
      <c r="B71" s="142"/>
      <c r="C71" s="142"/>
      <c r="D71" s="152">
        <f>D70+D69+D68+D67+D66+D65+D64+D63</f>
        <v>0</v>
      </c>
      <c r="E71" s="152">
        <f t="shared" ref="E71:K71" si="4">E70+E69+E68+E67+E66+E65+E64+E63</f>
        <v>1815</v>
      </c>
      <c r="F71" s="152">
        <f t="shared" si="4"/>
        <v>0</v>
      </c>
      <c r="G71" s="152">
        <f t="shared" si="4"/>
        <v>0</v>
      </c>
      <c r="H71" s="152">
        <f t="shared" si="4"/>
        <v>0</v>
      </c>
      <c r="I71" s="152">
        <f t="shared" si="4"/>
        <v>0</v>
      </c>
      <c r="J71" s="152">
        <f t="shared" si="4"/>
        <v>0</v>
      </c>
      <c r="K71" s="152">
        <f t="shared" si="4"/>
        <v>0</v>
      </c>
    </row>
    <row r="72" spans="1:12" ht="21.75" thickBot="1" x14ac:dyDescent="0.3">
      <c r="A72" s="143" t="s">
        <v>45</v>
      </c>
      <c r="B72" s="142"/>
      <c r="C72" s="142"/>
      <c r="D72" s="152">
        <f>D71+D62+D54+D21+D8</f>
        <v>0</v>
      </c>
      <c r="E72" s="152">
        <f t="shared" ref="E72:K72" si="5">E71+E62+E54+E21+E8</f>
        <v>2699</v>
      </c>
      <c r="F72" s="152">
        <f t="shared" si="5"/>
        <v>0</v>
      </c>
      <c r="G72" s="152">
        <f t="shared" si="5"/>
        <v>0</v>
      </c>
      <c r="H72" s="152">
        <f t="shared" si="5"/>
        <v>0</v>
      </c>
      <c r="I72" s="152">
        <f t="shared" si="5"/>
        <v>-54</v>
      </c>
      <c r="J72" s="152">
        <f t="shared" si="5"/>
        <v>0</v>
      </c>
      <c r="K72" s="152">
        <f t="shared" si="5"/>
        <v>0</v>
      </c>
    </row>
  </sheetData>
  <autoFilter ref="A2:K72" xr:uid="{E9F1526D-BE69-4CEF-9B1E-B00AE498E64D}"/>
  <mergeCells count="2">
    <mergeCell ref="D1:G1"/>
    <mergeCell ref="H1:K1"/>
  </mergeCells>
  <conditionalFormatting sqref="A1">
    <cfRule type="duplicateValues" dxfId="67" priority="21"/>
    <cfRule type="duplicateValues" dxfId="66" priority="22"/>
  </conditionalFormatting>
  <conditionalFormatting sqref="A14">
    <cfRule type="duplicateValues" dxfId="65" priority="11"/>
    <cfRule type="duplicateValues" dxfId="64" priority="12"/>
  </conditionalFormatting>
  <conditionalFormatting sqref="A55">
    <cfRule type="duplicateValues" dxfId="63" priority="13"/>
    <cfRule type="duplicateValues" dxfId="62" priority="14"/>
  </conditionalFormatting>
  <conditionalFormatting sqref="A56:A58 A7 A22:A53 A60">
    <cfRule type="duplicateValues" dxfId="61" priority="19"/>
    <cfRule type="duplicateValues" dxfId="60" priority="20"/>
  </conditionalFormatting>
  <conditionalFormatting sqref="A59">
    <cfRule type="duplicateValues" dxfId="59" priority="9"/>
    <cfRule type="duplicateValues" dxfId="58" priority="10"/>
  </conditionalFormatting>
  <conditionalFormatting sqref="A63:A70">
    <cfRule type="duplicateValues" dxfId="57" priority="17"/>
    <cfRule type="duplicateValues" dxfId="56" priority="18"/>
  </conditionalFormatting>
  <conditionalFormatting sqref="A71:A72 A2:A6 A8:A13 A15:A21 A54 A62">
    <cfRule type="duplicateValues" dxfId="55" priority="15"/>
    <cfRule type="duplicateValues" dxfId="54" priority="16"/>
  </conditionalFormatting>
  <conditionalFormatting sqref="D8:K8">
    <cfRule type="duplicateValues" dxfId="53" priority="7"/>
    <cfRule type="duplicateValues" dxfId="52" priority="8"/>
  </conditionalFormatting>
  <conditionalFormatting sqref="D21:K21">
    <cfRule type="duplicateValues" dxfId="51" priority="5"/>
    <cfRule type="duplicateValues" dxfId="50" priority="6"/>
  </conditionalFormatting>
  <conditionalFormatting sqref="D54:K54">
    <cfRule type="duplicateValues" dxfId="49" priority="3"/>
    <cfRule type="duplicateValues" dxfId="48" priority="4"/>
  </conditionalFormatting>
  <conditionalFormatting sqref="D62:K62">
    <cfRule type="duplicateValues" dxfId="47" priority="1"/>
    <cfRule type="duplicateValues" dxfId="46" priority="2"/>
  </conditionalFormatting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9A15B-8C4D-479C-BAB3-74D7E7AAE8D7}">
  <sheetPr>
    <tabColor theme="5" tint="-0.249977111117893"/>
  </sheetPr>
  <dimension ref="A1:M78"/>
  <sheetViews>
    <sheetView rightToLeft="1" workbookViewId="0">
      <selection activeCell="K10" sqref="K10"/>
    </sheetView>
  </sheetViews>
  <sheetFormatPr defaultColWidth="30.140625" defaultRowHeight="15" x14ac:dyDescent="0.25"/>
  <cols>
    <col min="1" max="1" width="30" style="33" bestFit="1" customWidth="1"/>
    <col min="2" max="2" width="11.42578125" style="33" bestFit="1" customWidth="1"/>
    <col min="3" max="3" width="11.7109375" style="33" bestFit="1" customWidth="1"/>
    <col min="4" max="4" width="16.85546875" bestFit="1" customWidth="1"/>
    <col min="5" max="5" width="15.28515625" bestFit="1" customWidth="1"/>
    <col min="6" max="6" width="17.140625" bestFit="1" customWidth="1"/>
    <col min="7" max="7" width="19" bestFit="1" customWidth="1"/>
    <col min="8" max="9" width="15.28515625" style="3" bestFit="1" customWidth="1"/>
    <col min="10" max="10" width="16.85546875" style="3" bestFit="1" customWidth="1"/>
    <col min="11" max="11" width="19" bestFit="1" customWidth="1"/>
  </cols>
  <sheetData>
    <row r="1" spans="1:11" ht="21" x14ac:dyDescent="0.25">
      <c r="A1" s="27"/>
      <c r="B1" s="27"/>
      <c r="C1" s="27"/>
      <c r="D1" s="278">
        <v>2025</v>
      </c>
      <c r="E1" s="278"/>
      <c r="F1" s="278"/>
      <c r="G1" s="278"/>
      <c r="H1" s="279">
        <v>2024</v>
      </c>
      <c r="I1" s="279"/>
      <c r="J1" s="279"/>
      <c r="K1" s="279"/>
    </row>
    <row r="2" spans="1:11" ht="21" x14ac:dyDescent="0.25">
      <c r="A2" s="11" t="s">
        <v>0</v>
      </c>
      <c r="B2" s="24" t="s">
        <v>53</v>
      </c>
      <c r="C2" s="24" t="s">
        <v>117</v>
      </c>
      <c r="D2" s="13" t="s">
        <v>46</v>
      </c>
      <c r="E2" s="13" t="s">
        <v>47</v>
      </c>
      <c r="F2" s="13" t="s">
        <v>48</v>
      </c>
      <c r="G2" s="13" t="s">
        <v>49</v>
      </c>
      <c r="H2" s="109" t="s">
        <v>46</v>
      </c>
      <c r="I2" s="109" t="s">
        <v>47</v>
      </c>
      <c r="J2" s="109" t="s">
        <v>48</v>
      </c>
      <c r="K2" s="109" t="s">
        <v>97</v>
      </c>
    </row>
    <row r="3" spans="1:11" ht="15.75" x14ac:dyDescent="0.25">
      <c r="A3" s="27" t="s">
        <v>1</v>
      </c>
      <c r="B3" s="27" t="s">
        <v>116</v>
      </c>
      <c r="C3" s="27" t="s">
        <v>58</v>
      </c>
      <c r="D3" s="14"/>
      <c r="E3" s="14"/>
      <c r="F3" s="14">
        <v>521281.47</v>
      </c>
      <c r="G3" s="14"/>
      <c r="H3" s="110"/>
      <c r="I3" s="110"/>
      <c r="J3" s="110"/>
      <c r="K3" s="110"/>
    </row>
    <row r="4" spans="1:11" ht="15.75" x14ac:dyDescent="0.25">
      <c r="A4" s="27" t="s">
        <v>2</v>
      </c>
      <c r="B4" s="27" t="s">
        <v>116</v>
      </c>
      <c r="C4" s="27" t="s">
        <v>58</v>
      </c>
      <c r="D4" s="14"/>
      <c r="E4" s="14"/>
      <c r="F4" s="14"/>
      <c r="G4" s="14"/>
      <c r="H4" s="110"/>
      <c r="I4" s="110"/>
      <c r="J4" s="110"/>
      <c r="K4" s="110"/>
    </row>
    <row r="5" spans="1:11" ht="15.75" x14ac:dyDescent="0.25">
      <c r="A5" s="27" t="s">
        <v>112</v>
      </c>
      <c r="B5" s="27" t="s">
        <v>116</v>
      </c>
      <c r="C5" s="27" t="s">
        <v>58</v>
      </c>
      <c r="D5" s="14"/>
      <c r="E5" s="14"/>
      <c r="F5" s="14"/>
      <c r="G5" s="14"/>
      <c r="H5" s="110"/>
      <c r="I5" s="110"/>
      <c r="J5" s="110"/>
      <c r="K5" s="110"/>
    </row>
    <row r="6" spans="1:11" ht="15.75" x14ac:dyDescent="0.25">
      <c r="A6" s="29" t="s">
        <v>113</v>
      </c>
      <c r="B6" s="27" t="s">
        <v>116</v>
      </c>
      <c r="C6" s="29" t="s">
        <v>58</v>
      </c>
      <c r="D6" s="15"/>
      <c r="E6" s="15"/>
      <c r="F6" s="15"/>
      <c r="G6" s="15"/>
      <c r="H6" s="137"/>
      <c r="I6" s="137"/>
      <c r="J6" s="137"/>
      <c r="K6" s="137"/>
    </row>
    <row r="7" spans="1:11" ht="16.5" thickBot="1" x14ac:dyDescent="0.3">
      <c r="A7" s="27" t="s">
        <v>34</v>
      </c>
      <c r="B7" s="27" t="s">
        <v>116</v>
      </c>
      <c r="C7" s="27" t="s">
        <v>58</v>
      </c>
      <c r="D7" s="14"/>
      <c r="E7" s="14"/>
      <c r="F7" s="14"/>
      <c r="G7" s="14"/>
      <c r="H7" s="110"/>
      <c r="I7" s="110"/>
      <c r="J7" s="110"/>
      <c r="K7" s="110"/>
    </row>
    <row r="8" spans="1:11" ht="21.75" thickBot="1" x14ac:dyDescent="0.3">
      <c r="A8" s="143" t="s">
        <v>3</v>
      </c>
      <c r="B8" s="142"/>
      <c r="C8" s="142"/>
      <c r="D8" s="141">
        <f>SUM(D3:D6)</f>
        <v>0</v>
      </c>
      <c r="E8" s="141">
        <f t="shared" ref="E8:K8" si="0">SUM(E3:E6)</f>
        <v>0</v>
      </c>
      <c r="F8" s="145">
        <f t="shared" si="0"/>
        <v>521281.47</v>
      </c>
      <c r="G8" s="141">
        <f t="shared" si="0"/>
        <v>0</v>
      </c>
      <c r="H8" s="141">
        <f t="shared" si="0"/>
        <v>0</v>
      </c>
      <c r="I8" s="141">
        <f t="shared" si="0"/>
        <v>0</v>
      </c>
      <c r="J8" s="141">
        <f t="shared" si="0"/>
        <v>0</v>
      </c>
      <c r="K8" s="141">
        <f t="shared" si="0"/>
        <v>0</v>
      </c>
    </row>
    <row r="9" spans="1:11" ht="15.75" x14ac:dyDescent="0.25">
      <c r="A9" s="28" t="s">
        <v>4</v>
      </c>
      <c r="B9" s="27" t="s">
        <v>116</v>
      </c>
      <c r="C9" s="28" t="s">
        <v>114</v>
      </c>
      <c r="D9" s="18"/>
      <c r="E9" s="18"/>
      <c r="F9" s="18"/>
      <c r="G9" s="18"/>
      <c r="H9" s="140"/>
      <c r="I9" s="140"/>
      <c r="J9" s="140"/>
      <c r="K9" s="140"/>
    </row>
    <row r="10" spans="1:11" ht="15.75" x14ac:dyDescent="0.25">
      <c r="A10" s="27" t="s">
        <v>5</v>
      </c>
      <c r="B10" s="27" t="s">
        <v>116</v>
      </c>
      <c r="C10" s="27" t="s">
        <v>114</v>
      </c>
      <c r="D10" s="14"/>
      <c r="E10" s="14"/>
      <c r="F10" s="14"/>
      <c r="G10" s="14"/>
      <c r="H10" s="110"/>
      <c r="I10" s="110"/>
      <c r="J10" s="110"/>
      <c r="K10" s="110"/>
    </row>
    <row r="11" spans="1:11" ht="15.75" x14ac:dyDescent="0.25">
      <c r="A11" s="27" t="s">
        <v>6</v>
      </c>
      <c r="B11" s="27" t="s">
        <v>116</v>
      </c>
      <c r="C11" s="27" t="s">
        <v>114</v>
      </c>
      <c r="D11" s="14"/>
      <c r="E11" s="14"/>
      <c r="F11" s="14"/>
      <c r="G11" s="14"/>
      <c r="H11" s="110"/>
      <c r="I11" s="110"/>
      <c r="J11" s="110"/>
      <c r="K11" s="110"/>
    </row>
    <row r="12" spans="1:11" ht="15.75" x14ac:dyDescent="0.25">
      <c r="A12" s="27" t="s">
        <v>7</v>
      </c>
      <c r="B12" s="27" t="s">
        <v>116</v>
      </c>
      <c r="C12" s="27" t="s">
        <v>114</v>
      </c>
      <c r="D12" s="14"/>
      <c r="E12" s="14"/>
      <c r="F12" s="14"/>
      <c r="G12" s="14"/>
      <c r="H12" s="110"/>
      <c r="I12" s="110"/>
      <c r="J12" s="110"/>
      <c r="K12" s="110"/>
    </row>
    <row r="13" spans="1:11" ht="15.75" x14ac:dyDescent="0.25">
      <c r="A13" s="27" t="s">
        <v>8</v>
      </c>
      <c r="B13" s="27" t="s">
        <v>116</v>
      </c>
      <c r="C13" s="27" t="s">
        <v>114</v>
      </c>
      <c r="D13" s="14"/>
      <c r="E13" s="14"/>
      <c r="F13" s="14"/>
      <c r="G13" s="14"/>
      <c r="H13" s="110"/>
      <c r="I13" s="110"/>
      <c r="J13" s="110"/>
      <c r="K13" s="110"/>
    </row>
    <row r="14" spans="1:11" ht="15.75" x14ac:dyDescent="0.25">
      <c r="A14" s="27" t="s">
        <v>9</v>
      </c>
      <c r="B14" s="27" t="s">
        <v>116</v>
      </c>
      <c r="C14" s="27" t="s">
        <v>114</v>
      </c>
      <c r="D14" s="14"/>
      <c r="E14" s="14"/>
      <c r="F14" s="14"/>
      <c r="G14" s="14"/>
      <c r="H14" s="110"/>
      <c r="I14" s="110"/>
      <c r="J14" s="110"/>
      <c r="K14" s="110"/>
    </row>
    <row r="15" spans="1:11" ht="15.75" x14ac:dyDescent="0.25">
      <c r="A15" s="27" t="s">
        <v>31</v>
      </c>
      <c r="B15" s="27" t="s">
        <v>116</v>
      </c>
      <c r="C15" s="27" t="s">
        <v>114</v>
      </c>
      <c r="D15" s="14"/>
      <c r="E15" s="14"/>
      <c r="F15" s="14"/>
      <c r="G15" s="14"/>
      <c r="H15" s="110"/>
      <c r="I15" s="110"/>
      <c r="J15" s="110"/>
      <c r="K15" s="110"/>
    </row>
    <row r="16" spans="1:11" ht="15.75" x14ac:dyDescent="0.25">
      <c r="A16" s="27" t="s">
        <v>104</v>
      </c>
      <c r="B16" s="27" t="s">
        <v>116</v>
      </c>
      <c r="C16" s="27" t="s">
        <v>114</v>
      </c>
      <c r="D16" s="14"/>
      <c r="E16" s="14"/>
      <c r="F16" s="14"/>
      <c r="G16" s="14"/>
      <c r="H16" s="110"/>
      <c r="I16" s="110"/>
      <c r="J16" s="110"/>
      <c r="K16" s="110"/>
    </row>
    <row r="17" spans="1:11" ht="15.75" x14ac:dyDescent="0.25">
      <c r="A17" s="27" t="s">
        <v>42</v>
      </c>
      <c r="B17" s="27" t="s">
        <v>116</v>
      </c>
      <c r="C17" s="27" t="s">
        <v>114</v>
      </c>
      <c r="D17" s="14"/>
      <c r="E17" s="14"/>
      <c r="F17" s="14"/>
      <c r="G17" s="14"/>
      <c r="H17" s="110"/>
      <c r="I17" s="110"/>
      <c r="J17" s="110"/>
      <c r="K17" s="110"/>
    </row>
    <row r="18" spans="1:11" ht="15.75" x14ac:dyDescent="0.25">
      <c r="A18" s="27" t="s">
        <v>43</v>
      </c>
      <c r="B18" s="27" t="s">
        <v>116</v>
      </c>
      <c r="C18" s="27" t="s">
        <v>114</v>
      </c>
      <c r="D18" s="14"/>
      <c r="E18" s="14"/>
      <c r="F18" s="14"/>
      <c r="G18" s="14"/>
      <c r="H18" s="110"/>
      <c r="I18" s="110"/>
      <c r="J18" s="110"/>
      <c r="K18" s="110"/>
    </row>
    <row r="19" spans="1:11" ht="15.75" x14ac:dyDescent="0.25">
      <c r="A19" s="27" t="s">
        <v>30</v>
      </c>
      <c r="B19" s="27" t="s">
        <v>116</v>
      </c>
      <c r="C19" s="27" t="s">
        <v>114</v>
      </c>
      <c r="D19" s="14"/>
      <c r="E19" s="14"/>
      <c r="F19" s="14"/>
      <c r="G19" s="14"/>
      <c r="H19" s="110"/>
      <c r="I19" s="110"/>
      <c r="J19" s="110"/>
      <c r="K19" s="110"/>
    </row>
    <row r="20" spans="1:11" ht="16.5" thickBot="1" x14ac:dyDescent="0.3">
      <c r="A20" s="29" t="s">
        <v>38</v>
      </c>
      <c r="B20" s="27" t="s">
        <v>116</v>
      </c>
      <c r="C20" s="29" t="s">
        <v>114</v>
      </c>
      <c r="D20" s="15"/>
      <c r="E20" s="15"/>
      <c r="F20" s="15"/>
      <c r="G20" s="15"/>
      <c r="H20" s="137"/>
      <c r="I20" s="137"/>
      <c r="J20" s="137"/>
      <c r="K20" s="137"/>
    </row>
    <row r="21" spans="1:11" ht="21.75" thickBot="1" x14ac:dyDescent="0.3">
      <c r="A21" s="143" t="s">
        <v>10</v>
      </c>
      <c r="B21" s="142"/>
      <c r="C21" s="142"/>
      <c r="D21" s="141">
        <f>SUM(D9:D20)</f>
        <v>0</v>
      </c>
      <c r="E21" s="141">
        <f t="shared" ref="E21:K21" si="1">SUM(E9:E20)</f>
        <v>0</v>
      </c>
      <c r="F21" s="141">
        <f t="shared" si="1"/>
        <v>0</v>
      </c>
      <c r="G21" s="141">
        <f>SUM(G9:G20)</f>
        <v>0</v>
      </c>
      <c r="H21" s="141">
        <f t="shared" si="1"/>
        <v>0</v>
      </c>
      <c r="I21" s="141">
        <f t="shared" si="1"/>
        <v>0</v>
      </c>
      <c r="J21" s="141">
        <f t="shared" si="1"/>
        <v>0</v>
      </c>
      <c r="K21" s="141">
        <f t="shared" si="1"/>
        <v>0</v>
      </c>
    </row>
    <row r="22" spans="1:11" ht="15.75" x14ac:dyDescent="0.25">
      <c r="A22" s="28" t="s">
        <v>11</v>
      </c>
      <c r="B22" s="28" t="s">
        <v>56</v>
      </c>
      <c r="C22" s="28" t="s">
        <v>115</v>
      </c>
      <c r="D22" s="18"/>
      <c r="E22" s="18"/>
      <c r="F22" s="18"/>
      <c r="G22" s="18"/>
      <c r="H22" s="140"/>
      <c r="I22" s="140"/>
      <c r="J22" s="140"/>
      <c r="K22" s="140"/>
    </row>
    <row r="23" spans="1:11" ht="15.75" x14ac:dyDescent="0.25">
      <c r="A23" s="31" t="s">
        <v>12</v>
      </c>
      <c r="B23" s="27" t="s">
        <v>56</v>
      </c>
      <c r="C23" s="27" t="s">
        <v>115</v>
      </c>
      <c r="D23" s="14"/>
      <c r="E23" s="14"/>
      <c r="F23" s="14"/>
      <c r="G23" s="14"/>
      <c r="H23" s="110"/>
      <c r="I23" s="110"/>
      <c r="J23" s="110"/>
      <c r="K23" s="110"/>
    </row>
    <row r="24" spans="1:11" ht="15.75" x14ac:dyDescent="0.25">
      <c r="A24" s="31" t="s">
        <v>13</v>
      </c>
      <c r="B24" s="27" t="s">
        <v>56</v>
      </c>
      <c r="C24" s="27" t="s">
        <v>115</v>
      </c>
      <c r="D24" s="14"/>
      <c r="E24" s="14"/>
      <c r="F24" s="14"/>
      <c r="G24" s="14"/>
      <c r="H24" s="110"/>
      <c r="I24" s="110"/>
      <c r="J24" s="110"/>
      <c r="K24" s="110"/>
    </row>
    <row r="25" spans="1:11" ht="15.75" x14ac:dyDescent="0.25">
      <c r="A25" s="27" t="s">
        <v>14</v>
      </c>
      <c r="B25" s="27" t="s">
        <v>55</v>
      </c>
      <c r="C25" s="27" t="s">
        <v>115</v>
      </c>
      <c r="D25" s="14"/>
      <c r="E25" s="14"/>
      <c r="F25" s="14"/>
      <c r="G25" s="14"/>
      <c r="H25" s="110"/>
      <c r="I25" s="110"/>
      <c r="J25" s="110"/>
      <c r="K25" s="110"/>
    </row>
    <row r="26" spans="1:11" ht="15.75" x14ac:dyDescent="0.25">
      <c r="A26" s="31" t="s">
        <v>15</v>
      </c>
      <c r="B26" s="27" t="s">
        <v>56</v>
      </c>
      <c r="C26" s="27" t="s">
        <v>115</v>
      </c>
      <c r="D26" s="14"/>
      <c r="E26" s="14"/>
      <c r="F26" s="14"/>
      <c r="G26" s="14"/>
      <c r="H26" s="110"/>
      <c r="I26" s="110"/>
      <c r="J26" s="110"/>
      <c r="K26" s="110"/>
    </row>
    <row r="27" spans="1:11" ht="15.75" x14ac:dyDescent="0.25">
      <c r="A27" s="31" t="s">
        <v>17</v>
      </c>
      <c r="B27" s="27" t="s">
        <v>56</v>
      </c>
      <c r="C27" s="27" t="s">
        <v>115</v>
      </c>
      <c r="D27" s="14"/>
      <c r="E27" s="14"/>
      <c r="F27" s="14"/>
      <c r="G27" s="14"/>
      <c r="H27" s="110"/>
      <c r="I27" s="110"/>
      <c r="J27" s="110"/>
      <c r="K27" s="110"/>
    </row>
    <row r="28" spans="1:11" ht="15.75" x14ac:dyDescent="0.25">
      <c r="A28" s="31" t="s">
        <v>18</v>
      </c>
      <c r="B28" s="27" t="s">
        <v>56</v>
      </c>
      <c r="C28" s="27" t="s">
        <v>115</v>
      </c>
      <c r="D28" s="14"/>
      <c r="E28" s="14"/>
      <c r="F28" s="14"/>
      <c r="G28" s="14"/>
      <c r="H28" s="110"/>
      <c r="I28" s="110"/>
      <c r="J28" s="110"/>
      <c r="K28" s="110"/>
    </row>
    <row r="29" spans="1:11" ht="15.75" x14ac:dyDescent="0.25">
      <c r="A29" s="27" t="s">
        <v>19</v>
      </c>
      <c r="B29" s="27" t="s">
        <v>56</v>
      </c>
      <c r="C29" s="27" t="s">
        <v>115</v>
      </c>
      <c r="D29" s="14"/>
      <c r="E29" s="14"/>
      <c r="F29" s="14"/>
      <c r="G29" s="14"/>
      <c r="H29" s="110"/>
      <c r="I29" s="110"/>
      <c r="J29" s="110"/>
      <c r="K29" s="110"/>
    </row>
    <row r="30" spans="1:11" ht="15.75" x14ac:dyDescent="0.25">
      <c r="A30" s="27" t="s">
        <v>20</v>
      </c>
      <c r="B30" s="27" t="s">
        <v>56</v>
      </c>
      <c r="C30" s="27" t="s">
        <v>115</v>
      </c>
      <c r="D30" s="14"/>
      <c r="E30" s="14"/>
      <c r="F30" s="14"/>
      <c r="G30" s="14"/>
      <c r="H30" s="110"/>
      <c r="I30" s="110"/>
      <c r="J30" s="110"/>
      <c r="K30" s="110"/>
    </row>
    <row r="31" spans="1:11" ht="15.75" x14ac:dyDescent="0.25">
      <c r="A31" s="27" t="s">
        <v>21</v>
      </c>
      <c r="B31" s="27" t="s">
        <v>56</v>
      </c>
      <c r="C31" s="27" t="s">
        <v>115</v>
      </c>
      <c r="D31" s="14"/>
      <c r="E31" s="14"/>
      <c r="F31" s="14"/>
      <c r="G31" s="14"/>
      <c r="H31" s="110"/>
      <c r="I31" s="110"/>
      <c r="J31" s="110"/>
      <c r="K31" s="110"/>
    </row>
    <row r="32" spans="1:11" ht="15.75" x14ac:dyDescent="0.25">
      <c r="A32" s="27" t="s">
        <v>22</v>
      </c>
      <c r="B32" s="27" t="s">
        <v>56</v>
      </c>
      <c r="C32" s="27" t="s">
        <v>115</v>
      </c>
      <c r="D32" s="14"/>
      <c r="E32" s="14"/>
      <c r="F32" s="14"/>
      <c r="G32" s="14"/>
      <c r="H32" s="110"/>
      <c r="I32" s="110"/>
      <c r="J32" s="110"/>
      <c r="K32" s="110"/>
    </row>
    <row r="33" spans="1:12" ht="15.75" x14ac:dyDescent="0.25">
      <c r="A33" s="27" t="s">
        <v>23</v>
      </c>
      <c r="B33" s="27" t="s">
        <v>56</v>
      </c>
      <c r="C33" s="27" t="s">
        <v>115</v>
      </c>
      <c r="D33" s="14"/>
      <c r="E33" s="14"/>
      <c r="F33" s="14"/>
      <c r="G33" s="14"/>
      <c r="H33" s="110"/>
      <c r="I33" s="110"/>
      <c r="J33" s="110"/>
      <c r="K33" s="110"/>
    </row>
    <row r="34" spans="1:12" ht="15.75" x14ac:dyDescent="0.25">
      <c r="A34" s="27" t="s">
        <v>24</v>
      </c>
      <c r="B34" s="27" t="s">
        <v>56</v>
      </c>
      <c r="C34" s="27" t="s">
        <v>115</v>
      </c>
      <c r="D34" s="14"/>
      <c r="E34" s="14"/>
      <c r="F34" s="14"/>
      <c r="G34" s="14"/>
      <c r="H34" s="110"/>
      <c r="I34" s="110"/>
      <c r="J34" s="110"/>
      <c r="K34" s="110"/>
    </row>
    <row r="35" spans="1:12" ht="15.75" x14ac:dyDescent="0.25">
      <c r="A35" s="31" t="s">
        <v>25</v>
      </c>
      <c r="B35" s="27" t="s">
        <v>56</v>
      </c>
      <c r="C35" s="27" t="s">
        <v>115</v>
      </c>
      <c r="D35" s="14"/>
      <c r="E35" s="14"/>
      <c r="F35" s="14"/>
      <c r="G35" s="14"/>
      <c r="H35" s="110"/>
      <c r="I35" s="110"/>
      <c r="J35" s="110"/>
      <c r="K35" s="110"/>
    </row>
    <row r="36" spans="1:12" ht="15.75" x14ac:dyDescent="0.25">
      <c r="A36" s="27" t="s">
        <v>26</v>
      </c>
      <c r="B36" s="27" t="s">
        <v>56</v>
      </c>
      <c r="C36" s="27" t="s">
        <v>115</v>
      </c>
      <c r="D36" s="14"/>
      <c r="E36" s="14"/>
      <c r="F36" s="14"/>
      <c r="G36" s="14"/>
      <c r="H36" s="110"/>
      <c r="I36" s="110"/>
      <c r="J36" s="110"/>
      <c r="K36" s="110"/>
    </row>
    <row r="37" spans="1:12" ht="15.75" x14ac:dyDescent="0.25">
      <c r="A37" s="27" t="s">
        <v>27</v>
      </c>
      <c r="B37" s="27" t="s">
        <v>56</v>
      </c>
      <c r="C37" s="27" t="s">
        <v>115</v>
      </c>
      <c r="D37" s="14"/>
      <c r="E37" s="14"/>
      <c r="F37" s="14"/>
      <c r="G37" s="14"/>
      <c r="H37" s="110"/>
      <c r="I37" s="110"/>
      <c r="J37" s="110"/>
      <c r="K37" s="110"/>
    </row>
    <row r="38" spans="1:12" ht="15.75" x14ac:dyDescent="0.25">
      <c r="A38" s="27" t="s">
        <v>28</v>
      </c>
      <c r="B38" s="27" t="s">
        <v>56</v>
      </c>
      <c r="C38" s="27" t="s">
        <v>115</v>
      </c>
      <c r="D38" s="14"/>
      <c r="E38" s="14"/>
      <c r="F38" s="14"/>
      <c r="G38" s="14"/>
      <c r="H38" s="110"/>
      <c r="I38" s="110"/>
      <c r="J38" s="110"/>
      <c r="K38" s="110"/>
    </row>
    <row r="39" spans="1:12" ht="15.75" x14ac:dyDescent="0.25">
      <c r="A39" s="27" t="s">
        <v>29</v>
      </c>
      <c r="B39" s="27" t="s">
        <v>56</v>
      </c>
      <c r="C39" s="27" t="s">
        <v>115</v>
      </c>
      <c r="D39" s="14"/>
      <c r="E39" s="14"/>
      <c r="F39" s="14"/>
      <c r="G39" s="14"/>
      <c r="H39" s="110"/>
      <c r="I39" s="110"/>
      <c r="J39" s="110"/>
      <c r="K39" s="110"/>
    </row>
    <row r="40" spans="1:12" ht="15.75" x14ac:dyDescent="0.25">
      <c r="A40" s="27" t="s">
        <v>106</v>
      </c>
      <c r="B40" s="27" t="s">
        <v>55</v>
      </c>
      <c r="C40" s="27" t="s">
        <v>115</v>
      </c>
      <c r="D40" s="14"/>
      <c r="E40" s="14"/>
      <c r="F40" s="14"/>
      <c r="G40" s="14"/>
      <c r="H40" s="110"/>
      <c r="I40" s="110"/>
      <c r="J40" s="110"/>
      <c r="K40" s="110"/>
    </row>
    <row r="41" spans="1:12" ht="15.75" x14ac:dyDescent="0.25">
      <c r="A41" s="27" t="s">
        <v>32</v>
      </c>
      <c r="B41" s="27" t="s">
        <v>55</v>
      </c>
      <c r="C41" s="27" t="s">
        <v>115</v>
      </c>
      <c r="D41" s="14"/>
      <c r="E41" s="14"/>
      <c r="F41" s="14"/>
      <c r="G41" s="14"/>
      <c r="H41" s="110"/>
      <c r="I41" s="110"/>
      <c r="J41" s="110"/>
      <c r="K41" s="110"/>
    </row>
    <row r="42" spans="1:12" ht="15.75" x14ac:dyDescent="0.25">
      <c r="A42" s="31" t="s">
        <v>103</v>
      </c>
      <c r="B42" s="27" t="s">
        <v>56</v>
      </c>
      <c r="C42" s="27" t="s">
        <v>115</v>
      </c>
      <c r="D42" s="14"/>
      <c r="E42" s="14"/>
      <c r="F42" s="14"/>
      <c r="G42" s="14"/>
      <c r="H42" s="110"/>
      <c r="I42" s="110"/>
      <c r="J42" s="110"/>
      <c r="K42" s="110"/>
    </row>
    <row r="43" spans="1:12" ht="15.75" x14ac:dyDescent="0.25">
      <c r="A43" s="27" t="s">
        <v>91</v>
      </c>
      <c r="B43" s="27" t="s">
        <v>56</v>
      </c>
      <c r="C43" s="27" t="s">
        <v>115</v>
      </c>
      <c r="D43" s="14"/>
      <c r="E43" s="14"/>
      <c r="F43" s="14"/>
      <c r="G43" s="14"/>
      <c r="H43" s="110"/>
      <c r="I43" s="110"/>
      <c r="J43" s="110"/>
      <c r="K43" s="110"/>
    </row>
    <row r="44" spans="1:12" ht="15.75" x14ac:dyDescent="0.25">
      <c r="A44" s="27" t="s">
        <v>90</v>
      </c>
      <c r="B44" s="27" t="s">
        <v>56</v>
      </c>
      <c r="C44" s="27" t="s">
        <v>115</v>
      </c>
      <c r="D44" s="14"/>
      <c r="E44" s="14"/>
      <c r="F44" s="14"/>
      <c r="G44" s="14"/>
      <c r="H44" s="110"/>
      <c r="I44" s="110"/>
      <c r="J44" s="110"/>
      <c r="K44" s="110"/>
    </row>
    <row r="45" spans="1:12" ht="15.75" x14ac:dyDescent="0.25">
      <c r="A45" s="27" t="s">
        <v>36</v>
      </c>
      <c r="B45" s="27" t="s">
        <v>55</v>
      </c>
      <c r="C45" s="27" t="s">
        <v>115</v>
      </c>
      <c r="D45" s="14"/>
      <c r="E45" s="14"/>
      <c r="F45" s="14"/>
      <c r="G45" s="14"/>
      <c r="H45" s="110"/>
      <c r="I45" s="110"/>
      <c r="J45" s="110"/>
      <c r="K45" s="110"/>
    </row>
    <row r="46" spans="1:12" ht="15.75" x14ac:dyDescent="0.25">
      <c r="A46" s="27" t="s">
        <v>102</v>
      </c>
      <c r="B46" s="27" t="s">
        <v>55</v>
      </c>
      <c r="C46" s="27" t="s">
        <v>115</v>
      </c>
      <c r="D46" s="14"/>
      <c r="E46" s="14"/>
      <c r="F46" s="14"/>
      <c r="G46" s="14"/>
      <c r="H46" s="110"/>
      <c r="I46" s="110"/>
      <c r="J46" s="110"/>
      <c r="K46" s="110"/>
      <c r="L46" s="159"/>
    </row>
    <row r="47" spans="1:12" ht="15.75" x14ac:dyDescent="0.25">
      <c r="A47" s="27" t="s">
        <v>93</v>
      </c>
      <c r="B47" s="27" t="s">
        <v>56</v>
      </c>
      <c r="C47" s="27" t="s">
        <v>115</v>
      </c>
      <c r="D47" s="14"/>
      <c r="E47" s="14"/>
      <c r="F47" s="14"/>
      <c r="G47" s="14"/>
      <c r="H47" s="110"/>
      <c r="I47" s="110"/>
      <c r="J47" s="110"/>
      <c r="K47" s="110"/>
    </row>
    <row r="48" spans="1:12" ht="15.75" x14ac:dyDescent="0.25">
      <c r="A48" s="27" t="s">
        <v>95</v>
      </c>
      <c r="B48" s="27" t="s">
        <v>56</v>
      </c>
      <c r="C48" s="27" t="s">
        <v>115</v>
      </c>
      <c r="D48" s="14"/>
      <c r="E48" s="14"/>
      <c r="F48" s="14"/>
      <c r="G48" s="14"/>
      <c r="H48" s="110"/>
      <c r="I48" s="110"/>
      <c r="J48" s="110"/>
      <c r="K48" s="110"/>
    </row>
    <row r="49" spans="1:13" ht="15.75" x14ac:dyDescent="0.25">
      <c r="A49" s="27" t="s">
        <v>105</v>
      </c>
      <c r="B49" s="27" t="s">
        <v>56</v>
      </c>
      <c r="C49" s="27" t="s">
        <v>115</v>
      </c>
      <c r="D49" s="14"/>
      <c r="E49" s="14"/>
      <c r="F49" s="14"/>
      <c r="G49" s="14"/>
      <c r="H49" s="110"/>
      <c r="I49" s="110"/>
      <c r="J49" s="110"/>
      <c r="K49" s="110"/>
    </row>
    <row r="50" spans="1:13" ht="15.75" x14ac:dyDescent="0.25">
      <c r="A50" s="27" t="s">
        <v>39</v>
      </c>
      <c r="B50" s="27" t="s">
        <v>56</v>
      </c>
      <c r="C50" s="27" t="s">
        <v>115</v>
      </c>
      <c r="D50" s="14"/>
      <c r="E50" s="14"/>
      <c r="F50" s="14"/>
      <c r="G50" s="14"/>
      <c r="H50" s="110"/>
      <c r="I50" s="110"/>
      <c r="J50" s="110"/>
      <c r="K50" s="110"/>
    </row>
    <row r="51" spans="1:13" ht="15.75" x14ac:dyDescent="0.25">
      <c r="A51" s="27" t="s">
        <v>99</v>
      </c>
      <c r="B51" s="27" t="s">
        <v>56</v>
      </c>
      <c r="C51" s="27" t="s">
        <v>115</v>
      </c>
      <c r="D51" s="14"/>
      <c r="E51" s="14"/>
      <c r="F51" s="14"/>
      <c r="G51" s="14"/>
      <c r="H51" s="110"/>
      <c r="I51" s="110"/>
      <c r="J51" s="110"/>
      <c r="K51" s="110"/>
    </row>
    <row r="52" spans="1:13" ht="15.75" x14ac:dyDescent="0.25">
      <c r="A52" s="27" t="s">
        <v>41</v>
      </c>
      <c r="B52" s="27" t="s">
        <v>56</v>
      </c>
      <c r="C52" s="27" t="s">
        <v>115</v>
      </c>
      <c r="D52" s="14"/>
      <c r="E52" s="14"/>
      <c r="F52" s="14"/>
      <c r="G52" s="14"/>
      <c r="H52" s="110"/>
      <c r="I52" s="110"/>
      <c r="J52" s="110"/>
      <c r="K52" s="110"/>
    </row>
    <row r="53" spans="1:13" ht="16.5" thickBot="1" x14ac:dyDescent="0.3">
      <c r="A53" s="29" t="s">
        <v>96</v>
      </c>
      <c r="B53" s="29" t="s">
        <v>56</v>
      </c>
      <c r="C53" s="29" t="s">
        <v>115</v>
      </c>
      <c r="D53" s="15"/>
      <c r="E53" s="15"/>
      <c r="F53" s="15"/>
      <c r="G53" s="15"/>
      <c r="H53" s="137"/>
      <c r="I53" s="137"/>
      <c r="J53" s="137"/>
      <c r="K53" s="137"/>
    </row>
    <row r="54" spans="1:13" ht="21.75" thickBot="1" x14ac:dyDescent="0.3">
      <c r="A54" s="144" t="s">
        <v>124</v>
      </c>
      <c r="B54" s="142"/>
      <c r="C54" s="142"/>
      <c r="D54" s="141">
        <f t="shared" ref="D54:K54" ca="1" si="2">SUM(D21:D56)</f>
        <v>0</v>
      </c>
      <c r="E54" s="141">
        <f t="shared" ca="1" si="2"/>
        <v>0</v>
      </c>
      <c r="F54" s="141">
        <f t="shared" ca="1" si="2"/>
        <v>0</v>
      </c>
      <c r="G54" s="141">
        <f t="shared" ca="1" si="2"/>
        <v>0</v>
      </c>
      <c r="H54" s="141">
        <f t="shared" ca="1" si="2"/>
        <v>0</v>
      </c>
      <c r="I54" s="141">
        <f t="shared" ca="1" si="2"/>
        <v>0</v>
      </c>
      <c r="J54" s="141">
        <f t="shared" ca="1" si="2"/>
        <v>0</v>
      </c>
      <c r="K54" s="141">
        <f t="shared" ca="1" si="2"/>
        <v>0</v>
      </c>
    </row>
    <row r="55" spans="1:13" ht="15.75" x14ac:dyDescent="0.25">
      <c r="A55" s="31" t="s">
        <v>33</v>
      </c>
      <c r="B55" s="27" t="s">
        <v>123</v>
      </c>
      <c r="C55" s="27" t="s">
        <v>115</v>
      </c>
      <c r="D55" s="14"/>
      <c r="E55" s="14"/>
      <c r="F55" s="14"/>
      <c r="G55" s="14"/>
      <c r="H55" s="110"/>
      <c r="I55" s="110"/>
      <c r="J55" s="110"/>
      <c r="K55" s="110"/>
    </row>
    <row r="56" spans="1:13" ht="15.75" x14ac:dyDescent="0.25">
      <c r="A56" s="27" t="s">
        <v>92</v>
      </c>
      <c r="B56" s="27" t="s">
        <v>123</v>
      </c>
      <c r="C56" s="27" t="s">
        <v>115</v>
      </c>
      <c r="D56" s="14"/>
      <c r="E56" s="14"/>
      <c r="F56" s="14"/>
      <c r="G56" s="14"/>
      <c r="H56" s="110"/>
      <c r="I56" s="110"/>
      <c r="J56" s="110"/>
      <c r="K56" s="110"/>
    </row>
    <row r="57" spans="1:13" ht="15.75" x14ac:dyDescent="0.25">
      <c r="A57" s="27" t="s">
        <v>37</v>
      </c>
      <c r="B57" s="27" t="s">
        <v>123</v>
      </c>
      <c r="C57" s="27" t="s">
        <v>115</v>
      </c>
      <c r="D57" s="14"/>
      <c r="E57" s="14"/>
      <c r="F57" s="14"/>
      <c r="G57" s="14"/>
      <c r="H57" s="110"/>
      <c r="I57" s="110"/>
      <c r="J57" s="110"/>
      <c r="K57" s="110"/>
      <c r="M57" s="154"/>
    </row>
    <row r="58" spans="1:13" ht="15.75" x14ac:dyDescent="0.25">
      <c r="A58" s="27" t="s">
        <v>35</v>
      </c>
      <c r="B58" s="27" t="s">
        <v>123</v>
      </c>
      <c r="C58" s="27" t="s">
        <v>115</v>
      </c>
      <c r="D58" s="14"/>
      <c r="E58" s="14"/>
      <c r="F58" s="14"/>
      <c r="G58" s="14"/>
      <c r="H58" s="110"/>
      <c r="I58" s="110"/>
      <c r="J58" s="110"/>
      <c r="K58" s="110"/>
      <c r="M58" s="154"/>
    </row>
    <row r="59" spans="1:13" ht="15.75" x14ac:dyDescent="0.25">
      <c r="A59" s="28" t="s">
        <v>94</v>
      </c>
      <c r="B59" s="28" t="s">
        <v>123</v>
      </c>
      <c r="C59" s="28" t="s">
        <v>115</v>
      </c>
      <c r="D59" s="14"/>
      <c r="E59" s="14"/>
      <c r="F59" s="14"/>
      <c r="G59" s="14"/>
      <c r="H59" s="110"/>
      <c r="I59" s="110"/>
      <c r="J59" s="110"/>
      <c r="K59" s="110"/>
      <c r="M59" s="154"/>
    </row>
    <row r="60" spans="1:13" ht="15.75" x14ac:dyDescent="0.25">
      <c r="A60" s="31" t="s">
        <v>16</v>
      </c>
      <c r="B60" s="27" t="s">
        <v>123</v>
      </c>
      <c r="C60" s="27" t="s">
        <v>115</v>
      </c>
      <c r="D60" s="14"/>
      <c r="E60" s="14"/>
      <c r="F60" s="14"/>
      <c r="G60" s="14"/>
      <c r="H60" s="110"/>
      <c r="I60" s="110"/>
      <c r="J60" s="110"/>
      <c r="K60" s="110"/>
    </row>
    <row r="61" spans="1:13" ht="16.5" thickBot="1" x14ac:dyDescent="0.3">
      <c r="A61" s="138" t="s">
        <v>107</v>
      </c>
      <c r="B61" s="27" t="s">
        <v>123</v>
      </c>
      <c r="C61" s="27" t="s">
        <v>115</v>
      </c>
      <c r="D61" s="14"/>
      <c r="E61" s="14"/>
      <c r="F61" s="14"/>
      <c r="G61" s="14"/>
      <c r="H61" s="110"/>
      <c r="I61" s="110"/>
      <c r="J61" s="110"/>
      <c r="K61" s="110"/>
    </row>
    <row r="62" spans="1:13" ht="21.75" thickBot="1" x14ac:dyDescent="0.3">
      <c r="A62" s="144" t="s">
        <v>125</v>
      </c>
      <c r="B62" s="142"/>
      <c r="C62" s="142"/>
      <c r="D62" s="141">
        <f t="shared" ref="D62:K62" si="3">SUM(D22:D53)</f>
        <v>0</v>
      </c>
      <c r="E62" s="141">
        <f t="shared" si="3"/>
        <v>0</v>
      </c>
      <c r="F62" s="141">
        <f t="shared" si="3"/>
        <v>0</v>
      </c>
      <c r="G62" s="141">
        <f t="shared" si="3"/>
        <v>0</v>
      </c>
      <c r="H62" s="141">
        <f t="shared" si="3"/>
        <v>0</v>
      </c>
      <c r="I62" s="141">
        <f t="shared" si="3"/>
        <v>0</v>
      </c>
      <c r="J62" s="141">
        <f t="shared" si="3"/>
        <v>0</v>
      </c>
      <c r="K62" s="141">
        <f t="shared" si="3"/>
        <v>0</v>
      </c>
    </row>
    <row r="63" spans="1:13" ht="15.75" x14ac:dyDescent="0.25">
      <c r="A63" s="28" t="s">
        <v>84</v>
      </c>
      <c r="B63" s="27" t="s">
        <v>116</v>
      </c>
      <c r="C63" s="28" t="s">
        <v>110</v>
      </c>
      <c r="D63" s="18"/>
      <c r="E63" s="18"/>
      <c r="F63" s="18"/>
      <c r="G63" s="18"/>
      <c r="H63" s="140"/>
      <c r="I63" s="140"/>
      <c r="J63" s="140"/>
      <c r="K63" s="140"/>
    </row>
    <row r="64" spans="1:13" ht="15.75" x14ac:dyDescent="0.25">
      <c r="A64" s="31" t="s">
        <v>40</v>
      </c>
      <c r="B64" s="27" t="s">
        <v>56</v>
      </c>
      <c r="C64" s="27" t="s">
        <v>111</v>
      </c>
      <c r="D64" s="14"/>
      <c r="E64" s="14"/>
      <c r="F64" s="14"/>
      <c r="G64" s="14"/>
      <c r="H64" s="110"/>
      <c r="I64" s="110"/>
      <c r="J64" s="110"/>
      <c r="K64" s="110"/>
    </row>
    <row r="65" spans="1:12" ht="15.75" x14ac:dyDescent="0.25">
      <c r="A65" s="27" t="s">
        <v>98</v>
      </c>
      <c r="B65" s="27" t="s">
        <v>116</v>
      </c>
      <c r="C65" s="27" t="s">
        <v>111</v>
      </c>
      <c r="D65" s="14"/>
      <c r="E65" s="14"/>
      <c r="F65" s="14"/>
      <c r="G65" s="14"/>
      <c r="H65" s="110"/>
      <c r="I65" s="110"/>
      <c r="J65" s="110"/>
      <c r="K65" s="110"/>
    </row>
    <row r="66" spans="1:12" ht="15.75" x14ac:dyDescent="0.25">
      <c r="A66" s="27" t="s">
        <v>100</v>
      </c>
      <c r="B66" s="27" t="s">
        <v>56</v>
      </c>
      <c r="C66" s="27" t="s">
        <v>111</v>
      </c>
      <c r="D66" s="14"/>
      <c r="E66" s="14"/>
      <c r="F66" s="14"/>
      <c r="G66" s="14"/>
      <c r="H66" s="110"/>
      <c r="I66" s="110"/>
      <c r="J66" s="110"/>
      <c r="K66" s="110"/>
    </row>
    <row r="67" spans="1:12" ht="15.75" x14ac:dyDescent="0.25">
      <c r="A67" s="27" t="s">
        <v>101</v>
      </c>
      <c r="B67" s="27" t="s">
        <v>56</v>
      </c>
      <c r="C67" s="27" t="s">
        <v>111</v>
      </c>
      <c r="D67" s="14"/>
      <c r="E67" s="14"/>
      <c r="F67" s="14"/>
      <c r="G67" s="14"/>
      <c r="H67" s="110"/>
      <c r="I67" s="110"/>
      <c r="J67" s="110"/>
      <c r="K67" s="110"/>
    </row>
    <row r="68" spans="1:12" ht="15.75" x14ac:dyDescent="0.25">
      <c r="A68" s="27" t="s">
        <v>108</v>
      </c>
      <c r="B68" s="27" t="s">
        <v>56</v>
      </c>
      <c r="C68" s="27" t="s">
        <v>111</v>
      </c>
      <c r="D68" s="14"/>
      <c r="E68" s="14"/>
      <c r="F68" s="14"/>
      <c r="G68" s="14"/>
      <c r="H68" s="110"/>
      <c r="I68" s="110"/>
      <c r="J68" s="110"/>
      <c r="K68" s="110"/>
      <c r="L68" s="159"/>
    </row>
    <row r="69" spans="1:12" ht="15.75" x14ac:dyDescent="0.25">
      <c r="A69" s="139" t="s">
        <v>109</v>
      </c>
      <c r="B69" s="27" t="s">
        <v>56</v>
      </c>
      <c r="C69" s="27" t="s">
        <v>111</v>
      </c>
      <c r="D69" s="14"/>
      <c r="E69" s="14"/>
      <c r="F69" s="14"/>
      <c r="G69" s="14"/>
      <c r="H69" s="110"/>
      <c r="I69" s="110"/>
      <c r="J69" s="110"/>
      <c r="K69" s="110"/>
    </row>
    <row r="70" spans="1:12" ht="16.5" thickBot="1" x14ac:dyDescent="0.3">
      <c r="A70" s="29" t="s">
        <v>89</v>
      </c>
      <c r="B70" s="29" t="s">
        <v>56</v>
      </c>
      <c r="C70" s="29" t="s">
        <v>111</v>
      </c>
      <c r="D70" s="15"/>
      <c r="E70" s="15"/>
      <c r="F70" s="15"/>
      <c r="G70" s="15"/>
      <c r="H70" s="137"/>
      <c r="I70" s="137"/>
      <c r="J70" s="137"/>
      <c r="K70" s="137"/>
    </row>
    <row r="71" spans="1:12" ht="21.75" thickBot="1" x14ac:dyDescent="0.3">
      <c r="A71" s="143" t="s">
        <v>44</v>
      </c>
      <c r="B71" s="142"/>
      <c r="C71" s="142"/>
      <c r="D71" s="152">
        <f t="shared" ref="D71:K71" si="4">SUM(D63:D70)</f>
        <v>0</v>
      </c>
      <c r="E71" s="152">
        <f t="shared" si="4"/>
        <v>0</v>
      </c>
      <c r="F71" s="152">
        <f t="shared" si="4"/>
        <v>0</v>
      </c>
      <c r="G71" s="152">
        <f t="shared" si="4"/>
        <v>0</v>
      </c>
      <c r="H71" s="152">
        <f t="shared" si="4"/>
        <v>0</v>
      </c>
      <c r="I71" s="152">
        <f t="shared" si="4"/>
        <v>0</v>
      </c>
      <c r="J71" s="152">
        <f t="shared" si="4"/>
        <v>0</v>
      </c>
      <c r="K71" s="152">
        <f t="shared" si="4"/>
        <v>0</v>
      </c>
    </row>
    <row r="72" spans="1:12" ht="21.75" thickBot="1" x14ac:dyDescent="0.3">
      <c r="A72" s="143" t="s">
        <v>45</v>
      </c>
      <c r="B72" s="142"/>
      <c r="C72" s="142"/>
      <c r="D72" s="143">
        <f t="shared" ref="D72:K72" si="5">D71+D62+D21+D8</f>
        <v>0</v>
      </c>
      <c r="E72" s="143">
        <f t="shared" si="5"/>
        <v>0</v>
      </c>
      <c r="F72" s="145">
        <f t="shared" si="5"/>
        <v>521281.47</v>
      </c>
      <c r="G72" s="143">
        <f t="shared" si="5"/>
        <v>0</v>
      </c>
      <c r="H72" s="143">
        <f t="shared" si="5"/>
        <v>0</v>
      </c>
      <c r="I72" s="143">
        <f t="shared" si="5"/>
        <v>0</v>
      </c>
      <c r="J72" s="143">
        <f t="shared" si="5"/>
        <v>0</v>
      </c>
      <c r="K72" s="143">
        <f t="shared" si="5"/>
        <v>0</v>
      </c>
    </row>
    <row r="73" spans="1:12" x14ac:dyDescent="0.25">
      <c r="H73" s="10"/>
      <c r="I73" s="10"/>
      <c r="J73" s="10"/>
    </row>
    <row r="74" spans="1:12" x14ac:dyDescent="0.25">
      <c r="D74" s="178"/>
      <c r="E74" s="178"/>
      <c r="F74" s="178"/>
      <c r="G74" s="178"/>
    </row>
    <row r="75" spans="1:12" x14ac:dyDescent="0.25">
      <c r="D75" s="158"/>
      <c r="E75" s="158"/>
      <c r="F75" s="158"/>
      <c r="G75" s="158"/>
    </row>
    <row r="76" spans="1:12" x14ac:dyDescent="0.25">
      <c r="D76" s="179"/>
      <c r="E76" s="179"/>
      <c r="F76" s="179"/>
      <c r="G76" s="179"/>
    </row>
    <row r="77" spans="1:12" x14ac:dyDescent="0.25">
      <c r="D77" s="179"/>
      <c r="E77" s="158"/>
      <c r="F77" s="158"/>
      <c r="G77" s="158"/>
    </row>
    <row r="78" spans="1:12" x14ac:dyDescent="0.25">
      <c r="D78" s="179"/>
      <c r="E78" s="179"/>
      <c r="F78" s="179"/>
      <c r="G78" s="179"/>
    </row>
  </sheetData>
  <autoFilter ref="A2:K72" xr:uid="{6259A15B-8C4D-479C-BAB3-74D7E7AAE8D7}"/>
  <mergeCells count="2">
    <mergeCell ref="D1:G1"/>
    <mergeCell ref="H1:K1"/>
  </mergeCells>
  <conditionalFormatting sqref="A1">
    <cfRule type="duplicateValues" dxfId="45" priority="17"/>
    <cfRule type="duplicateValues" dxfId="44" priority="18"/>
  </conditionalFormatting>
  <conditionalFormatting sqref="A14">
    <cfRule type="duplicateValues" dxfId="43" priority="7"/>
    <cfRule type="duplicateValues" dxfId="42" priority="8"/>
  </conditionalFormatting>
  <conditionalFormatting sqref="A55">
    <cfRule type="duplicateValues" dxfId="41" priority="9"/>
    <cfRule type="duplicateValues" dxfId="40" priority="10"/>
  </conditionalFormatting>
  <conditionalFormatting sqref="A56:A58 A7 A22:A53 A60">
    <cfRule type="duplicateValues" dxfId="39" priority="15"/>
    <cfRule type="duplicateValues" dxfId="38" priority="16"/>
  </conditionalFormatting>
  <conditionalFormatting sqref="A59">
    <cfRule type="duplicateValues" dxfId="37" priority="5"/>
    <cfRule type="duplicateValues" dxfId="36" priority="6"/>
  </conditionalFormatting>
  <conditionalFormatting sqref="A63:A70">
    <cfRule type="duplicateValues" dxfId="35" priority="13"/>
    <cfRule type="duplicateValues" dxfId="34" priority="14"/>
  </conditionalFormatting>
  <conditionalFormatting sqref="A71:A72 A2:A6 A8:A13 A15:A21 A54 A62">
    <cfRule type="duplicateValues" dxfId="33" priority="11"/>
    <cfRule type="duplicateValues" dxfId="32" priority="12"/>
  </conditionalFormatting>
  <conditionalFormatting sqref="D72:K72">
    <cfRule type="duplicateValues" dxfId="31" priority="1"/>
    <cfRule type="duplicateValues" dxfId="30" priority="2"/>
  </conditionalFormatting>
  <conditionalFormatting sqref="F8">
    <cfRule type="duplicateValues" dxfId="29" priority="3"/>
    <cfRule type="duplicateValues" dxfId="28" priority="4"/>
  </conditionalFormatting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15C06-AA81-4FF9-BC64-3A1C59A7D754}">
  <sheetPr>
    <tabColor theme="0"/>
  </sheetPr>
  <dimension ref="A1:M72"/>
  <sheetViews>
    <sheetView rightToLeft="1" workbookViewId="0">
      <selection activeCell="D3" sqref="D3"/>
    </sheetView>
  </sheetViews>
  <sheetFormatPr defaultColWidth="30.140625" defaultRowHeight="15" x14ac:dyDescent="0.25"/>
  <cols>
    <col min="1" max="1" width="30" style="33" bestFit="1" customWidth="1"/>
    <col min="2" max="2" width="11.42578125" style="33" bestFit="1" customWidth="1"/>
    <col min="3" max="3" width="11.7109375" style="33" bestFit="1" customWidth="1"/>
    <col min="4" max="4" width="16.85546875" bestFit="1" customWidth="1"/>
    <col min="5" max="5" width="15.28515625" bestFit="1" customWidth="1"/>
    <col min="6" max="6" width="16.85546875" bestFit="1" customWidth="1"/>
    <col min="7" max="7" width="19" bestFit="1" customWidth="1"/>
    <col min="8" max="9" width="15.28515625" style="3" bestFit="1" customWidth="1"/>
    <col min="10" max="10" width="16.85546875" style="3" bestFit="1" customWidth="1"/>
    <col min="11" max="11" width="19" bestFit="1" customWidth="1"/>
  </cols>
  <sheetData>
    <row r="1" spans="1:11" ht="21" x14ac:dyDescent="0.25">
      <c r="A1" s="27"/>
      <c r="B1" s="27"/>
      <c r="C1" s="27"/>
      <c r="D1" s="278">
        <v>2025</v>
      </c>
      <c r="E1" s="278"/>
      <c r="F1" s="278"/>
      <c r="G1" s="278"/>
      <c r="H1" s="279">
        <v>2024</v>
      </c>
      <c r="I1" s="279"/>
      <c r="J1" s="279"/>
      <c r="K1" s="279"/>
    </row>
    <row r="2" spans="1:11" ht="21" x14ac:dyDescent="0.25">
      <c r="A2" s="11" t="s">
        <v>0</v>
      </c>
      <c r="B2" s="24" t="s">
        <v>53</v>
      </c>
      <c r="C2" s="24" t="s">
        <v>117</v>
      </c>
      <c r="D2" s="13" t="s">
        <v>46</v>
      </c>
      <c r="E2" s="13" t="s">
        <v>47</v>
      </c>
      <c r="F2" s="13" t="s">
        <v>48</v>
      </c>
      <c r="G2" s="13" t="s">
        <v>49</v>
      </c>
      <c r="H2" s="109" t="s">
        <v>46</v>
      </c>
      <c r="I2" s="109" t="s">
        <v>47</v>
      </c>
      <c r="J2" s="109" t="s">
        <v>48</v>
      </c>
      <c r="K2" s="109" t="s">
        <v>97</v>
      </c>
    </row>
    <row r="3" spans="1:11" ht="15.75" x14ac:dyDescent="0.25">
      <c r="A3" s="27" t="s">
        <v>1</v>
      </c>
      <c r="B3" s="27" t="s">
        <v>116</v>
      </c>
      <c r="C3" s="27" t="s">
        <v>58</v>
      </c>
      <c r="D3" s="14"/>
      <c r="E3" s="14"/>
      <c r="F3" s="14"/>
      <c r="G3" s="14"/>
      <c r="H3" s="110"/>
      <c r="I3" s="110"/>
      <c r="J3" s="110"/>
      <c r="K3" s="110"/>
    </row>
    <row r="4" spans="1:11" ht="15.75" x14ac:dyDescent="0.25">
      <c r="A4" s="27" t="s">
        <v>2</v>
      </c>
      <c r="B4" s="27" t="s">
        <v>116</v>
      </c>
      <c r="C4" s="27" t="s">
        <v>58</v>
      </c>
      <c r="D4" s="14"/>
      <c r="E4" s="14"/>
      <c r="F4" s="14"/>
      <c r="G4" s="14"/>
      <c r="H4" s="110"/>
      <c r="I4" s="110"/>
      <c r="J4" s="110"/>
      <c r="K4" s="110"/>
    </row>
    <row r="5" spans="1:11" ht="15.75" x14ac:dyDescent="0.25">
      <c r="A5" s="27" t="s">
        <v>112</v>
      </c>
      <c r="B5" s="27" t="s">
        <v>116</v>
      </c>
      <c r="C5" s="27" t="s">
        <v>58</v>
      </c>
      <c r="D5" s="14"/>
      <c r="E5" s="14"/>
      <c r="F5" s="14"/>
      <c r="G5" s="14"/>
      <c r="H5" s="110"/>
      <c r="I5" s="110"/>
      <c r="J5" s="110"/>
      <c r="K5" s="110"/>
    </row>
    <row r="6" spans="1:11" ht="15.75" x14ac:dyDescent="0.25">
      <c r="A6" s="29" t="s">
        <v>113</v>
      </c>
      <c r="B6" s="27" t="s">
        <v>116</v>
      </c>
      <c r="C6" s="29" t="s">
        <v>58</v>
      </c>
      <c r="D6" s="15"/>
      <c r="E6" s="15"/>
      <c r="F6" s="15"/>
      <c r="G6" s="15"/>
      <c r="H6" s="137"/>
      <c r="I6" s="137"/>
      <c r="J6" s="137"/>
      <c r="K6" s="137"/>
    </row>
    <row r="7" spans="1:11" ht="16.5" thickBot="1" x14ac:dyDescent="0.3">
      <c r="A7" s="27" t="s">
        <v>34</v>
      </c>
      <c r="B7" s="27" t="s">
        <v>116</v>
      </c>
      <c r="C7" s="27" t="s">
        <v>58</v>
      </c>
      <c r="D7" s="14"/>
      <c r="E7" s="14"/>
      <c r="F7" s="14"/>
      <c r="G7" s="14"/>
      <c r="H7" s="110"/>
      <c r="I7" s="110"/>
      <c r="J7" s="110"/>
      <c r="K7" s="110"/>
    </row>
    <row r="8" spans="1:11" ht="24" thickBot="1" x14ac:dyDescent="0.4">
      <c r="A8" s="143" t="s">
        <v>3</v>
      </c>
      <c r="B8" s="142"/>
      <c r="C8" s="142"/>
      <c r="D8" s="222">
        <f>SUM(D3:D7)</f>
        <v>0</v>
      </c>
      <c r="E8" s="222">
        <f t="shared" ref="E8:K8" si="0">SUM(E3:E7)</f>
        <v>0</v>
      </c>
      <c r="F8" s="222">
        <f t="shared" si="0"/>
        <v>0</v>
      </c>
      <c r="G8" s="222">
        <f t="shared" si="0"/>
        <v>0</v>
      </c>
      <c r="H8" s="222">
        <f t="shared" si="0"/>
        <v>0</v>
      </c>
      <c r="I8" s="222">
        <f t="shared" si="0"/>
        <v>0</v>
      </c>
      <c r="J8" s="222">
        <f t="shared" si="0"/>
        <v>0</v>
      </c>
      <c r="K8" s="222">
        <f t="shared" si="0"/>
        <v>0</v>
      </c>
    </row>
    <row r="9" spans="1:11" ht="15.75" x14ac:dyDescent="0.25">
      <c r="A9" s="28" t="s">
        <v>4</v>
      </c>
      <c r="B9" s="27" t="s">
        <v>116</v>
      </c>
      <c r="C9" s="28" t="s">
        <v>114</v>
      </c>
      <c r="D9" s="18"/>
      <c r="E9" s="18"/>
      <c r="F9" s="18"/>
      <c r="G9" s="18"/>
      <c r="H9" s="140"/>
      <c r="I9" s="140"/>
      <c r="J9" s="140"/>
      <c r="K9" s="140"/>
    </row>
    <row r="10" spans="1:11" ht="15.75" x14ac:dyDescent="0.25">
      <c r="A10" s="27" t="s">
        <v>5</v>
      </c>
      <c r="B10" s="27" t="s">
        <v>116</v>
      </c>
      <c r="C10" s="27" t="s">
        <v>114</v>
      </c>
      <c r="D10" s="14"/>
      <c r="E10" s="14"/>
      <c r="F10" s="14"/>
      <c r="G10" s="14"/>
      <c r="H10" s="110"/>
      <c r="I10" s="110"/>
      <c r="J10" s="110"/>
      <c r="K10" s="110"/>
    </row>
    <row r="11" spans="1:11" ht="15.75" x14ac:dyDescent="0.25">
      <c r="A11" s="27" t="s">
        <v>6</v>
      </c>
      <c r="B11" s="27" t="s">
        <v>116</v>
      </c>
      <c r="C11" s="27" t="s">
        <v>114</v>
      </c>
      <c r="D11" s="14"/>
      <c r="E11" s="14"/>
      <c r="F11" s="14"/>
      <c r="G11" s="14"/>
      <c r="H11" s="110"/>
      <c r="I11" s="110"/>
      <c r="J11" s="110"/>
      <c r="K11" s="110"/>
    </row>
    <row r="12" spans="1:11" ht="15.75" x14ac:dyDescent="0.25">
      <c r="A12" s="27" t="s">
        <v>7</v>
      </c>
      <c r="B12" s="27" t="s">
        <v>116</v>
      </c>
      <c r="C12" s="27" t="s">
        <v>114</v>
      </c>
      <c r="D12" s="14"/>
      <c r="E12" s="14"/>
      <c r="F12" s="14"/>
      <c r="G12" s="14"/>
      <c r="H12" s="110"/>
      <c r="I12" s="110"/>
      <c r="J12" s="110"/>
      <c r="K12" s="110"/>
    </row>
    <row r="13" spans="1:11" ht="15.75" x14ac:dyDescent="0.25">
      <c r="A13" s="27" t="s">
        <v>8</v>
      </c>
      <c r="B13" s="27" t="s">
        <v>116</v>
      </c>
      <c r="C13" s="27" t="s">
        <v>114</v>
      </c>
      <c r="D13" s="14"/>
      <c r="E13" s="14"/>
      <c r="F13" s="14"/>
      <c r="G13" s="14"/>
      <c r="H13" s="110"/>
      <c r="I13" s="110"/>
      <c r="J13" s="110"/>
      <c r="K13" s="110"/>
    </row>
    <row r="14" spans="1:11" ht="15.75" x14ac:dyDescent="0.25">
      <c r="A14" s="27" t="s">
        <v>9</v>
      </c>
      <c r="B14" s="27" t="s">
        <v>116</v>
      </c>
      <c r="C14" s="27" t="s">
        <v>114</v>
      </c>
      <c r="D14" s="14"/>
      <c r="E14" s="14"/>
      <c r="F14" s="14"/>
      <c r="G14" s="14"/>
      <c r="H14" s="110"/>
      <c r="I14" s="110"/>
      <c r="J14" s="110"/>
      <c r="K14" s="110"/>
    </row>
    <row r="15" spans="1:11" ht="15.75" x14ac:dyDescent="0.25">
      <c r="A15" s="27" t="s">
        <v>31</v>
      </c>
      <c r="B15" s="27" t="s">
        <v>116</v>
      </c>
      <c r="C15" s="27" t="s">
        <v>114</v>
      </c>
      <c r="D15" s="14"/>
      <c r="E15" s="14"/>
      <c r="F15" s="14"/>
      <c r="G15" s="14"/>
      <c r="H15" s="110"/>
      <c r="I15" s="110"/>
      <c r="J15" s="110"/>
      <c r="K15" s="110"/>
    </row>
    <row r="16" spans="1:11" ht="15.75" x14ac:dyDescent="0.25">
      <c r="A16" s="27" t="s">
        <v>104</v>
      </c>
      <c r="B16" s="27" t="s">
        <v>116</v>
      </c>
      <c r="C16" s="27" t="s">
        <v>114</v>
      </c>
      <c r="D16" s="14"/>
      <c r="E16" s="14"/>
      <c r="F16" s="14"/>
      <c r="G16" s="14"/>
      <c r="H16" s="110"/>
      <c r="I16" s="110"/>
      <c r="J16" s="110"/>
      <c r="K16" s="110"/>
    </row>
    <row r="17" spans="1:11" ht="15.75" x14ac:dyDescent="0.25">
      <c r="A17" s="27" t="s">
        <v>42</v>
      </c>
      <c r="B17" s="27" t="s">
        <v>116</v>
      </c>
      <c r="C17" s="27" t="s">
        <v>114</v>
      </c>
      <c r="D17" s="14"/>
      <c r="E17" s="14"/>
      <c r="F17" s="14"/>
      <c r="G17" s="14"/>
      <c r="H17" s="110"/>
      <c r="I17" s="110"/>
      <c r="J17" s="110"/>
      <c r="K17" s="110"/>
    </row>
    <row r="18" spans="1:11" ht="15.75" x14ac:dyDescent="0.25">
      <c r="A18" s="27" t="s">
        <v>43</v>
      </c>
      <c r="B18" s="27" t="s">
        <v>116</v>
      </c>
      <c r="C18" s="27" t="s">
        <v>114</v>
      </c>
      <c r="D18" s="14"/>
      <c r="E18" s="14"/>
      <c r="F18" s="14"/>
      <c r="G18" s="14"/>
      <c r="H18" s="110"/>
      <c r="I18" s="110"/>
      <c r="J18" s="110"/>
      <c r="K18" s="110"/>
    </row>
    <row r="19" spans="1:11" ht="15.75" x14ac:dyDescent="0.25">
      <c r="A19" s="27" t="s">
        <v>30</v>
      </c>
      <c r="B19" s="27" t="s">
        <v>116</v>
      </c>
      <c r="C19" s="27" t="s">
        <v>114</v>
      </c>
      <c r="D19" s="14"/>
      <c r="E19" s="14"/>
      <c r="F19" s="14"/>
      <c r="G19" s="14"/>
      <c r="H19" s="110"/>
      <c r="I19" s="110"/>
      <c r="J19" s="110"/>
      <c r="K19" s="110"/>
    </row>
    <row r="20" spans="1:11" ht="16.5" thickBot="1" x14ac:dyDescent="0.3">
      <c r="A20" s="29" t="s">
        <v>38</v>
      </c>
      <c r="B20" s="27" t="s">
        <v>116</v>
      </c>
      <c r="C20" s="29" t="s">
        <v>114</v>
      </c>
      <c r="D20" s="15"/>
      <c r="E20" s="15"/>
      <c r="F20" s="15"/>
      <c r="G20" s="15"/>
      <c r="H20" s="137"/>
      <c r="I20" s="137"/>
      <c r="J20" s="137"/>
      <c r="K20" s="137"/>
    </row>
    <row r="21" spans="1:11" ht="24" thickBot="1" x14ac:dyDescent="0.4">
      <c r="A21" s="143" t="s">
        <v>10</v>
      </c>
      <c r="B21" s="142"/>
      <c r="C21" s="142"/>
      <c r="D21" s="222">
        <f>SUM(D9:D20)</f>
        <v>0</v>
      </c>
      <c r="E21" s="222">
        <f t="shared" ref="E21:K21" si="1">SUM(E9:E20)</f>
        <v>0</v>
      </c>
      <c r="F21" s="222">
        <f t="shared" si="1"/>
        <v>0</v>
      </c>
      <c r="G21" s="222">
        <f t="shared" si="1"/>
        <v>0</v>
      </c>
      <c r="H21" s="222">
        <f t="shared" si="1"/>
        <v>0</v>
      </c>
      <c r="I21" s="222">
        <f t="shared" si="1"/>
        <v>0</v>
      </c>
      <c r="J21" s="222">
        <f t="shared" si="1"/>
        <v>0</v>
      </c>
      <c r="K21" s="222">
        <f t="shared" si="1"/>
        <v>0</v>
      </c>
    </row>
    <row r="22" spans="1:11" ht="15.75" x14ac:dyDescent="0.25">
      <c r="A22" s="28" t="s">
        <v>11</v>
      </c>
      <c r="B22" s="28" t="s">
        <v>56</v>
      </c>
      <c r="C22" s="28" t="s">
        <v>115</v>
      </c>
      <c r="D22" s="18"/>
      <c r="E22" s="18"/>
      <c r="F22" s="18"/>
      <c r="G22" s="18"/>
      <c r="H22" s="140"/>
      <c r="I22" s="140"/>
      <c r="J22" s="140"/>
      <c r="K22" s="140"/>
    </row>
    <row r="23" spans="1:11" ht="15.75" x14ac:dyDescent="0.25">
      <c r="A23" s="31" t="s">
        <v>12</v>
      </c>
      <c r="B23" s="27" t="s">
        <v>56</v>
      </c>
      <c r="C23" s="27" t="s">
        <v>115</v>
      </c>
      <c r="D23" s="14"/>
      <c r="E23" s="14"/>
      <c r="F23" s="14"/>
      <c r="G23" s="14"/>
      <c r="H23" s="110"/>
      <c r="I23" s="110"/>
      <c r="J23" s="110"/>
      <c r="K23" s="110"/>
    </row>
    <row r="24" spans="1:11" ht="15.75" x14ac:dyDescent="0.25">
      <c r="A24" s="31" t="s">
        <v>13</v>
      </c>
      <c r="B24" s="27" t="s">
        <v>56</v>
      </c>
      <c r="C24" s="27" t="s">
        <v>115</v>
      </c>
      <c r="D24" s="14"/>
      <c r="E24" s="14"/>
      <c r="F24" s="14"/>
      <c r="G24" s="14"/>
      <c r="H24" s="110"/>
      <c r="I24" s="110"/>
      <c r="J24" s="110"/>
      <c r="K24" s="110"/>
    </row>
    <row r="25" spans="1:11" ht="15.75" x14ac:dyDescent="0.25">
      <c r="A25" s="27" t="s">
        <v>14</v>
      </c>
      <c r="B25" s="27" t="s">
        <v>55</v>
      </c>
      <c r="C25" s="27" t="s">
        <v>115</v>
      </c>
      <c r="D25" s="14"/>
      <c r="E25" s="14"/>
      <c r="F25" s="14"/>
      <c r="G25" s="14"/>
      <c r="H25" s="110"/>
      <c r="I25" s="110"/>
      <c r="J25" s="110"/>
      <c r="K25" s="110"/>
    </row>
    <row r="26" spans="1:11" ht="15.75" x14ac:dyDescent="0.25">
      <c r="A26" s="31" t="s">
        <v>15</v>
      </c>
      <c r="B26" s="27" t="s">
        <v>56</v>
      </c>
      <c r="C26" s="27" t="s">
        <v>115</v>
      </c>
      <c r="D26" s="14"/>
      <c r="E26" s="14"/>
      <c r="F26" s="14"/>
      <c r="G26" s="14"/>
      <c r="H26" s="110"/>
      <c r="I26" s="110"/>
      <c r="J26" s="110"/>
      <c r="K26" s="110"/>
    </row>
    <row r="27" spans="1:11" ht="15.75" x14ac:dyDescent="0.25">
      <c r="A27" s="31" t="s">
        <v>17</v>
      </c>
      <c r="B27" s="27" t="s">
        <v>56</v>
      </c>
      <c r="C27" s="27" t="s">
        <v>115</v>
      </c>
      <c r="D27" s="14"/>
      <c r="E27" s="14"/>
      <c r="F27" s="14"/>
      <c r="G27" s="14"/>
      <c r="H27" s="110"/>
      <c r="I27" s="110"/>
      <c r="J27" s="110"/>
      <c r="K27" s="110"/>
    </row>
    <row r="28" spans="1:11" ht="15.75" x14ac:dyDescent="0.25">
      <c r="A28" s="31" t="s">
        <v>18</v>
      </c>
      <c r="B28" s="27" t="s">
        <v>56</v>
      </c>
      <c r="C28" s="27" t="s">
        <v>115</v>
      </c>
      <c r="D28" s="14"/>
      <c r="E28" s="14"/>
      <c r="F28" s="14"/>
      <c r="G28" s="14"/>
      <c r="H28" s="110"/>
      <c r="I28" s="110"/>
      <c r="J28" s="110"/>
      <c r="K28" s="110"/>
    </row>
    <row r="29" spans="1:11" ht="15.75" x14ac:dyDescent="0.25">
      <c r="A29" s="27" t="s">
        <v>19</v>
      </c>
      <c r="B29" s="27" t="s">
        <v>56</v>
      </c>
      <c r="C29" s="27" t="s">
        <v>115</v>
      </c>
      <c r="D29" s="14"/>
      <c r="E29" s="14"/>
      <c r="F29" s="14"/>
      <c r="G29" s="14"/>
      <c r="H29" s="110"/>
      <c r="I29" s="110"/>
      <c r="J29" s="110"/>
      <c r="K29" s="110"/>
    </row>
    <row r="30" spans="1:11" ht="15.75" x14ac:dyDescent="0.25">
      <c r="A30" s="27" t="s">
        <v>20</v>
      </c>
      <c r="B30" s="27" t="s">
        <v>56</v>
      </c>
      <c r="C30" s="27" t="s">
        <v>115</v>
      </c>
      <c r="D30" s="14"/>
      <c r="E30" s="14"/>
      <c r="F30" s="14"/>
      <c r="G30" s="14"/>
      <c r="H30" s="110"/>
      <c r="I30" s="110"/>
      <c r="J30" s="110"/>
      <c r="K30" s="110"/>
    </row>
    <row r="31" spans="1:11" ht="15.75" x14ac:dyDescent="0.25">
      <c r="A31" s="27" t="s">
        <v>21</v>
      </c>
      <c r="B31" s="27" t="s">
        <v>56</v>
      </c>
      <c r="C31" s="27" t="s">
        <v>115</v>
      </c>
      <c r="D31" s="14"/>
      <c r="E31" s="14"/>
      <c r="F31" s="14"/>
      <c r="G31" s="14"/>
      <c r="H31" s="110"/>
      <c r="I31" s="110"/>
      <c r="J31" s="110"/>
      <c r="K31" s="110"/>
    </row>
    <row r="32" spans="1:11" ht="15.75" x14ac:dyDescent="0.25">
      <c r="A32" s="27" t="s">
        <v>22</v>
      </c>
      <c r="B32" s="27" t="s">
        <v>56</v>
      </c>
      <c r="C32" s="27" t="s">
        <v>115</v>
      </c>
      <c r="D32" s="14"/>
      <c r="E32" s="14"/>
      <c r="F32" s="14"/>
      <c r="G32" s="14"/>
      <c r="H32" s="110"/>
      <c r="I32" s="110"/>
      <c r="J32" s="110"/>
      <c r="K32" s="110"/>
    </row>
    <row r="33" spans="1:12" ht="15.75" x14ac:dyDescent="0.25">
      <c r="A33" s="27" t="s">
        <v>23</v>
      </c>
      <c r="B33" s="27" t="s">
        <v>56</v>
      </c>
      <c r="C33" s="27" t="s">
        <v>115</v>
      </c>
      <c r="D33" s="14"/>
      <c r="E33" s="14"/>
      <c r="F33" s="14"/>
      <c r="G33" s="14"/>
      <c r="H33" s="110"/>
      <c r="I33" s="110"/>
      <c r="J33" s="110"/>
      <c r="K33" s="110"/>
    </row>
    <row r="34" spans="1:12" ht="15.75" x14ac:dyDescent="0.25">
      <c r="A34" s="27" t="s">
        <v>24</v>
      </c>
      <c r="B34" s="27" t="s">
        <v>56</v>
      </c>
      <c r="C34" s="27" t="s">
        <v>115</v>
      </c>
      <c r="D34" s="14"/>
      <c r="E34" s="14"/>
      <c r="F34" s="14"/>
      <c r="G34" s="14"/>
      <c r="H34" s="110"/>
      <c r="I34" s="110"/>
      <c r="J34" s="110"/>
      <c r="K34" s="110"/>
    </row>
    <row r="35" spans="1:12" ht="15.75" x14ac:dyDescent="0.25">
      <c r="A35" s="31" t="s">
        <v>25</v>
      </c>
      <c r="B35" s="27" t="s">
        <v>56</v>
      </c>
      <c r="C35" s="27" t="s">
        <v>115</v>
      </c>
      <c r="D35" s="14"/>
      <c r="E35" s="14"/>
      <c r="F35" s="14"/>
      <c r="G35" s="14"/>
      <c r="H35" s="110"/>
      <c r="I35" s="110"/>
      <c r="J35" s="110"/>
      <c r="K35" s="110"/>
    </row>
    <row r="36" spans="1:12" ht="15.75" x14ac:dyDescent="0.25">
      <c r="A36" s="27" t="s">
        <v>26</v>
      </c>
      <c r="B36" s="27" t="s">
        <v>56</v>
      </c>
      <c r="C36" s="27" t="s">
        <v>115</v>
      </c>
      <c r="D36" s="14"/>
      <c r="E36" s="14"/>
      <c r="F36" s="14"/>
      <c r="G36" s="14"/>
      <c r="H36" s="110"/>
      <c r="I36" s="110"/>
      <c r="J36" s="110"/>
      <c r="K36" s="110"/>
    </row>
    <row r="37" spans="1:12" ht="15.75" x14ac:dyDescent="0.25">
      <c r="A37" s="27" t="s">
        <v>27</v>
      </c>
      <c r="B37" s="27" t="s">
        <v>56</v>
      </c>
      <c r="C37" s="27" t="s">
        <v>115</v>
      </c>
      <c r="D37" s="14"/>
      <c r="E37" s="14"/>
      <c r="F37" s="14"/>
      <c r="G37" s="14"/>
      <c r="H37" s="110"/>
      <c r="I37" s="110"/>
      <c r="J37" s="110"/>
      <c r="K37" s="110"/>
    </row>
    <row r="38" spans="1:12" ht="15.75" x14ac:dyDescent="0.25">
      <c r="A38" s="27" t="s">
        <v>28</v>
      </c>
      <c r="B38" s="27" t="s">
        <v>56</v>
      </c>
      <c r="C38" s="27" t="s">
        <v>115</v>
      </c>
      <c r="D38" s="14"/>
      <c r="E38" s="14"/>
      <c r="F38" s="14"/>
      <c r="G38" s="14"/>
      <c r="H38" s="110"/>
      <c r="I38" s="110"/>
      <c r="J38" s="110"/>
      <c r="K38" s="110"/>
    </row>
    <row r="39" spans="1:12" ht="15.75" x14ac:dyDescent="0.25">
      <c r="A39" s="27" t="s">
        <v>29</v>
      </c>
      <c r="B39" s="27" t="s">
        <v>56</v>
      </c>
      <c r="C39" s="27" t="s">
        <v>115</v>
      </c>
      <c r="D39" s="14"/>
      <c r="E39" s="14"/>
      <c r="F39" s="14"/>
      <c r="G39" s="14"/>
      <c r="H39" s="110"/>
      <c r="I39" s="110"/>
      <c r="J39" s="110"/>
      <c r="K39" s="110"/>
    </row>
    <row r="40" spans="1:12" ht="15.75" x14ac:dyDescent="0.25">
      <c r="A40" s="27" t="s">
        <v>106</v>
      </c>
      <c r="B40" s="27" t="s">
        <v>55</v>
      </c>
      <c r="C40" s="27" t="s">
        <v>115</v>
      </c>
      <c r="D40" s="14"/>
      <c r="E40" s="14"/>
      <c r="F40" s="14"/>
      <c r="G40" s="14"/>
      <c r="H40" s="110"/>
      <c r="I40" s="110"/>
      <c r="J40" s="110"/>
      <c r="K40" s="110"/>
    </row>
    <row r="41" spans="1:12" ht="15.75" x14ac:dyDescent="0.25">
      <c r="A41" s="27" t="s">
        <v>32</v>
      </c>
      <c r="B41" s="27" t="s">
        <v>55</v>
      </c>
      <c r="C41" s="27" t="s">
        <v>115</v>
      </c>
      <c r="D41" s="14"/>
      <c r="E41" s="14"/>
      <c r="F41" s="14"/>
      <c r="G41" s="14"/>
      <c r="H41" s="110"/>
      <c r="I41" s="110"/>
      <c r="J41" s="110"/>
      <c r="K41" s="110"/>
    </row>
    <row r="42" spans="1:12" ht="15.75" x14ac:dyDescent="0.25">
      <c r="A42" s="31" t="s">
        <v>103</v>
      </c>
      <c r="B42" s="27" t="s">
        <v>56</v>
      </c>
      <c r="C42" s="27" t="s">
        <v>115</v>
      </c>
      <c r="D42" s="14"/>
      <c r="E42" s="14"/>
      <c r="F42" s="14"/>
      <c r="G42" s="14"/>
      <c r="H42" s="110"/>
      <c r="I42" s="110"/>
      <c r="J42" s="110"/>
      <c r="K42" s="110"/>
    </row>
    <row r="43" spans="1:12" ht="15.75" x14ac:dyDescent="0.25">
      <c r="A43" s="27" t="s">
        <v>91</v>
      </c>
      <c r="B43" s="27" t="s">
        <v>56</v>
      </c>
      <c r="C43" s="27" t="s">
        <v>115</v>
      </c>
      <c r="D43" s="14"/>
      <c r="E43" s="14"/>
      <c r="F43" s="14"/>
      <c r="G43" s="14"/>
      <c r="H43" s="110"/>
      <c r="I43" s="110"/>
      <c r="J43" s="110"/>
      <c r="K43" s="110"/>
    </row>
    <row r="44" spans="1:12" ht="15.75" x14ac:dyDescent="0.25">
      <c r="A44" s="27" t="s">
        <v>90</v>
      </c>
      <c r="B44" s="27" t="s">
        <v>56</v>
      </c>
      <c r="C44" s="27" t="s">
        <v>115</v>
      </c>
      <c r="D44" s="14"/>
      <c r="E44" s="14"/>
      <c r="F44" s="14"/>
      <c r="G44" s="14"/>
      <c r="H44" s="110"/>
      <c r="I44" s="110"/>
      <c r="J44" s="110"/>
      <c r="K44" s="110"/>
    </row>
    <row r="45" spans="1:12" ht="15.75" x14ac:dyDescent="0.25">
      <c r="A45" s="27" t="s">
        <v>36</v>
      </c>
      <c r="B45" s="27" t="s">
        <v>55</v>
      </c>
      <c r="C45" s="27" t="s">
        <v>115</v>
      </c>
      <c r="D45" s="14"/>
      <c r="E45" s="14"/>
      <c r="F45" s="14"/>
      <c r="G45" s="14"/>
      <c r="H45" s="110"/>
      <c r="I45" s="110"/>
      <c r="J45" s="110"/>
      <c r="K45" s="110"/>
    </row>
    <row r="46" spans="1:12" ht="15.75" x14ac:dyDescent="0.25">
      <c r="A46" s="27" t="s">
        <v>102</v>
      </c>
      <c r="B46" s="27" t="s">
        <v>55</v>
      </c>
      <c r="C46" s="27" t="s">
        <v>115</v>
      </c>
      <c r="D46" s="14"/>
      <c r="E46" s="14"/>
      <c r="F46" s="14"/>
      <c r="G46" s="14"/>
      <c r="H46" s="110"/>
      <c r="I46" s="110"/>
      <c r="J46" s="110"/>
      <c r="K46" s="110"/>
      <c r="L46" s="159"/>
    </row>
    <row r="47" spans="1:12" ht="15.75" x14ac:dyDescent="0.25">
      <c r="A47" s="27" t="s">
        <v>93</v>
      </c>
      <c r="B47" s="27" t="s">
        <v>56</v>
      </c>
      <c r="C47" s="27" t="s">
        <v>115</v>
      </c>
      <c r="D47" s="14"/>
      <c r="E47" s="14"/>
      <c r="F47" s="14"/>
      <c r="G47" s="14"/>
      <c r="H47" s="110"/>
      <c r="I47" s="110"/>
      <c r="J47" s="110"/>
      <c r="K47" s="110"/>
    </row>
    <row r="48" spans="1:12" ht="15.75" x14ac:dyDescent="0.25">
      <c r="A48" s="27" t="s">
        <v>95</v>
      </c>
      <c r="B48" s="27" t="s">
        <v>56</v>
      </c>
      <c r="C48" s="27" t="s">
        <v>115</v>
      </c>
      <c r="D48" s="14"/>
      <c r="E48" s="14"/>
      <c r="F48" s="14"/>
      <c r="G48" s="14"/>
      <c r="H48" s="110"/>
      <c r="I48" s="110"/>
      <c r="J48" s="110"/>
      <c r="K48" s="110"/>
    </row>
    <row r="49" spans="1:13" ht="15.75" x14ac:dyDescent="0.25">
      <c r="A49" s="27" t="s">
        <v>105</v>
      </c>
      <c r="B49" s="27" t="s">
        <v>56</v>
      </c>
      <c r="C49" s="27" t="s">
        <v>115</v>
      </c>
      <c r="D49" s="14"/>
      <c r="E49" s="14"/>
      <c r="F49" s="14"/>
      <c r="G49" s="14"/>
      <c r="H49" s="110"/>
      <c r="I49" s="110"/>
      <c r="J49" s="110"/>
      <c r="K49" s="110"/>
    </row>
    <row r="50" spans="1:13" ht="15.75" x14ac:dyDescent="0.25">
      <c r="A50" s="27" t="s">
        <v>39</v>
      </c>
      <c r="B50" s="27" t="s">
        <v>56</v>
      </c>
      <c r="C50" s="27" t="s">
        <v>115</v>
      </c>
      <c r="D50" s="14"/>
      <c r="E50" s="14"/>
      <c r="F50" s="14"/>
      <c r="G50" s="14"/>
      <c r="H50" s="110"/>
      <c r="I50" s="110"/>
      <c r="J50" s="110"/>
      <c r="K50" s="110"/>
    </row>
    <row r="51" spans="1:13" ht="15.75" x14ac:dyDescent="0.25">
      <c r="A51" s="27" t="s">
        <v>99</v>
      </c>
      <c r="B51" s="27" t="s">
        <v>56</v>
      </c>
      <c r="C51" s="27" t="s">
        <v>115</v>
      </c>
      <c r="D51" s="14"/>
      <c r="E51" s="14"/>
      <c r="F51" s="14"/>
      <c r="G51" s="14"/>
      <c r="H51" s="110"/>
      <c r="I51" s="110"/>
      <c r="J51" s="110"/>
      <c r="K51" s="110"/>
    </row>
    <row r="52" spans="1:13" ht="15.75" x14ac:dyDescent="0.25">
      <c r="A52" s="27" t="s">
        <v>41</v>
      </c>
      <c r="B52" s="27" t="s">
        <v>56</v>
      </c>
      <c r="C52" s="27" t="s">
        <v>115</v>
      </c>
      <c r="D52" s="14"/>
      <c r="E52" s="14"/>
      <c r="F52" s="14"/>
      <c r="G52" s="14"/>
      <c r="H52" s="110"/>
      <c r="I52" s="110"/>
      <c r="J52" s="110"/>
      <c r="K52" s="110"/>
    </row>
    <row r="53" spans="1:13" ht="16.5" thickBot="1" x14ac:dyDescent="0.3">
      <c r="A53" s="29" t="s">
        <v>96</v>
      </c>
      <c r="B53" s="29" t="s">
        <v>56</v>
      </c>
      <c r="C53" s="29" t="s">
        <v>115</v>
      </c>
      <c r="D53" s="15"/>
      <c r="E53" s="15"/>
      <c r="F53" s="15"/>
      <c r="G53" s="15"/>
      <c r="H53" s="137"/>
      <c r="I53" s="137"/>
      <c r="J53" s="137"/>
      <c r="K53" s="137"/>
    </row>
    <row r="54" spans="1:13" ht="21.75" thickBot="1" x14ac:dyDescent="0.3">
      <c r="A54" s="144" t="s">
        <v>124</v>
      </c>
      <c r="B54" s="142"/>
      <c r="C54" s="142"/>
      <c r="D54" s="141">
        <f>SUM(D22:D53)</f>
        <v>0</v>
      </c>
      <c r="E54" s="141">
        <f t="shared" ref="E54:K54" si="2">SUM(E22:E53)</f>
        <v>0</v>
      </c>
      <c r="F54" s="141">
        <f t="shared" si="2"/>
        <v>0</v>
      </c>
      <c r="G54" s="141">
        <f t="shared" si="2"/>
        <v>0</v>
      </c>
      <c r="H54" s="141">
        <f t="shared" si="2"/>
        <v>0</v>
      </c>
      <c r="I54" s="141">
        <f t="shared" si="2"/>
        <v>0</v>
      </c>
      <c r="J54" s="141">
        <f t="shared" si="2"/>
        <v>0</v>
      </c>
      <c r="K54" s="141">
        <f t="shared" si="2"/>
        <v>0</v>
      </c>
    </row>
    <row r="55" spans="1:13" ht="15.75" x14ac:dyDescent="0.25">
      <c r="A55" s="31" t="s">
        <v>33</v>
      </c>
      <c r="B55" s="27" t="s">
        <v>123</v>
      </c>
      <c r="C55" s="27" t="s">
        <v>115</v>
      </c>
      <c r="D55" s="14"/>
      <c r="E55" s="14"/>
      <c r="F55" s="14"/>
      <c r="G55" s="14"/>
      <c r="H55" s="110"/>
      <c r="I55" s="110"/>
      <c r="J55" s="110"/>
      <c r="K55" s="110"/>
    </row>
    <row r="56" spans="1:13" ht="15.75" x14ac:dyDescent="0.25">
      <c r="A56" s="27" t="s">
        <v>92</v>
      </c>
      <c r="B56" s="27" t="s">
        <v>123</v>
      </c>
      <c r="C56" s="27" t="s">
        <v>115</v>
      </c>
      <c r="D56" s="14"/>
      <c r="E56" s="14"/>
      <c r="F56" s="14"/>
      <c r="G56" s="14"/>
      <c r="H56" s="110"/>
      <c r="I56" s="110"/>
      <c r="J56" s="110"/>
      <c r="K56" s="110"/>
    </row>
    <row r="57" spans="1:13" ht="15.75" x14ac:dyDescent="0.25">
      <c r="A57" s="27" t="s">
        <v>37</v>
      </c>
      <c r="B57" s="27" t="s">
        <v>123</v>
      </c>
      <c r="C57" s="27" t="s">
        <v>115</v>
      </c>
      <c r="D57" s="14"/>
      <c r="E57" s="14"/>
      <c r="F57" s="14"/>
      <c r="G57" s="14"/>
      <c r="H57" s="110"/>
      <c r="I57" s="110"/>
      <c r="J57" s="110"/>
      <c r="K57" s="110"/>
      <c r="M57" s="154"/>
    </row>
    <row r="58" spans="1:13" ht="15.75" x14ac:dyDescent="0.25">
      <c r="A58" s="27" t="s">
        <v>35</v>
      </c>
      <c r="B58" s="27" t="s">
        <v>123</v>
      </c>
      <c r="C58" s="27" t="s">
        <v>115</v>
      </c>
      <c r="D58" s="14"/>
      <c r="E58" s="14"/>
      <c r="F58" s="14"/>
      <c r="G58" s="14"/>
      <c r="H58" s="110"/>
      <c r="I58" s="110"/>
      <c r="J58" s="110"/>
      <c r="K58" s="110"/>
      <c r="M58" s="154"/>
    </row>
    <row r="59" spans="1:13" ht="15.75" x14ac:dyDescent="0.25">
      <c r="A59" s="28" t="s">
        <v>94</v>
      </c>
      <c r="B59" s="28" t="s">
        <v>123</v>
      </c>
      <c r="C59" s="28" t="s">
        <v>115</v>
      </c>
      <c r="D59" s="14"/>
      <c r="E59" s="14"/>
      <c r="F59" s="14"/>
      <c r="G59" s="14"/>
      <c r="H59" s="110"/>
      <c r="I59" s="110"/>
      <c r="J59" s="110"/>
      <c r="K59" s="110"/>
      <c r="M59" s="154"/>
    </row>
    <row r="60" spans="1:13" ht="15.75" x14ac:dyDescent="0.25">
      <c r="A60" s="31" t="s">
        <v>16</v>
      </c>
      <c r="B60" s="27" t="s">
        <v>123</v>
      </c>
      <c r="C60" s="27" t="s">
        <v>115</v>
      </c>
      <c r="D60" s="14"/>
      <c r="E60" s="14"/>
      <c r="F60" s="14"/>
      <c r="G60" s="14"/>
      <c r="H60" s="110"/>
      <c r="I60" s="110"/>
      <c r="J60" s="110"/>
      <c r="K60" s="110"/>
    </row>
    <row r="61" spans="1:13" ht="16.5" thickBot="1" x14ac:dyDescent="0.3">
      <c r="A61" s="138" t="s">
        <v>107</v>
      </c>
      <c r="B61" s="27" t="s">
        <v>123</v>
      </c>
      <c r="C61" s="27" t="s">
        <v>115</v>
      </c>
      <c r="D61" s="14"/>
      <c r="E61" s="14"/>
      <c r="F61" s="14"/>
      <c r="G61" s="14"/>
      <c r="H61" s="110"/>
      <c r="I61" s="110"/>
      <c r="J61" s="110"/>
      <c r="K61" s="110"/>
    </row>
    <row r="62" spans="1:13" ht="21.75" thickBot="1" x14ac:dyDescent="0.3">
      <c r="A62" s="144" t="s">
        <v>125</v>
      </c>
      <c r="B62" s="142"/>
      <c r="C62" s="142"/>
      <c r="D62" s="141">
        <f>SUM(D55:D61)</f>
        <v>0</v>
      </c>
      <c r="E62" s="141">
        <f t="shared" ref="E62:K62" si="3">SUM(E55:E61)</f>
        <v>0</v>
      </c>
      <c r="F62" s="141">
        <f t="shared" si="3"/>
        <v>0</v>
      </c>
      <c r="G62" s="141">
        <f t="shared" si="3"/>
        <v>0</v>
      </c>
      <c r="H62" s="141">
        <f t="shared" si="3"/>
        <v>0</v>
      </c>
      <c r="I62" s="141">
        <f t="shared" si="3"/>
        <v>0</v>
      </c>
      <c r="J62" s="141">
        <f t="shared" si="3"/>
        <v>0</v>
      </c>
      <c r="K62" s="141">
        <f t="shared" si="3"/>
        <v>0</v>
      </c>
    </row>
    <row r="63" spans="1:13" ht="15.75" x14ac:dyDescent="0.25">
      <c r="A63" s="28" t="s">
        <v>84</v>
      </c>
      <c r="B63" s="27" t="s">
        <v>116</v>
      </c>
      <c r="C63" s="28" t="s">
        <v>110</v>
      </c>
      <c r="D63" s="18"/>
      <c r="E63" s="18"/>
      <c r="F63" s="18"/>
      <c r="G63" s="18"/>
      <c r="H63" s="140"/>
      <c r="I63" s="140"/>
      <c r="J63" s="140"/>
      <c r="K63" s="140"/>
    </row>
    <row r="64" spans="1:13" ht="15.75" x14ac:dyDescent="0.25">
      <c r="A64" s="31" t="s">
        <v>40</v>
      </c>
      <c r="B64" s="27" t="s">
        <v>56</v>
      </c>
      <c r="C64" s="27" t="s">
        <v>111</v>
      </c>
      <c r="D64" s="14"/>
      <c r="E64" s="14"/>
      <c r="F64" s="14"/>
      <c r="G64" s="14"/>
      <c r="H64" s="110"/>
      <c r="I64" s="110"/>
      <c r="J64" s="110"/>
      <c r="K64" s="110"/>
    </row>
    <row r="65" spans="1:12" ht="15.75" x14ac:dyDescent="0.25">
      <c r="A65" s="27" t="s">
        <v>98</v>
      </c>
      <c r="B65" s="27" t="s">
        <v>116</v>
      </c>
      <c r="C65" s="27" t="s">
        <v>111</v>
      </c>
      <c r="D65" s="14"/>
      <c r="E65" s="14"/>
      <c r="F65" s="14"/>
      <c r="G65" s="14"/>
      <c r="H65" s="110"/>
      <c r="I65" s="110"/>
      <c r="J65" s="110"/>
      <c r="K65" s="110"/>
    </row>
    <row r="66" spans="1:12" ht="15.75" x14ac:dyDescent="0.25">
      <c r="A66" s="27" t="s">
        <v>100</v>
      </c>
      <c r="B66" s="27" t="s">
        <v>56</v>
      </c>
      <c r="C66" s="27" t="s">
        <v>111</v>
      </c>
      <c r="D66" s="14"/>
      <c r="E66" s="14"/>
      <c r="F66" s="14"/>
      <c r="G66" s="14"/>
      <c r="H66" s="110"/>
      <c r="I66" s="110"/>
      <c r="J66" s="110"/>
      <c r="K66" s="110"/>
    </row>
    <row r="67" spans="1:12" ht="15.75" x14ac:dyDescent="0.25">
      <c r="A67" s="27" t="s">
        <v>101</v>
      </c>
      <c r="B67" s="27" t="s">
        <v>56</v>
      </c>
      <c r="C67" s="27" t="s">
        <v>111</v>
      </c>
      <c r="D67" s="14"/>
      <c r="E67" s="14"/>
      <c r="F67" s="14"/>
      <c r="G67" s="14"/>
      <c r="H67" s="110"/>
      <c r="I67" s="110"/>
      <c r="J67" s="110"/>
      <c r="K67" s="110"/>
    </row>
    <row r="68" spans="1:12" ht="15.75" x14ac:dyDescent="0.25">
      <c r="A68" s="27" t="s">
        <v>108</v>
      </c>
      <c r="B68" s="27" t="s">
        <v>56</v>
      </c>
      <c r="C68" s="27" t="s">
        <v>111</v>
      </c>
      <c r="D68" s="14"/>
      <c r="E68" s="14"/>
      <c r="F68" s="14"/>
      <c r="G68" s="14"/>
      <c r="H68" s="110"/>
      <c r="I68" s="110"/>
      <c r="J68" s="110"/>
      <c r="K68" s="110"/>
      <c r="L68" s="159"/>
    </row>
    <row r="69" spans="1:12" ht="15.75" x14ac:dyDescent="0.25">
      <c r="A69" s="139" t="s">
        <v>109</v>
      </c>
      <c r="B69" s="27" t="s">
        <v>56</v>
      </c>
      <c r="C69" s="27" t="s">
        <v>111</v>
      </c>
      <c r="D69" s="14"/>
      <c r="E69" s="14"/>
      <c r="F69" s="14"/>
      <c r="G69" s="14"/>
      <c r="H69" s="110"/>
      <c r="I69" s="110"/>
      <c r="J69" s="110"/>
      <c r="K69" s="110"/>
    </row>
    <row r="70" spans="1:12" ht="16.5" thickBot="1" x14ac:dyDescent="0.3">
      <c r="A70" s="29" t="s">
        <v>89</v>
      </c>
      <c r="B70" s="29" t="s">
        <v>56</v>
      </c>
      <c r="C70" s="29" t="s">
        <v>111</v>
      </c>
      <c r="D70" s="15"/>
      <c r="E70" s="15"/>
      <c r="F70" s="15"/>
      <c r="G70" s="15"/>
      <c r="H70" s="137"/>
      <c r="I70" s="137"/>
      <c r="J70" s="137"/>
      <c r="K70" s="137"/>
    </row>
    <row r="71" spans="1:12" ht="21.75" thickBot="1" x14ac:dyDescent="0.3">
      <c r="A71" s="143" t="s">
        <v>44</v>
      </c>
      <c r="B71" s="142"/>
      <c r="C71" s="142"/>
      <c r="D71" s="152">
        <f>SUM(D63:D70)</f>
        <v>0</v>
      </c>
      <c r="E71" s="152">
        <f t="shared" ref="E71:K71" si="4">SUM(E63:E70)</f>
        <v>0</v>
      </c>
      <c r="F71" s="152">
        <f t="shared" si="4"/>
        <v>0</v>
      </c>
      <c r="G71" s="152">
        <f t="shared" si="4"/>
        <v>0</v>
      </c>
      <c r="H71" s="152">
        <f t="shared" si="4"/>
        <v>0</v>
      </c>
      <c r="I71" s="152">
        <f t="shared" si="4"/>
        <v>0</v>
      </c>
      <c r="J71" s="152">
        <f t="shared" si="4"/>
        <v>0</v>
      </c>
      <c r="K71" s="152">
        <f t="shared" si="4"/>
        <v>0</v>
      </c>
    </row>
    <row r="72" spans="1:12" ht="21.75" thickBot="1" x14ac:dyDescent="0.4">
      <c r="A72" s="143" t="s">
        <v>45</v>
      </c>
      <c r="B72" s="142"/>
      <c r="C72" s="142"/>
      <c r="D72" s="226">
        <f>D71+D62+D54+D21+D8</f>
        <v>0</v>
      </c>
      <c r="E72" s="226">
        <f t="shared" ref="E72:K72" si="5">E71+E62+E54+E21+E8</f>
        <v>0</v>
      </c>
      <c r="F72" s="226">
        <f t="shared" si="5"/>
        <v>0</v>
      </c>
      <c r="G72" s="226">
        <f t="shared" si="5"/>
        <v>0</v>
      </c>
      <c r="H72" s="226">
        <f t="shared" si="5"/>
        <v>0</v>
      </c>
      <c r="I72" s="226">
        <f t="shared" si="5"/>
        <v>0</v>
      </c>
      <c r="J72" s="226">
        <f t="shared" si="5"/>
        <v>0</v>
      </c>
      <c r="K72" s="226">
        <f t="shared" si="5"/>
        <v>0</v>
      </c>
    </row>
  </sheetData>
  <autoFilter ref="A2:K72" xr:uid="{5BA15C06-AA81-4FF9-BC64-3A1C59A7D754}"/>
  <mergeCells count="2">
    <mergeCell ref="D1:G1"/>
    <mergeCell ref="H1:K1"/>
  </mergeCells>
  <conditionalFormatting sqref="A1">
    <cfRule type="duplicateValues" dxfId="27" priority="13"/>
    <cfRule type="duplicateValues" dxfId="26" priority="14"/>
  </conditionalFormatting>
  <conditionalFormatting sqref="A14">
    <cfRule type="duplicateValues" dxfId="25" priority="3"/>
    <cfRule type="duplicateValues" dxfId="24" priority="4"/>
  </conditionalFormatting>
  <conditionalFormatting sqref="A55">
    <cfRule type="duplicateValues" dxfId="23" priority="5"/>
    <cfRule type="duplicateValues" dxfId="22" priority="6"/>
  </conditionalFormatting>
  <conditionalFormatting sqref="A56:A58 A7 A22:A53 A60">
    <cfRule type="duplicateValues" dxfId="21" priority="11"/>
    <cfRule type="duplicateValues" dxfId="20" priority="12"/>
  </conditionalFormatting>
  <conditionalFormatting sqref="A59">
    <cfRule type="duplicateValues" dxfId="19" priority="1"/>
    <cfRule type="duplicateValues" dxfId="18" priority="2"/>
  </conditionalFormatting>
  <conditionalFormatting sqref="A63:A70">
    <cfRule type="duplicateValues" dxfId="17" priority="9"/>
    <cfRule type="duplicateValues" dxfId="16" priority="10"/>
  </conditionalFormatting>
  <conditionalFormatting sqref="A71:A72 A2:A6 A8:A13 A15:A21 A54 A62">
    <cfRule type="duplicateValues" dxfId="15" priority="7"/>
    <cfRule type="duplicateValues" dxfId="14" priority="8"/>
  </conditionalFormatting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396A7-850F-4ED5-BFFE-F950115F0DB8}">
  <sheetPr>
    <tabColor theme="5" tint="-0.249977111117893"/>
  </sheetPr>
  <dimension ref="A1:M78"/>
  <sheetViews>
    <sheetView rightToLeft="1" workbookViewId="0">
      <selection sqref="A1:XFD1048576"/>
    </sheetView>
  </sheetViews>
  <sheetFormatPr defaultColWidth="30.140625" defaultRowHeight="15" x14ac:dyDescent="0.25"/>
  <cols>
    <col min="1" max="1" width="30" style="33" bestFit="1" customWidth="1"/>
    <col min="2" max="2" width="11.42578125" style="33" bestFit="1" customWidth="1"/>
    <col min="3" max="3" width="11.7109375" style="33" bestFit="1" customWidth="1"/>
    <col min="4" max="4" width="16.85546875" bestFit="1" customWidth="1"/>
    <col min="5" max="5" width="15.28515625" bestFit="1" customWidth="1"/>
    <col min="6" max="6" width="16.85546875" bestFit="1" customWidth="1"/>
    <col min="7" max="7" width="19" bestFit="1" customWidth="1"/>
    <col min="8" max="9" width="15.28515625" style="3" bestFit="1" customWidth="1"/>
    <col min="10" max="10" width="16.85546875" style="3" bestFit="1" customWidth="1"/>
    <col min="11" max="11" width="19" bestFit="1" customWidth="1"/>
  </cols>
  <sheetData>
    <row r="1" spans="1:11" ht="21" x14ac:dyDescent="0.25">
      <c r="A1" s="27"/>
      <c r="B1" s="27"/>
      <c r="C1" s="27"/>
      <c r="D1" s="278">
        <v>2025</v>
      </c>
      <c r="E1" s="278"/>
      <c r="F1" s="278"/>
      <c r="G1" s="278"/>
      <c r="H1" s="279">
        <v>2024</v>
      </c>
      <c r="I1" s="279"/>
      <c r="J1" s="279"/>
      <c r="K1" s="279"/>
    </row>
    <row r="2" spans="1:11" ht="21" x14ac:dyDescent="0.25">
      <c r="A2" s="11" t="s">
        <v>0</v>
      </c>
      <c r="B2" s="24" t="s">
        <v>53</v>
      </c>
      <c r="C2" s="24" t="s">
        <v>117</v>
      </c>
      <c r="D2" s="13" t="s">
        <v>46</v>
      </c>
      <c r="E2" s="13" t="s">
        <v>47</v>
      </c>
      <c r="F2" s="13" t="s">
        <v>48</v>
      </c>
      <c r="G2" s="13" t="s">
        <v>49</v>
      </c>
      <c r="H2" s="109" t="s">
        <v>46</v>
      </c>
      <c r="I2" s="109" t="s">
        <v>47</v>
      </c>
      <c r="J2" s="109" t="s">
        <v>48</v>
      </c>
      <c r="K2" s="109" t="s">
        <v>97</v>
      </c>
    </row>
    <row r="3" spans="1:11" ht="15.75" x14ac:dyDescent="0.25">
      <c r="A3" s="27" t="s">
        <v>1</v>
      </c>
      <c r="B3" s="27" t="s">
        <v>116</v>
      </c>
      <c r="C3" s="27" t="s">
        <v>58</v>
      </c>
      <c r="D3" s="14"/>
      <c r="E3" s="14"/>
      <c r="F3" s="14"/>
      <c r="G3" s="14"/>
      <c r="H3" s="110"/>
      <c r="I3" s="110"/>
      <c r="J3" s="110"/>
      <c r="K3" s="110"/>
    </row>
    <row r="4" spans="1:11" ht="15.75" x14ac:dyDescent="0.25">
      <c r="A4" s="27" t="s">
        <v>2</v>
      </c>
      <c r="B4" s="27" t="s">
        <v>116</v>
      </c>
      <c r="C4" s="27" t="s">
        <v>58</v>
      </c>
      <c r="D4" s="14"/>
      <c r="E4" s="14"/>
      <c r="F4" s="14"/>
      <c r="G4" s="14"/>
      <c r="H4" s="110"/>
      <c r="I4" s="110"/>
      <c r="J4" s="110"/>
      <c r="K4" s="110"/>
    </row>
    <row r="5" spans="1:11" ht="15.75" x14ac:dyDescent="0.25">
      <c r="A5" s="27" t="s">
        <v>112</v>
      </c>
      <c r="B5" s="27" t="s">
        <v>116</v>
      </c>
      <c r="C5" s="27" t="s">
        <v>58</v>
      </c>
      <c r="D5" s="14"/>
      <c r="E5" s="14"/>
      <c r="F5" s="14"/>
      <c r="G5" s="14"/>
      <c r="H5" s="110"/>
      <c r="I5" s="110"/>
      <c r="J5" s="110"/>
      <c r="K5" s="110"/>
    </row>
    <row r="6" spans="1:11" ht="15.75" x14ac:dyDescent="0.25">
      <c r="A6" s="29" t="s">
        <v>113</v>
      </c>
      <c r="B6" s="27" t="s">
        <v>116</v>
      </c>
      <c r="C6" s="29" t="s">
        <v>58</v>
      </c>
      <c r="D6" s="15"/>
      <c r="E6" s="15"/>
      <c r="F6" s="15"/>
      <c r="G6" s="15"/>
      <c r="H6" s="137"/>
      <c r="I6" s="137"/>
      <c r="J6" s="137"/>
      <c r="K6" s="137"/>
    </row>
    <row r="7" spans="1:11" ht="16.5" thickBot="1" x14ac:dyDescent="0.3">
      <c r="A7" s="27" t="s">
        <v>34</v>
      </c>
      <c r="B7" s="27" t="s">
        <v>116</v>
      </c>
      <c r="C7" s="27" t="s">
        <v>58</v>
      </c>
      <c r="D7" s="14"/>
      <c r="E7" s="14"/>
      <c r="F7" s="14"/>
      <c r="G7" s="14"/>
      <c r="H7" s="110"/>
      <c r="I7" s="110"/>
      <c r="J7" s="110"/>
      <c r="K7" s="110"/>
    </row>
    <row r="8" spans="1:11" ht="21.75" thickBot="1" x14ac:dyDescent="0.3">
      <c r="A8" s="143" t="s">
        <v>3</v>
      </c>
      <c r="B8" s="142"/>
      <c r="C8" s="142"/>
      <c r="D8" s="141">
        <f>SUM(D3:D6)</f>
        <v>0</v>
      </c>
      <c r="E8" s="141">
        <f t="shared" ref="E8:K8" si="0">SUM(E3:E6)</f>
        <v>0</v>
      </c>
      <c r="F8" s="141">
        <f t="shared" si="0"/>
        <v>0</v>
      </c>
      <c r="G8" s="141">
        <f t="shared" si="0"/>
        <v>0</v>
      </c>
      <c r="H8" s="141">
        <f t="shared" si="0"/>
        <v>0</v>
      </c>
      <c r="I8" s="141">
        <f t="shared" si="0"/>
        <v>0</v>
      </c>
      <c r="J8" s="141">
        <f t="shared" si="0"/>
        <v>0</v>
      </c>
      <c r="K8" s="141">
        <f t="shared" si="0"/>
        <v>0</v>
      </c>
    </row>
    <row r="9" spans="1:11" ht="15.75" x14ac:dyDescent="0.25">
      <c r="A9" s="28" t="s">
        <v>4</v>
      </c>
      <c r="B9" s="27" t="s">
        <v>116</v>
      </c>
      <c r="C9" s="28" t="s">
        <v>114</v>
      </c>
      <c r="D9" s="18"/>
      <c r="E9" s="18"/>
      <c r="F9" s="18"/>
      <c r="G9" s="18"/>
      <c r="H9" s="140"/>
      <c r="I9" s="140"/>
      <c r="J9" s="140"/>
      <c r="K9" s="140"/>
    </row>
    <row r="10" spans="1:11" ht="15.75" x14ac:dyDescent="0.25">
      <c r="A10" s="27" t="s">
        <v>5</v>
      </c>
      <c r="B10" s="27" t="s">
        <v>116</v>
      </c>
      <c r="C10" s="27" t="s">
        <v>114</v>
      </c>
      <c r="D10" s="14"/>
      <c r="E10" s="14"/>
      <c r="F10" s="14"/>
      <c r="G10" s="14"/>
      <c r="H10" s="110"/>
      <c r="I10" s="110"/>
      <c r="J10" s="110"/>
      <c r="K10" s="110"/>
    </row>
    <row r="11" spans="1:11" ht="15.75" x14ac:dyDescent="0.25">
      <c r="A11" s="27" t="s">
        <v>6</v>
      </c>
      <c r="B11" s="27" t="s">
        <v>116</v>
      </c>
      <c r="C11" s="27" t="s">
        <v>114</v>
      </c>
      <c r="D11" s="14"/>
      <c r="E11" s="14"/>
      <c r="F11" s="14"/>
      <c r="G11" s="14"/>
      <c r="H11" s="110"/>
      <c r="I11" s="110"/>
      <c r="J11" s="110"/>
      <c r="K11" s="110"/>
    </row>
    <row r="12" spans="1:11" ht="15.75" x14ac:dyDescent="0.25">
      <c r="A12" s="27" t="s">
        <v>7</v>
      </c>
      <c r="B12" s="27" t="s">
        <v>116</v>
      </c>
      <c r="C12" s="27" t="s">
        <v>114</v>
      </c>
      <c r="D12" s="14"/>
      <c r="E12" s="14"/>
      <c r="F12" s="14"/>
      <c r="G12" s="14"/>
      <c r="H12" s="110"/>
      <c r="I12" s="110"/>
      <c r="J12" s="110"/>
      <c r="K12" s="110"/>
    </row>
    <row r="13" spans="1:11" ht="15.75" x14ac:dyDescent="0.25">
      <c r="A13" s="27" t="s">
        <v>8</v>
      </c>
      <c r="B13" s="27" t="s">
        <v>116</v>
      </c>
      <c r="C13" s="27" t="s">
        <v>114</v>
      </c>
      <c r="D13" s="14"/>
      <c r="E13" s="14"/>
      <c r="F13" s="14"/>
      <c r="G13" s="14"/>
      <c r="H13" s="110"/>
      <c r="I13" s="110"/>
      <c r="J13" s="110"/>
      <c r="K13" s="110"/>
    </row>
    <row r="14" spans="1:11" ht="15.75" x14ac:dyDescent="0.25">
      <c r="A14" s="27" t="s">
        <v>9</v>
      </c>
      <c r="B14" s="27" t="s">
        <v>116</v>
      </c>
      <c r="C14" s="27" t="s">
        <v>114</v>
      </c>
      <c r="D14" s="14"/>
      <c r="E14" s="14"/>
      <c r="F14" s="14"/>
      <c r="G14" s="14"/>
      <c r="H14" s="110"/>
      <c r="I14" s="110"/>
      <c r="J14" s="110"/>
      <c r="K14" s="110"/>
    </row>
    <row r="15" spans="1:11" ht="15.75" x14ac:dyDescent="0.25">
      <c r="A15" s="27" t="s">
        <v>31</v>
      </c>
      <c r="B15" s="27" t="s">
        <v>116</v>
      </c>
      <c r="C15" s="27" t="s">
        <v>114</v>
      </c>
      <c r="D15" s="14"/>
      <c r="E15" s="14"/>
      <c r="F15" s="14"/>
      <c r="G15" s="14"/>
      <c r="H15" s="110"/>
      <c r="I15" s="110"/>
      <c r="J15" s="110"/>
      <c r="K15" s="110"/>
    </row>
    <row r="16" spans="1:11" ht="15.75" x14ac:dyDescent="0.25">
      <c r="A16" s="27" t="s">
        <v>104</v>
      </c>
      <c r="B16" s="27" t="s">
        <v>116</v>
      </c>
      <c r="C16" s="27" t="s">
        <v>114</v>
      </c>
      <c r="D16" s="14"/>
      <c r="E16" s="14"/>
      <c r="F16" s="14"/>
      <c r="G16" s="14"/>
      <c r="H16" s="110"/>
      <c r="I16" s="110"/>
      <c r="J16" s="110"/>
      <c r="K16" s="110"/>
    </row>
    <row r="17" spans="1:11" ht="15.75" x14ac:dyDescent="0.25">
      <c r="A17" s="27" t="s">
        <v>42</v>
      </c>
      <c r="B17" s="27" t="s">
        <v>116</v>
      </c>
      <c r="C17" s="27" t="s">
        <v>114</v>
      </c>
      <c r="D17" s="14"/>
      <c r="E17" s="14"/>
      <c r="F17" s="14"/>
      <c r="G17" s="14"/>
      <c r="H17" s="110"/>
      <c r="I17" s="110"/>
      <c r="J17" s="110"/>
      <c r="K17" s="110"/>
    </row>
    <row r="18" spans="1:11" ht="15.75" x14ac:dyDescent="0.25">
      <c r="A18" s="27" t="s">
        <v>43</v>
      </c>
      <c r="B18" s="27" t="s">
        <v>116</v>
      </c>
      <c r="C18" s="27" t="s">
        <v>114</v>
      </c>
      <c r="D18" s="14"/>
      <c r="E18" s="14"/>
      <c r="F18" s="14"/>
      <c r="G18" s="14"/>
      <c r="H18" s="110"/>
      <c r="I18" s="110"/>
      <c r="J18" s="110"/>
      <c r="K18" s="110"/>
    </row>
    <row r="19" spans="1:11" ht="15.75" x14ac:dyDescent="0.25">
      <c r="A19" s="27" t="s">
        <v>30</v>
      </c>
      <c r="B19" s="27" t="s">
        <v>116</v>
      </c>
      <c r="C19" s="27" t="s">
        <v>114</v>
      </c>
      <c r="D19" s="14"/>
      <c r="E19" s="14"/>
      <c r="F19" s="14"/>
      <c r="G19" s="14"/>
      <c r="H19" s="110"/>
      <c r="I19" s="110"/>
      <c r="J19" s="110"/>
      <c r="K19" s="110"/>
    </row>
    <row r="20" spans="1:11" ht="16.5" thickBot="1" x14ac:dyDescent="0.3">
      <c r="A20" s="29" t="s">
        <v>38</v>
      </c>
      <c r="B20" s="27" t="s">
        <v>116</v>
      </c>
      <c r="C20" s="29" t="s">
        <v>114</v>
      </c>
      <c r="D20" s="15"/>
      <c r="E20" s="15"/>
      <c r="F20" s="15"/>
      <c r="G20" s="15"/>
      <c r="H20" s="137"/>
      <c r="I20" s="137"/>
      <c r="J20" s="137"/>
      <c r="K20" s="137"/>
    </row>
    <row r="21" spans="1:11" ht="21.75" thickBot="1" x14ac:dyDescent="0.3">
      <c r="A21" s="143" t="s">
        <v>10</v>
      </c>
      <c r="B21" s="142"/>
      <c r="C21" s="142"/>
      <c r="D21" s="141">
        <f>SUM(D9:D20)</f>
        <v>0</v>
      </c>
      <c r="E21" s="141">
        <f t="shared" ref="E21:K21" si="1">SUM(E9:E20)</f>
        <v>0</v>
      </c>
      <c r="F21" s="141">
        <f t="shared" si="1"/>
        <v>0</v>
      </c>
      <c r="G21" s="141">
        <f>SUM(G9:G20)</f>
        <v>0</v>
      </c>
      <c r="H21" s="141">
        <f t="shared" si="1"/>
        <v>0</v>
      </c>
      <c r="I21" s="141">
        <f t="shared" si="1"/>
        <v>0</v>
      </c>
      <c r="J21" s="141">
        <f t="shared" si="1"/>
        <v>0</v>
      </c>
      <c r="K21" s="141">
        <f t="shared" si="1"/>
        <v>0</v>
      </c>
    </row>
    <row r="22" spans="1:11" ht="15.75" x14ac:dyDescent="0.25">
      <c r="A22" s="28" t="s">
        <v>11</v>
      </c>
      <c r="B22" s="28" t="s">
        <v>56</v>
      </c>
      <c r="C22" s="28" t="s">
        <v>115</v>
      </c>
      <c r="D22" s="18"/>
      <c r="E22" s="18"/>
      <c r="F22" s="18"/>
      <c r="G22" s="18"/>
      <c r="H22" s="140"/>
      <c r="I22" s="140"/>
      <c r="J22" s="140"/>
      <c r="K22" s="140"/>
    </row>
    <row r="23" spans="1:11" ht="15.75" x14ac:dyDescent="0.25">
      <c r="A23" s="31" t="s">
        <v>12</v>
      </c>
      <c r="B23" s="27" t="s">
        <v>56</v>
      </c>
      <c r="C23" s="27" t="s">
        <v>115</v>
      </c>
      <c r="D23" s="14"/>
      <c r="E23" s="14"/>
      <c r="F23" s="14"/>
      <c r="G23" s="14"/>
      <c r="H23" s="110"/>
      <c r="I23" s="110"/>
      <c r="J23" s="110"/>
      <c r="K23" s="110"/>
    </row>
    <row r="24" spans="1:11" ht="15.75" x14ac:dyDescent="0.25">
      <c r="A24" s="31" t="s">
        <v>13</v>
      </c>
      <c r="B24" s="27" t="s">
        <v>56</v>
      </c>
      <c r="C24" s="27" t="s">
        <v>115</v>
      </c>
      <c r="D24" s="14"/>
      <c r="E24" s="14"/>
      <c r="F24" s="14"/>
      <c r="G24" s="14"/>
      <c r="H24" s="110"/>
      <c r="I24" s="110"/>
      <c r="J24" s="110"/>
      <c r="K24" s="110"/>
    </row>
    <row r="25" spans="1:11" ht="15.75" x14ac:dyDescent="0.25">
      <c r="A25" s="27" t="s">
        <v>14</v>
      </c>
      <c r="B25" s="27" t="s">
        <v>55</v>
      </c>
      <c r="C25" s="27" t="s">
        <v>115</v>
      </c>
      <c r="D25" s="14"/>
      <c r="E25" s="14"/>
      <c r="F25" s="14"/>
      <c r="G25" s="14"/>
      <c r="H25" s="110"/>
      <c r="I25" s="110"/>
      <c r="J25" s="110"/>
      <c r="K25" s="110"/>
    </row>
    <row r="26" spans="1:11" ht="15.75" x14ac:dyDescent="0.25">
      <c r="A26" s="31" t="s">
        <v>15</v>
      </c>
      <c r="B26" s="27" t="s">
        <v>56</v>
      </c>
      <c r="C26" s="27" t="s">
        <v>115</v>
      </c>
      <c r="D26" s="14"/>
      <c r="E26" s="14"/>
      <c r="F26" s="14"/>
      <c r="G26" s="14"/>
      <c r="H26" s="110"/>
      <c r="I26" s="110"/>
      <c r="J26" s="110"/>
      <c r="K26" s="110"/>
    </row>
    <row r="27" spans="1:11" ht="15.75" x14ac:dyDescent="0.25">
      <c r="A27" s="31" t="s">
        <v>17</v>
      </c>
      <c r="B27" s="27" t="s">
        <v>56</v>
      </c>
      <c r="C27" s="27" t="s">
        <v>115</v>
      </c>
      <c r="D27" s="14"/>
      <c r="E27" s="14"/>
      <c r="F27" s="14"/>
      <c r="G27" s="14"/>
      <c r="H27" s="110"/>
      <c r="I27" s="110"/>
      <c r="J27" s="110"/>
      <c r="K27" s="110"/>
    </row>
    <row r="28" spans="1:11" ht="15.75" x14ac:dyDescent="0.25">
      <c r="A28" s="31" t="s">
        <v>18</v>
      </c>
      <c r="B28" s="27" t="s">
        <v>56</v>
      </c>
      <c r="C28" s="27" t="s">
        <v>115</v>
      </c>
      <c r="D28" s="14"/>
      <c r="E28" s="14"/>
      <c r="F28" s="14"/>
      <c r="G28" s="14"/>
      <c r="H28" s="110"/>
      <c r="I28" s="110"/>
      <c r="J28" s="110"/>
      <c r="K28" s="110"/>
    </row>
    <row r="29" spans="1:11" ht="15.75" x14ac:dyDescent="0.25">
      <c r="A29" s="27" t="s">
        <v>19</v>
      </c>
      <c r="B29" s="27" t="s">
        <v>56</v>
      </c>
      <c r="C29" s="27" t="s">
        <v>115</v>
      </c>
      <c r="D29" s="14"/>
      <c r="E29" s="14"/>
      <c r="F29" s="14"/>
      <c r="G29" s="14"/>
      <c r="H29" s="110"/>
      <c r="I29" s="110"/>
      <c r="J29" s="110"/>
      <c r="K29" s="110"/>
    </row>
    <row r="30" spans="1:11" ht="15.75" x14ac:dyDescent="0.25">
      <c r="A30" s="27" t="s">
        <v>20</v>
      </c>
      <c r="B30" s="27" t="s">
        <v>56</v>
      </c>
      <c r="C30" s="27" t="s">
        <v>115</v>
      </c>
      <c r="D30" s="14"/>
      <c r="E30" s="14"/>
      <c r="F30" s="14"/>
      <c r="G30" s="14"/>
      <c r="H30" s="110"/>
      <c r="I30" s="110"/>
      <c r="J30" s="110"/>
      <c r="K30" s="110"/>
    </row>
    <row r="31" spans="1:11" ht="15.75" x14ac:dyDescent="0.25">
      <c r="A31" s="27" t="s">
        <v>21</v>
      </c>
      <c r="B31" s="27" t="s">
        <v>56</v>
      </c>
      <c r="C31" s="27" t="s">
        <v>115</v>
      </c>
      <c r="D31" s="14"/>
      <c r="E31" s="14"/>
      <c r="F31" s="14"/>
      <c r="G31" s="14"/>
      <c r="H31" s="110"/>
      <c r="I31" s="110"/>
      <c r="J31" s="110"/>
      <c r="K31" s="110"/>
    </row>
    <row r="32" spans="1:11" ht="15.75" x14ac:dyDescent="0.25">
      <c r="A32" s="27" t="s">
        <v>22</v>
      </c>
      <c r="B32" s="27" t="s">
        <v>56</v>
      </c>
      <c r="C32" s="27" t="s">
        <v>115</v>
      </c>
      <c r="D32" s="14"/>
      <c r="E32" s="14"/>
      <c r="F32" s="14"/>
      <c r="G32" s="14"/>
      <c r="H32" s="110"/>
      <c r="I32" s="110"/>
      <c r="J32" s="110"/>
      <c r="K32" s="110"/>
    </row>
    <row r="33" spans="1:12" ht="15.75" x14ac:dyDescent="0.25">
      <c r="A33" s="27" t="s">
        <v>23</v>
      </c>
      <c r="B33" s="27" t="s">
        <v>56</v>
      </c>
      <c r="C33" s="27" t="s">
        <v>115</v>
      </c>
      <c r="D33" s="14"/>
      <c r="E33" s="14"/>
      <c r="F33" s="14"/>
      <c r="G33" s="14"/>
      <c r="H33" s="110"/>
      <c r="I33" s="110"/>
      <c r="J33" s="110"/>
      <c r="K33" s="110"/>
    </row>
    <row r="34" spans="1:12" ht="15.75" x14ac:dyDescent="0.25">
      <c r="A34" s="27" t="s">
        <v>24</v>
      </c>
      <c r="B34" s="27" t="s">
        <v>56</v>
      </c>
      <c r="C34" s="27" t="s">
        <v>115</v>
      </c>
      <c r="D34" s="14"/>
      <c r="E34" s="14"/>
      <c r="F34" s="14"/>
      <c r="G34" s="14"/>
      <c r="H34" s="110"/>
      <c r="I34" s="110"/>
      <c r="J34" s="110"/>
      <c r="K34" s="110"/>
    </row>
    <row r="35" spans="1:12" ht="15.75" x14ac:dyDescent="0.25">
      <c r="A35" s="31" t="s">
        <v>25</v>
      </c>
      <c r="B35" s="27" t="s">
        <v>56</v>
      </c>
      <c r="C35" s="27" t="s">
        <v>115</v>
      </c>
      <c r="D35" s="14"/>
      <c r="E35" s="14"/>
      <c r="F35" s="14"/>
      <c r="G35" s="14"/>
      <c r="H35" s="110"/>
      <c r="I35" s="110"/>
      <c r="J35" s="110"/>
      <c r="K35" s="110"/>
    </row>
    <row r="36" spans="1:12" ht="15.75" x14ac:dyDescent="0.25">
      <c r="A36" s="27" t="s">
        <v>26</v>
      </c>
      <c r="B36" s="27" t="s">
        <v>56</v>
      </c>
      <c r="C36" s="27" t="s">
        <v>115</v>
      </c>
      <c r="D36" s="14"/>
      <c r="E36" s="14"/>
      <c r="F36" s="14"/>
      <c r="G36" s="14"/>
      <c r="H36" s="110"/>
      <c r="I36" s="110"/>
      <c r="J36" s="110"/>
      <c r="K36" s="110"/>
    </row>
    <row r="37" spans="1:12" ht="15.75" x14ac:dyDescent="0.25">
      <c r="A37" s="27" t="s">
        <v>27</v>
      </c>
      <c r="B37" s="27" t="s">
        <v>56</v>
      </c>
      <c r="C37" s="27" t="s">
        <v>115</v>
      </c>
      <c r="D37" s="14"/>
      <c r="E37" s="14"/>
      <c r="F37" s="14"/>
      <c r="G37" s="14"/>
      <c r="H37" s="110"/>
      <c r="I37" s="110"/>
      <c r="J37" s="110"/>
      <c r="K37" s="110"/>
    </row>
    <row r="38" spans="1:12" ht="15.75" x14ac:dyDescent="0.25">
      <c r="A38" s="27" t="s">
        <v>28</v>
      </c>
      <c r="B38" s="27" t="s">
        <v>56</v>
      </c>
      <c r="C38" s="27" t="s">
        <v>115</v>
      </c>
      <c r="D38" s="14"/>
      <c r="E38" s="14"/>
      <c r="F38" s="14"/>
      <c r="G38" s="14"/>
      <c r="H38" s="110"/>
      <c r="I38" s="110"/>
      <c r="J38" s="110"/>
      <c r="K38" s="110"/>
    </row>
    <row r="39" spans="1:12" ht="15.75" x14ac:dyDescent="0.25">
      <c r="A39" s="27" t="s">
        <v>29</v>
      </c>
      <c r="B39" s="27" t="s">
        <v>56</v>
      </c>
      <c r="C39" s="27" t="s">
        <v>115</v>
      </c>
      <c r="D39" s="14"/>
      <c r="E39" s="14"/>
      <c r="F39" s="14"/>
      <c r="G39" s="14"/>
      <c r="H39" s="110"/>
      <c r="I39" s="110"/>
      <c r="J39" s="110"/>
      <c r="K39" s="110"/>
    </row>
    <row r="40" spans="1:12" ht="15.75" x14ac:dyDescent="0.25">
      <c r="A40" s="27" t="s">
        <v>106</v>
      </c>
      <c r="B40" s="27" t="s">
        <v>55</v>
      </c>
      <c r="C40" s="27" t="s">
        <v>115</v>
      </c>
      <c r="D40" s="14"/>
      <c r="E40" s="14"/>
      <c r="F40" s="14"/>
      <c r="G40" s="14"/>
      <c r="H40" s="110"/>
      <c r="I40" s="110"/>
      <c r="J40" s="110"/>
      <c r="K40" s="110"/>
    </row>
    <row r="41" spans="1:12" ht="15.75" x14ac:dyDescent="0.25">
      <c r="A41" s="27" t="s">
        <v>32</v>
      </c>
      <c r="B41" s="27" t="s">
        <v>55</v>
      </c>
      <c r="C41" s="27" t="s">
        <v>115</v>
      </c>
      <c r="D41" s="14"/>
      <c r="E41" s="14"/>
      <c r="F41" s="14"/>
      <c r="G41" s="14"/>
      <c r="H41" s="110"/>
      <c r="I41" s="110"/>
      <c r="J41" s="110"/>
      <c r="K41" s="110"/>
    </row>
    <row r="42" spans="1:12" ht="15.75" x14ac:dyDescent="0.25">
      <c r="A42" s="31" t="s">
        <v>103</v>
      </c>
      <c r="B42" s="27" t="s">
        <v>56</v>
      </c>
      <c r="C42" s="27" t="s">
        <v>115</v>
      </c>
      <c r="D42" s="14"/>
      <c r="E42" s="14"/>
      <c r="F42" s="14"/>
      <c r="G42" s="14"/>
      <c r="H42" s="110"/>
      <c r="I42" s="110"/>
      <c r="J42" s="110"/>
      <c r="K42" s="110"/>
    </row>
    <row r="43" spans="1:12" ht="15.75" x14ac:dyDescent="0.25">
      <c r="A43" s="27" t="s">
        <v>91</v>
      </c>
      <c r="B43" s="27" t="s">
        <v>56</v>
      </c>
      <c r="C43" s="27" t="s">
        <v>115</v>
      </c>
      <c r="D43" s="14"/>
      <c r="E43" s="14"/>
      <c r="F43" s="14"/>
      <c r="G43" s="14"/>
      <c r="H43" s="110"/>
      <c r="I43" s="110"/>
      <c r="J43" s="110"/>
      <c r="K43" s="110"/>
    </row>
    <row r="44" spans="1:12" ht="15.75" x14ac:dyDescent="0.25">
      <c r="A44" s="27" t="s">
        <v>90</v>
      </c>
      <c r="B44" s="27" t="s">
        <v>56</v>
      </c>
      <c r="C44" s="27" t="s">
        <v>115</v>
      </c>
      <c r="D44" s="14"/>
      <c r="E44" s="14"/>
      <c r="F44" s="14"/>
      <c r="G44" s="14"/>
      <c r="H44" s="110"/>
      <c r="I44" s="110"/>
      <c r="J44" s="110"/>
      <c r="K44" s="110"/>
    </row>
    <row r="45" spans="1:12" ht="15.75" x14ac:dyDescent="0.25">
      <c r="A45" s="27" t="s">
        <v>36</v>
      </c>
      <c r="B45" s="27" t="s">
        <v>55</v>
      </c>
      <c r="C45" s="27" t="s">
        <v>115</v>
      </c>
      <c r="D45" s="14"/>
      <c r="E45" s="14"/>
      <c r="F45" s="14"/>
      <c r="G45" s="14"/>
      <c r="H45" s="110"/>
      <c r="I45" s="110"/>
      <c r="J45" s="110"/>
      <c r="K45" s="110"/>
    </row>
    <row r="46" spans="1:12" ht="15.75" x14ac:dyDescent="0.25">
      <c r="A46" s="27" t="s">
        <v>102</v>
      </c>
      <c r="B46" s="27" t="s">
        <v>55</v>
      </c>
      <c r="C46" s="27" t="s">
        <v>115</v>
      </c>
      <c r="D46" s="14"/>
      <c r="E46" s="14"/>
      <c r="F46" s="14"/>
      <c r="G46" s="14"/>
      <c r="H46" s="110"/>
      <c r="I46" s="110"/>
      <c r="J46" s="110"/>
      <c r="K46" s="110"/>
      <c r="L46" s="159"/>
    </row>
    <row r="47" spans="1:12" ht="15.75" x14ac:dyDescent="0.25">
      <c r="A47" s="27" t="s">
        <v>93</v>
      </c>
      <c r="B47" s="27" t="s">
        <v>56</v>
      </c>
      <c r="C47" s="27" t="s">
        <v>115</v>
      </c>
      <c r="D47" s="14"/>
      <c r="E47" s="14"/>
      <c r="F47" s="14"/>
      <c r="G47" s="14"/>
      <c r="H47" s="110"/>
      <c r="I47" s="110"/>
      <c r="J47" s="110"/>
      <c r="K47" s="110"/>
    </row>
    <row r="48" spans="1:12" ht="15.75" x14ac:dyDescent="0.25">
      <c r="A48" s="27" t="s">
        <v>95</v>
      </c>
      <c r="B48" s="27" t="s">
        <v>56</v>
      </c>
      <c r="C48" s="27" t="s">
        <v>115</v>
      </c>
      <c r="D48" s="14"/>
      <c r="E48" s="14"/>
      <c r="F48" s="14"/>
      <c r="G48" s="14"/>
      <c r="H48" s="110"/>
      <c r="I48" s="110"/>
      <c r="J48" s="110"/>
      <c r="K48" s="110"/>
    </row>
    <row r="49" spans="1:13" ht="15.75" x14ac:dyDescent="0.25">
      <c r="A49" s="27" t="s">
        <v>105</v>
      </c>
      <c r="B49" s="27" t="s">
        <v>56</v>
      </c>
      <c r="C49" s="27" t="s">
        <v>115</v>
      </c>
      <c r="D49" s="14"/>
      <c r="E49" s="14"/>
      <c r="F49" s="14"/>
      <c r="G49" s="14"/>
      <c r="H49" s="110"/>
      <c r="I49" s="110"/>
      <c r="J49" s="110"/>
      <c r="K49" s="110"/>
    </row>
    <row r="50" spans="1:13" ht="15.75" x14ac:dyDescent="0.25">
      <c r="A50" s="27" t="s">
        <v>39</v>
      </c>
      <c r="B50" s="27" t="s">
        <v>56</v>
      </c>
      <c r="C50" s="27" t="s">
        <v>115</v>
      </c>
      <c r="D50" s="14"/>
      <c r="E50" s="14"/>
      <c r="F50" s="14"/>
      <c r="G50" s="14"/>
      <c r="H50" s="110"/>
      <c r="I50" s="110"/>
      <c r="J50" s="110"/>
      <c r="K50" s="110"/>
    </row>
    <row r="51" spans="1:13" ht="15.75" x14ac:dyDescent="0.25">
      <c r="A51" s="27" t="s">
        <v>99</v>
      </c>
      <c r="B51" s="27" t="s">
        <v>56</v>
      </c>
      <c r="C51" s="27" t="s">
        <v>115</v>
      </c>
      <c r="D51" s="14"/>
      <c r="E51" s="14"/>
      <c r="F51" s="14"/>
      <c r="G51" s="14"/>
      <c r="H51" s="110"/>
      <c r="I51" s="110"/>
      <c r="J51" s="110"/>
      <c r="K51" s="110"/>
    </row>
    <row r="52" spans="1:13" ht="15.75" x14ac:dyDescent="0.25">
      <c r="A52" s="27" t="s">
        <v>41</v>
      </c>
      <c r="B52" s="27" t="s">
        <v>56</v>
      </c>
      <c r="C52" s="27" t="s">
        <v>115</v>
      </c>
      <c r="D52" s="14"/>
      <c r="E52" s="14"/>
      <c r="F52" s="14"/>
      <c r="G52" s="14"/>
      <c r="H52" s="110"/>
      <c r="I52" s="110"/>
      <c r="J52" s="110"/>
      <c r="K52" s="110"/>
    </row>
    <row r="53" spans="1:13" ht="16.5" thickBot="1" x14ac:dyDescent="0.3">
      <c r="A53" s="29" t="s">
        <v>96</v>
      </c>
      <c r="B53" s="29" t="s">
        <v>56</v>
      </c>
      <c r="C53" s="29" t="s">
        <v>115</v>
      </c>
      <c r="D53" s="15"/>
      <c r="E53" s="15"/>
      <c r="F53" s="15"/>
      <c r="G53" s="15"/>
      <c r="H53" s="137"/>
      <c r="I53" s="137"/>
      <c r="J53" s="137"/>
      <c r="K53" s="137"/>
    </row>
    <row r="54" spans="1:13" ht="21.75" thickBot="1" x14ac:dyDescent="0.3">
      <c r="A54" s="144" t="s">
        <v>124</v>
      </c>
      <c r="B54" s="142"/>
      <c r="C54" s="142"/>
      <c r="D54" s="141">
        <f t="shared" ref="D54:K54" ca="1" si="2">SUM(D21:D56)</f>
        <v>0</v>
      </c>
      <c r="E54" s="141">
        <f t="shared" ca="1" si="2"/>
        <v>0</v>
      </c>
      <c r="F54" s="141">
        <f t="shared" ca="1" si="2"/>
        <v>0</v>
      </c>
      <c r="G54" s="141">
        <f t="shared" ca="1" si="2"/>
        <v>0</v>
      </c>
      <c r="H54" s="141">
        <f t="shared" ca="1" si="2"/>
        <v>0</v>
      </c>
      <c r="I54" s="141">
        <f t="shared" ca="1" si="2"/>
        <v>0</v>
      </c>
      <c r="J54" s="141">
        <f t="shared" ca="1" si="2"/>
        <v>0</v>
      </c>
      <c r="K54" s="141">
        <f t="shared" ca="1" si="2"/>
        <v>0</v>
      </c>
    </row>
    <row r="55" spans="1:13" ht="15.75" x14ac:dyDescent="0.25">
      <c r="A55" s="31" t="s">
        <v>33</v>
      </c>
      <c r="B55" s="27" t="s">
        <v>123</v>
      </c>
      <c r="C55" s="27" t="s">
        <v>115</v>
      </c>
      <c r="D55" s="14"/>
      <c r="E55" s="14"/>
      <c r="F55" s="14"/>
      <c r="G55" s="14"/>
      <c r="H55" s="110"/>
      <c r="I55" s="110"/>
      <c r="J55" s="110"/>
      <c r="K55" s="110"/>
    </row>
    <row r="56" spans="1:13" ht="15.75" x14ac:dyDescent="0.25">
      <c r="A56" s="27" t="s">
        <v>92</v>
      </c>
      <c r="B56" s="27" t="s">
        <v>123</v>
      </c>
      <c r="C56" s="27" t="s">
        <v>115</v>
      </c>
      <c r="D56" s="14"/>
      <c r="E56" s="14"/>
      <c r="F56" s="14"/>
      <c r="G56" s="14"/>
      <c r="H56" s="110"/>
      <c r="I56" s="110"/>
      <c r="J56" s="110"/>
      <c r="K56" s="110"/>
    </row>
    <row r="57" spans="1:13" ht="15.75" x14ac:dyDescent="0.25">
      <c r="A57" s="27" t="s">
        <v>37</v>
      </c>
      <c r="B57" s="27" t="s">
        <v>123</v>
      </c>
      <c r="C57" s="27" t="s">
        <v>115</v>
      </c>
      <c r="D57" s="14"/>
      <c r="E57" s="14"/>
      <c r="F57" s="14"/>
      <c r="G57" s="14"/>
      <c r="H57" s="110"/>
      <c r="I57" s="110"/>
      <c r="J57" s="110"/>
      <c r="K57" s="110"/>
      <c r="M57" s="154"/>
    </row>
    <row r="58" spans="1:13" ht="15.75" x14ac:dyDescent="0.25">
      <c r="A58" s="27" t="s">
        <v>35</v>
      </c>
      <c r="B58" s="27" t="s">
        <v>123</v>
      </c>
      <c r="C58" s="27" t="s">
        <v>115</v>
      </c>
      <c r="D58" s="14"/>
      <c r="E58" s="14"/>
      <c r="F58" s="14"/>
      <c r="G58" s="14"/>
      <c r="H58" s="110"/>
      <c r="I58" s="110"/>
      <c r="J58" s="110"/>
      <c r="K58" s="110"/>
      <c r="M58" s="154"/>
    </row>
    <row r="59" spans="1:13" ht="15.75" x14ac:dyDescent="0.25">
      <c r="A59" s="28" t="s">
        <v>94</v>
      </c>
      <c r="B59" s="28" t="s">
        <v>123</v>
      </c>
      <c r="C59" s="28" t="s">
        <v>115</v>
      </c>
      <c r="D59" s="14"/>
      <c r="E59" s="14"/>
      <c r="F59" s="14"/>
      <c r="G59" s="14"/>
      <c r="H59" s="110"/>
      <c r="I59" s="110"/>
      <c r="J59" s="110"/>
      <c r="K59" s="110"/>
      <c r="M59" s="154"/>
    </row>
    <row r="60" spans="1:13" ht="15.75" x14ac:dyDescent="0.25">
      <c r="A60" s="31" t="s">
        <v>16</v>
      </c>
      <c r="B60" s="27" t="s">
        <v>123</v>
      </c>
      <c r="C60" s="27" t="s">
        <v>115</v>
      </c>
      <c r="D60" s="14"/>
      <c r="E60" s="14"/>
      <c r="F60" s="14"/>
      <c r="G60" s="14"/>
      <c r="H60" s="110"/>
      <c r="I60" s="110"/>
      <c r="J60" s="110"/>
      <c r="K60" s="110"/>
    </row>
    <row r="61" spans="1:13" ht="16.5" thickBot="1" x14ac:dyDescent="0.3">
      <c r="A61" s="138" t="s">
        <v>107</v>
      </c>
      <c r="B61" s="27" t="s">
        <v>123</v>
      </c>
      <c r="C61" s="27" t="s">
        <v>115</v>
      </c>
      <c r="D61" s="14"/>
      <c r="E61" s="14"/>
      <c r="F61" s="14"/>
      <c r="G61" s="14"/>
      <c r="H61" s="110"/>
      <c r="I61" s="110"/>
      <c r="J61" s="110"/>
      <c r="K61" s="110"/>
    </row>
    <row r="62" spans="1:13" ht="21.75" thickBot="1" x14ac:dyDescent="0.3">
      <c r="A62" s="144" t="s">
        <v>125</v>
      </c>
      <c r="B62" s="142"/>
      <c r="C62" s="142"/>
      <c r="D62" s="141">
        <f t="shared" ref="D62:K62" si="3">SUM(D22:D53)</f>
        <v>0</v>
      </c>
      <c r="E62" s="141">
        <f t="shared" si="3"/>
        <v>0</v>
      </c>
      <c r="F62" s="141">
        <f t="shared" si="3"/>
        <v>0</v>
      </c>
      <c r="G62" s="141">
        <f t="shared" si="3"/>
        <v>0</v>
      </c>
      <c r="H62" s="141">
        <f t="shared" si="3"/>
        <v>0</v>
      </c>
      <c r="I62" s="141">
        <f t="shared" si="3"/>
        <v>0</v>
      </c>
      <c r="J62" s="141">
        <f t="shared" si="3"/>
        <v>0</v>
      </c>
      <c r="K62" s="141">
        <f t="shared" si="3"/>
        <v>0</v>
      </c>
    </row>
    <row r="63" spans="1:13" ht="15.75" x14ac:dyDescent="0.25">
      <c r="A63" s="28" t="s">
        <v>84</v>
      </c>
      <c r="B63" s="27" t="s">
        <v>116</v>
      </c>
      <c r="C63" s="28" t="s">
        <v>110</v>
      </c>
      <c r="D63" s="18"/>
      <c r="E63" s="18"/>
      <c r="F63" s="18"/>
      <c r="G63" s="18"/>
      <c r="H63" s="140"/>
      <c r="I63" s="140"/>
      <c r="J63" s="140"/>
      <c r="K63" s="140"/>
    </row>
    <row r="64" spans="1:13" ht="15.75" x14ac:dyDescent="0.25">
      <c r="A64" s="31" t="s">
        <v>40</v>
      </c>
      <c r="B64" s="27" t="s">
        <v>56</v>
      </c>
      <c r="C64" s="27" t="s">
        <v>111</v>
      </c>
      <c r="D64" s="14"/>
      <c r="E64" s="14"/>
      <c r="F64" s="14"/>
      <c r="G64" s="14"/>
      <c r="H64" s="110"/>
      <c r="I64" s="110"/>
      <c r="J64" s="110"/>
      <c r="K64" s="110"/>
    </row>
    <row r="65" spans="1:12" ht="15.75" x14ac:dyDescent="0.25">
      <c r="A65" s="27" t="s">
        <v>98</v>
      </c>
      <c r="B65" s="27" t="s">
        <v>116</v>
      </c>
      <c r="C65" s="27" t="s">
        <v>111</v>
      </c>
      <c r="D65" s="14"/>
      <c r="E65" s="14"/>
      <c r="F65" s="14"/>
      <c r="G65" s="14"/>
      <c r="H65" s="110"/>
      <c r="I65" s="110"/>
      <c r="J65" s="110"/>
      <c r="K65" s="110"/>
    </row>
    <row r="66" spans="1:12" ht="15.75" x14ac:dyDescent="0.25">
      <c r="A66" s="27" t="s">
        <v>100</v>
      </c>
      <c r="B66" s="27" t="s">
        <v>56</v>
      </c>
      <c r="C66" s="27" t="s">
        <v>111</v>
      </c>
      <c r="D66" s="14"/>
      <c r="E66" s="14"/>
      <c r="F66" s="14"/>
      <c r="G66" s="14"/>
      <c r="H66" s="110"/>
      <c r="I66" s="110"/>
      <c r="J66" s="110"/>
      <c r="K66" s="110"/>
    </row>
    <row r="67" spans="1:12" ht="15.75" x14ac:dyDescent="0.25">
      <c r="A67" s="27" t="s">
        <v>101</v>
      </c>
      <c r="B67" s="27" t="s">
        <v>56</v>
      </c>
      <c r="C67" s="27" t="s">
        <v>111</v>
      </c>
      <c r="D67" s="14"/>
      <c r="E67" s="14"/>
      <c r="F67" s="14"/>
      <c r="G67" s="14"/>
      <c r="H67" s="110"/>
      <c r="I67" s="110"/>
      <c r="J67" s="110"/>
      <c r="K67" s="110"/>
    </row>
    <row r="68" spans="1:12" ht="15.75" x14ac:dyDescent="0.25">
      <c r="A68" s="27" t="s">
        <v>108</v>
      </c>
      <c r="B68" s="27" t="s">
        <v>56</v>
      </c>
      <c r="C68" s="27" t="s">
        <v>111</v>
      </c>
      <c r="D68" s="14"/>
      <c r="E68" s="14"/>
      <c r="F68" s="14"/>
      <c r="G68" s="14"/>
      <c r="H68" s="110"/>
      <c r="I68" s="110"/>
      <c r="J68" s="110"/>
      <c r="K68" s="110"/>
      <c r="L68" s="159"/>
    </row>
    <row r="69" spans="1:12" ht="15.75" x14ac:dyDescent="0.25">
      <c r="A69" s="139" t="s">
        <v>109</v>
      </c>
      <c r="B69" s="27" t="s">
        <v>56</v>
      </c>
      <c r="C69" s="27" t="s">
        <v>111</v>
      </c>
      <c r="D69" s="14"/>
      <c r="E69" s="14"/>
      <c r="F69" s="14"/>
      <c r="G69" s="14"/>
      <c r="H69" s="110"/>
      <c r="I69" s="110"/>
      <c r="J69" s="110"/>
      <c r="K69" s="110"/>
    </row>
    <row r="70" spans="1:12" ht="16.5" thickBot="1" x14ac:dyDescent="0.3">
      <c r="A70" s="29" t="s">
        <v>89</v>
      </c>
      <c r="B70" s="29" t="s">
        <v>56</v>
      </c>
      <c r="C70" s="29" t="s">
        <v>111</v>
      </c>
      <c r="D70" s="15"/>
      <c r="E70" s="15"/>
      <c r="F70" s="15"/>
      <c r="G70" s="15"/>
      <c r="H70" s="137"/>
      <c r="I70" s="137"/>
      <c r="J70" s="137"/>
      <c r="K70" s="137"/>
    </row>
    <row r="71" spans="1:12" ht="21.75" thickBot="1" x14ac:dyDescent="0.3">
      <c r="A71" s="143" t="s">
        <v>44</v>
      </c>
      <c r="B71" s="142"/>
      <c r="C71" s="142"/>
      <c r="D71" s="152">
        <f t="shared" ref="D71:K71" si="4">SUM(D63:D70)</f>
        <v>0</v>
      </c>
      <c r="E71" s="152">
        <f t="shared" si="4"/>
        <v>0</v>
      </c>
      <c r="F71" s="152">
        <f t="shared" si="4"/>
        <v>0</v>
      </c>
      <c r="G71" s="152">
        <f t="shared" si="4"/>
        <v>0</v>
      </c>
      <c r="H71" s="152">
        <f t="shared" si="4"/>
        <v>0</v>
      </c>
      <c r="I71" s="152">
        <f t="shared" si="4"/>
        <v>0</v>
      </c>
      <c r="J71" s="152">
        <f t="shared" si="4"/>
        <v>0</v>
      </c>
      <c r="K71" s="152">
        <f t="shared" si="4"/>
        <v>0</v>
      </c>
    </row>
    <row r="72" spans="1:12" ht="21.75" thickBot="1" x14ac:dyDescent="0.3">
      <c r="A72" s="143" t="s">
        <v>45</v>
      </c>
      <c r="B72" s="142"/>
      <c r="C72" s="142"/>
      <c r="D72" s="153">
        <f t="shared" ref="D72:K72" si="5">D71+D62+D21+D8</f>
        <v>0</v>
      </c>
      <c r="E72" s="153">
        <f t="shared" si="5"/>
        <v>0</v>
      </c>
      <c r="F72" s="153">
        <f t="shared" si="5"/>
        <v>0</v>
      </c>
      <c r="G72" s="153">
        <f t="shared" si="5"/>
        <v>0</v>
      </c>
      <c r="H72" s="153">
        <f t="shared" si="5"/>
        <v>0</v>
      </c>
      <c r="I72" s="153">
        <f t="shared" si="5"/>
        <v>0</v>
      </c>
      <c r="J72" s="153">
        <f t="shared" si="5"/>
        <v>0</v>
      </c>
      <c r="K72" s="153">
        <f t="shared" si="5"/>
        <v>0</v>
      </c>
    </row>
    <row r="73" spans="1:12" x14ac:dyDescent="0.25">
      <c r="H73" s="10"/>
      <c r="I73" s="10"/>
      <c r="J73" s="10"/>
    </row>
    <row r="74" spans="1:12" x14ac:dyDescent="0.25">
      <c r="D74" s="178"/>
      <c r="E74" s="178"/>
      <c r="F74" s="178"/>
      <c r="G74" s="178"/>
    </row>
    <row r="75" spans="1:12" x14ac:dyDescent="0.25">
      <c r="D75" s="158"/>
      <c r="E75" s="158"/>
      <c r="F75" s="158"/>
      <c r="G75" s="158"/>
    </row>
    <row r="76" spans="1:12" x14ac:dyDescent="0.25">
      <c r="D76" s="179"/>
      <c r="E76" s="179"/>
      <c r="F76" s="179"/>
      <c r="G76" s="179"/>
    </row>
    <row r="77" spans="1:12" x14ac:dyDescent="0.25">
      <c r="D77" s="179"/>
      <c r="E77" s="158"/>
      <c r="F77" s="158"/>
      <c r="G77" s="158"/>
    </row>
    <row r="78" spans="1:12" x14ac:dyDescent="0.25">
      <c r="D78" s="179"/>
      <c r="E78" s="179"/>
      <c r="F78" s="179"/>
      <c r="G78" s="179"/>
    </row>
  </sheetData>
  <autoFilter ref="A2:K72" xr:uid="{999396A7-850F-4ED5-BFFE-F950115F0DB8}"/>
  <mergeCells count="2">
    <mergeCell ref="D1:G1"/>
    <mergeCell ref="H1:K1"/>
  </mergeCells>
  <conditionalFormatting sqref="A1">
    <cfRule type="duplicateValues" dxfId="13" priority="13"/>
    <cfRule type="duplicateValues" dxfId="12" priority="14"/>
  </conditionalFormatting>
  <conditionalFormatting sqref="A14">
    <cfRule type="duplicateValues" dxfId="11" priority="3"/>
    <cfRule type="duplicateValues" dxfId="10" priority="4"/>
  </conditionalFormatting>
  <conditionalFormatting sqref="A55">
    <cfRule type="duplicateValues" dxfId="9" priority="5"/>
    <cfRule type="duplicateValues" dxfId="8" priority="6"/>
  </conditionalFormatting>
  <conditionalFormatting sqref="A56:A58 A7 A22:A53 A60">
    <cfRule type="duplicateValues" dxfId="7" priority="11"/>
    <cfRule type="duplicateValues" dxfId="6" priority="12"/>
  </conditionalFormatting>
  <conditionalFormatting sqref="A59">
    <cfRule type="duplicateValues" dxfId="5" priority="1"/>
    <cfRule type="duplicateValues" dxfId="4" priority="2"/>
  </conditionalFormatting>
  <conditionalFormatting sqref="A63:A70">
    <cfRule type="duplicateValues" dxfId="3" priority="9"/>
    <cfRule type="duplicateValues" dxfId="2" priority="10"/>
  </conditionalFormatting>
  <conditionalFormatting sqref="A71:A72 A2:A6 A8:A13 A15:A21 A54 A62">
    <cfRule type="duplicateValues" dxfId="1" priority="7"/>
    <cfRule type="duplicateValues" dxfId="0" priority="8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18</vt:i4>
      </vt:variant>
    </vt:vector>
  </HeadingPairs>
  <TitlesOfParts>
    <vt:vector size="18" baseType="lpstr">
      <vt:lpstr>דוח הנהלה</vt:lpstr>
      <vt:lpstr>תפוקה מצטברת מול אשתקד</vt:lpstr>
      <vt:lpstr>תפוקה מצטברת מול יעד מצטבר</vt:lpstr>
      <vt:lpstr>תפוקה מול יעד חודשי</vt:lpstr>
      <vt:lpstr>עולים יורדים</vt:lpstr>
      <vt:lpstr>הכשרה</vt:lpstr>
      <vt:lpstr>מגדל</vt:lpstr>
      <vt:lpstr>מנורה</vt:lpstr>
      <vt:lpstr>איילון</vt:lpstr>
      <vt:lpstr>הראל</vt:lpstr>
      <vt:lpstr>הפניקס</vt:lpstr>
      <vt:lpstr>כלל</vt:lpstr>
      <vt:lpstr>מור</vt:lpstr>
      <vt:lpstr>אלטשולר שחם</vt:lpstr>
      <vt:lpstr>מדיהו </vt:lpstr>
      <vt:lpstr>אנליסט </vt:lpstr>
      <vt:lpstr>מיטב דש</vt:lpstr>
      <vt:lpstr>אינפניטי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lena</dc:creator>
  <cp:lastModifiedBy>office 9</cp:lastModifiedBy>
  <cp:lastPrinted>2024-04-20T19:16:09Z</cp:lastPrinted>
  <dcterms:created xsi:type="dcterms:W3CDTF">2023-08-01T07:26:23Z</dcterms:created>
  <dcterms:modified xsi:type="dcterms:W3CDTF">2025-05-06T09:57:35Z</dcterms:modified>
</cp:coreProperties>
</file>