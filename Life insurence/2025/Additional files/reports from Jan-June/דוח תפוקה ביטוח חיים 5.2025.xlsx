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5.2025\"/>
    </mc:Choice>
  </mc:AlternateContent>
  <xr:revisionPtr revIDLastSave="0" documentId="13_ncr:1_{AABE4177-64AA-4A4C-93C3-3F178A89A9CD}" xr6:coauthVersionLast="47" xr6:coauthVersionMax="47" xr10:uidLastSave="{00000000-0000-0000-0000-000000000000}"/>
  <bookViews>
    <workbookView xWindow="28680" yWindow="-120" windowWidth="29040" windowHeight="15720" tabRatio="966" xr2:uid="{EAA44E19-442B-426F-BCE2-2F28622BB0FA}"/>
  </bookViews>
  <sheets>
    <sheet name="דוח הנהלה" sheetId="11" r:id="rId1"/>
    <sheet name="תפוקה מצטברת מול אשתקד" sheetId="12" r:id="rId2"/>
    <sheet name="תפוקה חודשית מול אשתקד" sheetId="19" r:id="rId3"/>
    <sheet name="תפוקה מצטברת מול יעד מצטבר" sheetId="13" r:id="rId4"/>
    <sheet name="תפוקה מול יעד חודשי" sheetId="14" r:id="rId5"/>
    <sheet name="עולים יורדים" sheetId="10" r:id="rId6"/>
    <sheet name="הכשרה" sheetId="1" r:id="rId7"/>
    <sheet name="מגדל" sheetId="3" r:id="rId8"/>
    <sheet name="מנורה" sheetId="2" r:id="rId9"/>
    <sheet name="איילון" sheetId="4" r:id="rId10"/>
    <sheet name="הראל" sheetId="5" r:id="rId11"/>
    <sheet name="הפניקס" sheetId="6" r:id="rId12"/>
    <sheet name="כלל" sheetId="7" r:id="rId13"/>
    <sheet name="מור" sheetId="8" r:id="rId14"/>
    <sheet name="אלטשולר שחם" sheetId="9" r:id="rId15"/>
    <sheet name="מדיהו " sheetId="17" r:id="rId16"/>
    <sheet name="אנליסט " sheetId="15" r:id="rId17"/>
    <sheet name="מיטב דש" sheetId="16" r:id="rId18"/>
    <sheet name="אינפניטי" sheetId="18" r:id="rId19"/>
  </sheets>
  <externalReferences>
    <externalReference r:id="rId20"/>
  </externalReferences>
  <definedNames>
    <definedName name="_xlnm._FilterDatabase" localSheetId="9" hidden="1">איילון!$A$2:$N$76</definedName>
    <definedName name="_xlnm._FilterDatabase" localSheetId="18" hidden="1">אינפניטי!$A$2:$K$76</definedName>
    <definedName name="_xlnm._FilterDatabase" localSheetId="14" hidden="1">'אלטשולר שחם'!$A$2:$K$76</definedName>
    <definedName name="_xlnm._FilterDatabase" localSheetId="16" hidden="1">'אנליסט '!$A$2:$K$76</definedName>
    <definedName name="_xlnm._FilterDatabase" localSheetId="6" hidden="1">הכשרה!$A$2:$K$76</definedName>
    <definedName name="_xlnm._FilterDatabase" localSheetId="11" hidden="1">הפניקס!$A$2:$K$76</definedName>
    <definedName name="_xlnm._FilterDatabase" localSheetId="10" hidden="1">הראל!$A$2:$P$76</definedName>
    <definedName name="_xlnm._FilterDatabase" localSheetId="12" hidden="1">כלל!$A$2:$L$76</definedName>
    <definedName name="_xlnm._FilterDatabase" localSheetId="7" hidden="1">מגדל!$A$2:$L$76</definedName>
    <definedName name="_xlnm._FilterDatabase" localSheetId="15" hidden="1">'מדיהו '!$A$2:$K$76</definedName>
    <definedName name="_xlnm._FilterDatabase" localSheetId="13" hidden="1">מור!$A$2:$O$76</definedName>
    <definedName name="_xlnm._FilterDatabase" localSheetId="17" hidden="1">'מיטב דש'!$A$2:$K$76</definedName>
    <definedName name="_xlnm._FilterDatabase" localSheetId="8" hidden="1">מנורה!$A$2:$L$76</definedName>
    <definedName name="_xlnm._FilterDatabase" localSheetId="5" hidden="1">'עולים יורדים'!$A$1:$F$69</definedName>
    <definedName name="_xlnm._FilterDatabase" localSheetId="4" hidden="1">'תפוקה מול יעד חודשי'!$A$2:$O$76</definedName>
    <definedName name="_xlnm._FilterDatabase" localSheetId="1" hidden="1">'תפוקה מצטברת מול אשתקד'!$A$2:$R$76</definedName>
    <definedName name="_xlnm._FilterDatabase" localSheetId="3" hidden="1">'תפוקה מצטברת מול יעד מצטבר'!$A$2:$P$76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9" l="1"/>
  <c r="E5" i="19"/>
  <c r="E6" i="19"/>
  <c r="E7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7" i="19"/>
  <c r="E58" i="19"/>
  <c r="E59" i="19"/>
  <c r="E60" i="19"/>
  <c r="E61" i="19"/>
  <c r="E62" i="19"/>
  <c r="E63" i="19"/>
  <c r="E64" i="19"/>
  <c r="E65" i="19"/>
  <c r="E67" i="19"/>
  <c r="E68" i="19"/>
  <c r="E69" i="19"/>
  <c r="E70" i="19"/>
  <c r="E71" i="19"/>
  <c r="E72" i="19"/>
  <c r="E73" i="19"/>
  <c r="E74" i="19"/>
  <c r="G7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3" i="19"/>
  <c r="G24" i="19"/>
  <c r="G25" i="19"/>
  <c r="G26" i="19"/>
  <c r="G27" i="19"/>
  <c r="G28" i="19"/>
  <c r="G29" i="19"/>
  <c r="G31" i="19"/>
  <c r="G32" i="19"/>
  <c r="G33" i="19"/>
  <c r="G34" i="19"/>
  <c r="G35" i="19"/>
  <c r="G36" i="19"/>
  <c r="G37" i="19"/>
  <c r="G38" i="19"/>
  <c r="G39" i="19"/>
  <c r="G41" i="19"/>
  <c r="G42" i="19"/>
  <c r="G43" i="19"/>
  <c r="G44" i="19"/>
  <c r="G45" i="19"/>
  <c r="G46" i="19"/>
  <c r="G47" i="19"/>
  <c r="G48" i="19"/>
  <c r="G50" i="19"/>
  <c r="G51" i="19"/>
  <c r="G52" i="19"/>
  <c r="G53" i="19"/>
  <c r="G54" i="19"/>
  <c r="G55" i="19"/>
  <c r="G57" i="19"/>
  <c r="G58" i="19"/>
  <c r="G59" i="19"/>
  <c r="G60" i="19"/>
  <c r="G61" i="19"/>
  <c r="G62" i="19"/>
  <c r="G63" i="19"/>
  <c r="G64" i="19"/>
  <c r="G65" i="19"/>
  <c r="G67" i="19"/>
  <c r="G68" i="19"/>
  <c r="G69" i="19"/>
  <c r="G70" i="19"/>
  <c r="G71" i="19"/>
  <c r="G72" i="19"/>
  <c r="G73" i="19"/>
  <c r="G74" i="19"/>
  <c r="G3" i="19"/>
  <c r="G4" i="19"/>
  <c r="G5" i="19"/>
  <c r="F3" i="19"/>
  <c r="J3" i="15" l="1"/>
  <c r="F67" i="15"/>
  <c r="F3" i="15"/>
  <c r="O74" i="14"/>
  <c r="O73" i="14"/>
  <c r="O72" i="14"/>
  <c r="O71" i="14"/>
  <c r="O70" i="14"/>
  <c r="O69" i="14"/>
  <c r="O68" i="14"/>
  <c r="O67" i="14"/>
  <c r="O65" i="14"/>
  <c r="O64" i="14"/>
  <c r="O63" i="14"/>
  <c r="O62" i="14"/>
  <c r="O61" i="14"/>
  <c r="O60" i="14"/>
  <c r="O59" i="14"/>
  <c r="O58" i="14"/>
  <c r="O57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4" i="14"/>
  <c r="O5" i="14"/>
  <c r="O6" i="14"/>
  <c r="O7" i="14"/>
  <c r="O3" i="14"/>
  <c r="N74" i="14"/>
  <c r="N73" i="14"/>
  <c r="N72" i="14"/>
  <c r="N71" i="14"/>
  <c r="N70" i="14"/>
  <c r="N69" i="14"/>
  <c r="N68" i="14"/>
  <c r="N67" i="14"/>
  <c r="N65" i="14"/>
  <c r="N64" i="14"/>
  <c r="N63" i="14"/>
  <c r="N62" i="14"/>
  <c r="N61" i="14"/>
  <c r="N60" i="14"/>
  <c r="N59" i="14"/>
  <c r="N58" i="14"/>
  <c r="N57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4" i="14"/>
  <c r="N5" i="14"/>
  <c r="N6" i="14"/>
  <c r="N7" i="14"/>
  <c r="N3" i="14"/>
  <c r="M74" i="14"/>
  <c r="M73" i="14"/>
  <c r="M72" i="14"/>
  <c r="M71" i="14"/>
  <c r="M70" i="14"/>
  <c r="M69" i="14"/>
  <c r="M68" i="14"/>
  <c r="M67" i="14"/>
  <c r="M65" i="14"/>
  <c r="M64" i="14"/>
  <c r="M63" i="14"/>
  <c r="M62" i="14"/>
  <c r="M61" i="14"/>
  <c r="M60" i="14"/>
  <c r="M59" i="14"/>
  <c r="M58" i="14"/>
  <c r="M57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4" i="14"/>
  <c r="M5" i="14"/>
  <c r="M6" i="14"/>
  <c r="M7" i="14"/>
  <c r="M3" i="14"/>
  <c r="L74" i="14"/>
  <c r="L73" i="14"/>
  <c r="L72" i="14"/>
  <c r="L71" i="14"/>
  <c r="L70" i="14"/>
  <c r="L69" i="14"/>
  <c r="L68" i="14"/>
  <c r="L67" i="14"/>
  <c r="L65" i="14"/>
  <c r="L64" i="14"/>
  <c r="L63" i="14"/>
  <c r="L62" i="14"/>
  <c r="L61" i="14"/>
  <c r="L60" i="14"/>
  <c r="L59" i="14"/>
  <c r="L58" i="14"/>
  <c r="L57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7" i="14"/>
  <c r="L4" i="14"/>
  <c r="L5" i="14"/>
  <c r="L6" i="14"/>
  <c r="L3" i="14"/>
  <c r="F3" i="8"/>
  <c r="G3" i="7"/>
  <c r="F3" i="7"/>
  <c r="E3" i="7"/>
  <c r="D3" i="7"/>
  <c r="G3" i="6" l="1"/>
  <c r="F3" i="6"/>
  <c r="F67" i="6"/>
  <c r="E3" i="6"/>
  <c r="G64" i="14"/>
  <c r="F64" i="14"/>
  <c r="E64" i="14"/>
  <c r="D64" i="14"/>
  <c r="F64" i="19"/>
  <c r="D64" i="19"/>
  <c r="O64" i="12"/>
  <c r="N64" i="12"/>
  <c r="M64" i="12"/>
  <c r="E30" i="10" s="1"/>
  <c r="L64" i="12"/>
  <c r="K64" i="12"/>
  <c r="J64" i="12"/>
  <c r="F64" i="12" s="1"/>
  <c r="I64" i="12"/>
  <c r="D69" i="10" s="1"/>
  <c r="H64" i="12"/>
  <c r="D64" i="12" s="1"/>
  <c r="D3" i="6"/>
  <c r="G3" i="5"/>
  <c r="F3" i="5"/>
  <c r="E3" i="5"/>
  <c r="D3" i="5"/>
  <c r="E6" i="4"/>
  <c r="E5" i="4"/>
  <c r="E3" i="4" s="1"/>
  <c r="E67" i="4"/>
  <c r="F3" i="2"/>
  <c r="E3" i="2"/>
  <c r="D3" i="2"/>
  <c r="G20" i="14"/>
  <c r="F20" i="14"/>
  <c r="E20" i="14"/>
  <c r="D20" i="14"/>
  <c r="F20" i="19"/>
  <c r="D20" i="19"/>
  <c r="O20" i="12"/>
  <c r="N20" i="12"/>
  <c r="M20" i="12"/>
  <c r="E10" i="10" s="1"/>
  <c r="L20" i="12"/>
  <c r="K20" i="12"/>
  <c r="G20" i="12" s="1"/>
  <c r="J20" i="12"/>
  <c r="F20" i="12" s="1"/>
  <c r="I20" i="12"/>
  <c r="H20" i="12"/>
  <c r="E20" i="12" l="1"/>
  <c r="D52" i="10"/>
  <c r="B52" i="10" s="1"/>
  <c r="G64" i="12"/>
  <c r="E64" i="12"/>
  <c r="N64" i="13"/>
  <c r="F64" i="13" s="1"/>
  <c r="O64" i="13"/>
  <c r="G64" i="13" s="1"/>
  <c r="L64" i="13"/>
  <c r="D64" i="13" s="1"/>
  <c r="M64" i="13"/>
  <c r="E64" i="13" s="1"/>
  <c r="D20" i="12"/>
  <c r="N20" i="13"/>
  <c r="F20" i="13" s="1"/>
  <c r="O20" i="13"/>
  <c r="G20" i="13" s="1"/>
  <c r="L20" i="13"/>
  <c r="D20" i="13" s="1"/>
  <c r="M20" i="13"/>
  <c r="E20" i="13" s="1"/>
  <c r="G3" i="2"/>
  <c r="G72" i="2"/>
  <c r="G54" i="14"/>
  <c r="F54" i="14"/>
  <c r="E54" i="14"/>
  <c r="D54" i="14"/>
  <c r="D54" i="19"/>
  <c r="F54" i="19"/>
  <c r="O54" i="12"/>
  <c r="N54" i="12"/>
  <c r="M54" i="12"/>
  <c r="E32" i="10" s="1"/>
  <c r="L54" i="12"/>
  <c r="K54" i="12"/>
  <c r="J54" i="12"/>
  <c r="F54" i="12" s="1"/>
  <c r="I54" i="12"/>
  <c r="H54" i="12"/>
  <c r="D54" i="12" s="1"/>
  <c r="E54" i="12" l="1"/>
  <c r="D32" i="10"/>
  <c r="B32" i="10" s="1"/>
  <c r="G54" i="12"/>
  <c r="M54" i="13"/>
  <c r="E54" i="13" s="1"/>
  <c r="N54" i="13"/>
  <c r="F54" i="13" s="1"/>
  <c r="L54" i="13"/>
  <c r="D54" i="13" s="1"/>
  <c r="O54" i="13"/>
  <c r="G54" i="13" s="1"/>
  <c r="G3" i="3"/>
  <c r="C32" i="10" l="1"/>
  <c r="F3" i="3"/>
  <c r="E3" i="3"/>
  <c r="E67" i="3"/>
  <c r="D3" i="3" l="1"/>
  <c r="F74" i="19"/>
  <c r="D74" i="19"/>
  <c r="F73" i="19"/>
  <c r="D73" i="19"/>
  <c r="F72" i="19"/>
  <c r="D72" i="19"/>
  <c r="F71" i="19"/>
  <c r="D71" i="19"/>
  <c r="F70" i="19"/>
  <c r="D70" i="19"/>
  <c r="F69" i="19"/>
  <c r="D69" i="19"/>
  <c r="F68" i="19"/>
  <c r="D68" i="19"/>
  <c r="O75" i="19"/>
  <c r="N75" i="19"/>
  <c r="M75" i="19"/>
  <c r="L75" i="19"/>
  <c r="F65" i="19"/>
  <c r="D65" i="19"/>
  <c r="F63" i="19"/>
  <c r="D63" i="19"/>
  <c r="F62" i="19"/>
  <c r="D62" i="19"/>
  <c r="F61" i="19"/>
  <c r="D61" i="19"/>
  <c r="F60" i="19"/>
  <c r="D60" i="19"/>
  <c r="F59" i="19"/>
  <c r="D59" i="19"/>
  <c r="F58" i="19"/>
  <c r="D58" i="19"/>
  <c r="O66" i="19"/>
  <c r="N66" i="19"/>
  <c r="M66" i="19"/>
  <c r="L66" i="19"/>
  <c r="F57" i="19"/>
  <c r="D57" i="19"/>
  <c r="F55" i="19"/>
  <c r="D55" i="19"/>
  <c r="F53" i="19"/>
  <c r="D53" i="19"/>
  <c r="F52" i="19"/>
  <c r="D52" i="19"/>
  <c r="F51" i="19"/>
  <c r="D51" i="19"/>
  <c r="F50" i="19"/>
  <c r="D50" i="19"/>
  <c r="F49" i="19"/>
  <c r="D49" i="19"/>
  <c r="F48" i="19"/>
  <c r="D48" i="19"/>
  <c r="F47" i="19"/>
  <c r="D47" i="19"/>
  <c r="F46" i="19"/>
  <c r="D46" i="19"/>
  <c r="F45" i="19"/>
  <c r="D45" i="19"/>
  <c r="F44" i="19"/>
  <c r="D44" i="19"/>
  <c r="F43" i="19"/>
  <c r="D43" i="19"/>
  <c r="F42" i="19"/>
  <c r="D42" i="19"/>
  <c r="F41" i="19"/>
  <c r="D41" i="19"/>
  <c r="F40" i="19"/>
  <c r="D40" i="19"/>
  <c r="F39" i="19"/>
  <c r="D39" i="19"/>
  <c r="F38" i="19"/>
  <c r="D38" i="19"/>
  <c r="F37" i="19"/>
  <c r="D37" i="19"/>
  <c r="F36" i="19"/>
  <c r="D36" i="19"/>
  <c r="F35" i="19"/>
  <c r="D35" i="19"/>
  <c r="F34" i="19"/>
  <c r="D34" i="19"/>
  <c r="F33" i="19"/>
  <c r="D33" i="19"/>
  <c r="F32" i="19"/>
  <c r="D32" i="19"/>
  <c r="F31" i="19"/>
  <c r="D31" i="19"/>
  <c r="F30" i="19"/>
  <c r="D30" i="19"/>
  <c r="F29" i="19"/>
  <c r="D29" i="19"/>
  <c r="F28" i="19"/>
  <c r="D28" i="19"/>
  <c r="F27" i="19"/>
  <c r="D27" i="19"/>
  <c r="F26" i="19"/>
  <c r="D26" i="19"/>
  <c r="F25" i="19"/>
  <c r="D25" i="19"/>
  <c r="F24" i="19"/>
  <c r="D24" i="19"/>
  <c r="O56" i="19"/>
  <c r="N56" i="19"/>
  <c r="M56" i="19"/>
  <c r="L56" i="19"/>
  <c r="F23" i="19"/>
  <c r="D23" i="19"/>
  <c r="F21" i="19"/>
  <c r="D21" i="19"/>
  <c r="F19" i="19"/>
  <c r="D19" i="19"/>
  <c r="F18" i="19"/>
  <c r="D18" i="19"/>
  <c r="F17" i="19"/>
  <c r="D17" i="19"/>
  <c r="F16" i="19"/>
  <c r="D16" i="19"/>
  <c r="F15" i="19"/>
  <c r="D15" i="19"/>
  <c r="F14" i="19"/>
  <c r="D14" i="19"/>
  <c r="F13" i="19"/>
  <c r="D13" i="19"/>
  <c r="F12" i="19"/>
  <c r="D12" i="19"/>
  <c r="F11" i="19"/>
  <c r="D11" i="19"/>
  <c r="F10" i="19"/>
  <c r="D10" i="19"/>
  <c r="O22" i="19"/>
  <c r="N22" i="19"/>
  <c r="M22" i="19"/>
  <c r="L22" i="19"/>
  <c r="F9" i="19"/>
  <c r="D9" i="19"/>
  <c r="F7" i="19"/>
  <c r="D7" i="19"/>
  <c r="F6" i="19"/>
  <c r="D6" i="19"/>
  <c r="F5" i="19"/>
  <c r="D5" i="19"/>
  <c r="N8" i="19"/>
  <c r="M8" i="19"/>
  <c r="L8" i="19"/>
  <c r="F4" i="19"/>
  <c r="D4" i="19"/>
  <c r="O8" i="19"/>
  <c r="G6" i="19" l="1"/>
  <c r="J75" i="19"/>
  <c r="F75" i="19" s="1"/>
  <c r="K56" i="19"/>
  <c r="G56" i="19" s="1"/>
  <c r="K75" i="19"/>
  <c r="G75" i="19" s="1"/>
  <c r="K66" i="19"/>
  <c r="G66" i="19" s="1"/>
  <c r="H75" i="19"/>
  <c r="I8" i="19"/>
  <c r="E8" i="19" s="1"/>
  <c r="I75" i="19"/>
  <c r="E75" i="19" s="1"/>
  <c r="J8" i="19"/>
  <c r="F8" i="19" s="1"/>
  <c r="K22" i="19"/>
  <c r="G22" i="19" s="1"/>
  <c r="D67" i="19"/>
  <c r="F67" i="19"/>
  <c r="H56" i="19"/>
  <c r="H8" i="19"/>
  <c r="D8" i="19" s="1"/>
  <c r="I56" i="19"/>
  <c r="E56" i="19" s="1"/>
  <c r="J56" i="19"/>
  <c r="F56" i="19" s="1"/>
  <c r="M76" i="19"/>
  <c r="N76" i="19"/>
  <c r="O76" i="19"/>
  <c r="L76" i="19"/>
  <c r="K8" i="19"/>
  <c r="G8" i="19" s="1"/>
  <c r="H66" i="19"/>
  <c r="I66" i="19"/>
  <c r="E66" i="19" s="1"/>
  <c r="J66" i="19"/>
  <c r="F66" i="19" s="1"/>
  <c r="J22" i="19"/>
  <c r="F22" i="19" s="1"/>
  <c r="H22" i="19"/>
  <c r="D22" i="19" s="1"/>
  <c r="D3" i="19"/>
  <c r="E3" i="19"/>
  <c r="I22" i="19"/>
  <c r="E22" i="19" s="1"/>
  <c r="D75" i="19" l="1"/>
  <c r="G49" i="19"/>
  <c r="D66" i="19"/>
  <c r="G40" i="19"/>
  <c r="D56" i="19"/>
  <c r="G30" i="19"/>
  <c r="J76" i="19"/>
  <c r="F76" i="19" s="1"/>
  <c r="I76" i="19"/>
  <c r="E76" i="19" s="1"/>
  <c r="H76" i="19"/>
  <c r="D76" i="19" s="1"/>
  <c r="K76" i="19"/>
  <c r="G76" i="19" s="1"/>
  <c r="K74" i="6" l="1"/>
  <c r="K71" i="6"/>
  <c r="K70" i="6"/>
  <c r="K69" i="6"/>
  <c r="K68" i="6"/>
  <c r="K67" i="6"/>
  <c r="K62" i="6"/>
  <c r="K61" i="6"/>
  <c r="K60" i="6"/>
  <c r="K59" i="6"/>
  <c r="K58" i="6"/>
  <c r="K57" i="6"/>
  <c r="K55" i="6"/>
  <c r="K53" i="6"/>
  <c r="K52" i="6"/>
  <c r="K51" i="6"/>
  <c r="K50" i="6"/>
  <c r="K49" i="6"/>
  <c r="K48" i="6"/>
  <c r="K47" i="6"/>
  <c r="K46" i="6"/>
  <c r="K45" i="6"/>
  <c r="K44" i="6"/>
  <c r="K43" i="6"/>
  <c r="K42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1" i="6"/>
  <c r="K19" i="6"/>
  <c r="K18" i="6"/>
  <c r="K17" i="6"/>
  <c r="K16" i="6"/>
  <c r="K15" i="6"/>
  <c r="K14" i="6"/>
  <c r="K13" i="6"/>
  <c r="K12" i="6"/>
  <c r="K11" i="6"/>
  <c r="K10" i="6"/>
  <c r="K9" i="6"/>
  <c r="K4" i="6"/>
  <c r="K7" i="6"/>
  <c r="K3" i="6"/>
  <c r="J74" i="6"/>
  <c r="J71" i="6"/>
  <c r="J70" i="6"/>
  <c r="J69" i="6"/>
  <c r="J68" i="6"/>
  <c r="J67" i="6"/>
  <c r="J62" i="6"/>
  <c r="J61" i="6"/>
  <c r="J60" i="6"/>
  <c r="J59" i="6"/>
  <c r="J58" i="6"/>
  <c r="J57" i="6"/>
  <c r="J55" i="6"/>
  <c r="J53" i="6"/>
  <c r="J52" i="6"/>
  <c r="J51" i="6"/>
  <c r="J50" i="6"/>
  <c r="J49" i="6"/>
  <c r="J48" i="6"/>
  <c r="J47" i="6"/>
  <c r="J46" i="6"/>
  <c r="J45" i="6"/>
  <c r="J44" i="6"/>
  <c r="J43" i="6"/>
  <c r="J42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1" i="6"/>
  <c r="J19" i="6"/>
  <c r="J18" i="6"/>
  <c r="J17" i="6"/>
  <c r="J16" i="6"/>
  <c r="J15" i="6"/>
  <c r="J14" i="6"/>
  <c r="J13" i="6"/>
  <c r="J12" i="6"/>
  <c r="J11" i="6"/>
  <c r="J10" i="6"/>
  <c r="J9" i="6"/>
  <c r="J4" i="6"/>
  <c r="J7" i="6"/>
  <c r="J3" i="6"/>
  <c r="I74" i="6"/>
  <c r="I71" i="6"/>
  <c r="I70" i="6"/>
  <c r="I69" i="6"/>
  <c r="I68" i="6"/>
  <c r="I67" i="6"/>
  <c r="I62" i="6"/>
  <c r="I61" i="6"/>
  <c r="I60" i="6"/>
  <c r="I59" i="6"/>
  <c r="I58" i="6"/>
  <c r="I57" i="6"/>
  <c r="I55" i="6"/>
  <c r="I53" i="6"/>
  <c r="I52" i="6"/>
  <c r="I51" i="6"/>
  <c r="I50" i="6"/>
  <c r="I49" i="6"/>
  <c r="I48" i="6"/>
  <c r="I47" i="6"/>
  <c r="I46" i="6"/>
  <c r="I45" i="6"/>
  <c r="I44" i="6"/>
  <c r="I43" i="6"/>
  <c r="I42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1" i="6"/>
  <c r="I19" i="6"/>
  <c r="I18" i="6"/>
  <c r="I17" i="6"/>
  <c r="I16" i="6"/>
  <c r="I15" i="6"/>
  <c r="I14" i="6"/>
  <c r="I13" i="6"/>
  <c r="I12" i="6"/>
  <c r="I11" i="6"/>
  <c r="I10" i="6"/>
  <c r="I9" i="6"/>
  <c r="I4" i="6"/>
  <c r="I7" i="6"/>
  <c r="I3" i="6"/>
  <c r="H74" i="6"/>
  <c r="H71" i="6"/>
  <c r="H70" i="6"/>
  <c r="H69" i="6"/>
  <c r="H68" i="6"/>
  <c r="H67" i="6"/>
  <c r="H62" i="6"/>
  <c r="H61" i="6"/>
  <c r="H60" i="6"/>
  <c r="H59" i="6"/>
  <c r="H58" i="6"/>
  <c r="H57" i="6"/>
  <c r="H55" i="6"/>
  <c r="H53" i="6"/>
  <c r="H52" i="6"/>
  <c r="H51" i="6"/>
  <c r="H50" i="6"/>
  <c r="H49" i="6"/>
  <c r="H48" i="6"/>
  <c r="H47" i="6"/>
  <c r="H46" i="6"/>
  <c r="H45" i="6"/>
  <c r="H44" i="6"/>
  <c r="H43" i="6"/>
  <c r="H42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1" i="6"/>
  <c r="H19" i="6"/>
  <c r="H18" i="6"/>
  <c r="H17" i="6"/>
  <c r="H16" i="6"/>
  <c r="H15" i="6"/>
  <c r="H14" i="6"/>
  <c r="H13" i="6"/>
  <c r="H12" i="6"/>
  <c r="H11" i="6"/>
  <c r="H10" i="6"/>
  <c r="H9" i="6"/>
  <c r="H4" i="6"/>
  <c r="H7" i="6"/>
  <c r="H3" i="6"/>
  <c r="G62" i="14" l="1"/>
  <c r="F62" i="14"/>
  <c r="E62" i="14"/>
  <c r="D62" i="14"/>
  <c r="O63" i="12"/>
  <c r="N63" i="12"/>
  <c r="M63" i="12"/>
  <c r="E39" i="10" s="1"/>
  <c r="L63" i="12"/>
  <c r="K63" i="12"/>
  <c r="G63" i="12" s="1"/>
  <c r="J63" i="12"/>
  <c r="F63" i="12" s="1"/>
  <c r="I63" i="12"/>
  <c r="H63" i="12"/>
  <c r="D63" i="12" s="1"/>
  <c r="K75" i="13"/>
  <c r="K66" i="13"/>
  <c r="K56" i="13"/>
  <c r="K22" i="13"/>
  <c r="K8" i="13"/>
  <c r="J8" i="13"/>
  <c r="J56" i="13"/>
  <c r="J66" i="13"/>
  <c r="J75" i="13"/>
  <c r="S20" i="11"/>
  <c r="U18" i="11"/>
  <c r="T20" i="11"/>
  <c r="T18" i="11"/>
  <c r="S18" i="11"/>
  <c r="R20" i="11"/>
  <c r="R18" i="11"/>
  <c r="U20" i="11"/>
  <c r="E63" i="12" l="1"/>
  <c r="D35" i="10"/>
  <c r="B35" i="10" s="1"/>
  <c r="L63" i="13"/>
  <c r="D63" i="13" s="1"/>
  <c r="M63" i="13"/>
  <c r="E63" i="13" s="1"/>
  <c r="N63" i="13"/>
  <c r="F63" i="13" s="1"/>
  <c r="O63" i="13"/>
  <c r="G63" i="13" s="1"/>
  <c r="K76" i="13"/>
  <c r="U17" i="11"/>
  <c r="U19" i="11"/>
  <c r="T17" i="11"/>
  <c r="T19" i="11"/>
  <c r="S17" i="11"/>
  <c r="S19" i="11"/>
  <c r="R17" i="11"/>
  <c r="R19" i="11"/>
  <c r="L66" i="14"/>
  <c r="M66" i="14"/>
  <c r="N66" i="14"/>
  <c r="O66" i="14"/>
  <c r="L56" i="14"/>
  <c r="M56" i="14"/>
  <c r="N56" i="14"/>
  <c r="O56" i="14"/>
  <c r="L22" i="14"/>
  <c r="M22" i="14"/>
  <c r="N22" i="14"/>
  <c r="O22" i="14"/>
  <c r="L8" i="14"/>
  <c r="M8" i="14"/>
  <c r="N8" i="14"/>
  <c r="O8" i="14"/>
  <c r="R21" i="11" l="1"/>
  <c r="S21" i="11"/>
  <c r="U21" i="11"/>
  <c r="T21" i="11"/>
  <c r="N75" i="14"/>
  <c r="O75" i="14"/>
  <c r="M75" i="14"/>
  <c r="L75" i="14"/>
  <c r="H75" i="13" l="1"/>
  <c r="I75" i="13"/>
  <c r="H66" i="13"/>
  <c r="I66" i="13"/>
  <c r="I56" i="13"/>
  <c r="H56" i="13"/>
  <c r="J22" i="13"/>
  <c r="I22" i="13"/>
  <c r="H22" i="13"/>
  <c r="I8" i="13"/>
  <c r="H8" i="13"/>
  <c r="H76" i="13" l="1"/>
  <c r="O53" i="12" l="1"/>
  <c r="J75" i="9"/>
  <c r="J66" i="9"/>
  <c r="J56" i="9"/>
  <c r="J22" i="9"/>
  <c r="J66" i="8"/>
  <c r="J56" i="8"/>
  <c r="J22" i="8"/>
  <c r="K66" i="7"/>
  <c r="K56" i="7"/>
  <c r="J66" i="7"/>
  <c r="J56" i="7"/>
  <c r="J8" i="7"/>
  <c r="I66" i="7"/>
  <c r="I56" i="7"/>
  <c r="H66" i="7"/>
  <c r="H56" i="7"/>
  <c r="K75" i="6"/>
  <c r="K66" i="6"/>
  <c r="K56" i="6"/>
  <c r="K22" i="6"/>
  <c r="K8" i="6"/>
  <c r="J75" i="6"/>
  <c r="J66" i="6"/>
  <c r="J56" i="6"/>
  <c r="J22" i="6"/>
  <c r="I75" i="6"/>
  <c r="I66" i="6"/>
  <c r="I56" i="6"/>
  <c r="I22" i="6"/>
  <c r="H75" i="6"/>
  <c r="H66" i="6"/>
  <c r="H56" i="6"/>
  <c r="H22" i="6"/>
  <c r="K75" i="5"/>
  <c r="K66" i="5"/>
  <c r="O55" i="12"/>
  <c r="K22" i="5"/>
  <c r="K8" i="5"/>
  <c r="J75" i="5"/>
  <c r="J66" i="5"/>
  <c r="J22" i="5"/>
  <c r="I75" i="5"/>
  <c r="I66" i="5"/>
  <c r="I22" i="5"/>
  <c r="H75" i="5"/>
  <c r="H66" i="5"/>
  <c r="H22" i="5"/>
  <c r="I66" i="4"/>
  <c r="I56" i="4"/>
  <c r="I22" i="4"/>
  <c r="H66" i="4"/>
  <c r="H56" i="4"/>
  <c r="H22" i="4"/>
  <c r="K66" i="2"/>
  <c r="K56" i="2"/>
  <c r="K22" i="2"/>
  <c r="J66" i="2"/>
  <c r="J56" i="2"/>
  <c r="J22" i="2"/>
  <c r="I66" i="2"/>
  <c r="I56" i="2"/>
  <c r="I22" i="2"/>
  <c r="H66" i="2"/>
  <c r="H56" i="2"/>
  <c r="H22" i="2"/>
  <c r="K75" i="18"/>
  <c r="J75" i="18"/>
  <c r="I75" i="18"/>
  <c r="H75" i="18"/>
  <c r="G75" i="18"/>
  <c r="F75" i="18"/>
  <c r="E75" i="18"/>
  <c r="D75" i="18"/>
  <c r="K66" i="18"/>
  <c r="J66" i="18"/>
  <c r="I66" i="18"/>
  <c r="H66" i="18"/>
  <c r="G66" i="18"/>
  <c r="F66" i="18"/>
  <c r="E66" i="18"/>
  <c r="D66" i="18"/>
  <c r="K56" i="18"/>
  <c r="J56" i="18"/>
  <c r="I56" i="18"/>
  <c r="H56" i="18"/>
  <c r="G56" i="18"/>
  <c r="F56" i="18"/>
  <c r="E56" i="18"/>
  <c r="D56" i="18"/>
  <c r="K22" i="18"/>
  <c r="J22" i="18"/>
  <c r="I22" i="18"/>
  <c r="H22" i="18"/>
  <c r="G22" i="18"/>
  <c r="F22" i="18"/>
  <c r="E22" i="18"/>
  <c r="D22" i="18"/>
  <c r="K8" i="18"/>
  <c r="J8" i="18"/>
  <c r="I8" i="18"/>
  <c r="H8" i="18"/>
  <c r="G8" i="18"/>
  <c r="F8" i="18"/>
  <c r="E8" i="18"/>
  <c r="D8" i="18"/>
  <c r="K75" i="16"/>
  <c r="J75" i="16"/>
  <c r="I75" i="16"/>
  <c r="H75" i="16"/>
  <c r="G75" i="16"/>
  <c r="F75" i="16"/>
  <c r="E75" i="16"/>
  <c r="D75" i="16"/>
  <c r="K66" i="16"/>
  <c r="J66" i="16"/>
  <c r="I66" i="16"/>
  <c r="H66" i="16"/>
  <c r="G66" i="16"/>
  <c r="F66" i="16"/>
  <c r="E66" i="16"/>
  <c r="D66" i="16"/>
  <c r="K56" i="16"/>
  <c r="J56" i="16"/>
  <c r="I56" i="16"/>
  <c r="H56" i="16"/>
  <c r="G56" i="16"/>
  <c r="F56" i="16"/>
  <c r="E56" i="16"/>
  <c r="D56" i="16"/>
  <c r="K22" i="16"/>
  <c r="J22" i="16"/>
  <c r="I22" i="16"/>
  <c r="H22" i="16"/>
  <c r="G22" i="16"/>
  <c r="F22" i="16"/>
  <c r="E22" i="16"/>
  <c r="D22" i="16"/>
  <c r="K8" i="16"/>
  <c r="J8" i="16"/>
  <c r="I8" i="16"/>
  <c r="H8" i="16"/>
  <c r="G8" i="16"/>
  <c r="F8" i="16"/>
  <c r="E8" i="16"/>
  <c r="D8" i="16"/>
  <c r="K75" i="15"/>
  <c r="J75" i="15"/>
  <c r="I75" i="15"/>
  <c r="H75" i="15"/>
  <c r="G75" i="15"/>
  <c r="F75" i="15"/>
  <c r="E75" i="15"/>
  <c r="D75" i="15"/>
  <c r="K66" i="15"/>
  <c r="J66" i="15"/>
  <c r="I66" i="15"/>
  <c r="H66" i="15"/>
  <c r="G66" i="15"/>
  <c r="F66" i="15"/>
  <c r="E66" i="15"/>
  <c r="D66" i="15"/>
  <c r="K56" i="15"/>
  <c r="J56" i="15"/>
  <c r="I56" i="15"/>
  <c r="H56" i="15"/>
  <c r="G56" i="15"/>
  <c r="F56" i="15"/>
  <c r="E56" i="15"/>
  <c r="D56" i="15"/>
  <c r="K22" i="15"/>
  <c r="J22" i="15"/>
  <c r="I22" i="15"/>
  <c r="H22" i="15"/>
  <c r="G22" i="15"/>
  <c r="F22" i="15"/>
  <c r="E22" i="15"/>
  <c r="D22" i="15"/>
  <c r="K8" i="15"/>
  <c r="J8" i="15"/>
  <c r="I8" i="15"/>
  <c r="H8" i="15"/>
  <c r="G8" i="15"/>
  <c r="F8" i="15"/>
  <c r="E8" i="15"/>
  <c r="D8" i="15"/>
  <c r="K75" i="17"/>
  <c r="J75" i="17"/>
  <c r="I75" i="17"/>
  <c r="H75" i="17"/>
  <c r="G75" i="17"/>
  <c r="F75" i="17"/>
  <c r="E75" i="17"/>
  <c r="D75" i="17"/>
  <c r="K66" i="17"/>
  <c r="J66" i="17"/>
  <c r="I66" i="17"/>
  <c r="H66" i="17"/>
  <c r="G66" i="17"/>
  <c r="F66" i="17"/>
  <c r="E66" i="17"/>
  <c r="D66" i="17"/>
  <c r="K56" i="17"/>
  <c r="J56" i="17"/>
  <c r="I56" i="17"/>
  <c r="H56" i="17"/>
  <c r="G56" i="17"/>
  <c r="F56" i="17"/>
  <c r="E56" i="17"/>
  <c r="D56" i="17"/>
  <c r="K22" i="17"/>
  <c r="J22" i="17"/>
  <c r="I22" i="17"/>
  <c r="H22" i="17"/>
  <c r="G22" i="17"/>
  <c r="F22" i="17"/>
  <c r="E22" i="17"/>
  <c r="D22" i="17"/>
  <c r="K8" i="17"/>
  <c r="J8" i="17"/>
  <c r="I8" i="17"/>
  <c r="H8" i="17"/>
  <c r="G8" i="17"/>
  <c r="F8" i="17"/>
  <c r="E8" i="17"/>
  <c r="D8" i="17"/>
  <c r="K75" i="9"/>
  <c r="I75" i="9"/>
  <c r="H75" i="9"/>
  <c r="G75" i="9"/>
  <c r="F75" i="9"/>
  <c r="E75" i="9"/>
  <c r="D75" i="9"/>
  <c r="K66" i="9"/>
  <c r="I66" i="9"/>
  <c r="H66" i="9"/>
  <c r="G66" i="9"/>
  <c r="F66" i="9"/>
  <c r="E66" i="9"/>
  <c r="D66" i="9"/>
  <c r="K56" i="9"/>
  <c r="I56" i="9"/>
  <c r="H56" i="9"/>
  <c r="G56" i="9"/>
  <c r="F56" i="9"/>
  <c r="E56" i="9"/>
  <c r="D56" i="9"/>
  <c r="K22" i="9"/>
  <c r="I22" i="9"/>
  <c r="H22" i="9"/>
  <c r="G22" i="9"/>
  <c r="F22" i="9"/>
  <c r="E22" i="9"/>
  <c r="D22" i="9"/>
  <c r="K8" i="9"/>
  <c r="I8" i="9"/>
  <c r="H8" i="9"/>
  <c r="G8" i="9"/>
  <c r="F8" i="9"/>
  <c r="E8" i="9"/>
  <c r="D8" i="9"/>
  <c r="K75" i="8"/>
  <c r="I75" i="8"/>
  <c r="H75" i="8"/>
  <c r="G75" i="8"/>
  <c r="F75" i="8"/>
  <c r="E75" i="8"/>
  <c r="D75" i="8"/>
  <c r="K66" i="8"/>
  <c r="I66" i="8"/>
  <c r="H66" i="8"/>
  <c r="G66" i="8"/>
  <c r="F66" i="8"/>
  <c r="E66" i="8"/>
  <c r="D66" i="8"/>
  <c r="K56" i="8"/>
  <c r="I56" i="8"/>
  <c r="H56" i="8"/>
  <c r="G56" i="8"/>
  <c r="F56" i="8"/>
  <c r="E56" i="8"/>
  <c r="D56" i="8"/>
  <c r="K22" i="8"/>
  <c r="I22" i="8"/>
  <c r="H22" i="8"/>
  <c r="G22" i="8"/>
  <c r="F22" i="8"/>
  <c r="E22" i="8"/>
  <c r="D22" i="8"/>
  <c r="K8" i="8"/>
  <c r="I8" i="8"/>
  <c r="H8" i="8"/>
  <c r="G8" i="8"/>
  <c r="F8" i="8"/>
  <c r="E8" i="8"/>
  <c r="D8" i="8"/>
  <c r="G75" i="7"/>
  <c r="F75" i="7"/>
  <c r="E75" i="7"/>
  <c r="D75" i="7"/>
  <c r="G66" i="7"/>
  <c r="F66" i="7"/>
  <c r="E66" i="7"/>
  <c r="D66" i="7"/>
  <c r="G56" i="7"/>
  <c r="F56" i="7"/>
  <c r="E56" i="7"/>
  <c r="D56" i="7"/>
  <c r="G22" i="7"/>
  <c r="F22" i="7"/>
  <c r="E22" i="7"/>
  <c r="D22" i="7"/>
  <c r="G8" i="7"/>
  <c r="F8" i="7"/>
  <c r="E8" i="7"/>
  <c r="D8" i="7"/>
  <c r="G75" i="6"/>
  <c r="F75" i="6"/>
  <c r="E75" i="6"/>
  <c r="D75" i="6"/>
  <c r="G66" i="6"/>
  <c r="F66" i="6"/>
  <c r="E66" i="6"/>
  <c r="D66" i="6"/>
  <c r="G56" i="6"/>
  <c r="F56" i="6"/>
  <c r="E56" i="6"/>
  <c r="D56" i="6"/>
  <c r="G22" i="6"/>
  <c r="F22" i="6"/>
  <c r="E22" i="6"/>
  <c r="D22" i="6"/>
  <c r="G8" i="6"/>
  <c r="F8" i="6"/>
  <c r="E8" i="6"/>
  <c r="D8" i="6"/>
  <c r="G75" i="5"/>
  <c r="F75" i="5"/>
  <c r="E75" i="5"/>
  <c r="D75" i="5"/>
  <c r="G66" i="5"/>
  <c r="F66" i="5"/>
  <c r="E66" i="5"/>
  <c r="D66" i="5"/>
  <c r="G56" i="5"/>
  <c r="F56" i="5"/>
  <c r="E56" i="5"/>
  <c r="D56" i="5"/>
  <c r="G22" i="5"/>
  <c r="F22" i="5"/>
  <c r="E22" i="5"/>
  <c r="D22" i="5"/>
  <c r="G8" i="5"/>
  <c r="F8" i="5"/>
  <c r="E8" i="5"/>
  <c r="D8" i="5"/>
  <c r="K75" i="4"/>
  <c r="J75" i="4"/>
  <c r="G75" i="4"/>
  <c r="F75" i="4"/>
  <c r="E75" i="4"/>
  <c r="D75" i="4"/>
  <c r="K66" i="4"/>
  <c r="J66" i="4"/>
  <c r="G66" i="4"/>
  <c r="F66" i="4"/>
  <c r="E66" i="4"/>
  <c r="D66" i="4"/>
  <c r="K56" i="4"/>
  <c r="J56" i="4"/>
  <c r="G56" i="4"/>
  <c r="F56" i="4"/>
  <c r="E56" i="4"/>
  <c r="D56" i="4"/>
  <c r="K22" i="4"/>
  <c r="J22" i="4"/>
  <c r="G22" i="4"/>
  <c r="F22" i="4"/>
  <c r="E22" i="4"/>
  <c r="D22" i="4"/>
  <c r="K8" i="4"/>
  <c r="J8" i="4"/>
  <c r="G8" i="4"/>
  <c r="F8" i="4"/>
  <c r="E8" i="4"/>
  <c r="D8" i="4"/>
  <c r="G75" i="2"/>
  <c r="F75" i="2"/>
  <c r="E75" i="2"/>
  <c r="D75" i="2"/>
  <c r="G66" i="2"/>
  <c r="F66" i="2"/>
  <c r="E66" i="2"/>
  <c r="D66" i="2"/>
  <c r="G56" i="2"/>
  <c r="F56" i="2"/>
  <c r="E56" i="2"/>
  <c r="D56" i="2"/>
  <c r="G22" i="2"/>
  <c r="F22" i="2"/>
  <c r="E22" i="2"/>
  <c r="D22" i="2"/>
  <c r="G8" i="2"/>
  <c r="F8" i="2"/>
  <c r="E8" i="2"/>
  <c r="D8" i="2"/>
  <c r="D76" i="18" l="1"/>
  <c r="D76" i="16"/>
  <c r="G76" i="9"/>
  <c r="I76" i="8"/>
  <c r="E76" i="18"/>
  <c r="C40" i="11" s="1"/>
  <c r="G76" i="18"/>
  <c r="H76" i="18"/>
  <c r="I76" i="18"/>
  <c r="J76" i="18"/>
  <c r="K76" i="18"/>
  <c r="F76" i="18"/>
  <c r="D40" i="11" s="1"/>
  <c r="E76" i="16"/>
  <c r="C39" i="11" s="1"/>
  <c r="F76" i="16"/>
  <c r="D39" i="11" s="1"/>
  <c r="G76" i="16"/>
  <c r="I76" i="16"/>
  <c r="H76" i="16"/>
  <c r="J76" i="16"/>
  <c r="K76" i="16"/>
  <c r="E76" i="15"/>
  <c r="C38" i="11" s="1"/>
  <c r="G76" i="15"/>
  <c r="H76" i="15"/>
  <c r="I76" i="15"/>
  <c r="K76" i="15"/>
  <c r="D76" i="15"/>
  <c r="G76" i="17"/>
  <c r="J76" i="17"/>
  <c r="H76" i="17"/>
  <c r="K76" i="17"/>
  <c r="D76" i="17"/>
  <c r="F76" i="17"/>
  <c r="D37" i="11" s="1"/>
  <c r="H76" i="9"/>
  <c r="I76" i="9"/>
  <c r="K76" i="9"/>
  <c r="D76" i="9"/>
  <c r="E76" i="9"/>
  <c r="C31" i="11" s="1"/>
  <c r="K76" i="8"/>
  <c r="D76" i="8"/>
  <c r="E76" i="8"/>
  <c r="C32" i="11" s="1"/>
  <c r="G76" i="8"/>
  <c r="H76" i="8"/>
  <c r="G76" i="4"/>
  <c r="F76" i="4"/>
  <c r="D35" i="11" s="1"/>
  <c r="F76" i="8"/>
  <c r="D32" i="11" s="1"/>
  <c r="J76" i="15"/>
  <c r="F76" i="15"/>
  <c r="G76" i="7"/>
  <c r="F76" i="7"/>
  <c r="D30" i="11" s="1"/>
  <c r="D76" i="7"/>
  <c r="E76" i="7"/>
  <c r="C30" i="11" s="1"/>
  <c r="F76" i="9"/>
  <c r="D31" i="11" s="1"/>
  <c r="G76" i="2"/>
  <c r="E76" i="5"/>
  <c r="C33" i="11" s="1"/>
  <c r="G76" i="5"/>
  <c r="D76" i="5"/>
  <c r="F76" i="5"/>
  <c r="D33" i="11" s="1"/>
  <c r="E76" i="17"/>
  <c r="C37" i="11" s="1"/>
  <c r="I76" i="17"/>
  <c r="G76" i="6"/>
  <c r="F76" i="6"/>
  <c r="D34" i="11" s="1"/>
  <c r="E76" i="6"/>
  <c r="C34" i="11" s="1"/>
  <c r="D76" i="6"/>
  <c r="E76" i="4"/>
  <c r="C35" i="11" s="1"/>
  <c r="D76" i="4"/>
  <c r="E76" i="2"/>
  <c r="C28" i="11" s="1"/>
  <c r="F76" i="2"/>
  <c r="D28" i="11" s="1"/>
  <c r="D76" i="2"/>
  <c r="K56" i="5"/>
  <c r="K76" i="5" s="1"/>
  <c r="H56" i="5"/>
  <c r="J56" i="5"/>
  <c r="I56" i="5"/>
  <c r="J8" i="9"/>
  <c r="J76" i="9" s="1"/>
  <c r="J75" i="8"/>
  <c r="J8" i="8"/>
  <c r="K75" i="7"/>
  <c r="J75" i="7"/>
  <c r="J76" i="7" s="1"/>
  <c r="I75" i="7"/>
  <c r="H75" i="7"/>
  <c r="K8" i="7"/>
  <c r="I8" i="7"/>
  <c r="H8" i="7"/>
  <c r="K76" i="6"/>
  <c r="J8" i="6"/>
  <c r="J76" i="6" s="1"/>
  <c r="I8" i="6"/>
  <c r="I76" i="6" s="1"/>
  <c r="H8" i="6"/>
  <c r="H76" i="6" s="1"/>
  <c r="J8" i="5"/>
  <c r="I8" i="5"/>
  <c r="H8" i="5"/>
  <c r="J76" i="4"/>
  <c r="K76" i="4"/>
  <c r="H75" i="4"/>
  <c r="I75" i="4"/>
  <c r="I8" i="4"/>
  <c r="H8" i="4"/>
  <c r="K75" i="2"/>
  <c r="I75" i="2"/>
  <c r="J75" i="2"/>
  <c r="H75" i="2"/>
  <c r="K8" i="2"/>
  <c r="J8" i="2"/>
  <c r="I8" i="2"/>
  <c r="H8" i="2"/>
  <c r="J75" i="3"/>
  <c r="K75" i="3"/>
  <c r="I75" i="3"/>
  <c r="H75" i="3"/>
  <c r="K66" i="3"/>
  <c r="I66" i="3"/>
  <c r="J66" i="3"/>
  <c r="H66" i="3"/>
  <c r="H56" i="3"/>
  <c r="J56" i="3"/>
  <c r="K56" i="3"/>
  <c r="I56" i="3"/>
  <c r="I22" i="3"/>
  <c r="J22" i="3"/>
  <c r="K22" i="3"/>
  <c r="K8" i="3"/>
  <c r="H22" i="3"/>
  <c r="J8" i="3"/>
  <c r="I8" i="3"/>
  <c r="H8" i="3"/>
  <c r="I76" i="5" l="1"/>
  <c r="H38" i="11"/>
  <c r="D38" i="11"/>
  <c r="H76" i="5"/>
  <c r="J76" i="5"/>
  <c r="J76" i="8"/>
  <c r="I76" i="7"/>
  <c r="K76" i="7"/>
  <c r="I30" i="11" s="1"/>
  <c r="H76" i="7"/>
  <c r="I76" i="4"/>
  <c r="H76" i="4"/>
  <c r="H76" i="2"/>
  <c r="I76" i="2"/>
  <c r="J76" i="2"/>
  <c r="K76" i="2"/>
  <c r="J76" i="3" l="1"/>
  <c r="K76" i="3"/>
  <c r="I76" i="3"/>
  <c r="H76" i="3"/>
  <c r="E75" i="3" l="1"/>
  <c r="F75" i="3"/>
  <c r="G75" i="3"/>
  <c r="D75" i="3"/>
  <c r="E66" i="3"/>
  <c r="F66" i="3"/>
  <c r="G66" i="3"/>
  <c r="D66" i="3"/>
  <c r="E56" i="3"/>
  <c r="F56" i="3"/>
  <c r="G56" i="3"/>
  <c r="D56" i="3"/>
  <c r="E22" i="3"/>
  <c r="F22" i="3"/>
  <c r="G22" i="3"/>
  <c r="D22" i="3"/>
  <c r="E8" i="3"/>
  <c r="F8" i="3"/>
  <c r="G8" i="3"/>
  <c r="D8" i="3"/>
  <c r="G76" i="3" l="1"/>
  <c r="D76" i="3"/>
  <c r="F76" i="3"/>
  <c r="D29" i="11" s="1"/>
  <c r="E76" i="3"/>
  <c r="B40" i="11"/>
  <c r="E39" i="11"/>
  <c r="B38" i="11"/>
  <c r="I8" i="14"/>
  <c r="J8" i="14"/>
  <c r="K8" i="14"/>
  <c r="H8" i="14"/>
  <c r="C29" i="11" l="1"/>
  <c r="I22" i="14"/>
  <c r="I75" i="14"/>
  <c r="H66" i="14"/>
  <c r="J22" i="14"/>
  <c r="K56" i="14"/>
  <c r="K66" i="14"/>
  <c r="J56" i="14"/>
  <c r="J66" i="14"/>
  <c r="I66" i="14"/>
  <c r="J75" i="14"/>
  <c r="H22" i="14"/>
  <c r="H56" i="14" s="1"/>
  <c r="K22" i="14"/>
  <c r="H75" i="14"/>
  <c r="I56" i="14"/>
  <c r="K75" i="14"/>
  <c r="E35" i="11"/>
  <c r="K4" i="12"/>
  <c r="K5" i="12"/>
  <c r="K6" i="12"/>
  <c r="K7" i="12"/>
  <c r="K9" i="12"/>
  <c r="K10" i="12"/>
  <c r="K11" i="12"/>
  <c r="K12" i="12"/>
  <c r="K13" i="12"/>
  <c r="K14" i="12"/>
  <c r="K15" i="12"/>
  <c r="K16" i="12"/>
  <c r="K17" i="12"/>
  <c r="K18" i="12"/>
  <c r="K19" i="12"/>
  <c r="K21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5" i="12"/>
  <c r="K57" i="12"/>
  <c r="K58" i="12"/>
  <c r="K59" i="12"/>
  <c r="K60" i="12"/>
  <c r="K61" i="12"/>
  <c r="K62" i="12"/>
  <c r="K65" i="12"/>
  <c r="K67" i="12"/>
  <c r="K68" i="12"/>
  <c r="K69" i="12"/>
  <c r="K70" i="12"/>
  <c r="K71" i="12"/>
  <c r="K72" i="12"/>
  <c r="K73" i="12"/>
  <c r="K74" i="12"/>
  <c r="K3" i="12"/>
  <c r="I46" i="12"/>
  <c r="J4" i="12"/>
  <c r="J5" i="12"/>
  <c r="J6" i="12"/>
  <c r="J7" i="12"/>
  <c r="J9" i="12"/>
  <c r="J10" i="12"/>
  <c r="J11" i="12"/>
  <c r="J12" i="12"/>
  <c r="J13" i="12"/>
  <c r="J14" i="12"/>
  <c r="J15" i="12"/>
  <c r="J16" i="12"/>
  <c r="J17" i="12"/>
  <c r="J18" i="12"/>
  <c r="J19" i="12"/>
  <c r="J21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5" i="12"/>
  <c r="J57" i="12"/>
  <c r="J58" i="12"/>
  <c r="J59" i="12"/>
  <c r="J60" i="12"/>
  <c r="J61" i="12"/>
  <c r="J62" i="12"/>
  <c r="J65" i="12"/>
  <c r="J67" i="12"/>
  <c r="J68" i="12"/>
  <c r="J69" i="12"/>
  <c r="J70" i="12"/>
  <c r="J71" i="12"/>
  <c r="J72" i="12"/>
  <c r="J73" i="12"/>
  <c r="J74" i="12"/>
  <c r="J3" i="12"/>
  <c r="I4" i="12"/>
  <c r="I5" i="12"/>
  <c r="I6" i="12"/>
  <c r="I7" i="12"/>
  <c r="I9" i="12"/>
  <c r="I10" i="12"/>
  <c r="I11" i="12"/>
  <c r="I12" i="12"/>
  <c r="I13" i="12"/>
  <c r="I14" i="12"/>
  <c r="I15" i="12"/>
  <c r="I16" i="12"/>
  <c r="I17" i="12"/>
  <c r="I18" i="12"/>
  <c r="I19" i="12"/>
  <c r="I21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7" i="12"/>
  <c r="I48" i="12"/>
  <c r="I49" i="12"/>
  <c r="I50" i="12"/>
  <c r="I51" i="12"/>
  <c r="I52" i="12"/>
  <c r="I53" i="12"/>
  <c r="I55" i="12"/>
  <c r="I57" i="12"/>
  <c r="I58" i="12"/>
  <c r="I59" i="12"/>
  <c r="I60" i="12"/>
  <c r="I61" i="12"/>
  <c r="I62" i="12"/>
  <c r="I65" i="12"/>
  <c r="I67" i="12"/>
  <c r="I68" i="12"/>
  <c r="I69" i="12"/>
  <c r="I70" i="12"/>
  <c r="I71" i="12"/>
  <c r="I72" i="12"/>
  <c r="I73" i="12"/>
  <c r="I74" i="12"/>
  <c r="I3" i="12"/>
  <c r="H4" i="12"/>
  <c r="H5" i="12"/>
  <c r="H6" i="12"/>
  <c r="H7" i="12"/>
  <c r="H9" i="12"/>
  <c r="H10" i="12"/>
  <c r="H11" i="12"/>
  <c r="H12" i="12"/>
  <c r="H13" i="12"/>
  <c r="H14" i="12"/>
  <c r="H15" i="12"/>
  <c r="H16" i="12"/>
  <c r="H17" i="12"/>
  <c r="H18" i="12"/>
  <c r="H19" i="12"/>
  <c r="H21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5" i="12"/>
  <c r="H57" i="12"/>
  <c r="H58" i="12"/>
  <c r="H59" i="12"/>
  <c r="H60" i="12"/>
  <c r="H61" i="12"/>
  <c r="H62" i="12"/>
  <c r="H65" i="12"/>
  <c r="H67" i="12"/>
  <c r="H68" i="12"/>
  <c r="H69" i="12"/>
  <c r="H70" i="12"/>
  <c r="H71" i="12"/>
  <c r="H72" i="12"/>
  <c r="H73" i="12"/>
  <c r="H74" i="12"/>
  <c r="H3" i="12"/>
  <c r="L47" i="13" l="1"/>
  <c r="L29" i="13"/>
  <c r="L60" i="13"/>
  <c r="L68" i="13"/>
  <c r="L3" i="13"/>
  <c r="L67" i="13"/>
  <c r="L42" i="13"/>
  <c r="L51" i="13"/>
  <c r="L39" i="13"/>
  <c r="L31" i="13"/>
  <c r="L21" i="13"/>
  <c r="L12" i="13"/>
  <c r="M3" i="13"/>
  <c r="D4" i="10"/>
  <c r="M67" i="13"/>
  <c r="D48" i="10"/>
  <c r="M42" i="13"/>
  <c r="D66" i="10"/>
  <c r="B66" i="10" s="1"/>
  <c r="M50" i="13"/>
  <c r="D26" i="10"/>
  <c r="M38" i="13"/>
  <c r="D13" i="10"/>
  <c r="M30" i="13"/>
  <c r="D17" i="10"/>
  <c r="M19" i="13"/>
  <c r="D25" i="10"/>
  <c r="B25" i="10" s="1"/>
  <c r="M11" i="13"/>
  <c r="D28" i="10"/>
  <c r="N74" i="13"/>
  <c r="N65" i="13"/>
  <c r="N41" i="13"/>
  <c r="N50" i="13"/>
  <c r="N38" i="13"/>
  <c r="N30" i="13"/>
  <c r="N18" i="13"/>
  <c r="N10" i="13"/>
  <c r="O38" i="13"/>
  <c r="O30" i="13"/>
  <c r="O19" i="13"/>
  <c r="O11" i="13"/>
  <c r="L65" i="13"/>
  <c r="L50" i="13"/>
  <c r="L38" i="13"/>
  <c r="L30" i="13"/>
  <c r="L19" i="13"/>
  <c r="L11" i="13"/>
  <c r="M74" i="13"/>
  <c r="D49" i="10"/>
  <c r="M65" i="13"/>
  <c r="D53" i="10"/>
  <c r="B53" i="10" s="1"/>
  <c r="M41" i="13"/>
  <c r="D38" i="10"/>
  <c r="M49" i="13"/>
  <c r="D15" i="10"/>
  <c r="B15" i="10" s="1"/>
  <c r="M37" i="13"/>
  <c r="D8" i="10"/>
  <c r="B8" i="10" s="1"/>
  <c r="M29" i="13"/>
  <c r="D2" i="10"/>
  <c r="M18" i="13"/>
  <c r="D57" i="10"/>
  <c r="M10" i="13"/>
  <c r="D6" i="10"/>
  <c r="N73" i="13"/>
  <c r="N62" i="13"/>
  <c r="N47" i="13"/>
  <c r="N49" i="13"/>
  <c r="N37" i="13"/>
  <c r="N29" i="13"/>
  <c r="N17" i="13"/>
  <c r="N9" i="13"/>
  <c r="O73" i="13"/>
  <c r="O62" i="13"/>
  <c r="O49" i="13"/>
  <c r="O29" i="13"/>
  <c r="O18" i="13"/>
  <c r="O10" i="13"/>
  <c r="M36" i="13"/>
  <c r="D54" i="10"/>
  <c r="M28" i="13"/>
  <c r="D19" i="10"/>
  <c r="M17" i="13"/>
  <c r="D62" i="10"/>
  <c r="M9" i="13"/>
  <c r="D44" i="10"/>
  <c r="N72" i="13"/>
  <c r="N61" i="13"/>
  <c r="N46" i="13"/>
  <c r="N48" i="13"/>
  <c r="N36" i="13"/>
  <c r="N28" i="13"/>
  <c r="N16" i="13"/>
  <c r="N7" i="13"/>
  <c r="O72" i="13"/>
  <c r="O61" i="13"/>
  <c r="O36" i="13"/>
  <c r="O28" i="13"/>
  <c r="O17" i="13"/>
  <c r="O9" i="13"/>
  <c r="L73" i="13"/>
  <c r="M62" i="13"/>
  <c r="D33" i="10"/>
  <c r="L72" i="13"/>
  <c r="L46" i="13"/>
  <c r="L28" i="13"/>
  <c r="L9" i="13"/>
  <c r="M46" i="13"/>
  <c r="D3" i="10"/>
  <c r="B3" i="10" s="1"/>
  <c r="M45" i="13"/>
  <c r="D16" i="10"/>
  <c r="M35" i="13"/>
  <c r="D29" i="10"/>
  <c r="M27" i="13"/>
  <c r="D46" i="10"/>
  <c r="M16" i="13"/>
  <c r="D64" i="10"/>
  <c r="M7" i="13"/>
  <c r="D31" i="10"/>
  <c r="N71" i="13"/>
  <c r="N58" i="13"/>
  <c r="N45" i="13"/>
  <c r="N35" i="13"/>
  <c r="N27" i="13"/>
  <c r="N15" i="13"/>
  <c r="N6" i="13"/>
  <c r="O45" i="13"/>
  <c r="O27" i="13"/>
  <c r="O16" i="13"/>
  <c r="O7" i="13"/>
  <c r="L62" i="13"/>
  <c r="L37" i="13"/>
  <c r="M48" i="13"/>
  <c r="D60" i="10"/>
  <c r="L48" i="13"/>
  <c r="M72" i="13"/>
  <c r="D42" i="10"/>
  <c r="L71" i="13"/>
  <c r="L58" i="13"/>
  <c r="L45" i="13"/>
  <c r="L35" i="13"/>
  <c r="L27" i="13"/>
  <c r="L16" i="13"/>
  <c r="L7" i="13"/>
  <c r="M71" i="13"/>
  <c r="D21" i="10"/>
  <c r="M58" i="13"/>
  <c r="D47" i="10"/>
  <c r="D5" i="10"/>
  <c r="B5" i="10" s="1"/>
  <c r="M44" i="13"/>
  <c r="D41" i="10"/>
  <c r="M34" i="13"/>
  <c r="D10" i="10"/>
  <c r="M25" i="13"/>
  <c r="D34" i="10"/>
  <c r="M15" i="13"/>
  <c r="D58" i="10"/>
  <c r="B58" i="10" s="1"/>
  <c r="M6" i="13"/>
  <c r="D20" i="10"/>
  <c r="N70" i="13"/>
  <c r="N57" i="13"/>
  <c r="N55" i="13"/>
  <c r="N44" i="13"/>
  <c r="N34" i="13"/>
  <c r="N25" i="13"/>
  <c r="N14" i="13"/>
  <c r="N5" i="13"/>
  <c r="O70" i="13"/>
  <c r="O57" i="13"/>
  <c r="O55" i="13"/>
  <c r="O6" i="13"/>
  <c r="L74" i="13"/>
  <c r="L49" i="13"/>
  <c r="L18" i="13"/>
  <c r="L10" i="13"/>
  <c r="M47" i="13"/>
  <c r="D61" i="10"/>
  <c r="B61" i="10" s="1"/>
  <c r="L61" i="13"/>
  <c r="L36" i="13"/>
  <c r="L17" i="13"/>
  <c r="M61" i="13"/>
  <c r="D27" i="10"/>
  <c r="L70" i="13"/>
  <c r="L57" i="13"/>
  <c r="L55" i="13"/>
  <c r="L44" i="13"/>
  <c r="L34" i="13"/>
  <c r="L25" i="13"/>
  <c r="L15" i="13"/>
  <c r="L6" i="13"/>
  <c r="M70" i="13"/>
  <c r="D68" i="10"/>
  <c r="M57" i="13"/>
  <c r="D14" i="10"/>
  <c r="M55" i="13"/>
  <c r="D67" i="10"/>
  <c r="M43" i="13"/>
  <c r="D39" i="10"/>
  <c r="M33" i="13"/>
  <c r="D9" i="10"/>
  <c r="M24" i="13"/>
  <c r="D56" i="10"/>
  <c r="M14" i="13"/>
  <c r="D45" i="10"/>
  <c r="M5" i="13"/>
  <c r="D50" i="10"/>
  <c r="N69" i="13"/>
  <c r="N60" i="13"/>
  <c r="N53" i="13"/>
  <c r="N43" i="13"/>
  <c r="N33" i="13"/>
  <c r="N24" i="13"/>
  <c r="N13" i="13"/>
  <c r="N4" i="13"/>
  <c r="O60" i="13"/>
  <c r="O43" i="13"/>
  <c r="O24" i="13"/>
  <c r="O14" i="13"/>
  <c r="O5" i="13"/>
  <c r="L41" i="13"/>
  <c r="L69" i="13"/>
  <c r="L53" i="13"/>
  <c r="L33" i="13"/>
  <c r="L14" i="13"/>
  <c r="L5" i="13"/>
  <c r="M69" i="13"/>
  <c r="D63" i="10"/>
  <c r="M60" i="13"/>
  <c r="D65" i="10"/>
  <c r="M53" i="13"/>
  <c r="D11" i="10"/>
  <c r="M40" i="13"/>
  <c r="D40" i="10"/>
  <c r="M32" i="13"/>
  <c r="D23" i="10"/>
  <c r="M23" i="13"/>
  <c r="D51" i="10"/>
  <c r="M13" i="13"/>
  <c r="D59" i="10"/>
  <c r="M4" i="13"/>
  <c r="D18" i="10"/>
  <c r="N68" i="13"/>
  <c r="N59" i="13"/>
  <c r="N52" i="13"/>
  <c r="N40" i="13"/>
  <c r="N32" i="13"/>
  <c r="N21" i="13"/>
  <c r="N12" i="13"/>
  <c r="M51" i="13"/>
  <c r="D55" i="10"/>
  <c r="O68" i="13"/>
  <c r="O52" i="13"/>
  <c r="O40" i="13"/>
  <c r="O23" i="13"/>
  <c r="O13" i="13"/>
  <c r="O4" i="13"/>
  <c r="M73" i="13"/>
  <c r="D12" i="10"/>
  <c r="L43" i="13"/>
  <c r="L24" i="13"/>
  <c r="L59" i="13"/>
  <c r="L52" i="13"/>
  <c r="L40" i="13"/>
  <c r="L32" i="13"/>
  <c r="L23" i="13"/>
  <c r="L13" i="13"/>
  <c r="L4" i="13"/>
  <c r="M68" i="13"/>
  <c r="D7" i="10"/>
  <c r="M59" i="13"/>
  <c r="D24" i="10"/>
  <c r="B24" i="10" s="1"/>
  <c r="M52" i="13"/>
  <c r="D36" i="10"/>
  <c r="M39" i="13"/>
  <c r="D30" i="10"/>
  <c r="M31" i="13"/>
  <c r="D43" i="10"/>
  <c r="M21" i="13"/>
  <c r="D22" i="10"/>
  <c r="B22" i="10" s="1"/>
  <c r="M12" i="13"/>
  <c r="D37" i="10"/>
  <c r="N3" i="13"/>
  <c r="N67" i="13"/>
  <c r="N42" i="13"/>
  <c r="N51" i="13"/>
  <c r="N39" i="13"/>
  <c r="N31" i="13"/>
  <c r="N19" i="13"/>
  <c r="N11" i="13"/>
  <c r="O3" i="13"/>
  <c r="O67" i="13"/>
  <c r="O51" i="13"/>
  <c r="O31" i="13"/>
  <c r="O12" i="13"/>
  <c r="G55" i="12"/>
  <c r="O42" i="13"/>
  <c r="G38" i="12"/>
  <c r="O39" i="13"/>
  <c r="G21" i="12"/>
  <c r="O21" i="13"/>
  <c r="G74" i="12"/>
  <c r="O74" i="13"/>
  <c r="G65" i="12"/>
  <c r="O65" i="13"/>
  <c r="G53" i="12"/>
  <c r="O41" i="13"/>
  <c r="O50" i="13"/>
  <c r="O47" i="13"/>
  <c r="G52" i="12"/>
  <c r="O37" i="13"/>
  <c r="G36" i="12"/>
  <c r="G51" i="12"/>
  <c r="O46" i="13"/>
  <c r="G43" i="12"/>
  <c r="O48" i="13"/>
  <c r="D18" i="11"/>
  <c r="L18" i="11" s="1"/>
  <c r="N26" i="13"/>
  <c r="O71" i="13"/>
  <c r="G71" i="12"/>
  <c r="G60" i="12"/>
  <c r="O58" i="13"/>
  <c r="E18" i="11"/>
  <c r="O26" i="13"/>
  <c r="G50" i="12"/>
  <c r="O35" i="13"/>
  <c r="G34" i="12"/>
  <c r="B18" i="11"/>
  <c r="L26" i="13"/>
  <c r="C18" i="11"/>
  <c r="M26" i="13"/>
  <c r="O44" i="13"/>
  <c r="G41" i="12"/>
  <c r="O34" i="13"/>
  <c r="G33" i="12"/>
  <c r="G25" i="12"/>
  <c r="O25" i="13"/>
  <c r="G15" i="12"/>
  <c r="O15" i="13"/>
  <c r="O69" i="13"/>
  <c r="G69" i="12"/>
  <c r="G48" i="12"/>
  <c r="O53" i="13"/>
  <c r="O33" i="13"/>
  <c r="G32" i="12"/>
  <c r="O59" i="13"/>
  <c r="G31" i="12"/>
  <c r="O32" i="13"/>
  <c r="H22" i="12"/>
  <c r="I56" i="12"/>
  <c r="C17" i="11"/>
  <c r="K17" i="11" s="1"/>
  <c r="J66" i="12"/>
  <c r="D20" i="11"/>
  <c r="K66" i="12"/>
  <c r="E20" i="11"/>
  <c r="E17" i="11"/>
  <c r="M17" i="11" s="1"/>
  <c r="K56" i="12"/>
  <c r="H66" i="12"/>
  <c r="B20" i="11"/>
  <c r="J20" i="11" s="1"/>
  <c r="H56" i="12"/>
  <c r="B17" i="11"/>
  <c r="J17" i="11" s="1"/>
  <c r="I66" i="12"/>
  <c r="C20" i="11"/>
  <c r="J8" i="12"/>
  <c r="D19" i="11"/>
  <c r="L19" i="11" s="1"/>
  <c r="J75" i="12"/>
  <c r="K8" i="12"/>
  <c r="E19" i="11"/>
  <c r="M19" i="11" s="1"/>
  <c r="K75" i="12"/>
  <c r="H8" i="12"/>
  <c r="B6" i="11" s="1"/>
  <c r="B19" i="11"/>
  <c r="J19" i="11" s="1"/>
  <c r="H75" i="12"/>
  <c r="C19" i="11"/>
  <c r="K19" i="11" s="1"/>
  <c r="I8" i="12"/>
  <c r="I75" i="12"/>
  <c r="J22" i="12"/>
  <c r="I22" i="12"/>
  <c r="K22" i="12"/>
  <c r="J76" i="14"/>
  <c r="I76" i="14"/>
  <c r="B37" i="11"/>
  <c r="E37" i="11"/>
  <c r="K76" i="14"/>
  <c r="H76" i="14"/>
  <c r="F57" i="12"/>
  <c r="E57" i="12"/>
  <c r="L66" i="13" l="1"/>
  <c r="L22" i="13"/>
  <c r="L75" i="13"/>
  <c r="L8" i="13"/>
  <c r="N66" i="13"/>
  <c r="M22" i="13"/>
  <c r="O8" i="13"/>
  <c r="N22" i="13"/>
  <c r="M8" i="13"/>
  <c r="M66" i="13"/>
  <c r="M56" i="13"/>
  <c r="N75" i="13"/>
  <c r="M75" i="13"/>
  <c r="N8" i="13"/>
  <c r="B30" i="10"/>
  <c r="C30" i="10"/>
  <c r="B39" i="10"/>
  <c r="C39" i="10"/>
  <c r="B10" i="10"/>
  <c r="C10" i="10"/>
  <c r="L56" i="13"/>
  <c r="O22" i="13"/>
  <c r="O75" i="13"/>
  <c r="O66" i="13"/>
  <c r="O56" i="13"/>
  <c r="M18" i="11"/>
  <c r="K18" i="11"/>
  <c r="J18" i="11"/>
  <c r="O76" i="14"/>
  <c r="K76" i="12"/>
  <c r="M76" i="14"/>
  <c r="L76" i="14"/>
  <c r="I76" i="12"/>
  <c r="B21" i="11"/>
  <c r="C21" i="11"/>
  <c r="L76" i="13" l="1"/>
  <c r="D22" i="1"/>
  <c r="E8" i="1"/>
  <c r="F8" i="1"/>
  <c r="G8" i="1"/>
  <c r="H8" i="1"/>
  <c r="I8" i="1"/>
  <c r="J8" i="1"/>
  <c r="K8" i="1"/>
  <c r="D8" i="1"/>
  <c r="B30" i="11" l="1"/>
  <c r="E30" i="11"/>
  <c r="E21" i="11" l="1"/>
  <c r="B29" i="11"/>
  <c r="E29" i="11" l="1"/>
  <c r="E32" i="11"/>
  <c r="L43" i="12" l="1"/>
  <c r="L70" i="12"/>
  <c r="L71" i="12"/>
  <c r="L73" i="12"/>
  <c r="L74" i="12"/>
  <c r="C8" i="11"/>
  <c r="D8" i="11"/>
  <c r="E34" i="11" l="1"/>
  <c r="J23" i="12"/>
  <c r="E33" i="11"/>
  <c r="L53" i="12"/>
  <c r="L18" i="12"/>
  <c r="L9" i="12"/>
  <c r="L3" i="12"/>
  <c r="O62" i="12"/>
  <c r="G62" i="12" s="1"/>
  <c r="O57" i="12"/>
  <c r="G57" i="12" s="1"/>
  <c r="O60" i="12"/>
  <c r="O47" i="12"/>
  <c r="G47" i="12" s="1"/>
  <c r="O44" i="12"/>
  <c r="G44" i="12" s="1"/>
  <c r="O51" i="12"/>
  <c r="O40" i="12"/>
  <c r="G40" i="12" s="1"/>
  <c r="O39" i="12"/>
  <c r="G39" i="12" s="1"/>
  <c r="O36" i="12"/>
  <c r="O33" i="12"/>
  <c r="O30" i="12"/>
  <c r="G30" i="12" s="1"/>
  <c r="O27" i="12"/>
  <c r="G27" i="12" s="1"/>
  <c r="O25" i="12"/>
  <c r="O21" i="12"/>
  <c r="O17" i="12"/>
  <c r="G17" i="12" s="1"/>
  <c r="O14" i="12"/>
  <c r="O11" i="12"/>
  <c r="O7" i="12"/>
  <c r="O4" i="12"/>
  <c r="L59" i="12"/>
  <c r="M61" i="12"/>
  <c r="E25" i="10" s="1"/>
  <c r="C25" i="10" s="1"/>
  <c r="M53" i="12"/>
  <c r="E36" i="10" s="1"/>
  <c r="M50" i="12"/>
  <c r="E3" i="10" s="1"/>
  <c r="C3" i="10" s="1"/>
  <c r="L58" i="12"/>
  <c r="L37" i="12"/>
  <c r="L15" i="12"/>
  <c r="L5" i="12"/>
  <c r="O69" i="12"/>
  <c r="N72" i="12"/>
  <c r="N62" i="12"/>
  <c r="N60" i="12"/>
  <c r="N44" i="12"/>
  <c r="N40" i="12"/>
  <c r="N39" i="12"/>
  <c r="N36" i="12"/>
  <c r="N33" i="12"/>
  <c r="N30" i="12"/>
  <c r="N27" i="12"/>
  <c r="N25" i="12"/>
  <c r="N21" i="12"/>
  <c r="N17" i="12"/>
  <c r="N14" i="12"/>
  <c r="N11" i="12"/>
  <c r="N7" i="12"/>
  <c r="N4" i="12"/>
  <c r="L46" i="12"/>
  <c r="M70" i="12"/>
  <c r="E44" i="10" s="1"/>
  <c r="M45" i="12"/>
  <c r="E20" i="10" s="1"/>
  <c r="M34" i="12"/>
  <c r="E34" i="10" s="1"/>
  <c r="M18" i="12"/>
  <c r="E48" i="10" s="1"/>
  <c r="L61" i="12"/>
  <c r="L34" i="12"/>
  <c r="L12" i="12"/>
  <c r="O72" i="12"/>
  <c r="G72" i="12" s="1"/>
  <c r="M3" i="12"/>
  <c r="E69" i="10" s="1"/>
  <c r="N69" i="12"/>
  <c r="N57" i="12"/>
  <c r="N47" i="12"/>
  <c r="N51" i="12"/>
  <c r="N3" i="12"/>
  <c r="M72" i="12"/>
  <c r="E56" i="10" s="1"/>
  <c r="M69" i="12"/>
  <c r="E50" i="10" s="1"/>
  <c r="M62" i="12"/>
  <c r="E33" i="10" s="1"/>
  <c r="M57" i="12"/>
  <c r="E15" i="10" s="1"/>
  <c r="C15" i="10" s="1"/>
  <c r="M60" i="12"/>
  <c r="E45" i="10" s="1"/>
  <c r="M47" i="12"/>
  <c r="E43" i="10" s="1"/>
  <c r="M44" i="12"/>
  <c r="E16" i="10" s="1"/>
  <c r="M51" i="12"/>
  <c r="E7" i="10" s="1"/>
  <c r="M40" i="12"/>
  <c r="E55" i="10" s="1"/>
  <c r="M39" i="12"/>
  <c r="E38" i="10" s="1"/>
  <c r="M36" i="12"/>
  <c r="E5" i="10" s="1"/>
  <c r="C5" i="10" s="1"/>
  <c r="M33" i="12"/>
  <c r="E22" i="10" s="1"/>
  <c r="C22" i="10" s="1"/>
  <c r="M30" i="12"/>
  <c r="E60" i="10" s="1"/>
  <c r="M27" i="12"/>
  <c r="E54" i="10" s="1"/>
  <c r="M25" i="12"/>
  <c r="E51" i="10" s="1"/>
  <c r="M21" i="12"/>
  <c r="E11" i="10" s="1"/>
  <c r="M17" i="12"/>
  <c r="E52" i="10" s="1"/>
  <c r="C52" i="10" s="1"/>
  <c r="M14" i="12"/>
  <c r="E47" i="10" s="1"/>
  <c r="M11" i="12"/>
  <c r="E46" i="10" s="1"/>
  <c r="M7" i="12"/>
  <c r="E29" i="10" s="1"/>
  <c r="M4" i="12"/>
  <c r="E12" i="10" s="1"/>
  <c r="L65" i="12"/>
  <c r="M58" i="12"/>
  <c r="E61" i="10" s="1"/>
  <c r="C61" i="10" s="1"/>
  <c r="M41" i="12"/>
  <c r="E57" i="10" s="1"/>
  <c r="M28" i="12"/>
  <c r="E2" i="10" s="1"/>
  <c r="M15" i="12"/>
  <c r="E28" i="10" s="1"/>
  <c r="M5" i="12"/>
  <c r="E35" i="10" s="1"/>
  <c r="C35" i="10" s="1"/>
  <c r="L45" i="12"/>
  <c r="L28" i="12"/>
  <c r="L72" i="12"/>
  <c r="L69" i="12"/>
  <c r="L62" i="12"/>
  <c r="L57" i="12"/>
  <c r="L60" i="12"/>
  <c r="L47" i="12"/>
  <c r="L44" i="12"/>
  <c r="L51" i="12"/>
  <c r="L40" i="12"/>
  <c r="L39" i="12"/>
  <c r="L36" i="12"/>
  <c r="L33" i="12"/>
  <c r="L30" i="12"/>
  <c r="L27" i="12"/>
  <c r="L25" i="12"/>
  <c r="L21" i="12"/>
  <c r="L17" i="12"/>
  <c r="L14" i="12"/>
  <c r="L11" i="12"/>
  <c r="L7" i="12"/>
  <c r="L4" i="12"/>
  <c r="L52" i="12"/>
  <c r="L23" i="12"/>
  <c r="O74" i="12"/>
  <c r="O65" i="12"/>
  <c r="O59" i="12"/>
  <c r="G59" i="12" s="1"/>
  <c r="O49" i="12"/>
  <c r="G49" i="12" s="1"/>
  <c r="O46" i="12"/>
  <c r="G46" i="12" s="1"/>
  <c r="O43" i="12"/>
  <c r="O42" i="12"/>
  <c r="G42" i="12" s="1"/>
  <c r="O38" i="12"/>
  <c r="O35" i="12"/>
  <c r="G35" i="12" s="1"/>
  <c r="O32" i="12"/>
  <c r="O29" i="12"/>
  <c r="G29" i="12" s="1"/>
  <c r="O26" i="12"/>
  <c r="G26" i="12" s="1"/>
  <c r="O24" i="12"/>
  <c r="G24" i="12" s="1"/>
  <c r="O19" i="12"/>
  <c r="G19" i="12" s="1"/>
  <c r="O16" i="12"/>
  <c r="G16" i="12" s="1"/>
  <c r="O13" i="12"/>
  <c r="O10" i="12"/>
  <c r="O6" i="12"/>
  <c r="M67" i="12"/>
  <c r="E24" i="10" s="1"/>
  <c r="C24" i="10" s="1"/>
  <c r="M52" i="12"/>
  <c r="E42" i="10" s="1"/>
  <c r="M31" i="12"/>
  <c r="E14" i="10" s="1"/>
  <c r="M12" i="12"/>
  <c r="E41" i="10" s="1"/>
  <c r="L67" i="12"/>
  <c r="L41" i="12"/>
  <c r="L50" i="12"/>
  <c r="O3" i="12"/>
  <c r="O71" i="12"/>
  <c r="N74" i="12"/>
  <c r="N68" i="12"/>
  <c r="N65" i="12"/>
  <c r="N49" i="12"/>
  <c r="N43" i="12"/>
  <c r="N42" i="12"/>
  <c r="N55" i="12"/>
  <c r="N38" i="12"/>
  <c r="N35" i="12"/>
  <c r="N32" i="12"/>
  <c r="N29" i="12"/>
  <c r="N26" i="12"/>
  <c r="N24" i="12"/>
  <c r="N19" i="12"/>
  <c r="N16" i="12"/>
  <c r="N13" i="12"/>
  <c r="N10" i="12"/>
  <c r="N6" i="12"/>
  <c r="L68" i="12"/>
  <c r="M73" i="12"/>
  <c r="E64" i="10" s="1"/>
  <c r="M48" i="12"/>
  <c r="E13" i="10" s="1"/>
  <c r="M37" i="12"/>
  <c r="E21" i="10" s="1"/>
  <c r="M23" i="12"/>
  <c r="E62" i="10" s="1"/>
  <c r="M9" i="12"/>
  <c r="E40" i="10" s="1"/>
  <c r="L48" i="12"/>
  <c r="L31" i="12"/>
  <c r="O68" i="12"/>
  <c r="G68" i="12" s="1"/>
  <c r="N71" i="12"/>
  <c r="N59" i="12"/>
  <c r="N46" i="12"/>
  <c r="M74" i="12"/>
  <c r="E53" i="10" s="1"/>
  <c r="C53" i="10" s="1"/>
  <c r="M71" i="12"/>
  <c r="E58" i="10" s="1"/>
  <c r="C58" i="10" s="1"/>
  <c r="M68" i="12"/>
  <c r="E67" i="10" s="1"/>
  <c r="M65" i="12"/>
  <c r="E31" i="10" s="1"/>
  <c r="M59" i="12"/>
  <c r="E63" i="10" s="1"/>
  <c r="M49" i="12"/>
  <c r="E26" i="10" s="1"/>
  <c r="M46" i="12"/>
  <c r="E23" i="10" s="1"/>
  <c r="M43" i="12"/>
  <c r="E18" i="10" s="1"/>
  <c r="M42" i="12"/>
  <c r="E6" i="10" s="1"/>
  <c r="M55" i="12"/>
  <c r="E9" i="10" s="1"/>
  <c r="M38" i="12"/>
  <c r="E27" i="10" s="1"/>
  <c r="M35" i="12"/>
  <c r="E66" i="10" s="1"/>
  <c r="C66" i="10" s="1"/>
  <c r="M32" i="12"/>
  <c r="E4" i="10" s="1"/>
  <c r="M29" i="12"/>
  <c r="E8" i="10" s="1"/>
  <c r="C8" i="10" s="1"/>
  <c r="M26" i="12"/>
  <c r="E59" i="10" s="1"/>
  <c r="M24" i="12"/>
  <c r="E37" i="10" s="1"/>
  <c r="M19" i="12"/>
  <c r="E19" i="10" s="1"/>
  <c r="M16" i="12"/>
  <c r="E49" i="10" s="1"/>
  <c r="M13" i="12"/>
  <c r="E65" i="10" s="1"/>
  <c r="M10" i="12"/>
  <c r="E68" i="10" s="1"/>
  <c r="M6" i="12"/>
  <c r="E17" i="10" s="1"/>
  <c r="L42" i="12"/>
  <c r="L55" i="12"/>
  <c r="L38" i="12"/>
  <c r="L35" i="12"/>
  <c r="L32" i="12"/>
  <c r="L29" i="12"/>
  <c r="L26" i="12"/>
  <c r="L24" i="12"/>
  <c r="L19" i="12"/>
  <c r="L16" i="12"/>
  <c r="L13" i="12"/>
  <c r="L10" i="12"/>
  <c r="L6" i="12"/>
  <c r="O73" i="12"/>
  <c r="G73" i="12" s="1"/>
  <c r="O70" i="12"/>
  <c r="G70" i="12" s="1"/>
  <c r="O67" i="12"/>
  <c r="G67" i="12" s="1"/>
  <c r="O58" i="12"/>
  <c r="G58" i="12" s="1"/>
  <c r="O61" i="12"/>
  <c r="G61" i="12" s="1"/>
  <c r="O48" i="12"/>
  <c r="O45" i="12"/>
  <c r="G45" i="12" s="1"/>
  <c r="O52" i="12"/>
  <c r="O41" i="12"/>
  <c r="O37" i="12"/>
  <c r="G37" i="12" s="1"/>
  <c r="O34" i="12"/>
  <c r="O31" i="12"/>
  <c r="O28" i="12"/>
  <c r="G28" i="12" s="1"/>
  <c r="O50" i="12"/>
  <c r="O23" i="12"/>
  <c r="G23" i="12" s="1"/>
  <c r="O18" i="12"/>
  <c r="G18" i="12" s="1"/>
  <c r="O15" i="12"/>
  <c r="O12" i="12"/>
  <c r="O9" i="12"/>
  <c r="O5" i="12"/>
  <c r="L49" i="12"/>
  <c r="N73" i="12"/>
  <c r="N70" i="12"/>
  <c r="N67" i="12"/>
  <c r="N58" i="12"/>
  <c r="N61" i="12"/>
  <c r="N48" i="12"/>
  <c r="N45" i="12"/>
  <c r="N52" i="12"/>
  <c r="N41" i="12"/>
  <c r="N53" i="12"/>
  <c r="N37" i="12"/>
  <c r="N34" i="12"/>
  <c r="N31" i="12"/>
  <c r="N28" i="12"/>
  <c r="N50" i="12"/>
  <c r="N23" i="12"/>
  <c r="N18" i="12"/>
  <c r="N15" i="12"/>
  <c r="N12" i="12"/>
  <c r="N9" i="12"/>
  <c r="N5" i="12"/>
  <c r="N23" i="13" l="1"/>
  <c r="N56" i="13" s="1"/>
  <c r="C18" i="10"/>
  <c r="B18" i="10"/>
  <c r="C21" i="10"/>
  <c r="B21" i="10"/>
  <c r="C12" i="10"/>
  <c r="B12" i="10"/>
  <c r="B60" i="10"/>
  <c r="C60" i="10"/>
  <c r="C45" i="10"/>
  <c r="B45" i="10"/>
  <c r="B34" i="10"/>
  <c r="C34" i="10"/>
  <c r="C29" i="10"/>
  <c r="B29" i="10"/>
  <c r="B20" i="10"/>
  <c r="C20" i="10"/>
  <c r="C37" i="10"/>
  <c r="B37" i="10"/>
  <c r="B59" i="10"/>
  <c r="C59" i="10"/>
  <c r="C13" i="10"/>
  <c r="B13" i="10"/>
  <c r="B26" i="10"/>
  <c r="C26" i="10"/>
  <c r="C64" i="10"/>
  <c r="B64" i="10"/>
  <c r="B46" i="10"/>
  <c r="C46" i="10"/>
  <c r="B33" i="10"/>
  <c r="C33" i="10"/>
  <c r="C69" i="10"/>
  <c r="B69" i="10"/>
  <c r="B44" i="10"/>
  <c r="C44" i="10"/>
  <c r="C23" i="10"/>
  <c r="B23" i="10"/>
  <c r="C17" i="10"/>
  <c r="B17" i="10"/>
  <c r="C4" i="10"/>
  <c r="B4" i="10"/>
  <c r="B63" i="10"/>
  <c r="C63" i="10"/>
  <c r="C41" i="10"/>
  <c r="B41" i="10"/>
  <c r="B28" i="10"/>
  <c r="C28" i="10"/>
  <c r="C47" i="10"/>
  <c r="B47" i="10"/>
  <c r="B38" i="10"/>
  <c r="C38" i="10"/>
  <c r="B50" i="10"/>
  <c r="C50" i="10"/>
  <c r="C36" i="10"/>
  <c r="B36" i="10"/>
  <c r="C55" i="10"/>
  <c r="B55" i="10"/>
  <c r="B56" i="10"/>
  <c r="C56" i="10"/>
  <c r="B68" i="10"/>
  <c r="C68" i="10"/>
  <c r="B14" i="10"/>
  <c r="C14" i="10"/>
  <c r="C65" i="10"/>
  <c r="B65" i="10"/>
  <c r="C57" i="10"/>
  <c r="B57" i="10"/>
  <c r="B11" i="10"/>
  <c r="C11" i="10"/>
  <c r="C7" i="10"/>
  <c r="B7" i="10"/>
  <c r="B31" i="10"/>
  <c r="C31" i="10"/>
  <c r="B27" i="10"/>
  <c r="C27" i="10"/>
  <c r="B42" i="10"/>
  <c r="C42" i="10"/>
  <c r="B49" i="10"/>
  <c r="C49" i="10"/>
  <c r="C9" i="10"/>
  <c r="B9" i="10"/>
  <c r="B40" i="10"/>
  <c r="C40" i="10"/>
  <c r="C51" i="10"/>
  <c r="B51" i="10"/>
  <c r="C16" i="10"/>
  <c r="B16" i="10"/>
  <c r="C67" i="10"/>
  <c r="B67" i="10"/>
  <c r="C19" i="10"/>
  <c r="B19" i="10"/>
  <c r="C6" i="10"/>
  <c r="B6" i="10"/>
  <c r="C62" i="10"/>
  <c r="B62" i="10"/>
  <c r="B54" i="10"/>
  <c r="C54" i="10"/>
  <c r="C43" i="10"/>
  <c r="B43" i="10"/>
  <c r="B48" i="10"/>
  <c r="C48" i="10"/>
  <c r="Q18" i="11"/>
  <c r="I18" i="11" s="1"/>
  <c r="P18" i="11"/>
  <c r="N18" i="11"/>
  <c r="F18" i="11" s="1"/>
  <c r="O18" i="11"/>
  <c r="G18" i="11" s="1"/>
  <c r="C2" i="10"/>
  <c r="B2" i="10"/>
  <c r="J56" i="12"/>
  <c r="J76" i="12" s="1"/>
  <c r="D17" i="11"/>
  <c r="O22" i="12"/>
  <c r="G22" i="12" s="1"/>
  <c r="L75" i="12"/>
  <c r="N66" i="12"/>
  <c r="P20" i="11"/>
  <c r="H20" i="11" s="1"/>
  <c r="Q19" i="11"/>
  <c r="O8" i="12"/>
  <c r="N8" i="12"/>
  <c r="P19" i="11"/>
  <c r="M66" i="12"/>
  <c r="O20" i="11"/>
  <c r="M75" i="12"/>
  <c r="L22" i="12"/>
  <c r="N22" i="12"/>
  <c r="O75" i="12"/>
  <c r="G75" i="12" s="1"/>
  <c r="L66" i="12"/>
  <c r="N20" i="11"/>
  <c r="F20" i="11" s="1"/>
  <c r="N75" i="12"/>
  <c r="M22" i="12"/>
  <c r="M8" i="12"/>
  <c r="O19" i="11"/>
  <c r="L8" i="12"/>
  <c r="N19" i="11"/>
  <c r="N56" i="12"/>
  <c r="P17" i="11"/>
  <c r="N17" i="11"/>
  <c r="L56" i="12"/>
  <c r="Q20" i="11"/>
  <c r="I20" i="11" s="1"/>
  <c r="O66" i="12"/>
  <c r="G66" i="12" s="1"/>
  <c r="O56" i="12"/>
  <c r="G56" i="12" s="1"/>
  <c r="Q17" i="11"/>
  <c r="O17" i="11"/>
  <c r="M56" i="12"/>
  <c r="N76" i="14"/>
  <c r="D57" i="12"/>
  <c r="B34" i="11"/>
  <c r="B33" i="11"/>
  <c r="B35" i="11"/>
  <c r="D10" i="11"/>
  <c r="C10" i="11"/>
  <c r="B10" i="11"/>
  <c r="D7" i="11"/>
  <c r="C7" i="11"/>
  <c r="D6" i="11"/>
  <c r="C6" i="11"/>
  <c r="E28" i="11"/>
  <c r="B28" i="11"/>
  <c r="K20" i="11"/>
  <c r="L20" i="11"/>
  <c r="M20" i="11"/>
  <c r="F10" i="11"/>
  <c r="G10" i="11"/>
  <c r="H10" i="11"/>
  <c r="D21" i="11" l="1"/>
  <c r="L17" i="11"/>
  <c r="E38" i="11"/>
  <c r="L76" i="12"/>
  <c r="M76" i="12"/>
  <c r="P21" i="11"/>
  <c r="O21" i="11"/>
  <c r="N76" i="12"/>
  <c r="Q21" i="11"/>
  <c r="O76" i="12"/>
  <c r="G76" i="12" s="1"/>
  <c r="N21" i="11"/>
  <c r="E31" i="11"/>
  <c r="B31" i="11"/>
  <c r="H76" i="12"/>
  <c r="B39" i="11"/>
  <c r="B32" i="11"/>
  <c r="I76" i="13" l="1"/>
  <c r="J76" i="13" l="1"/>
  <c r="E40" i="11" l="1"/>
  <c r="G37" i="11" l="1"/>
  <c r="J75" i="1" l="1"/>
  <c r="H75" i="1"/>
  <c r="F75" i="1"/>
  <c r="D75" i="1"/>
  <c r="E75" i="1"/>
  <c r="G75" i="1"/>
  <c r="I75" i="1"/>
  <c r="K75" i="1"/>
  <c r="E66" i="1"/>
  <c r="F66" i="1"/>
  <c r="G66" i="1"/>
  <c r="H66" i="1"/>
  <c r="I66" i="1"/>
  <c r="J66" i="1"/>
  <c r="K66" i="1"/>
  <c r="D66" i="1"/>
  <c r="G22" i="1"/>
  <c r="E22" i="1"/>
  <c r="F22" i="1"/>
  <c r="H22" i="1"/>
  <c r="I22" i="1"/>
  <c r="J22" i="1"/>
  <c r="K22" i="1"/>
  <c r="G5" i="14"/>
  <c r="G9" i="14"/>
  <c r="G10" i="14"/>
  <c r="G11" i="14"/>
  <c r="G12" i="14"/>
  <c r="G13" i="14"/>
  <c r="G14" i="14"/>
  <c r="G15" i="14"/>
  <c r="G16" i="14"/>
  <c r="G17" i="14"/>
  <c r="G18" i="14"/>
  <c r="G19" i="14"/>
  <c r="G21" i="14"/>
  <c r="G23" i="14"/>
  <c r="G24" i="14"/>
  <c r="G25" i="14"/>
  <c r="G26" i="14"/>
  <c r="G27" i="14"/>
  <c r="G65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7" i="14"/>
  <c r="G59" i="14"/>
  <c r="G60" i="14"/>
  <c r="G44" i="14"/>
  <c r="G45" i="14"/>
  <c r="G63" i="14"/>
  <c r="G46" i="14"/>
  <c r="G47" i="14"/>
  <c r="G58" i="14"/>
  <c r="G48" i="14"/>
  <c r="G49" i="14"/>
  <c r="G50" i="14"/>
  <c r="G51" i="14"/>
  <c r="G52" i="14"/>
  <c r="G53" i="14"/>
  <c r="G61" i="14"/>
  <c r="G55" i="14"/>
  <c r="G67" i="14"/>
  <c r="G68" i="14"/>
  <c r="G69" i="14"/>
  <c r="G70" i="14"/>
  <c r="G71" i="14"/>
  <c r="G72" i="14"/>
  <c r="G73" i="14"/>
  <c r="G57" i="14"/>
  <c r="G74" i="14"/>
  <c r="F5" i="14"/>
  <c r="F9" i="14"/>
  <c r="F10" i="14"/>
  <c r="F11" i="14"/>
  <c r="F12" i="14"/>
  <c r="F13" i="14"/>
  <c r="F14" i="14"/>
  <c r="F15" i="14"/>
  <c r="F16" i="14"/>
  <c r="F17" i="14"/>
  <c r="F18" i="14"/>
  <c r="F19" i="14"/>
  <c r="F21" i="14"/>
  <c r="F23" i="14"/>
  <c r="F24" i="14"/>
  <c r="F25" i="14"/>
  <c r="F26" i="14"/>
  <c r="F27" i="14"/>
  <c r="F65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7" i="14"/>
  <c r="F59" i="14"/>
  <c r="F60" i="14"/>
  <c r="F44" i="14"/>
  <c r="F45" i="14"/>
  <c r="F63" i="14"/>
  <c r="F46" i="14"/>
  <c r="F47" i="14"/>
  <c r="F58" i="14"/>
  <c r="F48" i="14"/>
  <c r="F49" i="14"/>
  <c r="F50" i="14"/>
  <c r="F51" i="14"/>
  <c r="F52" i="14"/>
  <c r="F53" i="14"/>
  <c r="F61" i="14"/>
  <c r="F55" i="14"/>
  <c r="F67" i="14"/>
  <c r="F68" i="14"/>
  <c r="F69" i="14"/>
  <c r="F70" i="14"/>
  <c r="F71" i="14"/>
  <c r="F72" i="14"/>
  <c r="F73" i="14"/>
  <c r="F57" i="14"/>
  <c r="F74" i="14"/>
  <c r="E9" i="14"/>
  <c r="E10" i="14"/>
  <c r="E11" i="14"/>
  <c r="E12" i="14"/>
  <c r="E13" i="14"/>
  <c r="E14" i="14"/>
  <c r="E15" i="14"/>
  <c r="E16" i="14"/>
  <c r="E17" i="14"/>
  <c r="E18" i="14"/>
  <c r="E19" i="14"/>
  <c r="E21" i="14"/>
  <c r="E23" i="14"/>
  <c r="E24" i="14"/>
  <c r="E25" i="14"/>
  <c r="E26" i="14"/>
  <c r="E27" i="14"/>
  <c r="E65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7" i="14"/>
  <c r="E59" i="14"/>
  <c r="E60" i="14"/>
  <c r="E44" i="14"/>
  <c r="E45" i="14"/>
  <c r="E63" i="14"/>
  <c r="E46" i="14"/>
  <c r="E47" i="14"/>
  <c r="E58" i="14"/>
  <c r="E48" i="14"/>
  <c r="E49" i="14"/>
  <c r="E50" i="14"/>
  <c r="E51" i="14"/>
  <c r="E52" i="14"/>
  <c r="E53" i="14"/>
  <c r="E61" i="14"/>
  <c r="E55" i="14"/>
  <c r="E67" i="14"/>
  <c r="E68" i="14"/>
  <c r="E69" i="14"/>
  <c r="E70" i="14"/>
  <c r="E71" i="14"/>
  <c r="E72" i="14"/>
  <c r="E73" i="14"/>
  <c r="E57" i="14"/>
  <c r="E74" i="14"/>
  <c r="D5" i="14"/>
  <c r="D9" i="14"/>
  <c r="D10" i="14"/>
  <c r="D11" i="14"/>
  <c r="D12" i="14"/>
  <c r="D13" i="14"/>
  <c r="D14" i="14"/>
  <c r="D15" i="14"/>
  <c r="D16" i="14"/>
  <c r="D17" i="14"/>
  <c r="D18" i="14"/>
  <c r="D19" i="14"/>
  <c r="D21" i="14"/>
  <c r="D23" i="14"/>
  <c r="D24" i="14"/>
  <c r="D25" i="14"/>
  <c r="D26" i="14"/>
  <c r="D27" i="14"/>
  <c r="D65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7" i="14"/>
  <c r="D59" i="14"/>
  <c r="D60" i="14"/>
  <c r="D44" i="14"/>
  <c r="D45" i="14"/>
  <c r="D63" i="14"/>
  <c r="D46" i="14"/>
  <c r="D47" i="14"/>
  <c r="D58" i="14"/>
  <c r="D48" i="14"/>
  <c r="D49" i="14"/>
  <c r="D50" i="14"/>
  <c r="D51" i="14"/>
  <c r="D52" i="14"/>
  <c r="D53" i="14"/>
  <c r="D61" i="14"/>
  <c r="D55" i="14"/>
  <c r="D67" i="14"/>
  <c r="D68" i="14"/>
  <c r="D69" i="14"/>
  <c r="D70" i="14"/>
  <c r="D71" i="14"/>
  <c r="D72" i="14"/>
  <c r="D73" i="14"/>
  <c r="D57" i="14"/>
  <c r="D74" i="14"/>
  <c r="E37" i="13"/>
  <c r="E38" i="13"/>
  <c r="E39" i="13"/>
  <c r="E40" i="13"/>
  <c r="E41" i="13"/>
  <c r="E42" i="13"/>
  <c r="E43" i="13"/>
  <c r="E44" i="13"/>
  <c r="E45" i="13"/>
  <c r="E48" i="13"/>
  <c r="E49" i="13"/>
  <c r="E16" i="13"/>
  <c r="E17" i="13"/>
  <c r="E19" i="13"/>
  <c r="E21" i="13"/>
  <c r="E6" i="13"/>
  <c r="F68" i="12"/>
  <c r="F69" i="12"/>
  <c r="F70" i="12"/>
  <c r="F71" i="12"/>
  <c r="F72" i="12"/>
  <c r="F73" i="12"/>
  <c r="F60" i="12"/>
  <c r="F24" i="12"/>
  <c r="D24" i="13" s="1"/>
  <c r="F25" i="12"/>
  <c r="D25" i="13" s="1"/>
  <c r="F50" i="12"/>
  <c r="D26" i="13" s="1"/>
  <c r="F26" i="12"/>
  <c r="D27" i="13" s="1"/>
  <c r="F65" i="12"/>
  <c r="D65" i="13" s="1"/>
  <c r="F27" i="12"/>
  <c r="D28" i="13" s="1"/>
  <c r="F28" i="12"/>
  <c r="D29" i="13" s="1"/>
  <c r="F29" i="12"/>
  <c r="D30" i="13" s="1"/>
  <c r="F30" i="12"/>
  <c r="D31" i="13" s="1"/>
  <c r="F31" i="12"/>
  <c r="D32" i="13" s="1"/>
  <c r="F32" i="12"/>
  <c r="D33" i="13" s="1"/>
  <c r="F33" i="12"/>
  <c r="D34" i="13" s="1"/>
  <c r="F34" i="12"/>
  <c r="D35" i="13" s="1"/>
  <c r="F35" i="12"/>
  <c r="D36" i="13" s="1"/>
  <c r="F36" i="12"/>
  <c r="D37" i="13" s="1"/>
  <c r="F37" i="12"/>
  <c r="D38" i="13" s="1"/>
  <c r="F38" i="12"/>
  <c r="D39" i="13" s="1"/>
  <c r="F39" i="12"/>
  <c r="D40" i="13" s="1"/>
  <c r="F53" i="12"/>
  <c r="D41" i="13" s="1"/>
  <c r="F55" i="12"/>
  <c r="D42" i="13" s="1"/>
  <c r="F40" i="12"/>
  <c r="D43" i="13" s="1"/>
  <c r="F7" i="12"/>
  <c r="D7" i="13" s="1"/>
  <c r="D59" i="13"/>
  <c r="F58" i="12"/>
  <c r="D60" i="13" s="1"/>
  <c r="F41" i="12"/>
  <c r="D44" i="13" s="1"/>
  <c r="F42" i="12"/>
  <c r="D45" i="13" s="1"/>
  <c r="F62" i="12"/>
  <c r="D62" i="13" s="1"/>
  <c r="F51" i="12"/>
  <c r="D46" i="13" s="1"/>
  <c r="F52" i="12"/>
  <c r="D47" i="13" s="1"/>
  <c r="F59" i="12"/>
  <c r="D57" i="13" s="1"/>
  <c r="F43" i="12"/>
  <c r="D48" i="13" s="1"/>
  <c r="F44" i="12"/>
  <c r="D49" i="13" s="1"/>
  <c r="F45" i="12"/>
  <c r="D50" i="13" s="1"/>
  <c r="F46" i="12"/>
  <c r="D51" i="13" s="1"/>
  <c r="F47" i="12"/>
  <c r="D52" i="13" s="1"/>
  <c r="F48" i="12"/>
  <c r="D53" i="13" s="1"/>
  <c r="F61" i="12"/>
  <c r="D61" i="13" s="1"/>
  <c r="F49" i="12"/>
  <c r="D55" i="13" s="1"/>
  <c r="F10" i="12"/>
  <c r="D10" i="13" s="1"/>
  <c r="F11" i="12"/>
  <c r="D11" i="13" s="1"/>
  <c r="F12" i="12"/>
  <c r="D12" i="13" s="1"/>
  <c r="F14" i="12"/>
  <c r="D14" i="13" s="1"/>
  <c r="F15" i="12"/>
  <c r="D15" i="13" s="1"/>
  <c r="F16" i="12"/>
  <c r="D16" i="13" s="1"/>
  <c r="F17" i="12"/>
  <c r="D17" i="13" s="1"/>
  <c r="F18" i="12"/>
  <c r="D18" i="13" s="1"/>
  <c r="F19" i="12"/>
  <c r="D19" i="13" s="1"/>
  <c r="F21" i="12"/>
  <c r="D21" i="13" s="1"/>
  <c r="F4" i="12"/>
  <c r="D4" i="13" s="1"/>
  <c r="F5" i="12"/>
  <c r="D5" i="13" s="1"/>
  <c r="F6" i="12"/>
  <c r="D6" i="13" s="1"/>
  <c r="E68" i="12"/>
  <c r="E69" i="12"/>
  <c r="E70" i="12"/>
  <c r="E71" i="12"/>
  <c r="E72" i="12"/>
  <c r="E73" i="12"/>
  <c r="E38" i="12"/>
  <c r="E58" i="12"/>
  <c r="E18" i="12"/>
  <c r="E19" i="12"/>
  <c r="D68" i="12"/>
  <c r="D69" i="12"/>
  <c r="D70" i="12"/>
  <c r="D71" i="12"/>
  <c r="D72" i="12"/>
  <c r="D73" i="12"/>
  <c r="D60" i="12"/>
  <c r="F24" i="13"/>
  <c r="F26" i="13"/>
  <c r="F27" i="13"/>
  <c r="F65" i="13"/>
  <c r="F29" i="13"/>
  <c r="F30" i="13"/>
  <c r="D31" i="12"/>
  <c r="F33" i="13"/>
  <c r="F34" i="13"/>
  <c r="F36" i="13"/>
  <c r="F37" i="13"/>
  <c r="F40" i="13"/>
  <c r="F41" i="13"/>
  <c r="F7" i="13"/>
  <c r="F59" i="13"/>
  <c r="D41" i="12"/>
  <c r="F45" i="13"/>
  <c r="F62" i="13"/>
  <c r="F50" i="13"/>
  <c r="F51" i="13"/>
  <c r="F11" i="13"/>
  <c r="F13" i="13"/>
  <c r="D19" i="12"/>
  <c r="F67" i="12"/>
  <c r="F23" i="12"/>
  <c r="F9" i="12"/>
  <c r="E67" i="12"/>
  <c r="E23" i="12"/>
  <c r="E9" i="12"/>
  <c r="D67" i="12"/>
  <c r="D23" i="12"/>
  <c r="D9" i="12"/>
  <c r="E8" i="11" l="1"/>
  <c r="G76" i="1"/>
  <c r="E36" i="11" s="1"/>
  <c r="E41" i="11" s="1"/>
  <c r="D66" i="14"/>
  <c r="I76" i="1"/>
  <c r="H76" i="1"/>
  <c r="J76" i="1"/>
  <c r="D76" i="1"/>
  <c r="B36" i="11" s="1"/>
  <c r="B41" i="11" s="1"/>
  <c r="K76" i="1"/>
  <c r="F75" i="14"/>
  <c r="E66" i="14"/>
  <c r="F66" i="14"/>
  <c r="E75" i="14"/>
  <c r="D22" i="14"/>
  <c r="G22" i="14"/>
  <c r="F22" i="14"/>
  <c r="F76" i="1"/>
  <c r="D36" i="11" s="1"/>
  <c r="D41" i="11" s="1"/>
  <c r="E76" i="1"/>
  <c r="C36" i="11" s="1"/>
  <c r="C41" i="11" s="1"/>
  <c r="G66" i="14"/>
  <c r="G75" i="14"/>
  <c r="E22" i="14"/>
  <c r="F8" i="14"/>
  <c r="E8" i="14"/>
  <c r="D8" i="14"/>
  <c r="D75" i="14"/>
  <c r="E4" i="12"/>
  <c r="E6" i="12"/>
  <c r="E36" i="13"/>
  <c r="B8" i="11"/>
  <c r="E53" i="12"/>
  <c r="E46" i="12"/>
  <c r="E32" i="12"/>
  <c r="D39" i="12"/>
  <c r="D11" i="12"/>
  <c r="E42" i="12"/>
  <c r="E44" i="12"/>
  <c r="D33" i="12"/>
  <c r="E50" i="12"/>
  <c r="E45" i="12"/>
  <c r="E11" i="12"/>
  <c r="D26" i="12"/>
  <c r="E41" i="12"/>
  <c r="D50" i="12"/>
  <c r="E10" i="12"/>
  <c r="E25" i="12"/>
  <c r="D62" i="12"/>
  <c r="D13" i="12"/>
  <c r="E7" i="12"/>
  <c r="D32" i="12"/>
  <c r="D36" i="12"/>
  <c r="E12" i="12"/>
  <c r="E33" i="12"/>
  <c r="D45" i="12"/>
  <c r="D53" i="12"/>
  <c r="D46" i="12"/>
  <c r="D65" i="12"/>
  <c r="D42" i="12"/>
  <c r="E31" i="12"/>
  <c r="E14" i="12"/>
  <c r="D35" i="12"/>
  <c r="E59" i="12"/>
  <c r="D28" i="12"/>
  <c r="D29" i="12"/>
  <c r="E35" i="12"/>
  <c r="D4" i="12"/>
  <c r="F4" i="13"/>
  <c r="D17" i="12"/>
  <c r="F17" i="13"/>
  <c r="E61" i="12"/>
  <c r="D6" i="12"/>
  <c r="F6" i="13"/>
  <c r="D52" i="12"/>
  <c r="F47" i="13"/>
  <c r="E48" i="12"/>
  <c r="D5" i="12"/>
  <c r="F5" i="13"/>
  <c r="D51" i="12"/>
  <c r="F46" i="13"/>
  <c r="D34" i="12"/>
  <c r="F35" i="13"/>
  <c r="E55" i="12"/>
  <c r="E27" i="12"/>
  <c r="D21" i="12"/>
  <c r="F21" i="13"/>
  <c r="E39" i="12"/>
  <c r="D16" i="12"/>
  <c r="F16" i="13"/>
  <c r="D61" i="12"/>
  <c r="F61" i="13"/>
  <c r="D59" i="12"/>
  <c r="F57" i="13"/>
  <c r="E16" i="12"/>
  <c r="D15" i="12"/>
  <c r="F15" i="13"/>
  <c r="D48" i="12"/>
  <c r="F53" i="13"/>
  <c r="D40" i="12"/>
  <c r="F43" i="13"/>
  <c r="D74" i="12"/>
  <c r="F74" i="13"/>
  <c r="E15" i="12"/>
  <c r="E52" i="12"/>
  <c r="E40" i="12"/>
  <c r="E28" i="12"/>
  <c r="D14" i="12"/>
  <c r="F14" i="13"/>
  <c r="D47" i="12"/>
  <c r="F52" i="13"/>
  <c r="D55" i="12"/>
  <c r="F42" i="13"/>
  <c r="D27" i="12"/>
  <c r="F28" i="13"/>
  <c r="E51" i="12"/>
  <c r="E34" i="12"/>
  <c r="D7" i="12"/>
  <c r="E36" i="12"/>
  <c r="D12" i="12"/>
  <c r="F12" i="13"/>
  <c r="E21" i="12"/>
  <c r="E26" i="12"/>
  <c r="E47" i="12"/>
  <c r="D24" i="12"/>
  <c r="D18" i="12"/>
  <c r="F18" i="13"/>
  <c r="D10" i="12"/>
  <c r="F10" i="13"/>
  <c r="F49" i="13"/>
  <c r="D44" i="12"/>
  <c r="D58" i="12"/>
  <c r="F60" i="13"/>
  <c r="D38" i="12"/>
  <c r="F39" i="13"/>
  <c r="D43" i="12"/>
  <c r="F48" i="13"/>
  <c r="D37" i="12"/>
  <c r="F38" i="13"/>
  <c r="D30" i="12"/>
  <c r="F31" i="13"/>
  <c r="D25" i="12"/>
  <c r="F25" i="13"/>
  <c r="E17" i="12"/>
  <c r="E49" i="12"/>
  <c r="E43" i="12"/>
  <c r="E37" i="12"/>
  <c r="E30" i="12"/>
  <c r="D49" i="12"/>
  <c r="F55" i="13"/>
  <c r="E29" i="12"/>
  <c r="E24" i="12"/>
  <c r="F44" i="13"/>
  <c r="F19" i="13"/>
  <c r="F32" i="13"/>
  <c r="G45" i="13" l="1"/>
  <c r="G62" i="13"/>
  <c r="E62" i="13"/>
  <c r="G47" i="13"/>
  <c r="E47" i="13"/>
  <c r="G50" i="13"/>
  <c r="E50" i="13"/>
  <c r="G53" i="13"/>
  <c r="E53" i="13"/>
  <c r="G26" i="13"/>
  <c r="E26" i="13"/>
  <c r="G65" i="13"/>
  <c r="E65" i="13"/>
  <c r="G42" i="13"/>
  <c r="G24" i="13"/>
  <c r="E24" i="13"/>
  <c r="G39" i="13"/>
  <c r="G55" i="13"/>
  <c r="E55" i="13"/>
  <c r="G37" i="13"/>
  <c r="G5" i="12"/>
  <c r="E5" i="13" s="1"/>
  <c r="G29" i="13"/>
  <c r="E29" i="13"/>
  <c r="G12" i="13"/>
  <c r="G12" i="12"/>
  <c r="E12" i="13" s="1"/>
  <c r="G35" i="13"/>
  <c r="E35" i="13"/>
  <c r="G38" i="13"/>
  <c r="G15" i="13"/>
  <c r="E15" i="13"/>
  <c r="G49" i="13"/>
  <c r="G33" i="13"/>
  <c r="E33" i="13"/>
  <c r="G34" i="13"/>
  <c r="E34" i="13"/>
  <c r="G48" i="13"/>
  <c r="G21" i="13"/>
  <c r="G41" i="13"/>
  <c r="G7" i="13"/>
  <c r="G7" i="12"/>
  <c r="E7" i="13" s="1"/>
  <c r="G16" i="13"/>
  <c r="B7" i="11"/>
  <c r="G14" i="13"/>
  <c r="G14" i="12"/>
  <c r="E14" i="13" s="1"/>
  <c r="F31" i="11"/>
  <c r="H31" i="11"/>
  <c r="F76" i="14"/>
  <c r="H32" i="11"/>
  <c r="F34" i="11"/>
  <c r="G34" i="11"/>
  <c r="H34" i="11"/>
  <c r="I34" i="11"/>
  <c r="F33" i="11"/>
  <c r="I33" i="11"/>
  <c r="H33" i="11"/>
  <c r="G33" i="11"/>
  <c r="G35" i="11"/>
  <c r="G29" i="11"/>
  <c r="H29" i="11"/>
  <c r="I29" i="11"/>
  <c r="F29" i="11"/>
  <c r="G36" i="11"/>
  <c r="D76" i="14"/>
  <c r="E76" i="14"/>
  <c r="G30" i="11"/>
  <c r="F30" i="11"/>
  <c r="H30" i="11"/>
  <c r="I28" i="11"/>
  <c r="E5" i="12" l="1"/>
  <c r="G5" i="13"/>
  <c r="G58" i="13" l="1"/>
  <c r="F70" i="13"/>
  <c r="D70" i="13"/>
  <c r="E58" i="13"/>
  <c r="E70" i="13"/>
  <c r="E9" i="13" l="1"/>
  <c r="F9" i="13"/>
  <c r="F68" i="13"/>
  <c r="F72" i="13"/>
  <c r="F69" i="13"/>
  <c r="E68" i="13"/>
  <c r="E72" i="13"/>
  <c r="E69" i="13"/>
  <c r="G69" i="13"/>
  <c r="F71" i="13"/>
  <c r="E73" i="13"/>
  <c r="G71" i="13"/>
  <c r="E71" i="13"/>
  <c r="D71" i="13"/>
  <c r="F73" i="13"/>
  <c r="D72" i="13"/>
  <c r="F58" i="13"/>
  <c r="D73" i="13"/>
  <c r="D58" i="13"/>
  <c r="D69" i="13"/>
  <c r="D68" i="13"/>
  <c r="F74" i="12"/>
  <c r="D74" i="13" s="1"/>
  <c r="F22" i="13" l="1"/>
  <c r="L7" i="11" s="1"/>
  <c r="E23" i="13"/>
  <c r="E66" i="13"/>
  <c r="K8" i="11" s="1"/>
  <c r="F67" i="13"/>
  <c r="D67" i="13"/>
  <c r="D23" i="13"/>
  <c r="D66" i="13"/>
  <c r="J8" i="11" s="1"/>
  <c r="D9" i="13"/>
  <c r="F13" i="12"/>
  <c r="D13" i="13" s="1"/>
  <c r="G67" i="13"/>
  <c r="F23" i="13"/>
  <c r="F66" i="13"/>
  <c r="L8" i="11" s="1"/>
  <c r="E67" i="13"/>
  <c r="F66" i="12"/>
  <c r="D66" i="12"/>
  <c r="F75" i="13" l="1"/>
  <c r="L9" i="11" s="1"/>
  <c r="D75" i="13"/>
  <c r="J9" i="11" s="1"/>
  <c r="D22" i="13" l="1"/>
  <c r="J7" i="11" s="1"/>
  <c r="D75" i="12" l="1"/>
  <c r="I9" i="11"/>
  <c r="E74" i="12"/>
  <c r="I17" i="11" l="1"/>
  <c r="E74" i="13"/>
  <c r="F8" i="11"/>
  <c r="E75" i="13" l="1"/>
  <c r="K9" i="11" s="1"/>
  <c r="F22" i="12" l="1"/>
  <c r="H7" i="11" s="1"/>
  <c r="F75" i="12"/>
  <c r="H8" i="11" s="1"/>
  <c r="H17" i="11" l="1"/>
  <c r="E75" i="12"/>
  <c r="G8" i="11" s="1"/>
  <c r="G13" i="12"/>
  <c r="E13" i="12"/>
  <c r="D22" i="12" l="1"/>
  <c r="E13" i="13"/>
  <c r="G13" i="13"/>
  <c r="E22" i="12"/>
  <c r="G7" i="11" s="1"/>
  <c r="F7" i="11" l="1"/>
  <c r="E22" i="13"/>
  <c r="K7" i="11" s="1"/>
  <c r="F17" i="11" l="1"/>
  <c r="I11" i="11" l="1"/>
  <c r="E18" i="13"/>
  <c r="I19" i="11" l="1"/>
  <c r="M21" i="11"/>
  <c r="E60" i="13" l="1"/>
  <c r="F28" i="11" l="1"/>
  <c r="E8" i="12"/>
  <c r="H28" i="11"/>
  <c r="D3" i="12"/>
  <c r="E3" i="12"/>
  <c r="G28" i="11"/>
  <c r="G6" i="11" l="1"/>
  <c r="D8" i="12"/>
  <c r="G8" i="12" s="1"/>
  <c r="M76" i="13"/>
  <c r="N76" i="13"/>
  <c r="F3" i="13"/>
  <c r="D3" i="13"/>
  <c r="F8" i="12"/>
  <c r="E3" i="13"/>
  <c r="H19" i="11"/>
  <c r="G19" i="11"/>
  <c r="F19" i="11"/>
  <c r="H6" i="11" l="1"/>
  <c r="F6" i="11"/>
  <c r="L21" i="11"/>
  <c r="E8" i="13"/>
  <c r="K6" i="11" s="1"/>
  <c r="E76" i="13"/>
  <c r="F21" i="11"/>
  <c r="I21" i="11"/>
  <c r="J21" i="11"/>
  <c r="K21" i="11"/>
  <c r="D76" i="13"/>
  <c r="D8" i="13"/>
  <c r="J6" i="11" s="1"/>
  <c r="F76" i="13"/>
  <c r="F8" i="13"/>
  <c r="L6" i="11" s="1"/>
  <c r="G20" i="11" l="1"/>
  <c r="L11" i="11"/>
  <c r="L10" i="11"/>
  <c r="K11" i="11"/>
  <c r="K10" i="11"/>
  <c r="J11" i="11"/>
  <c r="J10" i="11"/>
  <c r="G17" i="11"/>
  <c r="G21" i="11"/>
  <c r="H21" i="11" l="1"/>
  <c r="E56" i="13"/>
  <c r="F56" i="13"/>
  <c r="D56" i="13"/>
  <c r="E30" i="13"/>
  <c r="E11" i="13"/>
  <c r="E27" i="13"/>
  <c r="E46" i="13"/>
  <c r="E4" i="13"/>
  <c r="E28" i="13"/>
  <c r="E57" i="13"/>
  <c r="E61" i="13"/>
  <c r="E31" i="13"/>
  <c r="E10" i="13"/>
  <c r="E32" i="13"/>
  <c r="E51" i="13"/>
  <c r="E25" i="13"/>
  <c r="E59" i="13"/>
  <c r="E52" i="13"/>
  <c r="G4" i="12"/>
  <c r="G4" i="13"/>
  <c r="I7" i="11"/>
  <c r="G23" i="13"/>
  <c r="G11" i="13"/>
  <c r="G18" i="13"/>
  <c r="G25" i="13"/>
  <c r="E7" i="11"/>
  <c r="E6" i="11"/>
  <c r="G10" i="13"/>
  <c r="G9" i="13"/>
  <c r="G17" i="13"/>
  <c r="G32" i="13"/>
  <c r="G31" i="13"/>
  <c r="G9" i="12"/>
  <c r="G28" i="13"/>
  <c r="G30" i="13"/>
  <c r="G27" i="13"/>
  <c r="G19" i="13"/>
  <c r="G3" i="13"/>
  <c r="G10" i="12"/>
  <c r="G6" i="13"/>
  <c r="G6" i="12"/>
  <c r="F3" i="12"/>
  <c r="G11" i="12"/>
  <c r="G8" i="13" l="1"/>
  <c r="M6" i="11" s="1"/>
  <c r="G22" i="13"/>
  <c r="M7" i="11" s="1"/>
  <c r="G72" i="13"/>
  <c r="G61" i="13"/>
  <c r="G44" i="13"/>
  <c r="G46" i="13"/>
  <c r="G73" i="13"/>
  <c r="G70" i="13"/>
  <c r="E10" i="11"/>
  <c r="G74" i="13"/>
  <c r="E65" i="12"/>
  <c r="E60" i="12"/>
  <c r="I8" i="11"/>
  <c r="G60" i="13"/>
  <c r="G36" i="13"/>
  <c r="G40" i="13"/>
  <c r="G59" i="13"/>
  <c r="G51" i="13"/>
  <c r="G43" i="13"/>
  <c r="G52" i="13"/>
  <c r="G57" i="13"/>
  <c r="G66" i="13" l="1"/>
  <c r="M8" i="11" s="1"/>
  <c r="G56" i="13"/>
  <c r="G68" i="13"/>
  <c r="G75" i="13" l="1"/>
  <c r="M9" i="11" s="1"/>
  <c r="O76" i="13"/>
  <c r="G76" i="13" s="1"/>
  <c r="M10" i="11" l="1"/>
  <c r="M11" i="11"/>
  <c r="I6" i="11"/>
  <c r="G3" i="12"/>
  <c r="E62" i="12"/>
  <c r="E66" i="12"/>
  <c r="F3" i="14"/>
  <c r="D3" i="14"/>
  <c r="G76" i="14"/>
  <c r="G3" i="14"/>
  <c r="G8" i="14"/>
  <c r="D4" i="14"/>
  <c r="E4" i="14"/>
  <c r="F6" i="14"/>
  <c r="F4" i="14"/>
  <c r="G6" i="14"/>
  <c r="G4" i="14"/>
  <c r="E3" i="14"/>
  <c r="D6" i="14"/>
  <c r="E6" i="14"/>
  <c r="E5" i="14"/>
  <c r="F56" i="14"/>
  <c r="D56" i="14"/>
  <c r="G56" i="14"/>
  <c r="E56" i="14"/>
  <c r="B9" i="11"/>
  <c r="B11" i="11" s="1"/>
  <c r="C9" i="11"/>
  <c r="C11" i="11" s="1"/>
  <c r="E56" i="12"/>
  <c r="F41" i="11"/>
  <c r="D56" i="12"/>
  <c r="E9" i="11"/>
  <c r="E11" i="11" s="1"/>
  <c r="F56" i="12"/>
  <c r="I10" i="11"/>
  <c r="G41" i="11"/>
  <c r="D9" i="11"/>
  <c r="D11" i="11" s="1"/>
  <c r="H41" i="11" l="1"/>
  <c r="E76" i="12"/>
  <c r="G9" i="11" s="1"/>
  <c r="F76" i="12"/>
  <c r="H9" i="11" s="1"/>
  <c r="D76" i="12"/>
  <c r="F9" i="11" s="1"/>
  <c r="I41" i="11"/>
  <c r="F11" i="11" l="1"/>
  <c r="H11" i="11"/>
  <c r="G11" i="11"/>
  <c r="F56" i="1"/>
  <c r="D56" i="1"/>
  <c r="G56" i="1"/>
  <c r="E56" i="1"/>
  <c r="K56" i="1"/>
  <c r="I56" i="1"/>
  <c r="J56" i="1"/>
  <c r="H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DE70FAC4-5D4A-4550-9363-9A6705AF1B4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ABFF131A-A5FC-4912-B84D-A623E3EEB56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A1E1B578-BD22-4E65-B7B7-880BC29023A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E87A78CA-7191-445B-8886-E6D70F6F950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38E3F34-02D8-4E7F-97AC-0EC08D7D1F7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5C147B12-0587-4B8E-970A-B95BD316219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395E305-BF6C-4B52-9901-1B09344B651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D1D3763A-2161-4023-B2FB-1A72305B71BB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A7C4D062-8ED6-43CA-8ABE-61348659C5F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31310878-D6A7-4822-B46D-E45F1861F1F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1DE37DE-2546-4B4C-9A56-DDFAC3359FF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F323CFE7-32B2-4883-AC2B-AA67D884736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5F05712-678B-4119-B843-FE482EF76673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671FFC84-F612-4D5B-A10A-9F0EB4591E6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B90452A7-CABE-41B2-A125-AC06459CD21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42F7A70D-CEC3-40D0-8158-71AA2A23C98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7F7E8A9-41ED-47E5-AB60-C5C602CC3EB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EB23B82C-72D1-4EAB-8DEA-72991C763CB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11DBD998-4083-4858-90B0-0A9EDE92240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A96307E7-B628-48A1-A91F-0616AD44F46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ADF620E-192E-4011-A4E0-FC0E7D3C1A2A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E85726D9-5065-4092-A3DC-7DF66F72F2C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2B5F777-03C5-4409-962B-6D6F4BF27DC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41C58739-D703-4F09-9A8D-6AD1409370F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EF1EDC6E-8562-4FA1-8728-0BABFBB444C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7570AB68-5418-483C-B77F-0C3BF1961B2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41C31AB-9218-462F-A408-4DCF4B45DC4F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68D7684E-A10E-425B-A695-0678E37E003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9359A930-6CE4-4B2E-8984-713875891A3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461ED2F0-50AA-4142-8B46-465C52B4154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A1C0BA16-E3BE-4125-9229-068EA198EB3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71171EC7-5F9F-4D27-AAD2-38F1D5E3BE7A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490DB86A-0FC7-430B-B942-1ADA65002823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DD42FC93-3584-4359-995C-7DE306B16A5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sharedStrings.xml><?xml version="1.0" encoding="utf-8"?>
<sst xmlns="http://schemas.openxmlformats.org/spreadsheetml/2006/main" count="3960" uniqueCount="142">
  <si>
    <t>שם סוכן</t>
  </si>
  <si>
    <t>גל אלמגור סוכ</t>
  </si>
  <si>
    <t>דניאלה אביב</t>
  </si>
  <si>
    <t>סה"כ ישיר</t>
  </si>
  <si>
    <t>בראשית סוכנות לביטוח</t>
  </si>
  <si>
    <t>גל אלמגור דאוד סוכ' לב</t>
  </si>
  <si>
    <t>גל אלמגור -וייס סוכנות</t>
  </si>
  <si>
    <t>גל אלמגור דרום סוכ ל</t>
  </si>
  <si>
    <t>משה שטרן גל אלמגור</t>
  </si>
  <si>
    <t>מקסימום סוכנות לבטוח פ</t>
  </si>
  <si>
    <t>סה"כ חברות בנות</t>
  </si>
  <si>
    <t>מועלם אלפרד</t>
  </si>
  <si>
    <t>גרניק בנימין</t>
  </si>
  <si>
    <t>סאוסן שלבי</t>
  </si>
  <si>
    <t>דורי כדורי דאי</t>
  </si>
  <si>
    <t>סברא סמיר</t>
  </si>
  <si>
    <t>מחמוד פארס</t>
  </si>
  <si>
    <t>ריזק חלבי</t>
  </si>
  <si>
    <t>שלבי מיסון</t>
  </si>
  <si>
    <t>בחוס יוסף</t>
  </si>
  <si>
    <t>קליין סיון</t>
  </si>
  <si>
    <t>צקותאי אורי</t>
  </si>
  <si>
    <t>סמיר בלאן</t>
  </si>
  <si>
    <t>רן בסין</t>
  </si>
  <si>
    <t>אלקרינאוי ראוף</t>
  </si>
  <si>
    <t>דאי גדי</t>
  </si>
  <si>
    <t>מילאד אבו שקארה</t>
  </si>
  <si>
    <t>דראושה אדהם</t>
  </si>
  <si>
    <t>בדארנה עומר</t>
  </si>
  <si>
    <t>לוי חיים</t>
  </si>
  <si>
    <t>גולדר אבי</t>
  </si>
  <si>
    <t>א.ד. אבידן ביטוחים בע"מ</t>
  </si>
  <si>
    <t>מטאנס זוהיר</t>
  </si>
  <si>
    <t>סטולרז אסף</t>
  </si>
  <si>
    <t>דני פחימה</t>
  </si>
  <si>
    <t>עאטף עדווי</t>
  </si>
  <si>
    <t>מכלול סוכנות לביטוח</t>
  </si>
  <si>
    <t>גול זאב</t>
  </si>
  <si>
    <t>בדר צבי</t>
  </si>
  <si>
    <t>יונתן מנחם</t>
  </si>
  <si>
    <t>שלי מזרחי</t>
  </si>
  <si>
    <t>יהונתן שיוביץ</t>
  </si>
  <si>
    <t>אלרם סוכנות לביטוח</t>
  </si>
  <si>
    <t>רכס אורן</t>
  </si>
  <si>
    <t>סה"כ פרימיום</t>
  </si>
  <si>
    <t>סה"כ כולל</t>
  </si>
  <si>
    <t>פנסיוני</t>
  </si>
  <si>
    <t xml:space="preserve">סיכונים </t>
  </si>
  <si>
    <t>פיננסים</t>
  </si>
  <si>
    <t>ניודי פנסיה</t>
  </si>
  <si>
    <t>סיכונים</t>
  </si>
  <si>
    <t xml:space="preserve">פיננסים </t>
  </si>
  <si>
    <t>שינוי מול אשתקד %</t>
  </si>
  <si>
    <t xml:space="preserve">מפקח </t>
  </si>
  <si>
    <t>מפקח</t>
  </si>
  <si>
    <t>לא מפוקחים</t>
  </si>
  <si>
    <t xml:space="preserve">ערן גירוני </t>
  </si>
  <si>
    <t xml:space="preserve">קבוצה </t>
  </si>
  <si>
    <t xml:space="preserve">ישירים </t>
  </si>
  <si>
    <t>חברות בת</t>
  </si>
  <si>
    <t xml:space="preserve">סוכני פרימיום </t>
  </si>
  <si>
    <t xml:space="preserve">סה"כ מכירות </t>
  </si>
  <si>
    <t>השגת יעדים%</t>
  </si>
  <si>
    <t>מנורה</t>
  </si>
  <si>
    <t>מגדל</t>
  </si>
  <si>
    <t>כלל</t>
  </si>
  <si>
    <t>אלטשולר שחם</t>
  </si>
  <si>
    <t>מור</t>
  </si>
  <si>
    <t>הראל</t>
  </si>
  <si>
    <t>הפניקס</t>
  </si>
  <si>
    <t>איילון</t>
  </si>
  <si>
    <t xml:space="preserve">הכשרה </t>
  </si>
  <si>
    <t>סה"כ</t>
  </si>
  <si>
    <t>השגת יעדים מצטבר %</t>
  </si>
  <si>
    <t>שינוי %</t>
  </si>
  <si>
    <t>עליה/ירידה</t>
  </si>
  <si>
    <t>יעדים מצטבר</t>
  </si>
  <si>
    <t>אריאל בר-חיים</t>
  </si>
  <si>
    <r>
      <t xml:space="preserve">תפוקה </t>
    </r>
    <r>
      <rPr>
        <b/>
        <i/>
        <sz val="11"/>
        <color rgb="FFFF0000"/>
        <rFont val="Calibri"/>
        <family val="2"/>
      </rPr>
      <t>מצטברת</t>
    </r>
    <r>
      <rPr>
        <b/>
        <i/>
        <sz val="11"/>
        <color theme="1"/>
        <rFont val="Calibri"/>
        <family val="2"/>
      </rPr>
      <t xml:space="preserve"> לפי קבוצות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</si>
  <si>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מפקחים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</si>
  <si>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חברות</t>
    </r>
  </si>
  <si>
    <t>נור אבו ראס</t>
  </si>
  <si>
    <t>לילי שרון</t>
  </si>
  <si>
    <t>אחמד עלי אחמד</t>
  </si>
  <si>
    <t>שירלי בוכריס</t>
  </si>
  <si>
    <t>עבוד כיתי</t>
  </si>
  <si>
    <t>אביב מור יוסף</t>
  </si>
  <si>
    <t>יעקב ישראל שטרן</t>
  </si>
  <si>
    <t>סיון פיינרו</t>
  </si>
  <si>
    <t xml:space="preserve">ניודי פנסיה </t>
  </si>
  <si>
    <t>חנה כצנלסון</t>
  </si>
  <si>
    <t>ינאי חיים בוני</t>
  </si>
  <si>
    <t xml:space="preserve">מיכאל וקסלר </t>
  </si>
  <si>
    <t xml:space="preserve">שני לוי </t>
  </si>
  <si>
    <t>דורון ענק הביטוח</t>
  </si>
  <si>
    <t>דאי דניאל</t>
  </si>
  <si>
    <t xml:space="preserve">גל אלמגור -ראם </t>
  </si>
  <si>
    <t xml:space="preserve">ניר יבלונקה </t>
  </si>
  <si>
    <t xml:space="preserve">אבו חיט ניזאם </t>
  </si>
  <si>
    <t>אילנית כהן</t>
  </si>
  <si>
    <t>נעם הלשטוק</t>
  </si>
  <si>
    <t>אורטל / לנג ביג סוכנות לביטוח פנסיוני</t>
  </si>
  <si>
    <t>פרמיום</t>
  </si>
  <si>
    <t xml:space="preserve">פרמיום </t>
  </si>
  <si>
    <t xml:space="preserve">רותי </t>
  </si>
  <si>
    <t xml:space="preserve">אילנית </t>
  </si>
  <si>
    <t xml:space="preserve">שותפים </t>
  </si>
  <si>
    <t xml:space="preserve">סוכנים </t>
  </si>
  <si>
    <t>יוסי אביב</t>
  </si>
  <si>
    <t>מחלקה</t>
  </si>
  <si>
    <t xml:space="preserve">מדיהו </t>
  </si>
  <si>
    <t xml:space="preserve">אנליסט </t>
  </si>
  <si>
    <t>מיטב דש</t>
  </si>
  <si>
    <t>אינפניטי</t>
  </si>
  <si>
    <t>0%0</t>
  </si>
  <si>
    <t>איתי אדן</t>
  </si>
  <si>
    <t>סוכנים ערן</t>
  </si>
  <si>
    <t>סוכנים איתי</t>
  </si>
  <si>
    <t>תפוקה מצטברת - 2025</t>
  </si>
  <si>
    <t xml:space="preserve">תפוקה מצטברת - 2024 </t>
  </si>
  <si>
    <t xml:space="preserve">סוכנים איתי </t>
  </si>
  <si>
    <t>בס"ד</t>
  </si>
  <si>
    <t>תפוקה מצטברת 03/2024</t>
  </si>
  <si>
    <t>עולים בולטים</t>
  </si>
  <si>
    <t>סוכן</t>
  </si>
  <si>
    <t>שינוי % מול תקופה חופפת אשתקד</t>
  </si>
  <si>
    <t>עליה מול תקופה חופפת אשתקד</t>
  </si>
  <si>
    <t>יורדים בולטים</t>
  </si>
  <si>
    <t>ירידה מול תקופה חופפת אשתקד</t>
  </si>
  <si>
    <t>תפוקה מצטברת - 2024</t>
  </si>
  <si>
    <t>גל אלמגור קפיטל</t>
  </si>
  <si>
    <t>תפוקה מצטברת  05/2025</t>
  </si>
  <si>
    <t>תפוקה מצטברת 05/2025</t>
  </si>
  <si>
    <t>תפוקה מצטברת 05/2024</t>
  </si>
  <si>
    <t>יעד מצטבר 05/2025</t>
  </si>
  <si>
    <t>יעד חודשי 05/2025</t>
  </si>
  <si>
    <t>תפוקה חודשית 05/2025</t>
  </si>
  <si>
    <t>תפוקה חודשית  05/2025</t>
  </si>
  <si>
    <t>תפוקה חודשית 05/2024</t>
  </si>
  <si>
    <t>סטו וסרמן</t>
  </si>
  <si>
    <t>מרדכי חג'ג'</t>
  </si>
  <si>
    <t>שלומי אחלופי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</si>
</sst>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0" x14ac:knownFonts="1"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333333"/>
      <name val="Calibri"/>
      <family val="2"/>
    </font>
    <font>
      <b/>
      <sz val="14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0000"/>
      <name val="Calibri"/>
      <family val="2"/>
    </font>
    <font>
      <b/>
      <sz val="12"/>
      <color theme="1"/>
      <name val="Calibri"/>
      <family val="2"/>
      <charset val="177"/>
    </font>
    <font>
      <sz val="10"/>
      <name val="Arial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  <charset val="177"/>
    </font>
    <font>
      <b/>
      <sz val="11"/>
      <color theme="1"/>
      <name val="Calibri"/>
      <family val="2"/>
      <charset val="177"/>
    </font>
    <font>
      <b/>
      <sz val="18"/>
      <color theme="1"/>
      <name val="Calibri"/>
      <family val="2"/>
      <charset val="177"/>
    </font>
    <font>
      <b/>
      <sz val="16"/>
      <color theme="1"/>
      <name val="Calibri"/>
      <family val="2"/>
      <charset val="177"/>
    </font>
    <font>
      <sz val="1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Arial"/>
      <family val="2"/>
      <scheme val="minor"/>
    </font>
    <font>
      <sz val="11"/>
      <color theme="1"/>
      <name val="Arial"/>
      <family val="2"/>
      <charset val="177"/>
    </font>
    <font>
      <b/>
      <sz val="12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E9D9AB"/>
        <bgColor indexed="64"/>
      </patternFill>
    </fill>
    <fill>
      <patternFill patternType="solid">
        <fgColor rgb="FFF0E5C6"/>
        <bgColor indexed="64"/>
      </patternFill>
    </fill>
    <fill>
      <patternFill patternType="solid">
        <fgColor theme="5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3" fontId="26" fillId="0" borderId="1">
      <alignment horizontal="right"/>
    </xf>
  </cellStyleXfs>
  <cellXfs count="2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readingOrder="1"/>
    </xf>
    <xf numFmtId="164" fontId="1" fillId="0" borderId="0" xfId="1" applyNumberFormat="1" applyFont="1" applyAlignment="1">
      <alignment readingOrder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 readingOrder="2"/>
    </xf>
    <xf numFmtId="164" fontId="5" fillId="6" borderId="1" xfId="1" applyNumberFormat="1" applyFont="1" applyFill="1" applyBorder="1" applyAlignment="1">
      <alignment horizontal="center" vertical="center"/>
    </xf>
    <xf numFmtId="164" fontId="7" fillId="15" borderId="1" xfId="1" applyNumberFormat="1" applyFont="1" applyFill="1" applyBorder="1" applyAlignment="1">
      <alignment horizontal="center" vertical="center" wrapText="1" readingOrder="2"/>
    </xf>
    <xf numFmtId="164" fontId="5" fillId="12" borderId="1" xfId="1" applyNumberFormat="1" applyFont="1" applyFill="1" applyBorder="1" applyAlignment="1">
      <alignment horizontal="center"/>
    </xf>
    <xf numFmtId="164" fontId="5" fillId="12" borderId="2" xfId="1" applyNumberFormat="1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 vertical="center" wrapText="1" readingOrder="2"/>
    </xf>
    <xf numFmtId="0" fontId="6" fillId="15" borderId="12" xfId="0" applyFont="1" applyFill="1" applyBorder="1" applyAlignment="1">
      <alignment horizontal="center" vertical="center" wrapText="1" readingOrder="2"/>
    </xf>
    <xf numFmtId="164" fontId="5" fillId="12" borderId="10" xfId="1" applyNumberFormat="1" applyFont="1" applyFill="1" applyBorder="1" applyAlignment="1">
      <alignment horizontal="center"/>
    </xf>
    <xf numFmtId="9" fontId="5" fillId="0" borderId="1" xfId="2" applyFont="1" applyBorder="1" applyAlignment="1">
      <alignment horizontal="center" vertical="center"/>
    </xf>
    <xf numFmtId="164" fontId="5" fillId="6" borderId="1" xfId="1" applyNumberFormat="1" applyFont="1" applyFill="1" applyBorder="1" applyAlignment="1">
      <alignment readingOrder="1"/>
    </xf>
    <xf numFmtId="164" fontId="5" fillId="10" borderId="1" xfId="1" applyNumberFormat="1" applyFont="1" applyFill="1" applyBorder="1" applyAlignment="1">
      <alignment readingOrder="1"/>
    </xf>
    <xf numFmtId="164" fontId="5" fillId="9" borderId="1" xfId="1" applyNumberFormat="1" applyFont="1" applyFill="1" applyBorder="1" applyAlignment="1">
      <alignment readingOrder="1"/>
    </xf>
    <xf numFmtId="0" fontId="8" fillId="2" borderId="1" xfId="0" applyFont="1" applyFill="1" applyBorder="1" applyAlignment="1">
      <alignment horizontal="center" vertical="center" wrapText="1" readingOrder="2"/>
    </xf>
    <xf numFmtId="164" fontId="10" fillId="7" borderId="1" xfId="1" applyNumberFormat="1" applyFont="1" applyFill="1" applyBorder="1" applyAlignment="1">
      <alignment horizontal="center" vertical="center"/>
    </xf>
    <xf numFmtId="164" fontId="8" fillId="14" borderId="1" xfId="1" applyNumberFormat="1" applyFont="1" applyFill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 readingOrder="2"/>
    </xf>
    <xf numFmtId="0" fontId="9" fillId="0" borderId="10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164" fontId="8" fillId="5" borderId="1" xfId="1" applyNumberFormat="1" applyFont="1" applyFill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 readingOrder="2"/>
    </xf>
    <xf numFmtId="164" fontId="5" fillId="0" borderId="0" xfId="1" applyNumberFormat="1" applyFont="1"/>
    <xf numFmtId="0" fontId="5" fillId="0" borderId="0" xfId="0" applyFont="1"/>
    <xf numFmtId="9" fontId="12" fillId="12" borderId="0" xfId="2" applyFont="1" applyFill="1" applyBorder="1" applyAlignment="1">
      <alignment horizontal="center" vertical="center" wrapText="1" readingOrder="2"/>
    </xf>
    <xf numFmtId="164" fontId="12" fillId="12" borderId="0" xfId="1" applyNumberFormat="1" applyFont="1" applyFill="1" applyBorder="1" applyAlignment="1">
      <alignment horizontal="center" vertical="center" wrapText="1" readingOrder="2"/>
    </xf>
    <xf numFmtId="164" fontId="3" fillId="0" borderId="0" xfId="1" applyNumberFormat="1" applyFont="1" applyAlignment="1">
      <alignment horizontal="center" vertical="center"/>
    </xf>
    <xf numFmtId="164" fontId="8" fillId="18" borderId="10" xfId="1" applyNumberFormat="1" applyFont="1" applyFill="1" applyBorder="1" applyAlignment="1">
      <alignment horizontal="center" vertical="center" wrapText="1" readingOrder="2"/>
    </xf>
    <xf numFmtId="164" fontId="8" fillId="9" borderId="10" xfId="1" applyNumberFormat="1" applyFont="1" applyFill="1" applyBorder="1" applyAlignment="1">
      <alignment horizontal="center" vertical="center" wrapText="1" readingOrder="2"/>
    </xf>
    <xf numFmtId="9" fontId="12" fillId="11" borderId="13" xfId="2" applyFont="1" applyFill="1" applyBorder="1" applyAlignment="1">
      <alignment horizontal="center" vertical="center" wrapText="1" readingOrder="1"/>
    </xf>
    <xf numFmtId="9" fontId="12" fillId="11" borderId="14" xfId="2" applyFont="1" applyFill="1" applyBorder="1" applyAlignment="1">
      <alignment horizontal="center" vertical="center" wrapText="1" readingOrder="1"/>
    </xf>
    <xf numFmtId="9" fontId="5" fillId="0" borderId="2" xfId="2" applyFont="1" applyBorder="1" applyAlignment="1">
      <alignment horizontal="center" vertical="center" readingOrder="1"/>
    </xf>
    <xf numFmtId="9" fontId="5" fillId="0" borderId="10" xfId="2" applyFont="1" applyBorder="1" applyAlignment="1">
      <alignment horizontal="center" vertical="center" readingOrder="1"/>
    </xf>
    <xf numFmtId="9" fontId="5" fillId="0" borderId="1" xfId="2" applyFont="1" applyBorder="1" applyAlignment="1">
      <alignment horizontal="center" vertical="center" readingOrder="1"/>
    </xf>
    <xf numFmtId="164" fontId="5" fillId="0" borderId="1" xfId="1" applyNumberFormat="1" applyFont="1" applyBorder="1" applyAlignment="1">
      <alignment horizontal="center" vertical="center" readingOrder="1"/>
    </xf>
    <xf numFmtId="9" fontId="5" fillId="0" borderId="6" xfId="2" applyFont="1" applyBorder="1" applyAlignment="1">
      <alignment horizontal="center" vertical="center" readingOrder="1"/>
    </xf>
    <xf numFmtId="164" fontId="5" fillId="0" borderId="0" xfId="1" applyNumberFormat="1" applyFont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 readingOrder="1"/>
    </xf>
    <xf numFmtId="164" fontId="5" fillId="0" borderId="5" xfId="1" applyNumberFormat="1" applyFont="1" applyBorder="1" applyAlignment="1">
      <alignment horizontal="center" vertical="center" readingOrder="1"/>
    </xf>
    <xf numFmtId="0" fontId="13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15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18" fillId="0" borderId="0" xfId="0" applyFont="1" applyAlignment="1">
      <alignment readingOrder="1"/>
    </xf>
    <xf numFmtId="0" fontId="5" fillId="12" borderId="0" xfId="0" applyFont="1" applyFill="1" applyAlignment="1">
      <alignment readingOrder="1"/>
    </xf>
    <xf numFmtId="0" fontId="8" fillId="0" borderId="0" xfId="0" applyFont="1" applyAlignment="1">
      <alignment horizontal="center" vertical="center" readingOrder="1"/>
    </xf>
    <xf numFmtId="164" fontId="10" fillId="0" borderId="24" xfId="1" applyNumberFormat="1" applyFont="1" applyBorder="1" applyAlignment="1">
      <alignment horizontal="center" vertical="center"/>
    </xf>
    <xf numFmtId="164" fontId="10" fillId="0" borderId="25" xfId="1" applyNumberFormat="1" applyFont="1" applyBorder="1" applyAlignment="1">
      <alignment horizontal="center" vertical="center"/>
    </xf>
    <xf numFmtId="0" fontId="8" fillId="15" borderId="14" xfId="0" applyFont="1" applyFill="1" applyBorder="1" applyAlignment="1">
      <alignment horizontal="center" vertical="center" wrapText="1" readingOrder="2"/>
    </xf>
    <xf numFmtId="164" fontId="5" fillId="10" borderId="1" xfId="1" applyNumberFormat="1" applyFont="1" applyFill="1" applyBorder="1" applyAlignment="1">
      <alignment horizontal="center" vertical="center"/>
    </xf>
    <xf numFmtId="164" fontId="5" fillId="10" borderId="2" xfId="1" applyNumberFormat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10" borderId="1" xfId="1" applyNumberFormat="1" applyFont="1" applyFill="1" applyBorder="1" applyAlignment="1">
      <alignment horizontal="center" vertical="center"/>
    </xf>
    <xf numFmtId="164" fontId="7" fillId="15" borderId="12" xfId="1" applyNumberFormat="1" applyFont="1" applyFill="1" applyBorder="1" applyAlignment="1">
      <alignment horizontal="center" vertical="center" wrapText="1" readingOrder="2"/>
    </xf>
    <xf numFmtId="0" fontId="19" fillId="0" borderId="0" xfId="0" applyFont="1" applyAlignment="1">
      <alignment readingOrder="1"/>
    </xf>
    <xf numFmtId="164" fontId="18" fillId="0" borderId="5" xfId="1" applyNumberFormat="1" applyFont="1" applyBorder="1"/>
    <xf numFmtId="164" fontId="18" fillId="0" borderId="0" xfId="1" applyNumberFormat="1" applyFont="1"/>
    <xf numFmtId="9" fontId="19" fillId="22" borderId="4" xfId="2" applyFont="1" applyFill="1" applyBorder="1" applyAlignment="1">
      <alignment horizontal="center" vertical="center"/>
    </xf>
    <xf numFmtId="164" fontId="6" fillId="11" borderId="15" xfId="1" applyNumberFormat="1" applyFont="1" applyFill="1" applyBorder="1" applyAlignment="1">
      <alignment horizontal="center" vertical="center" wrapText="1" readingOrder="2"/>
    </xf>
    <xf numFmtId="164" fontId="8" fillId="18" borderId="9" xfId="1" applyNumberFormat="1" applyFont="1" applyFill="1" applyBorder="1" applyAlignment="1">
      <alignment horizontal="center" vertical="center" wrapText="1" readingOrder="2"/>
    </xf>
    <xf numFmtId="164" fontId="8" fillId="9" borderId="11" xfId="1" applyNumberFormat="1" applyFont="1" applyFill="1" applyBorder="1" applyAlignment="1">
      <alignment horizontal="center" vertical="center" wrapText="1" readingOrder="2"/>
    </xf>
    <xf numFmtId="164" fontId="12" fillId="11" borderId="12" xfId="1" applyNumberFormat="1" applyFont="1" applyFill="1" applyBorder="1" applyAlignment="1">
      <alignment horizontal="center" vertical="center" wrapText="1" readingOrder="1"/>
    </xf>
    <xf numFmtId="9" fontId="5" fillId="0" borderId="8" xfId="2" applyFont="1" applyBorder="1" applyAlignment="1">
      <alignment horizontal="center" vertical="center" readingOrder="1"/>
    </xf>
    <xf numFmtId="164" fontId="8" fillId="9" borderId="3" xfId="1" applyNumberFormat="1" applyFont="1" applyFill="1" applyBorder="1" applyAlignment="1">
      <alignment horizontal="center" vertical="center" wrapText="1" readingOrder="2"/>
    </xf>
    <xf numFmtId="164" fontId="0" fillId="0" borderId="0" xfId="1" applyNumberFormat="1" applyFont="1" applyBorder="1" applyAlignment="1">
      <alignment horizontal="center" vertical="center"/>
    </xf>
    <xf numFmtId="164" fontId="8" fillId="9" borderId="36" xfId="1" applyNumberFormat="1" applyFont="1" applyFill="1" applyBorder="1" applyAlignment="1">
      <alignment horizontal="center" vertical="center" wrapText="1" readingOrder="2"/>
    </xf>
    <xf numFmtId="9" fontId="5" fillId="0" borderId="5" xfId="2" applyFont="1" applyBorder="1" applyAlignment="1">
      <alignment horizontal="center" vertical="center" readingOrder="1"/>
    </xf>
    <xf numFmtId="9" fontId="5" fillId="0" borderId="7" xfId="2" applyFont="1" applyBorder="1" applyAlignment="1">
      <alignment horizontal="center" vertical="center" readingOrder="1"/>
    </xf>
    <xf numFmtId="164" fontId="8" fillId="18" borderId="32" xfId="1" applyNumberFormat="1" applyFont="1" applyFill="1" applyBorder="1" applyAlignment="1">
      <alignment horizontal="center" vertical="center" wrapText="1" readingOrder="2"/>
    </xf>
    <xf numFmtId="164" fontId="8" fillId="9" borderId="9" xfId="1" applyNumberFormat="1" applyFont="1" applyFill="1" applyBorder="1" applyAlignment="1">
      <alignment horizontal="center" vertical="center" wrapText="1" readingOrder="2"/>
    </xf>
    <xf numFmtId="9" fontId="12" fillId="11" borderId="12" xfId="2" applyFont="1" applyFill="1" applyBorder="1" applyAlignment="1">
      <alignment horizontal="center" vertical="center" wrapText="1" readingOrder="1"/>
    </xf>
    <xf numFmtId="10" fontId="6" fillId="11" borderId="26" xfId="1" applyNumberFormat="1" applyFont="1" applyFill="1" applyBorder="1" applyAlignment="1">
      <alignment horizontal="center" vertical="center" wrapText="1" readingOrder="1"/>
    </xf>
    <xf numFmtId="10" fontId="12" fillId="11" borderId="27" xfId="1" applyNumberFormat="1" applyFont="1" applyFill="1" applyBorder="1" applyAlignment="1">
      <alignment horizontal="center" vertical="center" wrapText="1" readingOrder="1"/>
    </xf>
    <xf numFmtId="10" fontId="12" fillId="11" borderId="28" xfId="1" applyNumberFormat="1" applyFont="1" applyFill="1" applyBorder="1" applyAlignment="1">
      <alignment horizontal="center" vertical="center" wrapText="1" readingOrder="1"/>
    </xf>
    <xf numFmtId="164" fontId="8" fillId="16" borderId="33" xfId="1" applyNumberFormat="1" applyFont="1" applyFill="1" applyBorder="1" applyAlignment="1">
      <alignment horizontal="center" vertical="center"/>
    </xf>
    <xf numFmtId="164" fontId="8" fillId="16" borderId="34" xfId="1" applyNumberFormat="1" applyFont="1" applyFill="1" applyBorder="1" applyAlignment="1">
      <alignment horizontal="center" vertical="center"/>
    </xf>
    <xf numFmtId="164" fontId="8" fillId="16" borderId="35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7" fillId="15" borderId="12" xfId="1" applyNumberFormat="1" applyFont="1" applyFill="1" applyBorder="1" applyAlignment="1">
      <alignment horizontal="center" vertical="center" wrapText="1" readingOrder="1"/>
    </xf>
    <xf numFmtId="43" fontId="0" fillId="0" borderId="0" xfId="0" applyNumberFormat="1" applyAlignment="1">
      <alignment horizontal="center" vertical="center"/>
    </xf>
    <xf numFmtId="9" fontId="7" fillId="8" borderId="2" xfId="2" applyFont="1" applyFill="1" applyBorder="1" applyAlignment="1">
      <alignment vertical="center" wrapText="1"/>
    </xf>
    <xf numFmtId="9" fontId="7" fillId="14" borderId="2" xfId="2" applyFont="1" applyFill="1" applyBorder="1" applyAlignment="1">
      <alignment vertical="center" wrapText="1"/>
    </xf>
    <xf numFmtId="9" fontId="7" fillId="5" borderId="2" xfId="2" applyFont="1" applyFill="1" applyBorder="1" applyAlignment="1">
      <alignment vertical="center"/>
    </xf>
    <xf numFmtId="9" fontId="6" fillId="7" borderId="2" xfId="2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 wrapText="1" readingOrder="1"/>
    </xf>
    <xf numFmtId="164" fontId="5" fillId="6" borderId="1" xfId="1" applyNumberFormat="1" applyFont="1" applyFill="1" applyBorder="1" applyAlignment="1">
      <alignment horizontal="center" vertical="center" readingOrder="1"/>
    </xf>
    <xf numFmtId="43" fontId="0" fillId="0" borderId="0" xfId="0" applyNumberFormat="1"/>
    <xf numFmtId="0" fontId="22" fillId="0" borderId="0" xfId="0" applyFont="1"/>
    <xf numFmtId="0" fontId="8" fillId="15" borderId="19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/>
    </xf>
    <xf numFmtId="9" fontId="5" fillId="0" borderId="2" xfId="2" applyFont="1" applyBorder="1" applyAlignment="1">
      <alignment horizontal="center" vertical="center"/>
    </xf>
    <xf numFmtId="0" fontId="8" fillId="15" borderId="28" xfId="0" applyFont="1" applyFill="1" applyBorder="1" applyAlignment="1">
      <alignment horizontal="center" vertical="center" wrapText="1" readingOrder="2"/>
    </xf>
    <xf numFmtId="9" fontId="5" fillId="0" borderId="10" xfId="2" applyFont="1" applyBorder="1" applyAlignment="1">
      <alignment horizontal="center" vertical="center"/>
    </xf>
    <xf numFmtId="0" fontId="6" fillId="15" borderId="40" xfId="0" applyFont="1" applyFill="1" applyBorder="1" applyAlignment="1">
      <alignment horizontal="center" vertical="center" wrapText="1" readingOrder="2"/>
    </xf>
    <xf numFmtId="0" fontId="8" fillId="15" borderId="41" xfId="0" applyFont="1" applyFill="1" applyBorder="1" applyAlignment="1">
      <alignment horizontal="center" vertical="center" wrapText="1" readingOrder="2"/>
    </xf>
    <xf numFmtId="9" fontId="0" fillId="0" borderId="0" xfId="2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2"/>
    </xf>
    <xf numFmtId="164" fontId="6" fillId="15" borderId="26" xfId="1" applyNumberFormat="1" applyFont="1" applyFill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164" fontId="6" fillId="0" borderId="0" xfId="1" applyNumberFormat="1" applyFont="1" applyFill="1" applyBorder="1" applyAlignment="1">
      <alignment vertical="center"/>
    </xf>
    <xf numFmtId="164" fontId="8" fillId="16" borderId="42" xfId="1" applyNumberFormat="1" applyFont="1" applyFill="1" applyBorder="1" applyAlignment="1">
      <alignment horizontal="center" vertical="center"/>
    </xf>
    <xf numFmtId="164" fontId="8" fillId="16" borderId="43" xfId="1" applyNumberFormat="1" applyFont="1" applyFill="1" applyBorder="1" applyAlignment="1">
      <alignment horizontal="center" vertical="center"/>
    </xf>
    <xf numFmtId="9" fontId="12" fillId="11" borderId="27" xfId="2" applyFont="1" applyFill="1" applyBorder="1" applyAlignment="1">
      <alignment horizontal="center" vertical="center" wrapText="1" readingOrder="1"/>
    </xf>
    <xf numFmtId="9" fontId="12" fillId="11" borderId="45" xfId="2" applyFont="1" applyFill="1" applyBorder="1" applyAlignment="1">
      <alignment horizontal="center" vertical="center" wrapText="1" readingOrder="1"/>
    </xf>
    <xf numFmtId="164" fontId="5" fillId="0" borderId="0" xfId="1" applyNumberFormat="1" applyFont="1" applyFill="1" applyAlignment="1">
      <alignment horizontal="center" vertical="center"/>
    </xf>
    <xf numFmtId="164" fontId="5" fillId="6" borderId="2" xfId="1" applyNumberFormat="1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wrapText="1" readingOrder="2"/>
    </xf>
    <xf numFmtId="0" fontId="22" fillId="0" borderId="1" xfId="0" applyFont="1" applyBorder="1"/>
    <xf numFmtId="164" fontId="5" fillId="6" borderId="10" xfId="1" applyNumberFormat="1" applyFont="1" applyFill="1" applyBorder="1" applyAlignment="1">
      <alignment horizontal="center" vertical="center" readingOrder="1"/>
    </xf>
    <xf numFmtId="164" fontId="5" fillId="15" borderId="3" xfId="1" applyNumberFormat="1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 vertical="center" wrapText="1" readingOrder="2"/>
    </xf>
    <xf numFmtId="0" fontId="6" fillId="15" borderId="3" xfId="0" applyFont="1" applyFill="1" applyBorder="1" applyAlignment="1">
      <alignment horizontal="center" vertical="center" wrapText="1" readingOrder="2"/>
    </xf>
    <xf numFmtId="164" fontId="6" fillId="15" borderId="3" xfId="1" applyNumberFormat="1" applyFont="1" applyFill="1" applyBorder="1" applyAlignment="1">
      <alignment horizontal="center" vertical="center"/>
    </xf>
    <xf numFmtId="164" fontId="6" fillId="15" borderId="3" xfId="1" applyNumberFormat="1" applyFont="1" applyFill="1" applyBorder="1" applyAlignment="1">
      <alignment horizontal="center" vertical="center" wrapText="1" readingOrder="2"/>
    </xf>
    <xf numFmtId="0" fontId="15" fillId="0" borderId="4" xfId="0" applyFont="1" applyBorder="1" applyAlignment="1">
      <alignment horizontal="center" vertical="center" wrapText="1" readingOrder="1"/>
    </xf>
    <xf numFmtId="9" fontId="5" fillId="15" borderId="3" xfId="2" applyFont="1" applyFill="1" applyBorder="1" applyAlignment="1">
      <alignment horizontal="center" vertical="center"/>
    </xf>
    <xf numFmtId="9" fontId="0" fillId="15" borderId="1" xfId="2" applyFont="1" applyFill="1" applyBorder="1" applyAlignment="1">
      <alignment horizontal="center" vertical="center"/>
    </xf>
    <xf numFmtId="164" fontId="8" fillId="15" borderId="28" xfId="0" applyNumberFormat="1" applyFont="1" applyFill="1" applyBorder="1" applyAlignment="1">
      <alignment horizontal="center" vertical="center" wrapText="1" readingOrder="2"/>
    </xf>
    <xf numFmtId="164" fontId="8" fillId="15" borderId="14" xfId="0" applyNumberFormat="1" applyFont="1" applyFill="1" applyBorder="1" applyAlignment="1">
      <alignment horizontal="center" vertical="center" wrapText="1" readingOrder="2"/>
    </xf>
    <xf numFmtId="164" fontId="8" fillId="15" borderId="41" xfId="0" applyNumberFormat="1" applyFont="1" applyFill="1" applyBorder="1" applyAlignment="1">
      <alignment horizontal="center" vertical="center" wrapText="1" readingOrder="2"/>
    </xf>
    <xf numFmtId="164" fontId="6" fillId="15" borderId="3" xfId="1" applyNumberFormat="1" applyFont="1" applyFill="1" applyBorder="1" applyAlignment="1">
      <alignment horizontal="center" vertical="center" wrapText="1" readingOrder="1"/>
    </xf>
    <xf numFmtId="164" fontId="0" fillId="15" borderId="3" xfId="0" applyNumberFormat="1" applyFill="1" applyBorder="1"/>
    <xf numFmtId="3" fontId="0" fillId="0" borderId="0" xfId="0" applyNumberFormat="1"/>
    <xf numFmtId="9" fontId="19" fillId="22" borderId="38" xfId="2" applyFont="1" applyFill="1" applyBorder="1" applyAlignment="1">
      <alignment horizontal="center" vertical="center"/>
    </xf>
    <xf numFmtId="9" fontId="19" fillId="22" borderId="21" xfId="2" applyFont="1" applyFill="1" applyBorder="1" applyAlignment="1">
      <alignment horizontal="center" vertical="center"/>
    </xf>
    <xf numFmtId="9" fontId="12" fillId="11" borderId="28" xfId="2" applyFont="1" applyFill="1" applyBorder="1" applyAlignment="1">
      <alignment horizontal="center" vertical="center" wrapText="1" readingOrder="1"/>
    </xf>
    <xf numFmtId="0" fontId="0" fillId="12" borderId="0" xfId="0" applyFill="1"/>
    <xf numFmtId="43" fontId="0" fillId="0" borderId="0" xfId="1" applyFont="1"/>
    <xf numFmtId="164" fontId="6" fillId="11" borderId="44" xfId="1" applyNumberFormat="1" applyFont="1" applyFill="1" applyBorder="1" applyAlignment="1">
      <alignment horizontal="center" vertical="center" wrapText="1" readingOrder="2"/>
    </xf>
    <xf numFmtId="164" fontId="12" fillId="11" borderId="26" xfId="1" applyNumberFormat="1" applyFont="1" applyFill="1" applyBorder="1" applyAlignment="1">
      <alignment horizontal="center" vertical="center" wrapText="1" readingOrder="1"/>
    </xf>
    <xf numFmtId="164" fontId="12" fillId="11" borderId="27" xfId="1" applyNumberFormat="1" applyFont="1" applyFill="1" applyBorder="1" applyAlignment="1">
      <alignment horizontal="center" vertical="center" wrapText="1" readingOrder="1"/>
    </xf>
    <xf numFmtId="164" fontId="12" fillId="11" borderId="45" xfId="1" applyNumberFormat="1" applyFont="1" applyFill="1" applyBorder="1" applyAlignment="1">
      <alignment horizontal="center" vertical="center" wrapText="1" readingOrder="1"/>
    </xf>
    <xf numFmtId="9" fontId="12" fillId="11" borderId="46" xfId="2" applyFont="1" applyFill="1" applyBorder="1" applyAlignment="1">
      <alignment horizontal="center" vertical="center" wrapText="1" readingOrder="1"/>
    </xf>
    <xf numFmtId="164" fontId="10" fillId="0" borderId="1" xfId="1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8" fillId="15" borderId="31" xfId="0" applyFont="1" applyFill="1" applyBorder="1" applyAlignment="1">
      <alignment horizontal="center" vertical="center" wrapText="1" readingOrder="2"/>
    </xf>
    <xf numFmtId="9" fontId="0" fillId="0" borderId="13" xfId="2" applyFont="1" applyBorder="1" applyAlignment="1">
      <alignment horizontal="center" vertical="center"/>
    </xf>
    <xf numFmtId="164" fontId="8" fillId="15" borderId="31" xfId="0" applyNumberFormat="1" applyFont="1" applyFill="1" applyBorder="1" applyAlignment="1">
      <alignment horizontal="center" vertical="center" wrapText="1" readingOrder="2"/>
    </xf>
    <xf numFmtId="164" fontId="6" fillId="15" borderId="12" xfId="1" applyNumberFormat="1" applyFont="1" applyFill="1" applyBorder="1" applyAlignment="1">
      <alignment horizontal="center" vertical="center"/>
    </xf>
    <xf numFmtId="9" fontId="0" fillId="15" borderId="13" xfId="2" applyFont="1" applyFill="1" applyBorder="1" applyAlignment="1">
      <alignment horizontal="center" vertical="center"/>
    </xf>
    <xf numFmtId="164" fontId="0" fillId="12" borderId="0" xfId="1" applyNumberFormat="1" applyFont="1" applyFill="1" applyBorder="1"/>
    <xf numFmtId="164" fontId="0" fillId="12" borderId="0" xfId="0" applyNumberFormat="1" applyFill="1"/>
    <xf numFmtId="164" fontId="5" fillId="0" borderId="47" xfId="1" applyNumberFormat="1" applyFont="1" applyBorder="1" applyAlignment="1">
      <alignment horizontal="center" vertical="center" readingOrder="1"/>
    </xf>
    <xf numFmtId="164" fontId="5" fillId="0" borderId="40" xfId="1" applyNumberFormat="1" applyFont="1" applyBorder="1" applyAlignment="1">
      <alignment horizontal="center" vertical="center" readingOrder="1"/>
    </xf>
    <xf numFmtId="9" fontId="12" fillId="11" borderId="26" xfId="2" applyFont="1" applyFill="1" applyBorder="1" applyAlignment="1">
      <alignment horizontal="center" vertical="center" wrapText="1" readingOrder="1"/>
    </xf>
    <xf numFmtId="164" fontId="21" fillId="3" borderId="46" xfId="1" applyNumberFormat="1" applyFont="1" applyFill="1" applyBorder="1" applyAlignment="1">
      <alignment horizontal="center" vertical="center" wrapText="1" readingOrder="2"/>
    </xf>
    <xf numFmtId="164" fontId="10" fillId="0" borderId="29" xfId="1" applyNumberFormat="1" applyFont="1" applyBorder="1" applyAlignment="1">
      <alignment horizontal="center" vertical="center"/>
    </xf>
    <xf numFmtId="164" fontId="8" fillId="18" borderId="48" xfId="1" applyNumberFormat="1" applyFont="1" applyFill="1" applyBorder="1" applyAlignment="1">
      <alignment horizontal="center" vertical="center" wrapText="1" readingOrder="2"/>
    </xf>
    <xf numFmtId="164" fontId="5" fillId="0" borderId="6" xfId="1" applyNumberFormat="1" applyFont="1" applyBorder="1" applyAlignment="1">
      <alignment horizontal="center" vertical="center" readingOrder="1"/>
    </xf>
    <xf numFmtId="164" fontId="5" fillId="0" borderId="41" xfId="1" applyNumberFormat="1" applyFont="1" applyBorder="1" applyAlignment="1">
      <alignment horizontal="center" vertical="center" readingOrder="1"/>
    </xf>
    <xf numFmtId="10" fontId="6" fillId="11" borderId="46" xfId="1" applyNumberFormat="1" applyFont="1" applyFill="1" applyBorder="1" applyAlignment="1">
      <alignment horizontal="center" vertical="center" wrapText="1" readingOrder="1"/>
    </xf>
    <xf numFmtId="164" fontId="10" fillId="0" borderId="37" xfId="1" applyNumberFormat="1" applyFont="1" applyBorder="1" applyAlignment="1">
      <alignment horizontal="center" vertical="center"/>
    </xf>
    <xf numFmtId="10" fontId="6" fillId="11" borderId="3" xfId="1" applyNumberFormat="1" applyFont="1" applyFill="1" applyBorder="1" applyAlignment="1">
      <alignment horizontal="center" vertical="center" wrapText="1" readingOrder="1"/>
    </xf>
    <xf numFmtId="10" fontId="6" fillId="11" borderId="12" xfId="1" applyNumberFormat="1" applyFont="1" applyFill="1" applyBorder="1" applyAlignment="1">
      <alignment horizontal="center" vertical="center" wrapText="1" readingOrder="1"/>
    </xf>
    <xf numFmtId="0" fontId="8" fillId="15" borderId="1" xfId="0" applyFont="1" applyFill="1" applyBorder="1" applyAlignment="1">
      <alignment horizontal="center" vertical="center" wrapText="1" readingOrder="2"/>
    </xf>
    <xf numFmtId="0" fontId="8" fillId="0" borderId="39" xfId="0" applyFont="1" applyBorder="1" applyAlignment="1">
      <alignment horizontal="center" vertical="center" wrapText="1" readingOrder="2"/>
    </xf>
    <xf numFmtId="164" fontId="6" fillId="11" borderId="46" xfId="1" applyNumberFormat="1" applyFont="1" applyFill="1" applyBorder="1" applyAlignment="1">
      <alignment horizontal="center" vertical="center" wrapText="1" readingOrder="2"/>
    </xf>
    <xf numFmtId="164" fontId="21" fillId="3" borderId="12" xfId="1" applyNumberFormat="1" applyFont="1" applyFill="1" applyBorder="1" applyAlignment="1">
      <alignment horizontal="center" vertical="center" wrapText="1" readingOrder="2"/>
    </xf>
    <xf numFmtId="9" fontId="19" fillId="20" borderId="9" xfId="2" applyFont="1" applyFill="1" applyBorder="1" applyAlignment="1">
      <alignment horizontal="center" vertical="center"/>
    </xf>
    <xf numFmtId="9" fontId="19" fillId="20" borderId="10" xfId="2" applyFont="1" applyFill="1" applyBorder="1" applyAlignment="1">
      <alignment horizontal="center" vertical="center"/>
    </xf>
    <xf numFmtId="9" fontId="19" fillId="20" borderId="11" xfId="2" applyFont="1" applyFill="1" applyBorder="1" applyAlignment="1">
      <alignment horizontal="center" vertical="center"/>
    </xf>
    <xf numFmtId="164" fontId="8" fillId="15" borderId="28" xfId="1" applyNumberFormat="1" applyFont="1" applyFill="1" applyBorder="1" applyAlignment="1">
      <alignment horizontal="center" vertical="center" wrapText="1" readingOrder="2"/>
    </xf>
    <xf numFmtId="164" fontId="6" fillId="15" borderId="3" xfId="1" applyNumberFormat="1" applyFont="1" applyFill="1" applyBorder="1" applyAlignment="1">
      <alignment horizontal="center"/>
    </xf>
    <xf numFmtId="164" fontId="25" fillId="15" borderId="3" xfId="0" applyNumberFormat="1" applyFont="1" applyFill="1" applyBorder="1"/>
    <xf numFmtId="164" fontId="12" fillId="15" borderId="3" xfId="1" applyNumberFormat="1" applyFont="1" applyFill="1" applyBorder="1" applyAlignment="1">
      <alignment horizontal="center"/>
    </xf>
    <xf numFmtId="0" fontId="6" fillId="15" borderId="46" xfId="0" applyFont="1" applyFill="1" applyBorder="1" applyAlignment="1">
      <alignment horizontal="center" vertical="center" wrapText="1" readingOrder="2"/>
    </xf>
    <xf numFmtId="0" fontId="8" fillId="15" borderId="46" xfId="0" applyFont="1" applyFill="1" applyBorder="1" applyAlignment="1">
      <alignment horizontal="center" vertical="center" wrapText="1" readingOrder="2"/>
    </xf>
    <xf numFmtId="164" fontId="6" fillId="15" borderId="46" xfId="1" applyNumberFormat="1" applyFont="1" applyFill="1" applyBorder="1" applyAlignment="1">
      <alignment horizontal="center" vertical="center" wrapText="1" readingOrder="1"/>
    </xf>
    <xf numFmtId="164" fontId="8" fillId="16" borderId="49" xfId="1" applyNumberFormat="1" applyFont="1" applyFill="1" applyBorder="1" applyAlignment="1">
      <alignment horizontal="center" vertical="center"/>
    </xf>
    <xf numFmtId="4" fontId="0" fillId="12" borderId="0" xfId="0" applyNumberFormat="1" applyFill="1"/>
    <xf numFmtId="0" fontId="5" fillId="0" borderId="1" xfId="2" applyNumberFormat="1" applyFont="1" applyBorder="1" applyAlignment="1">
      <alignment horizontal="center" vertical="center" readingOrder="1"/>
    </xf>
    <xf numFmtId="0" fontId="15" fillId="6" borderId="4" xfId="0" applyFont="1" applyFill="1" applyBorder="1" applyAlignment="1">
      <alignment horizontal="center" vertical="center" wrapText="1" readingOrder="1"/>
    </xf>
    <xf numFmtId="9" fontId="27" fillId="11" borderId="4" xfId="2" applyFont="1" applyFill="1" applyBorder="1" applyAlignment="1">
      <alignment horizontal="center" vertical="center"/>
    </xf>
    <xf numFmtId="9" fontId="27" fillId="11" borderId="4" xfId="2" applyFont="1" applyFill="1" applyBorder="1" applyAlignment="1">
      <alignment horizontal="center" vertical="center" wrapText="1"/>
    </xf>
    <xf numFmtId="164" fontId="28" fillId="0" borderId="1" xfId="1" applyNumberFormat="1" applyFont="1" applyBorder="1" applyAlignment="1">
      <alignment horizontal="center" vertical="center" wrapText="1" readingOrder="1"/>
    </xf>
    <xf numFmtId="164" fontId="5" fillId="0" borderId="1" xfId="1" applyNumberFormat="1" applyFont="1" applyBorder="1" applyAlignment="1">
      <alignment horizontal="center" vertical="center" wrapText="1" readingOrder="1"/>
    </xf>
    <xf numFmtId="0" fontId="15" fillId="23" borderId="4" xfId="0" applyFont="1" applyFill="1" applyBorder="1" applyAlignment="1">
      <alignment horizontal="center" vertical="center" wrapText="1" readingOrder="1"/>
    </xf>
    <xf numFmtId="9" fontId="27" fillId="16" borderId="3" xfId="2" applyFont="1" applyFill="1" applyBorder="1" applyAlignment="1">
      <alignment horizontal="center" vertical="center"/>
    </xf>
    <xf numFmtId="9" fontId="27" fillId="16" borderId="3" xfId="2" applyFont="1" applyFill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0" fontId="29" fillId="0" borderId="5" xfId="0" applyFont="1" applyBorder="1" applyAlignment="1">
      <alignment horizontal="center" vertical="center" wrapText="1" readingOrder="2"/>
    </xf>
    <xf numFmtId="164" fontId="5" fillId="0" borderId="1" xfId="1" applyNumberFormat="1" applyFont="1" applyFill="1" applyBorder="1" applyAlignment="1">
      <alignment horizontal="center"/>
    </xf>
    <xf numFmtId="164" fontId="5" fillId="0" borderId="2" xfId="1" applyNumberFormat="1" applyFont="1" applyFill="1" applyBorder="1" applyAlignment="1">
      <alignment horizontal="center"/>
    </xf>
    <xf numFmtId="164" fontId="5" fillId="0" borderId="10" xfId="1" applyNumberFormat="1" applyFont="1" applyFill="1" applyBorder="1" applyAlignment="1">
      <alignment horizontal="center"/>
    </xf>
    <xf numFmtId="164" fontId="10" fillId="12" borderId="1" xfId="1" applyNumberFormat="1" applyFont="1" applyFill="1" applyBorder="1" applyAlignment="1">
      <alignment horizontal="center"/>
    </xf>
    <xf numFmtId="0" fontId="29" fillId="0" borderId="20" xfId="0" applyFont="1" applyBorder="1" applyAlignment="1">
      <alignment horizontal="center" vertical="center" wrapText="1" readingOrder="2"/>
    </xf>
    <xf numFmtId="164" fontId="0" fillId="0" borderId="1" xfId="0" applyNumberFormat="1" applyBorder="1"/>
    <xf numFmtId="164" fontId="6" fillId="17" borderId="18" xfId="1" applyNumberFormat="1" applyFont="1" applyFill="1" applyBorder="1" applyAlignment="1">
      <alignment horizontal="center" vertical="center" wrapText="1" readingOrder="2"/>
    </xf>
    <xf numFmtId="164" fontId="6" fillId="17" borderId="30" xfId="1" applyNumberFormat="1" applyFont="1" applyFill="1" applyBorder="1" applyAlignment="1">
      <alignment horizontal="center" vertical="center" wrapText="1" readingOrder="2"/>
    </xf>
    <xf numFmtId="164" fontId="6" fillId="4" borderId="15" xfId="1" applyNumberFormat="1" applyFont="1" applyFill="1" applyBorder="1" applyAlignment="1">
      <alignment horizontal="center" vertical="center" wrapText="1" readingOrder="2"/>
    </xf>
    <xf numFmtId="164" fontId="6" fillId="4" borderId="16" xfId="1" applyNumberFormat="1" applyFont="1" applyFill="1" applyBorder="1" applyAlignment="1">
      <alignment horizontal="center" vertical="center" wrapText="1" readingOrder="2"/>
    </xf>
    <xf numFmtId="164" fontId="6" fillId="4" borderId="17" xfId="1" applyNumberFormat="1" applyFont="1" applyFill="1" applyBorder="1" applyAlignment="1">
      <alignment horizontal="center" vertical="center" wrapText="1" readingOrder="2"/>
    </xf>
    <xf numFmtId="164" fontId="6" fillId="17" borderId="21" xfId="1" applyNumberFormat="1" applyFont="1" applyFill="1" applyBorder="1" applyAlignment="1">
      <alignment horizontal="center" vertical="center" wrapText="1" readingOrder="2"/>
    </xf>
    <xf numFmtId="164" fontId="6" fillId="17" borderId="22" xfId="1" applyNumberFormat="1" applyFont="1" applyFill="1" applyBorder="1" applyAlignment="1">
      <alignment horizontal="center" vertical="center" wrapText="1" readingOrder="2"/>
    </xf>
    <xf numFmtId="164" fontId="6" fillId="13" borderId="15" xfId="1" applyNumberFormat="1" applyFont="1" applyFill="1" applyBorder="1" applyAlignment="1">
      <alignment horizontal="center" vertical="center" wrapText="1" readingOrder="2"/>
    </xf>
    <xf numFmtId="164" fontId="6" fillId="13" borderId="16" xfId="1" applyNumberFormat="1" applyFont="1" applyFill="1" applyBorder="1" applyAlignment="1">
      <alignment horizontal="center" vertical="center" wrapText="1" readingOrder="2"/>
    </xf>
    <xf numFmtId="164" fontId="6" fillId="13" borderId="17" xfId="1" applyNumberFormat="1" applyFont="1" applyFill="1" applyBorder="1" applyAlignment="1">
      <alignment horizontal="center" vertical="center" wrapText="1" readingOrder="2"/>
    </xf>
    <xf numFmtId="0" fontId="21" fillId="21" borderId="15" xfId="0" applyFont="1" applyFill="1" applyBorder="1" applyAlignment="1">
      <alignment horizontal="center" vertical="center"/>
    </xf>
    <xf numFmtId="0" fontId="21" fillId="21" borderId="16" xfId="0" applyFont="1" applyFill="1" applyBorder="1" applyAlignment="1">
      <alignment horizontal="center" vertical="center"/>
    </xf>
    <xf numFmtId="0" fontId="21" fillId="21" borderId="17" xfId="0" applyFont="1" applyFill="1" applyBorder="1" applyAlignment="1">
      <alignment horizontal="center" vertical="center"/>
    </xf>
    <xf numFmtId="164" fontId="6" fillId="7" borderId="15" xfId="1" applyNumberFormat="1" applyFont="1" applyFill="1" applyBorder="1" applyAlignment="1">
      <alignment horizontal="center" vertical="center"/>
    </xf>
    <xf numFmtId="164" fontId="6" fillId="7" borderId="16" xfId="1" applyNumberFormat="1" applyFont="1" applyFill="1" applyBorder="1" applyAlignment="1">
      <alignment horizontal="center" vertical="center"/>
    </xf>
    <xf numFmtId="164" fontId="6" fillId="7" borderId="17" xfId="1" applyNumberFormat="1" applyFont="1" applyFill="1" applyBorder="1" applyAlignment="1">
      <alignment horizontal="center" vertical="center"/>
    </xf>
    <xf numFmtId="0" fontId="20" fillId="19" borderId="15" xfId="1" applyNumberFormat="1" applyFont="1" applyFill="1" applyBorder="1" applyAlignment="1">
      <alignment horizontal="center" vertical="center"/>
    </xf>
    <xf numFmtId="0" fontId="20" fillId="19" borderId="16" xfId="1" applyNumberFormat="1" applyFont="1" applyFill="1" applyBorder="1" applyAlignment="1">
      <alignment horizontal="center" vertical="center"/>
    </xf>
    <xf numFmtId="0" fontId="20" fillId="19" borderId="17" xfId="1" applyNumberFormat="1" applyFont="1" applyFill="1" applyBorder="1" applyAlignment="1">
      <alignment horizontal="center" vertical="center"/>
    </xf>
    <xf numFmtId="0" fontId="6" fillId="14" borderId="29" xfId="0" applyFont="1" applyFill="1" applyBorder="1" applyAlignment="1">
      <alignment horizontal="center" vertical="center" wrapText="1" readingOrder="2"/>
    </xf>
    <xf numFmtId="0" fontId="6" fillId="14" borderId="23" xfId="0" applyFont="1" applyFill="1" applyBorder="1" applyAlignment="1">
      <alignment horizontal="center" vertical="center" wrapText="1" readingOrder="2"/>
    </xf>
    <xf numFmtId="0" fontId="6" fillId="14" borderId="20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 wrapText="1" readingOrder="2"/>
    </xf>
    <xf numFmtId="0" fontId="6" fillId="5" borderId="32" xfId="0" applyFont="1" applyFill="1" applyBorder="1" applyAlignment="1">
      <alignment horizontal="center" vertical="center" wrapText="1" readingOrder="2"/>
    </xf>
    <xf numFmtId="0" fontId="6" fillId="14" borderId="1" xfId="0" applyFont="1" applyFill="1" applyBorder="1" applyAlignment="1">
      <alignment horizontal="center" vertical="center" wrapText="1" readingOrder="2"/>
    </xf>
    <xf numFmtId="0" fontId="6" fillId="7" borderId="29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 readingOrder="2"/>
    </xf>
    <xf numFmtId="0" fontId="6" fillId="5" borderId="1" xfId="0" applyFont="1" applyFill="1" applyBorder="1" applyAlignment="1">
      <alignment horizontal="center" vertical="center" wrapText="1" readingOrder="1"/>
    </xf>
    <xf numFmtId="0" fontId="7" fillId="15" borderId="29" xfId="0" applyFont="1" applyFill="1" applyBorder="1" applyAlignment="1">
      <alignment horizontal="center" vertical="center" wrapText="1" readingOrder="2"/>
    </xf>
    <xf numFmtId="0" fontId="7" fillId="15" borderId="23" xfId="0" applyFont="1" applyFill="1" applyBorder="1" applyAlignment="1">
      <alignment horizontal="center" vertical="center" wrapText="1" readingOrder="2"/>
    </xf>
    <xf numFmtId="0" fontId="7" fillId="15" borderId="20" xfId="0" applyFont="1" applyFill="1" applyBorder="1" applyAlignment="1">
      <alignment horizontal="center" vertical="center" wrapText="1" readingOrder="2"/>
    </xf>
    <xf numFmtId="0" fontId="6" fillId="5" borderId="29" xfId="0" applyFont="1" applyFill="1" applyBorder="1" applyAlignment="1">
      <alignment horizontal="center" vertical="center" wrapText="1" readingOrder="1"/>
    </xf>
    <xf numFmtId="0" fontId="6" fillId="5" borderId="23" xfId="0" applyFont="1" applyFill="1" applyBorder="1" applyAlignment="1">
      <alignment horizontal="center" vertical="center" wrapText="1" readingOrder="1"/>
    </xf>
    <xf numFmtId="0" fontId="6" fillId="5" borderId="20" xfId="0" applyFont="1" applyFill="1" applyBorder="1" applyAlignment="1">
      <alignment horizontal="center" vertical="center" wrapText="1" readingOrder="1"/>
    </xf>
    <xf numFmtId="0" fontId="29" fillId="0" borderId="1" xfId="0" applyFont="1" applyBorder="1" applyAlignment="1">
      <alignment horizontal="center" vertical="center" wrapText="1" readingOrder="2"/>
    </xf>
    <xf numFmtId="0" fontId="9" fillId="0" borderId="20" xfId="0" applyFont="1" applyBorder="1" applyAlignment="1">
      <alignment horizontal="center" vertical="center" wrapText="1" readingOrder="2"/>
    </xf>
    <xf numFmtId="0" fontId="11" fillId="0" borderId="5" xfId="0" applyFont="1" applyBorder="1" applyAlignment="1">
      <alignment horizontal="center" vertical="center" wrapText="1" readingOrder="2"/>
    </xf>
    <xf numFmtId="0" fontId="11" fillId="0" borderId="0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164" fontId="0" fillId="0" borderId="1" xfId="0" applyNumberFormat="1" applyFill="1" applyBorder="1"/>
    <xf numFmtId="0" fontId="0" fillId="0" borderId="0" xfId="0" applyFill="1"/>
    <xf numFmtId="0" fontId="0" fillId="0" borderId="1" xfId="0" applyFill="1" applyBorder="1"/>
    <xf numFmtId="3" fontId="0" fillId="0" borderId="1" xfId="0" applyNumberFormat="1" applyFill="1" applyBorder="1"/>
    <xf numFmtId="164" fontId="10" fillId="0" borderId="1" xfId="1" applyNumberFormat="1" applyFont="1" applyFill="1" applyBorder="1" applyAlignment="1">
      <alignment horizontal="center"/>
    </xf>
  </cellXfs>
  <cellStyles count="6">
    <cellStyle name="Comma" xfId="1" builtinId="3"/>
    <cellStyle name="Comma 2" xfId="4" xr:uid="{377724DF-F3ED-4A03-9CB5-B1A6F9C7100E}"/>
    <cellStyle name="I5_מכירות רמת מוצר" xfId="5" xr:uid="{BBD41D58-753D-4D0D-8D5A-635AE4450D8F}"/>
    <cellStyle name="Normal" xfId="0" builtinId="0"/>
    <cellStyle name="Normal 2" xfId="3" xr:uid="{A0DA3FFA-5124-4BA7-9D1F-4FF45B9A273A}"/>
    <cellStyle name="Percent" xfId="2" builtinId="5"/>
  </cellStyles>
  <dxfs count="38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68EA"/>
      <color rgb="FFBF95DF"/>
      <color rgb="FFEE92C7"/>
      <color rgb="FFD0ECE5"/>
      <color rgb="FFE1CCF0"/>
      <color rgb="FFF0E5C6"/>
      <color rgb="FFE9D9AB"/>
      <color rgb="FFF9DBEC"/>
      <color rgb="FFEEDC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492;&#1488;&#1495;&#1505;&#1493;&#1503;%20&#1513;&#1500;&#1497;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5.2024\&#1491;&#1493;&#1495;%20&#1495;&#1497;&#1497;&#1501;%205.2024.xlsx" TargetMode="External"/><Relationship Id="rId1" Type="http://schemas.openxmlformats.org/officeDocument/2006/relationships/externalLinkPath" Target="/&#1492;&#1488;&#1495;&#1505;&#1493;&#1503;%20&#1513;&#1500;&#1497;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5.2024/&#1491;&#1493;&#1495;%20&#1495;&#1497;&#1497;&#1501;%205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 הנהלה"/>
      <sheetName val="תפוקה מצטברת מול אשתקד"/>
      <sheetName val="תפוקה מצטברת מול יעד מצטבר"/>
      <sheetName val="תפוקה מול יעד חודשי"/>
      <sheetName val="עולים יורדים"/>
      <sheetName val="הכשרה"/>
      <sheetName val="מגדל"/>
      <sheetName val="מנורה"/>
      <sheetName val="איילון"/>
      <sheetName val="הראל"/>
      <sheetName val="הפניקס"/>
      <sheetName val="כלל"/>
      <sheetName val="מור"/>
      <sheetName val="אלטשולר שח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1">
            <v>2024</v>
          </cell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>
            <v>99228.280505999996</v>
          </cell>
          <cell r="C3">
            <v>202959.45165</v>
          </cell>
          <cell r="D3">
            <v>706736.34000000032</v>
          </cell>
          <cell r="E3">
            <v>130051</v>
          </cell>
        </row>
        <row r="4">
          <cell r="A4" t="str">
            <v>דניאלה אביב</v>
          </cell>
          <cell r="D4">
            <v>927849.54999999981</v>
          </cell>
        </row>
        <row r="5">
          <cell r="A5" t="str">
            <v>סה"כ ישיר</v>
          </cell>
          <cell r="B5">
            <v>99228.280505999996</v>
          </cell>
          <cell r="C5">
            <v>202959.45165</v>
          </cell>
          <cell r="D5">
            <v>1634585.8900000001</v>
          </cell>
          <cell r="E5">
            <v>130051</v>
          </cell>
        </row>
        <row r="6">
          <cell r="A6" t="str">
            <v>בראשית סוכנות לביטוח</v>
          </cell>
        </row>
        <row r="7">
          <cell r="A7" t="str">
            <v>גל אלמגור דאוד סוכ' לב</v>
          </cell>
          <cell r="E7">
            <v>1639</v>
          </cell>
        </row>
        <row r="8">
          <cell r="A8" t="str">
            <v>גל אלמגור -וייס סוכנות</v>
          </cell>
          <cell r="C8">
            <v>2269.8316920000002</v>
          </cell>
        </row>
        <row r="9">
          <cell r="A9" t="str">
            <v>גל אלמגור דרום סוכ ל</v>
          </cell>
        </row>
        <row r="10">
          <cell r="A10" t="str">
            <v>משה שטרן גל אלמגור</v>
          </cell>
          <cell r="C10">
            <v>36077.591321999993</v>
          </cell>
          <cell r="D10">
            <v>179450.72</v>
          </cell>
        </row>
        <row r="11">
          <cell r="A11" t="str">
            <v>מקסימום סוכנות לבטוח פ</v>
          </cell>
        </row>
        <row r="12">
          <cell r="A12" t="str">
            <v>סה"כ חברות בנות</v>
          </cell>
          <cell r="B12">
            <v>0</v>
          </cell>
          <cell r="C12">
            <v>38347.423013999993</v>
          </cell>
          <cell r="D12">
            <v>179450.72</v>
          </cell>
          <cell r="E12">
            <v>1639</v>
          </cell>
        </row>
        <row r="13">
          <cell r="A13" t="str">
            <v>מועלם אלפרד</v>
          </cell>
        </row>
        <row r="14">
          <cell r="A14" t="str">
            <v>יעקובסון רומן</v>
          </cell>
        </row>
        <row r="15">
          <cell r="A15" t="str">
            <v>רוקח מזל מלי</v>
          </cell>
        </row>
        <row r="16">
          <cell r="A16" t="str">
            <v>גרניק בנימין</v>
          </cell>
        </row>
        <row r="17">
          <cell r="A17" t="str">
            <v>סאוסן שלבי</v>
          </cell>
        </row>
        <row r="18">
          <cell r="A18" t="str">
            <v>יוספוביץ טלי</v>
          </cell>
        </row>
        <row r="19">
          <cell r="A19" t="str">
            <v>דורי כדורי דאי</v>
          </cell>
        </row>
        <row r="20">
          <cell r="A20" t="str">
            <v>סברא סמיר</v>
          </cell>
          <cell r="B20">
            <v>255184.58984999996</v>
          </cell>
          <cell r="C20">
            <v>3404.6635500000002</v>
          </cell>
          <cell r="E20">
            <v>256014</v>
          </cell>
        </row>
        <row r="21">
          <cell r="A21" t="str">
            <v>מחמוד פארס</v>
          </cell>
        </row>
        <row r="22">
          <cell r="A22" t="str">
            <v>ריזק חלבי</v>
          </cell>
          <cell r="C22">
            <v>28345.110120000005</v>
          </cell>
        </row>
        <row r="23">
          <cell r="A23" t="str">
            <v>שלבי מיסון</v>
          </cell>
        </row>
        <row r="24">
          <cell r="A24" t="str">
            <v>בחוס יוסף</v>
          </cell>
        </row>
        <row r="25">
          <cell r="A25" t="str">
            <v>חוסאם עוז אלדין</v>
          </cell>
        </row>
        <row r="26">
          <cell r="A26" t="str">
            <v>קליין סיון</v>
          </cell>
        </row>
        <row r="27">
          <cell r="A27" t="str">
            <v>דורון ענק הביטוח</v>
          </cell>
        </row>
        <row r="28">
          <cell r="A28" t="str">
            <v>צקותאי אורי</v>
          </cell>
        </row>
        <row r="29">
          <cell r="A29" t="str">
            <v>סמיר בלאן</v>
          </cell>
        </row>
        <row r="30">
          <cell r="A30" t="str">
            <v>רפלוביץ מרינה</v>
          </cell>
        </row>
        <row r="31">
          <cell r="A31" t="str">
            <v>רן בסין</v>
          </cell>
        </row>
        <row r="32">
          <cell r="A32" t="str">
            <v>אלקרינאוי ראוף</v>
          </cell>
        </row>
        <row r="33">
          <cell r="A33" t="str">
            <v>דאי גדי</v>
          </cell>
        </row>
        <row r="34">
          <cell r="A34" t="str">
            <v>מילאד אבו שקארה</v>
          </cell>
        </row>
        <row r="35">
          <cell r="A35" t="str">
            <v>דראושה אדהם</v>
          </cell>
        </row>
        <row r="36">
          <cell r="A36" t="str">
            <v>בדארנה עומר</v>
          </cell>
        </row>
        <row r="37">
          <cell r="A37" t="str">
            <v>וסים חאטר</v>
          </cell>
        </row>
        <row r="38">
          <cell r="A38" t="str">
            <v>ערן שמילוביץ</v>
          </cell>
        </row>
        <row r="39">
          <cell r="A39" t="str">
            <v>לוי חיים</v>
          </cell>
        </row>
        <row r="40">
          <cell r="A40" t="str">
            <v>סה"כ סוכנים ערן</v>
          </cell>
          <cell r="B40">
            <v>255184.58984999996</v>
          </cell>
          <cell r="C40">
            <v>31749.773670000006</v>
          </cell>
          <cell r="D40">
            <v>0</v>
          </cell>
          <cell r="E40">
            <v>256014</v>
          </cell>
        </row>
        <row r="41">
          <cell r="A41" t="str">
            <v>טל אופטובסקי</v>
          </cell>
        </row>
        <row r="42">
          <cell r="A42" t="str">
            <v>גולדר אבי</v>
          </cell>
        </row>
        <row r="43">
          <cell r="A43" t="str">
            <v>א.ד. אבידן ביטוחים בע"מ</v>
          </cell>
        </row>
        <row r="44">
          <cell r="A44" t="str">
            <v>אטיאס סיון</v>
          </cell>
        </row>
        <row r="45">
          <cell r="A45" t="str">
            <v>מטאנס זוהיר</v>
          </cell>
        </row>
        <row r="46">
          <cell r="A46" t="str">
            <v>סטולרז אסף</v>
          </cell>
        </row>
        <row r="47">
          <cell r="A47" t="str">
            <v>דאי דניאל</v>
          </cell>
        </row>
        <row r="48">
          <cell r="A48" t="str">
            <v>גולן זכריה</v>
          </cell>
        </row>
        <row r="49">
          <cell r="A49" t="str">
            <v>חיים דנינו</v>
          </cell>
        </row>
        <row r="50">
          <cell r="A50" t="str">
            <v>לירון דדון</v>
          </cell>
        </row>
        <row r="51">
          <cell r="A51" t="str">
            <v>דני פחימה</v>
          </cell>
        </row>
        <row r="52">
          <cell r="A52" t="str">
            <v>עאטף עדווי</v>
          </cell>
        </row>
        <row r="53">
          <cell r="A53" t="str">
            <v>דר סוכנות לביטוח</v>
          </cell>
        </row>
        <row r="54">
          <cell r="A54" t="str">
            <v>מכלול סוכנות לביטוח</v>
          </cell>
        </row>
        <row r="55">
          <cell r="A55" t="str">
            <v>גול זאב</v>
          </cell>
        </row>
        <row r="56">
          <cell r="A56" t="str">
            <v>עבוד כיתי</v>
          </cell>
        </row>
        <row r="57">
          <cell r="A57" t="str">
            <v>יעקב ישראל שטרן</v>
          </cell>
          <cell r="D57">
            <v>79000</v>
          </cell>
        </row>
        <row r="58">
          <cell r="A58" t="str">
            <v xml:space="preserve">ניר יבלונקה </v>
          </cell>
          <cell r="B58">
            <v>62713.251684000003</v>
          </cell>
          <cell r="E58">
            <v>918674</v>
          </cell>
        </row>
        <row r="59">
          <cell r="A59" t="str">
            <v>בדר צבי</v>
          </cell>
        </row>
        <row r="60">
          <cell r="A60" t="str">
            <v>סוכנים לא מפוקחים</v>
          </cell>
          <cell r="B60">
            <v>62713.251684000003</v>
          </cell>
          <cell r="C60">
            <v>0</v>
          </cell>
          <cell r="D60">
            <v>79000</v>
          </cell>
          <cell r="E60">
            <v>918674</v>
          </cell>
        </row>
        <row r="61">
          <cell r="A61" t="str">
            <v>גלידר אנה</v>
          </cell>
        </row>
        <row r="62">
          <cell r="A62" t="str">
            <v>אביב מור יוסף</v>
          </cell>
          <cell r="D62">
            <v>24411.434153999999</v>
          </cell>
          <cell r="E62">
            <v>1937</v>
          </cell>
        </row>
        <row r="63">
          <cell r="A63" t="str">
            <v>אריאל בר-חיים</v>
          </cell>
          <cell r="B63">
            <v>34874.421227999999</v>
          </cell>
          <cell r="C63">
            <v>340.15140000000002</v>
          </cell>
          <cell r="D63">
            <v>1367891.5299999998</v>
          </cell>
          <cell r="E63">
            <v>262685</v>
          </cell>
        </row>
        <row r="64">
          <cell r="A64" t="str">
            <v>יונתן מנחם</v>
          </cell>
        </row>
        <row r="65">
          <cell r="A65" t="str">
            <v>שלי מזרחי</v>
          </cell>
          <cell r="E65">
            <v>129995</v>
          </cell>
        </row>
        <row r="66">
          <cell r="A66" t="str">
            <v xml:space="preserve">אריאל דוברושין </v>
          </cell>
          <cell r="C66">
            <v>17797.813092</v>
          </cell>
        </row>
        <row r="67">
          <cell r="A67" t="str">
            <v>חנה כצנלסון</v>
          </cell>
          <cell r="D67">
            <v>77999.75</v>
          </cell>
        </row>
        <row r="68">
          <cell r="A68" t="str">
            <v>ינאי חיים בוני</v>
          </cell>
          <cell r="B68">
            <v>9149.0088119999982</v>
          </cell>
          <cell r="E68">
            <v>55089</v>
          </cell>
        </row>
        <row r="69">
          <cell r="A69" t="str">
            <v xml:space="preserve">מיכאל וקסלר </v>
          </cell>
        </row>
        <row r="70">
          <cell r="A70" t="str">
            <v xml:space="preserve">שני לוי </v>
          </cell>
          <cell r="E70">
            <v>90372</v>
          </cell>
        </row>
        <row r="71">
          <cell r="A71" t="str">
            <v>אורטל לנג</v>
          </cell>
          <cell r="B71">
            <v>30711.653993999997</v>
          </cell>
          <cell r="C71">
            <v>6202.1498519999996</v>
          </cell>
          <cell r="D71">
            <v>149112.08000000002</v>
          </cell>
          <cell r="E71">
            <v>25523</v>
          </cell>
        </row>
        <row r="72">
          <cell r="A72" t="str">
            <v>נעם זילברמן</v>
          </cell>
          <cell r="B72">
            <v>4968.898056</v>
          </cell>
        </row>
        <row r="73">
          <cell r="A73" t="str">
            <v xml:space="preserve">גל אלמגור -ראם </v>
          </cell>
          <cell r="B73">
            <v>15418.209084</v>
          </cell>
        </row>
        <row r="74">
          <cell r="A74" t="str">
            <v>נור אבו ראס</v>
          </cell>
        </row>
        <row r="75">
          <cell r="A75" t="str">
            <v>יהונתן שיוביץ</v>
          </cell>
        </row>
        <row r="76">
          <cell r="A76" t="str">
            <v>רפאל גלעד</v>
          </cell>
        </row>
        <row r="77">
          <cell r="A77" t="str">
            <v>אחמד עלי אחמד</v>
          </cell>
          <cell r="D77">
            <v>30000</v>
          </cell>
        </row>
        <row r="78">
          <cell r="A78" t="str">
            <v>סיון פיינרו</v>
          </cell>
        </row>
        <row r="79">
          <cell r="A79" t="str">
            <v>לילי שרון</v>
          </cell>
          <cell r="E79">
            <v>43</v>
          </cell>
        </row>
        <row r="80">
          <cell r="A80" t="str">
            <v>לנג ביג סוכנות לביטוח פנסיוני</v>
          </cell>
        </row>
        <row r="81">
          <cell r="A81" t="str">
            <v>שירלי בוכריס</v>
          </cell>
          <cell r="E81">
            <v>928</v>
          </cell>
        </row>
        <row r="82">
          <cell r="A82" t="str">
            <v>אלרם סוכנות לביטוח</v>
          </cell>
          <cell r="C82">
            <v>1206.5576100000001</v>
          </cell>
          <cell r="D82">
            <v>565697.03</v>
          </cell>
          <cell r="E82">
            <v>208408</v>
          </cell>
        </row>
        <row r="83">
          <cell r="A83" t="str">
            <v>רכס אורן</v>
          </cell>
          <cell r="B83">
            <v>4772.1421680000003</v>
          </cell>
          <cell r="C83">
            <v>5427.7384980000006</v>
          </cell>
          <cell r="D83">
            <v>2817173.09</v>
          </cell>
          <cell r="E83">
            <v>2546514</v>
          </cell>
        </row>
        <row r="84">
          <cell r="A84" t="str">
            <v>סה"כ פרימיום</v>
          </cell>
          <cell r="B84">
            <v>99894.333342000013</v>
          </cell>
          <cell r="C84">
            <v>30974.410451999996</v>
          </cell>
          <cell r="D84">
            <v>5032284.9141539996</v>
          </cell>
          <cell r="E84">
            <v>3321494</v>
          </cell>
        </row>
        <row r="85">
          <cell r="A85" t="str">
            <v>סה"כ כולל</v>
          </cell>
          <cell r="B85">
            <v>517020.45538199996</v>
          </cell>
          <cell r="C85">
            <v>304031.05878600001</v>
          </cell>
          <cell r="D85">
            <v>6925321.524154</v>
          </cell>
          <cell r="E85">
            <v>4627872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1F58-CA45-44F1-9046-68576443EBCE}">
  <sheetPr>
    <tabColor theme="4" tint="0.39997558519241921"/>
  </sheetPr>
  <dimension ref="A1:U42"/>
  <sheetViews>
    <sheetView showGridLines="0" rightToLeft="1" tabSelected="1" topLeftCell="A24" workbookViewId="0">
      <selection activeCell="K29" sqref="K29"/>
    </sheetView>
  </sheetViews>
  <sheetFormatPr defaultColWidth="8.59765625" defaultRowHeight="14.4" x14ac:dyDescent="0.3"/>
  <cols>
    <col min="1" max="1" width="13.3984375" style="45" bestFit="1" customWidth="1"/>
    <col min="2" max="2" width="13.5" style="45" customWidth="1"/>
    <col min="3" max="3" width="12.09765625" style="45" customWidth="1"/>
    <col min="4" max="4" width="13.5" style="45" customWidth="1"/>
    <col min="5" max="5" width="19.19921875" style="45" customWidth="1"/>
    <col min="6" max="6" width="7.3984375" style="45" bestFit="1" customWidth="1"/>
    <col min="7" max="7" width="7" style="45" bestFit="1" customWidth="1"/>
    <col min="8" max="8" width="7.19921875" style="45" bestFit="1" customWidth="1"/>
    <col min="9" max="13" width="10.69921875" style="45" bestFit="1" customWidth="1"/>
    <col min="14" max="14" width="15" style="31" hidden="1" customWidth="1"/>
    <col min="15" max="15" width="13.59765625" style="31" hidden="1" customWidth="1"/>
    <col min="16" max="17" width="15" style="31" hidden="1" customWidth="1"/>
    <col min="18" max="18" width="16.09765625" style="31" bestFit="1" customWidth="1"/>
    <col min="19" max="19" width="27.69921875" style="31" bestFit="1" customWidth="1"/>
    <col min="20" max="20" width="25.59765625" style="31" bestFit="1" customWidth="1"/>
    <col min="21" max="21" width="18.59765625" style="31" bestFit="1" customWidth="1"/>
    <col min="22" max="25" width="8.59765625" customWidth="1"/>
  </cols>
  <sheetData>
    <row r="1" spans="1:21" x14ac:dyDescent="0.3">
      <c r="A1" s="45" t="s">
        <v>121</v>
      </c>
    </row>
    <row r="2" spans="1:21" ht="15" thickBot="1" x14ac:dyDescent="0.35">
      <c r="J2" s="115"/>
      <c r="R2" s="32"/>
    </row>
    <row r="3" spans="1:21" ht="30.6" thickBot="1" x14ac:dyDescent="0.35">
      <c r="A3" s="51" t="s">
        <v>78</v>
      </c>
      <c r="K3" s="109"/>
      <c r="L3" s="110"/>
      <c r="M3" s="109"/>
    </row>
    <row r="4" spans="1:21" ht="31.95" customHeight="1" thickBot="1" x14ac:dyDescent="0.35">
      <c r="A4" s="199" t="s">
        <v>57</v>
      </c>
      <c r="B4" s="201" t="s">
        <v>131</v>
      </c>
      <c r="C4" s="202"/>
      <c r="D4" s="202"/>
      <c r="E4" s="203"/>
      <c r="F4" s="206" t="s">
        <v>52</v>
      </c>
      <c r="G4" s="207"/>
      <c r="H4" s="207"/>
      <c r="I4" s="208"/>
      <c r="J4" s="212" t="s">
        <v>73</v>
      </c>
      <c r="K4" s="213"/>
      <c r="L4" s="213"/>
      <c r="M4" s="214"/>
    </row>
    <row r="5" spans="1:21" ht="31.8" thickBot="1" x14ac:dyDescent="0.35">
      <c r="A5" s="200"/>
      <c r="B5" s="69" t="s">
        <v>46</v>
      </c>
      <c r="C5" s="36" t="s">
        <v>47</v>
      </c>
      <c r="D5" s="36" t="s">
        <v>48</v>
      </c>
      <c r="E5" s="159" t="s">
        <v>49</v>
      </c>
      <c r="F5" s="79" t="s">
        <v>46</v>
      </c>
      <c r="G5" s="37" t="s">
        <v>50</v>
      </c>
      <c r="H5" s="75" t="s">
        <v>51</v>
      </c>
      <c r="I5" s="70" t="s">
        <v>89</v>
      </c>
      <c r="J5" s="84" t="s">
        <v>46</v>
      </c>
      <c r="K5" s="85" t="s">
        <v>50</v>
      </c>
      <c r="L5" s="85" t="s">
        <v>51</v>
      </c>
      <c r="M5" s="86" t="s">
        <v>49</v>
      </c>
    </row>
    <row r="6" spans="1:21" x14ac:dyDescent="0.3">
      <c r="A6" s="55" t="s">
        <v>58</v>
      </c>
      <c r="B6" s="47">
        <f>'תפוקה מצטברת מול אשתקד'!H8</f>
        <v>6681566.9084423054</v>
      </c>
      <c r="C6" s="43">
        <f>'תפוקה מצטברת מול אשתקד'!I8</f>
        <v>303337.57646817435</v>
      </c>
      <c r="D6" s="43">
        <f>'תפוקה מצטברת מול אשתקד'!J8</f>
        <v>16401835.42389987</v>
      </c>
      <c r="E6" s="160">
        <f>'תפוקה מצטברת מול אשתקד'!K8</f>
        <v>41702394.290000007</v>
      </c>
      <c r="F6" s="76">
        <f>'תפוקה מצטברת מול אשתקד'!D8</f>
        <v>0.94235891559182239</v>
      </c>
      <c r="G6" s="42">
        <f>'תפוקה מצטברת מול אשתקד'!E8</f>
        <v>-0.51208030040837416</v>
      </c>
      <c r="H6" s="42">
        <f>'תפוקה מצטברת מול אשתקד'!F8</f>
        <v>1.7395754402930619E-2</v>
      </c>
      <c r="I6" s="44">
        <f>'תפוקה מצטברת מול אשתקד'!G8</f>
        <v>0.62047634849466826</v>
      </c>
      <c r="J6" s="76">
        <f>'תפוקה מצטברת מול יעד מצטבר'!D8</f>
        <v>-0.18118052592618794</v>
      </c>
      <c r="K6" s="42">
        <f>'תפוקה מצטברת מול יעד מצטבר'!E8</f>
        <v>-0.62306607459686325</v>
      </c>
      <c r="L6" s="42">
        <f>'תפוקה מצטברת מול יעד מצטבר'!F8</f>
        <v>-0.46899004714128889</v>
      </c>
      <c r="M6" s="44">
        <f>'תפוקה מצטברת מול יעד מצטבר'!G8</f>
        <v>-0.13325862971276536</v>
      </c>
    </row>
    <row r="7" spans="1:21" x14ac:dyDescent="0.3">
      <c r="A7" s="56" t="s">
        <v>59</v>
      </c>
      <c r="B7" s="47">
        <f>'תפוקה מצטברת מול אשתקד'!H22</f>
        <v>2161478.3687409484</v>
      </c>
      <c r="C7" s="43">
        <f>'תפוקה מצטברת מול אשתקד'!I22</f>
        <v>1207309.2448628328</v>
      </c>
      <c r="D7" s="43">
        <f>'תפוקה מצטברת מול אשתקד'!J22</f>
        <v>11468538.60562565</v>
      </c>
      <c r="E7" s="160">
        <f>'תפוקה מצטברת מול אשתקד'!K22</f>
        <v>5348701.1100000003</v>
      </c>
      <c r="F7" s="76">
        <f>'תפוקה מצטברת מול אשתקד'!D22</f>
        <v>1.1118155537012564E-2</v>
      </c>
      <c r="G7" s="42">
        <f>'תפוקה מצטברת מול אשתקד'!E22</f>
        <v>0.59527937440923306</v>
      </c>
      <c r="H7" s="42">
        <f>'תפוקה מצטברת מול אשתקד'!F22</f>
        <v>-0.31803464323230957</v>
      </c>
      <c r="I7" s="44">
        <f>'תפוקה מצטברת מול אשתקד'!G22</f>
        <v>-0.4936610806483066</v>
      </c>
      <c r="J7" s="76">
        <f>'תפוקה מצטברת מול יעד מצטבר'!D22</f>
        <v>-0.32080242309547879</v>
      </c>
      <c r="K7" s="42">
        <f>'תפוקה מצטברת מול יעד מצטבר'!E22</f>
        <v>-4.2957396065927189E-2</v>
      </c>
      <c r="L7" s="42">
        <f>'תפוקה מצטברת מול יעד מצטבר'!F22</f>
        <v>-0.44305853702284137</v>
      </c>
      <c r="M7" s="44">
        <f>'תפוקה מצטברת מול יעד מצטבר'!G22</f>
        <v>-0.55715341033283661</v>
      </c>
    </row>
    <row r="8" spans="1:21" x14ac:dyDescent="0.3">
      <c r="A8" s="56" t="s">
        <v>60</v>
      </c>
      <c r="B8" s="47">
        <f>'תפוקה מצטברת מול אשתקד'!H75</f>
        <v>3975565.6801011884</v>
      </c>
      <c r="C8" s="43">
        <f>'תפוקה מצטברת מול אשתקד'!I75</f>
        <v>652695.64170003426</v>
      </c>
      <c r="D8" s="43">
        <f>'תפוקה מצטברת מול אשתקד'!J75</f>
        <v>27948634.191716284</v>
      </c>
      <c r="E8" s="160">
        <f>'תפוקה מצטברת מול אשתקד'!K75</f>
        <v>29592393.379999999</v>
      </c>
      <c r="F8" s="76">
        <f>'תפוקה מצטברת מול אשתקד'!D75</f>
        <v>0.40854725787370061</v>
      </c>
      <c r="G8" s="42">
        <f>'תפוקה מצטברת מול אשתקד'!E75</f>
        <v>0.20597973648420131</v>
      </c>
      <c r="H8" s="42">
        <f>'תפוקה מצטברת מול אשתקד'!F75</f>
        <v>0.47274726335424311</v>
      </c>
      <c r="I8" s="44">
        <f>'תפוקה מצטברת מול אשתקד'!G66</f>
        <v>0.71282126850767313</v>
      </c>
      <c r="J8" s="76">
        <f>'תפוקה מצטברת מול יעד מצטבר'!D66</f>
        <v>-0.42541300925803083</v>
      </c>
      <c r="K8" s="42">
        <f>'תפוקה מצטברת מול יעד מצטבר'!E66</f>
        <v>-0.73504021719152868</v>
      </c>
      <c r="L8" s="42">
        <f>'תפוקה מצטברת מול יעד מצטבר'!F66</f>
        <v>-8.4616451057451636E-2</v>
      </c>
      <c r="M8" s="44">
        <f>'תפוקה מצטברת מול יעד מצטבר'!G66</f>
        <v>-0.18423830681818187</v>
      </c>
    </row>
    <row r="9" spans="1:21" x14ac:dyDescent="0.3">
      <c r="A9" s="158" t="s">
        <v>116</v>
      </c>
      <c r="B9" s="47">
        <f>'תפוקה מצטברת מול אשתקד'!H56</f>
        <v>4675522.4344982207</v>
      </c>
      <c r="C9" s="43">
        <f>'תפוקה מצטברת מול אשתקד'!I56</f>
        <v>652656.53640906548</v>
      </c>
      <c r="D9" s="43">
        <f>'תפוקה מצטברת מול אשתקד'!J56</f>
        <v>8435988.0191543568</v>
      </c>
      <c r="E9" s="160">
        <f>'תפוקה מצטברת מול אשתקד'!K56</f>
        <v>11766559.359999998</v>
      </c>
      <c r="F9" s="76">
        <f>'תפוקה מצטברת מול אשתקד'!D76</f>
        <v>0.28593697460957146</v>
      </c>
      <c r="G9" s="42">
        <f>'תפוקה מצטברת מול אשתקד'!E76</f>
        <v>2.3588629733123812E-2</v>
      </c>
      <c r="H9" s="42">
        <f>'תפוקה מצטברת מול אשתקד'!F76</f>
        <v>4.1488034292581411E-2</v>
      </c>
      <c r="I9" s="44">
        <f>'תפוקה מצטברת מול אשתקד'!G75</f>
        <v>0.37647458748540519</v>
      </c>
      <c r="J9" s="76">
        <f>'תפוקה מצטברת מול יעד מצטבר'!D75</f>
        <v>0.12000385398388214</v>
      </c>
      <c r="K9" s="42">
        <f>'תפוקה מצטברת מול יעד מצטבר'!E75</f>
        <v>7.1749822167543886E-2</v>
      </c>
      <c r="L9" s="42">
        <f>'תפוקה מצטברת מול יעד מצטבר'!F75</f>
        <v>0.42580523373718404</v>
      </c>
      <c r="M9" s="44">
        <f>'תפוקה מצטברת מול יעד מצטבר'!G75</f>
        <v>1.9190728949652778</v>
      </c>
    </row>
    <row r="10" spans="1:21" ht="15" thickBot="1" x14ac:dyDescent="0.35">
      <c r="A10" s="163" t="s">
        <v>117</v>
      </c>
      <c r="B10" s="155">
        <f>'תפוקה מצטברת מול אשתקד'!H66</f>
        <v>1781679.3408926984</v>
      </c>
      <c r="C10" s="154">
        <f>'תפוקה מצטברת מול אשתקד'!I66</f>
        <v>129088.40618428723</v>
      </c>
      <c r="D10" s="154">
        <f>'תפוקה מצטברת מול אשתקד'!J66</f>
        <v>8337313.3637687303</v>
      </c>
      <c r="E10" s="161">
        <f>'תפוקה מצטברת מול אשתקד'!K66</f>
        <v>6460832.6099999994</v>
      </c>
      <c r="F10" s="77">
        <f>'תפוקה מצטברת מול אשתקד'!D77</f>
        <v>0</v>
      </c>
      <c r="G10" s="40">
        <f>'תפוקה מצטברת מול אשתקד'!E77</f>
        <v>0</v>
      </c>
      <c r="H10" s="40">
        <f>'תפוקה מצטברת מול אשתקד'!F77</f>
        <v>0</v>
      </c>
      <c r="I10" s="72">
        <f>'תפוקה מצטברת מול אשתקד'!G76</f>
        <v>6.8566129023150291E-2</v>
      </c>
      <c r="J10" s="77">
        <f>'תפוקה מצטברת מול יעד מצטבר'!D76</f>
        <v>-0.14178675657266304</v>
      </c>
      <c r="K10" s="40">
        <f>'תפוקה מצטברת מול יעד מצטבר'!E76</f>
        <v>-0.27044009967687421</v>
      </c>
      <c r="L10" s="40">
        <f>'תפוקה מצטברת מול יעד מצטבר'!F76</f>
        <v>-0.19244972184215636</v>
      </c>
      <c r="M10" s="72">
        <f>'תפוקה מצטברת מול יעד מצטבר'!G76</f>
        <v>8.4531150687499723E-2</v>
      </c>
    </row>
    <row r="11" spans="1:21" ht="42.6" thickBot="1" x14ac:dyDescent="0.35">
      <c r="A11" s="68" t="s">
        <v>61</v>
      </c>
      <c r="B11" s="71">
        <f>SUM(B6:B10)</f>
        <v>19275812.732675362</v>
      </c>
      <c r="C11" s="71">
        <f t="shared" ref="C11:E11" si="0">SUM(C6:C10)</f>
        <v>2945087.4056243943</v>
      </c>
      <c r="D11" s="71">
        <f t="shared" si="0"/>
        <v>72592309.604164883</v>
      </c>
      <c r="E11" s="71">
        <f t="shared" si="0"/>
        <v>94870880.75</v>
      </c>
      <c r="F11" s="80">
        <f>'תפוקה מצטברת מול אשתקד'!D76</f>
        <v>0.28593697460957146</v>
      </c>
      <c r="G11" s="38">
        <f>'תפוקה מצטברת מול אשתקד'!E76</f>
        <v>2.3588629733123812E-2</v>
      </c>
      <c r="H11" s="39">
        <f>'תפוקה מצטברת מול אשתקד'!F76</f>
        <v>4.1488034292581411E-2</v>
      </c>
      <c r="I11" s="164">
        <f>'תפוקה מצטברת מול יעד מצטבר'!D75</f>
        <v>0.12000385398388214</v>
      </c>
      <c r="J11" s="165">
        <f>'תפוקה מצטברת מול יעד מצטבר'!D76</f>
        <v>-0.14178675657266304</v>
      </c>
      <c r="K11" s="165">
        <f>'תפוקה מצטברת מול יעד מצטבר'!E76</f>
        <v>-0.27044009967687421</v>
      </c>
      <c r="L11" s="165">
        <f>'תפוקה מצטברת מול יעד מצטבר'!F76</f>
        <v>-0.19244972184215636</v>
      </c>
      <c r="M11" s="164">
        <f>'תפוקה מצטברת מול יעד מצטבר'!G76</f>
        <v>8.4531150687499723E-2</v>
      </c>
    </row>
    <row r="12" spans="1:21" ht="18" x14ac:dyDescent="0.3">
      <c r="A12" s="34"/>
      <c r="B12" s="34"/>
      <c r="C12" s="34"/>
      <c r="D12" s="34"/>
      <c r="E12" s="34"/>
      <c r="F12" s="33"/>
      <c r="G12" s="33"/>
      <c r="H12" s="33"/>
      <c r="I12" s="33"/>
      <c r="J12" s="33"/>
      <c r="K12" s="33"/>
      <c r="L12" s="33"/>
      <c r="M12" s="33"/>
    </row>
    <row r="13" spans="1:21" ht="18.600000000000001" thickBot="1" x14ac:dyDescent="0.35">
      <c r="A13" s="34"/>
      <c r="B13" s="34"/>
      <c r="C13" s="34"/>
      <c r="D13" s="34"/>
      <c r="E13" s="34"/>
      <c r="F13" s="33"/>
      <c r="G13" s="33"/>
      <c r="H13" s="33"/>
      <c r="I13" s="33"/>
      <c r="J13" s="33"/>
      <c r="K13" s="33"/>
      <c r="L13" s="33"/>
      <c r="M13" s="33"/>
    </row>
    <row r="14" spans="1:21" ht="31.8" thickBot="1" x14ac:dyDescent="0.35">
      <c r="A14" s="50" t="s">
        <v>79</v>
      </c>
      <c r="B14" s="52"/>
      <c r="C14" s="52"/>
      <c r="D14"/>
      <c r="E14"/>
      <c r="F14"/>
      <c r="G14"/>
      <c r="H14" s="53"/>
      <c r="I14" s="53"/>
      <c r="J14" s="53"/>
      <c r="K14" s="54"/>
      <c r="L14" s="54"/>
      <c r="M14" s="48"/>
      <c r="N14" s="64"/>
      <c r="O14" s="52"/>
      <c r="P14"/>
      <c r="Q14"/>
      <c r="R14"/>
      <c r="S14"/>
      <c r="T14"/>
      <c r="U14"/>
    </row>
    <row r="15" spans="1:21" ht="24" customHeight="1" thickBot="1" x14ac:dyDescent="0.3">
      <c r="A15" s="204" t="s">
        <v>54</v>
      </c>
      <c r="B15" s="201" t="s">
        <v>131</v>
      </c>
      <c r="C15" s="202"/>
      <c r="D15" s="202"/>
      <c r="E15" s="203"/>
      <c r="F15" s="206" t="s">
        <v>52</v>
      </c>
      <c r="G15" s="207"/>
      <c r="H15" s="207"/>
      <c r="I15" s="208"/>
      <c r="J15" s="212" t="s">
        <v>73</v>
      </c>
      <c r="K15" s="213"/>
      <c r="L15" s="213"/>
      <c r="M15" s="214"/>
      <c r="N15" s="215" t="s">
        <v>122</v>
      </c>
      <c r="O15" s="216"/>
      <c r="P15" s="216"/>
      <c r="Q15" s="217"/>
      <c r="R15" s="209" t="s">
        <v>76</v>
      </c>
      <c r="S15" s="210"/>
      <c r="T15" s="210"/>
      <c r="U15" s="211"/>
    </row>
    <row r="16" spans="1:21" ht="16.5" customHeight="1" thickBot="1" x14ac:dyDescent="0.3">
      <c r="A16" s="205"/>
      <c r="B16" s="69" t="s">
        <v>46</v>
      </c>
      <c r="C16" s="36" t="s">
        <v>47</v>
      </c>
      <c r="D16" s="36" t="s">
        <v>48</v>
      </c>
      <c r="E16" s="159" t="s">
        <v>49</v>
      </c>
      <c r="F16" s="79" t="s">
        <v>46</v>
      </c>
      <c r="G16" s="37" t="s">
        <v>50</v>
      </c>
      <c r="H16" s="75" t="s">
        <v>51</v>
      </c>
      <c r="I16" s="70" t="s">
        <v>89</v>
      </c>
      <c r="J16" s="111" t="s">
        <v>46</v>
      </c>
      <c r="K16" s="112" t="s">
        <v>50</v>
      </c>
      <c r="L16" s="112" t="s">
        <v>51</v>
      </c>
      <c r="M16" s="180" t="s">
        <v>49</v>
      </c>
      <c r="N16" s="170" t="s">
        <v>46</v>
      </c>
      <c r="O16" s="171" t="s">
        <v>50</v>
      </c>
      <c r="P16" s="171" t="s">
        <v>48</v>
      </c>
      <c r="Q16" s="172" t="s">
        <v>89</v>
      </c>
      <c r="R16" s="67" t="s">
        <v>46</v>
      </c>
      <c r="S16" s="67" t="s">
        <v>50</v>
      </c>
      <c r="T16" s="134" t="s">
        <v>48</v>
      </c>
      <c r="U16" s="135" t="s">
        <v>89</v>
      </c>
    </row>
    <row r="17" spans="1:21" ht="21.75" customHeight="1" x14ac:dyDescent="0.3">
      <c r="A17" s="167" t="s">
        <v>56</v>
      </c>
      <c r="B17" s="47">
        <f>SUMIF('תפוקה מצטברת מול אשתקד'!B:B,'דוח הנהלה'!A17,'תפוקה מצטברת מול אשתקד'!H:H)</f>
        <v>8368137.1971460804</v>
      </c>
      <c r="C17" s="47">
        <f>SUMIF('תפוקה מצטברת מול אשתקד'!B:B,'דוח הנהלה'!A17,'תפוקה מצטברת מול אשתקד'!I:I)</f>
        <v>1267553.3735437305</v>
      </c>
      <c r="D17" s="47">
        <f>SUMIF('תפוקה מצטברת מול אשתקד'!B:B,'דוח הנהלה'!A17,'תפוקה מצטברת מול אשתקד'!J:J)</f>
        <v>32673071.530870639</v>
      </c>
      <c r="E17" s="47">
        <f>SUMIF('תפוקה מצטברת מול אשתקד'!B:B,'דוח הנהלה'!A17,'תפוקה מצטברת מול אשתקד'!K:K)</f>
        <v>37609063.310000002</v>
      </c>
      <c r="F17" s="76">
        <f>(B17-N17)/N17</f>
        <v>0.13997656430255775</v>
      </c>
      <c r="G17" s="42">
        <f>(C17-O17)/O17</f>
        <v>4.4952588158823949E-3</v>
      </c>
      <c r="H17" s="42">
        <f>(D17-P17)/P17</f>
        <v>0.31512245250514226</v>
      </c>
      <c r="I17" s="44">
        <f>(E17-Q17)/Q17</f>
        <v>-0.21362453846375468</v>
      </c>
      <c r="J17" s="76">
        <f>(B17-R17)/R17</f>
        <v>0.12384329803197427</v>
      </c>
      <c r="K17" s="42">
        <f>(C17-S17)/S17</f>
        <v>-7.7874746439887621E-2</v>
      </c>
      <c r="L17" s="42">
        <f>(D17-T17)/T17</f>
        <v>0.30964692684265827</v>
      </c>
      <c r="M17" s="44">
        <f>(E17-U17)/U17</f>
        <v>1.2138084404652587</v>
      </c>
      <c r="N17" s="65">
        <f>SUMIF('תפוקה מצטברת מול אשתקד'!B:B,'דוח הנהלה'!A17,'תפוקה מצטברת מול אשתקד'!L:L)</f>
        <v>7340622.1313556042</v>
      </c>
      <c r="O17" s="65">
        <f>SUMIF('תפוקה מצטברת מול אשתקד'!B:B,'דוח הנהלה'!A17,'תפוקה מצטברת מול אשתקד'!M:M)</f>
        <v>1261880.8923378552</v>
      </c>
      <c r="P17" s="65">
        <f>SUMIF('תפוקה מצטברת מול אשתקד'!B:B,'דוח הנהלה'!A17,'תפוקה מצטברת מול אשתקד'!N:N)</f>
        <v>24844128.749100558</v>
      </c>
      <c r="Q17" s="65">
        <f>SUMIF('תפוקה מצטברת מול אשתקד'!B:B,'דוח הנהלה'!A17,'תפוקה מצטברת מול אשתקד'!O:O)</f>
        <v>47825835.303314</v>
      </c>
      <c r="R17" s="65">
        <f>SUMIF('תפוקה מצטברת מול יעד מצטבר'!B:B,'דוח הנהלה'!A17,'תפוקה מצטברת מול יעד מצטבר'!H:K)</f>
        <v>7446000</v>
      </c>
      <c r="S17" s="65">
        <f>SUMIF('תפוקה מצטברת מול יעד מצטבר'!B:B,'דוח הנהלה'!A17,'תפוקה מצטברת מול יעד מצטבר'!I:I)</f>
        <v>1374600</v>
      </c>
      <c r="T17" s="65">
        <f>SUMIF('תפוקה מצטברת מול יעד מצטבר'!B:B,'דוח הנהלה'!A17,'תפוקה מצטברת מול יעד מצטבר'!J:J)</f>
        <v>24948000</v>
      </c>
      <c r="U17" s="65">
        <f>SUMIF('תפוקה מצטברת מול יעד מצטבר'!B:B,'דוח הנהלה'!A17,'תפוקה מצטברת מול יעד מצטבר'!K:K)</f>
        <v>16988400</v>
      </c>
    </row>
    <row r="18" spans="1:21" ht="15.6" x14ac:dyDescent="0.3">
      <c r="A18" s="167" t="s">
        <v>55</v>
      </c>
      <c r="B18" s="47">
        <f>SUMIF('תפוקה מצטברת מול אשתקד'!B:B,'דוח הנהלה'!A18,'תפוקה מצטברת מול אשתקד'!H:H)</f>
        <v>30082.09</v>
      </c>
      <c r="C18" s="47">
        <f>SUMIF('תפוקה מצטברת מול אשתקד'!B:B,'דוח הנהלה'!A18,'תפוקה מצטברת מול אשתקד'!I:I)</f>
        <v>17688.96</v>
      </c>
      <c r="D18" s="47">
        <f>SUMIF('תפוקה מצטברת מול אשתקד'!B:B,'דוח הנהלה'!A18,'תפוקה מצטברת מול אשתקד'!J:J)</f>
        <v>0</v>
      </c>
      <c r="E18" s="47">
        <f>SUMIF('תפוקה מצטברת מול אשתקד'!B:B,'דוח הנהלה'!A18,'תפוקה מצטברת מול אשתקד'!K:K)</f>
        <v>0</v>
      </c>
      <c r="F18" s="76">
        <f t="shared" ref="F18:F19" si="1">(B18-N18)/N18</f>
        <v>237.8036040327062</v>
      </c>
      <c r="G18" s="42">
        <f>(C18-O18)/O18</f>
        <v>19.376560592526211</v>
      </c>
      <c r="H18" s="182">
        <v>0</v>
      </c>
      <c r="I18" s="44">
        <f>(E18-Q18)/Q18</f>
        <v>-1</v>
      </c>
      <c r="J18" s="76">
        <f t="shared" ref="J18:M21" si="2">(B18-R18)/R18</f>
        <v>-0.81567346813725494</v>
      </c>
      <c r="K18" s="42">
        <f t="shared" si="2"/>
        <v>-0.59335724137931034</v>
      </c>
      <c r="L18" s="42">
        <f t="shared" si="2"/>
        <v>-1</v>
      </c>
      <c r="M18" s="44">
        <f t="shared" si="2"/>
        <v>-1</v>
      </c>
      <c r="N18" s="65">
        <f>SUMIF('תפוקה מצטברת מול אשתקד'!B:B,'דוח הנהלה'!A18,'תפוקה מצטברת מול אשתקד'!L:L)</f>
        <v>125.97</v>
      </c>
      <c r="O18" s="65">
        <f>SUMIF('תפוקה מצטברת מול אשתקד'!B:B,'דוח הנהלה'!A18,'תפוקה מצטברת מול אשתקד'!M:M)</f>
        <v>868.10332488045208</v>
      </c>
      <c r="P18" s="65">
        <f>SUMIF('תפוקה מצטברת מול אשתקד'!B:B,'דוח הנהלה'!A18,'תפוקה מצטברת מול אשתקד'!N:N)</f>
        <v>0</v>
      </c>
      <c r="Q18" s="65">
        <f>SUMIF('תפוקה מצטברת מול אשתקד'!B:B,'דוח הנהלה'!A18,'תפוקה מצטברת מול אשתקד'!O:O)</f>
        <v>-115261.94</v>
      </c>
      <c r="R18" s="65">
        <f>SUMIF('תפוקה מצטברת מול יעד מצטבר'!B:B,'דוח הנהלה'!A18,'תפוקה מצטברת מול יעד מצטבר'!H:H)</f>
        <v>163200</v>
      </c>
      <c r="S18" s="65">
        <f>SUMIF('תפוקה מצטברת מול יעד מצטבר'!B:B,'דוח הנהלה'!A18,'תפוקה מצטברת מול יעד מצטבר'!I:I)</f>
        <v>43500</v>
      </c>
      <c r="T18" s="65">
        <f>SUMIF('תפוקה מצטברת מול יעד מצטבר'!B:B,'דוח הנהלה'!A18,'תפוקה מצטברת מול יעד מצטבר'!J:J)</f>
        <v>396000</v>
      </c>
      <c r="U18" s="65">
        <f>SUMIF('תפוקה מצטברת מול יעד מצטבר'!B:B,'דוח הנהלה'!A18,'תפוקה מצטברת מול יעד מצטבר'!K:K)</f>
        <v>396000</v>
      </c>
    </row>
    <row r="19" spans="1:21" ht="15.6" x14ac:dyDescent="0.3">
      <c r="A19" s="167" t="s">
        <v>108</v>
      </c>
      <c r="B19" s="47">
        <f>SUMIF('תפוקה מצטברת מול אשתקד'!B:B,'דוח הנהלה'!A19,'תפוקה מצטברת מול אשתקד'!H:H)</f>
        <v>9095914.1046365816</v>
      </c>
      <c r="C19" s="47">
        <f>SUMIF('תפוקה מצטברת מול אשתקד'!B:B,'דוח הנהלה'!A19,'תפוקה מצטברת מול אשתקד'!I:I)</f>
        <v>1530756.6658963764</v>
      </c>
      <c r="D19" s="47">
        <f>SUMIF('תפוקה מצטברת מול אשתקד'!B:B,'דוח הנהלה'!A19,'תפוקה מצטברת מול אשתקד'!J:J)</f>
        <v>31581924.709525522</v>
      </c>
      <c r="E19" s="47">
        <f>SUMIF('תפוקה מצטברת מול אשתקד'!B:B,'דוח הנהלה'!A19,'תפוקה מצטברת מול אשתקד'!K:K)</f>
        <v>50800984.830000013</v>
      </c>
      <c r="F19" s="76">
        <f t="shared" si="1"/>
        <v>0.57004553815808823</v>
      </c>
      <c r="G19" s="42">
        <f>(C19-O19)/O19</f>
        <v>8.8079952730745009E-2</v>
      </c>
      <c r="H19" s="42">
        <f>(D19-P19)/P19</f>
        <v>-0.16062851749829368</v>
      </c>
      <c r="I19" s="44">
        <f>(E19-Q19)/Q19</f>
        <v>0.36192984552090085</v>
      </c>
      <c r="J19" s="76">
        <f t="shared" si="2"/>
        <v>-0.22590600280530168</v>
      </c>
      <c r="K19" s="42">
        <f t="shared" si="2"/>
        <v>-0.28184064466508263</v>
      </c>
      <c r="L19" s="42">
        <f t="shared" si="2"/>
        <v>-0.43034046339239679</v>
      </c>
      <c r="M19" s="44">
        <f t="shared" si="2"/>
        <v>-0.18289608135495056</v>
      </c>
      <c r="N19" s="65">
        <f>SUMIF('תפוקה מצטברת מול אשתקד'!B:B,'דוח הנהלה'!A19,'תפוקה מצטברת מול אשתקד'!L:L)</f>
        <v>5793407.8238950493</v>
      </c>
      <c r="O19" s="65">
        <f>SUMIF('תפוקה מצטברת מול אשתקד'!B:B,'דוח הנהלה'!A19,'תפוקה מצטברת מול אשתקד'!M:M)</f>
        <v>1406842.0818292345</v>
      </c>
      <c r="P19" s="65">
        <f>SUMIF('תפוקה מצטברת מול אשתקד'!B:B,'דוח הנהלה'!A19,'תפוקה מצטברת מול אשתקד'!N:N)</f>
        <v>37625682.272880077</v>
      </c>
      <c r="Q19" s="65">
        <f>SUMIF('תפוקה מצטברת מול אשתקד'!B:B,'דוח הנהלה'!A19,'תפוקה מצטברת מול אשתקד'!O:O)</f>
        <v>37300735.421191998</v>
      </c>
      <c r="R19" s="65">
        <f>SUMIF('תפוקה מצטברת מול יעד מצטבר'!B:B,'דוח הנהלה'!A19,'תפוקה מצטברת מול יעד מצטבר'!H:H)</f>
        <v>11750399.999999998</v>
      </c>
      <c r="S19" s="65">
        <f>SUMIF('תפוקה מצטברת מול יעד מצטבר'!B:B,'דוח הנהלה'!A19,'תפוקה מצטברת מול יעד מצטבר'!I:I)</f>
        <v>2131500</v>
      </c>
      <c r="T19" s="65">
        <f>SUMIF('תפוקה מצטברת מול יעד מצטבר'!B:B,'דוח הנהלה'!A19,'תפוקה מצטברת מול יעד מצטבר'!J:J)</f>
        <v>55440000</v>
      </c>
      <c r="U19" s="65">
        <f>SUMIF('תפוקה מצטברת מול יעד מצטבר'!B:B,'דוח הנהלה'!A19,'תפוקה מצטברת מול יעד מצטבר'!K:K)</f>
        <v>62172000</v>
      </c>
    </row>
    <row r="20" spans="1:21" ht="16.2" thickBot="1" x14ac:dyDescent="0.35">
      <c r="A20" s="167" t="s">
        <v>115</v>
      </c>
      <c r="B20" s="47">
        <f>SUMIF('תפוקה מצטברת מול אשתקד'!B:B,'דוח הנהלה'!A20,'תפוקה מצטברת מול אשתקד'!H:H)</f>
        <v>1781679.3408926984</v>
      </c>
      <c r="C20" s="47">
        <f>SUMIF('תפוקה מצטברת מול אשתקד'!B:B,'דוח הנהלה'!A20,'תפוקה מצטברת מול אשתקד'!I:I)</f>
        <v>129088.40618428723</v>
      </c>
      <c r="D20" s="47">
        <f>SUMIF('תפוקה מצטברת מול אשתקד'!B:B,'דוח הנהלה'!A20,'תפוקה מצטברת מול אשתקד'!J:J)</f>
        <v>8337313.3637687303</v>
      </c>
      <c r="E20" s="47">
        <f>SUMIF('תפוקה מצטברת מול אשתקד'!B:B,'דוח הנהלה'!A20,'תפוקה מצטברת מול אשתקד'!K:K)</f>
        <v>6460832.6099999994</v>
      </c>
      <c r="F20" s="76">
        <f t="shared" ref="F20" si="3">(B20-N20)/N20</f>
        <v>-3.9808901508366204E-2</v>
      </c>
      <c r="G20" s="42">
        <f>(C20-O20)/O20</f>
        <v>-0.3782668405886318</v>
      </c>
      <c r="H20" s="42">
        <f>(D20-P20)/P20</f>
        <v>0.1530343394081414</v>
      </c>
      <c r="I20" s="44">
        <f>(E20-Q20)/Q20</f>
        <v>0.71282126850767313</v>
      </c>
      <c r="J20" s="76">
        <f t="shared" si="2"/>
        <v>-0.42541300925803072</v>
      </c>
      <c r="K20" s="42">
        <f t="shared" si="2"/>
        <v>-0.73504021719152868</v>
      </c>
      <c r="L20" s="42">
        <f t="shared" si="2"/>
        <v>-8.461645105745165E-2</v>
      </c>
      <c r="M20" s="44">
        <f t="shared" si="2"/>
        <v>-0.1842383068181819</v>
      </c>
      <c r="N20" s="65">
        <f>SUMIF('תפוקה מצטברת מול אשתקד'!B:B,'דוח הנהלה'!A20,'תפוקה מצטברת מול אשתקד'!L:L)</f>
        <v>1855546.6132643202</v>
      </c>
      <c r="O20" s="65">
        <f>SUMIF('תפוקה מצטברת מול אשתקד'!B:B,'דוח הנהלה'!A20,'תפוקה מצטברת מול אשתקד'!M:M)</f>
        <v>207626.70324115077</v>
      </c>
      <c r="P20" s="65">
        <f>SUMIF('תפוקה מצטברת מול אשתקד'!B:B,'דוח הנהלה'!A20,'תפוקה מצטברת מול אשתקד'!N:N)</f>
        <v>7230758.9451744491</v>
      </c>
      <c r="Q20" s="65">
        <f>SUMIF('תפוקה מצטברת מול אשתקד'!B:B,'דוח הנהלה'!A20,'תפוקה מצטברת מול אשתקד'!O:O)</f>
        <v>3772041.3266640003</v>
      </c>
      <c r="R20" s="65">
        <f>SUMIF('תפוקה מצטברת מול יעד מצטבר'!B:B,'דוח הנהלה'!A20,'תפוקה מצטברת מול יעד מצטבר'!H:H)</f>
        <v>3100800</v>
      </c>
      <c r="S20" s="65">
        <f>SUMIF('תפוקה מצטברת מול יעד מצטבר'!B:B,'דוח הנהלה'!A20,'תפוקה מצטברת מול יעד מצטבר'!I:I)</f>
        <v>487200</v>
      </c>
      <c r="T20" s="65">
        <f>SUMIF('תפוקה מצטברת מול יעד מצטבר'!B:B,'דוח הנהלה'!A20,'תפוקה מצטברת מול יעד מצטבר'!J:J)</f>
        <v>9108000</v>
      </c>
      <c r="U20" s="65">
        <f>SUMIF('תפוקה מצטברת מול יעד מצטבר'!B:B,'דוח הנהלה'!A20,'תפוקה מצטברת מול יעד מצטבר'!K:K)</f>
        <v>7920000</v>
      </c>
    </row>
    <row r="21" spans="1:21" ht="21.6" thickBot="1" x14ac:dyDescent="0.3">
      <c r="A21" s="168"/>
      <c r="B21" s="71">
        <f>SUM(B17:B20)</f>
        <v>19275812.732675362</v>
      </c>
      <c r="C21" s="71">
        <f>SUM(C17:C20)</f>
        <v>2945087.4056243938</v>
      </c>
      <c r="D21" s="71">
        <f>SUM(D17:D20)</f>
        <v>72592309.604164883</v>
      </c>
      <c r="E21" s="71">
        <f>SUM(E17:E20)</f>
        <v>94870880.750000015</v>
      </c>
      <c r="F21" s="156">
        <f>(B21-N21)/N21</f>
        <v>0.28593697460957174</v>
      </c>
      <c r="G21" s="113">
        <f>(C21-O21)/O21</f>
        <v>2.3588629733123607E-2</v>
      </c>
      <c r="H21" s="114">
        <f>(D21-P21)/P21</f>
        <v>4.1488034292581404E-2</v>
      </c>
      <c r="I21" s="162">
        <f>(B21-R21)/R21</f>
        <v>-0.1417867565726629</v>
      </c>
      <c r="J21" s="81">
        <f t="shared" si="2"/>
        <v>-0.1417867565726629</v>
      </c>
      <c r="K21" s="82">
        <f t="shared" si="2"/>
        <v>-0.27044009967687432</v>
      </c>
      <c r="L21" s="83">
        <f t="shared" si="2"/>
        <v>-0.19244972184215633</v>
      </c>
      <c r="M21" s="136">
        <f t="shared" si="2"/>
        <v>8.453115068749989E-2</v>
      </c>
      <c r="N21" s="169">
        <f>SUM(N17:N20)</f>
        <v>14989702.538514974</v>
      </c>
      <c r="O21" s="169">
        <f>SUM(O17:O20)</f>
        <v>2877217.7807331206</v>
      </c>
      <c r="P21" s="169">
        <f>SUM(P17:P20)</f>
        <v>69700569.967155084</v>
      </c>
      <c r="Q21" s="169">
        <f>SUM(Q17:Q20)</f>
        <v>88783350.111169994</v>
      </c>
      <c r="R21" s="157">
        <f t="shared" ref="R21:T21" si="4">SUM(R17:R20)</f>
        <v>22460400</v>
      </c>
      <c r="S21" s="157">
        <f t="shared" si="4"/>
        <v>4036800</v>
      </c>
      <c r="T21" s="157">
        <f t="shared" si="4"/>
        <v>89892000</v>
      </c>
      <c r="U21" s="157">
        <f>SUM(U17:U20)</f>
        <v>87476400</v>
      </c>
    </row>
    <row r="22" spans="1:21" x14ac:dyDescent="0.3">
      <c r="N22" s="66"/>
      <c r="O22" s="66"/>
      <c r="P22" s="66"/>
      <c r="Q22" s="66"/>
      <c r="R22" s="66"/>
      <c r="S22" s="66"/>
      <c r="T22" s="66"/>
      <c r="U22" s="66"/>
    </row>
    <row r="23" spans="1:21" x14ac:dyDescent="0.3">
      <c r="N23" s="66"/>
      <c r="O23" s="66"/>
      <c r="P23" s="66"/>
      <c r="Q23" s="66"/>
      <c r="R23" s="66"/>
      <c r="S23" s="66"/>
      <c r="T23" s="66"/>
      <c r="U23" s="66"/>
    </row>
    <row r="24" spans="1:21" ht="15" thickBot="1" x14ac:dyDescent="0.35">
      <c r="N24" s="66"/>
      <c r="O24" s="66"/>
      <c r="P24" s="66"/>
      <c r="Q24" s="66"/>
      <c r="R24" s="66"/>
      <c r="S24" s="66"/>
      <c r="T24" s="66"/>
      <c r="U24" s="66"/>
    </row>
    <row r="25" spans="1:21" ht="31.8" thickBot="1" x14ac:dyDescent="0.35">
      <c r="A25" s="125" t="s">
        <v>80</v>
      </c>
      <c r="B25" s="52"/>
      <c r="C25" s="52"/>
      <c r="D25"/>
      <c r="E25"/>
      <c r="F25"/>
      <c r="G25"/>
      <c r="H25" s="53"/>
      <c r="I25" s="53"/>
      <c r="J25" s="53"/>
      <c r="K25" s="54"/>
      <c r="L25" s="54"/>
      <c r="M25" s="48"/>
      <c r="N25" s="48"/>
      <c r="O25" s="49"/>
      <c r="P25"/>
      <c r="Q25"/>
      <c r="R25" s="183" t="s">
        <v>123</v>
      </c>
      <c r="S25" s="48"/>
      <c r="T25" s="48"/>
      <c r="U25" s="49"/>
    </row>
    <row r="26" spans="1:21" ht="21.6" customHeight="1" thickBot="1" x14ac:dyDescent="0.35">
      <c r="A26" s="199" t="s">
        <v>57</v>
      </c>
      <c r="B26" s="201" t="s">
        <v>131</v>
      </c>
      <c r="C26" s="202"/>
      <c r="D26" s="202"/>
      <c r="E26" s="203"/>
      <c r="F26" s="206" t="s">
        <v>52</v>
      </c>
      <c r="G26" s="207"/>
      <c r="H26" s="207"/>
      <c r="I26" s="208"/>
      <c r="R26" s="184" t="s">
        <v>124</v>
      </c>
      <c r="S26" s="185" t="s">
        <v>125</v>
      </c>
      <c r="T26" s="185" t="s">
        <v>126</v>
      </c>
      <c r="U26" s="185" t="s">
        <v>129</v>
      </c>
    </row>
    <row r="27" spans="1:21" ht="31.8" thickBot="1" x14ac:dyDescent="0.35">
      <c r="A27" s="200"/>
      <c r="B27" s="69" t="s">
        <v>46</v>
      </c>
      <c r="C27" s="36" t="s">
        <v>47</v>
      </c>
      <c r="D27" s="36" t="s">
        <v>48</v>
      </c>
      <c r="E27" s="78" t="s">
        <v>49</v>
      </c>
      <c r="F27" s="73" t="s">
        <v>46</v>
      </c>
      <c r="G27" s="73" t="s">
        <v>50</v>
      </c>
      <c r="H27" s="73" t="s">
        <v>51</v>
      </c>
      <c r="I27" s="73" t="s">
        <v>49</v>
      </c>
      <c r="R27" s="246" t="s">
        <v>22</v>
      </c>
      <c r="S27" s="19">
        <v>67.345805959119105</v>
      </c>
      <c r="T27" s="20">
        <v>207336.1858902208</v>
      </c>
      <c r="U27" s="21">
        <v>210414.8658902208</v>
      </c>
    </row>
    <row r="28" spans="1:21" x14ac:dyDescent="0.3">
      <c r="A28" s="55" t="s">
        <v>63</v>
      </c>
      <c r="B28" s="46">
        <f>מנורה!D76</f>
        <v>2630373.2626753617</v>
      </c>
      <c r="C28" s="46">
        <f>מנורה!E76</f>
        <v>713517.96962439409</v>
      </c>
      <c r="D28" s="46">
        <f>מנורה!F76</f>
        <v>2863875.9841648946</v>
      </c>
      <c r="E28" s="46">
        <f>מנורה!G76</f>
        <v>-696662.00000000047</v>
      </c>
      <c r="F28" s="41">
        <f>מנורה!D76/מנורה!H76-1</f>
        <v>8.1077740853050528E-2</v>
      </c>
      <c r="G28" s="41">
        <f>מנורה!E76/מנורה!I76-1</f>
        <v>0.67210091530649185</v>
      </c>
      <c r="H28" s="41">
        <f>מנורה!F76/מנורה!J76-1</f>
        <v>-0.57750654639532661</v>
      </c>
      <c r="I28" s="41">
        <f>מנורה!G76/מנורה!K76-1</f>
        <v>-1.0573908648710213</v>
      </c>
      <c r="R28" s="186" t="s">
        <v>82</v>
      </c>
      <c r="S28" s="19">
        <v>429.18924419896246</v>
      </c>
      <c r="T28" s="20">
        <v>707042.92737941723</v>
      </c>
      <c r="U28" s="21">
        <v>708690.31937941723</v>
      </c>
    </row>
    <row r="29" spans="1:21" x14ac:dyDescent="0.3">
      <c r="A29" s="56" t="s">
        <v>64</v>
      </c>
      <c r="B29" s="47">
        <f>מגדל!D76</f>
        <v>11087930.59</v>
      </c>
      <c r="C29" s="47">
        <f>מגדל!E76</f>
        <v>539695.35</v>
      </c>
      <c r="D29" s="47">
        <f>מגדל!F76</f>
        <v>29303374.09</v>
      </c>
      <c r="E29" s="47">
        <f>מגדל!G76</f>
        <v>83012846.270000011</v>
      </c>
      <c r="F29" s="42">
        <f>מגדל!D76/מגדל!H76-1</f>
        <v>0.84778541856237188</v>
      </c>
      <c r="G29" s="42">
        <f>מגדל!E76/מגדל!I76-1</f>
        <v>0.1851011540968881</v>
      </c>
      <c r="H29" s="42">
        <f>מגדל!F76/מגדל!J76-1</f>
        <v>0.43202716240583428</v>
      </c>
      <c r="I29" s="41">
        <f>מגדל!G76/מגדל!K76-1</f>
        <v>1.3962181382016059</v>
      </c>
      <c r="R29" s="187" t="s">
        <v>36</v>
      </c>
      <c r="S29" s="19">
        <v>1</v>
      </c>
      <c r="T29" s="20">
        <v>330170.12099999998</v>
      </c>
      <c r="U29" s="21">
        <v>330170.12099999998</v>
      </c>
    </row>
    <row r="30" spans="1:21" x14ac:dyDescent="0.3">
      <c r="A30" s="56" t="s">
        <v>65</v>
      </c>
      <c r="B30" s="47">
        <f>כלל!D76</f>
        <v>2735759.88</v>
      </c>
      <c r="C30" s="47">
        <f>כלל!E76</f>
        <v>950020.12600000005</v>
      </c>
      <c r="D30" s="47">
        <f>כלל!F76</f>
        <v>11075254.880000001</v>
      </c>
      <c r="E30" s="47">
        <f>כלל!G76</f>
        <v>8594073.4800000004</v>
      </c>
      <c r="F30" s="42">
        <f>כלל!D76/כלל!H76-1</f>
        <v>-0.34839322101409376</v>
      </c>
      <c r="G30" s="42">
        <f>כלל!E76/כלל!I76-1</f>
        <v>0.30718987053774982</v>
      </c>
      <c r="H30" s="42">
        <f>כלל!F76/כלל!J76-1</f>
        <v>0.27309130854235319</v>
      </c>
      <c r="I30" s="41">
        <f>כלל!G76/כלל!K76-1</f>
        <v>-0.75172378441046694</v>
      </c>
      <c r="R30" s="186" t="s">
        <v>2</v>
      </c>
      <c r="S30" s="19">
        <v>34.352594301735259</v>
      </c>
      <c r="T30" s="20">
        <v>168203.35077747543</v>
      </c>
      <c r="U30" s="21">
        <v>173099.73063455595</v>
      </c>
    </row>
    <row r="31" spans="1:21" x14ac:dyDescent="0.3">
      <c r="A31" s="56" t="s">
        <v>66</v>
      </c>
      <c r="B31" s="47">
        <f>'אלטשולר שחם'!D76</f>
        <v>0</v>
      </c>
      <c r="C31" s="47">
        <f>'אלטשולר שחם'!E76</f>
        <v>0</v>
      </c>
      <c r="D31" s="47">
        <f>'אלטשולר שחם'!F76</f>
        <v>206323</v>
      </c>
      <c r="E31" s="47">
        <f>'אלטשולר שחם'!G76</f>
        <v>0</v>
      </c>
      <c r="F31" s="42">
        <f>'אלטשולר שחם'!D76/'אלטשולר שחם'!H76-1</f>
        <v>-1</v>
      </c>
      <c r="G31" s="42">
        <v>0</v>
      </c>
      <c r="H31" s="42">
        <f>'אלטשולר שחם'!F76/'אלטשולר שחם'!J76-1</f>
        <v>1.289933407325194</v>
      </c>
      <c r="I31" s="41">
        <v>0</v>
      </c>
      <c r="R31" s="187" t="s">
        <v>17</v>
      </c>
      <c r="S31" s="19">
        <v>3.8491531577949845</v>
      </c>
      <c r="T31" s="20">
        <v>145538.08768324711</v>
      </c>
      <c r="U31" s="21">
        <v>183348.50512234421</v>
      </c>
    </row>
    <row r="32" spans="1:21" x14ac:dyDescent="0.3">
      <c r="A32" s="56" t="s">
        <v>67</v>
      </c>
      <c r="B32" s="47">
        <f>מור!D76</f>
        <v>0</v>
      </c>
      <c r="C32" s="47">
        <f>מור!E76</f>
        <v>0</v>
      </c>
      <c r="D32" s="47">
        <f>מור!F76</f>
        <v>1480954.39</v>
      </c>
      <c r="E32" s="47">
        <f>מור!G76</f>
        <v>0</v>
      </c>
      <c r="F32" s="42">
        <v>0</v>
      </c>
      <c r="G32" s="42">
        <v>0</v>
      </c>
      <c r="H32" s="42">
        <f>מור!F76/מור!J76-1</f>
        <v>-0.47876547266003044</v>
      </c>
      <c r="I32" s="41">
        <v>0</v>
      </c>
      <c r="R32"/>
      <c r="S32"/>
      <c r="T32"/>
      <c r="U32"/>
    </row>
    <row r="33" spans="1:21" x14ac:dyDescent="0.3">
      <c r="A33" s="56" t="s">
        <v>68</v>
      </c>
      <c r="B33" s="47">
        <f>הראל!D76</f>
        <v>1141283</v>
      </c>
      <c r="C33" s="47">
        <f>הראל!E76</f>
        <v>312138</v>
      </c>
      <c r="D33" s="47">
        <f>הראל!F76</f>
        <v>2038363</v>
      </c>
      <c r="E33" s="47">
        <f>הראל!G76</f>
        <v>-1200206</v>
      </c>
      <c r="F33" s="42">
        <f>הראל!D76/הראל!H76-1</f>
        <v>-0.37874433759479664</v>
      </c>
      <c r="G33" s="42">
        <f>הראל!E76/הראל!I76-1</f>
        <v>-0.48621824277089465</v>
      </c>
      <c r="H33" s="42">
        <f>הראל!F76/הראל!J76-1</f>
        <v>-0.61250977207426072</v>
      </c>
      <c r="I33" s="41">
        <f>הראל!G76/הראל!K76-1</f>
        <v>-1.4351200989334278</v>
      </c>
      <c r="U33" s="32"/>
    </row>
    <row r="34" spans="1:21" x14ac:dyDescent="0.3">
      <c r="A34" s="56" t="s">
        <v>69</v>
      </c>
      <c r="B34" s="47">
        <f>הפניקס!D76</f>
        <v>1679216</v>
      </c>
      <c r="C34" s="47">
        <f>הפניקס!E76</f>
        <v>119729</v>
      </c>
      <c r="D34" s="47">
        <f>הפניקס!F76</f>
        <v>11469936</v>
      </c>
      <c r="E34" s="47">
        <f>הפניקס!G76</f>
        <v>5160829</v>
      </c>
      <c r="F34" s="42">
        <f>הפניקס!D76/הפניקס!H76-1</f>
        <v>2.2478714962240964</v>
      </c>
      <c r="G34" s="42">
        <f>הפניקס!E76/הפניקס!I76-1</f>
        <v>-0.58170826834001921</v>
      </c>
      <c r="H34" s="42">
        <f>הפניקס!F76/הפניקס!J76-1</f>
        <v>0.65623154968262232</v>
      </c>
      <c r="I34" s="41">
        <f>הפניקס!G76/הפניקס!K76-1</f>
        <v>0.1151624331874348</v>
      </c>
      <c r="U34" s="32"/>
    </row>
    <row r="35" spans="1:21" ht="15" thickBot="1" x14ac:dyDescent="0.35">
      <c r="A35" s="56" t="s">
        <v>70</v>
      </c>
      <c r="B35" s="47">
        <f>איילון!D76</f>
        <v>1250</v>
      </c>
      <c r="C35" s="47">
        <f>איילון!E76</f>
        <v>293066.96000000002</v>
      </c>
      <c r="D35" s="47">
        <f>איילון!F76</f>
        <v>0</v>
      </c>
      <c r="E35" s="47">
        <f>איילון!G76</f>
        <v>0</v>
      </c>
      <c r="F35" s="42">
        <v>1</v>
      </c>
      <c r="G35" s="42">
        <f>איילון!E76/איילון!I76-1</f>
        <v>-0.20831722077697323</v>
      </c>
      <c r="H35" s="42">
        <v>0</v>
      </c>
      <c r="I35" s="41">
        <v>0</v>
      </c>
      <c r="U35" s="32"/>
    </row>
    <row r="36" spans="1:21" ht="16.2" thickBot="1" x14ac:dyDescent="0.35">
      <c r="A36" s="144" t="s">
        <v>71</v>
      </c>
      <c r="B36" s="43">
        <f>הכשרה!D76</f>
        <v>0</v>
      </c>
      <c r="C36" s="43">
        <f>הכשרה!E76</f>
        <v>2975</v>
      </c>
      <c r="D36" s="43">
        <f>הכשרה!F76</f>
        <v>0</v>
      </c>
      <c r="E36" s="43">
        <f>הכשרה!G76</f>
        <v>0</v>
      </c>
      <c r="F36" s="42">
        <v>0</v>
      </c>
      <c r="G36" s="42">
        <f>הכשרה!E76/הכשרה!I76-1</f>
        <v>1.5705018777739888E-2</v>
      </c>
      <c r="H36" s="42">
        <v>1</v>
      </c>
      <c r="I36" s="42">
        <v>0</v>
      </c>
      <c r="R36" s="188" t="s">
        <v>127</v>
      </c>
      <c r="S36" s="48"/>
      <c r="T36" s="48"/>
      <c r="U36" s="49"/>
    </row>
    <row r="37" spans="1:21" ht="31.8" thickBot="1" x14ac:dyDescent="0.35">
      <c r="A37" s="144" t="s">
        <v>110</v>
      </c>
      <c r="B37" s="43">
        <f>'מדיהו '!D76</f>
        <v>0</v>
      </c>
      <c r="C37" s="43">
        <f>'מדיהו '!E76</f>
        <v>13945</v>
      </c>
      <c r="D37" s="43">
        <f>'מדיהו '!F76</f>
        <v>0</v>
      </c>
      <c r="E37" s="45">
        <f>'מדיהו '!G76</f>
        <v>0</v>
      </c>
      <c r="F37" s="42">
        <v>0</v>
      </c>
      <c r="G37" s="42">
        <f>'מדיהו '!E76/'מדיהו '!I76-1</f>
        <v>8.5644718792866943</v>
      </c>
      <c r="H37" s="42" t="s">
        <v>114</v>
      </c>
      <c r="I37" s="42">
        <v>0</v>
      </c>
      <c r="R37" s="189" t="s">
        <v>124</v>
      </c>
      <c r="S37" s="190" t="s">
        <v>125</v>
      </c>
      <c r="T37" s="190" t="s">
        <v>128</v>
      </c>
      <c r="U37" s="190" t="s">
        <v>129</v>
      </c>
    </row>
    <row r="38" spans="1:21" ht="31.2" x14ac:dyDescent="0.3">
      <c r="A38" s="144" t="s">
        <v>111</v>
      </c>
      <c r="B38" s="43">
        <f>'אנליסט '!D76</f>
        <v>0</v>
      </c>
      <c r="C38" s="43">
        <f>'אנליסט '!E76</f>
        <v>0</v>
      </c>
      <c r="D38" s="43">
        <f>'אנליסט '!F76</f>
        <v>14154228.259999998</v>
      </c>
      <c r="E38" s="43">
        <f>'אנליסט '!G76</f>
        <v>0</v>
      </c>
      <c r="F38" s="42">
        <v>0</v>
      </c>
      <c r="G38" s="42">
        <v>0</v>
      </c>
      <c r="H38" s="42">
        <f>'אנליסט '!F76/'אנליסט '!J76-1</f>
        <v>-0.24075934146737321</v>
      </c>
      <c r="I38" s="42">
        <v>0</v>
      </c>
      <c r="R38" s="26" t="s">
        <v>8</v>
      </c>
      <c r="S38" s="19">
        <v>-0.87560267704353545</v>
      </c>
      <c r="T38" s="20">
        <v>-176003.30414517637</v>
      </c>
      <c r="U38" s="21">
        <v>25004.880000000001</v>
      </c>
    </row>
    <row r="39" spans="1:21" ht="15.6" x14ac:dyDescent="0.3">
      <c r="A39" s="144" t="s">
        <v>112</v>
      </c>
      <c r="B39" s="43">
        <f>'מיטב דש'!D76</f>
        <v>0</v>
      </c>
      <c r="C39" s="43">
        <f>'מיטב דש'!E76</f>
        <v>0</v>
      </c>
      <c r="D39" s="43">
        <f>'מיטב דש'!F76</f>
        <v>0</v>
      </c>
      <c r="E39" s="43">
        <f>'מיטב דש'!G76</f>
        <v>0</v>
      </c>
      <c r="F39" s="42">
        <v>0</v>
      </c>
      <c r="G39" s="42">
        <v>0</v>
      </c>
      <c r="H39" s="42">
        <v>0</v>
      </c>
      <c r="I39" s="42">
        <v>0</v>
      </c>
      <c r="R39" s="30" t="s">
        <v>25</v>
      </c>
      <c r="S39" s="19">
        <v>0</v>
      </c>
      <c r="T39" s="20">
        <v>-270588.35067883413</v>
      </c>
      <c r="U39" s="21">
        <v>0</v>
      </c>
    </row>
    <row r="40" spans="1:21" ht="15.6" x14ac:dyDescent="0.3">
      <c r="A40" s="144" t="s">
        <v>113</v>
      </c>
      <c r="B40" s="43">
        <f>אינפניטי!D76</f>
        <v>0</v>
      </c>
      <c r="C40" s="43">
        <f>אינפניטי!E76</f>
        <v>0</v>
      </c>
      <c r="D40" s="43">
        <f>אינפניטי!F76</f>
        <v>0</v>
      </c>
      <c r="E40" s="43">
        <f>אינפניטי!G76</f>
        <v>0</v>
      </c>
      <c r="F40" s="42">
        <v>0</v>
      </c>
      <c r="G40" s="42">
        <v>0</v>
      </c>
      <c r="H40" s="42">
        <v>0</v>
      </c>
      <c r="I40" s="42">
        <v>0</v>
      </c>
      <c r="R40" s="26" t="s">
        <v>40</v>
      </c>
      <c r="S40" s="19">
        <v>-0.98846228078123188</v>
      </c>
      <c r="T40" s="20">
        <v>-280396.6830382201</v>
      </c>
      <c r="U40" s="21">
        <v>3272.9</v>
      </c>
    </row>
    <row r="41" spans="1:21" ht="31.8" thickBot="1" x14ac:dyDescent="0.35">
      <c r="A41" s="139" t="s">
        <v>72</v>
      </c>
      <c r="B41" s="140">
        <f>SUM(B28:B40)</f>
        <v>19275812.732675362</v>
      </c>
      <c r="C41" s="141">
        <f>SUM(C28:C40)</f>
        <v>2945087.4056243943</v>
      </c>
      <c r="D41" s="141">
        <f>SUM(D28:D40)</f>
        <v>72592309.604164898</v>
      </c>
      <c r="E41" s="142">
        <f>SUM(E28:E40)</f>
        <v>94870880.750000015</v>
      </c>
      <c r="F41" s="143">
        <f>('תפוקה מצטברת מול אשתקד'!H76-'תפוקה מצטברת מול אשתקד'!L76)/'תפוקה מצטברת מול אשתקד'!L76</f>
        <v>0.28593697460957146</v>
      </c>
      <c r="G41" s="143">
        <f>('תפוקה מצטברת מול אשתקד'!I76-'תפוקה מצטברת מול אשתקד'!M76)/'תפוקה מצטברת מול אשתקד'!M76</f>
        <v>2.358862973312377E-2</v>
      </c>
      <c r="H41" s="143">
        <f>('תפוקה מצטברת מול אשתקד'!J76-'תפוקה מצטברת מול אשתקד'!N76)/'תפוקה מצטברת מול אשתקד'!N76</f>
        <v>4.1488034292581404E-2</v>
      </c>
      <c r="I41" s="143">
        <f>('תפוקה מצטברת מול אשתקד'!K76-'תפוקה מצטברת מול אשתקד'!O76)/'תפוקה מצטברת מול אשתקד'!O76</f>
        <v>6.8566129023150291E-2</v>
      </c>
      <c r="R41" s="30" t="s">
        <v>5</v>
      </c>
      <c r="S41" s="19">
        <v>-1.0012885511613043</v>
      </c>
      <c r="T41" s="20">
        <v>-371533.23892650672</v>
      </c>
      <c r="U41" s="21">
        <v>-478.12349989090097</v>
      </c>
    </row>
    <row r="42" spans="1:21" ht="15.6" x14ac:dyDescent="0.3">
      <c r="R42" s="30" t="s">
        <v>1</v>
      </c>
      <c r="S42" s="19">
        <v>-0.99658235677283746</v>
      </c>
      <c r="T42" s="20">
        <v>-614691.31458210445</v>
      </c>
      <c r="U42" s="21">
        <v>2108</v>
      </c>
    </row>
  </sheetData>
  <mergeCells count="13">
    <mergeCell ref="A4:A5"/>
    <mergeCell ref="B4:E4"/>
    <mergeCell ref="R15:U15"/>
    <mergeCell ref="J4:M4"/>
    <mergeCell ref="F4:I4"/>
    <mergeCell ref="J15:M15"/>
    <mergeCell ref="N15:Q15"/>
    <mergeCell ref="A26:A27"/>
    <mergeCell ref="B26:E26"/>
    <mergeCell ref="A15:A16"/>
    <mergeCell ref="B15:E15"/>
    <mergeCell ref="F15:I15"/>
    <mergeCell ref="F26:I26"/>
  </mergeCells>
  <conditionalFormatting sqref="F28:I40">
    <cfRule type="cellIs" dxfId="381" priority="19" operator="lessThan">
      <formula>-0.0001</formula>
    </cfRule>
    <cfRule type="cellIs" dxfId="380" priority="20" operator="greaterThan">
      <formula>0.1</formula>
    </cfRule>
  </conditionalFormatting>
  <conditionalFormatting sqref="F6:M10">
    <cfRule type="cellIs" dxfId="379" priority="45" operator="lessThan">
      <formula>-0.0001</formula>
    </cfRule>
    <cfRule type="cellIs" dxfId="378" priority="46" operator="greaterThan">
      <formula>0.1</formula>
    </cfRule>
  </conditionalFormatting>
  <conditionalFormatting sqref="F17:M20">
    <cfRule type="cellIs" dxfId="377" priority="17" operator="lessThan">
      <formula>-0.0001</formula>
    </cfRule>
    <cfRule type="cellIs" dxfId="376" priority="18" operator="greaterThan">
      <formula>0.1</formula>
    </cfRule>
  </conditionalFormatting>
  <conditionalFormatting sqref="P5:P10">
    <cfRule type="cellIs" dxfId="375" priority="29" operator="lessThan">
      <formula>-0.0001</formula>
    </cfRule>
    <cfRule type="cellIs" dxfId="374" priority="30" operator="greaterThan">
      <formula>0.1</formula>
    </cfRule>
  </conditionalFormatting>
  <conditionalFormatting sqref="R38">
    <cfRule type="duplicateValues" dxfId="373" priority="7"/>
    <cfRule type="duplicateValues" dxfId="372" priority="8"/>
  </conditionalFormatting>
  <conditionalFormatting sqref="R39:R40">
    <cfRule type="duplicateValues" dxfId="371" priority="3"/>
    <cfRule type="duplicateValues" dxfId="370" priority="4"/>
  </conditionalFormatting>
  <conditionalFormatting sqref="R41:R42">
    <cfRule type="duplicateValues" dxfId="369" priority="1"/>
    <cfRule type="duplicateValues" dxfId="368" priority="2"/>
  </conditionalFormatting>
  <conditionalFormatting sqref="S27:S31">
    <cfRule type="cellIs" dxfId="367" priority="9" operator="lessThan">
      <formula>-0.0001</formula>
    </cfRule>
    <cfRule type="cellIs" dxfId="366" priority="10" operator="greaterThan">
      <formula>0.1</formula>
    </cfRule>
  </conditionalFormatting>
  <conditionalFormatting sqref="S38:S42">
    <cfRule type="cellIs" dxfId="365" priority="5" operator="lessThan">
      <formula>-0.0001</formula>
    </cfRule>
    <cfRule type="cellIs" dxfId="364" priority="6" operator="greaterThan">
      <formula>0.1</formula>
    </cfRule>
  </conditionalFormatting>
  <conditionalFormatting sqref="U8:U13">
    <cfRule type="cellIs" dxfId="363" priority="21" operator="lessThan">
      <formula>-0.0001</formula>
    </cfRule>
    <cfRule type="cellIs" dxfId="362" priority="22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721E-4C57-46C7-85BA-332EA5413B68}">
  <sheetPr>
    <tabColor theme="4" tint="0.39997558519241921"/>
  </sheetPr>
  <dimension ref="A1:R82"/>
  <sheetViews>
    <sheetView rightToLeft="1" workbookViewId="0">
      <selection activeCell="O76" sqref="O76"/>
    </sheetView>
  </sheetViews>
  <sheetFormatPr defaultColWidth="27.69921875" defaultRowHeight="15.75" customHeight="1" x14ac:dyDescent="0.25"/>
  <cols>
    <col min="1" max="1" width="27.59765625" style="94" bestFit="1" customWidth="1"/>
    <col min="2" max="2" width="10.09765625" style="4" bestFit="1" customWidth="1"/>
    <col min="3" max="3" width="10.3984375" style="4" bestFit="1" customWidth="1"/>
    <col min="4" max="4" width="10.69921875" style="3" bestFit="1" customWidth="1"/>
    <col min="5" max="5" width="11" style="3" bestFit="1" customWidth="1"/>
    <col min="6" max="6" width="11.69921875" style="3" bestFit="1" customWidth="1"/>
    <col min="7" max="7" width="13.59765625" style="3" bestFit="1" customWidth="1"/>
    <col min="8" max="8" width="14.69921875" style="3" bestFit="1" customWidth="1"/>
    <col min="9" max="9" width="13.59765625" style="3" bestFit="1" customWidth="1"/>
    <col min="10" max="10" width="15" style="3" bestFit="1" customWidth="1"/>
    <col min="11" max="11" width="16.09765625" style="3" bestFit="1" customWidth="1"/>
    <col min="12" max="12" width="15" style="3" bestFit="1" customWidth="1"/>
    <col min="13" max="13" width="13.59765625" style="3" bestFit="1" customWidth="1"/>
    <col min="14" max="15" width="16.3984375" style="3" bestFit="1" customWidth="1"/>
    <col min="16" max="16384" width="27.69921875" style="3"/>
  </cols>
  <sheetData>
    <row r="1" spans="1:16" ht="15.75" customHeight="1" x14ac:dyDescent="0.25">
      <c r="A1" s="26"/>
      <c r="B1" s="26"/>
      <c r="C1" s="26"/>
      <c r="D1" s="221" t="s">
        <v>52</v>
      </c>
      <c r="E1" s="221"/>
      <c r="F1" s="221"/>
      <c r="G1" s="100"/>
      <c r="H1" s="218" t="s">
        <v>132</v>
      </c>
      <c r="I1" s="219"/>
      <c r="J1" s="219"/>
      <c r="K1" s="220"/>
      <c r="L1" s="222" t="s">
        <v>133</v>
      </c>
      <c r="M1" s="223"/>
      <c r="N1" s="223"/>
      <c r="O1" s="223"/>
    </row>
    <row r="2" spans="1:16" ht="15.75" customHeight="1" x14ac:dyDescent="0.25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25" t="s">
        <v>46</v>
      </c>
      <c r="I2" s="25" t="s">
        <v>50</v>
      </c>
      <c r="J2" s="25" t="s">
        <v>48</v>
      </c>
      <c r="K2" s="25" t="s">
        <v>49</v>
      </c>
      <c r="L2" s="29" t="s">
        <v>46</v>
      </c>
      <c r="M2" s="29" t="s">
        <v>47</v>
      </c>
      <c r="N2" s="29" t="s">
        <v>48</v>
      </c>
      <c r="O2" s="29" t="s">
        <v>89</v>
      </c>
      <c r="P2" s="5"/>
    </row>
    <row r="3" spans="1:16" ht="15.75" customHeight="1" x14ac:dyDescent="0.25">
      <c r="A3" s="26" t="s">
        <v>1</v>
      </c>
      <c r="B3" s="26" t="s">
        <v>108</v>
      </c>
      <c r="C3" s="26" t="s">
        <v>58</v>
      </c>
      <c r="D3" s="19">
        <f>IF(H3=0,0%,IF(L3=0,100%,H3/L3-1))</f>
        <v>1.2594934403866209</v>
      </c>
      <c r="E3" s="19">
        <f>IF(I3=0,0%,IF(M3=0,100%,I3/M3-1))</f>
        <v>-0.65886008477038982</v>
      </c>
      <c r="F3" s="19">
        <f>IF(J3=0,0%,IF(N3=G29,100%,J3/N3-1))</f>
        <v>0.50910528822090084</v>
      </c>
      <c r="G3" s="19">
        <f>IF(K3=0,0%,IF(O3=H29,100%,K3/O3-1))</f>
        <v>1.0904926506517816</v>
      </c>
      <c r="H3" s="58">
        <f>VLOOKUP(A3,הכשרה!A:G,4,0)+VLOOKUP('תפוקה מצטברת מול אשתקד'!A3,מגדל!A:G,4,0)+VLOOKUP('תפוקה מצטברת מול אשתקד'!A3,מנורה!A:G,4,0)+VLOOKUP('תפוקה מצטברת מול אשתקד'!A3,איילון!A:G,4,0)+VLOOKUP('תפוקה מצטברת מול אשתקד'!A3,הראל!A:G,4,0)+VLOOKUP('תפוקה מצטברת מול אשתקד'!A3,הפניקס!A:G,4,0)+VLOOKUP('תפוקה מצטברת מול אשתקד'!A3,כלל!A:G,4,0)+VLOOKUP('תפוקה מצטברת מול אשתקד'!A3,מור!A:G,4,0)+VLOOKUP('תפוקה מצטברת מול אשתקד'!A3,'אלטשולר שחם'!A:G,4,0)+VLOOKUP('תפוקה מצטברת מול אשתקד'!A3,'מדיהו '!A:G,4,0)+VLOOKUP('תפוקה מצטברת מול אשתקד'!A3,'אנליסט '!A:G,4,0)+VLOOKUP('תפוקה מצטברת מול אשתקד'!A3,'מיטב דש'!A:G,4,0)+VLOOKUP('תפוקה מצטברת מול אשתקד'!A3,אינפניטי!A:G,4,0)</f>
        <v>6090018.6280065253</v>
      </c>
      <c r="I3" s="58">
        <f>VLOOKUP(A3,הכשרה!A:G,5,0)+VLOOKUP('תפוקה מצטברת מול אשתקד'!A3,מגדל!A:G,5,0)+VLOOKUP('תפוקה מצטברת מול אשתקד'!A3,מנורה!A:G,5,0)+VLOOKUP('תפוקה מצטברת מול אשתקד'!A3,איילון!A:G,5,0)+VLOOKUP('תפוקה מצטברת מול אשתקד'!A3,הראל!A:G,5,0)+VLOOKUP('תפוקה מצטברת מול אשתקד'!A3,הפניקס!A:G,5,0)+VLOOKUP('תפוקה מצטברת מול אשתקד'!A3,כלל!A:G,5,0)+VLOOKUP('תפוקה מצטברת מול אשתקד'!A3,מור!A:G,5,0)+VLOOKUP('תפוקה מצטברת מול אשתקד'!A3,'אלטשולר שחם'!A:G,5,0)+VLOOKUP('תפוקה מצטברת מול אשתקד'!A3,'מדיהו '!A:G,5,0)+VLOOKUP('תפוקה מצטברת מול אשתקד'!A3,'אנליסט '!A:G,5,0)+VLOOKUP('תפוקה מצטברת מול אשתקד'!A3,'מיטב דש'!A:G,5,0)+VLOOKUP('תפוקה מצטברת מול אשתקד'!A3,אינפניטי!A:G,5,0)</f>
        <v>210414.8658902208</v>
      </c>
      <c r="J3" s="58">
        <f>VLOOKUP(A3,הכשרה!A:G,6,0)+VLOOKUP('תפוקה מצטברת מול אשתקד'!A3,מגדל!A:G,6,0)+VLOOKUP('תפוקה מצטברת מול אשתקד'!A3,מנורה!A:G,6,0)+VLOOKUP('תפוקה מצטברת מול אשתקד'!A3,איילון!A:G,6,0)+VLOOKUP(A3,הראל!A:G,6,0)+VLOOKUP('תפוקה מצטברת מול אשתקד'!A3,הפניקס!A:G,6,0)+VLOOKUP('תפוקה מצטברת מול אשתקד'!A3,כלל!A:G,6,0)+VLOOKUP('תפוקה מצטברת מול אשתקד'!A3,מור!A:G,6,0)+VLOOKUP('תפוקה מצטברת מול אשתקד'!A3,'אלטשולר שחם'!A:G,6,0)+VLOOKUP('תפוקה מצטברת מול אשתקד'!A3,'מדיהו '!A:G,6,0)+VLOOKUP('תפוקה מצטברת מול אשתקד'!A3,'אנליסט '!A:G,6,0)+VLOOKUP('תפוקה מצטברת מול אשתקד'!A3,'מיטב דש'!A:G,6,0)+VLOOKUP('תפוקה מצטברת מול אשתקד'!A3,אינפניטי!A:G,6,0)</f>
        <v>13779077.572043478</v>
      </c>
      <c r="K3" s="58">
        <f>VLOOKUP(A3,הכשרה!A:G,7,0)+VLOOKUP('תפוקה מצטברת מול אשתקד'!A3,מגדל!A:G,7,0)+VLOOKUP('תפוקה מצטברת מול אשתקד'!A3,מנורה!A:G,7,0)+VLOOKUP('תפוקה מצטברת מול אשתקד'!A3,איילון!A:G,7,0)+VLOOKUP('תפוקה מצטברת מול אשתקד'!A3,הראל!A:G,7,0)+VLOOKUP('תפוקה מצטברת מול אשתקד'!A3,הפניקס!A:G,7,0)+VLOOKUP('תפוקה מצטברת מול אשתקד'!A3,כלל!A:G,7,0)+VLOOKUP('תפוקה מצטברת מול אשתקד'!A3,מור!A:G,7,0)+VLOOKUP('תפוקה מצטברת מול אשתקד'!A3,'אלטשולר שחם'!A:G,7,0)+VLOOKUP('תפוקה מצטברת מול אשתקד'!A3,'מדיהו '!A:K,7,0)+VLOOKUP(A3,'אנליסט '!A:G,7,0)+VLOOKUP('תפוקה מצטברת מול אשתקד'!A3,'מיטב דש'!A:G,7,0)+VLOOKUP('תפוקה מצטברת מול אשתקד'!A3,אינפניטי!A:G,7,0)</f>
        <v>40437312.18</v>
      </c>
      <c r="L3" s="12">
        <f>VLOOKUP(A3,הכשרה!A:K,8,0)+VLOOKUP('תפוקה מצטברת מול אשתקד'!A3,מגדל!A:K,8,0)+VLOOKUP('תפוקה מצטברת מול אשתקד'!A3,מנורה!A:K,8,0)+VLOOKUP('תפוקה מצטברת מול אשתקד'!A3,איילון!A:K,8,0)+VLOOKUP('תפוקה מצטברת מול אשתקד'!A3,הראל!A:K,8,0)+VLOOKUP('תפוקה מצטברת מול אשתקד'!A3,הפניקס!A:K,8,0)+VLOOKUP('תפוקה מצטברת מול אשתקד'!A3,כלל!A:K,8,0)+VLOOKUP('תפוקה מצטברת מול אשתקד'!A3,מור!A:K,8,0)+VLOOKUP('תפוקה מצטברת מול אשתקד'!A3,'אלטשולר שחם'!A:K,8,0)+VLOOKUP('תפוקה מצטברת מול אשתקד'!A3,'מדיהו '!A:K,8,0)+VLOOKUP('תפוקה מצטברת מול אשתקד'!A3,'אנליסט '!A:K,8,0)+VLOOKUP('תפוקה מצטברת מול אשתקד'!A3,'מיטב דש'!A:K,8,0)+VLOOKUP('תפוקה מצטברת מול אשתקד'!A3,אינפניטי!A:K,8,0)</f>
        <v>2695302.6369328448</v>
      </c>
      <c r="M3" s="12">
        <f>VLOOKUP(A3,הכשרה!A:K,9,0)+VLOOKUP('תפוקה מצטברת מול אשתקד'!A3,מגדל!A:K,9,0)+VLOOKUP('תפוקה מצטברת מול אשתקד'!A3,מנורה!A:K,9,0)+VLOOKUP('תפוקה מצטברת מול אשתקד'!A3,איילון!A:K,9,0)+VLOOKUP('תפוקה מצטברת מול אשתקד'!A3,הראל!A:K,9,0)+VLOOKUP('תפוקה מצטברת מול אשתקד'!A3,הפניקס!A:K,9,0)+VLOOKUP('תפוקה מצטברת מול אשתקד'!A3,כלל!A:K,9,0)+VLOOKUP('תפוקה מצטברת מול אשתקד'!A3,מור!A:K,9,0)+VLOOKUP('תפוקה מצטברת מול אשתקד'!A3,'אלטשולר שחם'!A:K,9,0)+VLOOKUP('תפוקה מצטברת מול אשתקד'!A3,'מדיהו '!A:K,9,0)+VLOOKUP('תפוקה מצטברת מול אשתקד'!A3,'אנליסט '!A:K,9,0)+VLOOKUP('תפוקה מצטברת מול אשתקד'!A3,'מיטב דש'!A:K,9,0)+VLOOKUP('תפוקה מצטברת מול אשתקד'!A3,אינפניטי!A:K,9,0)</f>
        <v>616799.31458210445</v>
      </c>
      <c r="N3" s="12">
        <f>VLOOKUP(A3,הכשרה!A:K,10,0)+VLOOKUP('תפוקה מצטברת מול אשתקד'!A3,מגדל!A:K,10,0)+VLOOKUP('תפוקה מצטברת מול אשתקד'!A3,מנורה!A:K,10,0)+VLOOKUP('תפוקה מצטברת מול אשתקד'!A3,איילון!A:K,10,0)+VLOOKUP('תפוקה מצטברת מול אשתקד'!A3,הראל!A:K,10,0)+VLOOKUP('תפוקה מצטברת מול אשתקד'!A3,הפניקס!A:K,10,0)+VLOOKUP('תפוקה מצטברת מול אשתקד'!A3,כלל!A:K,10,0)+VLOOKUP('תפוקה מצטברת מול אשתקד'!A3,מור!A:K,10,0)+VLOOKUP('תפוקה מצטברת מול אשתקד'!A3,'אלטשולר שחם'!A:K,10,0)+VLOOKUP('תפוקה מצטברת מול אשתקד'!A3,'מדיהו '!A:K,10,0)+VLOOKUP('תפוקה מצטברת מול אשתקד'!A3,'אנליסט '!A:K,10,0)+VLOOKUP('תפוקה מצטברת מול אשתקד'!A3,'מיטב דש'!A:K,10,0)+VLOOKUP('תפוקה מצטברת מול אשתקד'!A3,אינפניטי!A:K,10,0)</f>
        <v>9130627.0540525168</v>
      </c>
      <c r="O3" s="12">
        <f>VLOOKUP(A3,הכשרה!A:K,11,0)+VLOOKUP('תפוקה מצטברת מול אשתקד'!A3,מגדל!A:K,11,0)+VLOOKUP('תפוקה מצטברת מול אשתקד'!A3,מנורה!A:K,11,0)+VLOOKUP('תפוקה מצטברת מול אשתקד'!A3,איילון!A:K,11,0)+VLOOKUP('תפוקה מצטברת מול אשתקד'!A3,הראל!A:K,11,0)+VLOOKUP('תפוקה מצטברת מול אשתקד'!A3,הפניקס!A:K,11,0)+VLOOKUP('תפוקה מצטברת מול אשתקד'!A3,כלל!A:K,11,0)+VLOOKUP('תפוקה מצטברת מול אשתקד'!A3,מור!A:K,11,0)+VLOOKUP('תפוקה מצטברת מול אשתקד'!A3,'אלטשולר שחם'!A:K,11,0)+VLOOKUP('תפוקה מצטברת מול אשתקד'!A3,'מדיהו '!A:K,11,0)+VLOOKUP('תפוקה מצטברת מול אשתקד'!A3,'אנליסט '!A:K,11,0)+VLOOKUP('תפוקה מצטברת מול אשתקד'!A3,'מיטב דש'!A:K,11,0)+VLOOKUP('תפוקה מצטברת מול אשתקד'!A3,אינפניטי!A:K,11,0)</f>
        <v>19343436.661875997</v>
      </c>
      <c r="P3" s="89"/>
    </row>
    <row r="4" spans="1:16" ht="15.75" customHeight="1" x14ac:dyDescent="0.25">
      <c r="A4" s="26" t="s">
        <v>2</v>
      </c>
      <c r="B4" s="26" t="s">
        <v>108</v>
      </c>
      <c r="C4" s="26" t="s">
        <v>58</v>
      </c>
      <c r="D4" s="19">
        <f t="shared" ref="D4:F69" si="0">IF(H4=0,0%,IF(L4=0,100%,H4/L4-1))</f>
        <v>-0.44559604261996011</v>
      </c>
      <c r="E4" s="19">
        <f t="shared" ref="E4:E26" si="1">IF(I4=0,0%,IF(M4=0,100%,I4/M4-1))</f>
        <v>-0.19611441681945108</v>
      </c>
      <c r="F4" s="19">
        <f t="shared" ref="F4:F26" si="2">IF(J4=0,0%,IF(N4=0,100%,J4/N4-1))</f>
        <v>-0.69743613130534965</v>
      </c>
      <c r="G4" s="19">
        <f>IF(K4=0,0%,IF(O4=H30,100%,K4/O4-1))</f>
        <v>-0.80541437751393752</v>
      </c>
      <c r="H4" s="58">
        <f>VLOOKUP(A4,הכשרה!A:G,4,0)+VLOOKUP('תפוקה מצטברת מול אשתקד'!A4,מגדל!A:G,4,0)+VLOOKUP('תפוקה מצטברת מול אשתקד'!A4,מנורה!A:G,4,0)+VLOOKUP('תפוקה מצטברת מול אשתקד'!A4,איילון!A:G,4,0)+VLOOKUP('תפוקה מצטברת מול אשתקד'!A4,הראל!A:G,4,0)+VLOOKUP('תפוקה מצטברת מול אשתקד'!A4,הפניקס!A:G,4,0)+VLOOKUP('תפוקה מצטברת מול אשתקד'!A4,כלל!A:G,4,0)+VLOOKUP('תפוקה מצטברת מול אשתקד'!A4,מור!A:G,4,0)+VLOOKUP('תפוקה מצטברת מול אשתקד'!A4,'אלטשולר שחם'!A:G,4,0)+VLOOKUP('תפוקה מצטברת מול אשתקד'!A4,'מדיהו '!A:G,4,0)+VLOOKUP('תפוקה מצטברת מול אשתקד'!A4,'אנליסט '!A:G,4,0)+VLOOKUP('תפוקה מצטברת מול אשתקד'!A4,'מיטב דש'!A:G,4,0)+VLOOKUP('תפוקה מצטברת מול אשתקד'!A4,אינפניטי!A:G,4,0)</f>
        <v>390865.86694589799</v>
      </c>
      <c r="I4" s="58">
        <f>VLOOKUP(A4,הכשרה!A:G,5,0)+VLOOKUP('תפוקה מצטברת מול אשתקד'!A4,מגדל!A:G,5,0)+VLOOKUP('תפוקה מצטברת מול אשתקד'!A4,מנורה!A:G,5,0)+VLOOKUP('תפוקה מצטברת מול אשתקד'!A4,איילון!A:G,5,0)+VLOOKUP('תפוקה מצטברת מול אשתקד'!A4,הראל!A:G,5,0)+VLOOKUP('תפוקה מצטברת מול אשתקד'!A4,הפניקס!A:G,5,0)+VLOOKUP('תפוקה מצטברת מול אשתקד'!A4,כלל!A:G,5,0)+VLOOKUP('תפוקה מצטברת מול אשתקד'!A4,מור!A:G,5,0)+VLOOKUP('תפוקה מצטברת מול אשתקד'!A4,'אלטשולר שחם'!A:G,5,0)+VLOOKUP('תפוקה מצטברת מול אשתקד'!A4,'מדיהו '!A:G,5,0)+VLOOKUP('תפוקה מצטברת מול אשתקד'!A4,'אנליסט '!A:G,5,0)+VLOOKUP('תפוקה מצטברת מול אשתקד'!A4,'מיטב דש'!A:G,5,0)+VLOOKUP('תפוקה מצטברת מול אשתקד'!A4,אינפניטי!A:G,5,0)</f>
        <v>3936.1291768826632</v>
      </c>
      <c r="J4" s="58">
        <f>VLOOKUP(A4,הכשרה!A:G,6,0)+VLOOKUP('תפוקה מצטברת מול אשתקד'!A4,מגדל!A:G,6,0)+VLOOKUP('תפוקה מצטברת מול אשתקד'!A4,מנורה!A:G,6,0)+VLOOKUP('תפוקה מצטברת מול אשתקד'!A4,איילון!A:G,6,0)+VLOOKUP(A4,הראל!A:G,6,0)+VLOOKUP('תפוקה מצטברת מול אשתקד'!A4,הפניקס!A:G,6,0)+VLOOKUP('תפוקה מצטברת מול אשתקד'!A4,כלל!A:G,6,0)+VLOOKUP('תפוקה מצטברת מול אשתקד'!A4,מור!A:G,6,0)+VLOOKUP('תפוקה מצטברת מול אשתקד'!A4,'אלטשולר שחם'!A:G,6,0)+VLOOKUP('תפוקה מצטברת מול אשתקד'!A4,'מדיהו '!A:G,6,0)+VLOOKUP('תפוקה מצטברת מול אשתקד'!A4,'אנליסט '!A:G,6,0)+VLOOKUP('תפוקה מצטברת מול אשתקד'!A4,'מיטב דש'!A:G,6,0)+VLOOKUP('תפוקה מצטברת מול אשתקד'!A4,אינפניטי!A:G,6,0)</f>
        <v>2112017.1618563924</v>
      </c>
      <c r="K4" s="58">
        <f>VLOOKUP(A4,הכשרה!A:G,7,0)+VLOOKUP('תפוקה מצטברת מול אשתקד'!A4,מגדל!A:G,7,0)+VLOOKUP('תפוקה מצטברת מול אשתקד'!A4,מנורה!A:G,7,0)+VLOOKUP('תפוקה מצטברת מול אשתקד'!A4,איילון!A:G,7,0)+VLOOKUP('תפוקה מצטברת מול אשתקד'!A4,הראל!A:G,7,0)+VLOOKUP('תפוקה מצטברת מול אשתקד'!A4,הפניקס!A:G,7,0)+VLOOKUP('תפוקה מצטברת מול אשתקד'!A4,כלל!A:G,7,0)+VLOOKUP('תפוקה מצטברת מול אשתקד'!A4,מור!A:G,7,0)+VLOOKUP('תפוקה מצטברת מול אשתקד'!A4,'אלטשולר שחם'!A:G,7,0)+VLOOKUP('תפוקה מצטברת מול אשתקד'!A4,'מדיהו '!A:K,7,0)+VLOOKUP(A4,'אנליסט '!A:G,7,0)+VLOOKUP('תפוקה מצטברת מול אשתקד'!A4,'מיטב דש'!A:G,7,0)+VLOOKUP('תפוקה מצטברת מול אשתקד'!A4,אינפניטי!A:G,7,0)</f>
        <v>1223104.8799999999</v>
      </c>
      <c r="L4" s="12">
        <f>VLOOKUP(A4,הכשרה!A:K,8,0)+VLOOKUP('תפוקה מצטברת מול אשתקד'!A4,מגדל!A:K,8,0)+VLOOKUP('תפוקה מצטברת מול אשתקד'!A4,מנורה!A:K,8,0)+VLOOKUP('תפוקה מצטברת מול אשתקד'!A4,איילון!A:K,8,0)+VLOOKUP('תפוקה מצטברת מול אשתקד'!A4,הראל!A:K,8,0)+VLOOKUP('תפוקה מצטברת מול אשתקד'!A4,הפניקס!A:K,8,0)+VLOOKUP('תפוקה מצטברת מול אשתקד'!A4,כלל!A:K,8,0)+VLOOKUP('תפוקה מצטברת מול אשתקד'!A4,מור!A:K,8,0)+VLOOKUP('תפוקה מצטברת מול אשתקד'!A4,'אלטשולר שחם'!A:K,8,0)+VLOOKUP('תפוקה מצטברת מול אשתקד'!A4,'מדיהו '!A:K,8,0)+VLOOKUP('תפוקה מצטברת מול אשתקד'!A4,'אנליסט '!A:K,8,0)+VLOOKUP('תפוקה מצטברת מול אשתקד'!A4,'מיטב דש'!A:K,8,0)+VLOOKUP('תפוקה מצטברת מול אשתקד'!A4,אינפניטי!A:K,8,0)</f>
        <v>705019.98000342969</v>
      </c>
      <c r="M4" s="12">
        <f>VLOOKUP(A4,הכשרה!A:K,9,0)+VLOOKUP('תפוקה מצטברת מול אשתקד'!A4,מגדל!A:K,9,0)+VLOOKUP('תפוקה מצטברת מול אשתקד'!A4,מנורה!A:K,9,0)+VLOOKUP('תפוקה מצטברת מול אשתקד'!A4,איילון!A:K,9,0)+VLOOKUP('תפוקה מצטברת מול אשתקד'!A4,הראל!A:K,9,0)+VLOOKUP('תפוקה מצטברת מול אשתקד'!A4,הפניקס!A:K,9,0)+VLOOKUP('תפוקה מצטברת מול אשתקד'!A4,כלל!A:K,9,0)+VLOOKUP('תפוקה מצטברת מול אשתקד'!A4,מור!A:K,9,0)+VLOOKUP('תפוקה מצטברת מול אשתקד'!A4,'אלטשולר שחם'!A:K,9,0)+VLOOKUP('תפוקה מצטברת מול אשתקד'!A4,'מדיהו '!A:K,9,0)+VLOOKUP('תפוקה מצטברת מול אשתקד'!A4,'אנליסט '!A:K,9,0)+VLOOKUP('תפוקה מצטברת מול אשתקד'!A4,'מיטב דש'!A:K,9,0)+VLOOKUP('תפוקה מצטברת מול אשתקד'!A4,אינפניטי!A:K,9,0)</f>
        <v>4896.3798570805156</v>
      </c>
      <c r="N4" s="12">
        <f>VLOOKUP(A4,הכשרה!A:K,10,0)+VLOOKUP('תפוקה מצטברת מול אשתקד'!A4,מגדל!A:K,10,0)+VLOOKUP('תפוקה מצטברת מול אשתקד'!A4,מנורה!A:K,10,0)+VLOOKUP('תפוקה מצטברת מול אשתקד'!A4,איילון!A:K,10,0)+VLOOKUP('תפוקה מצטברת מול אשתקד'!A4,הראל!A:K,10,0)+VLOOKUP('תפוקה מצטברת מול אשתקד'!A4,הפניקס!A:K,10,0)+VLOOKUP('תפוקה מצטברת מול אשתקד'!A4,כלל!A:K,10,0)+VLOOKUP('תפוקה מצטברת מול אשתקד'!A4,מור!A:K,10,0)+VLOOKUP('תפוקה מצטברת מול אשתקד'!A4,'אלטשולר שחם'!A:K,10,0)+VLOOKUP('תפוקה מצטברת מול אשתקד'!A4,'מדיהו '!A:K,10,0)+VLOOKUP('תפוקה מצטברת מול אשתקד'!A4,'אנליסט '!A:K,10,0)+VLOOKUP('תפוקה מצטברת מול אשתקד'!A4,'מיטב דש'!A:K,10,0)+VLOOKUP('תפוקה מצטברת מול אשתקד'!A4,אינפניטי!A:K,10,0)</f>
        <v>6980401.0999999996</v>
      </c>
      <c r="O4" s="12">
        <f>VLOOKUP(A4,הכשרה!A:K,11,0)+VLOOKUP('תפוקה מצטברת מול אשתקד'!A4,מגדל!A:K,11,0)+VLOOKUP('תפוקה מצטברת מול אשתקד'!A4,מנורה!A:K,11,0)+VLOOKUP('תפוקה מצטברת מול אשתקד'!A4,איילון!A:K,11,0)+VLOOKUP('תפוקה מצטברת מול אשתקד'!A4,הראל!A:K,11,0)+VLOOKUP('תפוקה מצטברת מול אשתקד'!A4,הפניקס!A:K,11,0)+VLOOKUP('תפוקה מצטברת מול אשתקד'!A4,כלל!A:K,11,0)+VLOOKUP('תפוקה מצטברת מול אשתקד'!A4,מור!A:K,11,0)+VLOOKUP('תפוקה מצטברת מול אשתקד'!A4,'אלטשולר שחם'!A:K,11,0)+VLOOKUP('תפוקה מצטברת מול אשתקד'!A4,'מדיהו '!A:K,11,0)+VLOOKUP('תפוקה מצטברת מול אשתקד'!A4,'אנליסט '!A:K,11,0)+VLOOKUP('תפוקה מצטברת מול אשתקד'!A4,'מיטב דש'!A:K,11,0)+VLOOKUP('תפוקה מצטברת מול אשתקד'!A4,אינפניטי!A:K,11,0)</f>
        <v>6285689.8900000006</v>
      </c>
      <c r="P4" s="89"/>
    </row>
    <row r="5" spans="1:16" ht="15.75" customHeight="1" x14ac:dyDescent="0.25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1"/>
        <v>1</v>
      </c>
      <c r="F5" s="19">
        <f t="shared" si="2"/>
        <v>0</v>
      </c>
      <c r="G5" s="19">
        <f>IF(K5=0,0%,IF(O5=H31,100%,K5/O5-1))</f>
        <v>0</v>
      </c>
      <c r="H5" s="58">
        <f>VLOOKUP(A5,הכשרה!A:G,4,0)+VLOOKUP('תפוקה מצטברת מול אשתקד'!A5,מגדל!A:G,4,0)+VLOOKUP('תפוקה מצטברת מול אשתקד'!A5,מנורה!A:G,4,0)+VLOOKUP('תפוקה מצטברת מול אשתקד'!A5,איילון!A:G,4,0)+VLOOKUP('תפוקה מצטברת מול אשתקד'!A5,הראל!A:G,4,0)+VLOOKUP('תפוקה מצטברת מול אשתקד'!A5,הפניקס!A:G,4,0)+VLOOKUP('תפוקה מצטברת מול אשתקד'!A5,כלל!A:G,4,0)+VLOOKUP('תפוקה מצטברת מול אשתקד'!A5,מור!A:G,4,0)+VLOOKUP('תפוקה מצטברת מול אשתקד'!A5,'אלטשולר שחם'!A:G,4,0)+VLOOKUP('תפוקה מצטברת מול אשתקד'!A5,'מדיהו '!A:G,4,0)+VLOOKUP('תפוקה מצטברת מול אשתקד'!A5,'אנליסט '!A:G,4,0)+VLOOKUP('תפוקה מצטברת מול אשתקד'!A5,'מיטב דש'!A:G,4,0)+VLOOKUP('תפוקה מצטברת מול אשתקד'!A5,אינפניטי!A:G,4,0)</f>
        <v>0</v>
      </c>
      <c r="I5" s="58">
        <f>VLOOKUP(A5,הכשרה!A:G,5,0)+VLOOKUP('תפוקה מצטברת מול אשתקד'!A5,מגדל!A:G,5,0)+VLOOKUP('תפוקה מצטברת מול אשתקד'!A5,מנורה!A:G,5,0)+VLOOKUP('תפוקה מצטברת מול אשתקד'!A5,איילון!A:G,5,0)+VLOOKUP('תפוקה מצטברת מול אשתקד'!A5,הראל!A:G,5,0)+VLOOKUP('תפוקה מצטברת מול אשתקד'!A5,הפניקס!A:G,5,0)+VLOOKUP('תפוקה מצטברת מול אשתקד'!A5,כלל!A:G,5,0)+VLOOKUP('תפוקה מצטברת מול אשתקד'!A5,מור!A:G,5,0)+VLOOKUP('תפוקה מצטברת מול אשתקד'!A5,'אלטשולר שחם'!A:G,5,0)+VLOOKUP('תפוקה מצטברת מול אשתקד'!A5,'מדיהו '!A:G,5,0)+VLOOKUP('תפוקה מצטברת מול אשתקד'!A5,'אנליסט '!A:G,5,0)+VLOOKUP('תפוקה מצטברת מול אשתקד'!A5,'מיטב דש'!A:G,5,0)+VLOOKUP('תפוקה מצטברת מול אשתקד'!A5,אינפניטי!A:G,5,0)</f>
        <v>48382.235297640014</v>
      </c>
      <c r="J5" s="58">
        <f>VLOOKUP(A5,הכשרה!A:G,6,0)+VLOOKUP('תפוקה מצטברת מול אשתקד'!A5,מגדל!A:G,6,0)+VLOOKUP('תפוקה מצטברת מול אשתקד'!A5,מנורה!A:G,6,0)+VLOOKUP('תפוקה מצטברת מול אשתקד'!A5,איילון!A:G,6,0)+VLOOKUP(A5,הראל!A:G,6,0)+VLOOKUP('תפוקה מצטברת מול אשתקד'!A5,הפניקס!A:G,6,0)+VLOOKUP('תפוקה מצטברת מול אשתקד'!A5,כלל!A:G,6,0)+VLOOKUP('תפוקה מצטברת מול אשתקד'!A5,מור!A:G,6,0)+VLOOKUP('תפוקה מצטברת מול אשתקד'!A5,'אלטשולר שחם'!A:G,6,0)+VLOOKUP('תפוקה מצטברת מול אשתקד'!A5,'מדיהו '!A:G,6,0)+VLOOKUP('תפוקה מצטברת מול אשתקד'!A5,'אנליסט '!A:G,6,0)+VLOOKUP('תפוקה מצטברת מול אשתקד'!A5,'מיטב דש'!A:G,6,0)+VLOOKUP('תפוקה מצטברת מול אשתקד'!A5,אינפניטי!A:G,6,0)</f>
        <v>0</v>
      </c>
      <c r="K5" s="58">
        <f>VLOOKUP(A5,הכשרה!A:G,7,0)+VLOOKUP('תפוקה מצטברת מול אשתקד'!A5,מגדל!A:G,7,0)+VLOOKUP('תפוקה מצטברת מול אשתקד'!A5,מנורה!A:G,7,0)+VLOOKUP('תפוקה מצטברת מול אשתקד'!A5,איילון!A:G,7,0)+VLOOKUP('תפוקה מצטברת מול אשתקד'!A5,הראל!A:G,7,0)+VLOOKUP('תפוקה מצטברת מול אשתקד'!A5,הפניקס!A:G,7,0)+VLOOKUP('תפוקה מצטברת מול אשתקד'!A5,כלל!A:G,7,0)+VLOOKUP('תפוקה מצטברת מול אשתקד'!A5,מור!A:G,7,0)+VLOOKUP('תפוקה מצטברת מול אשתקד'!A5,'אלטשולר שחם'!A:G,7,0)+VLOOKUP('תפוקה מצטברת מול אשתקד'!A5,'מדיהו '!A:K,7,0)+VLOOKUP(A5,'אנליסט '!A:G,7,0)+VLOOKUP('תפוקה מצטברת מול אשתקד'!A5,'מיטב דש'!A:G,7,0)+VLOOKUP('תפוקה מצטברת מול אשתקד'!A5,אינפניטי!A:G,7,0)</f>
        <v>0</v>
      </c>
      <c r="L5" s="12">
        <f>VLOOKUP(A5,הכשרה!A:K,8,0)+VLOOKUP('תפוקה מצטברת מול אשתקד'!A5,מגדל!A:K,8,0)+VLOOKUP('תפוקה מצטברת מול אשתקד'!A5,מנורה!A:K,8,0)+VLOOKUP('תפוקה מצטברת מול אשתקד'!A5,איילון!A:K,8,0)+VLOOKUP('תפוקה מצטברת מול אשתקד'!A5,הראל!A:K,8,0)+VLOOKUP('תפוקה מצטברת מול אשתקד'!A5,הפניקס!A:K,8,0)+VLOOKUP('תפוקה מצטברת מול אשתקד'!A5,כלל!A:K,8,0)+VLOOKUP('תפוקה מצטברת מול אשתקד'!A5,מור!A:K,8,0)+VLOOKUP('תפוקה מצטברת מול אשתקד'!A5,'אלטשולר שחם'!A:K,8,0)+VLOOKUP('תפוקה מצטברת מול אשתקד'!A5,'מדיהו '!A:K,8,0)+VLOOKUP('תפוקה מצטברת מול אשתקד'!A5,'אנליסט '!A:K,8,0)+VLOOKUP('תפוקה מצטברת מול אשתקד'!A5,'מיטב דש'!A:K,8,0)+VLOOKUP('תפוקה מצטברת מול אשתקד'!A5,אינפניטי!A:K,8,0)</f>
        <v>0</v>
      </c>
      <c r="M5" s="12">
        <f>VLOOKUP(A5,הכשרה!A:K,9,0)+VLOOKUP('תפוקה מצטברת מול אשתקד'!A5,מגדל!A:K,9,0)+VLOOKUP('תפוקה מצטברת מול אשתקד'!A5,מנורה!A:K,9,0)+VLOOKUP('תפוקה מצטברת מול אשתקד'!A5,איילון!A:K,9,0)+VLOOKUP('תפוקה מצטברת מול אשתקד'!A5,הראל!A:K,9,0)+VLOOKUP('תפוקה מצטברת מול אשתקד'!A5,הפניקס!A:K,9,0)+VLOOKUP('תפוקה מצטברת מול אשתקד'!A5,כלל!A:K,9,0)+VLOOKUP('תפוקה מצטברת מול אשתקד'!A5,מור!A:K,9,0)+VLOOKUP('תפוקה מצטברת מול אשתקד'!A5,'אלטשולר שחם'!A:K,9,0)+VLOOKUP('תפוקה מצטברת מול אשתקד'!A5,'מדיהו '!A:K,9,0)+VLOOKUP('תפוקה מצטברת מול אשתקד'!A5,'אנליסט '!A:K,9,0)+VLOOKUP('תפוקה מצטברת מול אשתקד'!A5,'מיטב דש'!A:K,9,0)+VLOOKUP('תפוקה מצטברת מול אשתקד'!A5,אינפניטי!A:K,9,0)</f>
        <v>0</v>
      </c>
      <c r="N5" s="12">
        <f>VLOOKUP(A5,הכשרה!A:K,10,0)+VLOOKUP('תפוקה מצטברת מול אשתקד'!A5,מגדל!A:K,10,0)+VLOOKUP('תפוקה מצטברת מול אשתקד'!A5,מנורה!A:K,10,0)+VLOOKUP('תפוקה מצטברת מול אשתקד'!A5,איילון!A:K,10,0)+VLOOKUP('תפוקה מצטברת מול אשתקד'!A5,הראל!A:K,10,0)+VLOOKUP('תפוקה מצטברת מול אשתקד'!A5,הפניקס!A:K,10,0)+VLOOKUP('תפוקה מצטברת מול אשתקד'!A5,כלל!A:K,10,0)+VLOOKUP('תפוקה מצטברת מול אשתקד'!A5,מור!A:K,10,0)+VLOOKUP('תפוקה מצטברת מול אשתקד'!A5,'אלטשולר שחם'!A:K,10,0)+VLOOKUP('תפוקה מצטברת מול אשתקד'!A5,'מדיהו '!A:K,10,0)+VLOOKUP('תפוקה מצטברת מול אשתקד'!A5,'אנליסט '!A:K,10,0)+VLOOKUP('תפוקה מצטברת מול אשתקד'!A5,'מיטב דש'!A:K,10,0)+VLOOKUP('תפוקה מצטברת מול אשתקד'!A5,אינפניטי!A:K,10,0)</f>
        <v>0</v>
      </c>
      <c r="O5" s="12">
        <f>VLOOKUP(A5,הכשרה!A:K,11,0)+VLOOKUP('תפוקה מצטברת מול אשתקד'!A5,מגדל!A:K,11,0)+VLOOKUP('תפוקה מצטברת מול אשתקד'!A5,מנורה!A:K,11,0)+VLOOKUP('תפוקה מצטברת מול אשתקד'!A5,איילון!A:K,11,0)+VLOOKUP('תפוקה מצטברת מול אשתקד'!A5,הראל!A:K,11,0)+VLOOKUP('תפוקה מצטברת מול אשתקד'!A5,הפניקס!A:K,11,0)+VLOOKUP('תפוקה מצטברת מול אשתקד'!A5,כלל!A:K,11,0)+VLOOKUP('תפוקה מצטברת מול אשתקד'!A5,מור!A:K,11,0)+VLOOKUP('תפוקה מצטברת מול אשתקד'!A5,'אלטשולר שחם'!A:K,11,0)+VLOOKUP('תפוקה מצטברת מול אשתקד'!A5,'מדיהו '!A:K,11,0)+VLOOKUP('תפוקה מצטברת מול אשתקד'!A5,'אנליסט '!A:K,11,0)+VLOOKUP('תפוקה מצטברת מול אשתקד'!A5,'מיטב דש'!A:K,11,0)+VLOOKUP('תפוקה מצטברת מול אשתקד'!A5,אינפניטי!A:K,11,0)</f>
        <v>0</v>
      </c>
      <c r="P5" s="89"/>
    </row>
    <row r="6" spans="1:16" ht="15.75" customHeight="1" x14ac:dyDescent="0.25">
      <c r="A6" s="28" t="s">
        <v>105</v>
      </c>
      <c r="B6" s="26" t="s">
        <v>108</v>
      </c>
      <c r="C6" s="28" t="s">
        <v>58</v>
      </c>
      <c r="D6" s="101">
        <f t="shared" si="0"/>
        <v>1</v>
      </c>
      <c r="E6" s="101">
        <f t="shared" si="1"/>
        <v>1</v>
      </c>
      <c r="F6" s="101">
        <f t="shared" si="2"/>
        <v>1</v>
      </c>
      <c r="G6" s="19" t="e">
        <f>IF(K6=0,0%,IF(O6=H32,100%,K6/O6-1))</f>
        <v>#DIV/0!</v>
      </c>
      <c r="H6" s="58">
        <f>VLOOKUP(A6,הכשרה!A:G,4,0)+VLOOKUP('תפוקה מצטברת מול אשתקד'!A6,מגדל!A:G,4,0)+VLOOKUP('תפוקה מצטברת מול אשתקד'!A6,מנורה!A:G,4,0)+VLOOKUP('תפוקה מצטברת מול אשתקד'!A6,איילון!A:G,4,0)+VLOOKUP('תפוקה מצטברת מול אשתקד'!A6,הראל!A:G,4,0)+VLOOKUP('תפוקה מצטברת מול אשתקד'!A6,הפניקס!A:G,4,0)+VLOOKUP('תפוקה מצטברת מול אשתקד'!A6,כלל!A:G,4,0)+VLOOKUP('תפוקה מצטברת מול אשתקד'!A6,מור!A:G,4,0)+VLOOKUP('תפוקה מצטברת מול אשתקד'!A6,'אלטשולר שחם'!A:G,4,0)+VLOOKUP('תפוקה מצטברת מול אשתקד'!A6,'מדיהו '!A:G,4,0)+VLOOKUP('תפוקה מצטברת מול אשתקד'!A6,'אנליסט '!A:G,4,0)+VLOOKUP('תפוקה מצטברת מול אשתקד'!A6,'מיטב דש'!A:G,4,0)+VLOOKUP('תפוקה מצטברת מול אשתקד'!A6,אינפניטי!A:G,4,0)</f>
        <v>181293.87348988221</v>
      </c>
      <c r="I6" s="58">
        <f>VLOOKUP(A6,הכשרה!A:G,5,0)+VLOOKUP('תפוקה מצטברת מול אשתקד'!A6,מגדל!A:G,5,0)+VLOOKUP('תפוקה מצטברת מול אשתקד'!A6,מנורה!A:G,5,0)+VLOOKUP('תפוקה מצטברת מול אשתקד'!A6,איילון!A:G,5,0)+VLOOKUP('תפוקה מצטברת מול אשתקד'!A6,הראל!A:G,5,0)+VLOOKUP('תפוקה מצטברת מול אשתקד'!A6,הפניקס!A:G,5,0)+VLOOKUP('תפוקה מצטברת מול אשתקד'!A6,כלל!A:G,5,0)+VLOOKUP('תפוקה מצטברת מול אשתקד'!A6,מור!A:G,5,0)+VLOOKUP('תפוקה מצטברת מול אשתקד'!A6,'אלטשולר שחם'!A:G,5,0)+VLOOKUP('תפוקה מצטברת מול אשתקד'!A6,'מדיהו '!A:G,5,0)+VLOOKUP('תפוקה מצטברת מול אשתקד'!A6,'אנליסט '!A:G,5,0)+VLOOKUP('תפוקה מצטברת מול אשתקד'!A6,'מיטב דש'!A:G,5,0)+VLOOKUP('תפוקה מצטברת מול אשתקד'!A6,אינפניטי!A:G,5,0)</f>
        <v>39350.106103430844</v>
      </c>
      <c r="J6" s="58">
        <f>VLOOKUP(A6,הכשרה!A:G,6,0)+VLOOKUP('תפוקה מצטברת מול אשתקד'!A6,מגדל!A:G,6,0)+VLOOKUP('תפוקה מצטברת מול אשתקד'!A6,מנורה!A:G,6,0)+VLOOKUP('תפוקה מצטברת מול אשתקד'!A6,איילון!A:G,6,0)+VLOOKUP(A6,הראל!A:G,6,0)+VLOOKUP('תפוקה מצטברת מול אשתקד'!A6,הפניקס!A:G,6,0)+VLOOKUP('תפוקה מצטברת מול אשתקד'!A6,כלל!A:G,6,0)+VLOOKUP('תפוקה מצטברת מול אשתקד'!A6,מור!A:G,6,0)+VLOOKUP('תפוקה מצטברת מול אשתקד'!A6,'אלטשולר שחם'!A:G,6,0)+VLOOKUP('תפוקה מצטברת מול אשתקד'!A6,'מדיהו '!A:G,6,0)+VLOOKUP('תפוקה מצטברת מול אשתקד'!A6,'אנליסט '!A:G,6,0)+VLOOKUP('תפוקה מצטברת מול אשתקד'!A6,'מיטב דש'!A:G,6,0)+VLOOKUP('תפוקה מצטברת מול אשתקד'!A6,אינפניטי!A:G,6,0)</f>
        <v>501559</v>
      </c>
      <c r="K6" s="58">
        <f>VLOOKUP(A6,הכשרה!A:G,7,0)+VLOOKUP('תפוקה מצטברת מול אשתקד'!A6,מגדל!A:G,7,0)+VLOOKUP('תפוקה מצטברת מול אשתקד'!A6,מנורה!A:G,7,0)+VLOOKUP('תפוקה מצטברת מול אשתקד'!A6,איילון!A:G,7,0)+VLOOKUP('תפוקה מצטברת מול אשתקד'!A6,הראל!A:G,7,0)+VLOOKUP('תפוקה מצטברת מול אשתקד'!A6,הפניקס!A:G,7,0)+VLOOKUP('תפוקה מצטברת מול אשתקד'!A6,כלל!A:G,7,0)+VLOOKUP('תפוקה מצטברת מול אשתקד'!A6,מור!A:G,7,0)+VLOOKUP('תפוקה מצטברת מול אשתקד'!A6,'אלטשולר שחם'!A:G,7,0)+VLOOKUP('תפוקה מצטברת מול אשתקד'!A6,'מדיהו '!A:K,7,0)+VLOOKUP(A6,'אנליסט '!A:G,7,0)+VLOOKUP('תפוקה מצטברת מול אשתקד'!A6,'מיטב דש'!A:G,7,0)+VLOOKUP('תפוקה מצטברת מול אשתקד'!A6,אינפניטי!A:G,7,0)</f>
        <v>-11177.040000000037</v>
      </c>
      <c r="L6" s="12">
        <f>VLOOKUP(A6,הכשרה!A:K,8,0)+VLOOKUP('תפוקה מצטברת מול אשתקד'!A6,מגדל!A:K,8,0)+VLOOKUP('תפוקה מצטברת מול אשתקד'!A6,מנורה!A:K,8,0)+VLOOKUP('תפוקה מצטברת מול אשתקד'!A6,איילון!A:K,8,0)+VLOOKUP('תפוקה מצטברת מול אשתקד'!A6,הראל!A:K,8,0)+VLOOKUP('תפוקה מצטברת מול אשתקד'!A6,הפניקס!A:K,8,0)+VLOOKUP('תפוקה מצטברת מול אשתקד'!A6,כלל!A:K,8,0)+VLOOKUP('תפוקה מצטברת מול אשתקד'!A6,מור!A:K,8,0)+VLOOKUP('תפוקה מצטברת מול אשתקד'!A6,'אלטשולר שחם'!A:K,8,0)+VLOOKUP('תפוקה מצטברת מול אשתקד'!A6,'מדיהו '!A:K,8,0)+VLOOKUP('תפוקה מצטברת מול אשתקד'!A6,'אנליסט '!A:K,8,0)+VLOOKUP('תפוקה מצטברת מול אשתקד'!A6,'מיטב דש'!A:K,8,0)+VLOOKUP('תפוקה מצטברת מול אשתקד'!A6,אינפניטי!A:K,8,0)</f>
        <v>0</v>
      </c>
      <c r="M6" s="12">
        <f>VLOOKUP(A6,הכשרה!A:K,9,0)+VLOOKUP('תפוקה מצטברת מול אשתקד'!A6,מגדל!A:K,9,0)+VLOOKUP('תפוקה מצטברת מול אשתקד'!A6,מנורה!A:K,9,0)+VLOOKUP('תפוקה מצטברת מול אשתקד'!A6,איילון!A:K,9,0)+VLOOKUP('תפוקה מצטברת מול אשתקד'!A6,הראל!A:K,9,0)+VLOOKUP('תפוקה מצטברת מול אשתקד'!A6,הפניקס!A:K,9,0)+VLOOKUP('תפוקה מצטברת מול אשתקד'!A6,כלל!A:K,9,0)+VLOOKUP('תפוקה מצטברת מול אשתקד'!A6,מור!A:K,9,0)+VLOOKUP('תפוקה מצטברת מול אשתקד'!A6,'אלטשולר שחם'!A:K,9,0)+VLOOKUP('תפוקה מצטברת מול אשתקד'!A6,'מדיהו '!A:K,9,0)+VLOOKUP('תפוקה מצטברת מול אשתקד'!A6,'אנליסט '!A:K,9,0)+VLOOKUP('תפוקה מצטברת מול אשתקד'!A6,'מיטב דש'!A:K,9,0)+VLOOKUP('תפוקה מצטברת מול אשתקד'!A6,אינפניטי!A:K,9,0)</f>
        <v>0</v>
      </c>
      <c r="N6" s="12">
        <f>VLOOKUP(A6,הכשרה!A:K,10,0)+VLOOKUP('תפוקה מצטברת מול אשתקד'!A6,מגדל!A:K,10,0)+VLOOKUP('תפוקה מצטברת מול אשתקד'!A6,מנורה!A:K,10,0)+VLOOKUP('תפוקה מצטברת מול אשתקד'!A6,איילון!A:K,10,0)+VLOOKUP('תפוקה מצטברת מול אשתקד'!A6,הראל!A:K,10,0)+VLOOKUP('תפוקה מצטברת מול אשתקד'!A6,הפניקס!A:K,10,0)+VLOOKUP('תפוקה מצטברת מול אשתקד'!A6,כלל!A:K,10,0)+VLOOKUP('תפוקה מצטברת מול אשתקד'!A6,מור!A:K,10,0)+VLOOKUP('תפוקה מצטברת מול אשתקד'!A6,'אלטשולר שחם'!A:K,10,0)+VLOOKUP('תפוקה מצטברת מול אשתקד'!A6,'מדיהו '!A:K,10,0)+VLOOKUP('תפוקה מצטברת מול אשתקד'!A6,'אנליסט '!A:K,10,0)+VLOOKUP('תפוקה מצטברת מול אשתקד'!A6,'מיטב דש'!A:K,10,0)+VLOOKUP('תפוקה מצטברת מול אשתקד'!A6,אינפניטי!A:K,10,0)</f>
        <v>0</v>
      </c>
      <c r="O6" s="12">
        <f>VLOOKUP(A6,הכשרה!A:K,11,0)+VLOOKUP('תפוקה מצטברת מול אשתקד'!A6,מגדל!A:K,11,0)+VLOOKUP('תפוקה מצטברת מול אשתקד'!A6,מנורה!A:K,11,0)+VLOOKUP('תפוקה מצטברת מול אשתקד'!A6,איילון!A:K,11,0)+VLOOKUP('תפוקה מצטברת מול אשתקד'!A6,הראל!A:K,11,0)+VLOOKUP('תפוקה מצטברת מול אשתקד'!A6,הפניקס!A:K,11,0)+VLOOKUP('תפוקה מצטברת מול אשתקד'!A6,כלל!A:K,11,0)+VLOOKUP('תפוקה מצטברת מול אשתקד'!A6,מור!A:K,11,0)+VLOOKUP('תפוקה מצטברת מול אשתקד'!A6,'אלטשולר שחם'!A:K,11,0)+VLOOKUP('תפוקה מצטברת מול אשתקד'!A6,'מדיהו '!A:K,11,0)+VLOOKUP('תפוקה מצטברת מול אשתקד'!A6,'אנליסט '!A:K,11,0)+VLOOKUP('תפוקה מצטברת מול אשתקד'!A6,'מיטב דש'!A:K,11,0)+VLOOKUP('תפוקה מצטברת מול אשתקד'!A6,אינפניטי!A:K,11,0)</f>
        <v>0</v>
      </c>
      <c r="P6" s="89"/>
    </row>
    <row r="7" spans="1:16" ht="15.75" customHeight="1" thickBot="1" x14ac:dyDescent="0.3">
      <c r="A7" s="26" t="s">
        <v>34</v>
      </c>
      <c r="B7" s="26" t="s">
        <v>108</v>
      </c>
      <c r="C7" s="27" t="s">
        <v>58</v>
      </c>
      <c r="D7" s="19">
        <f>IF(H7=0,0%,IF(L7=0,100%,H7/L7-1))</f>
        <v>-0.51040660018570083</v>
      </c>
      <c r="E7" s="19">
        <f>IF(I7=0,0%,IF(M7=0,100%,I7/M7-1))</f>
        <v>1</v>
      </c>
      <c r="F7" s="19">
        <f>IF(J7=0,0%,IF(N7=0,100%,J7/N7-1))</f>
        <v>-0.11403579871664971</v>
      </c>
      <c r="G7" s="19">
        <f>IF(K7=0,0%,IF(O7=H74,100%,K7/O7-1))</f>
        <v>-0.4962877541801205</v>
      </c>
      <c r="H7" s="58">
        <f>VLOOKUP(A7,הכשרה!A:G,4,0)+VLOOKUP('תפוקה מצטברת מול אשתקד'!A7,מגדל!A:G,4,0)+VLOOKUP('תפוקה מצטברת מול אשתקד'!A7,מנורה!A:G,4,0)+VLOOKUP('תפוקה מצטברת מול אשתקד'!A7,איילון!A:G,4,0)+VLOOKUP('תפוקה מצטברת מול אשתקד'!A7,הראל!A:G,4,0)+VLOOKUP('תפוקה מצטברת מול אשתקד'!A7,הפניקס!A:G,4,0)+VLOOKUP('תפוקה מצטברת מול אשתקד'!A7,כלל!A:G,4,0)+VLOOKUP('תפוקה מצטברת מול אשתקד'!A7,מור!A:G,4,0)+VLOOKUP('תפוקה מצטברת מול אשתקד'!A7,'אלטשולר שחם'!A:G,4,0)+VLOOKUP('תפוקה מצטברת מול אשתקד'!A7,'מדיהו '!A:G,4,0)+VLOOKUP('תפוקה מצטברת מול אשתקד'!A7,'אנליסט '!A:G,4,0)+VLOOKUP('תפוקה מצטברת מול אשתקד'!A7,'מיטב דש'!A:G,4,0)+VLOOKUP('תפוקה מצטברת מול אשתקד'!A7,אינפניטי!A:G,4,0)</f>
        <v>19388.54</v>
      </c>
      <c r="I7" s="58">
        <f>VLOOKUP(A7,הכשרה!A:G,5,0)+VLOOKUP('תפוקה מצטברת מול אשתקד'!A7,מגדל!A:G,5,0)+VLOOKUP('תפוקה מצטברת מול אשתקד'!A7,מנורה!A:G,5,0)+VLOOKUP('תפוקה מצטברת מול אשתקד'!A7,איילון!A:G,5,0)+VLOOKUP('תפוקה מצטברת מול אשתקד'!A7,הראל!A:G,5,0)+VLOOKUP('תפוקה מצטברת מול אשתקד'!A7,הפניקס!A:G,5,0)+VLOOKUP('תפוקה מצטברת מול אשתקד'!A7,כלל!A:G,5,0)+VLOOKUP('תפוקה מצטברת מול אשתקד'!A7,מור!A:G,5,0)+VLOOKUP('תפוקה מצטברת מול אשתקד'!A7,'אלטשולר שחם'!A:G,5,0)+VLOOKUP('תפוקה מצטברת מול אשתקד'!A7,'מדיהו '!A:G,5,0)+VLOOKUP('תפוקה מצטברת מול אשתקד'!A7,'אנליסט '!A:G,5,0)+VLOOKUP('תפוקה מצטברת מול אשתקד'!A7,'מיטב דש'!A:G,5,0)+VLOOKUP('תפוקה מצטברת מול אשתקד'!A7,אינפניטי!A:G,5,0)</f>
        <v>1254.24</v>
      </c>
      <c r="J7" s="58">
        <f>VLOOKUP(A7,הכשרה!A:G,6,0)+VLOOKUP('תפוקה מצטברת מול אשתקד'!A7,מגדל!A:G,6,0)+VLOOKUP('תפוקה מצטברת מול אשתקד'!A7,מנורה!A:G,6,0)+VLOOKUP('תפוקה מצטברת מול אשתקד'!A7,איילון!A:G,6,0)+VLOOKUP(A7,הראל!A:G,6,0)+VLOOKUP('תפוקה מצטברת מול אשתקד'!A7,הפניקס!A:G,6,0)+VLOOKUP('תפוקה מצטברת מול אשתקד'!A7,כלל!A:G,6,0)+VLOOKUP('תפוקה מצטברת מול אשתקד'!A7,מור!A:G,6,0)+VLOOKUP('תפוקה מצטברת מול אשתקד'!A7,'אלטשולר שחם'!A:G,6,0)+VLOOKUP('תפוקה מצטברת מול אשתקד'!A7,'מדיהו '!A:G,6,0)+VLOOKUP('תפוקה מצטברת מול אשתקד'!A7,'אנליסט '!A:G,6,0)+VLOOKUP('תפוקה מצטברת מול אשתקד'!A7,'מיטב דש'!A:G,6,0)+VLOOKUP('תפוקה מצטברת מול אשתקד'!A7,אינפניטי!A:G,6,0)</f>
        <v>9181.69</v>
      </c>
      <c r="K7" s="58">
        <f>VLOOKUP(A7,הכשרה!A:G,7,0)+VLOOKUP('תפוקה מצטברת מול אשתקד'!A7,מגדל!A:G,7,0)+VLOOKUP('תפוקה מצטברת מול אשתקד'!A7,מנורה!A:G,7,0)+VLOOKUP('תפוקה מצטברת מול אשתקד'!A7,איילון!A:G,7,0)+VLOOKUP('תפוקה מצטברת מול אשתקד'!A7,הראל!A:G,7,0)+VLOOKUP('תפוקה מצטברת מול אשתקד'!A7,הפניקס!A:G,7,0)+VLOOKUP('תפוקה מצטברת מול אשתקד'!A7,כלל!A:G,7,0)+VLOOKUP('תפוקה מצטברת מול אשתקד'!A7,מור!A:G,7,0)+VLOOKUP('תפוקה מצטברת מול אשתקד'!A7,'אלטשולר שחם'!A:G,7,0)+VLOOKUP('תפוקה מצטברת מול אשתקד'!A7,'מדיהו '!A:K,7,0)+VLOOKUP(A7,'אנליסט '!A:G,7,0)+VLOOKUP('תפוקה מצטברת מול אשתקד'!A7,'מיטב דש'!A:G,7,0)+VLOOKUP('תפוקה מצטברת מול אשתקד'!A7,אינפניטי!A:G,7,0)</f>
        <v>53154.27</v>
      </c>
      <c r="L7" s="12">
        <f>VLOOKUP(A7,הכשרה!A:K,8,0)+VLOOKUP('תפוקה מצטברת מול אשתקד'!A7,מגדל!A:K,8,0)+VLOOKUP('תפוקה מצטברת מול אשתקד'!A7,מנורה!A:K,8,0)+VLOOKUP('תפוקה מצטברת מול אשתקד'!A7,איילון!A:K,8,0)+VLOOKUP('תפוקה מצטברת מול אשתקד'!A7,הראל!A:K,8,0)+VLOOKUP('תפוקה מצטברת מול אשתקד'!A7,הפניקס!A:K,8,0)+VLOOKUP('תפוקה מצטברת מול אשתקד'!A7,כלל!A:K,8,0)+VLOOKUP('תפוקה מצטברת מול אשתקד'!A7,מור!A:K,8,0)+VLOOKUP('תפוקה מצטברת מול אשתקד'!A7,'אלטשולר שחם'!A:K,8,0)+VLOOKUP('תפוקה מצטברת מול אשתקד'!A7,'מדיהו '!A:K,8,0)+VLOOKUP('תפוקה מצטברת מול אשתקד'!A7,'אנליסט '!A:K,8,0)+VLOOKUP('תפוקה מצטברת מול אשתקד'!A7,'מיטב דש'!A:K,8,0)+VLOOKUP('תפוקה מצטברת מול אשתקד'!A7,אינפניטי!A:K,8,0)</f>
        <v>39601.31</v>
      </c>
      <c r="M7" s="12">
        <f>VLOOKUP(A7,הכשרה!A:K,9,0)+VLOOKUP('תפוקה מצטברת מול אשתקד'!A7,מגדל!A:K,9,0)+VLOOKUP('תפוקה מצטברת מול אשתקד'!A7,מנורה!A:K,9,0)+VLOOKUP('תפוקה מצטברת מול אשתקד'!A7,איילון!A:K,9,0)+VLOOKUP('תפוקה מצטברת מול אשתקד'!A7,הראל!A:K,9,0)+VLOOKUP('תפוקה מצטברת מול אשתקד'!A7,הפניקס!A:K,9,0)+VLOOKUP('תפוקה מצטברת מול אשתקד'!A7,כלל!A:K,9,0)+VLOOKUP('תפוקה מצטברת מול אשתקד'!A7,מור!A:K,9,0)+VLOOKUP('תפוקה מצטברת מול אשתקד'!A7,'אלטשולר שחם'!A:K,9,0)+VLOOKUP('תפוקה מצטברת מול אשתקד'!A7,'מדיהו '!A:K,9,0)+VLOOKUP('תפוקה מצטברת מול אשתקד'!A7,'אנליסט '!A:K,9,0)+VLOOKUP('תפוקה מצטברת מול אשתקד'!A7,'מיטב דש'!A:K,9,0)+VLOOKUP('תפוקה מצטברת מול אשתקד'!A7,אינפניטי!A:K,9,0)</f>
        <v>0</v>
      </c>
      <c r="N7" s="12">
        <f>VLOOKUP(A7,הכשרה!A:K,10,0)+VLOOKUP('תפוקה מצטברת מול אשתקד'!A7,מגדל!A:K,10,0)+VLOOKUP('תפוקה מצטברת מול אשתקד'!A7,מנורה!A:K,10,0)+VLOOKUP('תפוקה מצטברת מול אשתקד'!A7,איילון!A:K,10,0)+VLOOKUP('תפוקה מצטברת מול אשתקד'!A7,הראל!A:K,10,0)+VLOOKUP('תפוקה מצטברת מול אשתקד'!A7,הפניקס!A:K,10,0)+VLOOKUP('תפוקה מצטברת מול אשתקד'!A7,כלל!A:K,10,0)+VLOOKUP('תפוקה מצטברת מול אשתקד'!A7,מור!A:K,10,0)+VLOOKUP('תפוקה מצטברת מול אשתקד'!A7,'אלטשולר שחם'!A:K,10,0)+VLOOKUP('תפוקה מצטברת מול אשתקד'!A7,'מדיהו '!A:K,10,0)+VLOOKUP('תפוקה מצטברת מול אשתקד'!A7,'אנליסט '!A:K,10,0)+VLOOKUP('תפוקה מצטברת מול אשתקד'!A7,'מיטב דש'!A:K,10,0)+VLOOKUP('תפוקה מצטברת מול אשתקד'!A7,אינפניטי!A:K,10,0)</f>
        <v>10363.5</v>
      </c>
      <c r="O7" s="12">
        <f>VLOOKUP(A7,הכשרה!A:K,11,0)+VLOOKUP('תפוקה מצטברת מול אשתקד'!A7,מגדל!A:K,11,0)+VLOOKUP('תפוקה מצטברת מול אשתקד'!A7,מנורה!A:K,11,0)+VLOOKUP('תפוקה מצטברת מול אשתקד'!A7,איילון!A:K,11,0)+VLOOKUP('תפוקה מצטברת מול אשתקד'!A7,הראל!A:K,11,0)+VLOOKUP('תפוקה מצטברת מול אשתקד'!A7,הפניקס!A:K,11,0)+VLOOKUP('תפוקה מצטברת מול אשתקד'!A7,כלל!A:K,11,0)+VLOOKUP('תפוקה מצטברת מול אשתקד'!A7,מור!A:K,11,0)+VLOOKUP('תפוקה מצטברת מול אשתקד'!A7,'אלטשולר שחם'!A:K,11,0)+VLOOKUP('תפוקה מצטברת מול אשתקד'!A7,'מדיהו '!A:K,11,0)+VLOOKUP('תפוקה מצטברת מול אשתקד'!A7,'אנליסט '!A:K,11,0)+VLOOKUP('תפוקה מצטברת מול אשתקד'!A7,'מיטב דש'!A:K,11,0)+VLOOKUP('תפוקה מצטברת מול אשתקד'!A7,אינפניטי!A:K,11,0)</f>
        <v>105525.07</v>
      </c>
    </row>
    <row r="8" spans="1:16" ht="26.4" customHeight="1" thickBot="1" x14ac:dyDescent="0.3">
      <c r="A8" s="122" t="s">
        <v>3</v>
      </c>
      <c r="B8" s="121"/>
      <c r="C8" s="121"/>
      <c r="D8" s="126">
        <f t="shared" si="0"/>
        <v>0.94235891559182239</v>
      </c>
      <c r="E8" s="126">
        <f t="shared" si="1"/>
        <v>-0.51208030040837416</v>
      </c>
      <c r="F8" s="126">
        <f t="shared" si="2"/>
        <v>1.7395754402930619E-2</v>
      </c>
      <c r="G8" s="19">
        <f>IF(K8=0,0%,IF(O8=H75,100%,K8/O8-1))</f>
        <v>0.62047634849466826</v>
      </c>
      <c r="H8" s="124">
        <f>SUM(H3:H7)</f>
        <v>6681566.9084423054</v>
      </c>
      <c r="I8" s="124">
        <f t="shared" ref="I8:O8" si="3">SUM(I3:I7)</f>
        <v>303337.57646817435</v>
      </c>
      <c r="J8" s="124">
        <f t="shared" si="3"/>
        <v>16401835.42389987</v>
      </c>
      <c r="K8" s="124">
        <f t="shared" si="3"/>
        <v>41702394.290000007</v>
      </c>
      <c r="L8" s="124">
        <f t="shared" si="3"/>
        <v>3439923.9269362744</v>
      </c>
      <c r="M8" s="124">
        <f t="shared" si="3"/>
        <v>621695.69443918497</v>
      </c>
      <c r="N8" s="124">
        <f t="shared" si="3"/>
        <v>16121391.654052516</v>
      </c>
      <c r="O8" s="124">
        <f t="shared" si="3"/>
        <v>25734651.621875998</v>
      </c>
    </row>
    <row r="9" spans="1:16" ht="15.75" customHeight="1" x14ac:dyDescent="0.25">
      <c r="A9" s="27" t="s">
        <v>4</v>
      </c>
      <c r="B9" s="26" t="s">
        <v>108</v>
      </c>
      <c r="C9" s="27" t="s">
        <v>106</v>
      </c>
      <c r="D9" s="103">
        <f t="shared" si="0"/>
        <v>15.662418660352142</v>
      </c>
      <c r="E9" s="103">
        <f t="shared" si="1"/>
        <v>6.7357731618859216</v>
      </c>
      <c r="F9" s="103">
        <f t="shared" si="2"/>
        <v>0</v>
      </c>
      <c r="G9" s="103">
        <f t="shared" ref="G9:G20" si="4">IF(K9=0,0%,IF(O9=H33,100%,K9/O9-1))</f>
        <v>-0.66214523247898738</v>
      </c>
      <c r="H9" s="58">
        <f>VLOOKUP(A9,הכשרה!A:G,4,0)+VLOOKUP('תפוקה מצטברת מול אשתקד'!A9,מגדל!A:G,4,0)+VLOOKUP('תפוקה מצטברת מול אשתקד'!A9,מנורה!A:G,4,0)+VLOOKUP('תפוקה מצטברת מול אשתקד'!A9,איילון!A:G,4,0)+VLOOKUP('תפוקה מצטברת מול אשתקד'!A9,הראל!A:G,4,0)+VLOOKUP('תפוקה מצטברת מול אשתקד'!A9,הפניקס!A:G,4,0)+VLOOKUP('תפוקה מצטברת מול אשתקד'!A9,כלל!A:G,4,0)+VLOOKUP('תפוקה מצטברת מול אשתקד'!A9,מור!A:G,4,0)+VLOOKUP('תפוקה מצטברת מול אשתקד'!A9,'אלטשולר שחם'!A:G,4,0)+VLOOKUP('תפוקה מצטברת מול אשתקד'!A9,'מדיהו '!A:G,4,0)+VLOOKUP('תפוקה מצטברת מול אשתקד'!A9,'אנליסט '!A:G,4,0)+VLOOKUP('תפוקה מצטברת מול אשתקד'!A9,'מיטב דש'!A:G,4,0)+VLOOKUP('תפוקה מצטברת מול אשתקד'!A9,אינפניטי!A:G,4,0)</f>
        <v>42413.789712023361</v>
      </c>
      <c r="I9" s="58">
        <f>VLOOKUP(A9,הכשרה!A:G,5,0)+VLOOKUP('תפוקה מצטברת מול אשתקד'!A9,מגדל!A:G,5,0)+VLOOKUP('תפוקה מצטברת מול אשתקד'!A9,מנורה!A:G,5,0)+VLOOKUP('תפוקה מצטברת מול אשתקד'!A9,איילון!A:G,5,0)+VLOOKUP('תפוקה מצטברת מול אשתקד'!A9,הראל!A:G,5,0)+VLOOKUP('תפוקה מצטברת מול אשתקד'!A9,הפניקס!A:G,5,0)+VLOOKUP('תפוקה מצטברת מול אשתקד'!A9,כלל!A:G,5,0)+VLOOKUP('תפוקה מצטברת מול אשתקד'!A9,מור!A:G,5,0)+VLOOKUP('תפוקה מצטברת מול אשתקד'!A9,'אלטשולר שחם'!A:G,5,0)+VLOOKUP('תפוקה מצטברת מול אשתקד'!A9,'מדיהו '!A:G,5,0)+VLOOKUP('תפוקה מצטברת מול אשתקד'!A9,'אנליסט '!A:G,5,0)+VLOOKUP('תפוקה מצטברת מול אשתקד'!A9,'מיטב דש'!A:G,5,0)+VLOOKUP('תפוקה מצטברת מול אשתקד'!A9,אינפניטי!A:G,5,0)</f>
        <v>1173.1300000000001</v>
      </c>
      <c r="J9" s="58">
        <f>VLOOKUP(A9,הכשרה!A:G,6,0)+VLOOKUP('תפוקה מצטברת מול אשתקד'!A9,מגדל!A:G,6,0)+VLOOKUP('תפוקה מצטברת מול אשתקד'!A9,מנורה!A:G,6,0)+VLOOKUP('תפוקה מצטברת מול אשתקד'!A9,איילון!A:G,6,0)+VLOOKUP(A9,הראל!A:G,6,0)+VLOOKUP('תפוקה מצטברת מול אשתקד'!A9,הפניקס!A:G,6,0)+VLOOKUP('תפוקה מצטברת מול אשתקד'!A9,כלל!A:G,6,0)+VLOOKUP('תפוקה מצטברת מול אשתקד'!A9,מור!A:G,6,0)+VLOOKUP('תפוקה מצטברת מול אשתקד'!A9,'אלטשולר שחם'!A:G,6,0)+VLOOKUP('תפוקה מצטברת מול אשתקד'!A9,'מדיהו '!A:G,6,0)+VLOOKUP('תפוקה מצטברת מול אשתקד'!A9,'אנליסט '!A:G,6,0)+VLOOKUP('תפוקה מצטברת מול אשתקד'!A9,'מיטב דש'!A:G,6,0)+VLOOKUP('תפוקה מצטברת מול אשתקד'!A9,אינפניטי!A:G,6,0)</f>
        <v>0</v>
      </c>
      <c r="K9" s="58">
        <f>VLOOKUP(A9,הכשרה!A:G,7,0)+VLOOKUP('תפוקה מצטברת מול אשתקד'!A9,מגדל!A:G,7,0)+VLOOKUP('תפוקה מצטברת מול אשתקד'!A9,מנורה!A:G,7,0)+VLOOKUP('תפוקה מצטברת מול אשתקד'!A9,איילון!A:G,7,0)+VLOOKUP('תפוקה מצטברת מול אשתקד'!A9,הראל!A:G,7,0)+VLOOKUP('תפוקה מצטברת מול אשתקד'!A9,הפניקס!A:G,7,0)+VLOOKUP('תפוקה מצטברת מול אשתקד'!A9,כלל!A:G,7,0)+VLOOKUP('תפוקה מצטברת מול אשתקד'!A9,מור!A:G,7,0)+VLOOKUP('תפוקה מצטברת מול אשתקד'!A9,'אלטשולר שחם'!A:G,7,0)+VLOOKUP('תפוקה מצטברת מול אשתקד'!A9,'מדיהו '!A:K,7,0)+VLOOKUP(A9,'אנליסט '!A:G,7,0)+VLOOKUP('תפוקה מצטברת מול אשתקד'!A9,'מיטב דש'!A:G,7,0)+VLOOKUP('תפוקה מצטברת מול אשתקד'!A9,אינפניטי!A:G,7,0)</f>
        <v>-220528.51</v>
      </c>
      <c r="L9" s="12">
        <f>VLOOKUP(A9,הכשרה!A:K,8,0)+VLOOKUP('תפוקה מצטברת מול אשתקד'!A9,מגדל!A:K,8,0)+VLOOKUP('תפוקה מצטברת מול אשתקד'!A9,מנורה!A:K,8,0)+VLOOKUP('תפוקה מצטברת מול אשתקד'!A9,איילון!A:K,8,0)+VLOOKUP('תפוקה מצטברת מול אשתקד'!A9,הראל!A:K,8,0)+VLOOKUP('תפוקה מצטברת מול אשתקד'!A9,הפניקס!A:K,8,0)+VLOOKUP('תפוקה מצטברת מול אשתקד'!A9,כלל!A:K,8,0)+VLOOKUP('תפוקה מצטברת מול אשתקד'!A9,מור!A:K,8,0)+VLOOKUP('תפוקה מצטברת מול אשתקד'!A9,'אלטשולר שחם'!A:K,8,0)+VLOOKUP('תפוקה מצטברת מול אשתקד'!A9,'מדיהו '!A:K,8,0)+VLOOKUP('תפוקה מצטברת מול אשתקד'!A9,'אנליסט '!A:K,8,0)+VLOOKUP('תפוקה מצטברת מול אשתקד'!A9,'מיטב דש'!A:K,8,0)+VLOOKUP('תפוקה מצטברת מול אשתקד'!A9,אינפניטי!A:K,8,0)</f>
        <v>2545.4761746532058</v>
      </c>
      <c r="M9" s="12">
        <f>VLOOKUP(A9,הכשרה!A:K,9,0)+VLOOKUP('תפוקה מצטברת מול אשתקד'!A9,מגדל!A:K,9,0)+VLOOKUP('תפוקה מצטברת מול אשתקד'!A9,מנורה!A:K,9,0)+VLOOKUP('תפוקה מצטברת מול אשתקד'!A9,איילון!A:K,9,0)+VLOOKUP('תפוקה מצטברת מול אשתקד'!A9,הראל!A:K,9,0)+VLOOKUP('תפוקה מצטברת מול אשתקד'!A9,הפניקס!A:K,9,0)+VLOOKUP('תפוקה מצטברת מול אשתקד'!A9,כלל!A:K,9,0)+VLOOKUP('תפוקה מצטברת מול אשתקד'!A9,מור!A:K,9,0)+VLOOKUP('תפוקה מצטברת מול אשתקד'!A9,'אלטשולר שחם'!A:K,9,0)+VLOOKUP('תפוקה מצטברת מול אשתקד'!A9,'מדיהו '!A:K,9,0)+VLOOKUP('תפוקה מצטברת מול אשתקד'!A9,'אנליסט '!A:K,9,0)+VLOOKUP('תפוקה מצטברת מול אשתקד'!A9,'מיטב דש'!A:K,9,0)+VLOOKUP('תפוקה מצטברת מול אשתקד'!A9,אינפניטי!A:K,9,0)</f>
        <v>151.65</v>
      </c>
      <c r="N9" s="12">
        <f>VLOOKUP(A9,הכשרה!A:K,10,0)+VLOOKUP('תפוקה מצטברת מול אשתקד'!A9,מגדל!A:K,10,0)+VLOOKUP('תפוקה מצטברת מול אשתקד'!A9,מנורה!A:K,10,0)+VLOOKUP('תפוקה מצטברת מול אשתקד'!A9,איילון!A:K,10,0)+VLOOKUP('תפוקה מצטברת מול אשתקד'!A9,הראל!A:K,10,0)+VLOOKUP('תפוקה מצטברת מול אשתקד'!A9,הפניקס!A:K,10,0)+VLOOKUP('תפוקה מצטברת מול אשתקד'!A9,כלל!A:K,10,0)+VLOOKUP('תפוקה מצטברת מול אשתקד'!A9,מור!A:K,10,0)+VLOOKUP('תפוקה מצטברת מול אשתקד'!A9,'אלטשולר שחם'!A:K,10,0)+VLOOKUP('תפוקה מצטברת מול אשתקד'!A9,'מדיהו '!A:K,10,0)+VLOOKUP('תפוקה מצטברת מול אשתקד'!A9,'אנליסט '!A:K,10,0)+VLOOKUP('תפוקה מצטברת מול אשתקד'!A9,'מיטב דש'!A:K,10,0)+VLOOKUP('תפוקה מצטברת מול אשתקד'!A9,אינפניטי!A:K,10,0)</f>
        <v>0</v>
      </c>
      <c r="O9" s="12">
        <f>VLOOKUP(A9,הכשרה!A:K,11,0)+VLOOKUP('תפוקה מצטברת מול אשתקד'!A9,מגדל!A:K,11,0)+VLOOKUP('תפוקה מצטברת מול אשתקד'!A9,מנורה!A:K,11,0)+VLOOKUP('תפוקה מצטברת מול אשתקד'!A9,איילון!A:K,11,0)+VLOOKUP('תפוקה מצטברת מול אשתקד'!A9,הראל!A:K,11,0)+VLOOKUP('תפוקה מצטברת מול אשתקד'!A9,הפניקס!A:K,11,0)+VLOOKUP('תפוקה מצטברת מול אשתקד'!A9,כלל!A:K,11,0)+VLOOKUP('תפוקה מצטברת מול אשתקד'!A9,מור!A:K,11,0)+VLOOKUP('תפוקה מצטברת מול אשתקד'!A9,'אלטשולר שחם'!A:K,11,0)+VLOOKUP('תפוקה מצטברת מול אשתקד'!A9,'מדיהו '!A:K,11,0)+VLOOKUP('תפוקה מצטברת מול אשתקד'!A9,'אנליסט '!A:K,11,0)+VLOOKUP('תפוקה מצטברת מול אשתקד'!A9,'מיטב דש'!A:K,11,0)+VLOOKUP('תפוקה מצטברת מול אשתקד'!A9,אינפניטי!A:K,11,0)</f>
        <v>-652731.68000000005</v>
      </c>
    </row>
    <row r="10" spans="1:16" ht="15.75" customHeight="1" x14ac:dyDescent="0.25">
      <c r="A10" s="26" t="s">
        <v>5</v>
      </c>
      <c r="B10" s="26" t="s">
        <v>108</v>
      </c>
      <c r="C10" s="26" t="s">
        <v>106</v>
      </c>
      <c r="D10" s="19">
        <f t="shared" si="0"/>
        <v>-0.12688040127736788</v>
      </c>
      <c r="E10" s="19">
        <f t="shared" si="1"/>
        <v>0.90993275639013826</v>
      </c>
      <c r="F10" s="19">
        <f t="shared" si="2"/>
        <v>0.88708546153934664</v>
      </c>
      <c r="G10" s="19">
        <f t="shared" si="4"/>
        <v>1.0180526047249692</v>
      </c>
      <c r="H10" s="58">
        <f>VLOOKUP(A10,הכשרה!A:G,4,0)+VLOOKUP('תפוקה מצטברת מול אשתקד'!A10,מגדל!A:G,4,0)+VLOOKUP('תפוקה מצטברת מול אשתקד'!A10,מנורה!A:G,4,0)+VLOOKUP('תפוקה מצטברת מול אשתקד'!A10,איילון!A:G,4,0)+VLOOKUP('תפוקה מצטברת מול אשתקד'!A10,הראל!A:G,4,0)+VLOOKUP('תפוקה מצטברת מול אשתקד'!A10,הפניקס!A:G,4,0)+VLOOKUP('תפוקה מצטברת מול אשתקד'!A10,כלל!A:G,4,0)+VLOOKUP('תפוקה מצטברת מול אשתקד'!A10,מור!A:G,4,0)+VLOOKUP('תפוקה מצטברת מול אשתקד'!A10,'אלטשולר שחם'!A:G,4,0)+VLOOKUP('תפוקה מצטברת מול אשתקד'!A10,'מדיהו '!A:G,4,0)+VLOOKUP('תפוקה מצטברת מול אשתקד'!A10,'אנליסט '!A:G,4,0)+VLOOKUP('תפוקה מצטברת מול אשתקד'!A10,'מיטב דש'!A:G,4,0)+VLOOKUP('תפוקה מצטברת מול אשתקד'!A10,אינפניטי!A:G,4,0)</f>
        <v>548222.68137367931</v>
      </c>
      <c r="I10" s="58">
        <f>VLOOKUP(A10,הכשרה!A:G,5,0)+VLOOKUP('תפוקה מצטברת מול אשתקד'!A10,מגדל!A:G,5,0)+VLOOKUP('תפוקה מצטברת מול אשתקד'!A10,מנורה!A:G,5,0)+VLOOKUP('תפוקה מצטברת מול אשתקד'!A10,איילון!A:G,5,0)+VLOOKUP('תפוקה מצטברת מול אשתקד'!A10,הראל!A:G,5,0)+VLOOKUP('תפוקה מצטברת מול אשתקד'!A10,הפניקס!A:G,5,0)+VLOOKUP('תפוקה מצטברת מול אשתקד'!A10,כלל!A:G,5,0)+VLOOKUP('תפוקה מצטברת מול אשתקד'!A10,מור!A:G,5,0)+VLOOKUP('תפוקה מצטברת מול אשתקד'!A10,'אלטשולר שחם'!A:G,5,0)+VLOOKUP('תפוקה מצטברת מול אשתקד'!A10,'מדיהו '!A:G,5,0)+VLOOKUP('תפוקה מצטברת מול אשתקד'!A10,'אנליסט '!A:G,5,0)+VLOOKUP('תפוקה מצטברת מול אשתקד'!A10,'מיטב דש'!A:G,5,0)+VLOOKUP('תפוקה מצטברת מול אשתקד'!A10,אינפניטי!A:G,5,0)</f>
        <v>708690.31937941723</v>
      </c>
      <c r="J10" s="58">
        <f>VLOOKUP(A10,הכשרה!A:G,6,0)+VLOOKUP('תפוקה מצטברת מול אשתקד'!A10,מגדל!A:G,6,0)+VLOOKUP('תפוקה מצטברת מול אשתקד'!A10,מנורה!A:G,6,0)+VLOOKUP('תפוקה מצטברת מול אשתקד'!A10,איילון!A:G,6,0)+VLOOKUP(A10,הראל!A:G,6,0)+VLOOKUP('תפוקה מצטברת מול אשתקד'!A10,הפניקס!A:G,6,0)+VLOOKUP('תפוקה מצטברת מול אשתקד'!A10,כלל!A:G,6,0)+VLOOKUP('תפוקה מצטברת מול אשתקד'!A10,מור!A:G,6,0)+VLOOKUP('תפוקה מצטברת מול אשתקד'!A10,'אלטשולר שחם'!A:G,6,0)+VLOOKUP('תפוקה מצטברת מול אשתקד'!A10,'מדיהו '!A:G,6,0)+VLOOKUP('תפוקה מצטברת מול אשתקד'!A10,'אנליסט '!A:G,6,0)+VLOOKUP('תפוקה מצטברת מול אשתקד'!A10,'מיטב דש'!A:G,6,0)+VLOOKUP('תפוקה מצטברת מול אשתקד'!A10,אינפניטי!A:G,6,0)</f>
        <v>312411.70893169875</v>
      </c>
      <c r="K10" s="58">
        <f>VLOOKUP(A10,הכשרה!A:G,7,0)+VLOOKUP('תפוקה מצטברת מול אשתקד'!A10,מגדל!A:G,7,0)+VLOOKUP('תפוקה מצטברת מול אשתקד'!A10,מנורה!A:G,7,0)+VLOOKUP('תפוקה מצטברת מול אשתקד'!A10,איילון!A:G,7,0)+VLOOKUP('תפוקה מצטברת מול אשתקד'!A10,הראל!A:G,7,0)+VLOOKUP('תפוקה מצטברת מול אשתקד'!A10,הפניקס!A:G,7,0)+VLOOKUP('תפוקה מצטברת מול אשתקד'!A10,כלל!A:G,7,0)+VLOOKUP('תפוקה מצטברת מול אשתקד'!A10,מור!A:G,7,0)+VLOOKUP('תפוקה מצטברת מול אשתקד'!A10,'אלטשולר שחם'!A:G,7,0)+VLOOKUP('תפוקה מצטברת מול אשתקד'!A10,'מדיהו '!A:K,7,0)+VLOOKUP(A10,'אנליסט '!A:G,7,0)+VLOOKUP('תפוקה מצטברת מול אשתקד'!A10,'מיטב דש'!A:G,7,0)+VLOOKUP('תפוקה מצטברת מול אשתקד'!A10,אינפניטי!A:G,7,0)</f>
        <v>1135423.98</v>
      </c>
      <c r="L10" s="12">
        <f>VLOOKUP(A10,הכשרה!A:K,8,0)+VLOOKUP('תפוקה מצטברת מול אשתקד'!A10,מגדל!A:K,8,0)+VLOOKUP('תפוקה מצטברת מול אשתקד'!A10,מנורה!A:K,8,0)+VLOOKUP('תפוקה מצטברת מול אשתקד'!A10,איילון!A:K,8,0)+VLOOKUP('תפוקה מצטברת מול אשתקד'!A10,הראל!A:K,8,0)+VLOOKUP('תפוקה מצטברת מול אשתקד'!A10,הפניקס!A:K,8,0)+VLOOKUP('תפוקה מצטברת מול אשתקד'!A10,כלל!A:K,8,0)+VLOOKUP('תפוקה מצטברת מול אשתקד'!A10,מור!A:K,8,0)+VLOOKUP('תפוקה מצטברת מול אשתקד'!A10,'אלטשולר שחם'!A:K,8,0)+VLOOKUP('תפוקה מצטברת מול אשתקד'!A10,'מדיהו '!A:K,8,0)+VLOOKUP('תפוקה מצטברת מול אשתקד'!A10,'אנליסט '!A:K,8,0)+VLOOKUP('תפוקה מצטברת מול אשתקד'!A10,'מיטב דש'!A:K,8,0)+VLOOKUP('תפוקה מצטברת מול אשתקד'!A10,אינפניטי!A:K,8,0)</f>
        <v>627889.56080670422</v>
      </c>
      <c r="M10" s="12">
        <f>VLOOKUP(A10,הכשרה!A:K,9,0)+VLOOKUP('תפוקה מצטברת מול אשתקד'!A10,מגדל!A:K,9,0)+VLOOKUP('תפוקה מצטברת מול אשתקד'!A10,מנורה!A:K,9,0)+VLOOKUP('תפוקה מצטברת מול אשתקד'!A10,איילון!A:K,9,0)+VLOOKUP('תפוקה מצטברת מול אשתקד'!A10,הראל!A:K,9,0)+VLOOKUP('תפוקה מצטברת מול אשתקד'!A10,הפניקס!A:K,9,0)+VLOOKUP('תפוקה מצטברת מול אשתקד'!A10,כלל!A:K,9,0)+VLOOKUP('תפוקה מצטברת מול אשתקד'!A10,מור!A:K,9,0)+VLOOKUP('תפוקה מצטברת מול אשתקד'!A10,'אלטשולר שחם'!A:K,9,0)+VLOOKUP('תפוקה מצטברת מול אשתקד'!A10,'מדיהו '!A:K,9,0)+VLOOKUP('תפוקה מצטברת מול אשתקד'!A10,'אנליסט '!A:K,9,0)+VLOOKUP('תפוקה מצטברת מול אשתקד'!A10,'מיטב דש'!A:K,9,0)+VLOOKUP('תפוקה מצטברת מול אשתקד'!A10,אינפניטי!A:K,9,0)</f>
        <v>371055.11542661581</v>
      </c>
      <c r="N10" s="12">
        <f>VLOOKUP(A10,הכשרה!A:K,10,0)+VLOOKUP('תפוקה מצטברת מול אשתקד'!A10,מגדל!A:K,10,0)+VLOOKUP('תפוקה מצטברת מול אשתקד'!A10,מנורה!A:K,10,0)+VLOOKUP('תפוקה מצטברת מול אשתקד'!A10,איילון!A:K,10,0)+VLOOKUP('תפוקה מצטברת מול אשתקד'!A10,הראל!A:K,10,0)+VLOOKUP('תפוקה מצטברת מול אשתקד'!A10,הפניקס!A:K,10,0)+VLOOKUP('תפוקה מצטברת מול אשתקד'!A10,כלל!A:K,10,0)+VLOOKUP('תפוקה מצטברת מול אשתקד'!A10,מור!A:K,10,0)+VLOOKUP('תפוקה מצטברת מול אשתקד'!A10,'אלטשולר שחם'!A:K,10,0)+VLOOKUP('תפוקה מצטברת מול אשתקד'!A10,'מדיהו '!A:K,10,0)+VLOOKUP('תפוקה מצטברת מול אשתקד'!A10,'אנליסט '!A:K,10,0)+VLOOKUP('תפוקה מצטברת מול אשתקד'!A10,'מיטב דש'!A:K,10,0)+VLOOKUP('תפוקה מצטברת מול אשתקד'!A10,אינפניטי!A:K,10,0)</f>
        <v>165552.49632248032</v>
      </c>
      <c r="O10" s="12">
        <f>VLOOKUP(A10,הכשרה!A:K,11,0)+VLOOKUP('תפוקה מצטברת מול אשתקד'!A10,מגדל!A:K,11,0)+VLOOKUP('תפוקה מצטברת מול אשתקד'!A10,מנורה!A:K,11,0)+VLOOKUP('תפוקה מצטברת מול אשתקד'!A10,איילון!A:K,11,0)+VLOOKUP('תפוקה מצטברת מול אשתקד'!A10,הראל!A:K,11,0)+VLOOKUP('תפוקה מצטברת מול אשתקד'!A10,הפניקס!A:K,11,0)+VLOOKUP('תפוקה מצטברת מול אשתקד'!A10,כלל!A:K,11,0)+VLOOKUP('תפוקה מצטברת מול אשתקד'!A10,מור!A:K,11,0)+VLOOKUP('תפוקה מצטברת מול אשתקד'!A10,'אלטשולר שחם'!A:K,11,0)+VLOOKUP('תפוקה מצטברת מול אשתקד'!A10,'מדיהו '!A:K,11,0)+VLOOKUP('תפוקה מצטברת מול אשתקד'!A10,'אנליסט '!A:K,11,0)+VLOOKUP('תפוקה מצטברת מול אשתקד'!A10,'מיטב דש'!A:K,11,0)+VLOOKUP('תפוקה מצטברת מול אשתקד'!A10,אינפניטי!A:K,11,0)</f>
        <v>562633.49</v>
      </c>
    </row>
    <row r="11" spans="1:16" ht="15.75" customHeight="1" x14ac:dyDescent="0.25">
      <c r="A11" s="26" t="s">
        <v>6</v>
      </c>
      <c r="B11" s="26" t="s">
        <v>108</v>
      </c>
      <c r="C11" s="26" t="s">
        <v>106</v>
      </c>
      <c r="D11" s="19">
        <f t="shared" si="0"/>
        <v>-0.10356276400349385</v>
      </c>
      <c r="E11" s="19">
        <f t="shared" si="1"/>
        <v>-0.40736149225341634</v>
      </c>
      <c r="F11" s="19">
        <f t="shared" si="2"/>
        <v>0.95369503586067195</v>
      </c>
      <c r="G11" s="19">
        <f t="shared" si="4"/>
        <v>-0.97951796352870479</v>
      </c>
      <c r="H11" s="58">
        <f>VLOOKUP(A11,הכשרה!A:G,4,0)+VLOOKUP('תפוקה מצטברת מול אשתקד'!A11,מגדל!A:G,4,0)+VLOOKUP('תפוקה מצטברת מול אשתקד'!A11,מנורה!A:G,4,0)+VLOOKUP('תפוקה מצטברת מול אשתקד'!A11,איילון!A:G,4,0)+VLOOKUP('תפוקה מצטברת מול אשתקד'!A11,הראל!A:G,4,0)+VLOOKUP('תפוקה מצטברת מול אשתקד'!A11,הפניקס!A:G,4,0)+VLOOKUP('תפוקה מצטברת מול אשתקד'!A11,כלל!A:G,4,0)+VLOOKUP('תפוקה מצטברת מול אשתקד'!A11,מור!A:G,4,0)+VLOOKUP('תפוקה מצטברת מול אשתקד'!A11,'אלטשולר שחם'!A:G,4,0)+VLOOKUP('תפוקה מצטברת מול אשתקד'!A11,'מדיהו '!A:G,4,0)+VLOOKUP('תפוקה מצטברת מול אשתקד'!A11,'אנליסט '!A:G,4,0)+VLOOKUP('תפוקה מצטברת מול אשתקד'!A11,'מיטב דש'!A:G,4,0)+VLOOKUP('תפוקה מצטברת מול אשתקד'!A11,אינפניטי!A:G,4,0)</f>
        <v>116485.17834034433</v>
      </c>
      <c r="I11" s="58">
        <f>VLOOKUP(A11,הכשרה!A:G,5,0)+VLOOKUP('תפוקה מצטברת מול אשתקד'!A11,מגדל!A:G,5,0)+VLOOKUP('תפוקה מצטברת מול אשתקד'!A11,מנורה!A:G,5,0)+VLOOKUP('תפוקה מצטברת מול אשתקד'!A11,איילון!A:G,5,0)+VLOOKUP('תפוקה מצטברת מול אשתקד'!A11,הראל!A:G,5,0)+VLOOKUP('תפוקה מצטברת מול אשתקד'!A11,הפניקס!A:G,5,0)+VLOOKUP('תפוקה מצטברת מול אשתקד'!A11,כלל!A:G,5,0)+VLOOKUP('תפוקה מצטברת מול אשתקד'!A11,מור!A:G,5,0)+VLOOKUP('תפוקה מצטברת מול אשתקד'!A11,'אלטשולר שחם'!A:G,5,0)+VLOOKUP('תפוקה מצטברת מול אשתקד'!A11,'מדיהו '!A:G,5,0)+VLOOKUP('תפוקה מצטברת מול אשתקד'!A11,'אנליסט '!A:G,5,0)+VLOOKUP('תפוקה מצטברת מול אשתקד'!A11,'מיטב דש'!A:G,5,0)+VLOOKUP('תפוקה מצטברת מול אשתקד'!A11,אינפניטי!A:G,5,0)</f>
        <v>22959.76182367104</v>
      </c>
      <c r="J11" s="58">
        <f>VLOOKUP(A11,הכשרה!A:G,6,0)+VLOOKUP('תפוקה מצטברת מול אשתקד'!A11,מגדל!A:G,6,0)+VLOOKUP('תפוקה מצטברת מול אשתקד'!A11,מנורה!A:G,6,0)+VLOOKUP('תפוקה מצטברת מול אשתקד'!A11,איילון!A:G,6,0)+VLOOKUP(A11,הראל!A:G,6,0)+VLOOKUP('תפוקה מצטברת מול אשתקד'!A11,הפניקס!A:G,6,0)+VLOOKUP('תפוקה מצטברת מול אשתקד'!A11,כלל!A:G,6,0)+VLOOKUP('תפוקה מצטברת מול אשתקד'!A11,מור!A:G,6,0)+VLOOKUP('תפוקה מצטברת מול אשתקד'!A11,'אלטשולר שחם'!A:G,6,0)+VLOOKUP('תפוקה מצטברת מול אשתקד'!A11,'מדיהו '!A:G,6,0)+VLOOKUP('תפוקה מצטברת מול אשתקד'!A11,'אנליסט '!A:G,6,0)+VLOOKUP('תפוקה מצטברת מול אשתקד'!A11,'מיטב דש'!A:G,6,0)+VLOOKUP('תפוקה מצטברת מול אשתקד'!A11,אינפניטי!A:G,6,0)</f>
        <v>507594.08948263148</v>
      </c>
      <c r="K11" s="58">
        <f>VLOOKUP(A11,הכשרה!A:G,7,0)+VLOOKUP('תפוקה מצטברת מול אשתקד'!A11,מגדל!A:G,7,0)+VLOOKUP('תפוקה מצטברת מול אשתקד'!A11,מנורה!A:G,7,0)+VLOOKUP('תפוקה מצטברת מול אשתקד'!A11,איילון!A:G,7,0)+VLOOKUP('תפוקה מצטברת מול אשתקד'!A11,הראל!A:G,7,0)+VLOOKUP('תפוקה מצטברת מול אשתקד'!A11,הפניקס!A:G,7,0)+VLOOKUP('תפוקה מצטברת מול אשתקד'!A11,כלל!A:G,7,0)+VLOOKUP('תפוקה מצטברת מול אשתקד'!A11,מור!A:G,7,0)+VLOOKUP('תפוקה מצטברת מול אשתקד'!A11,'אלטשולר שחם'!A:G,7,0)+VLOOKUP('תפוקה מצטברת מול אשתקד'!A11,'מדיהו '!A:K,7,0)+VLOOKUP(A11,'אנליסט '!A:G,7,0)+VLOOKUP('תפוקה מצטברת מול אשתקד'!A11,'מיטב דש'!A:G,7,0)+VLOOKUP('תפוקה מצטברת מול אשתקד'!A11,אינפניטי!A:G,7,0)</f>
        <v>-7766.5999999999767</v>
      </c>
      <c r="L11" s="12">
        <f>VLOOKUP(A11,הכשרה!A:K,8,0)+VLOOKUP('תפוקה מצטברת מול אשתקד'!A11,מגדל!A:K,8,0)+VLOOKUP('תפוקה מצטברת מול אשתקד'!A11,מנורה!A:K,8,0)+VLOOKUP('תפוקה מצטברת מול אשתקד'!A11,איילון!A:K,8,0)+VLOOKUP('תפוקה מצטברת מול אשתקד'!A11,הראל!A:K,8,0)+VLOOKUP('תפוקה מצטברת מול אשתקד'!A11,הפניקס!A:K,8,0)+VLOOKUP('תפוקה מצטברת מול אשתקד'!A11,כלל!A:K,8,0)+VLOOKUP('תפוקה מצטברת מול אשתקד'!A11,מור!A:K,8,0)+VLOOKUP('תפוקה מצטברת מול אשתקד'!A11,'אלטשולר שחם'!A:K,8,0)+VLOOKUP('תפוקה מצטברת מול אשתקד'!A11,'מדיהו '!A:K,8,0)+VLOOKUP('תפוקה מצטברת מול אשתקד'!A11,'אנליסט '!A:K,8,0)+VLOOKUP('תפוקה מצטברת מול אשתקד'!A11,'מיטב דש'!A:K,8,0)+VLOOKUP('תפוקה מצטברת מול אשתקד'!A11,אינפניטי!A:K,8,0)</f>
        <v>129942.369262312</v>
      </c>
      <c r="M11" s="12">
        <f>VLOOKUP(A11,הכשרה!A:K,9,0)+VLOOKUP('תפוקה מצטברת מול אשתקד'!A11,מגדל!A:K,9,0)+VLOOKUP('תפוקה מצטברת מול אשתקד'!A11,מנורה!A:K,9,0)+VLOOKUP('תפוקה מצטברת מול אשתקד'!A11,איילון!A:K,9,0)+VLOOKUP('תפוקה מצטברת מול אשתקד'!A11,הראל!A:K,9,0)+VLOOKUP('תפוקה מצטברת מול אשתקד'!A11,הפניקס!A:K,9,0)+VLOOKUP('תפוקה מצטברת מול אשתקד'!A11,כלל!A:K,9,0)+VLOOKUP('תפוקה מצטברת מול אשתקד'!A11,מור!A:K,9,0)+VLOOKUP('תפוקה מצטברת מול אשתקד'!A11,'אלטשולר שחם'!A:K,9,0)+VLOOKUP('תפוקה מצטברת מול אשתקד'!A11,'מדיהו '!A:K,9,0)+VLOOKUP('תפוקה מצטברת מול אשתקד'!A11,'אנליסט '!A:K,9,0)+VLOOKUP('תפוקה מצטברת מול אשתקד'!A11,'מיטב דש'!A:K,9,0)+VLOOKUP('תפוקה מצטברת מול אשתקד'!A11,אינפניטי!A:K,9,0)</f>
        <v>38741.596307961809</v>
      </c>
      <c r="N11" s="12">
        <f>VLOOKUP(A11,הכשרה!A:K,10,0)+VLOOKUP('תפוקה מצטברת מול אשתקד'!A11,מגדל!A:K,10,0)+VLOOKUP('תפוקה מצטברת מול אשתקד'!A11,מנורה!A:K,10,0)+VLOOKUP('תפוקה מצטברת מול אשתקד'!A11,איילון!A:K,10,0)+VLOOKUP('תפוקה מצטברת מול אשתקד'!A11,הראל!A:K,10,0)+VLOOKUP('תפוקה מצטברת מול אשתקד'!A11,הפניקס!A:K,10,0)+VLOOKUP('תפוקה מצטברת מול אשתקד'!A11,כלל!A:K,10,0)+VLOOKUP('תפוקה מצטברת מול אשתקד'!A11,מור!A:K,10,0)+VLOOKUP('תפוקה מצטברת מול אשתקד'!A11,'אלטשולר שחם'!A:K,10,0)+VLOOKUP('תפוקה מצטברת מול אשתקד'!A11,'מדיהו '!A:K,10,0)+VLOOKUP('תפוקה מצטברת מול אשתקד'!A11,'אנליסט '!A:K,10,0)+VLOOKUP('תפוקה מצטברת מול אשתקד'!A11,'מיטב דש'!A:K,10,0)+VLOOKUP('תפוקה מצטברת מול אשתקד'!A11,אינפניטי!A:K,10,0)</f>
        <v>259812.3454098957</v>
      </c>
      <c r="O11" s="12">
        <f>VLOOKUP(A11,הכשרה!A:K,11,0)+VLOOKUP('תפוקה מצטברת מול אשתקד'!A11,מגדל!A:K,11,0)+VLOOKUP('תפוקה מצטברת מול אשתקד'!A11,מנורה!A:K,11,0)+VLOOKUP('תפוקה מצטברת מול אשתקד'!A11,איילון!A:K,11,0)+VLOOKUP('תפוקה מצטברת מול אשתקד'!A11,הראל!A:K,11,0)+VLOOKUP('תפוקה מצטברת מול אשתקד'!A11,הפניקס!A:K,11,0)+VLOOKUP('תפוקה מצטברת מול אשתקד'!A11,כלל!A:K,11,0)+VLOOKUP('תפוקה מצטברת מול אשתקד'!A11,מור!A:K,11,0)+VLOOKUP('תפוקה מצטברת מול אשתקד'!A11,'אלטשולר שחם'!A:K,11,0)+VLOOKUP('תפוקה מצטברת מול אשתקד'!A11,'מדיהו '!A:K,11,0)+VLOOKUP('תפוקה מצטברת מול אשתקד'!A11,'אנליסט '!A:K,11,0)+VLOOKUP('תפוקה מצטברת מול אשתקד'!A11,'מיטב דש'!A:K,11,0)+VLOOKUP('תפוקה מצטברת מול אשתקד'!A11,אינפניטי!A:K,11,0)</f>
        <v>-379190.81000000006</v>
      </c>
    </row>
    <row r="12" spans="1:16" ht="15.75" customHeight="1" x14ac:dyDescent="0.25">
      <c r="A12" s="26" t="s">
        <v>7</v>
      </c>
      <c r="B12" s="26" t="s">
        <v>108</v>
      </c>
      <c r="C12" s="26" t="s">
        <v>106</v>
      </c>
      <c r="D12" s="19">
        <f t="shared" si="0"/>
        <v>1145.0592481625706</v>
      </c>
      <c r="E12" s="19">
        <f t="shared" si="1"/>
        <v>18.02190371611859</v>
      </c>
      <c r="F12" s="19">
        <f t="shared" si="2"/>
        <v>1</v>
      </c>
      <c r="G12" s="19">
        <f t="shared" si="4"/>
        <v>-1.2964375883012615</v>
      </c>
      <c r="H12" s="58">
        <f>VLOOKUP(A12,הכשרה!A:G,4,0)+VLOOKUP('תפוקה מצטברת מול אשתקד'!A12,מגדל!A:G,4,0)+VLOOKUP('תפוקה מצטברת מול אשתקד'!A12,מנורה!A:G,4,0)+VLOOKUP('תפוקה מצטברת מול אשתקד'!A12,איילון!A:G,4,0)+VLOOKUP('תפוקה מצטברת מול אשתקד'!A12,הראל!A:G,4,0)+VLOOKUP('תפוקה מצטברת מול אשתקד'!A12,הפניקס!A:G,4,0)+VLOOKUP('תפוקה מצטברת מול אשתקד'!A12,כלל!A:G,4,0)+VLOOKUP('תפוקה מצטברת מול אשתקד'!A12,מור!A:G,4,0)+VLOOKUP('תפוקה מצטברת מול אשתקד'!A12,'אלטשולר שחם'!A:G,4,0)+VLOOKUP('תפוקה מצטברת מול אשתקד'!A12,'מדיהו '!A:G,4,0)+VLOOKUP('תפוקה מצטברת מול אשתקד'!A12,'אנליסט '!A:G,4,0)+VLOOKUP('תפוקה מצטברת מול אשתקד'!A12,'מיטב דש'!A:G,4,0)+VLOOKUP('תפוקה מצטברת מול אשתקד'!A12,אינפניטי!A:G,4,0)</f>
        <v>158224.93980132451</v>
      </c>
      <c r="I12" s="58">
        <f>VLOOKUP(A12,הכשרה!A:G,5,0)+VLOOKUP('תפוקה מצטברת מול אשתקד'!A12,מגדל!A:G,5,0)+VLOOKUP('תפוקה מצטברת מול אשתקד'!A12,מנורה!A:G,5,0)+VLOOKUP('תפוקה מצטברת מול אשתקד'!A12,איילון!A:G,5,0)+VLOOKUP('תפוקה מצטברת מול אשתקד'!A12,הראל!A:G,5,0)+VLOOKUP('תפוקה מצטברת מול אשתקד'!A12,הפניקס!A:G,5,0)+VLOOKUP('תפוקה מצטברת מול אשתקד'!A12,כלל!A:G,5,0)+VLOOKUP('תפוקה מצטברת מול אשתקד'!A12,מור!A:G,5,0)+VLOOKUP('תפוקה מצטברת מול אשתקד'!A12,'אלטשולר שחם'!A:G,5,0)+VLOOKUP('תפוקה מצטברת מול אשתקד'!A12,'מדיהו '!A:G,5,0)+VLOOKUP('תפוקה מצטברת מול אשתקד'!A12,'אנליסט '!A:G,5,0)+VLOOKUP('תפוקה מצטברת מול אשתקד'!A12,'מיטב דש'!A:G,5,0)+VLOOKUP('תפוקה מצטברת מול אשתקד'!A12,אינפניטי!A:G,5,0)</f>
        <v>3291.3599999999997</v>
      </c>
      <c r="J12" s="58">
        <f>VLOOKUP(A12,הכשרה!A:G,6,0)+VLOOKUP('תפוקה מצטברת מול אשתקד'!A12,מגדל!A:G,6,0)+VLOOKUP('תפוקה מצטברת מול אשתקד'!A12,מנורה!A:G,6,0)+VLOOKUP('תפוקה מצטברת מול אשתקד'!A12,איילון!A:G,6,0)+VLOOKUP(A12,הראל!A:G,6,0)+VLOOKUP('תפוקה מצטברת מול אשתקד'!A12,הפניקס!A:G,6,0)+VLOOKUP('תפוקה מצטברת מול אשתקד'!A12,כלל!A:G,6,0)+VLOOKUP('תפוקה מצטברת מול אשתקד'!A12,מור!A:G,6,0)+VLOOKUP('תפוקה מצטברת מול אשתקד'!A12,'אלטשולר שחם'!A:G,6,0)+VLOOKUP('תפוקה מצטברת מול אשתקד'!A12,'מדיהו '!A:G,6,0)+VLOOKUP('תפוקה מצטברת מול אשתקד'!A12,'אנליסט '!A:G,6,0)+VLOOKUP('תפוקה מצטברת מול אשתקד'!A12,'מיטב דש'!A:G,6,0)+VLOOKUP('תפוקה מצטברת מול אשתקד'!A12,אינפניטי!A:G,6,0)</f>
        <v>361415</v>
      </c>
      <c r="K12" s="58">
        <f>VLOOKUP(A12,הכשרה!A:G,7,0)+VLOOKUP('תפוקה מצטברת מול אשתקד'!A12,מגדל!A:G,7,0)+VLOOKUP('תפוקה מצטברת מול אשתקד'!A12,מנורה!A:G,7,0)+VLOOKUP('תפוקה מצטברת מול אשתקד'!A12,איילון!A:G,7,0)+VLOOKUP('תפוקה מצטברת מול אשתקד'!A12,הראל!A:G,7,0)+VLOOKUP('תפוקה מצטברת מול אשתקד'!A12,הפניקס!A:G,7,0)+VLOOKUP('תפוקה מצטברת מול אשתקד'!A12,כלל!A:G,7,0)+VLOOKUP('תפוקה מצטברת מול אשתקד'!A12,מור!A:G,7,0)+VLOOKUP('תפוקה מצטברת מול אשתקד'!A12,'אלטשולר שחם'!A:G,7,0)+VLOOKUP('תפוקה מצטברת מול אשתקד'!A12,'מדיהו '!A:K,7,0)+VLOOKUP(A12,'אנליסט '!A:G,7,0)+VLOOKUP('תפוקה מצטברת מול אשתקד'!A12,'מיטב דש'!A:G,7,0)+VLOOKUP('תפוקה מצטברת מול אשתקד'!A12,אינפניטי!A:G,7,0)</f>
        <v>69263.600000000006</v>
      </c>
      <c r="L12" s="12">
        <f>VLOOKUP(A12,הכשרה!A:K,8,0)+VLOOKUP('תפוקה מצטברת מול אשתקד'!A12,מגדל!A:K,8,0)+VLOOKUP('תפוקה מצטברת מול אשתקד'!A12,מנורה!A:K,8,0)+VLOOKUP('תפוקה מצטברת מול אשתקד'!A12,איילון!A:K,8,0)+VLOOKUP('תפוקה מצטברת מול אשתקד'!A12,הראל!A:K,8,0)+VLOOKUP('תפוקה מצטברת מול אשתקד'!A12,הפניקס!A:K,8,0)+VLOOKUP('תפוקה מצטברת מול אשתקד'!A12,כלל!A:K,8,0)+VLOOKUP('תפוקה מצטברת מול אשתקד'!A12,מור!A:K,8,0)+VLOOKUP('תפוקה מצטברת מול אשתקד'!A12,'אלטשולר שחם'!A:K,8,0)+VLOOKUP('תפוקה מצטברת מול אשתקד'!A12,'מדיהו '!A:K,8,0)+VLOOKUP('תפוקה מצטברת מול אשתקד'!A12,'אנליסט '!A:K,8,0)+VLOOKUP('תפוקה מצטברת מול אשתקד'!A12,'מיטב דש'!A:K,8,0)+VLOOKUP('תפוקה מצטברת מול אשתקד'!A12,אינפניטי!A:K,8,0)</f>
        <v>138.06</v>
      </c>
      <c r="M12" s="12">
        <f>VLOOKUP(A12,הכשרה!A:K,9,0)+VLOOKUP('תפוקה מצטברת מול אשתקד'!A12,מגדל!A:K,9,0)+VLOOKUP('תפוקה מצטברת מול אשתקד'!A12,מנורה!A:K,9,0)+VLOOKUP('תפוקה מצטברת מול אשתקד'!A12,איילון!A:K,9,0)+VLOOKUP('תפוקה מצטברת מול אשתקד'!A12,הראל!A:K,9,0)+VLOOKUP('תפוקה מצטברת מול אשתקד'!A12,הפניקס!A:K,9,0)+VLOOKUP('תפוקה מצטברת מול אשתקד'!A12,כלל!A:K,9,0)+VLOOKUP('תפוקה מצטברת מול אשתקד'!A12,מור!A:K,9,0)+VLOOKUP('תפוקה מצטברת מול אשתקד'!A12,'אלטשולר שחם'!A:K,9,0)+VLOOKUP('תפוקה מצטברת מול אשתקד'!A12,'מדיהו '!A:K,9,0)+VLOOKUP('תפוקה מצטברת מול אשתקד'!A12,'אנליסט '!A:K,9,0)+VLOOKUP('תפוקה מצטברת מול אשתקד'!A12,'מיטב דש'!A:K,9,0)+VLOOKUP('תפוקה מצטברת מול אשתקד'!A12,אינפניטי!A:K,9,0)</f>
        <v>173.03</v>
      </c>
      <c r="N12" s="12">
        <f>VLOOKUP(A12,הכשרה!A:K,10,0)+VLOOKUP('תפוקה מצטברת מול אשתקד'!A12,מגדל!A:K,10,0)+VLOOKUP('תפוקה מצטברת מול אשתקד'!A12,מנורה!A:K,10,0)+VLOOKUP('תפוקה מצטברת מול אשתקד'!A12,איילון!A:K,10,0)+VLOOKUP('תפוקה מצטברת מול אשתקד'!A12,הראל!A:K,10,0)+VLOOKUP('תפוקה מצטברת מול אשתקד'!A12,הפניקס!A:K,10,0)+VLOOKUP('תפוקה מצטברת מול אשתקד'!A12,כלל!A:K,10,0)+VLOOKUP('תפוקה מצטברת מול אשתקד'!A12,מור!A:K,10,0)+VLOOKUP('תפוקה מצטברת מול אשתקד'!A12,'אלטשולר שחם'!A:K,10,0)+VLOOKUP('תפוקה מצטברת מול אשתקד'!A12,'מדיהו '!A:K,10,0)+VLOOKUP('תפוקה מצטברת מול אשתקד'!A12,'אנליסט '!A:K,10,0)+VLOOKUP('תפוקה מצטברת מול אשתקד'!A12,'מיטב דש'!A:K,10,0)+VLOOKUP('תפוקה מצטברת מול אשתקד'!A12,אינפניטי!A:K,10,0)</f>
        <v>0</v>
      </c>
      <c r="O12" s="12">
        <f>VLOOKUP(A12,הכשרה!A:K,11,0)+VLOOKUP('תפוקה מצטברת מול אשתקד'!A12,מגדל!A:K,11,0)+VLOOKUP('תפוקה מצטברת מול אשתקד'!A12,מנורה!A:K,11,0)+VLOOKUP('תפוקה מצטברת מול אשתקד'!A12,איילון!A:K,11,0)+VLOOKUP('תפוקה מצטברת מול אשתקד'!A12,הראל!A:K,11,0)+VLOOKUP('תפוקה מצטברת מול אשתקד'!A12,הפניקס!A:K,11,0)+VLOOKUP('תפוקה מצטברת מול אשתקד'!A12,כלל!A:K,11,0)+VLOOKUP('תפוקה מצטברת מול אשתקד'!A12,מור!A:K,11,0)+VLOOKUP('תפוקה מצטברת מול אשתקד'!A12,'אלטשולר שחם'!A:K,11,0)+VLOOKUP('תפוקה מצטברת מול אשתקד'!A12,'מדיהו '!A:K,11,0)+VLOOKUP('תפוקה מצטברת מול אשתקד'!A12,'אנליסט '!A:K,11,0)+VLOOKUP('תפוקה מצטברת מול אשתקד'!A12,'מיטב דש'!A:K,11,0)+VLOOKUP('תפוקה מצטברת מול אשתקד'!A12,אינפניטי!A:K,11,0)</f>
        <v>-233653.23</v>
      </c>
    </row>
    <row r="13" spans="1:16" ht="15.75" customHeight="1" x14ac:dyDescent="0.25">
      <c r="A13" s="26" t="s">
        <v>8</v>
      </c>
      <c r="B13" s="26" t="s">
        <v>108</v>
      </c>
      <c r="C13" s="26" t="s">
        <v>106</v>
      </c>
      <c r="D13" s="19">
        <f t="shared" si="0"/>
        <v>1</v>
      </c>
      <c r="E13" s="19">
        <f t="shared" si="1"/>
        <v>-0.42949859236986754</v>
      </c>
      <c r="F13" s="19">
        <f t="shared" si="2"/>
        <v>0</v>
      </c>
      <c r="G13" s="19">
        <f t="shared" si="4"/>
        <v>0</v>
      </c>
      <c r="H13" s="58">
        <f>VLOOKUP(A13,הכשרה!A:G,4,0)+VLOOKUP('תפוקה מצטברת מול אשתקד'!A13,מגדל!A:G,4,0)+VLOOKUP('תפוקה מצטברת מול אשתקד'!A13,מנורה!A:G,4,0)+VLOOKUP('תפוקה מצטברת מול אשתקד'!A13,איילון!A:G,4,0)+VLOOKUP('תפוקה מצטברת מול אשתקד'!A13,הראל!A:G,4,0)+VLOOKUP('תפוקה מצטברת מול אשתקד'!A13,הפניקס!A:G,4,0)+VLOOKUP('תפוקה מצטברת מול אשתקד'!A13,כלל!A:G,4,0)+VLOOKUP('תפוקה מצטברת מול אשתקד'!A13,מור!A:G,4,0)+VLOOKUP('תפוקה מצטברת מול אשתקד'!A13,'אלטשולר שחם'!A:G,4,0)+VLOOKUP('תפוקה מצטברת מול אשתקד'!A13,'מדיהו '!A:G,4,0)+VLOOKUP('תפוקה מצטברת מול אשתקד'!A13,'אנליסט '!A:G,4,0)+VLOOKUP('תפוקה מצטברת מול אשתקד'!A13,'מיטב דש'!A:G,4,0)+VLOOKUP('תפוקה מצטברת מול אשתקד'!A13,אינפניטי!A:G,4,0)</f>
        <v>15476</v>
      </c>
      <c r="I13" s="58">
        <f>VLOOKUP(A13,הכשרה!A:G,5,0)+VLOOKUP('תפוקה מצטברת מול אשתקד'!A13,מגדל!A:G,5,0)+VLOOKUP('תפוקה מצטברת מול אשתקד'!A13,מנורה!A:G,5,0)+VLOOKUP('תפוקה מצטברת מול אשתקד'!A13,איילון!A:G,5,0)+VLOOKUP('תפוקה מצטברת מול אשתקד'!A13,הראל!A:G,5,0)+VLOOKUP('תפוקה מצטברת מול אשתקד'!A13,הפניקס!A:G,5,0)+VLOOKUP('תפוקה מצטברת מול אשתקד'!A13,כלל!A:G,5,0)+VLOOKUP('תפוקה מצטברת מול אשתקד'!A13,מור!A:G,5,0)+VLOOKUP('תפוקה מצטברת מול אשתקד'!A13,'אלטשולר שחם'!A:G,5,0)+VLOOKUP('תפוקה מצטברת מול אשתקד'!A13,'מדיהו '!A:G,5,0)+VLOOKUP('תפוקה מצטברת מול אשתקד'!A13,'אנליסט '!A:G,5,0)+VLOOKUP('תפוקה מצטברת מול אשתקד'!A13,'מיטב דש'!A:G,5,0)+VLOOKUP('תפוקה מצטברת מול אשתקד'!A13,אינפניטי!A:G,5,0)</f>
        <v>114675.452</v>
      </c>
      <c r="J13" s="58">
        <f>VLOOKUP(A13,הכשרה!A:G,6,0)+VLOOKUP('תפוקה מצטברת מול אשתקד'!A13,מגדל!A:G,6,0)+VLOOKUP('תפוקה מצטברת מול אשתקד'!A13,מנורה!A:G,6,0)+VLOOKUP('תפוקה מצטברת מול אשתקד'!A13,איילון!A:G,6,0)+VLOOKUP(A13,הראל!A:G,6,0)+VLOOKUP('תפוקה מצטברת מול אשתקד'!A13,הפניקס!A:G,6,0)+VLOOKUP('תפוקה מצטברת מול אשתקד'!A13,כלל!A:G,6,0)+VLOOKUP('תפוקה מצטברת מול אשתקד'!A13,מור!A:G,6,0)+VLOOKUP('תפוקה מצטברת מול אשתקד'!A13,'אלטשולר שחם'!A:G,6,0)+VLOOKUP('תפוקה מצטברת מול אשתקד'!A13,'מדיהו '!A:G,6,0)+VLOOKUP('תפוקה מצטברת מול אשתקד'!A13,'אנליסט '!A:G,6,0)+VLOOKUP('תפוקה מצטברת מול אשתקד'!A13,'מיטב דש'!A:G,6,0)+VLOOKUP('תפוקה מצטברת מול אשתקד'!A13,אינפניטי!A:G,6,0)</f>
        <v>0</v>
      </c>
      <c r="K13" s="58">
        <f>VLOOKUP(A13,הכשרה!A:G,7,0)+VLOOKUP('תפוקה מצטברת מול אשתקד'!A13,מגדל!A:G,7,0)+VLOOKUP('תפוקה מצטברת מול אשתקד'!A13,מנורה!A:G,7,0)+VLOOKUP('תפוקה מצטברת מול אשתקד'!A13,איילון!A:G,7,0)+VLOOKUP('תפוקה מצטברת מול אשתקד'!A13,הראל!A:G,7,0)+VLOOKUP('תפוקה מצטברת מול אשתקד'!A13,הפניקס!A:G,7,0)+VLOOKUP('תפוקה מצטברת מול אשתקד'!A13,כלל!A:G,7,0)+VLOOKUP('תפוקה מצטברת מול אשתקד'!A13,מור!A:G,7,0)+VLOOKUP('תפוקה מצטברת מול אשתקד'!A13,'אלטשולר שחם'!A:G,7,0)+VLOOKUP('תפוקה מצטברת מול אשתקד'!A13,'מדיהו '!A:K,7,0)+VLOOKUP(A13,'אנליסט '!A:G,7,0)+VLOOKUP('תפוקה מצטברת מול אשתקד'!A13,'מיטב דש'!A:G,7,0)+VLOOKUP('תפוקה מצטברת מול אשתקד'!A13,אינפניטי!A:G,7,0)</f>
        <v>0</v>
      </c>
      <c r="L13" s="12">
        <f>VLOOKUP(A13,הכשרה!A:K,8,0)+VLOOKUP('תפוקה מצטברת מול אשתקד'!A13,מגדל!A:K,8,0)+VLOOKUP('תפוקה מצטברת מול אשתקד'!A13,מנורה!A:K,8,0)+VLOOKUP('תפוקה מצטברת מול אשתקד'!A13,איילון!A:K,8,0)+VLOOKUP('תפוקה מצטברת מול אשתקד'!A13,הראל!A:K,8,0)+VLOOKUP('תפוקה מצטברת מול אשתקד'!A13,הפניקס!A:K,8,0)+VLOOKUP('תפוקה מצטברת מול אשתקד'!A13,כלל!A:K,8,0)+VLOOKUP('תפוקה מצטברת מול אשתקד'!A13,מור!A:K,8,0)+VLOOKUP('תפוקה מצטברת מול אשתקד'!A13,'אלטשולר שחם'!A:K,8,0)+VLOOKUP('תפוקה מצטברת מול אשתקד'!A13,'מדיהו '!A:K,8,0)+VLOOKUP('תפוקה מצטברת מול אשתקד'!A13,'אנליסט '!A:K,8,0)+VLOOKUP('תפוקה מצטברת מול אשתקד'!A13,'מיטב דש'!A:K,8,0)+VLOOKUP('תפוקה מצטברת מול אשתקד'!A13,אינפניטי!A:K,8,0)</f>
        <v>0</v>
      </c>
      <c r="M13" s="12">
        <f>VLOOKUP(A13,הכשרה!A:K,9,0)+VLOOKUP('תפוקה מצטברת מול אשתקד'!A13,מגדל!A:K,9,0)+VLOOKUP('תפוקה מצטברת מול אשתקד'!A13,מנורה!A:K,9,0)+VLOOKUP('תפוקה מצטברת מול אשתקד'!A13,איילון!A:K,9,0)+VLOOKUP('תפוקה מצטברת מול אשתקד'!A13,הראל!A:K,9,0)+VLOOKUP('תפוקה מצטברת מול אשתקד'!A13,הפניקס!A:K,9,0)+VLOOKUP('תפוקה מצטברת מול אשתקד'!A13,כלל!A:K,9,0)+VLOOKUP('תפוקה מצטברת מול אשתקד'!A13,מור!A:K,9,0)+VLOOKUP('תפוקה מצטברת מול אשתקד'!A13,'אלטשולר שחם'!A:K,9,0)+VLOOKUP('תפוקה מצטברת מול אשתקד'!A13,'מדיהו '!A:K,9,0)+VLOOKUP('תפוקה מצטברת מול אשתקד'!A13,'אנליסט '!A:K,9,0)+VLOOKUP('תפוקה מצטברת מול אשתקד'!A13,'מיטב דש'!A:K,9,0)+VLOOKUP('תפוקה מצטברת מול אשתקד'!A13,אינפניטי!A:K,9,0)</f>
        <v>201008.18414517638</v>
      </c>
      <c r="N13" s="12">
        <f>VLOOKUP(A13,הכשרה!A:K,10,0)+VLOOKUP('תפוקה מצטברת מול אשתקד'!A13,מגדל!A:K,10,0)+VLOOKUP('תפוקה מצטברת מול אשתקד'!A13,מנורה!A:K,10,0)+VLOOKUP('תפוקה מצטברת מול אשתקד'!A13,איילון!A:K,10,0)+VLOOKUP('תפוקה מצטברת מול אשתקד'!A13,הראל!A:K,10,0)+VLOOKUP('תפוקה מצטברת מול אשתקד'!A13,הפניקס!A:K,10,0)+VLOOKUP('תפוקה מצטברת מול אשתקד'!A13,כלל!A:K,10,0)+VLOOKUP('תפוקה מצטברת מול אשתקד'!A13,מור!A:K,10,0)+VLOOKUP('תפוקה מצטברת מול אשתקד'!A13,'אלטשולר שחם'!A:K,10,0)+VLOOKUP('תפוקה מצטברת מול אשתקד'!A13,'מדיהו '!A:K,10,0)+VLOOKUP('תפוקה מצטברת מול אשתקד'!A13,'אנליסט '!A:K,10,0)+VLOOKUP('תפוקה מצטברת מול אשתקד'!A13,'מיטב דש'!A:K,10,0)+VLOOKUP('תפוקה מצטברת מול אשתקד'!A13,אינפניטי!A:K,10,0)</f>
        <v>1345515.54</v>
      </c>
      <c r="O13" s="12">
        <f>VLOOKUP(A13,הכשרה!A:K,11,0)+VLOOKUP('תפוקה מצטברת מול אשתקד'!A13,מגדל!A:K,11,0)+VLOOKUP('תפוקה מצטברת מול אשתקד'!A13,מנורה!A:K,11,0)+VLOOKUP('תפוקה מצטברת מול אשתקד'!A13,איילון!A:K,11,0)+VLOOKUP('תפוקה מצטברת מול אשתקד'!A13,הראל!A:K,11,0)+VLOOKUP('תפוקה מצטברת מול אשתקד'!A13,הפניקס!A:K,11,0)+VLOOKUP('תפוקה מצטברת מול אשתקד'!A13,כלל!A:K,11,0)+VLOOKUP('תפוקה מצטברת מול אשתקד'!A13,מור!A:K,11,0)+VLOOKUP('תפוקה מצטברת מול אשתקד'!A13,'אלטשולר שחם'!A:K,11,0)+VLOOKUP('תפוקה מצטברת מול אשתקד'!A13,'מדיהו '!A:K,11,0)+VLOOKUP('תפוקה מצטברת מול אשתקד'!A13,'אנליסט '!A:K,11,0)+VLOOKUP('תפוקה מצטברת מול אשתקד'!A13,'מיטב דש'!A:K,11,0)+VLOOKUP('תפוקה מצטברת מול אשתקד'!A13,אינפניטי!A:K,11,0)</f>
        <v>163124.87</v>
      </c>
    </row>
    <row r="14" spans="1:16" ht="15.75" customHeight="1" x14ac:dyDescent="0.25">
      <c r="A14" s="26" t="s">
        <v>9</v>
      </c>
      <c r="B14" s="26" t="s">
        <v>108</v>
      </c>
      <c r="C14" s="26" t="s">
        <v>106</v>
      </c>
      <c r="D14" s="19">
        <f t="shared" si="0"/>
        <v>-0.57557392270803986</v>
      </c>
      <c r="E14" s="19">
        <f t="shared" si="1"/>
        <v>0.75076430978126818</v>
      </c>
      <c r="F14" s="19">
        <f t="shared" si="2"/>
        <v>7.053814770817346E-2</v>
      </c>
      <c r="G14" s="19">
        <f t="shared" si="4"/>
        <v>-0.76881737914879245</v>
      </c>
      <c r="H14" s="58">
        <f>VLOOKUP(A14,הכשרה!A:G,4,0)+VLOOKUP('תפוקה מצטברת מול אשתקד'!A14,מגדל!A:G,4,0)+VLOOKUP('תפוקה מצטברת מול אשתקד'!A14,מנורה!A:G,4,0)+VLOOKUP('תפוקה מצטברת מול אשתקד'!A14,איילון!A:G,4,0)+VLOOKUP('תפוקה מצטברת מול אשתקד'!A14,הראל!A:G,4,0)+VLOOKUP('תפוקה מצטברת מול אשתקד'!A14,הפניקס!A:G,4,0)+VLOOKUP('תפוקה מצטברת מול אשתקד'!A14,כלל!A:G,4,0)+VLOOKUP('תפוקה מצטברת מול אשתקד'!A14,מור!A:G,4,0)+VLOOKUP('תפוקה מצטברת מול אשתקד'!A14,'אלטשולר שחם'!A:G,4,0)+VLOOKUP('תפוקה מצטברת מול אשתקד'!A14,'מדיהו '!A:G,4,0)+VLOOKUP('תפוקה מצטברת מול אשתקד'!A14,'אנליסט '!A:G,4,0)+VLOOKUP('תפוקה מצטברת מול אשתקד'!A14,'מיטב דש'!A:G,4,0)+VLOOKUP('תפוקה מצטברת מול אשתקד'!A14,אינפניטי!A:G,4,0)</f>
        <v>168790.1185276506</v>
      </c>
      <c r="I14" s="58">
        <f>VLOOKUP(A14,הכשרה!A:G,5,0)+VLOOKUP('תפוקה מצטברת מול אשתקד'!A14,מגדל!A:G,5,0)+VLOOKUP('תפוקה מצטברת מול אשתקד'!A14,מנורה!A:G,5,0)+VLOOKUP('תפוקה מצטברת מול אשתקד'!A14,איילון!A:G,5,0)+VLOOKUP('תפוקה מצטברת מול אשתקד'!A14,הראל!A:G,5,0)+VLOOKUP('תפוקה מצטברת מול אשתקד'!A14,הפניקס!A:G,5,0)+VLOOKUP('תפוקה מצטברת מול אשתקד'!A14,כלל!A:G,5,0)+VLOOKUP('תפוקה מצטברת מול אשתקד'!A14,מור!A:G,5,0)+VLOOKUP('תפוקה מצטברת מול אשתקד'!A14,'אלטשולר שחם'!A:G,5,0)+VLOOKUP('תפוקה מצטברת מול אשתקד'!A14,'מדיהו '!A:G,5,0)+VLOOKUP('תפוקה מצטברת מול אשתקד'!A14,'אנליסט '!A:G,5,0)+VLOOKUP('תפוקה מצטברת מול אשתקד'!A14,'מיטב דש'!A:G,5,0)+VLOOKUP('תפוקה מצטברת מול אשתקד'!A14,אינפניטי!A:G,5,0)</f>
        <v>28714.450000000004</v>
      </c>
      <c r="J14" s="58">
        <f>VLOOKUP(A14,הכשרה!A:G,6,0)+VLOOKUP('תפוקה מצטברת מול אשתקד'!A14,מגדל!A:G,6,0)+VLOOKUP('תפוקה מצטברת מול אשתקד'!A14,מנורה!A:G,6,0)+VLOOKUP('תפוקה מצטברת מול אשתקד'!A14,איילון!A:G,6,0)+VLOOKUP(A14,הראל!A:G,6,0)+VLOOKUP('תפוקה מצטברת מול אשתקד'!A14,הפניקס!A:G,6,0)+VLOOKUP('תפוקה מצטברת מול אשתקד'!A14,כלל!A:G,6,0)+VLOOKUP('תפוקה מצטברת מול אשתקד'!A14,מור!A:G,6,0)+VLOOKUP('תפוקה מצטברת מול אשתקד'!A14,'אלטשולר שחם'!A:G,6,0)+VLOOKUP('תפוקה מצטברת מול אשתקד'!A14,'מדיהו '!A:G,6,0)+VLOOKUP('תפוקה מצטברת מול אשתקד'!A14,'אנליסט '!A:G,6,0)+VLOOKUP('תפוקה מצטברת מול אשתקד'!A14,'מיטב דש'!A:G,6,0)+VLOOKUP('תפוקה מצטברת מול אשתקד'!A14,אינפניטי!A:G,6,0)</f>
        <v>1173215.76</v>
      </c>
      <c r="K14" s="58">
        <f>VLOOKUP(A14,הכשרה!A:G,7,0)+VLOOKUP('תפוקה מצטברת מול אשתקד'!A14,מגדל!A:G,7,0)+VLOOKUP('תפוקה מצטברת מול אשתקד'!A14,מנורה!A:G,7,0)+VLOOKUP('תפוקה מצטברת מול אשתקד'!A14,איילון!A:G,7,0)+VLOOKUP('תפוקה מצטברת מול אשתקד'!A14,הראל!A:G,7,0)+VLOOKUP('תפוקה מצטברת מול אשתקד'!A14,הפניקס!A:G,7,0)+VLOOKUP('תפוקה מצטברת מול אשתקד'!A14,כלל!A:G,7,0)+VLOOKUP('תפוקה מצטברת מול אשתקד'!A14,מור!A:G,7,0)+VLOOKUP('תפוקה מצטברת מול אשתקד'!A14,'אלטשולר שחם'!A:G,7,0)+VLOOKUP('תפוקה מצטברת מול אשתקד'!A14,'מדיהו '!A:K,7,0)+VLOOKUP(A14,'אנליסט '!A:G,7,0)+VLOOKUP('תפוקה מצטברת מול אשתקד'!A14,'מיטב דש'!A:G,7,0)+VLOOKUP('תפוקה מצטברת מול אשתקד'!A14,אינפניטי!A:G,7,0)</f>
        <v>868965.5</v>
      </c>
      <c r="L14" s="12">
        <f>VLOOKUP(A14,הכשרה!A:K,8,0)+VLOOKUP('תפוקה מצטברת מול אשתקד'!A14,מגדל!A:K,8,0)+VLOOKUP('תפוקה מצטברת מול אשתקד'!A14,מנורה!A:K,8,0)+VLOOKUP('תפוקה מצטברת מול אשתקד'!A14,איילון!A:K,8,0)+VLOOKUP('תפוקה מצטברת מול אשתקד'!A14,הראל!A:K,8,0)+VLOOKUP('תפוקה מצטברת מול אשתקד'!A14,הפניקס!A:K,8,0)+VLOOKUP('תפוקה מצטברת מול אשתקד'!A14,כלל!A:K,8,0)+VLOOKUP('תפוקה מצטברת מול אשתקד'!A14,מור!A:K,8,0)+VLOOKUP('תפוקה מצטברת מול אשתקד'!A14,'אלטשולר שחם'!A:K,8,0)+VLOOKUP('תפוקה מצטברת מול אשתקד'!A14,'מדיהו '!A:K,8,0)+VLOOKUP('תפוקה מצטברת מול אשתקד'!A14,'אנליסט '!A:K,8,0)+VLOOKUP('תפוקה מצטברת מול אשתקד'!A14,'מיטב דש'!A:K,8,0)+VLOOKUP('תפוקה מצטברת מול אשתקד'!A14,אינפניטי!A:K,8,0)</f>
        <v>397690.26353095856</v>
      </c>
      <c r="M14" s="12">
        <f>VLOOKUP(A14,הכשרה!A:K,9,0)+VLOOKUP('תפוקה מצטברת מול אשתקד'!A14,מגדל!A:K,9,0)+VLOOKUP('תפוקה מצטברת מול אשתקד'!A14,מנורה!A:K,9,0)+VLOOKUP('תפוקה מצטברת מול אשתקד'!A14,איילון!A:K,9,0)+VLOOKUP('תפוקה מצטברת מול אשתקד'!A14,הראל!A:K,9,0)+VLOOKUP('תפוקה מצטברת מול אשתקד'!A14,הפניקס!A:K,9,0)+VLOOKUP('תפוקה מצטברת מול אשתקד'!A14,כלל!A:K,9,0)+VLOOKUP('תפוקה מצטברת מול אשתקד'!A14,מור!A:K,9,0)+VLOOKUP('תפוקה מצטברת מול אשתקד'!A14,'אלטשולר שחם'!A:K,9,0)+VLOOKUP('תפוקה מצטברת מול אשתקד'!A14,'מדיהו '!A:K,9,0)+VLOOKUP('תפוקה מצטברת מול אשתקד'!A14,'אנליסט '!A:K,9,0)+VLOOKUP('תפוקה מצטברת מול אשתקד'!A14,'מיטב דש'!A:K,9,0)+VLOOKUP('תפוקה מצטברת מול אשתקד'!A14,אינפניטי!A:K,9,0)</f>
        <v>16401.09399053688</v>
      </c>
      <c r="N14" s="12">
        <f>VLOOKUP(A14,הכשרה!A:K,10,0)+VLOOKUP('תפוקה מצטברת מול אשתקד'!A14,מגדל!A:K,10,0)+VLOOKUP('תפוקה מצטברת מול אשתקד'!A14,מנורה!A:K,10,0)+VLOOKUP('תפוקה מצטברת מול אשתקד'!A14,איילון!A:K,10,0)+VLOOKUP('תפוקה מצטברת מול אשתקד'!A14,הראל!A:K,10,0)+VLOOKUP('תפוקה מצטברת מול אשתקד'!A14,הפניקס!A:K,10,0)+VLOOKUP('תפוקה מצטברת מול אשתקד'!A14,כלל!A:K,10,0)+VLOOKUP('תפוקה מצטברת מול אשתקד'!A14,מור!A:K,10,0)+VLOOKUP('תפוקה מצטברת מול אשתקד'!A14,'אלטשולר שחם'!A:K,10,0)+VLOOKUP('תפוקה מצטברת מול אשתקד'!A14,'מדיהו '!A:K,10,0)+VLOOKUP('תפוקה מצטברת מול אשתקד'!A14,'אנליסט '!A:K,10,0)+VLOOKUP('תפוקה מצטברת מול אשתקד'!A14,'מיטב דש'!A:K,10,0)+VLOOKUP('תפוקה מצטברת מול אשתקד'!A14,אינפניטי!A:K,10,0)</f>
        <v>1095912.147093161</v>
      </c>
      <c r="O14" s="12">
        <f>VLOOKUP(A14,הכשרה!A:K,11,0)+VLOOKUP('תפוקה מצטברת מול אשתקד'!A14,מגדל!A:K,11,0)+VLOOKUP('תפוקה מצטברת מול אשתקד'!A14,מנורה!A:K,11,0)+VLOOKUP('תפוקה מצטברת מול אשתקד'!A14,איילון!A:K,11,0)+VLOOKUP('תפוקה מצטברת מול אשתקד'!A14,הראל!A:K,11,0)+VLOOKUP('תפוקה מצטברת מול אשתקד'!A14,הפניקס!A:K,11,0)+VLOOKUP('תפוקה מצטברת מול אשתקד'!A14,כלל!A:K,11,0)+VLOOKUP('תפוקה מצטברת מול אשתקד'!A14,מור!A:K,11,0)+VLOOKUP('תפוקה מצטברת מול אשתקד'!A14,'אלטשולר שחם'!A:K,11,0)+VLOOKUP('תפוקה מצטברת מול אשתקד'!A14,'מדיהו '!A:K,11,0)+VLOOKUP('תפוקה מצטברת מול אשתקד'!A14,'אנליסט '!A:K,11,0)+VLOOKUP('תפוקה מצטברת מול אשתקד'!A14,'מיטב דש'!A:K,11,0)+VLOOKUP('תפוקה מצטברת מול אשתקד'!A14,אינפניטי!A:K,11,0)</f>
        <v>3758783.8428360005</v>
      </c>
    </row>
    <row r="15" spans="1:16" ht="15.75" customHeight="1" x14ac:dyDescent="0.25">
      <c r="A15" s="26" t="s">
        <v>31</v>
      </c>
      <c r="B15" s="26" t="s">
        <v>108</v>
      </c>
      <c r="C15" s="26" t="s">
        <v>106</v>
      </c>
      <c r="D15" s="19">
        <f t="shared" si="0"/>
        <v>0</v>
      </c>
      <c r="E15" s="19">
        <f t="shared" si="1"/>
        <v>0</v>
      </c>
      <c r="F15" s="19">
        <f t="shared" si="2"/>
        <v>1</v>
      </c>
      <c r="G15" s="19">
        <f t="shared" si="4"/>
        <v>0</v>
      </c>
      <c r="H15" s="58">
        <f>VLOOKUP(A15,הכשרה!A:G,4,0)+VLOOKUP('תפוקה מצטברת מול אשתקד'!A15,מגדל!A:G,4,0)+VLOOKUP('תפוקה מצטברת מול אשתקד'!A15,מנורה!A:G,4,0)+VLOOKUP('תפוקה מצטברת מול אשתקד'!A15,איילון!A:G,4,0)+VLOOKUP('תפוקה מצטברת מול אשתקד'!A15,הראל!A:G,4,0)+VLOOKUP('תפוקה מצטברת מול אשתקד'!A15,הפניקס!A:G,4,0)+VLOOKUP('תפוקה מצטברת מול אשתקד'!A15,כלל!A:G,4,0)+VLOOKUP('תפוקה מצטברת מול אשתקד'!A15,מור!A:G,4,0)+VLOOKUP('תפוקה מצטברת מול אשתקד'!A15,'אלטשולר שחם'!A:G,4,0)+VLOOKUP('תפוקה מצטברת מול אשתקד'!A15,'מדיהו '!A:G,4,0)+VLOOKUP('תפוקה מצטברת מול אשתקד'!A15,'אנליסט '!A:G,4,0)+VLOOKUP('תפוקה מצטברת מול אשתקד'!A15,'מיטב דש'!A:G,4,0)+VLOOKUP('תפוקה מצטברת מול אשתקד'!A15,אינפניטי!A:G,4,0)</f>
        <v>0</v>
      </c>
      <c r="I15" s="58">
        <f>VLOOKUP(A15,הכשרה!A:G,5,0)+VLOOKUP('תפוקה מצטברת מול אשתקד'!A15,מגדל!A:G,5,0)+VLOOKUP('תפוקה מצטברת מול אשתקד'!A15,מנורה!A:G,5,0)+VLOOKUP('תפוקה מצטברת מול אשתקד'!A15,איילון!A:G,5,0)+VLOOKUP('תפוקה מצטברת מול אשתקד'!A15,הראל!A:G,5,0)+VLOOKUP('תפוקה מצטברת מול אשתקד'!A15,הפניקס!A:G,5,0)+VLOOKUP('תפוקה מצטברת מול אשתקד'!A15,כלל!A:G,5,0)+VLOOKUP('תפוקה מצטברת מול אשתקד'!A15,מור!A:G,5,0)+VLOOKUP('תפוקה מצטברת מול אשתקד'!A15,'אלטשולר שחם'!A:G,5,0)+VLOOKUP('תפוקה מצטברת מול אשתקד'!A15,'מדיהו '!A:G,5,0)+VLOOKUP('תפוקה מצטברת מול אשתקד'!A15,'אנליסט '!A:G,5,0)+VLOOKUP('תפוקה מצטברת מול אשתקד'!A15,'מיטב דש'!A:G,5,0)+VLOOKUP('תפוקה מצטברת מול אשתקד'!A15,אינפניטי!A:G,5,0)</f>
        <v>0</v>
      </c>
      <c r="J15" s="58">
        <f>VLOOKUP(A15,הכשרה!A:G,6,0)+VLOOKUP('תפוקה מצטברת מול אשתקד'!A15,מגדל!A:G,6,0)+VLOOKUP('תפוקה מצטברת מול אשתקד'!A15,מנורה!A:G,6,0)+VLOOKUP('תפוקה מצטברת מול אשתקד'!A15,איילון!A:G,6,0)+VLOOKUP(A15,הראל!A:G,6,0)+VLOOKUP('תפוקה מצטברת מול אשתקד'!A15,הפניקס!A:G,6,0)+VLOOKUP('תפוקה מצטברת מול אשתקד'!A15,כלל!A:G,6,0)+VLOOKUP('תפוקה מצטברת מול אשתקד'!A15,מור!A:G,6,0)+VLOOKUP('תפוקה מצטברת מול אשתקד'!A15,'אלטשולר שחם'!A:G,6,0)+VLOOKUP('תפוקה מצטברת מול אשתקד'!A15,'מדיהו '!A:G,6,0)+VLOOKUP('תפוקה מצטברת מול אשתקד'!A15,'אנליסט '!A:G,6,0)+VLOOKUP('תפוקה מצטברת מול אשתקד'!A15,'מיטב דש'!A:G,6,0)+VLOOKUP('תפוקה מצטברת מול אשתקד'!A15,אינפניטי!A:G,6,0)</f>
        <v>218691.22</v>
      </c>
      <c r="K15" s="58">
        <f>VLOOKUP(A15,הכשרה!A:G,7,0)+VLOOKUP('תפוקה מצטברת מול אשתקד'!A15,מגדל!A:G,7,0)+VLOOKUP('תפוקה מצטברת מול אשתקד'!A15,מנורה!A:G,7,0)+VLOOKUP('תפוקה מצטברת מול אשתקד'!A15,איילון!A:G,7,0)+VLOOKUP('תפוקה מצטברת מול אשתקד'!A15,הראל!A:G,7,0)+VLOOKUP('תפוקה מצטברת מול אשתקד'!A15,הפניקס!A:G,7,0)+VLOOKUP('תפוקה מצטברת מול אשתקד'!A15,כלל!A:G,7,0)+VLOOKUP('תפוקה מצטברת מול אשתקד'!A15,מור!A:G,7,0)+VLOOKUP('תפוקה מצטברת מול אשתקד'!A15,'אלטשולר שחם'!A:G,7,0)+VLOOKUP('תפוקה מצטברת מול אשתקד'!A15,'מדיהו '!A:K,7,0)+VLOOKUP(A15,'אנליסט '!A:G,7,0)+VLOOKUP('תפוקה מצטברת מול אשתקד'!A15,'מיטב דש'!A:G,7,0)+VLOOKUP('תפוקה מצטברת מול אשתקד'!A15,אינפניטי!A:G,7,0)</f>
        <v>0</v>
      </c>
      <c r="L15" s="12">
        <f>VLOOKUP(A15,הכשרה!A:K,8,0)+VLOOKUP('תפוקה מצטברת מול אשתקד'!A15,מגדל!A:K,8,0)+VLOOKUP('תפוקה מצטברת מול אשתקד'!A15,מנורה!A:K,8,0)+VLOOKUP('תפוקה מצטברת מול אשתקד'!A15,איילון!A:K,8,0)+VLOOKUP('תפוקה מצטברת מול אשתקד'!A15,הראל!A:K,8,0)+VLOOKUP('תפוקה מצטברת מול אשתקד'!A15,הפניקס!A:K,8,0)+VLOOKUP('תפוקה מצטברת מול אשתקד'!A15,כלל!A:K,8,0)+VLOOKUP('תפוקה מצטברת מול אשתקד'!A15,מור!A:K,8,0)+VLOOKUP('תפוקה מצטברת מול אשתקד'!A15,'אלטשולר שחם'!A:K,8,0)+VLOOKUP('תפוקה מצטברת מול אשתקד'!A15,'מדיהו '!A:K,8,0)+VLOOKUP('תפוקה מצטברת מול אשתקד'!A15,'אנליסט '!A:K,8,0)+VLOOKUP('תפוקה מצטברת מול אשתקד'!A15,'מיטב דש'!A:K,8,0)+VLOOKUP('תפוקה מצטברת מול אשתקד'!A15,אינפניטי!A:K,8,0)</f>
        <v>38086.79</v>
      </c>
      <c r="M15" s="12">
        <f>VLOOKUP(A15,הכשרה!A:K,9,0)+VLOOKUP('תפוקה מצטברת מול אשתקד'!A15,מגדל!A:K,9,0)+VLOOKUP('תפוקה מצטברת מול אשתקד'!A15,מנורה!A:K,9,0)+VLOOKUP('תפוקה מצטברת מול אשתקד'!A15,איילון!A:K,9,0)+VLOOKUP('תפוקה מצטברת מול אשתקד'!A15,הראל!A:K,9,0)+VLOOKUP('תפוקה מצטברת מול אשתקד'!A15,הפניקס!A:K,9,0)+VLOOKUP('תפוקה מצטברת מול אשתקד'!A15,כלל!A:K,9,0)+VLOOKUP('תפוקה מצטברת מול אשתקד'!A15,מור!A:K,9,0)+VLOOKUP('תפוקה מצטברת מול אשתקד'!A15,'אלטשולר שחם'!A:K,9,0)+VLOOKUP('תפוקה מצטברת מול אשתקד'!A15,'מדיהו '!A:K,9,0)+VLOOKUP('תפוקה מצטברת מול אשתקד'!A15,'אנליסט '!A:K,9,0)+VLOOKUP('תפוקה מצטברת מול אשתקד'!A15,'מיטב דש'!A:K,9,0)+VLOOKUP('תפוקה מצטברת מול אשתקד'!A15,אינפניטי!A:K,9,0)</f>
        <v>0</v>
      </c>
      <c r="N15" s="12">
        <f>VLOOKUP(A15,הכשרה!A:K,10,0)+VLOOKUP('תפוקה מצטברת מול אשתקד'!A15,מגדל!A:K,10,0)+VLOOKUP('תפוקה מצטברת מול אשתקד'!A15,מנורה!A:K,10,0)+VLOOKUP('תפוקה מצטברת מול אשתקד'!A15,איילון!A:K,10,0)+VLOOKUP('תפוקה מצטברת מול אשתקד'!A15,הראל!A:K,10,0)+VLOOKUP('תפוקה מצטברת מול אשתקד'!A15,הפניקס!A:K,10,0)+VLOOKUP('תפוקה מצטברת מול אשתקד'!A15,כלל!A:K,10,0)+VLOOKUP('תפוקה מצטברת מול אשתקד'!A15,מור!A:K,10,0)+VLOOKUP('תפוקה מצטברת מול אשתקד'!A15,'אלטשולר שחם'!A:K,10,0)+VLOOKUP('תפוקה מצטברת מול אשתקד'!A15,'מדיהו '!A:K,10,0)+VLOOKUP('תפוקה מצטברת מול אשתקד'!A15,'אנליסט '!A:K,10,0)+VLOOKUP('תפוקה מצטברת מול אשתקד'!A15,'מיטב דש'!A:K,10,0)+VLOOKUP('תפוקה מצטברת מול אשתקד'!A15,אינפניטי!A:K,10,0)</f>
        <v>0</v>
      </c>
      <c r="O15" s="12">
        <f>VLOOKUP(A15,הכשרה!A:K,11,0)+VLOOKUP('תפוקה מצטברת מול אשתקד'!A15,מגדל!A:K,11,0)+VLOOKUP('תפוקה מצטברת מול אשתקד'!A15,מנורה!A:K,11,0)+VLOOKUP('תפוקה מצטברת מול אשתקד'!A15,איילון!A:K,11,0)+VLOOKUP('תפוקה מצטברת מול אשתקד'!A15,הראל!A:K,11,0)+VLOOKUP('תפוקה מצטברת מול אשתקד'!A15,הפניקס!A:K,11,0)+VLOOKUP('תפוקה מצטברת מול אשתקד'!A15,כלל!A:K,11,0)+VLOOKUP('תפוקה מצטברת מול אשתקד'!A15,מור!A:K,11,0)+VLOOKUP('תפוקה מצטברת מול אשתקד'!A15,'אלטשולר שחם'!A:K,11,0)+VLOOKUP('תפוקה מצטברת מול אשתקד'!A15,'מדיהו '!A:K,11,0)+VLOOKUP('תפוקה מצטברת מול אשתקד'!A15,'אנליסט '!A:K,11,0)+VLOOKUP('תפוקה מצטברת מול אשתקד'!A15,'מיטב דש'!A:K,11,0)+VLOOKUP('תפוקה מצטברת מול אשתקד'!A15,אינפניטי!A:K,11,0)</f>
        <v>1145.165</v>
      </c>
    </row>
    <row r="16" spans="1:16" ht="15.75" customHeight="1" x14ac:dyDescent="0.25">
      <c r="A16" s="26" t="s">
        <v>96</v>
      </c>
      <c r="B16" s="26" t="s">
        <v>108</v>
      </c>
      <c r="C16" s="26" t="s">
        <v>106</v>
      </c>
      <c r="D16" s="19">
        <f t="shared" si="0"/>
        <v>0.71441668744172215</v>
      </c>
      <c r="E16" s="19">
        <f t="shared" si="1"/>
        <v>1.0090198456112103</v>
      </c>
      <c r="F16" s="19">
        <f t="shared" si="2"/>
        <v>0</v>
      </c>
      <c r="G16" s="19">
        <f t="shared" si="4"/>
        <v>67.819262100771113</v>
      </c>
      <c r="H16" s="58">
        <f>VLOOKUP(A16,הכשרה!A:G,4,0)+VLOOKUP('תפוקה מצטברת מול אשתקד'!A16,מגדל!A:G,4,0)+VLOOKUP('תפוקה מצטברת מול אשתקד'!A16,מנורה!A:G,4,0)+VLOOKUP('תפוקה מצטברת מול אשתקד'!A16,איילון!A:G,4,0)+VLOOKUP('תפוקה מצטברת מול אשתקד'!A16,הראל!A:G,4,0)+VLOOKUP('תפוקה מצטברת מול אשתקד'!A16,הפניקס!A:G,4,0)+VLOOKUP('תפוקה מצטברת מול אשתקד'!A16,כלל!A:G,4,0)+VLOOKUP('תפוקה מצטברת מול אשתקד'!A16,מור!A:G,4,0)+VLOOKUP('תפוקה מצטברת מול אשתקד'!A16,'אלטשולר שחם'!A:G,4,0)+VLOOKUP('תפוקה מצטברת מול אשתקד'!A16,'מדיהו '!A:G,4,0)+VLOOKUP('תפוקה מצטברת מול אשתקד'!A16,'אנליסט '!A:G,4,0)+VLOOKUP('תפוקה מצטברת מול אשתקד'!A16,'מיטב דש'!A:G,4,0)+VLOOKUP('תפוקה מצטברת מול אשתקד'!A16,אינפניטי!A:G,4,0)</f>
        <v>90775.790000000008</v>
      </c>
      <c r="I16" s="58">
        <f>VLOOKUP(A16,הכשרה!A:G,5,0)+VLOOKUP('תפוקה מצטברת מול אשתקד'!A16,מגדל!A:G,5,0)+VLOOKUP('תפוקה מצטברת מול אשתקד'!A16,מנורה!A:G,5,0)+VLOOKUP('תפוקה מצטברת מול אשתקד'!A16,איילון!A:G,5,0)+VLOOKUP('תפוקה מצטברת מול אשתקד'!A16,הראל!A:G,5,0)+VLOOKUP('תפוקה מצטברת מול אשתקד'!A16,הפניקס!A:G,5,0)+VLOOKUP('תפוקה מצטברת מול אשתקד'!A16,כלל!A:G,5,0)+VLOOKUP('תפוקה מצטברת מול אשתקד'!A16,מור!A:G,5,0)+VLOOKUP('תפוקה מצטברת מול אשתקד'!A16,'אלטשולר שחם'!A:G,5,0)+VLOOKUP('תפוקה מצטברת מול אשתקד'!A16,'מדיהו '!A:G,5,0)+VLOOKUP('תפוקה מצטברת מול אשתקד'!A16,'אנליסט '!A:G,5,0)+VLOOKUP('תפוקה מצטברת מול אשתקד'!A16,'מיטב דש'!A:G,5,0)+VLOOKUP('תפוקה מצטברת מול אשתקד'!A16,אינפניטי!A:G,5,0)</f>
        <v>35219.477999999996</v>
      </c>
      <c r="J16" s="58">
        <f>VLOOKUP(A16,הכשרה!A:G,6,0)+VLOOKUP('תפוקה מצטברת מול אשתקד'!A16,מגדל!A:G,6,0)+VLOOKUP('תפוקה מצטברת מול אשתקד'!A16,מנורה!A:G,6,0)+VLOOKUP('תפוקה מצטברת מול אשתקד'!A16,איילון!A:G,6,0)+VLOOKUP(A16,הראל!A:G,6,0)+VLOOKUP('תפוקה מצטברת מול אשתקד'!A16,הפניקס!A:G,6,0)+VLOOKUP('תפוקה מצטברת מול אשתקד'!A16,כלל!A:G,6,0)+VLOOKUP('תפוקה מצטברת מול אשתקד'!A16,מור!A:G,6,0)+VLOOKUP('תפוקה מצטברת מול אשתקד'!A16,'אלטשולר שחם'!A:G,6,0)+VLOOKUP('תפוקה מצטברת מול אשתקד'!A16,'מדיהו '!A:G,6,0)+VLOOKUP('תפוקה מצטברת מול אשתקד'!A16,'אנליסט '!A:G,6,0)+VLOOKUP('תפוקה מצטברת מול אשתקד'!A16,'מיטב דש'!A:G,6,0)+VLOOKUP('תפוקה מצטברת מול אשתקד'!A16,אינפניטי!A:G,6,0)</f>
        <v>0</v>
      </c>
      <c r="K16" s="58">
        <f>VLOOKUP(A16,הכשרה!A:G,7,0)+VLOOKUP('תפוקה מצטברת מול אשתקד'!A16,מגדל!A:G,7,0)+VLOOKUP('תפוקה מצטברת מול אשתקד'!A16,מנורה!A:G,7,0)+VLOOKUP('תפוקה מצטברת מול אשתקד'!A16,איילון!A:G,7,0)+VLOOKUP('תפוקה מצטברת מול אשתקד'!A16,הראל!A:G,7,0)+VLOOKUP('תפוקה מצטברת מול אשתקד'!A16,הפניקס!A:G,7,0)+VLOOKUP('תפוקה מצטברת מול אשתקד'!A16,כלל!A:G,7,0)+VLOOKUP('תפוקה מצטברת מול אשתקד'!A16,מור!A:G,7,0)+VLOOKUP('תפוקה מצטברת מול אשתקד'!A16,'אלטשולר שחם'!A:G,7,0)+VLOOKUP('תפוקה מצטברת מול אשתקד'!A16,'מדיהו '!A:K,7,0)+VLOOKUP(A16,'אנליסט '!A:G,7,0)+VLOOKUP('תפוקה מצטברת מול אשתקד'!A16,'מיטב דש'!A:G,7,0)+VLOOKUP('תפוקה מצטברת מול אשתקד'!A16,אינפניטי!A:G,7,0)</f>
        <v>103548.56</v>
      </c>
      <c r="L16" s="12">
        <f>VLOOKUP(A16,הכשרה!A:K,8,0)+VLOOKUP('תפוקה מצטברת מול אשתקד'!A16,מגדל!A:K,8,0)+VLOOKUP('תפוקה מצטברת מול אשתקד'!A16,מנורה!A:K,8,0)+VLOOKUP('תפוקה מצטברת מול אשתקד'!A16,איילון!A:K,8,0)+VLOOKUP('תפוקה מצטברת מול אשתקד'!A16,הראל!A:K,8,0)+VLOOKUP('תפוקה מצטברת מול אשתקד'!A16,הפניקס!A:K,8,0)+VLOOKUP('תפוקה מצטברת מול אשתקד'!A16,כלל!A:K,8,0)+VLOOKUP('תפוקה מצטברת מול אשתקד'!A16,מור!A:K,8,0)+VLOOKUP('תפוקה מצטברת מול אשתקד'!A16,'אלטשולר שחם'!A:K,8,0)+VLOOKUP('תפוקה מצטברת מול אשתקד'!A16,'מדיהו '!A:K,8,0)+VLOOKUP('תפוקה מצטברת מול אשתקד'!A16,'אנליסט '!A:K,8,0)+VLOOKUP('תפוקה מצטברת מול אשתקד'!A16,'מיטב דש'!A:K,8,0)+VLOOKUP('תפוקה מצטברת מול אשתקד'!A16,אינפניטי!A:K,8,0)</f>
        <v>52948.498848000003</v>
      </c>
      <c r="M16" s="12">
        <f>VLOOKUP(A16,הכשרה!A:K,9,0)+VLOOKUP('תפוקה מצטברת מול אשתקד'!A16,מגדל!A:K,9,0)+VLOOKUP('תפוקה מצטברת מול אשתקד'!A16,מנורה!A:K,9,0)+VLOOKUP('תפוקה מצטברת מול אשתקד'!A16,איילון!A:K,9,0)+VLOOKUP('תפוקה מצטברת מול אשתקד'!A16,הראל!A:K,9,0)+VLOOKUP('תפוקה מצטברת מול אשתקד'!A16,הפניקס!A:K,9,0)+VLOOKUP('תפוקה מצטברת מול אשתקד'!A16,כלל!A:K,9,0)+VLOOKUP('תפוקה מצטברת מול אשתקד'!A16,מור!A:K,9,0)+VLOOKUP('תפוקה מצטברת מול אשתקד'!A16,'אלטשולר שחם'!A:K,9,0)+VLOOKUP('תפוקה מצטברת מול אשתקד'!A16,'מדיהו '!A:K,9,0)+VLOOKUP('תפוקה מצטברת מול אשתקד'!A16,'אנליסט '!A:K,9,0)+VLOOKUP('תפוקה מצטברת מול אשתקד'!A16,'מיטב דש'!A:K,9,0)+VLOOKUP('תפוקה מצטברת מול אשתקד'!A16,אינפניטי!A:K,9,0)</f>
        <v>17530.677</v>
      </c>
      <c r="N16" s="12">
        <f>VLOOKUP(A16,הכשרה!A:K,10,0)+VLOOKUP('תפוקה מצטברת מול אשתקד'!A16,מגדל!A:K,10,0)+VLOOKUP('תפוקה מצטברת מול אשתקד'!A16,מנורה!A:K,10,0)+VLOOKUP('תפוקה מצטברת מול אשתקד'!A16,איילון!A:K,10,0)+VLOOKUP('תפוקה מצטברת מול אשתקד'!A16,הראל!A:K,10,0)+VLOOKUP('תפוקה מצטברת מול אשתקד'!A16,הפניקס!A:K,10,0)+VLOOKUP('תפוקה מצטברת מול אשתקד'!A16,כלל!A:K,10,0)+VLOOKUP('תפוקה מצטברת מול אשתקד'!A16,מור!A:K,10,0)+VLOOKUP('תפוקה מצטברת מול אשתקד'!A16,'אלטשולר שחם'!A:K,10,0)+VLOOKUP('תפוקה מצטברת מול אשתקד'!A16,'מדיהו '!A:K,10,0)+VLOOKUP('תפוקה מצטברת מול אשתקד'!A16,'אנליסט '!A:K,10,0)+VLOOKUP('תפוקה מצטברת מול אשתקד'!A16,'מיטב דש'!A:K,10,0)+VLOOKUP('תפוקה מצטברת מול אשתקד'!A16,אינפניטי!A:K,10,0)</f>
        <v>0</v>
      </c>
      <c r="O16" s="12">
        <f>VLOOKUP(A16,הכשרה!A:K,11,0)+VLOOKUP('תפוקה מצטברת מול אשתקד'!A16,מגדל!A:K,11,0)+VLOOKUP('תפוקה מצטברת מול אשתקד'!A16,מנורה!A:K,11,0)+VLOOKUP('תפוקה מצטברת מול אשתקד'!A16,איילון!A:K,11,0)+VLOOKUP('תפוקה מצטברת מול אשתקד'!A16,הראל!A:K,11,0)+VLOOKUP('תפוקה מצטברת מול אשתקד'!A16,הפניקס!A:K,11,0)+VLOOKUP('תפוקה מצטברת מול אשתקד'!A16,כלל!A:K,11,0)+VLOOKUP('תפוקה מצטברת מול אשתקד'!A16,מור!A:K,11,0)+VLOOKUP('תפוקה מצטברת מול אשתקד'!A16,'אלטשולר שחם'!A:K,11,0)+VLOOKUP('תפוקה מצטברת מול אשתקד'!A16,'מדיהו '!A:K,11,0)+VLOOKUP('תפוקה מצטברת מול אשתקד'!A16,'אנליסט '!A:K,11,0)+VLOOKUP('תפוקה מצטברת מול אשתקד'!A16,'מיטב דש'!A:K,11,0)+VLOOKUP('תפוקה מצטברת מול אשתקד'!A16,אינפניטי!A:K,11,0)</f>
        <v>1504.6450199999999</v>
      </c>
    </row>
    <row r="17" spans="1:18" ht="15.75" customHeight="1" x14ac:dyDescent="0.25">
      <c r="A17" s="26" t="s">
        <v>42</v>
      </c>
      <c r="B17" s="26" t="s">
        <v>108</v>
      </c>
      <c r="C17" s="26" t="s">
        <v>106</v>
      </c>
      <c r="D17" s="19">
        <f t="shared" si="0"/>
        <v>0.2681926362939091</v>
      </c>
      <c r="E17" s="19">
        <f t="shared" si="1"/>
        <v>1.330637614557777</v>
      </c>
      <c r="F17" s="19">
        <f t="shared" si="2"/>
        <v>-0.45829994921584483</v>
      </c>
      <c r="G17" s="19">
        <f t="shared" si="4"/>
        <v>-0.53554328923704042</v>
      </c>
      <c r="H17" s="58">
        <f>VLOOKUP(A17,הכשרה!A:G,4,0)+VLOOKUP('תפוקה מצטברת מול אשתקד'!A17,מגדל!A:G,4,0)+VLOOKUP('תפוקה מצטברת מול אשתקד'!A17,מנורה!A:G,4,0)+VLOOKUP('תפוקה מצטברת מול אשתקד'!A17,איילון!A:G,4,0)+VLOOKUP('תפוקה מצטברת מול אשתקד'!A17,הראל!A:G,4,0)+VLOOKUP('תפוקה מצטברת מול אשתקד'!A17,הפניקס!A:G,4,0)+VLOOKUP('תפוקה מצטברת מול אשתקד'!A17,כלל!A:G,4,0)+VLOOKUP('תפוקה מצטברת מול אשתקד'!A17,מור!A:G,4,0)+VLOOKUP('תפוקה מצטברת מול אשתקד'!A17,'אלטשולר שחם'!A:G,4,0)+VLOOKUP('תפוקה מצטברת מול אשתקד'!A17,'מדיהו '!A:G,4,0)+VLOOKUP('תפוקה מצטברת מול אשתקד'!A17,'אנליסט '!A:G,4,0)+VLOOKUP('תפוקה מצטברת מול אשתקד'!A17,'מיטב דש'!A:G,4,0)+VLOOKUP('תפוקה מצטברת מול אשתקד'!A17,אינפניטי!A:G,4,0)</f>
        <v>423558.53251386044</v>
      </c>
      <c r="I17" s="58">
        <f>VLOOKUP(A17,הכשרה!A:G,5,0)+VLOOKUP('תפוקה מצטברת מול אשתקד'!A17,מגדל!A:G,5,0)+VLOOKUP('תפוקה מצטברת מול אשתקד'!A17,מנורה!A:G,5,0)+VLOOKUP('תפוקה מצטברת מול אשתקד'!A17,איילון!A:G,5,0)+VLOOKUP('תפוקה מצטברת מול אשתקד'!A17,הראל!A:G,5,0)+VLOOKUP('תפוקה מצטברת מול אשתקד'!A17,הפניקס!A:G,5,0)+VLOOKUP('תפוקה מצטברת מול אשתקד'!A17,כלל!A:G,5,0)+VLOOKUP('תפוקה מצטברת מול אשתקד'!A17,מור!A:G,5,0)+VLOOKUP('תפוקה מצטברת מול אשתקד'!A17,'אלטשולר שחם'!A:G,5,0)+VLOOKUP('תפוקה מצטברת מול אשתקד'!A17,'מדיהו '!A:G,5,0)+VLOOKUP('תפוקה מצטברת מול אשתקד'!A17,'אנליסט '!A:G,5,0)+VLOOKUP('תפוקה מצטברת מול אשתקד'!A17,'מיטב דש'!A:G,5,0)+VLOOKUP('תפוקה מצטברת מול אשתקד'!A17,אינפניטי!A:G,5,0)</f>
        <v>205096.36325326172</v>
      </c>
      <c r="J17" s="58">
        <f>VLOOKUP(A17,הכשרה!A:G,6,0)+VLOOKUP('תפוקה מצטברת מול אשתקד'!A17,מגדל!A:G,6,0)+VLOOKUP('תפוקה מצטברת מול אשתקד'!A17,מנורה!A:G,6,0)+VLOOKUP('תפוקה מצטברת מול אשתקד'!A17,איילון!A:G,6,0)+VLOOKUP(A17,הראל!A:G,6,0)+VLOOKUP('תפוקה מצטברת מול אשתקד'!A17,הפניקס!A:G,6,0)+VLOOKUP('תפוקה מצטברת מול אשתקד'!A17,כלל!A:G,6,0)+VLOOKUP('תפוקה מצטברת מול אשתקד'!A17,מור!A:G,6,0)+VLOOKUP('תפוקה מצטברת מול אשתקד'!A17,'אלטשולר שחם'!A:G,6,0)+VLOOKUP('תפוקה מצטברת מול אשתקד'!A17,'מדיהו '!A:G,6,0)+VLOOKUP('תפוקה מצטברת מול אשתקד'!A17,'אנליסט '!A:G,6,0)+VLOOKUP('תפוקה מצטברת מול אשתקד'!A17,'מיטב דש'!A:G,6,0)+VLOOKUP('תפוקה מצטברת מול אשתקד'!A17,אינפניטי!A:G,6,0)</f>
        <v>2785641.3473905427</v>
      </c>
      <c r="K17" s="58">
        <f>VLOOKUP(A17,הכשרה!A:G,7,0)+VLOOKUP('תפוקה מצטברת מול אשתקד'!A17,מגדל!A:G,7,0)+VLOOKUP('תפוקה מצטברת מול אשתקד'!A17,מנורה!A:G,7,0)+VLOOKUP('תפוקה מצטברת מול אשתקד'!A17,איילון!A:G,7,0)+VLOOKUP('תפוקה מצטברת מול אשתקד'!A17,הראל!A:G,7,0)+VLOOKUP('תפוקה מצטברת מול אשתקד'!A17,הפניקס!A:G,7,0)+VLOOKUP('תפוקה מצטברת מול אשתקד'!A17,כלל!A:G,7,0)+VLOOKUP('תפוקה מצטברת מול אשתקד'!A17,מור!A:G,7,0)+VLOOKUP('תפוקה מצטברת מול אשתקד'!A17,'אלטשולר שחם'!A:G,7,0)+VLOOKUP('תפוקה מצטברת מול אשתקד'!A17,'מדיהו '!A:K,7,0)+VLOOKUP(A17,'אנליסט '!A:G,7,0)+VLOOKUP('תפוקה מצטברת מול אשתקד'!A17,'מיטב דש'!A:G,7,0)+VLOOKUP('תפוקה מצטברת מול אשתקד'!A17,אינפניטי!A:G,7,0)</f>
        <v>1113337.7000000002</v>
      </c>
      <c r="L17" s="12">
        <f>VLOOKUP(A17,הכשרה!A:K,8,0)+VLOOKUP('תפוקה מצטברת מול אשתקד'!A17,מגדל!A:K,8,0)+VLOOKUP('תפוקה מצטברת מול אשתקד'!A17,מנורה!A:K,8,0)+VLOOKUP('תפוקה מצטברת מול אשתקד'!A17,איילון!A:K,8,0)+VLOOKUP('תפוקה מצטברת מול אשתקד'!A17,הראל!A:K,8,0)+VLOOKUP('תפוקה מצטברת מול אשתקד'!A17,הפניקס!A:K,8,0)+VLOOKUP('תפוקה מצטברת מול אשתקד'!A17,כלל!A:K,8,0)+VLOOKUP('תפוקה מצטברת מול אשתקד'!A17,מור!A:K,8,0)+VLOOKUP('תפוקה מצטברת מול אשתקד'!A17,'אלטשולר שחם'!A:K,8,0)+VLOOKUP('תפוקה מצטברת מול אשתקד'!A17,'מדיהו '!A:K,8,0)+VLOOKUP('תפוקה מצטברת מול אשתקד'!A17,'אנליסט '!A:K,8,0)+VLOOKUP('תפוקה מצטברת מול אשתקד'!A17,'מיטב דש'!A:K,8,0)+VLOOKUP('תפוקה מצטברת מול אשתקד'!A17,אינפניטי!A:K,8,0)</f>
        <v>333985.95796269784</v>
      </c>
      <c r="M17" s="12">
        <f>VLOOKUP(A17,הכשרה!A:K,9,0)+VLOOKUP('תפוקה מצטברת מול אשתקד'!A17,מגדל!A:K,9,0)+VLOOKUP('תפוקה מצטברת מול אשתקד'!A17,מנורה!A:K,9,0)+VLOOKUP('תפוקה מצטברת מול אשתקד'!A17,איילון!A:K,9,0)+VLOOKUP('תפוקה מצטברת מול אשתקד'!A17,הראל!A:K,9,0)+VLOOKUP('תפוקה מצטברת מול אשתקד'!A17,הפניקס!A:K,9,0)+VLOOKUP('תפוקה מצטברת מול אשתקד'!A17,כלל!A:K,9,0)+VLOOKUP('תפוקה מצטברת מול אשתקד'!A17,מור!A:K,9,0)+VLOOKUP('תפוקה מצטברת מול אשתקד'!A17,'אלטשולר שחם'!A:K,9,0)+VLOOKUP('תפוקה מצטברת מול אשתקד'!A17,'מדיהו '!A:K,9,0)+VLOOKUP('תפוקה מצטברת מול אשתקד'!A17,'אנליסט '!A:K,9,0)+VLOOKUP('תפוקה מצטברת מול אשתקד'!A17,'מיטב דש'!A:K,9,0)+VLOOKUP('תפוקה מצטברת מול אשתקד'!A17,אינפניטי!A:K,9,0)</f>
        <v>88000.108627860362</v>
      </c>
      <c r="N17" s="12">
        <f>VLOOKUP(A17,הכשרה!A:K,10,0)+VLOOKUP('תפוקה מצטברת מול אשתקד'!A17,מגדל!A:K,10,0)+VLOOKUP('תפוקה מצטברת מול אשתקד'!A17,מנורה!A:K,10,0)+VLOOKUP('תפוקה מצטברת מול אשתקד'!A17,איילון!A:K,10,0)+VLOOKUP('תפוקה מצטברת מול אשתקד'!A17,הראל!A:K,10,0)+VLOOKUP('תפוקה מצטברת מול אשתקד'!A17,הפניקס!A:K,10,0)+VLOOKUP('תפוקה מצטברת מול אשתקד'!A17,כלל!A:K,10,0)+VLOOKUP('תפוקה מצטברת מול אשתקד'!A17,מור!A:K,10,0)+VLOOKUP('תפוקה מצטברת מול אשתקד'!A17,'אלטשולר שחם'!A:K,10,0)+VLOOKUP('תפוקה מצטברת מול אשתקד'!A17,'מדיהו '!A:K,10,0)+VLOOKUP('תפוקה מצטברת מול אשתקד'!A17,'אנליסט '!A:K,10,0)+VLOOKUP('תפוקה מצטברת מול אשתקד'!A17,'מיטב דש'!A:K,10,0)+VLOOKUP('תפוקה מצטברת מול אשתקד'!A17,אינפניטי!A:K,10,0)</f>
        <v>5142405.5496360008</v>
      </c>
      <c r="O17" s="12">
        <f>VLOOKUP(A17,הכשרה!A:K,11,0)+VLOOKUP('תפוקה מצטברת מול אשתקד'!A17,מגדל!A:K,11,0)+VLOOKUP('תפוקה מצטברת מול אשתקד'!A17,מנורה!A:K,11,0)+VLOOKUP('תפוקה מצטברת מול אשתקד'!A17,איילון!A:K,11,0)+VLOOKUP('תפוקה מצטברת מול אשתקד'!A17,הראל!A:K,11,0)+VLOOKUP('תפוקה מצטברת מול אשתקד'!A17,הפניקס!A:K,11,0)+VLOOKUP('תפוקה מצטברת מול אשתקד'!A17,כלל!A:K,11,0)+VLOOKUP('תפוקה מצטברת מול אשתקד'!A17,מור!A:K,11,0)+VLOOKUP('תפוקה מצטברת מול אשתקד'!A17,'אלטשולר שחם'!A:K,11,0)+VLOOKUP('תפוקה מצטברת מול אשתקד'!A17,'מדיהו '!A:K,11,0)+VLOOKUP('תפוקה מצטברת מול אשתקד'!A17,'אנליסט '!A:K,11,0)+VLOOKUP('תפוקה מצטברת מול אשתקד'!A17,'מיטב דש'!A:K,11,0)+VLOOKUP('תפוקה מצטברת מול אשתקד'!A17,אינפניטי!A:K,11,0)</f>
        <v>2397075.2799999998</v>
      </c>
    </row>
    <row r="18" spans="1:18" ht="15.75" customHeight="1" x14ac:dyDescent="0.25">
      <c r="A18" s="26" t="s">
        <v>43</v>
      </c>
      <c r="B18" s="26" t="s">
        <v>108</v>
      </c>
      <c r="C18" s="26" t="s">
        <v>106</v>
      </c>
      <c r="D18" s="19">
        <f t="shared" si="0"/>
        <v>1.0912056827202976E-2</v>
      </c>
      <c r="E18" s="19">
        <f t="shared" si="1"/>
        <v>2.9656111913264018</v>
      </c>
      <c r="F18" s="19">
        <f t="shared" si="2"/>
        <v>-0.30523722208948834</v>
      </c>
      <c r="G18" s="19">
        <f t="shared" si="4"/>
        <v>-0.49615844544050314</v>
      </c>
      <c r="H18" s="58">
        <f>VLOOKUP(A18,הכשרה!A:G,4,0)+VLOOKUP('תפוקה מצטברת מול אשתקד'!A18,מגדל!A:G,4,0)+VLOOKUP('תפוקה מצטברת מול אשתקד'!A18,מנורה!A:G,4,0)+VLOOKUP('תפוקה מצטברת מול אשתקד'!A18,איילון!A:G,4,0)+VLOOKUP('תפוקה מצטברת מול אשתקד'!A18,הראל!A:G,4,0)+VLOOKUP('תפוקה מצטברת מול אשתקד'!A18,הפניקס!A:G,4,0)+VLOOKUP('תפוקה מצטברת מול אשתקד'!A18,כלל!A:G,4,0)+VLOOKUP('תפוקה מצטברת מול אשתקד'!A18,מור!A:G,4,0)+VLOOKUP('תפוקה מצטברת מול אשתקד'!A18,'אלטשולר שחם'!A:G,4,0)+VLOOKUP('תפוקה מצטברת מול אשתקד'!A18,'מדיהו '!A:G,4,0)+VLOOKUP('תפוקה מצטברת מול אשתקד'!A18,'אנליסט '!A:G,4,0)+VLOOKUP('תפוקה מצטברת מול אשתקד'!A18,'מיטב דש'!A:G,4,0)+VLOOKUP('תפוקה מצטברת מול אשתקד'!A18,אינפניטי!A:G,4,0)</f>
        <v>559381.87456426199</v>
      </c>
      <c r="I18" s="58">
        <f>VLOOKUP(A18,הכשרה!A:G,5,0)+VLOOKUP('תפוקה מצטברת מול אשתקד'!A18,מגדל!A:G,5,0)+VLOOKUP('תפוקה מצטברת מול אשתקד'!A18,מנורה!A:G,5,0)+VLOOKUP('תפוקה מצטברת מול אשתקד'!A18,איילון!A:G,5,0)+VLOOKUP('תפוקה מצטברת מול אשתקד'!A18,הראל!A:G,5,0)+VLOOKUP('תפוקה מצטברת מול אשתקד'!A18,הפניקס!A:G,5,0)+VLOOKUP('תפוקה מצטברת מול אשתקד'!A18,כלל!A:G,5,0)+VLOOKUP('תפוקה מצטברת מול אשתקד'!A18,מור!A:G,5,0)+VLOOKUP('תפוקה מצטברת מול אשתקד'!A18,'אלטשולר שחם'!A:G,5,0)+VLOOKUP('תפוקה מצטברת מול אשתקד'!A18,'מדיהו '!A:G,5,0)+VLOOKUP('תפוקה מצטברת מול אשתקד'!A18,'אנליסט '!A:G,5,0)+VLOOKUP('תפוקה מצטברת מול אשתקד'!A18,'מיטב דש'!A:G,5,0)+VLOOKUP('תפוקה מצטברת מול אשתקד'!A18,אינפניטי!A:G,5,0)</f>
        <v>87488.930406482861</v>
      </c>
      <c r="J18" s="58">
        <f>VLOOKUP(A18,הכשרה!A:G,6,0)+VLOOKUP('תפוקה מצטברת מול אשתקד'!A18,מגדל!A:G,6,0)+VLOOKUP('תפוקה מצטברת מול אשתקד'!A18,מנורה!A:G,6,0)+VLOOKUP('תפוקה מצטברת מול אשתקד'!A18,איילון!A:G,6,0)+VLOOKUP(A18,הראל!A:G,6,0)+VLOOKUP('תפוקה מצטברת מול אשתקד'!A18,הפניקס!A:G,6,0)+VLOOKUP('תפוקה מצטברת מול אשתקד'!A18,כלל!A:G,6,0)+VLOOKUP('תפוקה מצטברת מול אשתקד'!A18,מור!A:G,6,0)+VLOOKUP('תפוקה מצטברת מול אשתקד'!A18,'אלטשולר שחם'!A:G,6,0)+VLOOKUP('תפוקה מצטברת מול אשתקד'!A18,'מדיהו '!A:G,6,0)+VLOOKUP('תפוקה מצטברת מול אשתקד'!A18,'אנליסט '!A:G,6,0)+VLOOKUP('תפוקה מצטברת מול אשתקד'!A18,'מיטב דש'!A:G,6,0)+VLOOKUP('תפוקה מצטברת מול אשתקד'!A18,אינפניטי!A:G,6,0)</f>
        <v>6109569.4798207767</v>
      </c>
      <c r="K18" s="58">
        <f>VLOOKUP(A18,הכשרה!A:G,7,0)+VLOOKUP('תפוקה מצטברת מול אשתקד'!A18,מגדל!A:G,7,0)+VLOOKUP('תפוקה מצטברת מול אשתקד'!A18,מנורה!A:G,7,0)+VLOOKUP('תפוקה מצטברת מול אשתקד'!A18,איילון!A:G,7,0)+VLOOKUP('תפוקה מצטברת מול אשתקד'!A18,הראל!A:G,7,0)+VLOOKUP('תפוקה מצטברת מול אשתקד'!A18,הפניקס!A:G,7,0)+VLOOKUP('תפוקה מצטברת מול אשתקד'!A18,כלל!A:G,7,0)+VLOOKUP('תפוקה מצטברת מול אשתקד'!A18,מור!A:G,7,0)+VLOOKUP('תפוקה מצטברת מול אשתקד'!A18,'אלטשולר שחם'!A:G,7,0)+VLOOKUP('תפוקה מצטברת מול אשתקד'!A18,'מדיהו '!A:K,7,0)+VLOOKUP(A18,'אנליסט '!A:G,7,0)+VLOOKUP('תפוקה מצטברת מול אשתקד'!A18,'מיטב דש'!A:G,7,0)+VLOOKUP('תפוקה מצטברת מול אשתקד'!A18,אינפניטי!A:G,7,0)</f>
        <v>2491389.9500000002</v>
      </c>
      <c r="L18" s="12">
        <f>VLOOKUP(A18,הכשרה!A:K,8,0)+VLOOKUP('תפוקה מצטברת מול אשתקד'!A18,מגדל!A:K,8,0)+VLOOKUP('תפוקה מצטברת מול אשתקד'!A18,מנורה!A:K,8,0)+VLOOKUP('תפוקה מצטברת מול אשתקד'!A18,איילון!A:K,8,0)+VLOOKUP('תפוקה מצטברת מול אשתקד'!A18,הראל!A:K,8,0)+VLOOKUP('תפוקה מצטברת מול אשתקד'!A18,הפניקס!A:K,8,0)+VLOOKUP('תפוקה מצטברת מול אשתקד'!A18,כלל!A:K,8,0)+VLOOKUP('תפוקה מצטברת מול אשתקד'!A18,מור!A:K,8,0)+VLOOKUP('תפוקה מצטברת מול אשתקד'!A18,'אלטשולר שחם'!A:K,8,0)+VLOOKUP('תפוקה מצטברת מול אשתקד'!A18,'מדיהו '!A:K,8,0)+VLOOKUP('תפוקה מצטברת מול אשתקד'!A18,'אנליסט '!A:K,8,0)+VLOOKUP('תפוקה מצטברת מול אשתקד'!A18,'מיטב דש'!A:K,8,0)+VLOOKUP('תפוקה מצטברת מול אשתקד'!A18,אינפניטי!A:K,8,0)</f>
        <v>553343.75605323119</v>
      </c>
      <c r="M18" s="12">
        <f>VLOOKUP(A18,הכשרה!A:K,9,0)+VLOOKUP('תפוקה מצטברת מול אשתקד'!A18,מגדל!A:K,9,0)+VLOOKUP('תפוקה מצטברת מול אשתקד'!A18,מנורה!A:K,9,0)+VLOOKUP('תפוקה מצטברת מול אשתקד'!A18,איילון!A:K,9,0)+VLOOKUP('תפוקה מצטברת מול אשתקד'!A18,הראל!A:K,9,0)+VLOOKUP('תפוקה מצטברת מול אשתקד'!A18,הפניקס!A:K,9,0)+VLOOKUP('תפוקה מצטברת מול אשתקד'!A18,כלל!A:K,9,0)+VLOOKUP('תפוקה מצטברת מול אשתקד'!A18,מור!A:K,9,0)+VLOOKUP('תפוקה מצטברת מול אשתקד'!A18,'אלטשולר שחם'!A:K,9,0)+VLOOKUP('תפוקה מצטברת מול אשתקד'!A18,'מדיהו '!A:K,9,0)+VLOOKUP('תפוקה מצטברת מול אשתקד'!A18,'אנליסט '!A:K,9,0)+VLOOKUP('תפוקה מצטברת מול אשתקד'!A18,'מיטב דש'!A:K,9,0)+VLOOKUP('תפוקה מצטברת מול אשתקד'!A18,אינפניטי!A:K,9,0)</f>
        <v>22061.903244029305</v>
      </c>
      <c r="N18" s="12">
        <f>VLOOKUP(A18,הכשרה!A:K,10,0)+VLOOKUP('תפוקה מצטברת מול אשתקד'!A18,מגדל!A:K,10,0)+VLOOKUP('תפוקה מצטברת מול אשתקד'!A18,מנורה!A:K,10,0)+VLOOKUP('תפוקה מצטברת מול אשתקד'!A18,איילון!A:K,10,0)+VLOOKUP('תפוקה מצטברת מול אשתקד'!A18,הראל!A:K,10,0)+VLOOKUP('תפוקה מצטברת מול אשתקד'!A18,הפניקס!A:K,10,0)+VLOOKUP('תפוקה מצטברת מול אשתקד'!A18,כלל!A:K,10,0)+VLOOKUP('תפוקה מצטברת מול אשתקד'!A18,מור!A:K,10,0)+VLOOKUP('תפוקה מצטברת מול אשתקד'!A18,'אלטשולר שחם'!A:K,10,0)+VLOOKUP('תפוקה מצטברת מול אשתקד'!A18,'מדיהו '!A:K,10,0)+VLOOKUP('תפוקה מצטברת מול אשתקד'!A18,'אנליסט '!A:K,10,0)+VLOOKUP('תפוקה מצטברת מול אשתקד'!A18,'מיטב דש'!A:K,10,0)+VLOOKUP('תפוקה מצטברת מול אשתקד'!A18,אינפניטי!A:K,10,0)</f>
        <v>8793748.9947219286</v>
      </c>
      <c r="O18" s="12">
        <f>VLOOKUP(A18,הכשרה!A:K,11,0)+VLOOKUP('תפוקה מצטברת מול אשתקד'!A18,מגדל!A:K,11,0)+VLOOKUP('תפוקה מצטברת מול אשתקד'!A18,מנורה!A:K,11,0)+VLOOKUP('תפוקה מצטברת מול אשתקד'!A18,איילון!A:K,11,0)+VLOOKUP('תפוקה מצטברת מול אשתקד'!A18,הראל!A:K,11,0)+VLOOKUP('תפוקה מצטברת מול אשתקד'!A18,הפניקס!A:K,11,0)+VLOOKUP('תפוקה מצטברת מול אשתקד'!A18,כלל!A:K,11,0)+VLOOKUP('תפוקה מצטברת מול אשתקד'!A18,מור!A:K,11,0)+VLOOKUP('תפוקה מצטברת מול אשתקד'!A18,'אלטשולר שחם'!A:K,11,0)+VLOOKUP('תפוקה מצטברת מול אשתקד'!A18,'מדיהו '!A:K,11,0)+VLOOKUP('תפוקה מצטברת מול אשתקד'!A18,'אנליסט '!A:K,11,0)+VLOOKUP('תפוקה מצטברת מול אשתקד'!A18,'מיטב דש'!A:K,11,0)+VLOOKUP('תפוקה מצטברת מול אשתקד'!A18,אינפניטי!A:K,11,0)</f>
        <v>4944788.55</v>
      </c>
    </row>
    <row r="19" spans="1:18" ht="15.75" customHeight="1" x14ac:dyDescent="0.25">
      <c r="A19" s="26" t="s">
        <v>30</v>
      </c>
      <c r="B19" s="26" t="s">
        <v>108</v>
      </c>
      <c r="C19" s="26" t="s">
        <v>106</v>
      </c>
      <c r="D19" s="19">
        <f t="shared" si="0"/>
        <v>6.5941839295481275</v>
      </c>
      <c r="E19" s="19">
        <f t="shared" si="1"/>
        <v>0</v>
      </c>
      <c r="F19" s="19">
        <f t="shared" si="2"/>
        <v>0</v>
      </c>
      <c r="G19" s="19">
        <f t="shared" si="4"/>
        <v>1</v>
      </c>
      <c r="H19" s="58">
        <f>VLOOKUP(A19,הכשרה!A:G,4,0)+VLOOKUP('תפוקה מצטברת מול אשתקד'!A19,מגדל!A:G,4,0)+VLOOKUP('תפוקה מצטברת מול אשתקד'!A19,מנורה!A:G,4,0)+VLOOKUP('תפוקה מצטברת מול אשתקד'!A19,איילון!A:G,4,0)+VLOOKUP('תפוקה מצטברת מול אשתקד'!A19,הראל!A:G,4,0)+VLOOKUP('תפוקה מצטברת מול אשתקד'!A19,הפניקס!A:G,4,0)+VLOOKUP('תפוקה מצטברת מול אשתקד'!A19,כלל!A:G,4,0)+VLOOKUP('תפוקה מצטברת מול אשתקד'!A19,מור!A:G,4,0)+VLOOKUP('תפוקה מצטברת מול אשתקד'!A19,'אלטשולר שחם'!A:G,4,0)+VLOOKUP('תפוקה מצטברת מול אשתקד'!A19,'מדיהו '!A:G,4,0)+VLOOKUP('תפוקה מצטברת מול אשתקד'!A19,'אנליסט '!A:G,4,0)+VLOOKUP('תפוקה מצטברת מול אשתקד'!A19,'מיטב דש'!A:G,4,0)+VLOOKUP('תפוקה מצטברת מול אשתקד'!A19,אינפניטי!A:G,4,0)</f>
        <v>8659.139824868651</v>
      </c>
      <c r="I19" s="58">
        <f>VLOOKUP(A19,הכשרה!A:G,5,0)+VLOOKUP('תפוקה מצטברת מול אשתקד'!A19,מגדל!A:G,5,0)+VLOOKUP('תפוקה מצטברת מול אשתקד'!A19,מנורה!A:G,5,0)+VLOOKUP('תפוקה מצטברת מול אשתקד'!A19,איילון!A:G,5,0)+VLOOKUP('תפוקה מצטברת מול אשתקד'!A19,הראל!A:G,5,0)+VLOOKUP('תפוקה מצטברת מול אשתקד'!A19,הפניקס!A:G,5,0)+VLOOKUP('תפוקה מצטברת מול אשתקד'!A19,כלל!A:G,5,0)+VLOOKUP('תפוקה מצטברת מול אשתקד'!A19,מור!A:G,5,0)+VLOOKUP('תפוקה מצטברת מול אשתקד'!A19,'אלטשולר שחם'!A:G,5,0)+VLOOKUP('תפוקה מצטברת מול אשתקד'!A19,'מדיהו '!A:G,5,0)+VLOOKUP('תפוקה מצטברת מול אשתקד'!A19,'אנליסט '!A:G,5,0)+VLOOKUP('תפוקה מצטברת מול אשתקד'!A19,'מיטב דש'!A:G,5,0)+VLOOKUP('תפוקה מצטברת מול אשתקד'!A19,אינפניטי!A:G,5,0)</f>
        <v>0</v>
      </c>
      <c r="J19" s="58">
        <f>VLOOKUP(A19,הכשרה!A:G,6,0)+VLOOKUP('תפוקה מצטברת מול אשתקד'!A19,מגדל!A:G,6,0)+VLOOKUP('תפוקה מצטברת מול אשתקד'!A19,מנורה!A:G,6,0)+VLOOKUP('תפוקה מצטברת מול אשתקד'!A19,איילון!A:G,6,0)+VLOOKUP(A19,הראל!A:G,6,0)+VLOOKUP('תפוקה מצטברת מול אשתקד'!A19,הפניקס!A:G,6,0)+VLOOKUP('תפוקה מצטברת מול אשתקד'!A19,כלל!A:G,6,0)+VLOOKUP('תפוקה מצטברת מול אשתקד'!A19,מור!A:G,6,0)+VLOOKUP('תפוקה מצטברת מול אשתקד'!A19,'אלטשולר שחם'!A:G,6,0)+VLOOKUP('תפוקה מצטברת מול אשתקד'!A19,'מדיהו '!A:G,6,0)+VLOOKUP('תפוקה מצטברת מול אשתקד'!A19,'אנליסט '!A:G,6,0)+VLOOKUP('תפוקה מצטברת מול אשתקד'!A19,'מיטב דש'!A:G,6,0)+VLOOKUP('תפוקה מצטברת מול אשתקד'!A19,אינפניטי!A:G,6,0)</f>
        <v>0</v>
      </c>
      <c r="K19" s="58">
        <f>VLOOKUP(A19,הכשרה!A:G,7,0)+VLOOKUP('תפוקה מצטברת מול אשתקד'!A19,מגדל!A:G,7,0)+VLOOKUP('תפוקה מצטברת מול אשתקד'!A19,מנורה!A:G,7,0)+VLOOKUP('תפוקה מצטברת מול אשתקד'!A19,איילון!A:G,7,0)+VLOOKUP('תפוקה מצטברת מול אשתקד'!A19,הראל!A:G,7,0)+VLOOKUP('תפוקה מצטברת מול אשתקד'!A19,הפניקס!A:G,7,0)+VLOOKUP('תפוקה מצטברת מול אשתקד'!A19,כלל!A:G,7,0)+VLOOKUP('תפוקה מצטברת מול אשתקד'!A19,מור!A:G,7,0)+VLOOKUP('תפוקה מצטברת מול אשתקד'!A19,'אלטשולר שחם'!A:G,7,0)+VLOOKUP('תפוקה מצטברת מול אשתקד'!A19,'מדיהו '!A:K,7,0)+VLOOKUP(A19,'אנליסט '!A:G,7,0)+VLOOKUP('תפוקה מצטברת מול אשתקד'!A19,'מיטב דש'!A:G,7,0)+VLOOKUP('תפוקה מצטברת מול אשתקד'!A19,אינפניטי!A:G,7,0)</f>
        <v>-204933.06999999998</v>
      </c>
      <c r="L19" s="12">
        <f>VLOOKUP(A19,הכשרה!A:K,8,0)+VLOOKUP('תפוקה מצטברת מול אשתקד'!A19,מגדל!A:K,8,0)+VLOOKUP('תפוקה מצטברת מול אשתקד'!A19,מנורה!A:K,8,0)+VLOOKUP('תפוקה מצטברת מול אשתקד'!A19,איילון!A:K,8,0)+VLOOKUP('תפוקה מצטברת מול אשתקד'!A19,הראל!A:K,8,0)+VLOOKUP('תפוקה מצטברת מול אשתקד'!A19,הפניקס!A:K,8,0)+VLOOKUP('תפוקה מצטברת מול אשתקד'!A19,כלל!A:K,8,0)+VLOOKUP('תפוקה מצטברת מול אשתקד'!A19,מור!A:K,8,0)+VLOOKUP('תפוקה מצטברת מול אשתקד'!A19,'אלטשולר שחם'!A:K,8,0)+VLOOKUP('תפוקה מצטברת מול אשתקד'!A19,'מדיהו '!A:K,8,0)+VLOOKUP('תפוקה מצטברת מול אשתקד'!A19,'אנליסט '!A:K,8,0)+VLOOKUP('תפוקה מצטברת מול אשתקד'!A19,'מיטב דש'!A:K,8,0)+VLOOKUP('תפוקה מצטברת מול אשתקד'!A19,אינפניטי!A:K,8,0)</f>
        <v>1140.2330922190201</v>
      </c>
      <c r="M19" s="12">
        <f>VLOOKUP(A19,הכשרה!A:K,9,0)+VLOOKUP('תפוקה מצטברת מול אשתקד'!A19,מגדל!A:K,9,0)+VLOOKUP('תפוקה מצטברת מול אשתקד'!A19,מנורה!A:K,9,0)+VLOOKUP('תפוקה מצטברת מול אשתקד'!A19,איילון!A:K,9,0)+VLOOKUP('תפוקה מצטברת מול אשתקד'!A19,הראל!A:K,9,0)+VLOOKUP('תפוקה מצטברת מול אשתקד'!A19,הפניקס!A:K,9,0)+VLOOKUP('תפוקה מצטברת מול אשתקד'!A19,כלל!A:K,9,0)+VLOOKUP('תפוקה מצטברת מול אשתקד'!A19,מור!A:K,9,0)+VLOOKUP('תפוקה מצטברת מול אשתקד'!A19,'אלטשולר שחם'!A:K,9,0)+VLOOKUP('תפוקה מצטברת מול אשתקד'!A19,'מדיהו '!A:K,9,0)+VLOOKUP('תפוקה מצטברת מול אשתקד'!A19,'אנליסט '!A:K,9,0)+VLOOKUP('תפוקה מצטברת מול אשתקד'!A19,'מיטב דש'!A:K,9,0)+VLOOKUP('תפוקה מצטברת מול אשתקד'!A19,אינפניטי!A:K,9,0)</f>
        <v>577.01855699999999</v>
      </c>
      <c r="N19" s="12">
        <f>VLOOKUP(A19,הכשרה!A:K,10,0)+VLOOKUP('תפוקה מצטברת מול אשתקד'!A19,מגדל!A:K,10,0)+VLOOKUP('תפוקה מצטברת מול אשתקד'!A19,מנורה!A:K,10,0)+VLOOKUP('תפוקה מצטברת מול אשתקד'!A19,איילון!A:K,10,0)+VLOOKUP('תפוקה מצטברת מול אשתקד'!A19,הראל!A:K,10,0)+VLOOKUP('תפוקה מצטברת מול אשתקד'!A19,הפניקס!A:K,10,0)+VLOOKUP('תפוקה מצטברת מול אשתקד'!A19,כלל!A:K,10,0)+VLOOKUP('תפוקה מצטברת מול אשתקד'!A19,מור!A:K,10,0)+VLOOKUP('תפוקה מצטברת מול אשתקד'!A19,'אלטשולר שחם'!A:K,10,0)+VLOOKUP('תפוקה מצטברת מול אשתקד'!A19,'מדיהו '!A:K,10,0)+VLOOKUP('תפוקה מצטברת מול אשתקד'!A19,'אנליסט '!A:K,10,0)+VLOOKUP('תפוקה מצטברת מול אשתקד'!A19,'מיטב דש'!A:K,10,0)+VLOOKUP('תפוקה מצטברת מול אשתקד'!A19,אינפניטי!A:K,10,0)</f>
        <v>10746.177792</v>
      </c>
      <c r="O19" s="12">
        <f>VLOOKUP(A19,הכשרה!A:K,11,0)+VLOOKUP('תפוקה מצטברת מול אשתקד'!A19,מגדל!A:K,11,0)+VLOOKUP('תפוקה מצטברת מול אשתקד'!A19,מנורה!A:K,11,0)+VLOOKUP('תפוקה מצטברת מול אשתקד'!A19,איילון!A:K,11,0)+VLOOKUP('תפוקה מצטברת מול אשתקד'!A19,הראל!A:K,11,0)+VLOOKUP('תפוקה מצטברת מול אשתקד'!A19,הפניקס!A:K,11,0)+VLOOKUP('תפוקה מצטברת מול אשתקד'!A19,כלל!A:K,11,0)+VLOOKUP('תפוקה מצטברת מול אשתקד'!A19,מור!A:K,11,0)+VLOOKUP('תפוקה מצטברת מול אשתקד'!A19,'אלטשולר שחם'!A:K,11,0)+VLOOKUP('תפוקה מצטברת מול אשתקד'!A19,'מדיהו '!A:K,11,0)+VLOOKUP('תפוקה מצטברת מול אשתקד'!A19,'אנליסט '!A:K,11,0)+VLOOKUP('תפוקה מצטברת מול אשתקד'!A19,'מיטב דש'!A:K,11,0)+VLOOKUP('תפוקה מצטברת מול אשתקד'!A19,אינפניטי!A:K,11,0)</f>
        <v>0</v>
      </c>
    </row>
    <row r="20" spans="1:18" ht="15.75" customHeight="1" x14ac:dyDescent="0.25">
      <c r="A20" s="28" t="s">
        <v>140</v>
      </c>
      <c r="B20" s="26" t="s">
        <v>108</v>
      </c>
      <c r="C20" s="26" t="s">
        <v>106</v>
      </c>
      <c r="D20" s="19">
        <f t="shared" si="0"/>
        <v>1</v>
      </c>
      <c r="E20" s="19">
        <f t="shared" si="1"/>
        <v>0</v>
      </c>
      <c r="F20" s="19">
        <f t="shared" si="2"/>
        <v>0</v>
      </c>
      <c r="G20" s="19">
        <f t="shared" si="4"/>
        <v>0</v>
      </c>
      <c r="H20" s="58">
        <f>VLOOKUP(A20,הכשרה!A:G,4,0)+VLOOKUP('תפוקה מצטברת מול אשתקד'!A20,מגדל!A:G,4,0)+VLOOKUP('תפוקה מצטברת מול אשתקד'!A20,מנורה!A:G,4,0)+VLOOKUP('תפוקה מצטברת מול אשתקד'!A20,איילון!A:G,4,0)+VLOOKUP('תפוקה מצטברת מול אשתקד'!A20,הראל!A:G,4,0)+VLOOKUP('תפוקה מצטברת מול אשתקד'!A20,הפניקס!A:G,4,0)+VLOOKUP('תפוקה מצטברת מול אשתקד'!A20,כלל!A:G,4,0)+VLOOKUP('תפוקה מצטברת מול אשתקד'!A20,מור!A:G,4,0)+VLOOKUP('תפוקה מצטברת מול אשתקד'!A20,'אלטשולר שחם'!A:G,4,0)+VLOOKUP('תפוקה מצטברת מול אשתקד'!A20,'מדיהו '!A:G,4,0)+VLOOKUP('תפוקה מצטברת מול אשתקד'!A20,'אנליסט '!A:G,4,0)+VLOOKUP('תפוקה מצטברת מול אשתקד'!A20,'מיטב דש'!A:G,4,0)+VLOOKUP('תפוקה מצטברת מול אשתקד'!A20,אינפניטי!A:G,4,0)</f>
        <v>29490.324082935349</v>
      </c>
      <c r="I20" s="58">
        <f>VLOOKUP(A20,הכשרה!A:G,5,0)+VLOOKUP('תפוקה מצטברת מול אשתקד'!A20,מגדל!A:G,5,0)+VLOOKUP('תפוקה מצטברת מול אשתקד'!A20,מנורה!A:G,5,0)+VLOOKUP('תפוקה מצטברת מול אשתקד'!A20,איילון!A:G,5,0)+VLOOKUP('תפוקה מצטברת מול אשתקד'!A20,הראל!A:G,5,0)+VLOOKUP('תפוקה מצטברת מול אשתקד'!A20,הפניקס!A:G,5,0)+VLOOKUP('תפוקה מצטברת מול אשתקד'!A20,כלל!A:G,5,0)+VLOOKUP('תפוקה מצטברת מול אשתקד'!A20,מור!A:G,5,0)+VLOOKUP('תפוקה מצטברת מול אשתקד'!A20,'אלטשולר שחם'!A:G,5,0)+VLOOKUP('תפוקה מצטברת מול אשתקד'!A20,'מדיהו '!A:G,5,0)+VLOOKUP('תפוקה מצטברת מול אשתקד'!A20,'אנליסט '!A:G,5,0)+VLOOKUP('תפוקה מצטברת מול אשתקד'!A20,'מיטב דש'!A:G,5,0)+VLOOKUP('תפוקה מצטברת מול אשתקד'!A20,אינפניטי!A:G,5,0)</f>
        <v>0</v>
      </c>
      <c r="J20" s="58">
        <f>VLOOKUP(A20,הכשרה!A:G,6,0)+VLOOKUP('תפוקה מצטברת מול אשתקד'!A20,מגדל!A:G,6,0)+VLOOKUP('תפוקה מצטברת מול אשתקד'!A20,מנורה!A:G,6,0)+VLOOKUP('תפוקה מצטברת מול אשתקד'!A20,איילון!A:G,6,0)+VLOOKUP(A20,הראל!A:G,6,0)+VLOOKUP('תפוקה מצטברת מול אשתקד'!A20,הפניקס!A:G,6,0)+VLOOKUP('תפוקה מצטברת מול אשתקד'!A20,כלל!A:G,6,0)+VLOOKUP('תפוקה מצטברת מול אשתקד'!A20,מור!A:G,6,0)+VLOOKUP('תפוקה מצטברת מול אשתקד'!A20,'אלטשולר שחם'!A:G,6,0)+VLOOKUP('תפוקה מצטברת מול אשתקד'!A20,'מדיהו '!A:G,6,0)+VLOOKUP('תפוקה מצטברת מול אשתקד'!A20,'אנליסט '!A:G,6,0)+VLOOKUP('תפוקה מצטברת מול אשתקד'!A20,'מיטב דש'!A:G,6,0)+VLOOKUP('תפוקה מצטברת מול אשתקד'!A20,אינפניטי!A:G,6,0)</f>
        <v>0</v>
      </c>
      <c r="K20" s="58">
        <f>VLOOKUP(A20,הכשרה!A:G,7,0)+VLOOKUP('תפוקה מצטברת מול אשתקד'!A20,מגדל!A:G,7,0)+VLOOKUP('תפוקה מצטברת מול אשתקד'!A20,מנורה!A:G,7,0)+VLOOKUP('תפוקה מצטברת מול אשתקד'!A20,איילון!A:G,7,0)+VLOOKUP('תפוקה מצטברת מול אשתקד'!A20,הראל!A:G,7,0)+VLOOKUP('תפוקה מצטברת מול אשתקד'!A20,הפניקס!A:G,7,0)+VLOOKUP('תפוקה מצטברת מול אשתקד'!A20,כלל!A:G,7,0)+VLOOKUP('תפוקה מצטברת מול אשתקד'!A20,מור!A:G,7,0)+VLOOKUP('תפוקה מצטברת מול אשתקד'!A20,'אלטשולר שחם'!A:G,7,0)+VLOOKUP('תפוקה מצטברת מול אשתקד'!A20,'מדיהו '!A:K,7,0)+VLOOKUP(A20,'אנליסט '!A:G,7,0)+VLOOKUP('תפוקה מצטברת מול אשתקד'!A20,'מיטב דש'!A:G,7,0)+VLOOKUP('תפוקה מצטברת מול אשתקד'!A20,אינפניטי!A:G,7,0)</f>
        <v>0</v>
      </c>
      <c r="L20" s="12">
        <f>VLOOKUP(A20,הכשרה!A:K,8,0)+VLOOKUP('תפוקה מצטברת מול אשתקד'!A20,מגדל!A:K,8,0)+VLOOKUP('תפוקה מצטברת מול אשתקד'!A20,מנורה!A:K,8,0)+VLOOKUP('תפוקה מצטברת מול אשתקד'!A20,איילון!A:K,8,0)+VLOOKUP('תפוקה מצטברת מול אשתקד'!A20,הראל!A:K,8,0)+VLOOKUP('תפוקה מצטברת מול אשתקד'!A20,הפניקס!A:K,8,0)+VLOOKUP('תפוקה מצטברת מול אשתקד'!A20,כלל!A:K,8,0)+VLOOKUP('תפוקה מצטברת מול אשתקד'!A20,מור!A:K,8,0)+VLOOKUP('תפוקה מצטברת מול אשתקד'!A20,'אלטשולר שחם'!A:K,8,0)+VLOOKUP('תפוקה מצטברת מול אשתקד'!A20,'מדיהו '!A:K,8,0)+VLOOKUP('תפוקה מצטברת מול אשתקד'!A20,'אנליסט '!A:K,8,0)+VLOOKUP('תפוקה מצטברת מול אשתקד'!A20,'מיטב דש'!A:K,8,0)+VLOOKUP('תפוקה מצטברת מול אשתקד'!A20,אינפניטי!A:K,8,0)</f>
        <v>0</v>
      </c>
      <c r="M20" s="12">
        <f>VLOOKUP(A20,הכשרה!A:K,9,0)+VLOOKUP('תפוקה מצטברת מול אשתקד'!A20,מגדל!A:K,9,0)+VLOOKUP('תפוקה מצטברת מול אשתקד'!A20,מנורה!A:K,9,0)+VLOOKUP('תפוקה מצטברת מול אשתקד'!A20,איילון!A:K,9,0)+VLOOKUP('תפוקה מצטברת מול אשתקד'!A20,הראל!A:K,9,0)+VLOOKUP('תפוקה מצטברת מול אשתקד'!A20,הפניקס!A:K,9,0)+VLOOKUP('תפוקה מצטברת מול אשתקד'!A20,כלל!A:K,9,0)+VLOOKUP('תפוקה מצטברת מול אשתקד'!A20,מור!A:K,9,0)+VLOOKUP('תפוקה מצטברת מול אשתקד'!A20,'אלטשולר שחם'!A:K,9,0)+VLOOKUP('תפוקה מצטברת מול אשתקד'!A20,'מדיהו '!A:K,9,0)+VLOOKUP('תפוקה מצטברת מול אשתקד'!A20,'אנליסט '!A:K,9,0)+VLOOKUP('תפוקה מצטברת מול אשתקד'!A20,'מיטב דש'!A:K,9,0)+VLOOKUP('תפוקה מצטברת מול אשתקד'!A20,אינפניטי!A:K,9,0)</f>
        <v>0</v>
      </c>
      <c r="N20" s="12">
        <f>VLOOKUP(A20,הכשרה!A:K,10,0)+VLOOKUP('תפוקה מצטברת מול אשתקד'!A20,מגדל!A:K,10,0)+VLOOKUP('תפוקה מצטברת מול אשתקד'!A20,מנורה!A:K,10,0)+VLOOKUP('תפוקה מצטברת מול אשתקד'!A20,איילון!A:K,10,0)+VLOOKUP('תפוקה מצטברת מול אשתקד'!A20,הראל!A:K,10,0)+VLOOKUP('תפוקה מצטברת מול אשתקד'!A20,הפניקס!A:K,10,0)+VLOOKUP('תפוקה מצטברת מול אשתקד'!A20,כלל!A:K,10,0)+VLOOKUP('תפוקה מצטברת מול אשתקד'!A20,מור!A:K,10,0)+VLOOKUP('תפוקה מצטברת מול אשתקד'!A20,'אלטשולר שחם'!A:K,10,0)+VLOOKUP('תפוקה מצטברת מול אשתקד'!A20,'מדיהו '!A:K,10,0)+VLOOKUP('תפוקה מצטברת מול אשתקד'!A20,'אנליסט '!A:K,10,0)+VLOOKUP('תפוקה מצטברת מול אשתקד'!A20,'מיטב דש'!A:K,10,0)+VLOOKUP('תפוקה מצטברת מול אשתקד'!A20,אינפניטי!A:K,10,0)</f>
        <v>0</v>
      </c>
      <c r="O20" s="12">
        <f>VLOOKUP(A20,הכשרה!A:K,11,0)+VLOOKUP('תפוקה מצטברת מול אשתקד'!A20,מגדל!A:K,11,0)+VLOOKUP('תפוקה מצטברת מול אשתקד'!A20,מנורה!A:K,11,0)+VLOOKUP('תפוקה מצטברת מול אשתקד'!A20,איילון!A:K,11,0)+VLOOKUP('תפוקה מצטברת מול אשתקד'!A20,הראל!A:K,11,0)+VLOOKUP('תפוקה מצטברת מול אשתקד'!A20,הפניקס!A:K,11,0)+VLOOKUP('תפוקה מצטברת מול אשתקד'!A20,כלל!A:K,11,0)+VLOOKUP('תפוקה מצטברת מול אשתקד'!A20,מור!A:K,11,0)+VLOOKUP('תפוקה מצטברת מול אשתקד'!A20,'אלטשולר שחם'!A:K,11,0)+VLOOKUP('תפוקה מצטברת מול אשתקד'!A20,'מדיהו '!A:K,11,0)+VLOOKUP('תפוקה מצטברת מול אשתקד'!A20,'אנליסט '!A:K,11,0)+VLOOKUP('תפוקה מצטברת מול אשתקד'!A20,'מיטב דש'!A:K,11,0)+VLOOKUP('תפוקה מצטברת מול אשתקד'!A20,אינפניטי!A:K,11,0)</f>
        <v>0</v>
      </c>
    </row>
    <row r="21" spans="1:18" ht="15.75" customHeight="1" thickBot="1" x14ac:dyDescent="0.3">
      <c r="A21" s="28" t="s">
        <v>38</v>
      </c>
      <c r="B21" s="26" t="s">
        <v>108</v>
      </c>
      <c r="C21" s="28" t="s">
        <v>106</v>
      </c>
      <c r="D21" s="101">
        <f t="shared" si="0"/>
        <v>0</v>
      </c>
      <c r="E21" s="101">
        <f t="shared" si="1"/>
        <v>0</v>
      </c>
      <c r="F21" s="101">
        <f t="shared" si="2"/>
        <v>0</v>
      </c>
      <c r="G21" s="19">
        <f t="shared" ref="G21:G76" si="5">IF(K21=0,0%,IF(O21=H44,100%,K21/O21-1))</f>
        <v>0</v>
      </c>
      <c r="H21" s="58">
        <f>VLOOKUP(A21,הכשרה!A:G,4,0)+VLOOKUP('תפוקה מצטברת מול אשתקד'!A21,מגדל!A:G,4,0)+VLOOKUP('תפוקה מצטברת מול אשתקד'!A21,מנורה!A:G,4,0)+VLOOKUP('תפוקה מצטברת מול אשתקד'!A21,איילון!A:G,4,0)+VLOOKUP('תפוקה מצטברת מול אשתקד'!A21,הראל!A:G,4,0)+VLOOKUP('תפוקה מצטברת מול אשתקד'!A21,הפניקס!A:G,4,0)+VLOOKUP('תפוקה מצטברת מול אשתקד'!A21,כלל!A:G,4,0)+VLOOKUP('תפוקה מצטברת מול אשתקד'!A21,מור!A:G,4,0)+VLOOKUP('תפוקה מצטברת מול אשתקד'!A21,'אלטשולר שחם'!A:G,4,0)+VLOOKUP('תפוקה מצטברת מול אשתקד'!A21,'מדיהו '!A:G,4,0)+VLOOKUP('תפוקה מצטברת מול אשתקד'!A21,'אנליסט '!A:G,4,0)+VLOOKUP('תפוקה מצטברת מול אשתקד'!A21,'מיטב דש'!A:G,4,0)+VLOOKUP('תפוקה מצטברת מול אשתקד'!A21,אינפניטי!A:G,4,0)</f>
        <v>0</v>
      </c>
      <c r="I21" s="58">
        <f>VLOOKUP(A21,הכשרה!A:G,5,0)+VLOOKUP('תפוקה מצטברת מול אשתקד'!A21,מגדל!A:G,5,0)+VLOOKUP('תפוקה מצטברת מול אשתקד'!A21,מנורה!A:G,5,0)+VLOOKUP('תפוקה מצטברת מול אשתקד'!A21,איילון!A:G,5,0)+VLOOKUP('תפוקה מצטברת מול אשתקד'!A21,הראל!A:G,5,0)+VLOOKUP('תפוקה מצטברת מול אשתקד'!A21,הפניקס!A:G,5,0)+VLOOKUP('תפוקה מצטברת מול אשתקד'!A21,כלל!A:G,5,0)+VLOOKUP('תפוקה מצטברת מול אשתקד'!A21,מור!A:G,5,0)+VLOOKUP('תפוקה מצטברת מול אשתקד'!A21,'אלטשולר שחם'!A:G,5,0)+VLOOKUP('תפוקה מצטברת מול אשתקד'!A21,'מדיהו '!A:G,5,0)+VLOOKUP('תפוקה מצטברת מול אשתקד'!A21,'אנליסט '!A:G,5,0)+VLOOKUP('תפוקה מצטברת מול אשתקד'!A21,'מיטב דש'!A:G,5,0)+VLOOKUP('תפוקה מצטברת מול אשתקד'!A21,אינפניטי!A:G,5,0)</f>
        <v>0</v>
      </c>
      <c r="J21" s="58">
        <f>VLOOKUP(A21,הכשרה!A:G,6,0)+VLOOKUP('תפוקה מצטברת מול אשתקד'!A21,מגדל!A:G,6,0)+VLOOKUP('תפוקה מצטברת מול אשתקד'!A21,מנורה!A:G,6,0)+VLOOKUP('תפוקה מצטברת מול אשתקד'!A21,איילון!A:G,6,0)+VLOOKUP(A21,הראל!A:G,6,0)+VLOOKUP('תפוקה מצטברת מול אשתקד'!A21,הפניקס!A:G,6,0)+VLOOKUP('תפוקה מצטברת מול אשתקד'!A21,כלל!A:G,6,0)+VLOOKUP('תפוקה מצטברת מול אשתקד'!A21,מור!A:G,6,0)+VLOOKUP('תפוקה מצטברת מול אשתקד'!A21,'אלטשולר שחם'!A:G,6,0)+VLOOKUP('תפוקה מצטברת מול אשתקד'!A21,'מדיהו '!A:G,6,0)+VLOOKUP('תפוקה מצטברת מול אשתקד'!A21,'אנליסט '!A:G,6,0)+VLOOKUP('תפוקה מצטברת מול אשתקד'!A21,'מיטב דש'!A:G,6,0)+VLOOKUP('תפוקה מצטברת מול אשתקד'!A21,אינפניטי!A:G,6,0)</f>
        <v>0</v>
      </c>
      <c r="K21" s="58">
        <f>VLOOKUP(A21,הכשרה!A:G,7,0)+VLOOKUP('תפוקה מצטברת מול אשתקד'!A21,מגדל!A:G,7,0)+VLOOKUP('תפוקה מצטברת מול אשתקד'!A21,מנורה!A:G,7,0)+VLOOKUP('תפוקה מצטברת מול אשתקד'!A21,איילון!A:G,7,0)+VLOOKUP('תפוקה מצטברת מול אשתקד'!A21,הראל!A:G,7,0)+VLOOKUP('תפוקה מצטברת מול אשתקד'!A21,הפניקס!A:G,7,0)+VLOOKUP('תפוקה מצטברת מול אשתקד'!A21,כלל!A:G,7,0)+VLOOKUP('תפוקה מצטברת מול אשתקד'!A21,מור!A:G,7,0)+VLOOKUP('תפוקה מצטברת מול אשתקד'!A21,'אלטשולר שחם'!A:G,7,0)+VLOOKUP('תפוקה מצטברת מול אשתקד'!A21,'מדיהו '!A:K,7,0)+VLOOKUP(A21,'אנליסט '!A:G,7,0)+VLOOKUP('תפוקה מצטברת מול אשתקד'!A21,'מיטב דש'!A:G,7,0)+VLOOKUP('תפוקה מצטברת מול אשתקד'!A21,אינפניטי!A:G,7,0)</f>
        <v>0</v>
      </c>
      <c r="L21" s="12">
        <f>VLOOKUP(A21,הכשרה!A:K,8,0)+VLOOKUP('תפוקה מצטברת מול אשתקד'!A21,מגדל!A:K,8,0)+VLOOKUP('תפוקה מצטברת מול אשתקד'!A21,מנורה!A:K,8,0)+VLOOKUP('תפוקה מצטברת מול אשתקד'!A21,איילון!A:K,8,0)+VLOOKUP('תפוקה מצטברת מול אשתקד'!A21,הראל!A:K,8,0)+VLOOKUP('תפוקה מצטברת מול אשתקד'!A21,הפניקס!A:K,8,0)+VLOOKUP('תפוקה מצטברת מול אשתקד'!A21,כלל!A:K,8,0)+VLOOKUP('תפוקה מצטברת מול אשתקד'!A21,מור!A:K,8,0)+VLOOKUP('תפוקה מצטברת מול אשתקד'!A21,'אלטשולר שחם'!A:K,8,0)+VLOOKUP('תפוקה מצטברת מול אשתקד'!A21,'מדיהו '!A:K,8,0)+VLOOKUP('תפוקה מצטברת מול אשתקד'!A21,'אנליסט '!A:K,8,0)+VLOOKUP('תפוקה מצטברת מול אשתקד'!A21,'מיטב דש'!A:K,8,0)+VLOOKUP('תפוקה מצטברת מול אשתקד'!A21,אינפניטי!A:K,8,0)</f>
        <v>0</v>
      </c>
      <c r="M21" s="12">
        <f>VLOOKUP(A21,הכשרה!A:K,9,0)+VLOOKUP('תפוקה מצטברת מול אשתקד'!A21,מגדל!A:K,9,0)+VLOOKUP('תפוקה מצטברת מול אשתקד'!A21,מנורה!A:K,9,0)+VLOOKUP('תפוקה מצטברת מול אשתקד'!A21,איילון!A:K,9,0)+VLOOKUP('תפוקה מצטברת מול אשתקד'!A21,הראל!A:K,9,0)+VLOOKUP('תפוקה מצטברת מול אשתקד'!A21,הפניקס!A:K,9,0)+VLOOKUP('תפוקה מצטברת מול אשתקד'!A21,כלל!A:K,9,0)+VLOOKUP('תפוקה מצטברת מול אשתקד'!A21,מור!A:K,9,0)+VLOOKUP('תפוקה מצטברת מול אשתקד'!A21,'אלטשולר שחם'!A:K,9,0)+VLOOKUP('תפוקה מצטברת מול אשתקד'!A21,'מדיהו '!A:K,9,0)+VLOOKUP('תפוקה מצטברת מול אשתקד'!A21,'אנליסט '!A:K,9,0)+VLOOKUP('תפוקה מצטברת מול אשתקד'!A21,'מיטב דש'!A:K,9,0)+VLOOKUP('תפוקה מצטברת מול אשתקד'!A21,אינפניטי!A:K,9,0)</f>
        <v>1100.76</v>
      </c>
      <c r="N21" s="12">
        <f>VLOOKUP(A21,הכשרה!A:K,10,0)+VLOOKUP('תפוקה מצטברת מול אשתקד'!A21,מגדל!A:K,10,0)+VLOOKUP('תפוקה מצטברת מול אשתקד'!A21,מנורה!A:K,10,0)+VLOOKUP('תפוקה מצטברת מול אשתקד'!A21,איילון!A:K,10,0)+VLOOKUP('תפוקה מצטברת מול אשתקד'!A21,הראל!A:K,10,0)+VLOOKUP('תפוקה מצטברת מול אשתקד'!A21,הפניקס!A:K,10,0)+VLOOKUP('תפוקה מצטברת מול אשתקד'!A21,כלל!A:K,10,0)+VLOOKUP('תפוקה מצטברת מול אשתקד'!A21,מור!A:K,10,0)+VLOOKUP('תפוקה מצטברת מול אשתקד'!A21,'אלטשולר שחם'!A:K,10,0)+VLOOKUP('תפוקה מצטברת מול אשתקד'!A21,'מדיהו '!A:K,10,0)+VLOOKUP('תפוקה מצטברת מול אשתקד'!A21,'אנליסט '!A:K,10,0)+VLOOKUP('תפוקה מצטברת מול אשתקד'!A21,'מיטב דש'!A:K,10,0)+VLOOKUP('תפוקה מצטברת מול אשתקד'!A21,אינפניטי!A:K,10,0)</f>
        <v>3200</v>
      </c>
      <c r="O21" s="12">
        <f>VLOOKUP(A21,הכשרה!A:K,11,0)+VLOOKUP('תפוקה מצטברת מול אשתקד'!A21,מגדל!A:K,11,0)+VLOOKUP('תפוקה מצטברת מול אשתקד'!A21,מנורה!A:K,11,0)+VLOOKUP('תפוקה מצטברת מול אשתקד'!A21,איילון!A:K,11,0)+VLOOKUP('תפוקה מצטברת מול אשתקד'!A21,הראל!A:K,11,0)+VLOOKUP('תפוקה מצטברת מול אשתקד'!A21,הפניקס!A:K,11,0)+VLOOKUP('תפוקה מצטברת מול אשתקד'!A21,כלל!A:K,11,0)+VLOOKUP('תפוקה מצטברת מול אשתקד'!A21,מור!A:K,11,0)+VLOOKUP('תפוקה מצטברת מול אשתקד'!A21,'אלטשולר שחם'!A:K,11,0)+VLOOKUP('תפוקה מצטברת מול אשתקד'!A21,'מדיהו '!A:K,11,0)+VLOOKUP('תפוקה מצטברת מול אשתקד'!A21,'אנליסט '!A:K,11,0)+VLOOKUP('תפוקה מצטברת מול אשתקד'!A21,'מיטב דש'!A:K,11,0)+VLOOKUP('תפוקה מצטברת מול אשתקד'!A21,אינפניטי!A:K,11,0)</f>
        <v>0</v>
      </c>
    </row>
    <row r="22" spans="1:18" ht="18" customHeight="1" thickBot="1" x14ac:dyDescent="0.3">
      <c r="A22" s="122" t="s">
        <v>10</v>
      </c>
      <c r="B22" s="121"/>
      <c r="C22" s="121"/>
      <c r="D22" s="126">
        <f t="shared" si="0"/>
        <v>1.1118155537012564E-2</v>
      </c>
      <c r="E22" s="126">
        <f t="shared" si="1"/>
        <v>0.59527937440923306</v>
      </c>
      <c r="F22" s="126">
        <f t="shared" si="2"/>
        <v>-0.31803464323230957</v>
      </c>
      <c r="G22" s="19">
        <f t="shared" si="5"/>
        <v>-0.4936610806483066</v>
      </c>
      <c r="H22" s="124">
        <f>SUM(H9:H21)</f>
        <v>2161478.3687409484</v>
      </c>
      <c r="I22" s="124">
        <f t="shared" ref="I22:O22" si="6">SUM(I9:I21)</f>
        <v>1207309.2448628328</v>
      </c>
      <c r="J22" s="124">
        <f t="shared" si="6"/>
        <v>11468538.60562565</v>
      </c>
      <c r="K22" s="124">
        <f t="shared" si="6"/>
        <v>5348701.1100000003</v>
      </c>
      <c r="L22" s="124">
        <f t="shared" si="6"/>
        <v>2137710.9657307761</v>
      </c>
      <c r="M22" s="124">
        <f t="shared" si="6"/>
        <v>756801.1372991805</v>
      </c>
      <c r="N22" s="124">
        <f t="shared" si="6"/>
        <v>16816893.250975467</v>
      </c>
      <c r="O22" s="124">
        <f t="shared" si="6"/>
        <v>10563480.122856</v>
      </c>
      <c r="P22" s="35"/>
      <c r="Q22" s="35"/>
      <c r="R22" s="35"/>
    </row>
    <row r="23" spans="1:18" ht="15.75" customHeight="1" x14ac:dyDescent="0.25">
      <c r="A23" s="27" t="s">
        <v>11</v>
      </c>
      <c r="B23" s="27" t="s">
        <v>56</v>
      </c>
      <c r="C23" s="27" t="s">
        <v>107</v>
      </c>
      <c r="D23" s="103">
        <f t="shared" si="0"/>
        <v>-0.30776654404409176</v>
      </c>
      <c r="E23" s="103">
        <f t="shared" si="1"/>
        <v>-0.87283647462577185</v>
      </c>
      <c r="F23" s="103">
        <f t="shared" si="2"/>
        <v>-0.80757054704791686</v>
      </c>
      <c r="G23" s="19">
        <f t="shared" si="5"/>
        <v>3.8917530327191585E-3</v>
      </c>
      <c r="H23" s="58">
        <f>VLOOKUP(A23,הכשרה!A:G,4,0)+VLOOKUP('תפוקה מצטברת מול אשתקד'!A23,מגדל!A:G,4,0)+VLOOKUP('תפוקה מצטברת מול אשתקד'!A23,מנורה!A:G,4,0)+VLOOKUP('תפוקה מצטברת מול אשתקד'!A23,איילון!A:G,4,0)+VLOOKUP('תפוקה מצטברת מול אשתקד'!A23,הראל!A:G,4,0)+VLOOKUP('תפוקה מצטברת מול אשתקד'!A23,הפניקס!A:G,4,0)+VLOOKUP('תפוקה מצטברת מול אשתקד'!A23,כלל!A:G,4,0)+VLOOKUP('תפוקה מצטברת מול אשתקד'!A23,מור!A:G,4,0)+VLOOKUP('תפוקה מצטברת מול אשתקד'!A23,'אלטשולר שחם'!A:G,4,0)+VLOOKUP('תפוקה מצטברת מול אשתקד'!A23,'מדיהו '!A:G,4,0)+VLOOKUP('תפוקה מצטברת מול אשתקד'!A23,'אנליסט '!A:G,4,0)+VLOOKUP('תפוקה מצטברת מול אשתקד'!A23,'מיטב דש'!A:G,4,0)+VLOOKUP('תפוקה מצטברת מול אשתקד'!A23,אינפניטי!A:G,4,0)</f>
        <v>484652.06</v>
      </c>
      <c r="I23" s="58">
        <f>VLOOKUP(A23,הכשרה!A:G,5,0)+VLOOKUP('תפוקה מצטברת מול אשתקד'!A23,מגדל!A:G,5,0)+VLOOKUP('תפוקה מצטברת מול אשתקד'!A23,מנורה!A:G,5,0)+VLOOKUP('תפוקה מצטברת מול אשתקד'!A23,איילון!A:G,5,0)+VLOOKUP('תפוקה מצטברת מול אשתקד'!A23,הראל!A:G,5,0)+VLOOKUP('תפוקה מצטברת מול אשתקד'!A23,הפניקס!A:G,5,0)+VLOOKUP('תפוקה מצטברת מול אשתקד'!A23,כלל!A:G,5,0)+VLOOKUP('תפוקה מצטברת מול אשתקד'!A23,מור!A:G,5,0)+VLOOKUP('תפוקה מצטברת מול אשתקד'!A23,'אלטשולר שחם'!A:G,5,0)+VLOOKUP('תפוקה מצטברת מול אשתקד'!A23,'מדיהו '!A:G,5,0)+VLOOKUP('תפוקה מצטברת מול אשתקד'!A23,'אנליסט '!A:G,5,0)+VLOOKUP('תפוקה מצטברת מול אשתקד'!A23,'מיטב דש'!A:G,5,0)+VLOOKUP('תפוקה מצטברת מול אשתקד'!A23,אינפניטי!A:G,5,0)</f>
        <v>11920.61</v>
      </c>
      <c r="J23" s="58">
        <f>VLOOKUP(A23,הכשרה!A:G,6,0)+VLOOKUP('תפוקה מצטברת מול אשתקד'!A23,מגדל!A:G,6,0)+VLOOKUP('תפוקה מצטברת מול אשתקד'!A23,מנורה!A:G,6,0)+VLOOKUP('תפוקה מצטברת מול אשתקד'!A23,איילון!A:G,6,0)+VLOOKUP(A23,הראל!A:G,6,0)+VLOOKUP('תפוקה מצטברת מול אשתקד'!A23,הפניקס!A:G,6,0)+VLOOKUP('תפוקה מצטברת מול אשתקד'!A23,כלל!A:G,6,0)+VLOOKUP('תפוקה מצטברת מול אשתקד'!A23,מור!A:G,6,0)+VLOOKUP('תפוקה מצטברת מול אשתקד'!A23,'אלטשולר שחם'!A:G,6,0)+VLOOKUP('תפוקה מצטברת מול אשתקד'!A23,'מדיהו '!A:G,6,0)+VLOOKUP('תפוקה מצטברת מול אשתקד'!A23,'אנליסט '!A:G,6,0)+VLOOKUP('תפוקה מצטברת מול אשתקד'!A23,'מיטב דש'!A:G,6,0)+VLOOKUP('תפוקה מצטברת מול אשתקד'!A23,אינפניטי!A:G,6,0)</f>
        <v>219087</v>
      </c>
      <c r="K23" s="58">
        <f>VLOOKUP(A23,הכשרה!A:G,7,0)+VLOOKUP('תפוקה מצטברת מול אשתקד'!A23,מגדל!A:G,7,0)+VLOOKUP('תפוקה מצטברת מול אשתקד'!A23,מנורה!A:G,7,0)+VLOOKUP('תפוקה מצטברת מול אשתקד'!A23,איילון!A:G,7,0)+VLOOKUP('תפוקה מצטברת מול אשתקד'!A23,הראל!A:G,7,0)+VLOOKUP('תפוקה מצטברת מול אשתקד'!A23,הפניקס!A:G,7,0)+VLOOKUP('תפוקה מצטברת מול אשתקד'!A23,כלל!A:G,7,0)+VLOOKUP('תפוקה מצטברת מול אשתקד'!A23,מור!A:G,7,0)+VLOOKUP('תפוקה מצטברת מול אשתקד'!A23,'אלטשולר שחם'!A:G,7,0)+VLOOKUP('תפוקה מצטברת מול אשתקד'!A23,'מדיהו '!A:K,7,0)+VLOOKUP(A23,'אנליסט '!A:G,7,0)+VLOOKUP('תפוקה מצטברת מול אשתקד'!A23,'מיטב דש'!A:G,7,0)+VLOOKUP('תפוקה מצטברת מול אשתקד'!A23,אינפניטי!A:G,7,0)</f>
        <v>2607548.9299999997</v>
      </c>
      <c r="L23" s="12">
        <f>VLOOKUP(A23,הכשרה!A:K,8,0)+VLOOKUP('תפוקה מצטברת מול אשתקד'!A23,מגדל!A:K,8,0)+VLOOKUP('תפוקה מצטברת מול אשתקד'!A23,מנורה!A:K,8,0)+VLOOKUP('תפוקה מצטברת מול אשתקד'!A23,איילון!A:K,8,0)+VLOOKUP('תפוקה מצטברת מול אשתקד'!A23,הראל!A:K,8,0)+VLOOKUP('תפוקה מצטברת מול אשתקד'!A23,הפניקס!A:K,8,0)+VLOOKUP('תפוקה מצטברת מול אשתקד'!A23,כלל!A:K,8,0)+VLOOKUP('תפוקה מצטברת מול אשתקד'!A23,מור!A:K,8,0)+VLOOKUP('תפוקה מצטברת מול אשתקד'!A23,'אלטשולר שחם'!A:K,8,0)+VLOOKUP('תפוקה מצטברת מול אשתקד'!A23,'מדיהו '!A:K,8,0)+VLOOKUP('תפוקה מצטברת מול אשתקד'!A23,'אנליסט '!A:K,8,0)+VLOOKUP('תפוקה מצטברת מול אשתקד'!A23,'מיטב דש'!A:K,8,0)+VLOOKUP('תפוקה מצטברת מול אשתקד'!A23,אינפניטי!A:K,8,0)</f>
        <v>700128.05048658303</v>
      </c>
      <c r="M23" s="12">
        <f>VLOOKUP(A23,הכשרה!A:K,9,0)+VLOOKUP('תפוקה מצטברת מול אשתקד'!A23,מגדל!A:K,9,0)+VLOOKUP('תפוקה מצטברת מול אשתקד'!A23,מנורה!A:K,9,0)+VLOOKUP('תפוקה מצטברת מול אשתקד'!A23,איילון!A:K,9,0)+VLOOKUP('תפוקה מצטברת מול אשתקד'!A23,הראל!A:K,9,0)+VLOOKUP('תפוקה מצטברת מול אשתקד'!A23,הפניקס!A:K,9,0)+VLOOKUP('תפוקה מצטברת מול אשתקד'!A23,כלל!A:K,9,0)+VLOOKUP('תפוקה מצטברת מול אשתקד'!A23,מור!A:K,9,0)+VLOOKUP('תפוקה מצטברת מול אשתקד'!A23,'אלטשולר שחם'!A:K,9,0)+VLOOKUP('תפוקה מצטברת מול אשתקד'!A23,'מדיהו '!A:K,9,0)+VLOOKUP('תפוקה מצטברת מול אשתקד'!A23,'אנליסט '!A:K,9,0)+VLOOKUP('תפוקה מצטברת מול אשתקד'!A23,'מיטב דש'!A:K,9,0)+VLOOKUP('תפוקה מצטברת מול אשתקד'!A23,אינפניטי!A:K,9,0)</f>
        <v>93742.368064419163</v>
      </c>
      <c r="N23" s="12">
        <f>VLOOKUP(A23,הכשרה!A:K,10,0)+VLOOKUP('תפוקה מצטברת מול אשתקד'!A23,מגדל!A:K,10,0)+VLOOKUP('תפוקה מצטברת מול אשתקד'!A23,מנורה!A:K,10,0)+VLOOKUP('תפוקה מצטברת מול אשתקד'!A23,איילון!A:K,10,0)+VLOOKUP('תפוקה מצטברת מול אשתקד'!A23,הראל!A:K,10,0)+VLOOKUP('תפוקה מצטברת מול אשתקד'!A23,הפניקס!A:K,10,0)+VLOOKUP('תפוקה מצטברת מול אשתקד'!A23,כלל!A:K,10,0)+VLOOKUP('תפוקה מצטברת מול אשתקד'!A23,מור!A:K,10,0)+VLOOKUP('תפוקה מצטברת מול אשתקד'!A23,'אלטשולר שחם'!A:K,10,0)+VLOOKUP('תפוקה מצטברת מול אשתקד'!A23,'מדיהו '!A:K,10,0)+VLOOKUP('תפוקה מצטברת מול אשתקד'!A23,'אנליסט '!A:K,10,0)+VLOOKUP('תפוקה מצטברת מול אשתקד'!A23,'מיטב דש'!A:K,10,0)+VLOOKUP('תפוקה מצטברת מול אשתקד'!A23,אינפניטי!A:K,10,0)</f>
        <v>1138531.5326680001</v>
      </c>
      <c r="O23" s="12">
        <f>VLOOKUP(A23,הכשרה!A:K,11,0)+VLOOKUP('תפוקה מצטברת מול אשתקד'!A23,מגדל!A:K,11,0)+VLOOKUP('תפוקה מצטברת מול אשתקד'!A23,מנורה!A:K,11,0)+VLOOKUP('תפוקה מצטברת מול אשתקד'!A23,איילון!A:K,11,0)+VLOOKUP('תפוקה מצטברת מול אשתקד'!A23,הראל!A:K,11,0)+VLOOKUP('תפוקה מצטברת מול אשתקד'!A23,הפניקס!A:K,11,0)+VLOOKUP('תפוקה מצטברת מול אשתקד'!A23,כלל!A:K,11,0)+VLOOKUP('תפוקה מצטברת מול אשתקד'!A23,מור!A:K,11,0)+VLOOKUP('תפוקה מצטברת מול אשתקד'!A23,'אלטשולר שחם'!A:K,11,0)+VLOOKUP('תפוקה מצטברת מול אשתקד'!A23,'מדיהו '!A:K,11,0)+VLOOKUP('תפוקה מצטברת מול אשתקד'!A23,'אנליסט '!A:K,11,0)+VLOOKUP('תפוקה מצטברת מול אשתקד'!A23,'מיטב דש'!A:K,11,0)+VLOOKUP('תפוקה מצטברת מול אשתקד'!A23,אינפניטי!A:K,11,0)</f>
        <v>2597440.3337040003</v>
      </c>
    </row>
    <row r="24" spans="1:18" customFormat="1" ht="15.75" customHeight="1" x14ac:dyDescent="0.25">
      <c r="A24" s="30" t="s">
        <v>12</v>
      </c>
      <c r="B24" s="26" t="s">
        <v>56</v>
      </c>
      <c r="C24" s="27" t="s">
        <v>107</v>
      </c>
      <c r="D24" s="19">
        <f t="shared" si="0"/>
        <v>0</v>
      </c>
      <c r="E24" s="19">
        <f t="shared" si="1"/>
        <v>1</v>
      </c>
      <c r="F24" s="19">
        <f t="shared" si="2"/>
        <v>0</v>
      </c>
      <c r="G24" s="19">
        <f t="shared" si="5"/>
        <v>-0.98433286512767271</v>
      </c>
      <c r="H24" s="58">
        <f>VLOOKUP(A24,הכשרה!A:G,4,0)+VLOOKUP('תפוקה מצטברת מול אשתקד'!A24,מגדל!A:G,4,0)+VLOOKUP('תפוקה מצטברת מול אשתקד'!A24,מנורה!A:G,4,0)+VLOOKUP('תפוקה מצטברת מול אשתקד'!A24,איילון!A:G,4,0)+VLOOKUP('תפוקה מצטברת מול אשתקד'!A24,הראל!A:G,4,0)+VLOOKUP('תפוקה מצטברת מול אשתקד'!A24,הפניקס!A:G,4,0)+VLOOKUP('תפוקה מצטברת מול אשתקד'!A24,כלל!A:G,4,0)+VLOOKUP('תפוקה מצטברת מול אשתקד'!A24,מור!A:G,4,0)+VLOOKUP('תפוקה מצטברת מול אשתקד'!A24,'אלטשולר שחם'!A:G,4,0)+VLOOKUP('תפוקה מצטברת מול אשתקד'!A24,'מדיהו '!A:G,4,0)+VLOOKUP('תפוקה מצטברת מול אשתקד'!A24,'אנליסט '!A:G,4,0)+VLOOKUP('תפוקה מצטברת מול אשתקד'!A24,'מיטב דש'!A:G,4,0)+VLOOKUP('תפוקה מצטברת מול אשתקד'!A24,אינפניטי!A:G,4,0)</f>
        <v>0</v>
      </c>
      <c r="I24" s="58">
        <f>VLOOKUP(A24,הכשרה!A:G,5,0)+VLOOKUP('תפוקה מצטברת מול אשתקד'!A24,מגדל!A:G,5,0)+VLOOKUP('תפוקה מצטברת מול אשתקד'!A24,מנורה!A:G,5,0)+VLOOKUP('תפוקה מצטברת מול אשתקד'!A24,איילון!A:G,5,0)+VLOOKUP('תפוקה מצטברת מול אשתקד'!A24,הראל!A:G,5,0)+VLOOKUP('תפוקה מצטברת מול אשתקד'!A24,הפניקס!A:G,5,0)+VLOOKUP('תפוקה מצטברת מול אשתקד'!A24,כלל!A:G,5,0)+VLOOKUP('תפוקה מצטברת מול אשתקד'!A24,מור!A:G,5,0)+VLOOKUP('תפוקה מצטברת מול אשתקד'!A24,'אלטשולר שחם'!A:G,5,0)+VLOOKUP('תפוקה מצטברת מול אשתקד'!A24,'מדיהו '!A:G,5,0)+VLOOKUP('תפוקה מצטברת מול אשתקד'!A24,'אנליסט '!A:G,5,0)+VLOOKUP('תפוקה מצטברת מול אשתקד'!A24,'מיטב דש'!A:G,5,0)+VLOOKUP('תפוקה מצטברת מול אשתקד'!A24,אינפניטי!A:G,5,0)</f>
        <v>3071.9442883237321</v>
      </c>
      <c r="J24" s="58">
        <f>VLOOKUP(A24,הכשרה!A:G,6,0)+VLOOKUP('תפוקה מצטברת מול אשתקד'!A24,מגדל!A:G,6,0)+VLOOKUP('תפוקה מצטברת מול אשתקד'!A24,מנורה!A:G,6,0)+VLOOKUP('תפוקה מצטברת מול אשתקד'!A24,איילון!A:G,6,0)+VLOOKUP(A24,הראל!A:G,6,0)+VLOOKUP('תפוקה מצטברת מול אשתקד'!A24,הפניקס!A:G,6,0)+VLOOKUP('תפוקה מצטברת מול אשתקד'!A24,כלל!A:G,6,0)+VLOOKUP('תפוקה מצטברת מול אשתקד'!A24,מור!A:G,6,0)+VLOOKUP('תפוקה מצטברת מול אשתקד'!A24,'אלטשולר שחם'!A:G,6,0)+VLOOKUP('תפוקה מצטברת מול אשתקד'!A24,'מדיהו '!A:G,6,0)+VLOOKUP('תפוקה מצטברת מול אשתקד'!A24,'אנליסט '!A:G,6,0)+VLOOKUP('תפוקה מצטברת מול אשתקד'!A24,'מיטב דש'!A:G,6,0)+VLOOKUP('תפוקה מצטברת מול אשתקד'!A24,אינפניטי!A:G,6,0)</f>
        <v>0</v>
      </c>
      <c r="K24" s="58">
        <f>VLOOKUP(A24,הכשרה!A:G,7,0)+VLOOKUP('תפוקה מצטברת מול אשתקד'!A24,מגדל!A:G,7,0)+VLOOKUP('תפוקה מצטברת מול אשתקד'!A24,מנורה!A:G,7,0)+VLOOKUP('תפוקה מצטברת מול אשתקד'!A24,איילון!A:G,7,0)+VLOOKUP('תפוקה מצטברת מול אשתקד'!A24,הראל!A:G,7,0)+VLOOKUP('תפוקה מצטברת מול אשתקד'!A24,הפניקס!A:G,7,0)+VLOOKUP('תפוקה מצטברת מול אשתקד'!A24,כלל!A:G,7,0)+VLOOKUP('תפוקה מצטברת מול אשתקד'!A24,מור!A:G,7,0)+VLOOKUP('תפוקה מצטברת מול אשתקד'!A24,'אלטשולר שחם'!A:G,7,0)+VLOOKUP('תפוקה מצטברת מול אשתקד'!A24,'מדיהו '!A:K,7,0)+VLOOKUP(A24,'אנליסט '!A:G,7,0)+VLOOKUP('תפוקה מצטברת מול אשתקד'!A24,'מיטב דש'!A:G,7,0)+VLOOKUP('תפוקה מצטברת מול אשתקד'!A24,אינפניטי!A:G,7,0)</f>
        <v>-11711.17</v>
      </c>
      <c r="L24" s="12">
        <f>VLOOKUP(A24,הכשרה!A:K,8,0)+VLOOKUP('תפוקה מצטברת מול אשתקד'!A24,מגדל!A:K,8,0)+VLOOKUP('תפוקה מצטברת מול אשתקד'!A24,מנורה!A:K,8,0)+VLOOKUP('תפוקה מצטברת מול אשתקד'!A24,איילון!A:K,8,0)+VLOOKUP('תפוקה מצטברת מול אשתקד'!A24,הראל!A:K,8,0)+VLOOKUP('תפוקה מצטברת מול אשתקד'!A24,הפניקס!A:K,8,0)+VLOOKUP('תפוקה מצטברת מול אשתקד'!A24,כלל!A:K,8,0)+VLOOKUP('תפוקה מצטברת מול אשתקד'!A24,מור!A:K,8,0)+VLOOKUP('תפוקה מצטברת מול אשתקד'!A24,'אלטשולר שחם'!A:K,8,0)+VLOOKUP('תפוקה מצטברת מול אשתקד'!A24,'מדיהו '!A:K,8,0)+VLOOKUP('תפוקה מצטברת מול אשתקד'!A24,'אנליסט '!A:K,8,0)+VLOOKUP('תפוקה מצטברת מול אשתקד'!A24,'מיטב דש'!A:K,8,0)+VLOOKUP('תפוקה מצטברת מול אשתקד'!A24,אינפניטי!A:K,8,0)</f>
        <v>13822.039358045189</v>
      </c>
      <c r="M24" s="12">
        <f>VLOOKUP(A24,הכשרה!A:K,9,0)+VLOOKUP('תפוקה מצטברת מול אשתקד'!A24,מגדל!A:K,9,0)+VLOOKUP('תפוקה מצטברת מול אשתקד'!A24,מנורה!A:K,9,0)+VLOOKUP('תפוקה מצטברת מול אשתקד'!A24,איילון!A:K,9,0)+VLOOKUP('תפוקה מצטברת מול אשתקד'!A24,הראל!A:K,9,0)+VLOOKUP('תפוקה מצטברת מול אשתקד'!A24,הפניקס!A:K,9,0)+VLOOKUP('תפוקה מצטברת מול אשתקד'!A24,כלל!A:K,9,0)+VLOOKUP('תפוקה מצטברת מול אשתקד'!A24,מור!A:K,9,0)+VLOOKUP('תפוקה מצטברת מול אשתקד'!A24,'אלטשולר שחם'!A:K,9,0)+VLOOKUP('תפוקה מצטברת מול אשתקד'!A24,'מדיהו '!A:K,9,0)+VLOOKUP('תפוקה מצטברת מול אשתקד'!A24,'אנליסט '!A:K,9,0)+VLOOKUP('תפוקה מצטברת מול אשתקד'!A24,'מיטב דש'!A:K,9,0)+VLOOKUP('תפוקה מצטברת מול אשתקד'!A24,אינפניטי!A:K,9,0)</f>
        <v>0</v>
      </c>
      <c r="N24" s="12">
        <f>VLOOKUP(A24,הכשרה!A:K,10,0)+VLOOKUP('תפוקה מצטברת מול אשתקד'!A24,מגדל!A:K,10,0)+VLOOKUP('תפוקה מצטברת מול אשתקד'!A24,מנורה!A:K,10,0)+VLOOKUP('תפוקה מצטברת מול אשתקד'!A24,איילון!A:K,10,0)+VLOOKUP('תפוקה מצטברת מול אשתקד'!A24,הראל!A:K,10,0)+VLOOKUP('תפוקה מצטברת מול אשתקד'!A24,הפניקס!A:K,10,0)+VLOOKUP('תפוקה מצטברת מול אשתקד'!A24,כלל!A:K,10,0)+VLOOKUP('תפוקה מצטברת מול אשתקד'!A24,מור!A:K,10,0)+VLOOKUP('תפוקה מצטברת מול אשתקד'!A24,'אלטשולר שחם'!A:K,10,0)+VLOOKUP('תפוקה מצטברת מול אשתקד'!A24,'מדיהו '!A:K,10,0)+VLOOKUP('תפוקה מצטברת מול אשתקד'!A24,'אנליסט '!A:K,10,0)+VLOOKUP('תפוקה מצטברת מול אשתקד'!A24,'מיטב דש'!A:K,10,0)+VLOOKUP('תפוקה מצטברת מול אשתקד'!A24,אינפניטי!A:K,10,0)</f>
        <v>0</v>
      </c>
      <c r="O24" s="12">
        <f>VLOOKUP(A24,הכשרה!A:K,11,0)+VLOOKUP('תפוקה מצטברת מול אשתקד'!A24,מגדל!A:K,11,0)+VLOOKUP('תפוקה מצטברת מול אשתקד'!A24,מנורה!A:K,11,0)+VLOOKUP('תפוקה מצטברת מול אשתקד'!A24,איילון!A:K,11,0)+VLOOKUP('תפוקה מצטברת מול אשתקד'!A24,הראל!A:K,11,0)+VLOOKUP('תפוקה מצטברת מול אשתקד'!A24,הפניקס!A:K,11,0)+VLOOKUP('תפוקה מצטברת מול אשתקד'!A24,כלל!A:K,11,0)+VLOOKUP('תפוקה מצטברת מול אשתקד'!A24,מור!A:K,11,0)+VLOOKUP('תפוקה מצטברת מול אשתקד'!A24,'אלטשולר שחם'!A:K,11,0)+VLOOKUP('תפוקה מצטברת מול אשתקד'!A24,'מדיהו '!A:K,11,0)+VLOOKUP('תפוקה מצטברת מול אשתקד'!A24,'אנליסט '!A:K,11,0)+VLOOKUP('תפוקה מצטברת מול אשתקד'!A24,'מיטב דש'!A:K,11,0)+VLOOKUP('תפוקה מצטברת מול אשתקד'!A24,אינפניטי!A:K,11,0)</f>
        <v>-747499.15000000014</v>
      </c>
    </row>
    <row r="25" spans="1:18" ht="15.75" customHeight="1" x14ac:dyDescent="0.25">
      <c r="A25" s="30" t="s">
        <v>13</v>
      </c>
      <c r="B25" s="26" t="s">
        <v>56</v>
      </c>
      <c r="C25" s="27" t="s">
        <v>107</v>
      </c>
      <c r="D25" s="19">
        <f t="shared" si="0"/>
        <v>-0.63572573977343438</v>
      </c>
      <c r="E25" s="19">
        <f t="shared" si="1"/>
        <v>-0.66960129753086128</v>
      </c>
      <c r="F25" s="19">
        <f t="shared" si="2"/>
        <v>0</v>
      </c>
      <c r="G25" s="19">
        <f t="shared" si="5"/>
        <v>0</v>
      </c>
      <c r="H25" s="58">
        <f>VLOOKUP(A25,הכשרה!A:G,4,0)+VLOOKUP('תפוקה מצטברת מול אשתקד'!A25,מגדל!A:G,4,0)+VLOOKUP('תפוקה מצטברת מול אשתקד'!A25,מנורה!A:G,4,0)+VLOOKUP('תפוקה מצטברת מול אשתקד'!A25,איילון!A:G,4,0)+VLOOKUP('תפוקה מצטברת מול אשתקד'!A25,הראל!A:G,4,0)+VLOOKUP('תפוקה מצטברת מול אשתקד'!A25,הפניקס!A:G,4,0)+VLOOKUP('תפוקה מצטברת מול אשתקד'!A25,כלל!A:G,4,0)+VLOOKUP('תפוקה מצטברת מול אשתקד'!A25,מור!A:G,4,0)+VLOOKUP('תפוקה מצטברת מול אשתקד'!A25,'אלטשולר שחם'!A:G,4,0)+VLOOKUP('תפוקה מצטברת מול אשתקד'!A25,'מדיהו '!A:G,4,0)+VLOOKUP('תפוקה מצטברת מול אשתקד'!A25,'אנליסט '!A:G,4,0)+VLOOKUP('תפוקה מצטברת מול אשתקד'!A25,'מיטב דש'!A:G,4,0)+VLOOKUP('תפוקה מצטברת מול אשתקד'!A25,אינפניטי!A:G,4,0)</f>
        <v>13040.009862627679</v>
      </c>
      <c r="I25" s="58">
        <f>VLOOKUP(A25,הכשרה!A:G,5,0)+VLOOKUP('תפוקה מצטברת מול אשתקד'!A25,מגדל!A:G,5,0)+VLOOKUP('תפוקה מצטברת מול אשתקד'!A25,מנורה!A:G,5,0)+VLOOKUP('תפוקה מצטברת מול אשתקד'!A25,איילון!A:G,5,0)+VLOOKUP('תפוקה מצטברת מול אשתקד'!A25,הראל!A:G,5,0)+VLOOKUP('תפוקה מצטברת מול אשתקד'!A25,הפניקס!A:G,5,0)+VLOOKUP('תפוקה מצטברת מול אשתקד'!A25,כלל!A:G,5,0)+VLOOKUP('תפוקה מצטברת מול אשתקד'!A25,מור!A:G,5,0)+VLOOKUP('תפוקה מצטברת מול אשתקד'!A25,'אלטשולר שחם'!A:G,5,0)+VLOOKUP('תפוקה מצטברת מול אשתקד'!A25,'מדיהו '!A:G,5,0)+VLOOKUP('תפוקה מצטברת מול אשתקד'!A25,'אנליסט '!A:G,5,0)+VLOOKUP('תפוקה מצטברת מול אשתקד'!A25,'מיטב דש'!A:G,5,0)+VLOOKUP('תפוקה מצטברת מול אשתקד'!A25,אינפניטי!A:G,5,0)</f>
        <v>7422</v>
      </c>
      <c r="J25" s="58">
        <f>VLOOKUP(A25,הכשרה!A:G,6,0)+VLOOKUP('תפוקה מצטברת מול אשתקד'!A25,מגדל!A:G,6,0)+VLOOKUP('תפוקה מצטברת מול אשתקד'!A25,מנורה!A:G,6,0)+VLOOKUP('תפוקה מצטברת מול אשתקד'!A25,איילון!A:G,6,0)+VLOOKUP(A25,הראל!A:G,6,0)+VLOOKUP('תפוקה מצטברת מול אשתקד'!A25,הפניקס!A:G,6,0)+VLOOKUP('תפוקה מצטברת מול אשתקד'!A25,כלל!A:G,6,0)+VLOOKUP('תפוקה מצטברת מול אשתקד'!A25,מור!A:G,6,0)+VLOOKUP('תפוקה מצטברת מול אשתקד'!A25,'אלטשולר שחם'!A:G,6,0)+VLOOKUP('תפוקה מצטברת מול אשתקד'!A25,'מדיהו '!A:G,6,0)+VLOOKUP('תפוקה מצטברת מול אשתקד'!A25,'אנליסט '!A:G,6,0)+VLOOKUP('תפוקה מצטברת מול אשתקד'!A25,'מיטב דש'!A:G,6,0)+VLOOKUP('תפוקה מצטברת מול אשתקד'!A25,אינפניטי!A:G,6,0)</f>
        <v>0</v>
      </c>
      <c r="K25" s="58">
        <f>VLOOKUP(A25,הכשרה!A:G,7,0)+VLOOKUP('תפוקה מצטברת מול אשתקד'!A25,מגדל!A:G,7,0)+VLOOKUP('תפוקה מצטברת מול אשתקד'!A25,מנורה!A:G,7,0)+VLOOKUP('תפוקה מצטברת מול אשתקד'!A25,איילון!A:G,7,0)+VLOOKUP('תפוקה מצטברת מול אשתקד'!A25,הראל!A:G,7,0)+VLOOKUP('תפוקה מצטברת מול אשתקד'!A25,הפניקס!A:G,7,0)+VLOOKUP('תפוקה מצטברת מול אשתקד'!A25,כלל!A:G,7,0)+VLOOKUP('תפוקה מצטברת מול אשתקד'!A25,מור!A:G,7,0)+VLOOKUP('תפוקה מצטברת מול אשתקד'!A25,'אלטשולר שחם'!A:G,7,0)+VLOOKUP('תפוקה מצטברת מול אשתקד'!A25,'מדיהו '!A:K,7,0)+VLOOKUP(A25,'אנליסט '!A:G,7,0)+VLOOKUP('תפוקה מצטברת מול אשתקד'!A25,'מיטב דש'!A:G,7,0)+VLOOKUP('תפוקה מצטברת מול אשתקד'!A25,אינפניטי!A:G,7,0)</f>
        <v>0</v>
      </c>
      <c r="L25" s="12">
        <f>VLOOKUP(A25,הכשרה!A:K,8,0)+VLOOKUP('תפוקה מצטברת מול אשתקד'!A25,מגדל!A:K,8,0)+VLOOKUP('תפוקה מצטברת מול אשתקד'!A25,מנורה!A:K,8,0)+VLOOKUP('תפוקה מצטברת מול אשתקד'!A25,איילון!A:K,8,0)+VLOOKUP('תפוקה מצטברת מול אשתקד'!A25,הראל!A:K,8,0)+VLOOKUP('תפוקה מצטברת מול אשתקד'!A25,הפניקס!A:K,8,0)+VLOOKUP('תפוקה מצטברת מול אשתקד'!A25,כלל!A:K,8,0)+VLOOKUP('תפוקה מצטברת מול אשתקד'!A25,מור!A:K,8,0)+VLOOKUP('תפוקה מצטברת מול אשתקד'!A25,'אלטשולר שחם'!A:K,8,0)+VLOOKUP('תפוקה מצטברת מול אשתקד'!A25,'מדיהו '!A:K,8,0)+VLOOKUP('תפוקה מצטברת מול אשתקד'!A25,'אנליסט '!A:K,8,0)+VLOOKUP('תפוקה מצטברת מול אשתקד'!A25,'מיטב דש'!A:K,8,0)+VLOOKUP('תפוקה מצטברת מול אשתקד'!A25,אינפניטי!A:K,8,0)</f>
        <v>35797.231060238119</v>
      </c>
      <c r="M25" s="12">
        <f>VLOOKUP(A25,הכשרה!A:K,9,0)+VLOOKUP('תפוקה מצטברת מול אשתקד'!A25,מגדל!A:K,9,0)+VLOOKUP('תפוקה מצטברת מול אשתקד'!A25,מנורה!A:K,9,0)+VLOOKUP('תפוקה מצטברת מול אשתקד'!A25,איילון!A:K,9,0)+VLOOKUP('תפוקה מצטברת מול אשתקד'!A25,הראל!A:K,9,0)+VLOOKUP('תפוקה מצטברת מול אשתקד'!A25,הפניקס!A:K,9,0)+VLOOKUP('תפוקה מצטברת מול אשתקד'!A25,כלל!A:K,9,0)+VLOOKUP('תפוקה מצטברת מול אשתקד'!A25,מור!A:K,9,0)+VLOOKUP('תפוקה מצטברת מול אשתקד'!A25,'אלטשולר שחם'!A:K,9,0)+VLOOKUP('תפוקה מצטברת מול אשתקד'!A25,'מדיהו '!A:K,9,0)+VLOOKUP('תפוקה מצטברת מול אשתקד'!A25,'אנליסט '!A:K,9,0)+VLOOKUP('תפוקה מצטברת מול אשתקד'!A25,'מיטב דש'!A:K,9,0)+VLOOKUP('תפוקה מצטברת מול אשתקד'!A25,אינפניטי!A:K,9,0)</f>
        <v>22463.768606032165</v>
      </c>
      <c r="N25" s="12">
        <f>VLOOKUP(A25,הכשרה!A:K,10,0)+VLOOKUP('תפוקה מצטברת מול אשתקד'!A25,מגדל!A:K,10,0)+VLOOKUP('תפוקה מצטברת מול אשתקד'!A25,מנורה!A:K,10,0)+VLOOKUP('תפוקה מצטברת מול אשתקד'!A25,איילון!A:K,10,0)+VLOOKUP('תפוקה מצטברת מול אשתקד'!A25,הראל!A:K,10,0)+VLOOKUP('תפוקה מצטברת מול אשתקד'!A25,הפניקס!A:K,10,0)+VLOOKUP('תפוקה מצטברת מול אשתקד'!A25,כלל!A:K,10,0)+VLOOKUP('תפוקה מצטברת מול אשתקד'!A25,מור!A:K,10,0)+VLOOKUP('תפוקה מצטברת מול אשתקד'!A25,'אלטשולר שחם'!A:K,10,0)+VLOOKUP('תפוקה מצטברת מול אשתקד'!A25,'מדיהו '!A:K,10,0)+VLOOKUP('תפוקה מצטברת מול אשתקד'!A25,'אנליסט '!A:K,10,0)+VLOOKUP('תפוקה מצטברת מול אשתקד'!A25,'מיטב דש'!A:K,10,0)+VLOOKUP('תפוקה מצטברת מול אשתקד'!A25,אינפניטי!A:K,10,0)</f>
        <v>29947.162266599851</v>
      </c>
      <c r="O25" s="12">
        <f>VLOOKUP(A25,הכשרה!A:K,11,0)+VLOOKUP('תפוקה מצטברת מול אשתקד'!A25,מגדל!A:K,11,0)+VLOOKUP('תפוקה מצטברת מול אשתקד'!A25,מנורה!A:K,11,0)+VLOOKUP('תפוקה מצטברת מול אשתקד'!A25,איילון!A:K,11,0)+VLOOKUP('תפוקה מצטברת מול אשתקד'!A25,הראל!A:K,11,0)+VLOOKUP('תפוקה מצטברת מול אשתקד'!A25,הפניקס!A:K,11,0)+VLOOKUP('תפוקה מצטברת מול אשתקד'!A25,כלל!A:K,11,0)+VLOOKUP('תפוקה מצטברת מול אשתקד'!A25,מור!A:K,11,0)+VLOOKUP('תפוקה מצטברת מול אשתקד'!A25,'אלטשולר שחם'!A:K,11,0)+VLOOKUP('תפוקה מצטברת מול אשתקד'!A25,'מדיהו '!A:K,11,0)+VLOOKUP('תפוקה מצטברת מול אשתקד'!A25,'אנליסט '!A:K,11,0)+VLOOKUP('תפוקה מצטברת מול אשתקד'!A25,'מיטב דש'!A:K,11,0)+VLOOKUP('תפוקה מצטברת מול אשתקד'!A25,אינפניטי!A:K,11,0)</f>
        <v>-2249.4099999999962</v>
      </c>
    </row>
    <row r="26" spans="1:18" ht="15.75" customHeight="1" x14ac:dyDescent="0.25">
      <c r="A26" s="30" t="s">
        <v>15</v>
      </c>
      <c r="B26" s="26" t="s">
        <v>56</v>
      </c>
      <c r="C26" s="27" t="s">
        <v>107</v>
      </c>
      <c r="D26" s="19">
        <f t="shared" si="0"/>
        <v>1.947613745201676</v>
      </c>
      <c r="E26" s="19">
        <f t="shared" si="1"/>
        <v>8.3586139694306949E-2</v>
      </c>
      <c r="F26" s="19">
        <f t="shared" si="2"/>
        <v>-0.23219002141653156</v>
      </c>
      <c r="G26" s="19">
        <f t="shared" si="5"/>
        <v>1.1963113302697974</v>
      </c>
      <c r="H26" s="58">
        <f>VLOOKUP(A26,הכשרה!A:G,4,0)+VLOOKUP('תפוקה מצטברת מול אשתקד'!A26,מגדל!A:G,4,0)+VLOOKUP('תפוקה מצטברת מול אשתקד'!A26,מנורה!A:G,4,0)+VLOOKUP('תפוקה מצטברת מול אשתקד'!A26,איילון!A:G,4,0)+VLOOKUP('תפוקה מצטברת מול אשתקד'!A26,הראל!A:G,4,0)+VLOOKUP('תפוקה מצטברת מול אשתקד'!A26,הפניקס!A:G,4,0)+VLOOKUP('תפוקה מצטברת מול אשתקד'!A26,כלל!A:G,4,0)+VLOOKUP('תפוקה מצטברת מול אשתקד'!A26,מור!A:G,4,0)+VLOOKUP('תפוקה מצטברת מול אשתקד'!A26,'אלטשולר שחם'!A:G,4,0)+VLOOKUP('תפוקה מצטברת מול אשתקד'!A26,'מדיהו '!A:G,4,0)+VLOOKUP('תפוקה מצטברת מול אשתקד'!A26,'אנליסט '!A:G,4,0)+VLOOKUP('תפוקה מצטברת מול אשתקד'!A26,'מיטב דש'!A:G,4,0)+VLOOKUP('תפוקה מצטברת מול אשתקד'!A26,אינפניטי!A:G,4,0)</f>
        <v>860245.38978984242</v>
      </c>
      <c r="I26" s="58">
        <f>VLOOKUP(A26,הכשרה!A:G,5,0)+VLOOKUP('תפוקה מצטברת מול אשתקד'!A26,מגדל!A:G,5,0)+VLOOKUP('תפוקה מצטברת מול אשתקד'!A26,מנורה!A:G,5,0)+VLOOKUP('תפוקה מצטברת מול אשתקד'!A26,איילון!A:G,5,0)+VLOOKUP('תפוקה מצטברת מול אשתקד'!A26,הראל!A:G,5,0)+VLOOKUP('תפוקה מצטברת מול אשתקד'!A26,הפניקס!A:G,5,0)+VLOOKUP('תפוקה מצטברת מול אשתקד'!A26,כלל!A:G,5,0)+VLOOKUP('תפוקה מצטברת מול אשתקד'!A26,מור!A:G,5,0)+VLOOKUP('תפוקה מצטברת מול אשתקד'!A26,'אלטשולר שחם'!A:G,5,0)+VLOOKUP('תפוקה מצטברת מול אשתקד'!A26,'מדיהו '!A:G,5,0)+VLOOKUP('תפוקה מצטברת מול אשתקד'!A26,'אנליסט '!A:G,5,0)+VLOOKUP('תפוקה מצטברת מול אשתקד'!A26,'מיטב דש'!A:G,5,0)+VLOOKUP('תפוקה מצטברת מול אשתקד'!A26,אינפניטי!A:G,5,0)</f>
        <v>81849.69</v>
      </c>
      <c r="J26" s="58">
        <f>VLOOKUP(A26,הכשרה!A:G,6,0)+VLOOKUP('תפוקה מצטברת מול אשתקד'!A26,מגדל!A:G,6,0)+VLOOKUP('תפוקה מצטברת מול אשתקד'!A26,מנורה!A:G,6,0)+VLOOKUP('תפוקה מצטברת מול אשתקד'!A26,איילון!A:G,6,0)+VLOOKUP(A26,הראל!A:G,6,0)+VLOOKUP('תפוקה מצטברת מול אשתקד'!A26,הפניקס!A:G,6,0)+VLOOKUP('תפוקה מצטברת מול אשתקד'!A26,כלל!A:G,6,0)+VLOOKUP('תפוקה מצטברת מול אשתקד'!A26,מור!A:G,6,0)+VLOOKUP('תפוקה מצטברת מול אשתקד'!A26,'אלטשולר שחם'!A:G,6,0)+VLOOKUP('תפוקה מצטברת מול אשתקד'!A26,'מדיהו '!A:G,6,0)+VLOOKUP('תפוקה מצטברת מול אשתקד'!A26,'אנליסט '!A:G,6,0)+VLOOKUP('תפוקה מצטברת מול אשתקד'!A26,'מיטב דש'!A:G,6,0)+VLOOKUP('תפוקה מצטברת מול אשתקד'!A26,אינפניטי!A:G,6,0)</f>
        <v>429319.03</v>
      </c>
      <c r="K26" s="58">
        <f>VLOOKUP(A26,הכשרה!A:G,7,0)+VLOOKUP('תפוקה מצטברת מול אשתקד'!A26,מגדל!A:G,7,0)+VLOOKUP('תפוקה מצטברת מול אשתקד'!A26,מנורה!A:G,7,0)+VLOOKUP('תפוקה מצטברת מול אשתקד'!A26,איילון!A:G,7,0)+VLOOKUP('תפוקה מצטברת מול אשתקד'!A26,הראל!A:G,7,0)+VLOOKUP('תפוקה מצטברת מול אשתקד'!A26,הפניקס!A:G,7,0)+VLOOKUP('תפוקה מצטברת מול אשתקד'!A26,כלל!A:G,7,0)+VLOOKUP('תפוקה מצטברת מול אשתקד'!A26,מור!A:G,7,0)+VLOOKUP('תפוקה מצטברת מול אשתקד'!A26,'אלטשולר שחם'!A:G,7,0)+VLOOKUP('תפוקה מצטברת מול אשתקד'!A26,'מדיהו '!A:K,7,0)+VLOOKUP(A26,'אנליסט '!A:G,7,0)+VLOOKUP('תפוקה מצטברת מול אשתקד'!A26,'מיטב דש'!A:G,7,0)+VLOOKUP('תפוקה מצטברת מול אשתקד'!A26,אינפניטי!A:G,7,0)</f>
        <v>1337539.3899999999</v>
      </c>
      <c r="L26" s="12">
        <f>VLOOKUP(A26,הכשרה!A:K,8,0)+VLOOKUP('תפוקה מצטברת מול אשתקד'!A26,מגדל!A:K,8,0)+VLOOKUP('תפוקה מצטברת מול אשתקד'!A26,מנורה!A:K,8,0)+VLOOKUP('תפוקה מצטברת מול אשתקד'!A26,איילון!A:K,8,0)+VLOOKUP('תפוקה מצטברת מול אשתקד'!A26,הראל!A:K,8,0)+VLOOKUP('תפוקה מצטברת מול אשתקד'!A26,הפניקס!A:K,8,0)+VLOOKUP('תפוקה מצטברת מול אשתקד'!A26,כלל!A:K,8,0)+VLOOKUP('תפוקה מצטברת מול אשתקד'!A26,מור!A:K,8,0)+VLOOKUP('תפוקה מצטברת מול אשתקד'!A26,'אלטשולר שחם'!A:K,8,0)+VLOOKUP('תפוקה מצטברת מול אשתקד'!A26,'מדיהו '!A:K,8,0)+VLOOKUP('תפוקה מצטברת מול אשתקד'!A26,'אנליסט '!A:K,8,0)+VLOOKUP('תפוקה מצטברת מול אשתקד'!A26,'מיטב דש'!A:K,8,0)+VLOOKUP('תפוקה מצטברת מול אשתקד'!A26,אינפניטי!A:K,8,0)</f>
        <v>291844.67984999996</v>
      </c>
      <c r="M26" s="12">
        <f>VLOOKUP(A26,הכשרה!A:K,9,0)+VLOOKUP('תפוקה מצטברת מול אשתקד'!A26,מגדל!A:K,9,0)+VLOOKUP('תפוקה מצטברת מול אשתקד'!A26,מנורה!A:K,9,0)+VLOOKUP('תפוקה מצטברת מול אשתקד'!A26,איילון!A:K,9,0)+VLOOKUP('תפוקה מצטברת מול אשתקד'!A26,הראל!A:K,9,0)+VLOOKUP('תפוקה מצטברת מול אשתקד'!A26,הפניקס!A:K,9,0)+VLOOKUP('תפוקה מצטברת מול אשתקד'!A26,כלל!A:K,9,0)+VLOOKUP('תפוקה מצטברת מול אשתקד'!A26,מור!A:K,9,0)+VLOOKUP('תפוקה מצטברת מול אשתקד'!A26,'אלטשולר שחם'!A:K,9,0)+VLOOKUP('תפוקה מצטברת מול אשתקד'!A26,'מדיהו '!A:K,9,0)+VLOOKUP('תפוקה מצטברת מול אשתקד'!A26,'אנליסט '!A:K,9,0)+VLOOKUP('תפוקה מצטברת מול אשתקד'!A26,'מיטב דש'!A:K,9,0)+VLOOKUP('תפוקה מצטברת מול אשתקד'!A26,אינפניטי!A:K,9,0)</f>
        <v>75535.93295599999</v>
      </c>
      <c r="N26" s="12">
        <f>VLOOKUP(A26,הכשרה!A:K,10,0)+VLOOKUP('תפוקה מצטברת מול אשתקד'!A26,מגדל!A:K,10,0)+VLOOKUP('תפוקה מצטברת מול אשתקד'!A26,מנורה!A:K,10,0)+VLOOKUP('תפוקה מצטברת מול אשתקד'!A26,איילון!A:K,10,0)+VLOOKUP('תפוקה מצטברת מול אשתקד'!A26,הראל!A:K,10,0)+VLOOKUP('תפוקה מצטברת מול אשתקד'!A26,הפניקס!A:K,10,0)+VLOOKUP('תפוקה מצטברת מול אשתקד'!A26,כלל!A:K,10,0)+VLOOKUP('תפוקה מצטברת מול אשתקד'!A26,מור!A:K,10,0)+VLOOKUP('תפוקה מצטברת מול אשתקד'!A26,'אלטשולר שחם'!A:K,10,0)+VLOOKUP('תפוקה מצטברת מול אשתקד'!A26,'מדיהו '!A:K,10,0)+VLOOKUP('תפוקה מצטברת מול אשתקד'!A26,'אנליסט '!A:K,10,0)+VLOOKUP('תפוקה מצטברת מול אשתקד'!A26,'מיטב דש'!A:K,10,0)+VLOOKUP('תפוקה מצטברת מול אשתקד'!A26,אינפניטי!A:K,10,0)</f>
        <v>559147.50000000012</v>
      </c>
      <c r="O26" s="12">
        <f>VLOOKUP(A26,הכשרה!A:K,11,0)+VLOOKUP('תפוקה מצטברת מול אשתקד'!A26,מגדל!A:K,11,0)+VLOOKUP('תפוקה מצטברת מול אשתקד'!A26,מנורה!A:K,11,0)+VLOOKUP('תפוקה מצטברת מול אשתקד'!A26,איילון!A:K,11,0)+VLOOKUP('תפוקה מצטברת מול אשתקד'!A26,הראל!A:K,11,0)+VLOOKUP('תפוקה מצטברת מול אשתקד'!A26,הפניקס!A:K,11,0)+VLOOKUP('תפוקה מצטברת מול אשתקד'!A26,כלל!A:K,11,0)+VLOOKUP('תפוקה מצטברת מול אשתקד'!A26,מור!A:K,11,0)+VLOOKUP('תפוקה מצטברת מול אשתקד'!A26,'אלטשולר שחם'!A:K,11,0)+VLOOKUP('תפוקה מצטברת מול אשתקד'!A26,'מדיהו '!A:K,11,0)+VLOOKUP('תפוקה מצטברת מול אשתקד'!A26,'אנליסט '!A:K,11,0)+VLOOKUP('תפוקה מצטברת מול אשתקד'!A26,'מיטב דש'!A:K,11,0)+VLOOKUP('תפוקה מצטברת מול אשתקד'!A26,אינפניטי!A:K,11,0)</f>
        <v>608993.53</v>
      </c>
    </row>
    <row r="27" spans="1:18" ht="15.75" customHeight="1" x14ac:dyDescent="0.25">
      <c r="A27" s="30" t="s">
        <v>17</v>
      </c>
      <c r="B27" s="26" t="s">
        <v>56</v>
      </c>
      <c r="C27" s="27" t="s">
        <v>107</v>
      </c>
      <c r="D27" s="19">
        <f t="shared" si="0"/>
        <v>-0.64631767035702015</v>
      </c>
      <c r="E27" s="19">
        <f t="shared" si="0"/>
        <v>0.67364314044409634</v>
      </c>
      <c r="F27" s="19">
        <f t="shared" si="0"/>
        <v>6.9150810972108072</v>
      </c>
      <c r="G27" s="19">
        <f t="shared" si="5"/>
        <v>0.51234666165211951</v>
      </c>
      <c r="H27" s="58">
        <f>VLOOKUP(A27,הכשרה!A:G,4,0)+VLOOKUP('תפוקה מצטברת מול אשתקד'!A27,מגדל!A:G,4,0)+VLOOKUP('תפוקה מצטברת מול אשתקד'!A27,מנורה!A:G,4,0)+VLOOKUP('תפוקה מצטברת מול אשתקד'!A27,איילון!A:G,4,0)+VLOOKUP('תפוקה מצטברת מול אשתקד'!A27,הראל!A:G,4,0)+VLOOKUP('תפוקה מצטברת מול אשתקד'!A27,הפניקס!A:G,4,0)+VLOOKUP('תפוקה מצטברת מול אשתקד'!A27,כלל!A:G,4,0)+VLOOKUP('תפוקה מצטברת מול אשתקד'!A27,מור!A:G,4,0)+VLOOKUP('תפוקה מצטברת מול אשתקד'!A27,'אלטשולר שחם'!A:G,4,0)+VLOOKUP('תפוקה מצטברת מול אשתקד'!A27,'מדיהו '!A:G,4,0)+VLOOKUP('תפוקה מצטברת מול אשתקד'!A27,'אנליסט '!A:G,4,0)+VLOOKUP('תפוקה מצטברת מול אשתקד'!A27,'מיטב דש'!A:G,4,0)+VLOOKUP('תפוקה מצטברת מול אשתקד'!A27,אינפניטי!A:G,4,0)</f>
        <v>45989.427773021707</v>
      </c>
      <c r="I27" s="58">
        <f>VLOOKUP(A27,הכשרה!A:G,5,0)+VLOOKUP('תפוקה מצטברת מול אשתקד'!A27,מגדל!A:G,5,0)+VLOOKUP('תפוקה מצטברת מול אשתקד'!A27,מנורה!A:G,5,0)+VLOOKUP('תפוקה מצטברת מול אשתקד'!A27,איילון!A:G,5,0)+VLOOKUP('תפוקה מצטברת מול אשתקד'!A27,הראל!A:G,5,0)+VLOOKUP('תפוקה מצטברת מול אשתקד'!A27,הפניקס!A:G,5,0)+VLOOKUP('תפוקה מצטברת מול אשתקד'!A27,כלל!A:G,5,0)+VLOOKUP('תפוקה מצטברת מול אשתקד'!A27,מור!A:G,5,0)+VLOOKUP('תפוקה מצטברת מול אשתקד'!A27,'אלטשולר שחם'!A:G,5,0)+VLOOKUP('תפוקה מצטברת מול אשתקד'!A27,'מדיהו '!A:G,5,0)+VLOOKUP('תפוקה מצטברת מול אשתקד'!A27,'אנליסט '!A:G,5,0)+VLOOKUP('תפוקה מצטברת מול אשתקד'!A27,'מיטב דש'!A:G,5,0)+VLOOKUP('תפוקה מצטברת מול אשתקד'!A27,אינפניטי!A:G,5,0)</f>
        <v>63281.145784272689</v>
      </c>
      <c r="J27" s="58">
        <f>VLOOKUP(A27,הכשרה!A:G,6,0)+VLOOKUP('תפוקה מצטברת מול אשתקד'!A27,מגדל!A:G,6,0)+VLOOKUP('תפוקה מצטברת מול אשתקד'!A27,מנורה!A:G,6,0)+VLOOKUP('תפוקה מצטברת מול אשתקד'!A27,איילון!A:G,6,0)+VLOOKUP(A27,הראל!A:G,6,0)+VLOOKUP('תפוקה מצטברת מול אשתקד'!A27,הפניקס!A:G,6,0)+VLOOKUP('תפוקה מצטברת מול אשתקד'!A27,כלל!A:G,6,0)+VLOOKUP('תפוקה מצטברת מול אשתקד'!A27,מור!A:G,6,0)+VLOOKUP('תפוקה מצטברת מול אשתקד'!A27,'אלטשולר שחם'!A:G,6,0)+VLOOKUP('תפוקה מצטברת מול אשתקד'!A27,'מדיהו '!A:G,6,0)+VLOOKUP('תפוקה מצטברת מול אשתקד'!A27,'אנליסט '!A:G,6,0)+VLOOKUP('תפוקה מצטברת מול אשתקד'!A27,'מיטב דש'!A:G,6,0)+VLOOKUP('תפוקה מצטברת מול אשתקד'!A27,אינפניטי!A:G,6,0)</f>
        <v>100000</v>
      </c>
      <c r="K27" s="58">
        <f>VLOOKUP(A27,הכשרה!A:G,7,0)+VLOOKUP('תפוקה מצטברת מול אשתקד'!A27,מגדל!A:G,7,0)+VLOOKUP('תפוקה מצטברת מול אשתקד'!A27,מנורה!A:G,7,0)+VLOOKUP('תפוקה מצטברת מול אשתקד'!A27,איילון!A:G,7,0)+VLOOKUP('תפוקה מצטברת מול אשתקד'!A27,הראל!A:G,7,0)+VLOOKUP('תפוקה מצטברת מול אשתקד'!A27,הפניקס!A:G,7,0)+VLOOKUP('תפוקה מצטברת מול אשתקד'!A27,כלל!A:G,7,0)+VLOOKUP('תפוקה מצטברת מול אשתקד'!A27,מור!A:G,7,0)+VLOOKUP('תפוקה מצטברת מול אשתקד'!A27,'אלטשולר שחם'!A:G,7,0)+VLOOKUP('תפוקה מצטברת מול אשתקד'!A27,'מדיהו '!A:K,7,0)+VLOOKUP(A27,'אנליסט '!A:G,7,0)+VLOOKUP('תפוקה מצטברת מול אשתקד'!A27,'מיטב דש'!A:G,7,0)+VLOOKUP('תפוקה מצטברת מול אשתקד'!A27,אינפניטי!A:G,7,0)</f>
        <v>190903.65</v>
      </c>
      <c r="L27" s="12">
        <f>VLOOKUP(A27,הכשרה!A:K,8,0)+VLOOKUP('תפוקה מצטברת מול אשתקד'!A27,מגדל!A:K,8,0)+VLOOKUP('תפוקה מצטברת מול אשתקד'!A27,מנורה!A:K,8,0)+VLOOKUP('תפוקה מצטברת מול אשתקד'!A27,איילון!A:K,8,0)+VLOOKUP('תפוקה מצטברת מול אשתקד'!A27,הראל!A:K,8,0)+VLOOKUP('תפוקה מצטברת מול אשתקד'!A27,הפניקס!A:K,8,0)+VLOOKUP('תפוקה מצטברת מול אשתקד'!A27,כלל!A:K,8,0)+VLOOKUP('תפוקה מצטברת מול אשתקד'!A27,מור!A:K,8,0)+VLOOKUP('תפוקה מצטברת מול אשתקד'!A27,'אלטשולר שחם'!A:K,8,0)+VLOOKUP('תפוקה מצטברת מול אשתקד'!A27,'מדיהו '!A:K,8,0)+VLOOKUP('תפוקה מצטברת מול אשתקד'!A27,'אנליסט '!A:K,8,0)+VLOOKUP('תפוקה מצטברת מול אשתקד'!A27,'מיטב דש'!A:K,8,0)+VLOOKUP('תפוקה מצטברת מול אשתקד'!A27,אינפניטי!A:K,8,0)</f>
        <v>130030.32359418453</v>
      </c>
      <c r="M27" s="12">
        <f>VLOOKUP(A27,הכשרה!A:K,9,0)+VLOOKUP('תפוקה מצטברת מול אשתקד'!A27,מגדל!A:K,9,0)+VLOOKUP('תפוקה מצטברת מול אשתקד'!A27,מנורה!A:K,9,0)+VLOOKUP('תפוקה מצטברת מול אשתקד'!A27,איילון!A:K,9,0)+VLOOKUP('תפוקה מצטברת מול אשתקד'!A27,הראל!A:K,9,0)+VLOOKUP('תפוקה מצטברת מול אשתקד'!A27,הפניקס!A:K,9,0)+VLOOKUP('תפוקה מצטברת מול אשתקד'!A27,כלל!A:K,9,0)+VLOOKUP('תפוקה מצטברת מול אשתקד'!A27,מור!A:K,9,0)+VLOOKUP('תפוקה מצטברת מול אשתקד'!A27,'אלטשולר שחם'!A:K,9,0)+VLOOKUP('תפוקה מצטברת מול אשתקד'!A27,'מדיהו '!A:K,9,0)+VLOOKUP('תפוקה מצטברת מול אשתקד'!A27,'אנליסט '!A:K,9,0)+VLOOKUP('תפוקה מצטברת מול אשתקד'!A27,'מיטב דש'!A:K,9,0)+VLOOKUP('תפוקה מצטברת מול אשתקד'!A27,אינפניטי!A:K,9,0)</f>
        <v>37810.417439097095</v>
      </c>
      <c r="N27" s="12">
        <f>VLOOKUP(A27,הכשרה!A:K,10,0)+VLOOKUP('תפוקה מצטברת מול אשתקד'!A27,מגדל!A:K,10,0)+VLOOKUP('תפוקה מצטברת מול אשתקד'!A27,מנורה!A:K,10,0)+VLOOKUP('תפוקה מצטברת מול אשתקד'!A27,איילון!A:K,10,0)+VLOOKUP('תפוקה מצטברת מול אשתקד'!A27,הראל!A:K,10,0)+VLOOKUP('תפוקה מצטברת מול אשתקד'!A27,הפניקס!A:K,10,0)+VLOOKUP('תפוקה מצטברת מול אשתקד'!A27,כלל!A:K,10,0)+VLOOKUP('תפוקה מצטברת מול אשתקד'!A27,מור!A:K,10,0)+VLOOKUP('תפוקה מצטברת מול אשתקד'!A27,'אלטשולר שחם'!A:K,10,0)+VLOOKUP('תפוקה מצטברת מול אשתקד'!A27,'מדיהו '!A:K,10,0)+VLOOKUP('תפוקה מצטברת מול אשתקד'!A27,'אנליסט '!A:K,10,0)+VLOOKUP('תפוקה מצטברת מול אשתקד'!A27,'מיטב דש'!A:K,10,0)+VLOOKUP('תפוקה מצטברת מול אשתקד'!A27,אינפניטי!A:K,10,0)</f>
        <v>12634.109337835966</v>
      </c>
      <c r="O27" s="12">
        <f>VLOOKUP(A27,הכשרה!A:K,11,0)+VLOOKUP('תפוקה מצטברת מול אשתקד'!A27,מגדל!A:K,11,0)+VLOOKUP('תפוקה מצטברת מול אשתקד'!A27,מנורה!A:K,11,0)+VLOOKUP('תפוקה מצטברת מול אשתקד'!A27,איילון!A:K,11,0)+VLOOKUP('תפוקה מצטברת מול אשתקד'!A27,הראל!A:K,11,0)+VLOOKUP('תפוקה מצטברת מול אשתקד'!A27,הפניקס!A:K,11,0)+VLOOKUP('תפוקה מצטברת מול אשתקד'!A27,כלל!A:K,11,0)+VLOOKUP('תפוקה מצטברת מול אשתקד'!A27,מור!A:K,11,0)+VLOOKUP('תפוקה מצטברת מול אשתקד'!A27,'אלטשולר שחם'!A:K,11,0)+VLOOKUP('תפוקה מצטברת מול אשתקד'!A27,'מדיהו '!A:K,11,0)+VLOOKUP('תפוקה מצטברת מול אשתקד'!A27,'אנליסט '!A:K,11,0)+VLOOKUP('תפוקה מצטברת מול אשתקד'!A27,'מיטב דש'!A:K,11,0)+VLOOKUP('תפוקה מצטברת מול אשתקד'!A27,אינפניטי!A:K,11,0)</f>
        <v>126230.08655399999</v>
      </c>
    </row>
    <row r="28" spans="1:18" ht="15.75" customHeight="1" x14ac:dyDescent="0.25">
      <c r="A28" s="30" t="s">
        <v>18</v>
      </c>
      <c r="B28" s="26" t="s">
        <v>56</v>
      </c>
      <c r="C28" s="27" t="s">
        <v>107</v>
      </c>
      <c r="D28" s="19">
        <f t="shared" si="0"/>
        <v>-0.88556191877385171</v>
      </c>
      <c r="E28" s="19">
        <f t="shared" si="0"/>
        <v>0.18446087410536527</v>
      </c>
      <c r="F28" s="19">
        <f t="shared" si="0"/>
        <v>0.20695718037242883</v>
      </c>
      <c r="G28" s="19">
        <f t="shared" si="5"/>
        <v>-0.34350089477250922</v>
      </c>
      <c r="H28" s="58">
        <f>VLOOKUP(A28,הכשרה!A:G,4,0)+VLOOKUP('תפוקה מצטברת מול אשתקד'!A28,מגדל!A:G,4,0)+VLOOKUP('תפוקה מצטברת מול אשתקד'!A28,מנורה!A:G,4,0)+VLOOKUP('תפוקה מצטברת מול אשתקד'!A28,איילון!A:G,4,0)+VLOOKUP('תפוקה מצטברת מול אשתקד'!A28,הראל!A:G,4,0)+VLOOKUP('תפוקה מצטברת מול אשתקד'!A28,הפניקס!A:G,4,0)+VLOOKUP('תפוקה מצטברת מול אשתקד'!A28,כלל!A:G,4,0)+VLOOKUP('תפוקה מצטברת מול אשתקד'!A28,מור!A:G,4,0)+VLOOKUP('תפוקה מצטברת מול אשתקד'!A28,'אלטשולר שחם'!A:G,4,0)+VLOOKUP('תפוקה מצטברת מול אשתקד'!A28,'מדיהו '!A:G,4,0)+VLOOKUP('תפוקה מצטברת מול אשתקד'!A28,'אנליסט '!A:G,4,0)+VLOOKUP('תפוקה מצטברת מול אשתקד'!A28,'מיטב דש'!A:G,4,0)+VLOOKUP('תפוקה מצטברת מול אשתקד'!A28,אינפניטי!A:G,4,0)</f>
        <v>10074.41</v>
      </c>
      <c r="I28" s="58">
        <f>VLOOKUP(A28,הכשרה!A:G,5,0)+VLOOKUP('תפוקה מצטברת מול אשתקד'!A28,מגדל!A:G,5,0)+VLOOKUP('תפוקה מצטברת מול אשתקד'!A28,מנורה!A:G,5,0)+VLOOKUP('תפוקה מצטברת מול אשתקד'!A28,איילון!A:G,5,0)+VLOOKUP('תפוקה מצטברת מול אשתקד'!A28,הראל!A:G,5,0)+VLOOKUP('תפוקה מצטברת מול אשתקד'!A28,הפניקס!A:G,5,0)+VLOOKUP('תפוקה מצטברת מול אשתקד'!A28,כלל!A:G,5,0)+VLOOKUP('תפוקה מצטברת מול אשתקד'!A28,מור!A:G,5,0)+VLOOKUP('תפוקה מצטברת מול אשתקד'!A28,'אלטשולר שחם'!A:G,5,0)+VLOOKUP('תפוקה מצטברת מול אשתקד'!A28,'מדיהו '!A:G,5,0)+VLOOKUP('תפוקה מצטברת מול אשתקד'!A28,'אנליסט '!A:G,5,0)+VLOOKUP('תפוקה מצטברת מול אשתקד'!A28,'מיטב דש'!A:G,5,0)+VLOOKUP('תפוקה מצטברת מול אשתקד'!A28,אינפניטי!A:G,5,0)</f>
        <v>43709.557000000001</v>
      </c>
      <c r="J28" s="58">
        <f>VLOOKUP(A28,הכשרה!A:G,6,0)+VLOOKUP('תפוקה מצטברת מול אשתקד'!A28,מגדל!A:G,6,0)+VLOOKUP('תפוקה מצטברת מול אשתקד'!A28,מנורה!A:G,6,0)+VLOOKUP('תפוקה מצטברת מול אשתקד'!A28,איילון!A:G,6,0)+VLOOKUP(A28,הראל!A:G,6,0)+VLOOKUP('תפוקה מצטברת מול אשתקד'!A28,הפניקס!A:G,6,0)+VLOOKUP('תפוקה מצטברת מול אשתקד'!A28,כלל!A:G,6,0)+VLOOKUP('תפוקה מצטברת מול אשתקד'!A28,מור!A:G,6,0)+VLOOKUP('תפוקה מצטברת מול אשתקד'!A28,'אלטשולר שחם'!A:G,6,0)+VLOOKUP('תפוקה מצטברת מול אשתקד'!A28,'מדיהו '!A:G,6,0)+VLOOKUP('תפוקה מצטברת מול אשתקד'!A28,'אנליסט '!A:G,6,0)+VLOOKUP('תפוקה מצטברת מול אשתקד'!A28,'מיטב דש'!A:G,6,0)+VLOOKUP('תפוקה מצטברת מול אשתקד'!A28,אינפניטי!A:G,6,0)</f>
        <v>144064.6</v>
      </c>
      <c r="K28" s="58">
        <f>VLOOKUP(A28,הכשרה!A:G,7,0)+VLOOKUP('תפוקה מצטברת מול אשתקד'!A28,מגדל!A:G,7,0)+VLOOKUP('תפוקה מצטברת מול אשתקד'!A28,מנורה!A:G,7,0)+VLOOKUP('תפוקה מצטברת מול אשתקד'!A28,איילון!A:G,7,0)+VLOOKUP('תפוקה מצטברת מול אשתקד'!A28,הראל!A:G,7,0)+VLOOKUP('תפוקה מצטברת מול אשתקד'!A28,הפניקס!A:G,7,0)+VLOOKUP('תפוקה מצטברת מול אשתקד'!A28,כלל!A:G,7,0)+VLOOKUP('תפוקה מצטברת מול אשתקד'!A28,מור!A:G,7,0)+VLOOKUP('תפוקה מצטברת מול אשתקד'!A28,'אלטשולר שחם'!A:G,7,0)+VLOOKUP('תפוקה מצטברת מול אשתקד'!A28,'מדיהו '!A:K,7,0)+VLOOKUP(A28,'אנליסט '!A:G,7,0)+VLOOKUP('תפוקה מצטברת מול אשתקד'!A28,'מיטב דש'!A:G,7,0)+VLOOKUP('תפוקה מצטברת מול אשתקד'!A28,אינפניטי!A:G,7,0)</f>
        <v>59103.61</v>
      </c>
      <c r="L28" s="12">
        <f>VLOOKUP(A28,הכשרה!A:K,8,0)+VLOOKUP('תפוקה מצטברת מול אשתקד'!A28,מגדל!A:K,8,0)+VLOOKUP('תפוקה מצטברת מול אשתקד'!A28,מנורה!A:K,8,0)+VLOOKUP('תפוקה מצטברת מול אשתקד'!A28,איילון!A:K,8,0)+VLOOKUP('תפוקה מצטברת מול אשתקד'!A28,הראל!A:K,8,0)+VLOOKUP('תפוקה מצטברת מול אשתקד'!A28,הפניקס!A:K,8,0)+VLOOKUP('תפוקה מצטברת מול אשתקד'!A28,כלל!A:K,8,0)+VLOOKUP('תפוקה מצטברת מול אשתקד'!A28,מור!A:K,8,0)+VLOOKUP('תפוקה מצטברת מול אשתקד'!A28,'אלטשולר שחם'!A:K,8,0)+VLOOKUP('תפוקה מצטברת מול אשתקד'!A28,'מדיהו '!A:K,8,0)+VLOOKUP('תפוקה מצטברת מול אשתקד'!A28,'אנליסט '!A:K,8,0)+VLOOKUP('תפוקה מצטברת מול אשתקד'!A28,'מיטב דש'!A:K,8,0)+VLOOKUP('תפוקה מצטברת מול אשתקד'!A28,אינפניטי!A:K,8,0)</f>
        <v>88033.720000000016</v>
      </c>
      <c r="M28" s="12">
        <f>VLOOKUP(A28,הכשרה!A:K,9,0)+VLOOKUP('תפוקה מצטברת מול אשתקד'!A28,מגדל!A:K,9,0)+VLOOKUP('תפוקה מצטברת מול אשתקד'!A28,מנורה!A:K,9,0)+VLOOKUP('תפוקה מצטברת מול אשתקד'!A28,איילון!A:K,9,0)+VLOOKUP('תפוקה מצטברת מול אשתקד'!A28,הראל!A:K,9,0)+VLOOKUP('תפוקה מצטברת מול אשתקד'!A28,הפניקס!A:K,9,0)+VLOOKUP('תפוקה מצטברת מול אשתקד'!A28,כלל!A:K,9,0)+VLOOKUP('תפוקה מצטברת מול אשתקד'!A28,מור!A:K,9,0)+VLOOKUP('תפוקה מצטברת מול אשתקד'!A28,'אלטשולר שחם'!A:K,9,0)+VLOOKUP('תפוקה מצטברת מול אשתקד'!A28,'מדיהו '!A:K,9,0)+VLOOKUP('תפוקה מצטברת מול אשתקד'!A28,'אנליסט '!A:K,9,0)+VLOOKUP('תפוקה מצטברת מול אשתקד'!A28,'מיטב דש'!A:K,9,0)+VLOOKUP('תפוקה מצטברת מול אשתקד'!A28,אינפניטי!A:K,9,0)</f>
        <v>36902.491214000001</v>
      </c>
      <c r="N28" s="12">
        <f>VLOOKUP(A28,הכשרה!A:K,10,0)+VLOOKUP('תפוקה מצטברת מול אשתקד'!A28,מגדל!A:K,10,0)+VLOOKUP('תפוקה מצטברת מול אשתקד'!A28,מנורה!A:K,10,0)+VLOOKUP('תפוקה מצטברת מול אשתקד'!A28,איילון!A:K,10,0)+VLOOKUP('תפוקה מצטברת מול אשתקד'!A28,הראל!A:K,10,0)+VLOOKUP('תפוקה מצטברת מול אשתקד'!A28,הפניקס!A:K,10,0)+VLOOKUP('תפוקה מצטברת מול אשתקד'!A28,כלל!A:K,10,0)+VLOOKUP('תפוקה מצטברת מול אשתקד'!A28,מור!A:K,10,0)+VLOOKUP('תפוקה מצטברת מול אשתקד'!A28,'אלטשולר שחם'!A:K,10,0)+VLOOKUP('תפוקה מצטברת מול אשתקד'!A28,'מדיהו '!A:K,10,0)+VLOOKUP('תפוקה מצטברת מול אשתקד'!A28,'אנליסט '!A:K,10,0)+VLOOKUP('תפוקה מצטברת מול אשתקד'!A28,'מיטב דש'!A:K,10,0)+VLOOKUP('תפוקה מצטברת מול אשתקד'!A28,אינפניטי!A:K,10,0)</f>
        <v>119361.81526800001</v>
      </c>
      <c r="O28" s="12">
        <f>VLOOKUP(A28,הכשרה!A:K,11,0)+VLOOKUP('תפוקה מצטברת מול אשתקד'!A28,מגדל!A:K,11,0)+VLOOKUP('תפוקה מצטברת מול אשתקד'!A28,מנורה!A:K,11,0)+VLOOKUP('תפוקה מצטברת מול אשתקד'!A28,איילון!A:K,11,0)+VLOOKUP('תפוקה מצטברת מול אשתקד'!A28,הראל!A:K,11,0)+VLOOKUP('תפוקה מצטברת מול אשתקד'!A28,הפניקס!A:K,11,0)+VLOOKUP('תפוקה מצטברת מול אשתקד'!A28,כלל!A:K,11,0)+VLOOKUP('תפוקה מצטברת מול אשתקד'!A28,מור!A:K,11,0)+VLOOKUP('תפוקה מצטברת מול אשתקד'!A28,'אלטשולר שחם'!A:K,11,0)+VLOOKUP('תפוקה מצטברת מול אשתקד'!A28,'מדיהו '!A:K,11,0)+VLOOKUP('תפוקה מצטברת מול אשתקד'!A28,'אנליסט '!A:K,11,0)+VLOOKUP('תפוקה מצטברת מול אשתקד'!A28,'מיטב דש'!A:K,11,0)+VLOOKUP('תפוקה מצטברת מול אשתקד'!A28,אינפניטי!A:K,11,0)</f>
        <v>90028.47</v>
      </c>
    </row>
    <row r="29" spans="1:18" ht="15.75" customHeight="1" x14ac:dyDescent="0.25">
      <c r="A29" s="26" t="s">
        <v>19</v>
      </c>
      <c r="B29" s="26" t="s">
        <v>56</v>
      </c>
      <c r="C29" s="27" t="s">
        <v>107</v>
      </c>
      <c r="D29" s="19">
        <f t="shared" si="0"/>
        <v>-0.63369176319430665</v>
      </c>
      <c r="E29" s="19">
        <f t="shared" si="0"/>
        <v>-0.3659721005827854</v>
      </c>
      <c r="F29" s="19">
        <f t="shared" si="0"/>
        <v>-0.24925386683746475</v>
      </c>
      <c r="G29" s="19">
        <f t="shared" si="5"/>
        <v>-0.75399860157448495</v>
      </c>
      <c r="H29" s="58">
        <f>VLOOKUP(A29,הכשרה!A:G,4,0)+VLOOKUP('תפוקה מצטברת מול אשתקד'!A29,מגדל!A:G,4,0)+VLOOKUP('תפוקה מצטברת מול אשתקד'!A29,מנורה!A:G,4,0)+VLOOKUP('תפוקה מצטברת מול אשתקד'!A29,איילון!A:G,4,0)+VLOOKUP('תפוקה מצטברת מול אשתקד'!A29,הראל!A:G,4,0)+VLOOKUP('תפוקה מצטברת מול אשתקד'!A29,הפניקס!A:G,4,0)+VLOOKUP('תפוקה מצטברת מול אשתקד'!A29,כלל!A:G,4,0)+VLOOKUP('תפוקה מצטברת מול אשתקד'!A29,מור!A:G,4,0)+VLOOKUP('תפוקה מצטברת מול אשתקד'!A29,'אלטשולר שחם'!A:G,4,0)+VLOOKUP('תפוקה מצטברת מול אשתקד'!A29,'מדיהו '!A:G,4,0)+VLOOKUP('תפוקה מצטברת מול אשתקד'!A29,'אנליסט '!A:G,4,0)+VLOOKUP('תפוקה מצטברת מול אשתקד'!A29,'מיטב דש'!A:G,4,0)+VLOOKUP('תפוקה מצטברת מול אשתקד'!A29,אינפניטי!A:G,4,0)</f>
        <v>316683.37075468153</v>
      </c>
      <c r="I29" s="58">
        <f>VLOOKUP(A29,הכשרה!A:G,5,0)+VLOOKUP('תפוקה מצטברת מול אשתקד'!A29,מגדל!A:G,5,0)+VLOOKUP('תפוקה מצטברת מול אשתקד'!A29,מנורה!A:G,5,0)+VLOOKUP('תפוקה מצטברת מול אשתקד'!A29,איילון!A:G,5,0)+VLOOKUP('תפוקה מצטברת מול אשתקד'!A29,הראל!A:G,5,0)+VLOOKUP('תפוקה מצטברת מול אשתקד'!A29,הפניקס!A:G,5,0)+VLOOKUP('תפוקה מצטברת מול אשתקד'!A29,כלל!A:G,5,0)+VLOOKUP('תפוקה מצטברת מול אשתקד'!A29,מור!A:G,5,0)+VLOOKUP('תפוקה מצטברת מול אשתקד'!A29,'אלטשולר שחם'!A:G,5,0)+VLOOKUP('תפוקה מצטברת מול אשתקד'!A29,'מדיהו '!A:G,5,0)+VLOOKUP('תפוקה מצטברת מול אשתקד'!A29,'אנליסט '!A:G,5,0)+VLOOKUP('תפוקה מצטברת מול אשתקד'!A29,'מיטב דש'!A:G,5,0)+VLOOKUP('תפוקה מצטברת מול אשתקד'!A29,אינפניטי!A:G,5,0)</f>
        <v>50237.96</v>
      </c>
      <c r="J29" s="58">
        <f>VLOOKUP(A29,הכשרה!A:G,6,0)+VLOOKUP('תפוקה מצטברת מול אשתקד'!A29,מגדל!A:G,6,0)+VLOOKUP('תפוקה מצטברת מול אשתקד'!A29,מנורה!A:G,6,0)+VLOOKUP('תפוקה מצטברת מול אשתקד'!A29,איילון!A:G,6,0)+VLOOKUP(A29,הראל!A:G,6,0)+VLOOKUP('תפוקה מצטברת מול אשתקד'!A29,הפניקס!A:G,6,0)+VLOOKUP('תפוקה מצטברת מול אשתקד'!A29,כלל!A:G,6,0)+VLOOKUP('תפוקה מצטברת מול אשתקד'!A29,מור!A:G,6,0)+VLOOKUP('תפוקה מצטברת מול אשתקד'!A29,'אלטשולר שחם'!A:G,6,0)+VLOOKUP('תפוקה מצטברת מול אשתקד'!A29,'מדיהו '!A:G,6,0)+VLOOKUP('תפוקה מצטברת מול אשתקד'!A29,'אנליסט '!A:G,6,0)+VLOOKUP('תפוקה מצטברת מול אשתקד'!A29,'מיטב דש'!A:G,6,0)+VLOOKUP('תפוקה מצטברת מול אשתקד'!A29,אינפניטי!A:G,6,0)</f>
        <v>415311.89</v>
      </c>
      <c r="K29" s="58">
        <f>VLOOKUP(A29,הכשרה!A:G,7,0)+VLOOKUP('תפוקה מצטברת מול אשתקד'!A29,מגדל!A:G,7,0)+VLOOKUP('תפוקה מצטברת מול אשתקד'!A29,מנורה!A:G,7,0)+VLOOKUP('תפוקה מצטברת מול אשתקד'!A29,איילון!A:G,7,0)+VLOOKUP('תפוקה מצטברת מול אשתקד'!A29,הראל!A:G,7,0)+VLOOKUP('תפוקה מצטברת מול אשתקד'!A29,הפניקס!A:G,7,0)+VLOOKUP('תפוקה מצטברת מול אשתקד'!A29,כלל!A:G,7,0)+VLOOKUP('תפוקה מצטברת מול אשתקד'!A29,מור!A:G,7,0)+VLOOKUP('תפוקה מצטברת מול אשתקד'!A29,'אלטשולר שחם'!A:G,7,0)+VLOOKUP('תפוקה מצטברת מול אשתקד'!A29,'מדיהו '!A:K,7,0)+VLOOKUP(A29,'אנליסט '!A:G,7,0)+VLOOKUP('תפוקה מצטברת מול אשתקד'!A29,'מיטב דש'!A:G,7,0)+VLOOKUP('תפוקה מצטברת מול אשתקד'!A29,אינפניטי!A:G,7,0)</f>
        <v>927575.82000000007</v>
      </c>
      <c r="L29" s="12">
        <f>VLOOKUP(A29,הכשרה!A:K,8,0)+VLOOKUP('תפוקה מצטברת מול אשתקד'!A29,מגדל!A:K,8,0)+VLOOKUP('תפוקה מצטברת מול אשתקד'!A29,מנורה!A:K,8,0)+VLOOKUP('תפוקה מצטברת מול אשתקד'!A29,איילון!A:K,8,0)+VLOOKUP('תפוקה מצטברת מול אשתקד'!A29,הראל!A:K,8,0)+VLOOKUP('תפוקה מצטברת מול אשתקד'!A29,הפניקס!A:K,8,0)+VLOOKUP('תפוקה מצטברת מול אשתקד'!A29,כלל!A:K,8,0)+VLOOKUP('תפוקה מצטברת מול אשתקד'!A29,מור!A:K,8,0)+VLOOKUP('תפוקה מצטברת מול אשתקד'!A29,'אלטשולר שחם'!A:K,8,0)+VLOOKUP('תפוקה מצטברת מול אשתקד'!A29,'מדיהו '!A:K,8,0)+VLOOKUP('תפוקה מצטברת מול אשתקד'!A29,'אנליסט '!A:K,8,0)+VLOOKUP('תפוקה מצטברת מול אשתקד'!A29,'מיטב דש'!A:K,8,0)+VLOOKUP('תפוקה מצטברת מול אשתקד'!A29,אינפניטי!A:K,8,0)</f>
        <v>864527.02651801123</v>
      </c>
      <c r="M29" s="12">
        <f>VLOOKUP(A29,הכשרה!A:K,9,0)+VLOOKUP('תפוקה מצטברת מול אשתקד'!A29,מגדל!A:K,9,0)+VLOOKUP('תפוקה מצטברת מול אשתקד'!A29,מנורה!A:K,9,0)+VLOOKUP('תפוקה מצטברת מול אשתקד'!A29,איילון!A:K,9,0)+VLOOKUP('תפוקה מצטברת מול אשתקד'!A29,הראל!A:K,9,0)+VLOOKUP('תפוקה מצטברת מול אשתקד'!A29,הפניקס!A:K,9,0)+VLOOKUP('תפוקה מצטברת מול אשתקד'!A29,כלל!A:K,9,0)+VLOOKUP('תפוקה מצטברת מול אשתקד'!A29,מור!A:K,9,0)+VLOOKUP('תפוקה מצטברת מול אשתקד'!A29,'אלטשולר שחם'!A:K,9,0)+VLOOKUP('תפוקה מצטברת מול אשתקד'!A29,'מדיהו '!A:K,9,0)+VLOOKUP('תפוקה מצטברת מול אשתקד'!A29,'אנליסט '!A:K,9,0)+VLOOKUP('תפוקה מצטברת מול אשתקד'!A29,'מיטב דש'!A:K,9,0)+VLOOKUP('תפוקה מצטברת מול אשתקד'!A29,אינפניטי!A:K,9,0)</f>
        <v>79236.19772280952</v>
      </c>
      <c r="N29" s="12">
        <f>VLOOKUP(A29,הכשרה!A:K,10,0)+VLOOKUP('תפוקה מצטברת מול אשתקד'!A29,מגדל!A:K,10,0)+VLOOKUP('תפוקה מצטברת מול אשתקד'!A29,מנורה!A:K,10,0)+VLOOKUP('תפוקה מצטברת מול אשתקד'!A29,איילון!A:K,10,0)+VLOOKUP('תפוקה מצטברת מול אשתקד'!A29,הראל!A:K,10,0)+VLOOKUP('תפוקה מצטברת מול אשתקד'!A29,הפניקס!A:K,10,0)+VLOOKUP('תפוקה מצטברת מול אשתקד'!A29,כלל!A:K,10,0)+VLOOKUP('תפוקה מצטברת מול אשתקד'!A29,מור!A:K,10,0)+VLOOKUP('תפוקה מצטברת מול אשתקד'!A29,'אלטשולר שחם'!A:K,10,0)+VLOOKUP('תפוקה מצטברת מול אשתקד'!A29,'מדיהו '!A:K,10,0)+VLOOKUP('תפוקה מצטברת מול אשתקד'!A29,'אנליסט '!A:K,10,0)+VLOOKUP('תפוקה מצטברת מול אשתקד'!A29,'מיטב דש'!A:K,10,0)+VLOOKUP('תפוקה מצטברת מול אשתקד'!A29,אינפניטי!A:K,10,0)</f>
        <v>553198.84</v>
      </c>
      <c r="O29" s="12">
        <f>VLOOKUP(A29,הכשרה!A:K,11,0)+VLOOKUP('תפוקה מצטברת מול אשתקד'!A29,מגדל!A:K,11,0)+VLOOKUP('תפוקה מצטברת מול אשתקד'!A29,מנורה!A:K,11,0)+VLOOKUP('תפוקה מצטברת מול אשתקד'!A29,איילון!A:K,11,0)+VLOOKUP('תפוקה מצטברת מול אשתקד'!A29,הראל!A:K,11,0)+VLOOKUP('תפוקה מצטברת מול אשתקד'!A29,הפניקס!A:K,11,0)+VLOOKUP('תפוקה מצטברת מול אשתקד'!A29,כלל!A:K,11,0)+VLOOKUP('תפוקה מצטברת מול אשתקד'!A29,מור!A:K,11,0)+VLOOKUP('תפוקה מצטברת מול אשתקד'!A29,'אלטשולר שחם'!A:K,11,0)+VLOOKUP('תפוקה מצטברת מול אשתקד'!A29,'מדיהו '!A:K,11,0)+VLOOKUP('תפוקה מצטברת מול אשתקד'!A29,'אנליסט '!A:K,11,0)+VLOOKUP('תפוקה מצטברת מול אשתקד'!A29,'מיטב דש'!A:K,11,0)+VLOOKUP('תפוקה מצטברת מול אשתקד'!A29,אינפניטי!A:K,11,0)</f>
        <v>3770611.9799999991</v>
      </c>
    </row>
    <row r="30" spans="1:18" ht="15.75" customHeight="1" x14ac:dyDescent="0.25">
      <c r="A30" s="26" t="s">
        <v>20</v>
      </c>
      <c r="B30" s="26" t="s">
        <v>56</v>
      </c>
      <c r="C30" s="27" t="s">
        <v>107</v>
      </c>
      <c r="D30" s="19">
        <f t="shared" si="0"/>
        <v>-8.1486657090753534E-3</v>
      </c>
      <c r="E30" s="19">
        <f t="shared" si="0"/>
        <v>0.49372575736486324</v>
      </c>
      <c r="F30" s="19">
        <f t="shared" si="0"/>
        <v>-4.5370975603516772E-2</v>
      </c>
      <c r="G30" s="19">
        <f t="shared" si="5"/>
        <v>-0.37078484764975828</v>
      </c>
      <c r="H30" s="58">
        <f>VLOOKUP(A30,הכשרה!A:G,4,0)+VLOOKUP('תפוקה מצטברת מול אשתקד'!A30,מגדל!A:G,4,0)+VLOOKUP('תפוקה מצטברת מול אשתקד'!A30,מנורה!A:G,4,0)+VLOOKUP('תפוקה מצטברת מול אשתקד'!A30,איילון!A:G,4,0)+VLOOKUP('תפוקה מצטברת מול אשתקד'!A30,הראל!A:G,4,0)+VLOOKUP('תפוקה מצטברת מול אשתקד'!A30,הפניקס!A:G,4,0)+VLOOKUP('תפוקה מצטברת מול אשתקד'!A30,כלל!A:G,4,0)+VLOOKUP('תפוקה מצטברת מול אשתקד'!A30,מור!A:G,4,0)+VLOOKUP('תפוקה מצטברת מול אשתקד'!A30,'אלטשולר שחם'!A:G,4,0)+VLOOKUP('תפוקה מצטברת מול אשתקד'!A30,'מדיהו '!A:G,4,0)+VLOOKUP('תפוקה מצטברת מול אשתקד'!A30,'אנליסט '!A:G,4,0)+VLOOKUP('תפוקה מצטברת מול אשתקד'!A30,'מיטב דש'!A:G,4,0)+VLOOKUP('תפוקה מצטברת מול אשתקד'!A30,אינפניטי!A:G,4,0)</f>
        <v>727013.62</v>
      </c>
      <c r="I30" s="58">
        <f>VLOOKUP(A30,הכשרה!A:G,5,0)+VLOOKUP('תפוקה מצטברת מול אשתקד'!A30,מגדל!A:G,5,0)+VLOOKUP('תפוקה מצטברת מול אשתקד'!A30,מנורה!A:G,5,0)+VLOOKUP('תפוקה מצטברת מול אשתקד'!A30,איילון!A:G,5,0)+VLOOKUP('תפוקה מצטברת מול אשתקד'!A30,הראל!A:G,5,0)+VLOOKUP('תפוקה מצטברת מול אשתקד'!A30,הפניקס!A:G,5,0)+VLOOKUP('תפוקה מצטברת מול אשתקד'!A30,כלל!A:G,5,0)+VLOOKUP('תפוקה מצטברת מול אשתקד'!A30,מור!A:G,5,0)+VLOOKUP('תפוקה מצטברת מול אשתקד'!A30,'אלטשולר שחם'!A:G,5,0)+VLOOKUP('תפוקה מצטברת מול אשתקד'!A30,'מדיהו '!A:G,5,0)+VLOOKUP('תפוקה מצטברת מול אשתקד'!A30,'אנליסט '!A:G,5,0)+VLOOKUP('תפוקה מצטברת מול אשתקד'!A30,'מיטב דש'!A:G,5,0)+VLOOKUP('תפוקה מצטברת מול אשתקד'!A30,אינפניטי!A:G,5,0)</f>
        <v>85503.501875104994</v>
      </c>
      <c r="J30" s="58">
        <f>VLOOKUP(A30,הכשרה!A:G,6,0)+VLOOKUP('תפוקה מצטברת מול אשתקד'!A30,מגדל!A:G,6,0)+VLOOKUP('תפוקה מצטברת מול אשתקד'!A30,מנורה!A:G,6,0)+VLOOKUP('תפוקה מצטברת מול אשתקד'!A30,איילון!A:G,6,0)+VLOOKUP(A30,הראל!A:G,6,0)+VLOOKUP('תפוקה מצטברת מול אשתקד'!A30,הפניקס!A:G,6,0)+VLOOKUP('תפוקה מצטברת מול אשתקד'!A30,כלל!A:G,6,0)+VLOOKUP('תפוקה מצטברת מול אשתקד'!A30,מור!A:G,6,0)+VLOOKUP('תפוקה מצטברת מול אשתקד'!A30,'אלטשולר שחם'!A:G,6,0)+VLOOKUP('תפוקה מצטברת מול אשתקד'!A30,'מדיהו '!A:G,6,0)+VLOOKUP('תפוקה מצטברת מול אשתקד'!A30,'אנליסט '!A:G,6,0)+VLOOKUP('תפוקה מצטברת מול אשתקד'!A30,'מיטב דש'!A:G,6,0)+VLOOKUP('תפוקה מצטברת מול אשתקד'!A30,אינפניטי!A:G,6,0)</f>
        <v>1821092.04</v>
      </c>
      <c r="K30" s="58">
        <f>VLOOKUP(A30,הכשרה!A:G,7,0)+VLOOKUP('תפוקה מצטברת מול אשתקד'!A30,מגדל!A:G,7,0)+VLOOKUP('תפוקה מצטברת מול אשתקד'!A30,מנורה!A:G,7,0)+VLOOKUP('תפוקה מצטברת מול אשתקד'!A30,איילון!A:G,7,0)+VLOOKUP('תפוקה מצטברת מול אשתקד'!A30,הראל!A:G,7,0)+VLOOKUP('תפוקה מצטברת מול אשתקד'!A30,הפניקס!A:G,7,0)+VLOOKUP('תפוקה מצטברת מול אשתקד'!A30,כלל!A:G,7,0)+VLOOKUP('תפוקה מצטברת מול אשתקד'!A30,מור!A:G,7,0)+VLOOKUP('תפוקה מצטברת מול אשתקד'!A30,'אלטשולר שחם'!A:G,7,0)+VLOOKUP('תפוקה מצטברת מול אשתקד'!A30,'מדיהו '!A:K,7,0)+VLOOKUP(A30,'אנליסט '!A:G,7,0)+VLOOKUP('תפוקה מצטברת מול אשתקד'!A30,'מיטב דש'!A:G,7,0)+VLOOKUP('תפוקה מצטברת מול אשתקד'!A30,אינפניטי!A:G,7,0)</f>
        <v>1664892.18</v>
      </c>
      <c r="L30" s="12">
        <f>VLOOKUP(A30,הכשרה!A:K,8,0)+VLOOKUP('תפוקה מצטברת מול אשתקד'!A30,מגדל!A:K,8,0)+VLOOKUP('תפוקה מצטברת מול אשתקד'!A30,מנורה!A:K,8,0)+VLOOKUP('תפוקה מצטברת מול אשתקד'!A30,איילון!A:K,8,0)+VLOOKUP('תפוקה מצטברת מול אשתקד'!A30,הראל!A:K,8,0)+VLOOKUP('תפוקה מצטברת מול אשתקד'!A30,הפניקס!A:K,8,0)+VLOOKUP('תפוקה מצטברת מול אשתקד'!A30,כלל!A:K,8,0)+VLOOKUP('תפוקה מצטברת מול אשתקד'!A30,מור!A:K,8,0)+VLOOKUP('תפוקה מצטברת מול אשתקד'!A30,'אלטשולר שחם'!A:K,8,0)+VLOOKUP('תפוקה מצטברת מול אשתקד'!A30,'מדיהו '!A:K,8,0)+VLOOKUP('תפוקה מצטברת מול אשתקד'!A30,'אנליסט '!A:K,8,0)+VLOOKUP('תפוקה מצטברת מול אשתקד'!A30,'מיטב דש'!A:K,8,0)+VLOOKUP('תפוקה מצטברת מול אשתקד'!A30,אינפניטי!A:K,8,0)</f>
        <v>732986.48180953716</v>
      </c>
      <c r="M30" s="12">
        <f>VLOOKUP(A30,הכשרה!A:K,9,0)+VLOOKUP('תפוקה מצטברת מול אשתקד'!A30,מגדל!A:K,9,0)+VLOOKUP('תפוקה מצטברת מול אשתקד'!A30,מנורה!A:K,9,0)+VLOOKUP('תפוקה מצטברת מול אשתקד'!A30,איילון!A:K,9,0)+VLOOKUP('תפוקה מצטברת מול אשתקד'!A30,הראל!A:K,9,0)+VLOOKUP('תפוקה מצטברת מול אשתקד'!A30,הפניקס!A:K,9,0)+VLOOKUP('תפוקה מצטברת מול אשתקד'!A30,כלל!A:K,9,0)+VLOOKUP('תפוקה מצטברת מול אשתקד'!A30,מור!A:K,9,0)+VLOOKUP('תפוקה מצטברת מול אשתקד'!A30,'אלטשולר שחם'!A:K,9,0)+VLOOKUP('תפוקה מצטברת מול אשתקד'!A30,'מדיהו '!A:K,9,0)+VLOOKUP('תפוקה מצטברת מול אשתקד'!A30,'אנליסט '!A:K,9,0)+VLOOKUP('תפוקה מצטברת מול אשתקד'!A30,'מיטב דש'!A:K,9,0)+VLOOKUP('תפוקה מצטברת מול אשתקד'!A30,אינפניטי!A:K,9,0)</f>
        <v>57241.767073726354</v>
      </c>
      <c r="N30" s="12">
        <f>VLOOKUP(A30,הכשרה!A:K,10,0)+VLOOKUP('תפוקה מצטברת מול אשתקד'!A30,מגדל!A:K,10,0)+VLOOKUP('תפוקה מצטברת מול אשתקד'!A30,מנורה!A:K,10,0)+VLOOKUP('תפוקה מצטברת מול אשתקד'!A30,איילון!A:K,10,0)+VLOOKUP('תפוקה מצטברת מול אשתקד'!A30,הראל!A:K,10,0)+VLOOKUP('תפוקה מצטברת מול אשתקד'!A30,הפניקס!A:K,10,0)+VLOOKUP('תפוקה מצטברת מול אשתקד'!A30,כלל!A:K,10,0)+VLOOKUP('תפוקה מצטברת מול אשתקד'!A30,מור!A:K,10,0)+VLOOKUP('תפוקה מצטברת מול אשתקד'!A30,'אלטשולר שחם'!A:K,10,0)+VLOOKUP('תפוקה מצטברת מול אשתקד'!A30,'מדיהו '!A:K,10,0)+VLOOKUP('תפוקה מצטברת מול אשתקד'!A30,'אנליסט '!A:K,10,0)+VLOOKUP('תפוקה מצטברת מול אשתקד'!A30,'מיטב דש'!A:K,10,0)+VLOOKUP('תפוקה מצטברת מול אשתקד'!A30,אינפניטי!A:K,10,0)</f>
        <v>1907643.6955719998</v>
      </c>
      <c r="O30" s="12">
        <f>VLOOKUP(A30,הכשרה!A:K,11,0)+VLOOKUP('תפוקה מצטברת מול אשתקד'!A30,מגדל!A:K,11,0)+VLOOKUP('תפוקה מצטברת מול אשתקד'!A30,מנורה!A:K,11,0)+VLOOKUP('תפוקה מצטברת מול אשתקד'!A30,איילון!A:K,11,0)+VLOOKUP('תפוקה מצטברת מול אשתקד'!A30,הראל!A:K,11,0)+VLOOKUP('תפוקה מצטברת מול אשתקד'!A30,הפניקס!A:K,11,0)+VLOOKUP('תפוקה מצטברת מול אשתקד'!A30,כלל!A:K,11,0)+VLOOKUP('תפוקה מצטברת מול אשתקד'!A30,מור!A:K,11,0)+VLOOKUP('תפוקה מצטברת מול אשתקד'!A30,'אלטשולר שחם'!A:K,11,0)+VLOOKUP('תפוקה מצטברת מול אשתקד'!A30,'מדיהו '!A:K,11,0)+VLOOKUP('תפוקה מצטברת מול אשתקד'!A30,'אנליסט '!A:K,11,0)+VLOOKUP('תפוקה מצטברת מול אשתקד'!A30,'מיטב דש'!A:K,11,0)+VLOOKUP('תפוקה מצטברת מול אשתקד'!A30,אינפניטי!A:K,11,0)</f>
        <v>2645982.338126</v>
      </c>
    </row>
    <row r="31" spans="1:18" ht="15.75" customHeight="1" x14ac:dyDescent="0.25">
      <c r="A31" s="26" t="s">
        <v>21</v>
      </c>
      <c r="B31" s="26" t="s">
        <v>56</v>
      </c>
      <c r="C31" s="27" t="s">
        <v>107</v>
      </c>
      <c r="D31" s="19">
        <f t="shared" si="0"/>
        <v>1</v>
      </c>
      <c r="E31" s="19">
        <f t="shared" si="0"/>
        <v>-0.994397010515498</v>
      </c>
      <c r="F31" s="19">
        <f t="shared" si="0"/>
        <v>0</v>
      </c>
      <c r="G31" s="19">
        <f t="shared" ref="G31:G38" si="7">IF(K31=0,0%,IF(O31=H55,100%,K31/O31-1))</f>
        <v>0</v>
      </c>
      <c r="H31" s="58">
        <f>VLOOKUP(A31,הכשרה!A:G,4,0)+VLOOKUP('תפוקה מצטברת מול אשתקד'!A31,מגדל!A:G,4,0)+VLOOKUP('תפוקה מצטברת מול אשתקד'!A31,מנורה!A:G,4,0)+VLOOKUP('תפוקה מצטברת מול אשתקד'!A31,איילון!A:G,4,0)+VLOOKUP('תפוקה מצטברת מול אשתקד'!A31,הראל!A:G,4,0)+VLOOKUP('תפוקה מצטברת מול אשתקד'!A31,הפניקס!A:G,4,0)+VLOOKUP('תפוקה מצטברת מול אשתקד'!A31,כלל!A:G,4,0)+VLOOKUP('תפוקה מצטברת מול אשתקד'!A31,מור!A:G,4,0)+VLOOKUP('תפוקה מצטברת מול אשתקד'!A31,'אלטשולר שחם'!A:G,4,0)+VLOOKUP('תפוקה מצטברת מול אשתקד'!A31,'מדיהו '!A:G,4,0)+VLOOKUP('תפוקה מצטברת מול אשתקד'!A31,'אנליסט '!A:G,4,0)+VLOOKUP('תפוקה מצטברת מול אשתקד'!A31,'מיטב דש'!A:G,4,0)+VLOOKUP('תפוקה מצטברת מול אשתקד'!A31,אינפניטי!A:G,4,0)</f>
        <v>3534.26</v>
      </c>
      <c r="I31" s="58">
        <f>VLOOKUP(A31,הכשרה!A:G,5,0)+VLOOKUP('תפוקה מצטברת מול אשתקד'!A31,מגדל!A:G,5,0)+VLOOKUP('תפוקה מצטברת מול אשתקד'!A31,מנורה!A:G,5,0)+VLOOKUP('תפוקה מצטברת מול אשתקד'!A31,איילון!A:G,5,0)+VLOOKUP('תפוקה מצטברת מול אשתקד'!A31,הראל!A:G,5,0)+VLOOKUP('תפוקה מצטברת מול אשתקד'!A31,הפניקס!A:G,5,0)+VLOOKUP('תפוקה מצטברת מול אשתקד'!A31,כלל!A:G,5,0)+VLOOKUP('תפוקה מצטברת מול אשתקד'!A31,מור!A:G,5,0)+VLOOKUP('תפוקה מצטברת מול אשתקד'!A31,'אלטשולר שחם'!A:G,5,0)+VLOOKUP('תפוקה מצטברת מול אשתקד'!A31,'מדיהו '!A:G,5,0)+VLOOKUP('תפוקה מצטברת מול אשתקד'!A31,'אנליסט '!A:G,5,0)+VLOOKUP('תפוקה מצטברת מול אשתקד'!A31,'מיטב דש'!A:G,5,0)+VLOOKUP('תפוקה מצטברת מול אשתקד'!A31,אינפניטי!A:G,5,0)</f>
        <v>9.77</v>
      </c>
      <c r="J31" s="58">
        <f>VLOOKUP(A31,הכשרה!A:G,6,0)+VLOOKUP('תפוקה מצטברת מול אשתקד'!A31,מגדל!A:G,6,0)+VLOOKUP('תפוקה מצטברת מול אשתקד'!A31,מנורה!A:G,6,0)+VLOOKUP('תפוקה מצטברת מול אשתקד'!A31,איילון!A:G,6,0)+VLOOKUP(A31,הראל!A:G,6,0)+VLOOKUP('תפוקה מצטברת מול אשתקד'!A31,הפניקס!A:G,6,0)+VLOOKUP('תפוקה מצטברת מול אשתקד'!A31,כלל!A:G,6,0)+VLOOKUP('תפוקה מצטברת מול אשתקד'!A31,מור!A:G,6,0)+VLOOKUP('תפוקה מצטברת מול אשתקד'!A31,'אלטשולר שחם'!A:G,6,0)+VLOOKUP('תפוקה מצטברת מול אשתקד'!A31,'מדיהו '!A:G,6,0)+VLOOKUP('תפוקה מצטברת מול אשתקד'!A31,'אנליסט '!A:G,6,0)+VLOOKUP('תפוקה מצטברת מול אשתקד'!A31,'מיטב דש'!A:G,6,0)+VLOOKUP('תפוקה מצטברת מול אשתקד'!A31,אינפניטי!A:G,6,0)</f>
        <v>0</v>
      </c>
      <c r="K31" s="58">
        <f>VLOOKUP(A31,הכשרה!A:G,7,0)+VLOOKUP('תפוקה מצטברת מול אשתקד'!A31,מגדל!A:G,7,0)+VLOOKUP('תפוקה מצטברת מול אשתקד'!A31,מנורה!A:G,7,0)+VLOOKUP('תפוקה מצטברת מול אשתקד'!A31,איילון!A:G,7,0)+VLOOKUP('תפוקה מצטברת מול אשתקד'!A31,הראל!A:G,7,0)+VLOOKUP('תפוקה מצטברת מול אשתקד'!A31,הפניקס!A:G,7,0)+VLOOKUP('תפוקה מצטברת מול אשתקד'!A31,כלל!A:G,7,0)+VLOOKUP('תפוקה מצטברת מול אשתקד'!A31,מור!A:G,7,0)+VLOOKUP('תפוקה מצטברת מול אשתקד'!A31,'אלטשולר שחם'!A:G,7,0)+VLOOKUP('תפוקה מצטברת מול אשתקד'!A31,'מדיהו '!A:K,7,0)+VLOOKUP(A31,'אנליסט '!A:G,7,0)+VLOOKUP('תפוקה מצטברת מול אשתקד'!A31,'מיטב דש'!A:G,7,0)+VLOOKUP('תפוקה מצטברת מול אשתקד'!A31,אינפניטי!A:G,7,0)</f>
        <v>0</v>
      </c>
      <c r="L31" s="12">
        <f>VLOOKUP(A31,הכשרה!A:K,8,0)+VLOOKUP('תפוקה מצטברת מול אשתקד'!A31,מגדל!A:K,8,0)+VLOOKUP('תפוקה מצטברת מול אשתקד'!A31,מנורה!A:K,8,0)+VLOOKUP('תפוקה מצטברת מול אשתקד'!A31,איילון!A:K,8,0)+VLOOKUP('תפוקה מצטברת מול אשתקד'!A31,הראל!A:K,8,0)+VLOOKUP('תפוקה מצטברת מול אשתקד'!A31,הפניקס!A:K,8,0)+VLOOKUP('תפוקה מצטברת מול אשתקד'!A31,כלל!A:K,8,0)+VLOOKUP('תפוקה מצטברת מול אשתקד'!A31,מור!A:K,8,0)+VLOOKUP('תפוקה מצטברת מול אשתקד'!A31,'אלטשולר שחם'!A:K,8,0)+VLOOKUP('תפוקה מצטברת מול אשתקד'!A31,'מדיהו '!A:K,8,0)+VLOOKUP('תפוקה מצטברת מול אשתקד'!A31,'אנליסט '!A:K,8,0)+VLOOKUP('תפוקה מצטברת מול אשתקד'!A31,'מיטב דש'!A:K,8,0)+VLOOKUP('תפוקה מצטברת מול אשתקד'!A31,אינפניטי!A:K,8,0)</f>
        <v>0</v>
      </c>
      <c r="M31" s="12">
        <f>VLOOKUP(A31,הכשרה!A:K,9,0)+VLOOKUP('תפוקה מצטברת מול אשתקד'!A31,מגדל!A:K,9,0)+VLOOKUP('תפוקה מצטברת מול אשתקד'!A31,מנורה!A:K,9,0)+VLOOKUP('תפוקה מצטברת מול אשתקד'!A31,איילון!A:K,9,0)+VLOOKUP('תפוקה מצטברת מול אשתקד'!A31,הראל!A:K,9,0)+VLOOKUP('תפוקה מצטברת מול אשתקד'!A31,הפניקס!A:K,9,0)+VLOOKUP('תפוקה מצטברת מול אשתקד'!A31,כלל!A:K,9,0)+VLOOKUP('תפוקה מצטברת מול אשתקד'!A31,מור!A:K,9,0)+VLOOKUP('תפוקה מצטברת מול אשתקד'!A31,'אלטשולר שחם'!A:K,9,0)+VLOOKUP('תפוקה מצטברת מול אשתקד'!A31,'מדיהו '!A:K,9,0)+VLOOKUP('תפוקה מצטברת מול אשתקד'!A31,'אנליסט '!A:K,9,0)+VLOOKUP('תפוקה מצטברת מול אשתקד'!A31,'מיטב דש'!A:K,9,0)+VLOOKUP('תפוקה מצטברת מול אשתקד'!A31,אינפניטי!A:K,9,0)</f>
        <v>1743.712</v>
      </c>
      <c r="N31" s="12">
        <f>VLOOKUP(A31,הכשרה!A:K,10,0)+VLOOKUP('תפוקה מצטברת מול אשתקד'!A31,מגדל!A:K,10,0)+VLOOKUP('תפוקה מצטברת מול אשתקד'!A31,מנורה!A:K,10,0)+VLOOKUP('תפוקה מצטברת מול אשתקד'!A31,איילון!A:K,10,0)+VLOOKUP('תפוקה מצטברת מול אשתקד'!A31,הראל!A:K,10,0)+VLOOKUP('תפוקה מצטברת מול אשתקד'!A31,הפניקס!A:K,10,0)+VLOOKUP('תפוקה מצטברת מול אשתקד'!A31,כלל!A:K,10,0)+VLOOKUP('תפוקה מצטברת מול אשתקד'!A31,מור!A:K,10,0)+VLOOKUP('תפוקה מצטברת מול אשתקד'!A31,'אלטשולר שחם'!A:K,10,0)+VLOOKUP('תפוקה מצטברת מול אשתקד'!A31,'מדיהו '!A:K,10,0)+VLOOKUP('תפוקה מצטברת מול אשתקד'!A31,'אנליסט '!A:K,10,0)+VLOOKUP('תפוקה מצטברת מול אשתקד'!A31,'מיטב דש'!A:K,10,0)+VLOOKUP('תפוקה מצטברת מול אשתקד'!A31,אינפניטי!A:K,10,0)</f>
        <v>0</v>
      </c>
      <c r="O31" s="12">
        <f>VLOOKUP(A31,הכשרה!A:K,11,0)+VLOOKUP('תפוקה מצטברת מול אשתקד'!A31,מגדל!A:K,11,0)+VLOOKUP('תפוקה מצטברת מול אשתקד'!A31,מנורה!A:K,11,0)+VLOOKUP('תפוקה מצטברת מול אשתקד'!A31,איילון!A:K,11,0)+VLOOKUP('תפוקה מצטברת מול אשתקד'!A31,הראל!A:K,11,0)+VLOOKUP('תפוקה מצטברת מול אשתקד'!A31,הפניקס!A:K,11,0)+VLOOKUP('תפוקה מצטברת מול אשתקד'!A31,כלל!A:K,11,0)+VLOOKUP('תפוקה מצטברת מול אשתקד'!A31,מור!A:K,11,0)+VLOOKUP('תפוקה מצטברת מול אשתקד'!A31,'אלטשולר שחם'!A:K,11,0)+VLOOKUP('תפוקה מצטברת מול אשתקד'!A31,'מדיהו '!A:K,11,0)+VLOOKUP('תפוקה מצטברת מול אשתקד'!A31,'אנליסט '!A:K,11,0)+VLOOKUP('תפוקה מצטברת מול אשתקד'!A31,'מיטב דש'!A:K,11,0)+VLOOKUP('תפוקה מצטברת מול אשתקד'!A31,אינפניטי!A:K,11,0)</f>
        <v>0</v>
      </c>
    </row>
    <row r="32" spans="1:18" ht="15.75" customHeight="1" x14ac:dyDescent="0.25">
      <c r="A32" s="26" t="s">
        <v>22</v>
      </c>
      <c r="B32" s="26" t="s">
        <v>56</v>
      </c>
      <c r="C32" s="27" t="s">
        <v>107</v>
      </c>
      <c r="D32" s="19">
        <f t="shared" si="0"/>
        <v>-0.96207606202737739</v>
      </c>
      <c r="E32" s="19">
        <f t="shared" si="0"/>
        <v>0.28883337729179326</v>
      </c>
      <c r="F32" s="19">
        <f t="shared" si="0"/>
        <v>-0.39046064680903858</v>
      </c>
      <c r="G32" s="19">
        <f t="shared" si="7"/>
        <v>0</v>
      </c>
      <c r="H32" s="58">
        <f>VLOOKUP(A32,הכשרה!A:G,4,0)+VLOOKUP('תפוקה מצטברת מול אשתקד'!A32,מגדל!A:G,4,0)+VLOOKUP('תפוקה מצטברת מול אשתקד'!A32,מנורה!A:G,4,0)+VLOOKUP('תפוקה מצטברת מול אשתקד'!A32,איילון!A:G,4,0)+VLOOKUP('תפוקה מצטברת מול אשתקד'!A32,הראל!A:G,4,0)+VLOOKUP('תפוקה מצטברת מול אשתקד'!A32,הפניקס!A:G,4,0)+VLOOKUP('תפוקה מצטברת מול אשתקד'!A32,כלל!A:G,4,0)+VLOOKUP('תפוקה מצטברת מול אשתקד'!A32,מור!A:G,4,0)+VLOOKUP('תפוקה מצטברת מול אשתקד'!A32,'אלטשולר שחם'!A:G,4,0)+VLOOKUP('תפוקה מצטברת מול אשתקד'!A32,'מדיהו '!A:G,4,0)+VLOOKUP('תפוקה מצטברת מול אשתקד'!A32,'אנליסט '!A:G,4,0)+VLOOKUP('תפוקה מצטברת מול אשתקד'!A32,'מיטב דש'!A:G,4,0)+VLOOKUP('תפוקה מצטברת מול אשתקד'!A32,אינפניטי!A:G,4,0)</f>
        <v>1430.7864342713151</v>
      </c>
      <c r="I32" s="58">
        <f>VLOOKUP(A32,הכשרה!A:G,5,0)+VLOOKUP('תפוקה מצטברת מול אשתקד'!A32,מגדל!A:G,5,0)+VLOOKUP('תפוקה מצטברת מול אשתקד'!A32,מנורה!A:G,5,0)+VLOOKUP('תפוקה מצטברת מול אשתקד'!A32,איילון!A:G,5,0)+VLOOKUP('תפוקה מצטברת מול אשתקד'!A32,הראל!A:G,5,0)+VLOOKUP('תפוקה מצטברת מול אשתקד'!A32,הפניקס!A:G,5,0)+VLOOKUP('תפוקה מצטברת מול אשתקד'!A32,כלל!A:G,5,0)+VLOOKUP('תפוקה מצטברת מול אשתקד'!A32,מור!A:G,5,0)+VLOOKUP('תפוקה מצטברת מול אשתקד'!A32,'אלטשולר שחם'!A:G,5,0)+VLOOKUP('תפוקה מצטברת מול אשתקד'!A32,'מדיהו '!A:G,5,0)+VLOOKUP('תפוקה מצטברת מול אשתקד'!A32,'אנליסט '!A:G,5,0)+VLOOKUP('תפוקה מצטברת מול אשתקד'!A32,'מיטב דש'!A:G,5,0)+VLOOKUP('תפוקה מצטברת מול אשתקד'!A32,אינפניטי!A:G,5,0)</f>
        <v>3967.905542000698</v>
      </c>
      <c r="J32" s="58">
        <f>VLOOKUP(A32,הכשרה!A:G,6,0)+VLOOKUP('תפוקה מצטברת מול אשתקד'!A32,מגדל!A:G,6,0)+VLOOKUP('תפוקה מצטברת מול אשתקד'!A32,מנורה!A:G,6,0)+VLOOKUP('תפוקה מצטברת מול אשתקד'!A32,איילון!A:G,6,0)+VLOOKUP(A32,הראל!A:G,6,0)+VLOOKUP('תפוקה מצטברת מול אשתקד'!A32,הפניקס!A:G,6,0)+VLOOKUP('תפוקה מצטברת מול אשתקד'!A32,כלל!A:G,6,0)+VLOOKUP('תפוקה מצטברת מול אשתקד'!A32,מור!A:G,6,0)+VLOOKUP('תפוקה מצטברת מול אשתקד'!A32,'אלטשולר שחם'!A:G,6,0)+VLOOKUP('תפוקה מצטברת מול אשתקד'!A32,'מדיהו '!A:G,6,0)+VLOOKUP('תפוקה מצטברת מול אשתקד'!A32,'אנליסט '!A:G,6,0)+VLOOKUP('תפוקה מצטברת מול אשתקד'!A32,'מיטב דש'!A:G,6,0)+VLOOKUP('תפוקה מצטברת מול אשתקד'!A32,אינפניטי!A:G,6,0)</f>
        <v>14899.64635435012</v>
      </c>
      <c r="K32" s="58">
        <f>VLOOKUP(A32,הכשרה!A:G,7,0)+VLOOKUP('תפוקה מצטברת מול אשתקד'!A32,מגדל!A:G,7,0)+VLOOKUP('תפוקה מצטברת מול אשתקד'!A32,מנורה!A:G,7,0)+VLOOKUP('תפוקה מצטברת מול אשתקד'!A32,איילון!A:G,7,0)+VLOOKUP('תפוקה מצטברת מול אשתקד'!A32,הראל!A:G,7,0)+VLOOKUP('תפוקה מצטברת מול אשתקד'!A32,הפניקס!A:G,7,0)+VLOOKUP('תפוקה מצטברת מול אשתקד'!A32,כלל!A:G,7,0)+VLOOKUP('תפוקה מצטברת מול אשתקד'!A32,מור!A:G,7,0)+VLOOKUP('תפוקה מצטברת מול אשתקד'!A32,'אלטשולר שחם'!A:G,7,0)+VLOOKUP('תפוקה מצטברת מול אשתקד'!A32,'מדיהו '!A:K,7,0)+VLOOKUP(A32,'אנליסט '!A:G,7,0)+VLOOKUP('תפוקה מצטברת מול אשתקד'!A32,'מיטב דש'!A:G,7,0)+VLOOKUP('תפוקה מצטברת מול אשתקד'!A32,אינפניטי!A:G,7,0)</f>
        <v>0</v>
      </c>
      <c r="L32" s="12">
        <f>VLOOKUP(A32,הכשרה!A:K,8,0)+VLOOKUP('תפוקה מצטברת מול אשתקד'!A32,מגדל!A:K,8,0)+VLOOKUP('תפוקה מצטברת מול אשתקד'!A32,מנורה!A:K,8,0)+VLOOKUP('תפוקה מצטברת מול אשתקד'!A32,איילון!A:K,8,0)+VLOOKUP('תפוקה מצטברת מול אשתקד'!A32,הראל!A:K,8,0)+VLOOKUP('תפוקה מצטברת מול אשתקד'!A32,הפניקס!A:K,8,0)+VLOOKUP('תפוקה מצטברת מול אשתקד'!A32,כלל!A:K,8,0)+VLOOKUP('תפוקה מצטברת מול אשתקד'!A32,מור!A:K,8,0)+VLOOKUP('תפוקה מצטברת מול אשתקד'!A32,'אלטשולר שחם'!A:K,8,0)+VLOOKUP('תפוקה מצטברת מול אשתקד'!A32,'מדיהו '!A:K,8,0)+VLOOKUP('תפוקה מצטברת מול אשתקד'!A32,'אנליסט '!A:K,8,0)+VLOOKUP('תפוקה מצטברת מול אשתקד'!A32,'מיטב דש'!A:K,8,0)+VLOOKUP('תפוקה מצטברת מול אשתקד'!A32,אינפניטי!A:K,8,0)</f>
        <v>37727.791752644545</v>
      </c>
      <c r="M32" s="12">
        <f>VLOOKUP(A32,הכשרה!A:K,9,0)+VLOOKUP('תפוקה מצטברת מול אשתקד'!A32,מגדל!A:K,9,0)+VLOOKUP('תפוקה מצטברת מול אשתקד'!A32,מנורה!A:K,9,0)+VLOOKUP('תפוקה מצטברת מול אשתקד'!A32,איילון!A:K,9,0)+VLOOKUP('תפוקה מצטברת מול אשתקד'!A32,הראל!A:K,9,0)+VLOOKUP('תפוקה מצטברת מול אשתקד'!A32,הפניקס!A:K,9,0)+VLOOKUP('תפוקה מצטברת מול אשתקד'!A32,כלל!A:K,9,0)+VLOOKUP('תפוקה מצטברת מול אשתקד'!A32,מור!A:K,9,0)+VLOOKUP('תפוקה מצטברת מול אשתקד'!A32,'אלטשולר שחם'!A:K,9,0)+VLOOKUP('תפוקה מצטברת מול אשתקד'!A32,'מדיהו '!A:K,9,0)+VLOOKUP('תפוקה מצטברת מול אשתקד'!A32,'אנליסט '!A:K,9,0)+VLOOKUP('תפוקה מצטברת מול אשתקד'!A32,'מיטב דש'!A:K,9,0)+VLOOKUP('תפוקה מצטברת מול אשתקד'!A32,אינפניטי!A:K,9,0)</f>
        <v>3078.68</v>
      </c>
      <c r="N32" s="12">
        <f>VLOOKUP(A32,הכשרה!A:K,10,0)+VLOOKUP('תפוקה מצטברת מול אשתקד'!A32,מגדל!A:K,10,0)+VLOOKUP('תפוקה מצטברת מול אשתקד'!A32,מנורה!A:K,10,0)+VLOOKUP('תפוקה מצטברת מול אשתקד'!A32,איילון!A:K,10,0)+VLOOKUP('תפוקה מצטברת מול אשתקד'!A32,הראל!A:K,10,0)+VLOOKUP('תפוקה מצטברת מול אשתקד'!A32,הפניקס!A:K,10,0)+VLOOKUP('תפוקה מצטברת מול אשתקד'!A32,כלל!A:K,10,0)+VLOOKUP('תפוקה מצטברת מול אשתקד'!A32,מור!A:K,10,0)+VLOOKUP('תפוקה מצטברת מול אשתקד'!A32,'אלטשולר שחם'!A:K,10,0)+VLOOKUP('תפוקה מצטברת מול אשתקד'!A32,'מדיהו '!A:K,10,0)+VLOOKUP('תפוקה מצטברת מול אשתקד'!A32,'אנליסט '!A:K,10,0)+VLOOKUP('תפוקה מצטברת מול אשתקד'!A32,'מיטב דש'!A:K,10,0)+VLOOKUP('תפוקה מצטברת מול אשתקד'!A32,אינפניטי!A:K,10,0)</f>
        <v>24444.10894284333</v>
      </c>
      <c r="O32" s="12">
        <f>VLOOKUP(A32,הכשרה!A:K,11,0)+VLOOKUP('תפוקה מצטברת מול אשתקד'!A32,מגדל!A:K,11,0)+VLOOKUP('תפוקה מצטברת מול אשתקד'!A32,מנורה!A:K,11,0)+VLOOKUP('תפוקה מצטברת מול אשתקד'!A32,איילון!A:K,11,0)+VLOOKUP('תפוקה מצטברת מול אשתקד'!A32,הראל!A:K,11,0)+VLOOKUP('תפוקה מצטברת מול אשתקד'!A32,הפניקס!A:K,11,0)+VLOOKUP('תפוקה מצטברת מול אשתקד'!A32,כלל!A:K,11,0)+VLOOKUP('תפוקה מצטברת מול אשתקד'!A32,מור!A:K,11,0)+VLOOKUP('תפוקה מצטברת מול אשתקד'!A32,'אלטשולר שחם'!A:K,11,0)+VLOOKUP('תפוקה מצטברת מול אשתקד'!A32,'מדיהו '!A:K,11,0)+VLOOKUP('תפוקה מצטברת מול אשתקד'!A32,'אנליסט '!A:K,11,0)+VLOOKUP('תפוקה מצטברת מול אשתקד'!A32,'מיטב דש'!A:K,11,0)+VLOOKUP('תפוקה מצטברת מול אשתקד'!A32,אינפניטי!A:K,11,0)</f>
        <v>0</v>
      </c>
      <c r="P32" s="10"/>
      <c r="Q32" s="106"/>
    </row>
    <row r="33" spans="1:15" ht="15.75" customHeight="1" x14ac:dyDescent="0.25">
      <c r="A33" s="26" t="s">
        <v>23</v>
      </c>
      <c r="B33" s="26" t="s">
        <v>56</v>
      </c>
      <c r="C33" s="27" t="s">
        <v>107</v>
      </c>
      <c r="D33" s="19">
        <f t="shared" si="0"/>
        <v>0</v>
      </c>
      <c r="E33" s="19">
        <f t="shared" si="0"/>
        <v>0</v>
      </c>
      <c r="F33" s="19">
        <f t="shared" si="0"/>
        <v>0</v>
      </c>
      <c r="G33" s="19">
        <f t="shared" si="7"/>
        <v>0</v>
      </c>
      <c r="H33" s="58">
        <f>VLOOKUP(A33,הכשרה!A:G,4,0)+VLOOKUP('תפוקה מצטברת מול אשתקד'!A33,מגדל!A:G,4,0)+VLOOKUP('תפוקה מצטברת מול אשתקד'!A33,מנורה!A:G,4,0)+VLOOKUP('תפוקה מצטברת מול אשתקד'!A33,איילון!A:G,4,0)+VLOOKUP('תפוקה מצטברת מול אשתקד'!A33,הראל!A:G,4,0)+VLOOKUP('תפוקה מצטברת מול אשתקד'!A33,הפניקס!A:G,4,0)+VLOOKUP('תפוקה מצטברת מול אשתקד'!A33,כלל!A:G,4,0)+VLOOKUP('תפוקה מצטברת מול אשתקד'!A33,מור!A:G,4,0)+VLOOKUP('תפוקה מצטברת מול אשתקד'!A33,'אלטשולר שחם'!A:G,4,0)+VLOOKUP('תפוקה מצטברת מול אשתקד'!A33,'מדיהו '!A:G,4,0)+VLOOKUP('תפוקה מצטברת מול אשתקד'!A33,'אנליסט '!A:G,4,0)+VLOOKUP('תפוקה מצטברת מול אשתקד'!A33,'מיטב דש'!A:G,4,0)+VLOOKUP('תפוקה מצטברת מול אשתקד'!A33,אינפניטי!A:G,4,0)</f>
        <v>0</v>
      </c>
      <c r="I33" s="58">
        <f>VLOOKUP(A33,הכשרה!A:G,5,0)+VLOOKUP('תפוקה מצטברת מול אשתקד'!A33,מגדל!A:G,5,0)+VLOOKUP('תפוקה מצטברת מול אשתקד'!A33,מנורה!A:G,5,0)+VLOOKUP('תפוקה מצטברת מול אשתקד'!A33,איילון!A:G,5,0)+VLOOKUP('תפוקה מצטברת מול אשתקד'!A33,הראל!A:G,5,0)+VLOOKUP('תפוקה מצטברת מול אשתקד'!A33,הפניקס!A:G,5,0)+VLOOKUP('תפוקה מצטברת מול אשתקד'!A33,כלל!A:G,5,0)+VLOOKUP('תפוקה מצטברת מול אשתקד'!A33,מור!A:G,5,0)+VLOOKUP('תפוקה מצטברת מול אשתקד'!A33,'אלטשולר שחם'!A:G,5,0)+VLOOKUP('תפוקה מצטברת מול אשתקד'!A33,'מדיהו '!A:G,5,0)+VLOOKUP('תפוקה מצטברת מול אשתקד'!A33,'אנליסט '!A:G,5,0)+VLOOKUP('תפוקה מצטברת מול אשתקד'!A33,'מיטב דש'!A:G,5,0)+VLOOKUP('תפוקה מצטברת מול אשתקד'!A33,אינפניטי!A:G,5,0)</f>
        <v>0</v>
      </c>
      <c r="J33" s="58">
        <f>VLOOKUP(A33,הכשרה!A:G,6,0)+VLOOKUP('תפוקה מצטברת מול אשתקד'!A33,מגדל!A:G,6,0)+VLOOKUP('תפוקה מצטברת מול אשתקד'!A33,מנורה!A:G,6,0)+VLOOKUP('תפוקה מצטברת מול אשתקד'!A33,איילון!A:G,6,0)+VLOOKUP(A33,הראל!A:G,6,0)+VLOOKUP('תפוקה מצטברת מול אשתקד'!A33,הפניקס!A:G,6,0)+VLOOKUP('תפוקה מצטברת מול אשתקד'!A33,כלל!A:G,6,0)+VLOOKUP('תפוקה מצטברת מול אשתקד'!A33,מור!A:G,6,0)+VLOOKUP('תפוקה מצטברת מול אשתקד'!A33,'אלטשולר שחם'!A:G,6,0)+VLOOKUP('תפוקה מצטברת מול אשתקד'!A33,'מדיהו '!A:G,6,0)+VLOOKUP('תפוקה מצטברת מול אשתקד'!A33,'אנליסט '!A:G,6,0)+VLOOKUP('תפוקה מצטברת מול אשתקד'!A33,'מיטב דש'!A:G,6,0)+VLOOKUP('תפוקה מצטברת מול אשתקד'!A33,אינפניטי!A:G,6,0)</f>
        <v>0</v>
      </c>
      <c r="K33" s="58">
        <f>VLOOKUP(A33,הכשרה!A:G,7,0)+VLOOKUP('תפוקה מצטברת מול אשתקד'!A33,מגדל!A:G,7,0)+VLOOKUP('תפוקה מצטברת מול אשתקד'!A33,מנורה!A:G,7,0)+VLOOKUP('תפוקה מצטברת מול אשתקד'!A33,איילון!A:G,7,0)+VLOOKUP('תפוקה מצטברת מול אשתקד'!A33,הראל!A:G,7,0)+VLOOKUP('תפוקה מצטברת מול אשתקד'!A33,הפניקס!A:G,7,0)+VLOOKUP('תפוקה מצטברת מול אשתקד'!A33,כלל!A:G,7,0)+VLOOKUP('תפוקה מצטברת מול אשתקד'!A33,מור!A:G,7,0)+VLOOKUP('תפוקה מצטברת מול אשתקד'!A33,'אלטשולר שחם'!A:G,7,0)+VLOOKUP('תפוקה מצטברת מול אשתקד'!A33,'מדיהו '!A:K,7,0)+VLOOKUP(A33,'אנליסט '!A:G,7,0)+VLOOKUP('תפוקה מצטברת מול אשתקד'!A33,'מיטב דש'!A:G,7,0)+VLOOKUP('תפוקה מצטברת מול אשתקד'!A33,אינפניטי!A:G,7,0)</f>
        <v>0</v>
      </c>
      <c r="L33" s="12">
        <f>VLOOKUP(A33,הכשרה!A:K,8,0)+VLOOKUP('תפוקה מצטברת מול אשתקד'!A33,מגדל!A:K,8,0)+VLOOKUP('תפוקה מצטברת מול אשתקד'!A33,מנורה!A:K,8,0)+VLOOKUP('תפוקה מצטברת מול אשתקד'!A33,איילון!A:K,8,0)+VLOOKUP('תפוקה מצטברת מול אשתקד'!A33,הראל!A:K,8,0)+VLOOKUP('תפוקה מצטברת מול אשתקד'!A33,הפניקס!A:K,8,0)+VLOOKUP('תפוקה מצטברת מול אשתקד'!A33,כלל!A:K,8,0)+VLOOKUP('תפוקה מצטברת מול אשתקד'!A33,מור!A:K,8,0)+VLOOKUP('תפוקה מצטברת מול אשתקד'!A33,'אלטשולר שחם'!A:K,8,0)+VLOOKUP('תפוקה מצטברת מול אשתקד'!A33,'מדיהו '!A:K,8,0)+VLOOKUP('תפוקה מצטברת מול אשתקד'!A33,'אנליסט '!A:K,8,0)+VLOOKUP('תפוקה מצטברת מול אשתקד'!A33,'מיטב דש'!A:K,8,0)+VLOOKUP('תפוקה מצטברת מול אשתקד'!A33,אינפניטי!A:K,8,0)</f>
        <v>0</v>
      </c>
      <c r="M33" s="12">
        <f>VLOOKUP(A33,הכשרה!A:K,9,0)+VLOOKUP('תפוקה מצטברת מול אשתקד'!A33,מגדל!A:K,9,0)+VLOOKUP('תפוקה מצטברת מול אשתקד'!A33,מנורה!A:K,9,0)+VLOOKUP('תפוקה מצטברת מול אשתקד'!A33,איילון!A:K,9,0)+VLOOKUP('תפוקה מצטברת מול אשתקד'!A33,הראל!A:K,9,0)+VLOOKUP('תפוקה מצטברת מול אשתקד'!A33,הפניקס!A:K,9,0)+VLOOKUP('תפוקה מצטברת מול אשתקד'!A33,כלל!A:K,9,0)+VLOOKUP('תפוקה מצטברת מול אשתקד'!A33,מור!A:K,9,0)+VLOOKUP('תפוקה מצטברת מול אשתקד'!A33,'אלטשולר שחם'!A:K,9,0)+VLOOKUP('תפוקה מצטברת מול אשתקד'!A33,'מדיהו '!A:K,9,0)+VLOOKUP('תפוקה מצטברת מול אשתקד'!A33,'אנליסט '!A:K,9,0)+VLOOKUP('תפוקה מצטברת מול אשתקד'!A33,'מיטב דש'!A:K,9,0)+VLOOKUP('תפוקה מצטברת מול אשתקד'!A33,אינפניטי!A:K,9,0)</f>
        <v>7.44</v>
      </c>
      <c r="N33" s="12">
        <f>VLOOKUP(A33,הכשרה!A:K,10,0)+VLOOKUP('תפוקה מצטברת מול אשתקד'!A33,מגדל!A:K,10,0)+VLOOKUP('תפוקה מצטברת מול אשתקד'!A33,מנורה!A:K,10,0)+VLOOKUP('תפוקה מצטברת מול אשתקד'!A33,איילון!A:K,10,0)+VLOOKUP('תפוקה מצטברת מול אשתקד'!A33,הראל!A:K,10,0)+VLOOKUP('תפוקה מצטברת מול אשתקד'!A33,הפניקס!A:K,10,0)+VLOOKUP('תפוקה מצטברת מול אשתקד'!A33,כלל!A:K,10,0)+VLOOKUP('תפוקה מצטברת מול אשתקד'!A33,מור!A:K,10,0)+VLOOKUP('תפוקה מצטברת מול אשתקד'!A33,'אלטשולר שחם'!A:K,10,0)+VLOOKUP('תפוקה מצטברת מול אשתקד'!A33,'מדיהו '!A:K,10,0)+VLOOKUP('תפוקה מצטברת מול אשתקד'!A33,'אנליסט '!A:K,10,0)+VLOOKUP('תפוקה מצטברת מול אשתקד'!A33,'מיטב דש'!A:K,10,0)+VLOOKUP('תפוקה מצטברת מול אשתקד'!A33,אינפניטי!A:K,10,0)</f>
        <v>0</v>
      </c>
      <c r="O33" s="12">
        <f>VLOOKUP(A33,הכשרה!A:K,11,0)+VLOOKUP('תפוקה מצטברת מול אשתקד'!A33,מגדל!A:K,11,0)+VLOOKUP('תפוקה מצטברת מול אשתקד'!A33,מנורה!A:K,11,0)+VLOOKUP('תפוקה מצטברת מול אשתקד'!A33,איילון!A:K,11,0)+VLOOKUP('תפוקה מצטברת מול אשתקד'!A33,הראל!A:K,11,0)+VLOOKUP('תפוקה מצטברת מול אשתקד'!A33,הפניקס!A:K,11,0)+VLOOKUP('תפוקה מצטברת מול אשתקד'!A33,כלל!A:K,11,0)+VLOOKUP('תפוקה מצטברת מול אשתקד'!A33,מור!A:K,11,0)+VLOOKUP('תפוקה מצטברת מול אשתקד'!A33,'אלטשולר שחם'!A:K,11,0)+VLOOKUP('תפוקה מצטברת מול אשתקד'!A33,'מדיהו '!A:K,11,0)+VLOOKUP('תפוקה מצטברת מול אשתקד'!A33,'אנליסט '!A:K,11,0)+VLOOKUP('תפוקה מצטברת מול אשתקד'!A33,'מיטב דש'!A:K,11,0)+VLOOKUP('תפוקה מצטברת מול אשתקד'!A33,אינפניטי!A:K,11,0)</f>
        <v>0</v>
      </c>
    </row>
    <row r="34" spans="1:15" ht="15.75" customHeight="1" x14ac:dyDescent="0.25">
      <c r="A34" s="26" t="s">
        <v>24</v>
      </c>
      <c r="B34" s="26" t="s">
        <v>56</v>
      </c>
      <c r="C34" s="27" t="s">
        <v>107</v>
      </c>
      <c r="D34" s="19">
        <f t="shared" si="0"/>
        <v>0</v>
      </c>
      <c r="E34" s="19">
        <f t="shared" si="0"/>
        <v>-14.333045474442288</v>
      </c>
      <c r="F34" s="19">
        <f t="shared" si="0"/>
        <v>0</v>
      </c>
      <c r="G34" s="19">
        <f t="shared" si="7"/>
        <v>0</v>
      </c>
      <c r="H34" s="58">
        <f>VLOOKUP(A34,הכשרה!A:G,4,0)+VLOOKUP('תפוקה מצטברת מול אשתקד'!A34,מגדל!A:G,4,0)+VLOOKUP('תפוקה מצטברת מול אשתקד'!A34,מנורה!A:G,4,0)+VLOOKUP('תפוקה מצטברת מול אשתקד'!A34,איילון!A:G,4,0)+VLOOKUP('תפוקה מצטברת מול אשתקד'!A34,הראל!A:G,4,0)+VLOOKUP('תפוקה מצטברת מול אשתקד'!A34,הפניקס!A:G,4,0)+VLOOKUP('תפוקה מצטברת מול אשתקד'!A34,כלל!A:G,4,0)+VLOOKUP('תפוקה מצטברת מול אשתקד'!A34,מור!A:G,4,0)+VLOOKUP('תפוקה מצטברת מול אשתקד'!A34,'אלטשולר שחם'!A:G,4,0)+VLOOKUP('תפוקה מצטברת מול אשתקד'!A34,'מדיהו '!A:G,4,0)+VLOOKUP('תפוקה מצטברת מול אשתקד'!A34,'אנליסט '!A:G,4,0)+VLOOKUP('תפוקה מצטברת מול אשתקד'!A34,'מיטב דש'!A:G,4,0)+VLOOKUP('תפוקה מצטברת מול אשתקד'!A34,אינפניטי!A:G,4,0)</f>
        <v>0</v>
      </c>
      <c r="I34" s="58">
        <f>VLOOKUP(A34,הכשרה!A:G,5,0)+VLOOKUP('תפוקה מצטברת מול אשתקד'!A34,מגדל!A:G,5,0)+VLOOKUP('תפוקה מצטברת מול אשתקד'!A34,מנורה!A:G,5,0)+VLOOKUP('תפוקה מצטברת מול אשתקד'!A34,איילון!A:G,5,0)+VLOOKUP('תפוקה מצטברת מול אשתקד'!A34,הראל!A:G,5,0)+VLOOKUP('תפוקה מצטברת מול אשתקד'!A34,הפניקס!A:G,5,0)+VLOOKUP('תפוקה מצטברת מול אשתקד'!A34,כלל!A:G,5,0)+VLOOKUP('תפוקה מצטברת מול אשתקד'!A34,מור!A:G,5,0)+VLOOKUP('תפוקה מצטברת מול אשתקד'!A34,'אלטשולר שחם'!A:G,5,0)+VLOOKUP('תפוקה מצטברת מול אשתקד'!A34,'מדיהו '!A:G,5,0)+VLOOKUP('תפוקה מצטברת מול אשתקד'!A34,'אנליסט '!A:G,5,0)+VLOOKUP('תפוקה מצטברת מול אשתקד'!A34,'מיטב דש'!A:G,5,0)+VLOOKUP('תפוקה מצטברת מול אשתקד'!A34,אינפניטי!A:G,5,0)</f>
        <v>6731.5479999999998</v>
      </c>
      <c r="J34" s="58">
        <f>VLOOKUP(A34,הכשרה!A:G,6,0)+VLOOKUP('תפוקה מצטברת מול אשתקד'!A34,מגדל!A:G,6,0)+VLOOKUP('תפוקה מצטברת מול אשתקד'!A34,מנורה!A:G,6,0)+VLOOKUP('תפוקה מצטברת מול אשתקד'!A34,איילון!A:G,6,0)+VLOOKUP(A34,הראל!A:G,6,0)+VLOOKUP('תפוקה מצטברת מול אשתקד'!A34,הפניקס!A:G,6,0)+VLOOKUP('תפוקה מצטברת מול אשתקד'!A34,כלל!A:G,6,0)+VLOOKUP('תפוקה מצטברת מול אשתקד'!A34,מור!A:G,6,0)+VLOOKUP('תפוקה מצטברת מול אשתקד'!A34,'אלטשולר שחם'!A:G,6,0)+VLOOKUP('תפוקה מצטברת מול אשתקד'!A34,'מדיהו '!A:G,6,0)+VLOOKUP('תפוקה מצטברת מול אשתקד'!A34,'אנליסט '!A:G,6,0)+VLOOKUP('תפוקה מצטברת מול אשתקד'!A34,'מיטב דש'!A:G,6,0)+VLOOKUP('תפוקה מצטברת מול אשתקד'!A34,אינפניטי!A:G,6,0)</f>
        <v>0</v>
      </c>
      <c r="K34" s="58">
        <f>VLOOKUP(A34,הכשרה!A:G,7,0)+VLOOKUP('תפוקה מצטברת מול אשתקד'!A34,מגדל!A:G,7,0)+VLOOKUP('תפוקה מצטברת מול אשתקד'!A34,מנורה!A:G,7,0)+VLOOKUP('תפוקה מצטברת מול אשתקד'!A34,איילון!A:G,7,0)+VLOOKUP('תפוקה מצטברת מול אשתקד'!A34,הראל!A:G,7,0)+VLOOKUP('תפוקה מצטברת מול אשתקד'!A34,הפניקס!A:G,7,0)+VLOOKUP('תפוקה מצטברת מול אשתקד'!A34,כלל!A:G,7,0)+VLOOKUP('תפוקה מצטברת מול אשתקד'!A34,מור!A:G,7,0)+VLOOKUP('תפוקה מצטברת מול אשתקד'!A34,'אלטשולר שחם'!A:G,7,0)+VLOOKUP('תפוקה מצטברת מול אשתקד'!A34,'מדיהו '!A:K,7,0)+VLOOKUP(A34,'אנליסט '!A:G,7,0)+VLOOKUP('תפוקה מצטברת מול אשתקד'!A34,'מיטב דש'!A:G,7,0)+VLOOKUP('תפוקה מצטברת מול אשתקד'!A34,אינפניטי!A:G,7,0)</f>
        <v>0</v>
      </c>
      <c r="L34" s="12">
        <f>VLOOKUP(A34,הכשרה!A:K,8,0)+VLOOKUP('תפוקה מצטברת מול אשתקד'!A34,מגדל!A:K,8,0)+VLOOKUP('תפוקה מצטברת מול אשתקד'!A34,מנורה!A:K,8,0)+VLOOKUP('תפוקה מצטברת מול אשתקד'!A34,איילון!A:K,8,0)+VLOOKUP('תפוקה מצטברת מול אשתקד'!A34,הראל!A:K,8,0)+VLOOKUP('תפוקה מצטברת מול אשתקד'!A34,הפניקס!A:K,8,0)+VLOOKUP('תפוקה מצטברת מול אשתקד'!A34,כלל!A:K,8,0)+VLOOKUP('תפוקה מצטברת מול אשתקד'!A34,מור!A:K,8,0)+VLOOKUP('תפוקה מצטברת מול אשתקד'!A34,'אלטשולר שחם'!A:K,8,0)+VLOOKUP('תפוקה מצטברת מול אשתקד'!A34,'מדיהו '!A:K,8,0)+VLOOKUP('תפוקה מצטברת מול אשתקד'!A34,'אנליסט '!A:K,8,0)+VLOOKUP('תפוקה מצטברת מול אשתקד'!A34,'מיטב דש'!A:K,8,0)+VLOOKUP('תפוקה מצטברת מול אשתקד'!A34,אינפניטי!A:K,8,0)</f>
        <v>0</v>
      </c>
      <c r="M34" s="12">
        <f>VLOOKUP(A34,הכשרה!A:K,9,0)+VLOOKUP('תפוקה מצטברת מול אשתקד'!A34,מגדל!A:K,9,0)+VLOOKUP('תפוקה מצטברת מול אשתקד'!A34,מנורה!A:K,9,0)+VLOOKUP('תפוקה מצטברת מול אשתקד'!A34,איילון!A:K,9,0)+VLOOKUP('תפוקה מצטברת מול אשתקד'!A34,הראל!A:K,9,0)+VLOOKUP('תפוקה מצטברת מול אשתקד'!A34,הפניקס!A:K,9,0)+VLOOKUP('תפוקה מצטברת מול אשתקד'!A34,כלל!A:K,9,0)+VLOOKUP('תפוקה מצטברת מול אשתקד'!A34,מור!A:K,9,0)+VLOOKUP('תפוקה מצטברת מול אשתקד'!A34,'אלטשולר שחם'!A:K,9,0)+VLOOKUP('תפוקה מצטברת מול אשתקד'!A34,'מדיהו '!A:K,9,0)+VLOOKUP('תפוקה מצטברת מול אשתקד'!A34,'אנליסט '!A:K,9,0)+VLOOKUP('תפוקה מצטברת מול אשתקד'!A34,'מיטב דש'!A:K,9,0)+VLOOKUP('תפוקה מצטברת מול אשתקד'!A34,אינפניטי!A:K,9,0)</f>
        <v>-504.87700000000001</v>
      </c>
      <c r="N34" s="12">
        <f>VLOOKUP(A34,הכשרה!A:K,10,0)+VLOOKUP('תפוקה מצטברת מול אשתקד'!A34,מגדל!A:K,10,0)+VLOOKUP('תפוקה מצטברת מול אשתקד'!A34,מנורה!A:K,10,0)+VLOOKUP('תפוקה מצטברת מול אשתקד'!A34,איילון!A:K,10,0)+VLOOKUP('תפוקה מצטברת מול אשתקד'!A34,הראל!A:K,10,0)+VLOOKUP('תפוקה מצטברת מול אשתקד'!A34,הפניקס!A:K,10,0)+VLOOKUP('תפוקה מצטברת מול אשתקד'!A34,כלל!A:K,10,0)+VLOOKUP('תפוקה מצטברת מול אשתקד'!A34,מור!A:K,10,0)+VLOOKUP('תפוקה מצטברת מול אשתקד'!A34,'אלטשולר שחם'!A:K,10,0)+VLOOKUP('תפוקה מצטברת מול אשתקד'!A34,'מדיהו '!A:K,10,0)+VLOOKUP('תפוקה מצטברת מול אשתקד'!A34,'אנליסט '!A:K,10,0)+VLOOKUP('תפוקה מצטברת מול אשתקד'!A34,'מיטב דש'!A:K,10,0)+VLOOKUP('תפוקה מצטברת מול אשתקד'!A34,אינפניטי!A:K,10,0)</f>
        <v>0</v>
      </c>
      <c r="O34" s="12">
        <f>VLOOKUP(A34,הכשרה!A:K,11,0)+VLOOKUP('תפוקה מצטברת מול אשתקד'!A34,מגדל!A:K,11,0)+VLOOKUP('תפוקה מצטברת מול אשתקד'!A34,מנורה!A:K,11,0)+VLOOKUP('תפוקה מצטברת מול אשתקד'!A34,איילון!A:K,11,0)+VLOOKUP('תפוקה מצטברת מול אשתקד'!A34,הראל!A:K,11,0)+VLOOKUP('תפוקה מצטברת מול אשתקד'!A34,הפניקס!A:K,11,0)+VLOOKUP('תפוקה מצטברת מול אשתקד'!A34,כלל!A:K,11,0)+VLOOKUP('תפוקה מצטברת מול אשתקד'!A34,מור!A:K,11,0)+VLOOKUP('תפוקה מצטברת מול אשתקד'!A34,'אלטשולר שחם'!A:K,11,0)+VLOOKUP('תפוקה מצטברת מול אשתקד'!A34,'מדיהו '!A:K,11,0)+VLOOKUP('תפוקה מצטברת מול אשתקד'!A34,'אנליסט '!A:K,11,0)+VLOOKUP('תפוקה מצטברת מול אשתקד'!A34,'מיטב דש'!A:K,11,0)+VLOOKUP('תפוקה מצטברת מול אשתקד'!A34,אינפניטי!A:K,11,0)</f>
        <v>0</v>
      </c>
    </row>
    <row r="35" spans="1:15" ht="15.75" customHeight="1" x14ac:dyDescent="0.25">
      <c r="A35" s="30" t="s">
        <v>25</v>
      </c>
      <c r="B35" s="26" t="s">
        <v>56</v>
      </c>
      <c r="C35" s="27" t="s">
        <v>107</v>
      </c>
      <c r="D35" s="19">
        <f t="shared" si="0"/>
        <v>0.22675146577519301</v>
      </c>
      <c r="E35" s="19">
        <f t="shared" si="0"/>
        <v>-0.32240798740089283</v>
      </c>
      <c r="F35" s="19">
        <f t="shared" si="0"/>
        <v>-0.68025624509260563</v>
      </c>
      <c r="G35" s="19">
        <f t="shared" si="7"/>
        <v>-0.73757671249575329</v>
      </c>
      <c r="H35" s="58">
        <f>VLOOKUP(A35,הכשרה!A:G,4,0)+VLOOKUP('תפוקה מצטברת מול אשתקד'!A35,מגדל!A:G,4,0)+VLOOKUP('תפוקה מצטברת מול אשתקד'!A35,מנורה!A:G,4,0)+VLOOKUP('תפוקה מצטברת מול אשתקד'!A35,איילון!A:G,4,0)+VLOOKUP('תפוקה מצטברת מול אשתקד'!A35,הראל!A:G,4,0)+VLOOKUP('תפוקה מצטברת מול אשתקד'!A35,הפניקס!A:G,4,0)+VLOOKUP('תפוקה מצטברת מול אשתקד'!A35,כלל!A:G,4,0)+VLOOKUP('תפוקה מצטברת מול אשתקד'!A35,מור!A:G,4,0)+VLOOKUP('תפוקה מצטברת מול אשתקד'!A35,'אלטשולר שחם'!A:G,4,0)+VLOOKUP('תפוקה מצטברת מול אשתקד'!A35,'מדיהו '!A:G,4,0)+VLOOKUP('תפוקה מצטברת מול אשתקד'!A35,'אנליסט '!A:G,4,0)+VLOOKUP('תפוקה מצטברת מול אשתקד'!A35,'מיטב דש'!A:G,4,0)+VLOOKUP('תפוקה מצטברת מול אשתקד'!A35,אינפניטי!A:G,4,0)</f>
        <v>1364924.8953909727</v>
      </c>
      <c r="I35" s="58">
        <f>VLOOKUP(A35,הכשרה!A:G,5,0)+VLOOKUP('תפוקה מצטברת מול אשתקד'!A35,מגדל!A:G,5,0)+VLOOKUP('תפוקה מצטברת מול אשתקד'!A35,מנורה!A:G,5,0)+VLOOKUP('תפוקה מצטברת מול אשתקד'!A35,איילון!A:G,5,0)+VLOOKUP('תפוקה מצטברת מול אשתקד'!A35,הראל!A:G,5,0)+VLOOKUP('תפוקה מצטברת מול אשתקד'!A35,הפניקס!A:G,5,0)+VLOOKUP('תפוקה מצטברת מול אשתקד'!A35,כלל!A:G,5,0)+VLOOKUP('תפוקה מצטברת מול אשתקד'!A35,מור!A:G,5,0)+VLOOKUP('תפוקה מצטברת מול אשתקד'!A35,'אלטשולר שחם'!A:G,5,0)+VLOOKUP('תפוקה מצטברת מול אשתקד'!A35,'מדיהו '!A:G,5,0)+VLOOKUP('תפוקה מצטברת מול אשתקד'!A35,'אנליסט '!A:G,5,0)+VLOOKUP('תפוקה מצטברת מול אשתקד'!A35,'מיטב דש'!A:G,5,0)+VLOOKUP('תפוקה מצטברת מול אשתקד'!A35,אינפניטי!A:G,5,0)</f>
        <v>183348.50512234421</v>
      </c>
      <c r="J35" s="58">
        <f>VLOOKUP(A35,הכשרה!A:G,6,0)+VLOOKUP('תפוקה מצטברת מול אשתקד'!A35,מגדל!A:G,6,0)+VLOOKUP('תפוקה מצטברת מול אשתקד'!A35,מנורה!A:G,6,0)+VLOOKUP('תפוקה מצטברת מול אשתקד'!A35,איילון!A:G,6,0)+VLOOKUP(A35,הראל!A:G,6,0)+VLOOKUP('תפוקה מצטברת מול אשתקד'!A35,הפניקס!A:G,6,0)+VLOOKUP('תפוקה מצטברת מול אשתקד'!A35,כלל!A:G,6,0)+VLOOKUP('תפוקה מצטברת מול אשתקד'!A35,מור!A:G,6,0)+VLOOKUP('תפוקה מצטברת מול אשתקד'!A35,'אלטשולר שחם'!A:G,6,0)+VLOOKUP('תפוקה מצטברת מול אשתקד'!A35,'מדיהו '!A:G,6,0)+VLOOKUP('תפוקה מצטברת מול אשתקד'!A35,'אנליסט '!A:G,6,0)+VLOOKUP('תפוקה מצטברת מול אשתקד'!A35,'מיטב דש'!A:G,6,0)+VLOOKUP('תפוקה מצטברת מול אשתקד'!A35,אינפניטי!A:G,6,0)</f>
        <v>1666043.93709025</v>
      </c>
      <c r="K35" s="58">
        <f>VLOOKUP(A35,הכשרה!A:G,7,0)+VLOOKUP('תפוקה מצטברת מול אשתקד'!A35,מגדל!A:G,7,0)+VLOOKUP('תפוקה מצטברת מול אשתקד'!A35,מנורה!A:G,7,0)+VLOOKUP('תפוקה מצטברת מול אשתקד'!A35,איילון!A:G,7,0)+VLOOKUP('תפוקה מצטברת מול אשתקד'!A35,הראל!A:G,7,0)+VLOOKUP('תפוקה מצטברת מול אשתקד'!A35,הפניקס!A:G,7,0)+VLOOKUP('תפוקה מצטברת מול אשתקד'!A35,כלל!A:G,7,0)+VLOOKUP('תפוקה מצטברת מול אשתקד'!A35,מור!A:G,7,0)+VLOOKUP('תפוקה מצטברת מול אשתקד'!A35,'אלטשולר שחם'!A:G,7,0)+VLOOKUP('תפוקה מצטברת מול אשתקד'!A35,'מדיהו '!A:K,7,0)+VLOOKUP(A35,'אנליסט '!A:G,7,0)+VLOOKUP('תפוקה מצטברת מול אשתקד'!A35,'מיטב דש'!A:G,7,0)+VLOOKUP('תפוקה מצטברת מול אשתקד'!A35,אינפניטי!A:G,7,0)</f>
        <v>2800548.81</v>
      </c>
      <c r="L35" s="12">
        <f>VLOOKUP(A35,הכשרה!A:K,8,0)+VLOOKUP('תפוקה מצטברת מול אשתקד'!A35,מגדל!A:K,8,0)+VLOOKUP('תפוקה מצטברת מול אשתקד'!A35,מנורה!A:K,8,0)+VLOOKUP('תפוקה מצטברת מול אשתקד'!A35,איילון!A:K,8,0)+VLOOKUP('תפוקה מצטברת מול אשתקד'!A35,הראל!A:K,8,0)+VLOOKUP('תפוקה מצטברת מול אשתקד'!A35,הפניקס!A:K,8,0)+VLOOKUP('תפוקה מצטברת מול אשתקד'!A35,כלל!A:K,8,0)+VLOOKUP('תפוקה מצטברת מול אשתקד'!A35,מור!A:K,8,0)+VLOOKUP('תפוקה מצטברת מול אשתקד'!A35,'אלטשולר שחם'!A:K,8,0)+VLOOKUP('תפוקה מצטברת מול אשתקד'!A35,'מדיהו '!A:K,8,0)+VLOOKUP('תפוקה מצטברת מול אשתקד'!A35,'אנליסט '!A:K,8,0)+VLOOKUP('תפוקה מצטברת מול אשתקד'!A35,'מיטב דש'!A:K,8,0)+VLOOKUP('תפוקה מצטברת מול אשתקד'!A35,אינפניטי!A:K,8,0)</f>
        <v>1112633.5965113088</v>
      </c>
      <c r="M35" s="12">
        <f>VLOOKUP(A35,הכשרה!A:K,9,0)+VLOOKUP('תפוקה מצטברת מול אשתקד'!A35,מגדל!A:K,9,0)+VLOOKUP('תפוקה מצטברת מול אשתקד'!A35,מנורה!A:K,9,0)+VLOOKUP('תפוקה מצטברת מול אשתקד'!A35,איילון!A:K,9,0)+VLOOKUP('תפוקה מצטברת מול אשתקד'!A35,הראל!A:K,9,0)+VLOOKUP('תפוקה מצטברת מול אשתקד'!A35,הפניקס!A:K,9,0)+VLOOKUP('תפוקה מצטברת מול אשתקד'!A35,כלל!A:K,9,0)+VLOOKUP('תפוקה מצטברת מול אשתקד'!A35,מור!A:K,9,0)+VLOOKUP('תפוקה מצטברת מול אשתקד'!A35,'אלטשולר שחם'!A:K,9,0)+VLOOKUP('תפוקה מצטברת מול אשתקד'!A35,'מדיהו '!A:K,9,0)+VLOOKUP('תפוקה מצטברת מול אשתקד'!A35,'אנליסט '!A:K,9,0)+VLOOKUP('תפוקה מצטברת מול אשתקד'!A35,'מיטב דש'!A:K,9,0)+VLOOKUP('תפוקה מצטברת מול אשתקד'!A35,אינפניטי!A:K,9,0)</f>
        <v>270588.35067883413</v>
      </c>
      <c r="N35" s="12">
        <f>VLOOKUP(A35,הכשרה!A:K,10,0)+VLOOKUP('תפוקה מצטברת מול אשתקד'!A35,מגדל!A:K,10,0)+VLOOKUP('תפוקה מצטברת מול אשתקד'!A35,מנורה!A:K,10,0)+VLOOKUP('תפוקה מצטברת מול אשתקד'!A35,איילון!A:K,10,0)+VLOOKUP('תפוקה מצטברת מול אשתקד'!A35,הראל!A:K,10,0)+VLOOKUP('תפוקה מצטברת מול אשתקד'!A35,הפניקס!A:K,10,0)+VLOOKUP('תפוקה מצטברת מול אשתקד'!A35,כלל!A:K,10,0)+VLOOKUP('תפוקה מצטברת מול אשתקד'!A35,מור!A:K,10,0)+VLOOKUP('תפוקה מצטברת מול אשתקד'!A35,'אלטשולר שחם'!A:K,10,0)+VLOOKUP('תפוקה מצטברת מול אשתקד'!A35,'מדיהו '!A:K,10,0)+VLOOKUP('תפוקה מצטברת מול אשתקד'!A35,'אנליסט '!A:K,10,0)+VLOOKUP('תפוקה מצטברת מול אשתקד'!A35,'מיטב דש'!A:K,10,0)+VLOOKUP('תפוקה מצטברת מול אשתקד'!A35,אינפניטי!A:K,10,0)</f>
        <v>5210559.7420433657</v>
      </c>
      <c r="O35" s="12">
        <f>VLOOKUP(A35,הכשרה!A:K,11,0)+VLOOKUP('תפוקה מצטברת מול אשתקד'!A35,מגדל!A:K,11,0)+VLOOKUP('תפוקה מצטברת מול אשתקד'!A35,מנורה!A:K,11,0)+VLOOKUP('תפוקה מצטברת מול אשתקד'!A35,איילון!A:K,11,0)+VLOOKUP('תפוקה מצטברת מול אשתקד'!A35,הראל!A:K,11,0)+VLOOKUP('תפוקה מצטברת מול אשתקד'!A35,הפניקס!A:K,11,0)+VLOOKUP('תפוקה מצטברת מול אשתקד'!A35,כלל!A:K,11,0)+VLOOKUP('תפוקה מצטברת מול אשתקד'!A35,מור!A:K,11,0)+VLOOKUP('תפוקה מצטברת מול אשתקד'!A35,'אלטשולר שחם'!A:K,11,0)+VLOOKUP('תפוקה מצטברת מול אשתקד'!A35,'מדיהו '!A:K,11,0)+VLOOKUP('תפוקה מצטברת מול אשתקד'!A35,'אנליסט '!A:K,11,0)+VLOOKUP('תפוקה מצטברת מול אשתקד'!A35,'מיטב דש'!A:K,11,0)+VLOOKUP('תפוקה מצטברת מול אשתקד'!A35,אינפניטי!A:K,11,0)</f>
        <v>10671876.100000003</v>
      </c>
    </row>
    <row r="36" spans="1:15" ht="15.75" customHeight="1" x14ac:dyDescent="0.25">
      <c r="A36" s="26" t="s">
        <v>26</v>
      </c>
      <c r="B36" s="26" t="s">
        <v>56</v>
      </c>
      <c r="C36" s="27" t="s">
        <v>107</v>
      </c>
      <c r="D36" s="19">
        <f t="shared" si="0"/>
        <v>0</v>
      </c>
      <c r="E36" s="19">
        <f t="shared" si="0"/>
        <v>0</v>
      </c>
      <c r="F36" s="19">
        <f t="shared" si="0"/>
        <v>0</v>
      </c>
      <c r="G36" s="19">
        <f t="shared" si="7"/>
        <v>0</v>
      </c>
      <c r="H36" s="58">
        <f>VLOOKUP(A36,הכשרה!A:G,4,0)+VLOOKUP('תפוקה מצטברת מול אשתקד'!A36,מגדל!A:G,4,0)+VLOOKUP('תפוקה מצטברת מול אשתקד'!A36,מנורה!A:G,4,0)+VLOOKUP('תפוקה מצטברת מול אשתקד'!A36,איילון!A:G,4,0)+VLOOKUP('תפוקה מצטברת מול אשתקד'!A36,הראל!A:G,4,0)+VLOOKUP('תפוקה מצטברת מול אשתקד'!A36,הפניקס!A:G,4,0)+VLOOKUP('תפוקה מצטברת מול אשתקד'!A36,כלל!A:G,4,0)+VLOOKUP('תפוקה מצטברת מול אשתקד'!A36,מור!A:G,4,0)+VLOOKUP('תפוקה מצטברת מול אשתקד'!A36,'אלטשולר שחם'!A:G,4,0)+VLOOKUP('תפוקה מצטברת מול אשתקד'!A36,'מדיהו '!A:G,4,0)+VLOOKUP('תפוקה מצטברת מול אשתקד'!A36,'אנליסט '!A:G,4,0)+VLOOKUP('תפוקה מצטברת מול אשתקד'!A36,'מיטב דש'!A:G,4,0)+VLOOKUP('תפוקה מצטברת מול אשתקד'!A36,אינפניטי!A:G,4,0)</f>
        <v>0</v>
      </c>
      <c r="I36" s="58">
        <f>VLOOKUP(A36,הכשרה!A:G,5,0)+VLOOKUP('תפוקה מצטברת מול אשתקד'!A36,מגדל!A:G,5,0)+VLOOKUP('תפוקה מצטברת מול אשתקד'!A36,מנורה!A:G,5,0)+VLOOKUP('תפוקה מצטברת מול אשתקד'!A36,איילון!A:G,5,0)+VLOOKUP('תפוקה מצטברת מול אשתקד'!A36,הראל!A:G,5,0)+VLOOKUP('תפוקה מצטברת מול אשתקד'!A36,הפניקס!A:G,5,0)+VLOOKUP('תפוקה מצטברת מול אשתקד'!A36,כלל!A:G,5,0)+VLOOKUP('תפוקה מצטברת מול אשתקד'!A36,מור!A:G,5,0)+VLOOKUP('תפוקה מצטברת מול אשתקד'!A36,'אלטשולר שחם'!A:G,5,0)+VLOOKUP('תפוקה מצטברת מול אשתקד'!A36,'מדיהו '!A:G,5,0)+VLOOKUP('תפוקה מצטברת מול אשתקד'!A36,'אנליסט '!A:G,5,0)+VLOOKUP('תפוקה מצטברת מול אשתקד'!A36,'מיטב דש'!A:G,5,0)+VLOOKUP('תפוקה מצטברת מול אשתקד'!A36,אינפניטי!A:G,5,0)</f>
        <v>0</v>
      </c>
      <c r="J36" s="58">
        <f>VLOOKUP(A36,הכשרה!A:G,6,0)+VLOOKUP('תפוקה מצטברת מול אשתקד'!A36,מגדל!A:G,6,0)+VLOOKUP('תפוקה מצטברת מול אשתקד'!A36,מנורה!A:G,6,0)+VLOOKUP('תפוקה מצטברת מול אשתקד'!A36,איילון!A:G,6,0)+VLOOKUP(A36,הראל!A:G,6,0)+VLOOKUP('תפוקה מצטברת מול אשתקד'!A36,הפניקס!A:G,6,0)+VLOOKUP('תפוקה מצטברת מול אשתקד'!A36,כלל!A:G,6,0)+VLOOKUP('תפוקה מצטברת מול אשתקד'!A36,מור!A:G,6,0)+VLOOKUP('תפוקה מצטברת מול אשתקד'!A36,'אלטשולר שחם'!A:G,6,0)+VLOOKUP('תפוקה מצטברת מול אשתקד'!A36,'מדיהו '!A:G,6,0)+VLOOKUP('תפוקה מצטברת מול אשתקד'!A36,'אנליסט '!A:G,6,0)+VLOOKUP('תפוקה מצטברת מול אשתקד'!A36,'מיטב דש'!A:G,6,0)+VLOOKUP('תפוקה מצטברת מול אשתקד'!A36,אינפניטי!A:G,6,0)</f>
        <v>0</v>
      </c>
      <c r="K36" s="58">
        <f>VLOOKUP(A36,הכשרה!A:G,7,0)+VLOOKUP('תפוקה מצטברת מול אשתקד'!A36,מגדל!A:G,7,0)+VLOOKUP('תפוקה מצטברת מול אשתקד'!A36,מנורה!A:G,7,0)+VLOOKUP('תפוקה מצטברת מול אשתקד'!A36,איילון!A:G,7,0)+VLOOKUP('תפוקה מצטברת מול אשתקד'!A36,הראל!A:G,7,0)+VLOOKUP('תפוקה מצטברת מול אשתקד'!A36,הפניקס!A:G,7,0)+VLOOKUP('תפוקה מצטברת מול אשתקד'!A36,כלל!A:G,7,0)+VLOOKUP('תפוקה מצטברת מול אשתקד'!A36,מור!A:G,7,0)+VLOOKUP('תפוקה מצטברת מול אשתקד'!A36,'אלטשולר שחם'!A:G,7,0)+VLOOKUP('תפוקה מצטברת מול אשתקד'!A36,'מדיהו '!A:K,7,0)+VLOOKUP(A36,'אנליסט '!A:G,7,0)+VLOOKUP('תפוקה מצטברת מול אשתקד'!A36,'מיטב דש'!A:G,7,0)+VLOOKUP('תפוקה מצטברת מול אשתקד'!A36,אינפניטי!A:G,7,0)</f>
        <v>0</v>
      </c>
      <c r="L36" s="12">
        <f>VLOOKUP(A36,הכשרה!A:K,8,0)+VLOOKUP('תפוקה מצטברת מול אשתקד'!A36,מגדל!A:K,8,0)+VLOOKUP('תפוקה מצטברת מול אשתקד'!A36,מנורה!A:K,8,0)+VLOOKUP('תפוקה מצטברת מול אשתקד'!A36,איילון!A:K,8,0)+VLOOKUP('תפוקה מצטברת מול אשתקד'!A36,הראל!A:K,8,0)+VLOOKUP('תפוקה מצטברת מול אשתקד'!A36,הפניקס!A:K,8,0)+VLOOKUP('תפוקה מצטברת מול אשתקד'!A36,כלל!A:K,8,0)+VLOOKUP('תפוקה מצטברת מול אשתקד'!A36,מור!A:K,8,0)+VLOOKUP('תפוקה מצטברת מול אשתקד'!A36,'אלטשולר שחם'!A:K,8,0)+VLOOKUP('תפוקה מצטברת מול אשתקד'!A36,'מדיהו '!A:K,8,0)+VLOOKUP('תפוקה מצטברת מול אשתקד'!A36,'אנליסט '!A:K,8,0)+VLOOKUP('תפוקה מצטברת מול אשתקד'!A36,'מיטב דש'!A:K,8,0)+VLOOKUP('תפוקה מצטברת מול אשתקד'!A36,אינפניטי!A:K,8,0)</f>
        <v>5374.1600000000008</v>
      </c>
      <c r="M36" s="12">
        <f>VLOOKUP(A36,הכשרה!A:K,9,0)+VLOOKUP('תפוקה מצטברת מול אשתקד'!A36,מגדל!A:K,9,0)+VLOOKUP('תפוקה מצטברת מול אשתקד'!A36,מנורה!A:K,9,0)+VLOOKUP('תפוקה מצטברת מול אשתקד'!A36,איילון!A:K,9,0)+VLOOKUP('תפוקה מצטברת מול אשתקד'!A36,הראל!A:K,9,0)+VLOOKUP('תפוקה מצטברת מול אשתקד'!A36,הפניקס!A:K,9,0)+VLOOKUP('תפוקה מצטברת מול אשתקד'!A36,כלל!A:K,9,0)+VLOOKUP('תפוקה מצטברת מול אשתקד'!A36,מור!A:K,9,0)+VLOOKUP('תפוקה מצטברת מול אשתקד'!A36,'אלטשולר שחם'!A:K,9,0)+VLOOKUP('תפוקה מצטברת מול אשתקד'!A36,'מדיהו '!A:K,9,0)+VLOOKUP('תפוקה מצטברת מול אשתקד'!A36,'אנליסט '!A:K,9,0)+VLOOKUP('תפוקה מצטברת מול אשתקד'!A36,'מיטב דש'!A:K,9,0)+VLOOKUP('תפוקה מצטברת מול אשתקד'!A36,אינפניטי!A:K,9,0)</f>
        <v>2882.47</v>
      </c>
      <c r="N36" s="12">
        <f>VLOOKUP(A36,הכשרה!A:K,10,0)+VLOOKUP('תפוקה מצטברת מול אשתקד'!A36,מגדל!A:K,10,0)+VLOOKUP('תפוקה מצטברת מול אשתקד'!A36,מנורה!A:K,10,0)+VLOOKUP('תפוקה מצטברת מול אשתקד'!A36,איילון!A:K,10,0)+VLOOKUP('תפוקה מצטברת מול אשתקד'!A36,הראל!A:K,10,0)+VLOOKUP('תפוקה מצטברת מול אשתקד'!A36,הפניקס!A:K,10,0)+VLOOKUP('תפוקה מצטברת מול אשתקד'!A36,כלל!A:K,10,0)+VLOOKUP('תפוקה מצטברת מול אשתקד'!A36,מור!A:K,10,0)+VLOOKUP('תפוקה מצטברת מול אשתקד'!A36,'אלטשולר שחם'!A:K,10,0)+VLOOKUP('תפוקה מצטברת מול אשתקד'!A36,'מדיהו '!A:K,10,0)+VLOOKUP('תפוקה מצטברת מול אשתקד'!A36,'אנליסט '!A:K,10,0)+VLOOKUP('תפוקה מצטברת מול אשתקד'!A36,'מיטב דש'!A:K,10,0)+VLOOKUP('תפוקה מצטברת מול אשתקד'!A36,אינפניטי!A:K,10,0)</f>
        <v>0</v>
      </c>
      <c r="O36" s="12">
        <f>VLOOKUP(A36,הכשרה!A:K,11,0)+VLOOKUP('תפוקה מצטברת מול אשתקד'!A36,מגדל!A:K,11,0)+VLOOKUP('תפוקה מצטברת מול אשתקד'!A36,מנורה!A:K,11,0)+VLOOKUP('תפוקה מצטברת מול אשתקד'!A36,איילון!A:K,11,0)+VLOOKUP('תפוקה מצטברת מול אשתקד'!A36,הראל!A:K,11,0)+VLOOKUP('תפוקה מצטברת מול אשתקד'!A36,הפניקס!A:K,11,0)+VLOOKUP('תפוקה מצטברת מול אשתקד'!A36,כלל!A:K,11,0)+VLOOKUP('תפוקה מצטברת מול אשתקד'!A36,מור!A:K,11,0)+VLOOKUP('תפוקה מצטברת מול אשתקד'!A36,'אלטשולר שחם'!A:K,11,0)+VLOOKUP('תפוקה מצטברת מול אשתקד'!A36,'מדיהו '!A:K,11,0)+VLOOKUP('תפוקה מצטברת מול אשתקד'!A36,'אנליסט '!A:K,11,0)+VLOOKUP('תפוקה מצטברת מול אשתקד'!A36,'מיטב דש'!A:K,11,0)+VLOOKUP('תפוקה מצטברת מול אשתקד'!A36,אינפניטי!A:K,11,0)</f>
        <v>0</v>
      </c>
    </row>
    <row r="37" spans="1:15" ht="15.75" customHeight="1" x14ac:dyDescent="0.25">
      <c r="A37" s="26" t="s">
        <v>27</v>
      </c>
      <c r="B37" s="26" t="s">
        <v>56</v>
      </c>
      <c r="C37" s="27" t="s">
        <v>107</v>
      </c>
      <c r="D37" s="19">
        <f t="shared" si="0"/>
        <v>0.23283938282176986</v>
      </c>
      <c r="E37" s="19">
        <f t="shared" si="0"/>
        <v>-0.36785841200757619</v>
      </c>
      <c r="F37" s="19">
        <f t="shared" si="0"/>
        <v>1</v>
      </c>
      <c r="G37" s="19">
        <f t="shared" si="7"/>
        <v>-23.804663757463363</v>
      </c>
      <c r="H37" s="58">
        <f>VLOOKUP(A37,הכשרה!A:G,4,0)+VLOOKUP('תפוקה מצטברת מול אשתקד'!A37,מגדל!A:G,4,0)+VLOOKUP('תפוקה מצטברת מול אשתקד'!A37,מנורה!A:G,4,0)+VLOOKUP('תפוקה מצטברת מול אשתקד'!A37,איילון!A:G,4,0)+VLOOKUP('תפוקה מצטברת מול אשתקד'!A37,הראל!A:G,4,0)+VLOOKUP('תפוקה מצטברת מול אשתקד'!A37,הפניקס!A:G,4,0)+VLOOKUP('תפוקה מצטברת מול אשתקד'!A37,כלל!A:G,4,0)+VLOOKUP('תפוקה מצטברת מול אשתקד'!A37,מור!A:G,4,0)+VLOOKUP('תפוקה מצטברת מול אשתקד'!A37,'אלטשולר שחם'!A:G,4,0)+VLOOKUP('תפוקה מצטברת מול אשתקד'!A37,'מדיהו '!A:G,4,0)+VLOOKUP('תפוקה מצטברת מול אשתקד'!A37,'אנליסט '!A:G,4,0)+VLOOKUP('תפוקה מצטברת מול אשתקד'!A37,'מיטב דש'!A:G,4,0)+VLOOKUP('תפוקה מצטברת מול אשתקד'!A37,אינפניטי!A:G,4,0)</f>
        <v>44755.199999999997</v>
      </c>
      <c r="I37" s="58">
        <f>VLOOKUP(A37,הכשרה!A:G,5,0)+VLOOKUP('תפוקה מצטברת מול אשתקד'!A37,מגדל!A:G,5,0)+VLOOKUP('תפוקה מצטברת מול אשתקד'!A37,מנורה!A:G,5,0)+VLOOKUP('תפוקה מצטברת מול אשתקד'!A37,איילון!A:G,5,0)+VLOOKUP('תפוקה מצטברת מול אשתקד'!A37,הראל!A:G,5,0)+VLOOKUP('תפוקה מצטברת מול אשתקד'!A37,הפניקס!A:G,5,0)+VLOOKUP('תפוקה מצטברת מול אשתקד'!A37,כלל!A:G,5,0)+VLOOKUP('תפוקה מצטברת מול אשתקד'!A37,מור!A:G,5,0)+VLOOKUP('תפוקה מצטברת מול אשתקד'!A37,'אלטשולר שחם'!A:G,5,0)+VLOOKUP('תפוקה מצטברת מול אשתקד'!A37,'מדיהו '!A:G,5,0)+VLOOKUP('תפוקה מצטברת מול אשתקד'!A37,'אנליסט '!A:G,5,0)+VLOOKUP('תפוקה מצטברת מול אשתקד'!A37,'מיטב דש'!A:G,5,0)+VLOOKUP('תפוקה מצטברת מול אשתקד'!A37,אינפניטי!A:G,5,0)</f>
        <v>-3451</v>
      </c>
      <c r="J37" s="58">
        <f>VLOOKUP(A37,הכשרה!A:G,6,0)+VLOOKUP('תפוקה מצטברת מול אשתקד'!A37,מגדל!A:G,6,0)+VLOOKUP('תפוקה מצטברת מול אשתקד'!A37,מנורה!A:G,6,0)+VLOOKUP('תפוקה מצטברת מול אשתקד'!A37,איילון!A:G,6,0)+VLOOKUP(A37,הראל!A:G,6,0)+VLOOKUP('תפוקה מצטברת מול אשתקד'!A37,הפניקס!A:G,6,0)+VLOOKUP('תפוקה מצטברת מול אשתקד'!A37,כלל!A:G,6,0)+VLOOKUP('תפוקה מצטברת מול אשתקד'!A37,מור!A:G,6,0)+VLOOKUP('תפוקה מצטברת מול אשתקד'!A37,'אלטשולר שחם'!A:G,6,0)+VLOOKUP('תפוקה מצטברת מול אשתקד'!A37,'מדיהו '!A:G,6,0)+VLOOKUP('תפוקה מצטברת מול אשתקד'!A37,'אנליסט '!A:G,6,0)+VLOOKUP('תפוקה מצטברת מול אשתקד'!A37,'מיטב דש'!A:G,6,0)+VLOOKUP('תפוקה מצטברת מול אשתקד'!A37,אינפניטי!A:G,6,0)</f>
        <v>22102.44</v>
      </c>
      <c r="K37" s="58">
        <f>VLOOKUP(A37,הכשרה!A:G,7,0)+VLOOKUP('תפוקה מצטברת מול אשתקד'!A37,מגדל!A:G,7,0)+VLOOKUP('תפוקה מצטברת מול אשתקד'!A37,מנורה!A:G,7,0)+VLOOKUP('תפוקה מצטברת מול אשתקד'!A37,איילון!A:G,7,0)+VLOOKUP('תפוקה מצטברת מול אשתקד'!A37,הראל!A:G,7,0)+VLOOKUP('תפוקה מצטברת מול אשתקד'!A37,הפניקס!A:G,7,0)+VLOOKUP('תפוקה מצטברת מול אשתקד'!A37,כלל!A:G,7,0)+VLOOKUP('תפוקה מצטברת מול אשתקד'!A37,מור!A:G,7,0)+VLOOKUP('תפוקה מצטברת מול אשתקד'!A37,'אלטשולר שחם'!A:G,7,0)+VLOOKUP('תפוקה מצטברת מול אשתקד'!A37,'מדיהו '!A:K,7,0)+VLOOKUP(A37,'אנליסט '!A:G,7,0)+VLOOKUP('תפוקה מצטברת מול אשתקד'!A37,'מיטב דש'!A:G,7,0)+VLOOKUP('תפוקה מצטברת מול אשתקד'!A37,אינפניטי!A:G,7,0)</f>
        <v>-580576.23</v>
      </c>
      <c r="L37" s="12">
        <f>VLOOKUP(A37,הכשרה!A:K,8,0)+VLOOKUP('תפוקה מצטברת מול אשתקד'!A37,מגדל!A:K,8,0)+VLOOKUP('תפוקה מצטברת מול אשתקד'!A37,מנורה!A:K,8,0)+VLOOKUP('תפוקה מצטברת מול אשתקד'!A37,איילון!A:K,8,0)+VLOOKUP('תפוקה מצטברת מול אשתקד'!A37,הראל!A:K,8,0)+VLOOKUP('תפוקה מצטברת מול אשתקד'!A37,הפניקס!A:K,8,0)+VLOOKUP('תפוקה מצטברת מול אשתקד'!A37,כלל!A:K,8,0)+VLOOKUP('תפוקה מצטברת מול אשתקד'!A37,מור!A:K,8,0)+VLOOKUP('תפוקה מצטברת מול אשתקד'!A37,'אלטשולר שחם'!A:K,8,0)+VLOOKUP('תפוקה מצטברת מול אשתקד'!A37,'מדיהו '!A:K,8,0)+VLOOKUP('תפוקה מצטברת מול אשתקד'!A37,'אנליסט '!A:K,8,0)+VLOOKUP('תפוקה מצטברת מול אשתקד'!A37,'מיטב דש'!A:K,8,0)+VLOOKUP('תפוקה מצטברת מול אשתקד'!A37,אינפניטי!A:K,8,0)</f>
        <v>36302.539182</v>
      </c>
      <c r="M37" s="12">
        <f>VLOOKUP(A37,הכשרה!A:K,9,0)+VLOOKUP('תפוקה מצטברת מול אשתקד'!A37,מגדל!A:K,9,0)+VLOOKUP('תפוקה מצטברת מול אשתקד'!A37,מנורה!A:K,9,0)+VLOOKUP('תפוקה מצטברת מול אשתקד'!A37,איילון!A:K,9,0)+VLOOKUP('תפוקה מצטברת מול אשתקד'!A37,הראל!A:K,9,0)+VLOOKUP('תפוקה מצטברת מול אשתקד'!A37,הפניקס!A:K,9,0)+VLOOKUP('תפוקה מצטברת מול אשתקד'!A37,כלל!A:K,9,0)+VLOOKUP('תפוקה מצטברת מול אשתקד'!A37,מור!A:K,9,0)+VLOOKUP('תפוקה מצטברת מול אשתקד'!A37,'אלטשולר שחם'!A:K,9,0)+VLOOKUP('תפוקה מצטברת מול אשתקד'!A37,'מדיהו '!A:K,9,0)+VLOOKUP('תפוקה מצטברת מול אשתקד'!A37,'אנליסט '!A:K,9,0)+VLOOKUP('תפוקה מצטברת מול אשתקד'!A37,'מיטב דש'!A:K,9,0)+VLOOKUP('תפוקה מצטברת מול אשתקד'!A37,אינפניטי!A:K,9,0)</f>
        <v>-5459.22</v>
      </c>
      <c r="N37" s="12">
        <f>VLOOKUP(A37,הכשרה!A:K,10,0)+VLOOKUP('תפוקה מצטברת מול אשתקד'!A37,מגדל!A:K,10,0)+VLOOKUP('תפוקה מצטברת מול אשתקד'!A37,מנורה!A:K,10,0)+VLOOKUP('תפוקה מצטברת מול אשתקד'!A37,איילון!A:K,10,0)+VLOOKUP('תפוקה מצטברת מול אשתקד'!A37,הראל!A:K,10,0)+VLOOKUP('תפוקה מצטברת מול אשתקד'!A37,הפניקס!A:K,10,0)+VLOOKUP('תפוקה מצטברת מול אשתקד'!A37,כלל!A:K,10,0)+VLOOKUP('תפוקה מצטברת מול אשתקד'!A37,מור!A:K,10,0)+VLOOKUP('תפוקה מצטברת מול אשתקד'!A37,'אלטשולר שחם'!A:K,10,0)+VLOOKUP('תפוקה מצטברת מול אשתקד'!A37,'מדיהו '!A:K,10,0)+VLOOKUP('תפוקה מצטברת מול אשתקד'!A37,'אנליסט '!A:K,10,0)+VLOOKUP('תפוקה מצטברת מול אשתקד'!A37,'מיטב דש'!A:K,10,0)+VLOOKUP('תפוקה מצטברת מול אשתקד'!A37,אינפניטי!A:K,10,0)</f>
        <v>0</v>
      </c>
      <c r="O37" s="12">
        <f>VLOOKUP(A37,הכשרה!A:K,11,0)+VLOOKUP('תפוקה מצטברת מול אשתקד'!A37,מגדל!A:K,11,0)+VLOOKUP('תפוקה מצטברת מול אשתקד'!A37,מנורה!A:K,11,0)+VLOOKUP('תפוקה מצטברת מול אשתקד'!A37,איילון!A:K,11,0)+VLOOKUP('תפוקה מצטברת מול אשתקד'!A37,הראל!A:K,11,0)+VLOOKUP('תפוקה מצטברת מול אשתקד'!A37,הפניקס!A:K,11,0)+VLOOKUP('תפוקה מצטברת מול אשתקד'!A37,כלל!A:K,11,0)+VLOOKUP('תפוקה מצטברת מול אשתקד'!A37,מור!A:K,11,0)+VLOOKUP('תפוקה מצטברת מול אשתקד'!A37,'אלטשולר שחם'!A:K,11,0)+VLOOKUP('תפוקה מצטברת מול אשתקד'!A37,'מדיהו '!A:K,11,0)+VLOOKUP('תפוקה מצטברת מול אשתקד'!A37,'אנליסט '!A:K,11,0)+VLOOKUP('תפוקה מצטברת מול אשתקד'!A37,'מיטב דש'!A:K,11,0)+VLOOKUP('תפוקה מצטברת מול אשתקד'!A37,אינפניטי!A:K,11,0)</f>
        <v>25458.662147999999</v>
      </c>
    </row>
    <row r="38" spans="1:15" ht="15.75" customHeight="1" x14ac:dyDescent="0.25">
      <c r="A38" s="26" t="s">
        <v>28</v>
      </c>
      <c r="B38" s="26" t="s">
        <v>56</v>
      </c>
      <c r="C38" s="27" t="s">
        <v>107</v>
      </c>
      <c r="D38" s="19">
        <f t="shared" si="0"/>
        <v>-2.4535396293922584</v>
      </c>
      <c r="E38" s="19">
        <f t="shared" si="0"/>
        <v>0</v>
      </c>
      <c r="F38" s="19">
        <f t="shared" si="0"/>
        <v>0</v>
      </c>
      <c r="G38" s="19">
        <f t="shared" si="7"/>
        <v>0</v>
      </c>
      <c r="H38" s="58">
        <f>VLOOKUP(A38,הכשרה!A:G,4,0)+VLOOKUP('תפוקה מצטברת מול אשתקד'!A38,מגדל!A:G,4,0)+VLOOKUP('תפוקה מצטברת מול אשתקד'!A38,מנורה!A:G,4,0)+VLOOKUP('תפוקה מצטברת מול אשתקד'!A38,איילון!A:G,4,0)+VLOOKUP('תפוקה מצטברת מול אשתקד'!A38,הראל!A:G,4,0)+VLOOKUP('תפוקה מצטברת מול אשתקד'!A38,הפניקס!A:G,4,0)+VLOOKUP('תפוקה מצטברת מול אשתקד'!A38,כלל!A:G,4,0)+VLOOKUP('תפוקה מצטברת מול אשתקד'!A38,מור!A:G,4,0)+VLOOKUP('תפוקה מצטברת מול אשתקד'!A38,'אלטשולר שחם'!A:G,4,0)+VLOOKUP('תפוקה מצטברת מול אשתקד'!A38,'מדיהו '!A:G,4,0)+VLOOKUP('תפוקה מצטברת מול אשתקד'!A38,'אנליסט '!A:G,4,0)+VLOOKUP('תפוקה מצטברת מול אשתקד'!A38,'מיטב דש'!A:G,4,0)+VLOOKUP('תפוקה מצטברת מול אשתקד'!A38,אינפניטי!A:G,4,0)</f>
        <v>37915.581688366226</v>
      </c>
      <c r="I38" s="58">
        <f>VLOOKUP(A38,הכשרה!A:G,5,0)+VLOOKUP('תפוקה מצטברת מול אשתקד'!A38,מגדל!A:G,5,0)+VLOOKUP('תפוקה מצטברת מול אשתקד'!A38,מנורה!A:G,5,0)+VLOOKUP('תפוקה מצטברת מול אשתקד'!A38,איילון!A:G,5,0)+VLOOKUP('תפוקה מצטברת מול אשתקד'!A38,הראל!A:G,5,0)+VLOOKUP('תפוקה מצטברת מול אשתקד'!A38,הפניקס!A:G,5,0)+VLOOKUP('תפוקה מצטברת מול אשתקד'!A38,כלל!A:G,5,0)+VLOOKUP('תפוקה מצטברת מול אשתקד'!A38,מור!A:G,5,0)+VLOOKUP('תפוקה מצטברת מול אשתקד'!A38,'אלטשולר שחם'!A:G,5,0)+VLOOKUP('תפוקה מצטברת מול אשתקד'!A38,'מדיהו '!A:G,5,0)+VLOOKUP('תפוקה מצטברת מול אשתקד'!A38,'אנליסט '!A:G,5,0)+VLOOKUP('תפוקה מצטברת מול אשתקד'!A38,'מיטב דש'!A:G,5,0)+VLOOKUP('תפוקה מצטברת מול אשתקד'!A38,אינפניטי!A:G,5,0)</f>
        <v>0</v>
      </c>
      <c r="J38" s="58">
        <f>VLOOKUP(A38,הכשרה!A:G,6,0)+VLOOKUP('תפוקה מצטברת מול אשתקד'!A38,מגדל!A:G,6,0)+VLOOKUP('תפוקה מצטברת מול אשתקד'!A38,מנורה!A:G,6,0)+VLOOKUP('תפוקה מצטברת מול אשתקד'!A38,איילון!A:G,6,0)+VLOOKUP(A38,הראל!A:G,6,0)+VLOOKUP('תפוקה מצטברת מול אשתקד'!A38,הפניקס!A:G,6,0)+VLOOKUP('תפוקה מצטברת מול אשתקד'!A38,כלל!A:G,6,0)+VLOOKUP('תפוקה מצטברת מול אשתקד'!A38,מור!A:G,6,0)+VLOOKUP('תפוקה מצטברת מול אשתקד'!A38,'אלטשולר שחם'!A:G,6,0)+VLOOKUP('תפוקה מצטברת מול אשתקד'!A38,'מדיהו '!A:G,6,0)+VLOOKUP('תפוקה מצטברת מול אשתקד'!A38,'אנליסט '!A:G,6,0)+VLOOKUP('תפוקה מצטברת מול אשתקד'!A38,'מיטב דש'!A:G,6,0)+VLOOKUP('תפוקה מצטברת מול אשתקד'!A38,אינפניטי!A:G,6,0)</f>
        <v>0</v>
      </c>
      <c r="K38" s="58">
        <f>VLOOKUP(A38,הכשרה!A:G,7,0)+VLOOKUP('תפוקה מצטברת מול אשתקד'!A38,מגדל!A:G,7,0)+VLOOKUP('תפוקה מצטברת מול אשתקד'!A38,מנורה!A:G,7,0)+VLOOKUP('תפוקה מצטברת מול אשתקד'!A38,איילון!A:G,7,0)+VLOOKUP('תפוקה מצטברת מול אשתקד'!A38,הראל!A:G,7,0)+VLOOKUP('תפוקה מצטברת מול אשתקד'!A38,הפניקס!A:G,7,0)+VLOOKUP('תפוקה מצטברת מול אשתקד'!A38,כלל!A:G,7,0)+VLOOKUP('תפוקה מצטברת מול אשתקד'!A38,מור!A:G,7,0)+VLOOKUP('תפוקה מצטברת מול אשתקד'!A38,'אלטשולר שחם'!A:G,7,0)+VLOOKUP('תפוקה מצטברת מול אשתקד'!A38,'מדיהו '!A:K,7,0)+VLOOKUP(A38,'אנליסט '!A:G,7,0)+VLOOKUP('תפוקה מצטברת מול אשתקד'!A38,'מיטב דש'!A:G,7,0)+VLOOKUP('תפוקה מצטברת מול אשתקד'!A38,אינפניטי!A:G,7,0)</f>
        <v>0</v>
      </c>
      <c r="L38" s="12">
        <f>VLOOKUP(A38,הכשרה!A:K,8,0)+VLOOKUP('תפוקה מצטברת מול אשתקד'!A38,מגדל!A:K,8,0)+VLOOKUP('תפוקה מצטברת מול אשתקד'!A38,מנורה!A:K,8,0)+VLOOKUP('תפוקה מצטברת מול אשתקד'!A38,איילון!A:K,8,0)+VLOOKUP('תפוקה מצטברת מול אשתקד'!A38,הראל!A:K,8,0)+VLOOKUP('תפוקה מצטברת מול אשתקד'!A38,הפניקס!A:K,8,0)+VLOOKUP('תפוקה מצטברת מול אשתקד'!A38,כלל!A:K,8,0)+VLOOKUP('תפוקה מצטברת מול אשתקד'!A38,מור!A:K,8,0)+VLOOKUP('תפוקה מצטברת מול אשתקד'!A38,'אלטשולר שחם'!A:K,8,0)+VLOOKUP('תפוקה מצטברת מול אשתקד'!A38,'מדיהו '!A:K,8,0)+VLOOKUP('תפוקה מצטברת מול אשתקד'!A38,'אנליסט '!A:K,8,0)+VLOOKUP('תפוקה מצטברת מול אשתקד'!A38,'מיטב דש'!A:K,8,0)+VLOOKUP('תפוקה מצטברת מול אשתקד'!A38,אינפניטי!A:K,8,0)</f>
        <v>-26085.00031348933</v>
      </c>
      <c r="M38" s="12">
        <f>VLOOKUP(A38,הכשרה!A:K,9,0)+VLOOKUP('תפוקה מצטברת מול אשתקד'!A38,מגדל!A:K,9,0)+VLOOKUP('תפוקה מצטברת מול אשתקד'!A38,מנורה!A:K,9,0)+VLOOKUP('תפוקה מצטברת מול אשתקד'!A38,איילון!A:K,9,0)+VLOOKUP('תפוקה מצטברת מול אשתקד'!A38,הראל!A:K,9,0)+VLOOKUP('תפוקה מצטברת מול אשתקד'!A38,הפניקס!A:K,9,0)+VLOOKUP('תפוקה מצטברת מול אשתקד'!A38,כלל!A:K,9,0)+VLOOKUP('תפוקה מצטברת מול אשתקד'!A38,מור!A:K,9,0)+VLOOKUP('תפוקה מצטברת מול אשתקד'!A38,'אלטשולר שחם'!A:K,9,0)+VLOOKUP('תפוקה מצטברת מול אשתקד'!A38,'מדיהו '!A:K,9,0)+VLOOKUP('תפוקה מצטברת מול אשתקד'!A38,'אנליסט '!A:K,9,0)+VLOOKUP('תפוקה מצטברת מול אשתקד'!A38,'מיטב דש'!A:K,9,0)+VLOOKUP('תפוקה מצטברת מול אשתקד'!A38,אינפניטי!A:K,9,0)</f>
        <v>0</v>
      </c>
      <c r="N38" s="12">
        <f>VLOOKUP(A38,הכשרה!A:K,10,0)+VLOOKUP('תפוקה מצטברת מול אשתקד'!A38,מגדל!A:K,10,0)+VLOOKUP('תפוקה מצטברת מול אשתקד'!A38,מנורה!A:K,10,0)+VLOOKUP('תפוקה מצטברת מול אשתקד'!A38,איילון!A:K,10,0)+VLOOKUP('תפוקה מצטברת מול אשתקד'!A38,הראל!A:K,10,0)+VLOOKUP('תפוקה מצטברת מול אשתקד'!A38,הפניקס!A:K,10,0)+VLOOKUP('תפוקה מצטברת מול אשתקד'!A38,כלל!A:K,10,0)+VLOOKUP('תפוקה מצטברת מול אשתקד'!A38,מור!A:K,10,0)+VLOOKUP('תפוקה מצטברת מול אשתקד'!A38,'אלטשולר שחם'!A:K,10,0)+VLOOKUP('תפוקה מצטברת מול אשתקד'!A38,'מדיהו '!A:K,10,0)+VLOOKUP('תפוקה מצטברת מול אשתקד'!A38,'אנליסט '!A:K,10,0)+VLOOKUP('תפוקה מצטברת מול אשתקד'!A38,'מיטב דש'!A:K,10,0)+VLOOKUP('תפוקה מצטברת מול אשתקד'!A38,אינפניטי!A:K,10,0)</f>
        <v>0</v>
      </c>
      <c r="O38" s="12">
        <f>VLOOKUP(A38,הכשרה!A:K,11,0)+VLOOKUP('תפוקה מצטברת מול אשתקד'!A38,מגדל!A:K,11,0)+VLOOKUP('תפוקה מצטברת מול אשתקד'!A38,מנורה!A:K,11,0)+VLOOKUP('תפוקה מצטברת מול אשתקד'!A38,איילון!A:K,11,0)+VLOOKUP('תפוקה מצטברת מול אשתקד'!A38,הראל!A:K,11,0)+VLOOKUP('תפוקה מצטברת מול אשתקד'!A38,הפניקס!A:K,11,0)+VLOOKUP('תפוקה מצטברת מול אשתקד'!A38,כלל!A:K,11,0)+VLOOKUP('תפוקה מצטברת מול אשתקד'!A38,מור!A:K,11,0)+VLOOKUP('תפוקה מצטברת מול אשתקד'!A38,'אלטשולר שחם'!A:K,11,0)+VLOOKUP('תפוקה מצטברת מול אשתקד'!A38,'מדיהו '!A:K,11,0)+VLOOKUP('תפוקה מצטברת מול אשתקד'!A38,'אנליסט '!A:K,11,0)+VLOOKUP('תפוקה מצטברת מול אשתקד'!A38,'מיטב דש'!A:K,11,0)+VLOOKUP('תפוקה מצטברת מול אשתקד'!A38,אינפניטי!A:K,11,0)</f>
        <v>623322.27</v>
      </c>
    </row>
    <row r="39" spans="1:15" ht="15.75" customHeight="1" x14ac:dyDescent="0.25">
      <c r="A39" s="26" t="s">
        <v>29</v>
      </c>
      <c r="B39" s="26" t="s">
        <v>56</v>
      </c>
      <c r="C39" s="27" t="s">
        <v>107</v>
      </c>
      <c r="D39" s="19">
        <f t="shared" si="0"/>
        <v>12.115072510344273</v>
      </c>
      <c r="E39" s="19">
        <f t="shared" si="0"/>
        <v>1</v>
      </c>
      <c r="F39" s="19">
        <f t="shared" si="0"/>
        <v>1</v>
      </c>
      <c r="G39" s="19">
        <f t="shared" ref="G39:G54" si="8">IF(K39=0,0%,IF(O39=H65,100%,K39/O39-1))</f>
        <v>1</v>
      </c>
      <c r="H39" s="58">
        <f>VLOOKUP(A39,הכשרה!A:G,4,0)+VLOOKUP('תפוקה מצטברת מול אשתקד'!A39,מגדל!A:G,4,0)+VLOOKUP('תפוקה מצטברת מול אשתקד'!A39,מנורה!A:G,4,0)+VLOOKUP('תפוקה מצטברת מול אשתקד'!A39,איילון!A:G,4,0)+VLOOKUP('תפוקה מצטברת מול אשתקד'!A39,הראל!A:G,4,0)+VLOOKUP('תפוקה מצטברת מול אשתקד'!A39,הפניקס!A:G,4,0)+VLOOKUP('תפוקה מצטברת מול אשתקד'!A39,כלל!A:G,4,0)+VLOOKUP('תפוקה מצטברת מול אשתקד'!A39,מור!A:G,4,0)+VLOOKUP('תפוקה מצטברת מול אשתקד'!A39,'אלטשולר שחם'!A:G,4,0)+VLOOKUP('תפוקה מצטברת מול אשתקד'!A39,'מדיהו '!A:G,4,0)+VLOOKUP('תפוקה מצטברת מול אשתקד'!A39,'אנליסט '!A:G,4,0)+VLOOKUP('תפוקה מצטברת מול אשתקד'!A39,'מיטב דש'!A:G,4,0)+VLOOKUP('תפוקה מצטברת מול אשתקד'!A39,אינפניטי!A:G,4,0)</f>
        <v>104471.52</v>
      </c>
      <c r="I39" s="58">
        <f>VLOOKUP(A39,הכשרה!A:G,5,0)+VLOOKUP('תפוקה מצטברת מול אשתקד'!A39,מגדל!A:G,5,0)+VLOOKUP('תפוקה מצטברת מול אשתקד'!A39,מנורה!A:G,5,0)+VLOOKUP('תפוקה מצטברת מול אשתקד'!A39,איילון!A:G,5,0)+VLOOKUP('תפוקה מצטברת מול אשתקד'!A39,הראל!A:G,5,0)+VLOOKUP('תפוקה מצטברת מול אשתקד'!A39,הפניקס!A:G,5,0)+VLOOKUP('תפוקה מצטברת מול אשתקד'!A39,כלל!A:G,5,0)+VLOOKUP('תפוקה מצטברת מול אשתקד'!A39,מור!A:G,5,0)+VLOOKUP('תפוקה מצטברת מול אשתקד'!A39,'אלטשולר שחם'!A:G,5,0)+VLOOKUP('תפוקה מצטברת מול אשתקד'!A39,'מדיהו '!A:G,5,0)+VLOOKUP('תפוקה מצטברת מול אשתקד'!A39,'אנליסט '!A:G,5,0)+VLOOKUP('תפוקה מצטברת מול אשתקד'!A39,'מיטב דש'!A:G,5,0)+VLOOKUP('תפוקה מצטברת מול אשתקד'!A39,אינפניטי!A:G,5,0)</f>
        <v>2614</v>
      </c>
      <c r="J39" s="58">
        <f>VLOOKUP(A39,הכשרה!A:G,6,0)+VLOOKUP('תפוקה מצטברת מול אשתקד'!A39,מגדל!A:G,6,0)+VLOOKUP('תפוקה מצטברת מול אשתקד'!A39,מנורה!A:G,6,0)+VLOOKUP('תפוקה מצטברת מול אשתקד'!A39,איילון!A:G,6,0)+VLOOKUP(A39,הראל!A:G,6,0)+VLOOKUP('תפוקה מצטברת מול אשתקד'!A39,הפניקס!A:G,6,0)+VLOOKUP('תפוקה מצטברת מול אשתקד'!A39,כלל!A:G,6,0)+VLOOKUP('תפוקה מצטברת מול אשתקד'!A39,מור!A:G,6,0)+VLOOKUP('תפוקה מצטברת מול אשתקד'!A39,'אלטשולר שחם'!A:G,6,0)+VLOOKUP('תפוקה מצטברת מול אשתקד'!A39,'מדיהו '!A:G,6,0)+VLOOKUP('תפוקה מצטברת מול אשתקד'!A39,'אנליסט '!A:G,6,0)+VLOOKUP('תפוקה מצטברת מול אשתקד'!A39,'מיטב דש'!A:G,6,0)+VLOOKUP('תפוקה מצטברת מול אשתקד'!A39,אינפניטי!A:G,6,0)</f>
        <v>238400.74</v>
      </c>
      <c r="K39" s="58">
        <f>VLOOKUP(A39,הכשרה!A:G,7,0)+VLOOKUP('תפוקה מצטברת מול אשתקד'!A39,מגדל!A:G,7,0)+VLOOKUP('תפוקה מצטברת מול אשתקד'!A39,מנורה!A:G,7,0)+VLOOKUP('תפוקה מצטברת מול אשתקד'!A39,איילון!A:G,7,0)+VLOOKUP('תפוקה מצטברת מול אשתקד'!A39,הראל!A:G,7,0)+VLOOKUP('תפוקה מצטברת מול אשתקד'!A39,הפניקס!A:G,7,0)+VLOOKUP('תפוקה מצטברת מול אשתקד'!A39,כלל!A:G,7,0)+VLOOKUP('תפוקה מצטברת מול אשתקד'!A39,מור!A:G,7,0)+VLOOKUP('תפוקה מצטברת מול אשתקד'!A39,'אלטשולר שחם'!A:G,7,0)+VLOOKUP('תפוקה מצטברת מול אשתקד'!A39,'מדיהו '!A:K,7,0)+VLOOKUP(A39,'אנליסט '!A:G,7,0)+VLOOKUP('תפוקה מצטברת מול אשתקד'!A39,'מיטב דש'!A:G,7,0)+VLOOKUP('תפוקה מצטברת מול אשתקד'!A39,אינפניטי!A:G,7,0)</f>
        <v>230013.85</v>
      </c>
      <c r="L39" s="12">
        <f>VLOOKUP(A39,הכשרה!A:K,8,0)+VLOOKUP('תפוקה מצטברת מול אשתקד'!A39,מגדל!A:K,8,0)+VLOOKUP('תפוקה מצטברת מול אשתקד'!A39,מנורה!A:K,8,0)+VLOOKUP('תפוקה מצטברת מול אשתקד'!A39,איילון!A:K,8,0)+VLOOKUP('תפוקה מצטברת מול אשתקד'!A39,הראל!A:K,8,0)+VLOOKUP('תפוקה מצטברת מול אשתקד'!A39,הפניקס!A:K,8,0)+VLOOKUP('תפוקה מצטברת מול אשתקד'!A39,כלל!A:K,8,0)+VLOOKUP('תפוקה מצטברת מול אשתקד'!A39,מור!A:K,8,0)+VLOOKUP('תפוקה מצטברת מול אשתקד'!A39,'אלטשולר שחם'!A:K,8,0)+VLOOKUP('תפוקה מצטברת מול אשתקד'!A39,'מדיהו '!A:K,8,0)+VLOOKUP('תפוקה מצטברת מול אשתקד'!A39,'אנליסט '!A:K,8,0)+VLOOKUP('תפוקה מצטברת מול אשתקד'!A39,'מיטב דש'!A:K,8,0)+VLOOKUP('תפוקה מצטברת מול אשתקד'!A39,אינפניטי!A:K,8,0)</f>
        <v>7965.76</v>
      </c>
      <c r="M39" s="12">
        <f>VLOOKUP(A39,הכשרה!A:K,9,0)+VLOOKUP('תפוקה מצטברת מול אשתקד'!A39,מגדל!A:K,9,0)+VLOOKUP('תפוקה מצטברת מול אשתקד'!A39,מנורה!A:K,9,0)+VLOOKUP('תפוקה מצטברת מול אשתקד'!A39,איילון!A:K,9,0)+VLOOKUP('תפוקה מצטברת מול אשתקד'!A39,הראל!A:K,9,0)+VLOOKUP('תפוקה מצטברת מול אשתקד'!A39,הפניקס!A:K,9,0)+VLOOKUP('תפוקה מצטברת מול אשתקד'!A39,כלל!A:K,9,0)+VLOOKUP('תפוקה מצטברת מול אשתקד'!A39,מור!A:K,9,0)+VLOOKUP('תפוקה מצטברת מול אשתקד'!A39,'אלטשולר שחם'!A:K,9,0)+VLOOKUP('תפוקה מצטברת מול אשתקד'!A39,'מדיהו '!A:K,9,0)+VLOOKUP('תפוקה מצטברת מול אשתקד'!A39,'אנליסט '!A:K,9,0)+VLOOKUP('תפוקה מצטברת מול אשתקד'!A39,'מיטב דש'!A:K,9,0)+VLOOKUP('תפוקה מצטברת מול אשתקד'!A39,אינפניטי!A:K,9,0)</f>
        <v>0</v>
      </c>
      <c r="N39" s="12">
        <f>VLOOKUP(A39,הכשרה!A:K,10,0)+VLOOKUP('תפוקה מצטברת מול אשתקד'!A39,מגדל!A:K,10,0)+VLOOKUP('תפוקה מצטברת מול אשתקד'!A39,מנורה!A:K,10,0)+VLOOKUP('תפוקה מצטברת מול אשתקד'!A39,איילון!A:K,10,0)+VLOOKUP('תפוקה מצטברת מול אשתקד'!A39,הראל!A:K,10,0)+VLOOKUP('תפוקה מצטברת מול אשתקד'!A39,הפניקס!A:K,10,0)+VLOOKUP('תפוקה מצטברת מול אשתקד'!A39,כלל!A:K,10,0)+VLOOKUP('תפוקה מצטברת מול אשתקד'!A39,מור!A:K,10,0)+VLOOKUP('תפוקה מצטברת מול אשתקד'!A39,'אלטשולר שחם'!A:K,10,0)+VLOOKUP('תפוקה מצטברת מול אשתקד'!A39,'מדיהו '!A:K,10,0)+VLOOKUP('תפוקה מצטברת מול אשתקד'!A39,'אנליסט '!A:K,10,0)+VLOOKUP('תפוקה מצטברת מול אשתקד'!A39,'מיטב דש'!A:K,10,0)+VLOOKUP('תפוקה מצטברת מול אשתקד'!A39,אינפניטי!A:K,10,0)</f>
        <v>0</v>
      </c>
      <c r="O39" s="12">
        <f>VLOOKUP(A39,הכשרה!A:K,11,0)+VLOOKUP('תפוקה מצטברת מול אשתקד'!A39,מגדל!A:K,11,0)+VLOOKUP('תפוקה מצטברת מול אשתקד'!A39,מנורה!A:K,11,0)+VLOOKUP('תפוקה מצטברת מול אשתקד'!A39,איילון!A:K,11,0)+VLOOKUP('תפוקה מצטברת מול אשתקד'!A39,הראל!A:K,11,0)+VLOOKUP('תפוקה מצטברת מול אשתקד'!A39,הפניקס!A:K,11,0)+VLOOKUP('תפוקה מצטברת מול אשתקד'!A39,כלל!A:K,11,0)+VLOOKUP('תפוקה מצטברת מול אשתקד'!A39,מור!A:K,11,0)+VLOOKUP('תפוקה מצטברת מול אשתקד'!A39,'אלטשולר שחם'!A:K,11,0)+VLOOKUP('תפוקה מצטברת מול אשתקד'!A39,'מדיהו '!A:K,11,0)+VLOOKUP('תפוקה מצטברת מול אשתקד'!A39,'אנליסט '!A:K,11,0)+VLOOKUP('תפוקה מצטברת מול אשתקד'!A39,'מיטב דש'!A:K,11,0)+VLOOKUP('תפוקה מצטברת מול אשתקד'!A39,אינפניטי!A:K,11,0)</f>
        <v>0</v>
      </c>
    </row>
    <row r="40" spans="1:15" ht="15.75" customHeight="1" x14ac:dyDescent="0.25">
      <c r="A40" s="30" t="s">
        <v>95</v>
      </c>
      <c r="B40" s="26" t="s">
        <v>56</v>
      </c>
      <c r="C40" s="27" t="s">
        <v>107</v>
      </c>
      <c r="D40" s="19">
        <f t="shared" si="0"/>
        <v>-0.16776649750891881</v>
      </c>
      <c r="E40" s="19">
        <f t="shared" si="0"/>
        <v>-8.0309747644319751E-2</v>
      </c>
      <c r="F40" s="19">
        <f t="shared" si="0"/>
        <v>0.12638321077965475</v>
      </c>
      <c r="G40" s="19">
        <f t="shared" si="8"/>
        <v>-0.45300808019610916</v>
      </c>
      <c r="H40" s="58">
        <f>VLOOKUP(A40,הכשרה!A:G,4,0)+VLOOKUP('תפוקה מצטברת מול אשתקד'!A40,מגדל!A:G,4,0)+VLOOKUP('תפוקה מצטברת מול אשתקד'!A40,מנורה!A:G,4,0)+VLOOKUP('תפוקה מצטברת מול אשתקד'!A40,איילון!A:G,4,0)+VLOOKUP('תפוקה מצטברת מול אשתקד'!A40,הראל!A:G,4,0)+VLOOKUP('תפוקה מצטברת מול אשתקד'!A40,הפניקס!A:G,4,0)+VLOOKUP('תפוקה מצטברת מול אשתקד'!A40,כלל!A:G,4,0)+VLOOKUP('תפוקה מצטברת מול אשתקד'!A40,מור!A:G,4,0)+VLOOKUP('תפוקה מצטברת מול אשתקד'!A40,'אלטשולר שחם'!A:G,4,0)+VLOOKUP('תפוקה מצטברת מול אשתקד'!A40,'מדיהו '!A:G,4,0)+VLOOKUP('תפוקה מצטברת מול אשתקד'!A40,'אנליסט '!A:G,4,0)+VLOOKUP('תפוקה מצטברת מול אשתקד'!A40,'מיטב דש'!A:G,4,0)+VLOOKUP('תפוקה מצטברת מול אשתקד'!A40,אינפניטי!A:G,4,0)</f>
        <v>203040.96280443773</v>
      </c>
      <c r="I40" s="58">
        <f>VLOOKUP(A40,הכשרה!A:G,5,0)+VLOOKUP('תפוקה מצטברת מול אשתקד'!A40,מגדל!A:G,5,0)+VLOOKUP('תפוקה מצטברת מול אשתקד'!A40,מנורה!A:G,5,0)+VLOOKUP('תפוקה מצטברת מול אשתקד'!A40,איילון!A:G,5,0)+VLOOKUP('תפוקה מצטברת מול אשתקד'!A40,הראל!A:G,5,0)+VLOOKUP('תפוקה מצטברת מול אשתקד'!A40,הפניקס!A:G,5,0)+VLOOKUP('תפוקה מצטברת מול אשתקד'!A40,כלל!A:G,5,0)+VLOOKUP('תפוקה מצטברת מול אשתקד'!A40,מור!A:G,5,0)+VLOOKUP('תפוקה מצטברת מול אשתקד'!A40,'אלטשולר שחם'!A:G,5,0)+VLOOKUP('תפוקה מצטברת מול אשתקד'!A40,'מדיהו '!A:G,5,0)+VLOOKUP('תפוקה מצטברת מול אשתקד'!A40,'אנליסט '!A:G,5,0)+VLOOKUP('תפוקה מצטברת מול אשתקד'!A40,'מיטב דש'!A:G,5,0)+VLOOKUP('תפוקה מצטברת מול אשתקד'!A40,אינפניטי!A:G,5,0)</f>
        <v>29617.5869692044</v>
      </c>
      <c r="J40" s="58">
        <f>VLOOKUP(A40,הכשרה!A:G,6,0)+VLOOKUP('תפוקה מצטברת מול אשתקד'!A40,מגדל!A:G,6,0)+VLOOKUP('תפוקה מצטברת מול אשתקד'!A40,מנורה!A:G,6,0)+VLOOKUP('תפוקה מצטברת מול אשתקד'!A40,איילון!A:G,6,0)+VLOOKUP(A40,הראל!A:G,6,0)+VLOOKUP('תפוקה מצטברת מול אשתקד'!A40,הפניקס!A:G,6,0)+VLOOKUP('תפוקה מצטברת מול אשתקד'!A40,כלל!A:G,6,0)+VLOOKUP('תפוקה מצטברת מול אשתקד'!A40,מור!A:G,6,0)+VLOOKUP('תפוקה מצטברת מול אשתקד'!A40,'אלטשולר שחם'!A:G,6,0)+VLOOKUP('תפוקה מצטברת מול אשתקד'!A40,'מדיהו '!A:G,6,0)+VLOOKUP('תפוקה מצטברת מול אשתקד'!A40,'אנליסט '!A:G,6,0)+VLOOKUP('תפוקה מצטברת מול אשתקד'!A40,'מיטב דש'!A:G,6,0)+VLOOKUP('תפוקה מצטברת מול אשתקד'!A40,אינפניטי!A:G,6,0)</f>
        <v>337601.39570975612</v>
      </c>
      <c r="K40" s="58">
        <f>VLOOKUP(A40,הכשרה!A:G,7,0)+VLOOKUP('תפוקה מצטברת מול אשתקד'!A40,מגדל!A:G,7,0)+VLOOKUP('תפוקה מצטברת מול אשתקד'!A40,מנורה!A:G,7,0)+VLOOKUP('תפוקה מצטברת מול אשתקד'!A40,איילון!A:G,7,0)+VLOOKUP('תפוקה מצטברת מול אשתקד'!A40,הראל!A:G,7,0)+VLOOKUP('תפוקה מצטברת מול אשתקד'!A40,הפניקס!A:G,7,0)+VLOOKUP('תפוקה מצטברת מול אשתקד'!A40,כלל!A:G,7,0)+VLOOKUP('תפוקה מצטברת מול אשתקד'!A40,מור!A:G,7,0)+VLOOKUP('תפוקה מצטברת מול אשתקד'!A40,'אלטשולר שחם'!A:G,7,0)+VLOOKUP('תפוקה מצטברת מול אשתקד'!A40,'מדיהו '!A:K,7,0)+VLOOKUP(A40,'אנליסט '!A:G,7,0)+VLOOKUP('תפוקה מצטברת מול אשתקד'!A40,'מיטב דש'!A:G,7,0)+VLOOKUP('תפוקה מצטברת מול אשתקד'!A40,אינפניטי!A:G,7,0)</f>
        <v>837884.91</v>
      </c>
      <c r="L40" s="12">
        <f>VLOOKUP(A40,הכשרה!A:K,8,0)+VLOOKUP('תפוקה מצטברת מול אשתקד'!A40,מגדל!A:K,8,0)+VLOOKUP('תפוקה מצטברת מול אשתקד'!A40,מנורה!A:K,8,0)+VLOOKUP('תפוקה מצטברת מול אשתקד'!A40,איילון!A:K,8,0)+VLOOKUP('תפוקה מצטברת מול אשתקד'!A40,הראל!A:K,8,0)+VLOOKUP('תפוקה מצטברת מול אשתקד'!A40,הפניקס!A:K,8,0)+VLOOKUP('תפוקה מצטברת מול אשתקד'!A40,כלל!A:K,8,0)+VLOOKUP('תפוקה מצטברת מול אשתקד'!A40,מור!A:K,8,0)+VLOOKUP('תפוקה מצטברת מול אשתקד'!A40,'אלטשולר שחם'!A:K,8,0)+VLOOKUP('תפוקה מצטברת מול אשתקד'!A40,'מדיהו '!A:K,8,0)+VLOOKUP('תפוקה מצטברת מול אשתקד'!A40,'אנליסט '!A:K,8,0)+VLOOKUP('תפוקה מצטברת מול אשתקד'!A40,'מיטב דש'!A:K,8,0)+VLOOKUP('תפוקה מצטברת מול אשתקד'!A40,אינפניטי!A:K,8,0)</f>
        <v>243971.14775683242</v>
      </c>
      <c r="M40" s="12">
        <f>VLOOKUP(A40,הכשרה!A:K,9,0)+VLOOKUP('תפוקה מצטברת מול אשתקד'!A40,מגדל!A:K,9,0)+VLOOKUP('תפוקה מצטברת מול אשתקד'!A40,מנורה!A:K,9,0)+VLOOKUP('תפוקה מצטברת מול אשתקד'!A40,איילון!A:K,9,0)+VLOOKUP('תפוקה מצטברת מול אשתקד'!A40,הראל!A:K,9,0)+VLOOKUP('תפוקה מצטברת מול אשתקד'!A40,הפניקס!A:K,9,0)+VLOOKUP('תפוקה מצטברת מול אשתקד'!A40,כלל!A:K,9,0)+VLOOKUP('תפוקה מצטברת מול אשתקד'!A40,מור!A:K,9,0)+VLOOKUP('תפוקה מצטברת מול אשתקד'!A40,'אלטשולר שחם'!A:K,9,0)+VLOOKUP('תפוקה מצטברת מול אשתקד'!A40,'מדיהו '!A:K,9,0)+VLOOKUP('תפוקה מצטברת מול אשתקד'!A40,'אנליסט '!A:K,9,0)+VLOOKUP('תפוקה מצטברת מול אשתקד'!A40,'מיטב דש'!A:K,9,0)+VLOOKUP('תפוקה מצטברת מול אשתקד'!A40,אינפניטי!A:K,9,0)</f>
        <v>32203.871785465133</v>
      </c>
      <c r="N40" s="12">
        <f>VLOOKUP(A40,הכשרה!A:K,10,0)+VLOOKUP('תפוקה מצטברת מול אשתקד'!A40,מגדל!A:K,10,0)+VLOOKUP('תפוקה מצטברת מול אשתקד'!A40,מנורה!A:K,10,0)+VLOOKUP('תפוקה מצטברת מול אשתקד'!A40,איילון!A:K,10,0)+VLOOKUP('תפוקה מצטברת מול אשתקד'!A40,הראל!A:K,10,0)+VLOOKUP('תפוקה מצטברת מול אשתקד'!A40,הפניקס!A:K,10,0)+VLOOKUP('תפוקה מצטברת מול אשתקד'!A40,כלל!A:K,10,0)+VLOOKUP('תפוקה מצטברת מול אשתקד'!A40,מור!A:K,10,0)+VLOOKUP('תפוקה מצטברת מול אשתקד'!A40,'אלטשולר שחם'!A:K,10,0)+VLOOKUP('תפוקה מצטברת מול אשתקד'!A40,'מדיהו '!A:K,10,0)+VLOOKUP('תפוקה מצטברת מול אשתקד'!A40,'אנליסט '!A:K,10,0)+VLOOKUP('תפוקה מצטברת מול אשתקד'!A40,'מיטב דש'!A:K,10,0)+VLOOKUP('תפוקה מצטברת מול אשתקד'!A40,אינפניטי!A:K,10,0)</f>
        <v>299721.61559126643</v>
      </c>
      <c r="O40" s="12">
        <f>VLOOKUP(A40,הכשרה!A:K,11,0)+VLOOKUP('תפוקה מצטברת מול אשתקד'!A40,מגדל!A:K,11,0)+VLOOKUP('תפוקה מצטברת מול אשתקד'!A40,מנורה!A:K,11,0)+VLOOKUP('תפוקה מצטברת מול אשתקד'!A40,איילון!A:K,11,0)+VLOOKUP('תפוקה מצטברת מול אשתקד'!A40,הראל!A:K,11,0)+VLOOKUP('תפוקה מצטברת מול אשתקד'!A40,הפניקס!A:K,11,0)+VLOOKUP('תפוקה מצטברת מול אשתקד'!A40,כלל!A:K,11,0)+VLOOKUP('תפוקה מצטברת מול אשתקד'!A40,מור!A:K,11,0)+VLOOKUP('תפוקה מצטברת מול אשתקד'!A40,'אלטשולר שחם'!A:K,11,0)+VLOOKUP('תפוקה מצטברת מול אשתקד'!A40,'מדיהו '!A:K,11,0)+VLOOKUP('תפוקה מצטברת מול אשתקד'!A40,'אנליסט '!A:K,11,0)+VLOOKUP('תפוקה מצטברת מול אשתקד'!A40,'מיטב דש'!A:K,11,0)+VLOOKUP('תפוקה מצטברת מול אשתקד'!A40,אינפניטי!A:K,11,0)</f>
        <v>1531804.9127680003</v>
      </c>
    </row>
    <row r="41" spans="1:15" ht="15.75" customHeight="1" x14ac:dyDescent="0.25">
      <c r="A41" s="26" t="s">
        <v>83</v>
      </c>
      <c r="B41" s="26" t="s">
        <v>56</v>
      </c>
      <c r="C41" s="27" t="s">
        <v>107</v>
      </c>
      <c r="D41" s="19">
        <f t="shared" si="0"/>
        <v>-0.92686845545560803</v>
      </c>
      <c r="E41" s="19">
        <f t="shared" si="0"/>
        <v>-0.38274308692370651</v>
      </c>
      <c r="F41" s="19">
        <f t="shared" si="0"/>
        <v>-0.75331578947368416</v>
      </c>
      <c r="G41" s="19">
        <f t="shared" si="8"/>
        <v>0</v>
      </c>
      <c r="H41" s="58">
        <f>VLOOKUP(A41,הכשרה!A:G,4,0)+VLOOKUP('תפוקה מצטברת מול אשתקד'!A41,מגדל!A:G,4,0)+VLOOKUP('תפוקה מצטברת מול אשתקד'!A41,מנורה!A:G,4,0)+VLOOKUP('תפוקה מצטברת מול אשתקד'!A41,איילון!A:G,4,0)+VLOOKUP('תפוקה מצטברת מול אשתקד'!A41,הראל!A:G,4,0)+VLOOKUP('תפוקה מצטברת מול אשתקד'!A41,הפניקס!A:G,4,0)+VLOOKUP('תפוקה מצטברת מול אשתקד'!A41,כלל!A:G,4,0)+VLOOKUP('תפוקה מצטברת מול אשתקד'!A41,מור!A:G,4,0)+VLOOKUP('תפוקה מצטברת מול אשתקד'!A41,'אלטשולר שחם'!A:G,4,0)+VLOOKUP('תפוקה מצטברת מול אשתקד'!A41,'מדיהו '!A:G,4,0)+VLOOKUP('תפוקה מצטברת מול אשתקד'!A41,'אנליסט '!A:G,4,0)+VLOOKUP('תפוקה מצטברת מול אשתקד'!A41,'מיטב דש'!A:G,4,0)+VLOOKUP('תפוקה מצטברת מול אשתקד'!A41,אינפניטי!A:G,4,0)</f>
        <v>9990</v>
      </c>
      <c r="I41" s="58">
        <f>VLOOKUP(A41,הכשרה!A:G,5,0)+VLOOKUP('תפוקה מצטברת מול אשתקד'!A41,מגדל!A:G,5,0)+VLOOKUP('תפוקה מצטברת מול אשתקד'!A41,מנורה!A:G,5,0)+VLOOKUP('תפוקה מצטברת מול אשתקד'!A41,איילון!A:G,5,0)+VLOOKUP('תפוקה מצטברת מול אשתקד'!A41,הראל!A:G,5,0)+VLOOKUP('תפוקה מצטברת מול אשתקד'!A41,הפניקס!A:G,5,0)+VLOOKUP('תפוקה מצטברת מול אשתקד'!A41,כלל!A:G,5,0)+VLOOKUP('תפוקה מצטברת מול אשתקד'!A41,מור!A:G,5,0)+VLOOKUP('תפוקה מצטברת מול אשתקד'!A41,'אלטשולר שחם'!A:G,5,0)+VLOOKUP('תפוקה מצטברת מול אשתקד'!A41,'מדיהו '!A:G,5,0)+VLOOKUP('תפוקה מצטברת מול אשתקד'!A41,'אנליסט '!A:G,5,0)+VLOOKUP('תפוקה מצטברת מול אשתקד'!A41,'מיטב דש'!A:G,5,0)+VLOOKUP('תפוקה מצטברת מול אשתקד'!A41,אינפניטי!A:G,5,0)</f>
        <v>22412.506827814566</v>
      </c>
      <c r="J41" s="58">
        <f>VLOOKUP(A41,הכשרה!A:G,6,0)+VLOOKUP('תפוקה מצטברת מול אשתקד'!A41,מגדל!A:G,6,0)+VLOOKUP('תפוקה מצטברת מול אשתקד'!A41,מנורה!A:G,6,0)+VLOOKUP('תפוקה מצטברת מול אשתקד'!A41,איילון!A:G,6,0)+VLOOKUP(A41,הראל!A:G,6,0)+VLOOKUP('תפוקה מצטברת מול אשתקד'!A41,הפניקס!A:G,6,0)+VLOOKUP('תפוקה מצטברת מול אשתקד'!A41,כלל!A:G,6,0)+VLOOKUP('תפוקה מצטברת מול אשתקד'!A41,מור!A:G,6,0)+VLOOKUP('תפוקה מצטברת מול אשתקד'!A41,'אלטשולר שחם'!A:G,6,0)+VLOOKUP('תפוקה מצטברת מול אשתקד'!A41,'מדיהו '!A:G,6,0)+VLOOKUP('תפוקה מצטברת מול אשתקד'!A41,'אנליסט '!A:G,6,0)+VLOOKUP('תפוקה מצטברת מול אשתקד'!A41,'מיטב דש'!A:G,6,0)+VLOOKUP('תפוקה מצטברת מול אשתקד'!A41,אינפניטי!A:G,6,0)</f>
        <v>9374</v>
      </c>
      <c r="K41" s="58">
        <f>VLOOKUP(A41,הכשרה!A:G,7,0)+VLOOKUP('תפוקה מצטברת מול אשתקד'!A41,מגדל!A:G,7,0)+VLOOKUP('תפוקה מצטברת מול אשתקד'!A41,מנורה!A:G,7,0)+VLOOKUP('תפוקה מצטברת מול אשתקד'!A41,איילון!A:G,7,0)+VLOOKUP('תפוקה מצטברת מול אשתקד'!A41,הראל!A:G,7,0)+VLOOKUP('תפוקה מצטברת מול אשתקד'!A41,הפניקס!A:G,7,0)+VLOOKUP('תפוקה מצטברת מול אשתקד'!A41,כלל!A:G,7,0)+VLOOKUP('תפוקה מצטברת מול אשתקד'!A41,מור!A:G,7,0)+VLOOKUP('תפוקה מצטברת מול אשתקד'!A41,'אלטשולר שחם'!A:G,7,0)+VLOOKUP('תפוקה מצטברת מול אשתקד'!A41,'מדיהו '!A:K,7,0)+VLOOKUP(A41,'אנליסט '!A:G,7,0)+VLOOKUP('תפוקה מצטברת מול אשתקד'!A41,'מיטב דש'!A:G,7,0)+VLOOKUP('תפוקה מצטברת מול אשתקד'!A41,אינפניטי!A:G,7,0)</f>
        <v>0</v>
      </c>
      <c r="L41" s="12">
        <f>VLOOKUP(A41,הכשרה!A:K,8,0)+VLOOKUP('תפוקה מצטברת מול אשתקד'!A41,מגדל!A:K,8,0)+VLOOKUP('תפוקה מצטברת מול אשתקד'!A41,מנורה!A:K,8,0)+VLOOKUP('תפוקה מצטברת מול אשתקד'!A41,איילון!A:K,8,0)+VLOOKUP('תפוקה מצטברת מול אשתקד'!A41,הראל!A:K,8,0)+VLOOKUP('תפוקה מצטברת מול אשתקד'!A41,הפניקס!A:K,8,0)+VLOOKUP('תפוקה מצטברת מול אשתקד'!A41,כלל!A:K,8,0)+VLOOKUP('תפוקה מצטברת מול אשתקד'!A41,מור!A:K,8,0)+VLOOKUP('תפוקה מצטברת מול אשתקד'!A41,'אלטשולר שחם'!A:K,8,0)+VLOOKUP('תפוקה מצטברת מול אשתקד'!A41,'מדיהו '!A:K,8,0)+VLOOKUP('תפוקה מצטברת מול אשתקד'!A41,'אנליסט '!A:K,8,0)+VLOOKUP('תפוקה מצטברת מול אשתקד'!A41,'מיטב דש'!A:K,8,0)+VLOOKUP('תפוקה מצטברת מול אשתקד'!A41,אינפניטי!A:K,8,0)</f>
        <v>136603.15889999998</v>
      </c>
      <c r="M41" s="12">
        <f>VLOOKUP(A41,הכשרה!A:K,9,0)+VLOOKUP('תפוקה מצטברת מול אשתקד'!A41,מגדל!A:K,9,0)+VLOOKUP('תפוקה מצטברת מול אשתקד'!A41,מנורה!A:K,9,0)+VLOOKUP('תפוקה מצטברת מול אשתקד'!A41,איילון!A:K,9,0)+VLOOKUP('תפוקה מצטברת מול אשתקד'!A41,הראל!A:K,9,0)+VLOOKUP('תפוקה מצטברת מול אשתקד'!A41,הפניקס!A:K,9,0)+VLOOKUP('תפוקה מצטברת מול אשתקד'!A41,כלל!A:K,9,0)+VLOOKUP('תפוקה מצטברת מול אשתקד'!A41,מור!A:K,9,0)+VLOOKUP('תפוקה מצטברת מול אשתקד'!A41,'אלטשולר שחם'!A:K,9,0)+VLOOKUP('תפוקה מצטברת מול אשתקד'!A41,'מדיהו '!A:K,9,0)+VLOOKUP('תפוקה מצטברת מול אשתקד'!A41,'אנליסט '!A:K,9,0)+VLOOKUP('תפוקה מצטברת מול אשתקד'!A41,'מיטב דש'!A:K,9,0)+VLOOKUP('תפוקה מצטברת מול אשתקד'!A41,אינפניטי!A:K,9,0)</f>
        <v>36309.85146219717</v>
      </c>
      <c r="N41" s="12">
        <f>VLOOKUP(A41,הכשרה!A:K,10,0)+VLOOKUP('תפוקה מצטברת מול אשתקד'!A41,מגדל!A:K,10,0)+VLOOKUP('תפוקה מצטברת מול אשתקד'!A41,מנורה!A:K,10,0)+VLOOKUP('תפוקה מצטברת מול אשתקד'!A41,איילון!A:K,10,0)+VLOOKUP('תפוקה מצטברת מול אשתקד'!A41,הראל!A:K,10,0)+VLOOKUP('תפוקה מצטברת מול אשתקד'!A41,הפניקס!A:K,10,0)+VLOOKUP('תפוקה מצטברת מול אשתקד'!A41,כלל!A:K,10,0)+VLOOKUP('תפוקה מצטברת מול אשתקד'!A41,מור!A:K,10,0)+VLOOKUP('תפוקה מצטברת מול אשתקד'!A41,'אלטשולר שחם'!A:K,10,0)+VLOOKUP('תפוקה מצטברת מול אשתקד'!A41,'מדיהו '!A:K,10,0)+VLOOKUP('תפוקה מצטברת מול אשתקד'!A41,'אנליסט '!A:K,10,0)+VLOOKUP('תפוקה מצטברת מול אשתקד'!A41,'מיטב דש'!A:K,10,0)+VLOOKUP('תפוקה מצטברת מול אשתקד'!A41,אינפניטי!A:K,10,0)</f>
        <v>38000</v>
      </c>
      <c r="O41" s="12">
        <f>VLOOKUP(A41,הכשרה!A:K,11,0)+VLOOKUP('תפוקה מצטברת מול אשתקד'!A41,מגדל!A:K,11,0)+VLOOKUP('תפוקה מצטברת מול אשתקד'!A41,מנורה!A:K,11,0)+VLOOKUP('תפוקה מצטברת מול אשתקד'!A41,איילון!A:K,11,0)+VLOOKUP('תפוקה מצטברת מול אשתקד'!A41,הראל!A:K,11,0)+VLOOKUP('תפוקה מצטברת מול אשתקד'!A41,הפניקס!A:K,11,0)+VLOOKUP('תפוקה מצטברת מול אשתקד'!A41,כלל!A:K,11,0)+VLOOKUP('תפוקה מצטברת מול אשתקד'!A41,מור!A:K,11,0)+VLOOKUP('תפוקה מצטברת מול אשתקד'!A41,'אלטשולר שחם'!A:K,11,0)+VLOOKUP('תפוקה מצטברת מול אשתקד'!A41,'מדיהו '!A:K,11,0)+VLOOKUP('תפוקה מצטברת מול אשתקד'!A41,'אנליסט '!A:K,11,0)+VLOOKUP('תפוקה מצטברת מול אשתקד'!A41,'מיטב דש'!A:K,11,0)+VLOOKUP('תפוקה מצטברת מול אשתקד'!A41,אינפניטי!A:K,11,0)</f>
        <v>76569.19</v>
      </c>
    </row>
    <row r="42" spans="1:15" ht="15.75" customHeight="1" x14ac:dyDescent="0.25">
      <c r="A42" s="26" t="s">
        <v>82</v>
      </c>
      <c r="B42" s="26" t="s">
        <v>56</v>
      </c>
      <c r="C42" s="27" t="s">
        <v>107</v>
      </c>
      <c r="D42" s="19">
        <f t="shared" si="0"/>
        <v>1</v>
      </c>
      <c r="E42" s="19">
        <f t="shared" si="0"/>
        <v>2.4494036634875003</v>
      </c>
      <c r="F42" s="19">
        <f t="shared" si="0"/>
        <v>67.847361111111113</v>
      </c>
      <c r="G42" s="19">
        <f t="shared" si="8"/>
        <v>-0.95536478523856116</v>
      </c>
      <c r="H42" s="58">
        <f>VLOOKUP(A42,הכשרה!A:G,4,0)+VLOOKUP('תפוקה מצטברת מול אשתקד'!A42,מגדל!A:G,4,0)+VLOOKUP('תפוקה מצטברת מול אשתקד'!A42,מנורה!A:G,4,0)+VLOOKUP('תפוקה מצטברת מול אשתקד'!A42,איילון!A:G,4,0)+VLOOKUP('תפוקה מצטברת מול אשתקד'!A42,הראל!A:G,4,0)+VLOOKUP('תפוקה מצטברת מול אשתקד'!A42,הפניקס!A:G,4,0)+VLOOKUP('תפוקה מצטברת מול אשתקד'!A42,כלל!A:G,4,0)+VLOOKUP('תפוקה מצטברת מול אשתקד'!A42,מור!A:G,4,0)+VLOOKUP('תפוקה מצטברת מול אשתקד'!A42,'אלטשולר שחם'!A:G,4,0)+VLOOKUP('תפוקה מצטברת מול אשתקד'!A42,'מדיהו '!A:G,4,0)+VLOOKUP('תפוקה מצטברת מול אשתקד'!A42,'אנליסט '!A:G,4,0)+VLOOKUP('תפוקה מצטברת מול אשתקד'!A42,'מיטב דש'!A:G,4,0)+VLOOKUP('תפוקה מצטברת מול אשתקד'!A42,אינפניטי!A:G,4,0)</f>
        <v>5141.88</v>
      </c>
      <c r="I42" s="58">
        <f>VLOOKUP(A42,הכשרה!A:G,5,0)+VLOOKUP('תפוקה מצטברת מול אשתקד'!A42,מגדל!A:G,5,0)+VLOOKUP('תפוקה מצטברת מול אשתקד'!A42,מנורה!A:G,5,0)+VLOOKUP('תפוקה מצטברת מול אשתקד'!A42,איילון!A:G,5,0)+VLOOKUP('תפוקה מצטברת מול אשתקד'!A42,הראל!A:G,5,0)+VLOOKUP('תפוקה מצטברת מול אשתקד'!A42,הפניקס!A:G,5,0)+VLOOKUP('תפוקה מצטברת מול אשתקד'!A42,כלל!A:G,5,0)+VLOOKUP('תפוקה מצטברת מול אשתקד'!A42,מור!A:G,5,0)+VLOOKUP('תפוקה מצטברת מול אשתקד'!A42,'אלטשולר שחם'!A:G,5,0)+VLOOKUP('תפוקה מצטברת מול אשתקד'!A42,'מדיהו '!A:G,5,0)+VLOOKUP('תפוקה מצטברת מול אשתקד'!A42,'אנליסט '!A:G,5,0)+VLOOKUP('תפוקה מצטברת מול אשתקד'!A42,'מיטב דש'!A:G,5,0)+VLOOKUP('תפוקה מצטברת מול אשתקד'!A42,אינפניטי!A:G,5,0)</f>
        <v>5682.52</v>
      </c>
      <c r="J42" s="58">
        <f>VLOOKUP(A42,הכשרה!A:G,6,0)+VLOOKUP('תפוקה מצטברת מול אשתקד'!A42,מגדל!A:G,6,0)+VLOOKUP('תפוקה מצטברת מול אשתקד'!A42,מנורה!A:G,6,0)+VLOOKUP('תפוקה מצטברת מול אשתקד'!A42,איילון!A:G,6,0)+VLOOKUP(A42,הראל!A:G,6,0)+VLOOKUP('תפוקה מצטברת מול אשתקד'!A42,הפניקס!A:G,6,0)+VLOOKUP('תפוקה מצטברת מול אשתקד'!A42,כלל!A:G,6,0)+VLOOKUP('תפוקה מצטברת מול אשתקד'!A42,מור!A:G,6,0)+VLOOKUP('תפוקה מצטברת מול אשתקד'!A42,'אלטשולר שחם'!A:G,6,0)+VLOOKUP('תפוקה מצטברת מול אשתקד'!A42,'מדיהו '!A:G,6,0)+VLOOKUP('תפוקה מצטברת מול אשתקד'!A42,'אנליסט '!A:G,6,0)+VLOOKUP('תפוקה מצטברת מול אשתקד'!A42,'מיטב דש'!A:G,6,0)+VLOOKUP('תפוקה מצטברת מול אשתקד'!A42,אינפניטי!A:G,6,0)</f>
        <v>495701</v>
      </c>
      <c r="K42" s="58">
        <f>VLOOKUP(A42,הכשרה!A:G,7,0)+VLOOKUP('תפוקה מצטברת מול אשתקד'!A42,מגדל!A:G,7,0)+VLOOKUP('תפוקה מצטברת מול אשתקד'!A42,מנורה!A:G,7,0)+VLOOKUP('תפוקה מצטברת מול אשתקד'!A42,איילון!A:G,7,0)+VLOOKUP('תפוקה מצטברת מול אשתקד'!A42,הראל!A:G,7,0)+VLOOKUP('תפוקה מצטברת מול אשתקד'!A42,הפניקס!A:G,7,0)+VLOOKUP('תפוקה מצטברת מול אשתקד'!A42,כלל!A:G,7,0)+VLOOKUP('תפוקה מצטברת מול אשתקד'!A42,מור!A:G,7,0)+VLOOKUP('תפוקה מצטברת מול אשתקד'!A42,'אלטשולר שחם'!A:G,7,0)+VLOOKUP('תפוקה מצטברת מול אשתקד'!A42,'מדיהו '!A:K,7,0)+VLOOKUP(A42,'אנליסט '!A:G,7,0)+VLOOKUP('תפוקה מצטברת מול אשתקד'!A42,'מיטב דש'!A:G,7,0)+VLOOKUP('תפוקה מצטברת מול אשתקד'!A42,אינפניטי!A:G,7,0)</f>
        <v>131441.16000000003</v>
      </c>
      <c r="L42" s="12">
        <f>VLOOKUP(A42,הכשרה!A:K,8,0)+VLOOKUP('תפוקה מצטברת מול אשתקד'!A42,מגדל!A:K,8,0)+VLOOKUP('תפוקה מצטברת מול אשתקד'!A42,מנורה!A:K,8,0)+VLOOKUP('תפוקה מצטברת מול אשתקד'!A42,איילון!A:K,8,0)+VLOOKUP('תפוקה מצטברת מול אשתקד'!A42,הראל!A:K,8,0)+VLOOKUP('תפוקה מצטברת מול אשתקד'!A42,הפניקס!A:K,8,0)+VLOOKUP('תפוקה מצטברת מול אשתקד'!A42,כלל!A:K,8,0)+VLOOKUP('תפוקה מצטברת מול אשתקד'!A42,מור!A:K,8,0)+VLOOKUP('תפוקה מצטברת מול אשתקד'!A42,'אלטשולר שחם'!A:K,8,0)+VLOOKUP('תפוקה מצטברת מול אשתקד'!A42,'מדיהו '!A:K,8,0)+VLOOKUP('תפוקה מצטברת מול אשתקד'!A42,'אנליסט '!A:K,8,0)+VLOOKUP('תפוקה מצטברת מול אשתקד'!A42,'מיטב דש'!A:K,8,0)+VLOOKUP('תפוקה מצטברת מול אשתקד'!A42,אינפניטי!A:K,8,0)</f>
        <v>0</v>
      </c>
      <c r="M42" s="12">
        <f>VLOOKUP(A42,הכשרה!A:K,9,0)+VLOOKUP('תפוקה מצטברת מול אשתקד'!A42,מגדל!A:K,9,0)+VLOOKUP('תפוקה מצטברת מול אשתקד'!A42,מנורה!A:K,9,0)+VLOOKUP('תפוקה מצטברת מול אשתקד'!A42,איילון!A:K,9,0)+VLOOKUP('תפוקה מצטברת מול אשתקד'!A42,הראל!A:K,9,0)+VLOOKUP('תפוקה מצטברת מול אשתקד'!A42,הפניקס!A:K,9,0)+VLOOKUP('תפוקה מצטברת מול אשתקד'!A42,כלל!A:K,9,0)+VLOOKUP('תפוקה מצטברת מול אשתקד'!A42,מור!A:K,9,0)+VLOOKUP('תפוקה מצטברת מול אשתקד'!A42,'אלטשולר שחם'!A:K,9,0)+VLOOKUP('תפוקה מצטברת מול אשתקד'!A42,'מדיהו '!A:K,9,0)+VLOOKUP('תפוקה מצטברת מול אשתקד'!A42,'אנליסט '!A:K,9,0)+VLOOKUP('תפוקה מצטברת מול אשתקד'!A42,'מיטב דש'!A:K,9,0)+VLOOKUP('תפוקה מצטברת מול אשתקד'!A42,אינפניטי!A:K,9,0)</f>
        <v>1647.3920000000001</v>
      </c>
      <c r="N42" s="12">
        <f>VLOOKUP(A42,הכשרה!A:K,10,0)+VLOOKUP('תפוקה מצטברת מול אשתקד'!A42,מגדל!A:K,10,0)+VLOOKUP('תפוקה מצטברת מול אשתקד'!A42,מנורה!A:K,10,0)+VLOOKUP('תפוקה מצטברת מול אשתקד'!A42,איילון!A:K,10,0)+VLOOKUP('תפוקה מצטברת מול אשתקד'!A42,הראל!A:K,10,0)+VLOOKUP('תפוקה מצטברת מול אשתקד'!A42,הפניקס!A:K,10,0)+VLOOKUP('תפוקה מצטברת מול אשתקד'!A42,כלל!A:K,10,0)+VLOOKUP('תפוקה מצטברת מול אשתקד'!A42,מור!A:K,10,0)+VLOOKUP('תפוקה מצטברת מול אשתקד'!A42,'אלטשולר שחם'!A:K,10,0)+VLOOKUP('תפוקה מצטברת מול אשתקד'!A42,'מדיהו '!A:K,10,0)+VLOOKUP('תפוקה מצטברת מול אשתקד'!A42,'אנליסט '!A:K,10,0)+VLOOKUP('תפוקה מצטברת מול אשתקד'!A42,'מיטב דש'!A:K,10,0)+VLOOKUP('תפוקה מצטברת מול אשתקד'!A42,אינפניטי!A:K,10,0)</f>
        <v>7200</v>
      </c>
      <c r="O42" s="12">
        <f>VLOOKUP(A42,הכשרה!A:K,11,0)+VLOOKUP('תפוקה מצטברת מול אשתקד'!A42,מגדל!A:K,11,0)+VLOOKUP('תפוקה מצטברת מול אשתקד'!A42,מנורה!A:K,11,0)+VLOOKUP('תפוקה מצטברת מול אשתקד'!A42,איילון!A:K,11,0)+VLOOKUP('תפוקה מצטברת מול אשתקד'!A42,הראל!A:K,11,0)+VLOOKUP('תפוקה מצטברת מול אשתקד'!A42,הפניקס!A:K,11,0)+VLOOKUP('תפוקה מצטברת מול אשתקד'!A42,כלל!A:K,11,0)+VLOOKUP('תפוקה מצטברת מול אשתקד'!A42,מור!A:K,11,0)+VLOOKUP('תפוקה מצטברת מול אשתקד'!A42,'אלטשולר שחם'!A:K,11,0)+VLOOKUP('תפוקה מצטברת מול אשתקד'!A42,'מדיהו '!A:K,11,0)+VLOOKUP('תפוקה מצטברת מול אשתקד'!A42,'אנליסט '!A:K,11,0)+VLOOKUP('תפוקה מצטברת מול אשתקד'!A42,'מיטב דש'!A:K,11,0)+VLOOKUP('תפוקה מצטברת מול אשתקד'!A42,אינפניטי!A:K,11,0)</f>
        <v>2944786.0999999996</v>
      </c>
    </row>
    <row r="43" spans="1:15" ht="15.75" customHeight="1" x14ac:dyDescent="0.25">
      <c r="A43" s="28" t="s">
        <v>85</v>
      </c>
      <c r="B43" s="26" t="s">
        <v>56</v>
      </c>
      <c r="C43" s="27" t="s">
        <v>107</v>
      </c>
      <c r="D43" s="19">
        <f t="shared" si="0"/>
        <v>0</v>
      </c>
      <c r="E43" s="19">
        <f t="shared" si="0"/>
        <v>1</v>
      </c>
      <c r="F43" s="19">
        <f t="shared" si="0"/>
        <v>0</v>
      </c>
      <c r="G43" s="19">
        <f t="shared" si="8"/>
        <v>0</v>
      </c>
      <c r="H43" s="58">
        <f>VLOOKUP(A43,הכשרה!A:G,4,0)+VLOOKUP('תפוקה מצטברת מול אשתקד'!A43,מגדל!A:G,4,0)+VLOOKUP('תפוקה מצטברת מול אשתקד'!A43,מנורה!A:G,4,0)+VLOOKUP('תפוקה מצטברת מול אשתקד'!A43,איילון!A:G,4,0)+VLOOKUP('תפוקה מצטברת מול אשתקד'!A43,הראל!A:G,4,0)+VLOOKUP('תפוקה מצטברת מול אשתקד'!A43,הפניקס!A:G,4,0)+VLOOKUP('תפוקה מצטברת מול אשתקד'!A43,כלל!A:G,4,0)+VLOOKUP('תפוקה מצטברת מול אשתקד'!A43,מור!A:G,4,0)+VLOOKUP('תפוקה מצטברת מול אשתקד'!A43,'אלטשולר שחם'!A:G,4,0)+VLOOKUP('תפוקה מצטברת מול אשתקד'!A43,'מדיהו '!A:G,4,0)+VLOOKUP('תפוקה מצטברת מול אשתקד'!A43,'אנליסט '!A:G,4,0)+VLOOKUP('תפוקה מצטברת מול אשתקד'!A43,'מיטב דש'!A:G,4,0)+VLOOKUP('תפוקה מצטברת מול אשתקד'!A43,אינפניטי!A:G,4,0)</f>
        <v>0</v>
      </c>
      <c r="I43" s="58">
        <f>VLOOKUP(A43,הכשרה!A:G,5,0)+VLOOKUP('תפוקה מצטברת מול אשתקד'!A43,מגדל!A:G,5,0)+VLOOKUP('תפוקה מצטברת מול אשתקד'!A43,מנורה!A:G,5,0)+VLOOKUP('תפוקה מצטברת מול אשתקד'!A43,איילון!A:G,5,0)+VLOOKUP('תפוקה מצטברת מול אשתקד'!A43,הראל!A:G,5,0)+VLOOKUP('תפוקה מצטברת מול אשתקד'!A43,הפניקס!A:G,5,0)+VLOOKUP('תפוקה מצטברת מול אשתקד'!A43,כלל!A:G,5,0)+VLOOKUP('תפוקה מצטברת מול אשתקד'!A43,מור!A:G,5,0)+VLOOKUP('תפוקה מצטברת מול אשתקד'!A43,'אלטשולר שחם'!A:G,5,0)+VLOOKUP('תפוקה מצטברת מול אשתקד'!A43,'מדיהו '!A:G,5,0)+VLOOKUP('תפוקה מצטברת מול אשתקד'!A43,'אנליסט '!A:G,5,0)+VLOOKUP('תפוקה מצטברת מול אשתקד'!A43,'מיטב דש'!A:G,5,0)+VLOOKUP('תפוקה מצטברת מול אשתקד'!A43,אינפניטי!A:G,5,0)</f>
        <v>5611.4780000000001</v>
      </c>
      <c r="J43" s="58">
        <f>VLOOKUP(A43,הכשרה!A:G,6,0)+VLOOKUP('תפוקה מצטברת מול אשתקד'!A43,מגדל!A:G,6,0)+VLOOKUP('תפוקה מצטברת מול אשתקד'!A43,מנורה!A:G,6,0)+VLOOKUP('תפוקה מצטברת מול אשתקד'!A43,איילון!A:G,6,0)+VLOOKUP(A43,הראל!A:G,6,0)+VLOOKUP('תפוקה מצטברת מול אשתקד'!A43,הפניקס!A:G,6,0)+VLOOKUP('תפוקה מצטברת מול אשתקד'!A43,כלל!A:G,6,0)+VLOOKUP('תפוקה מצטברת מול אשתקד'!A43,מור!A:G,6,0)+VLOOKUP('תפוקה מצטברת מול אשתקד'!A43,'אלטשולר שחם'!A:G,6,0)+VLOOKUP('תפוקה מצטברת מול אשתקד'!A43,'מדיהו '!A:G,6,0)+VLOOKUP('תפוקה מצטברת מול אשתקד'!A43,'אנליסט '!A:G,6,0)+VLOOKUP('תפוקה מצטברת מול אשתקד'!A43,'מיטב דש'!A:G,6,0)+VLOOKUP('תפוקה מצטברת מול אשתקד'!A43,אינפניטי!A:G,6,0)</f>
        <v>0</v>
      </c>
      <c r="K43" s="58">
        <f>VLOOKUP(A43,הכשרה!A:G,7,0)+VLOOKUP('תפוקה מצטברת מול אשתקד'!A43,מגדל!A:G,7,0)+VLOOKUP('תפוקה מצטברת מול אשתקד'!A43,מנורה!A:G,7,0)+VLOOKUP('תפוקה מצטברת מול אשתקד'!A43,איילון!A:G,7,0)+VLOOKUP('תפוקה מצטברת מול אשתקד'!A43,הראל!A:G,7,0)+VLOOKUP('תפוקה מצטברת מול אשתקד'!A43,הפניקס!A:G,7,0)+VLOOKUP('תפוקה מצטברת מול אשתקד'!A43,כלל!A:G,7,0)+VLOOKUP('תפוקה מצטברת מול אשתקד'!A43,מור!A:G,7,0)+VLOOKUP('תפוקה מצטברת מול אשתקד'!A43,'אלטשולר שחם'!A:G,7,0)+VLOOKUP('תפוקה מצטברת מול אשתקד'!A43,'מדיהו '!A:K,7,0)+VLOOKUP(A43,'אנליסט '!A:G,7,0)+VLOOKUP('תפוקה מצטברת מול אשתקד'!A43,'מיטב דש'!A:G,7,0)+VLOOKUP('תפוקה מצטברת מול אשתקד'!A43,אינפניטי!A:G,7,0)</f>
        <v>0</v>
      </c>
      <c r="L43" s="12">
        <f>VLOOKUP(A43,הכשרה!A:K,8,0)+VLOOKUP('תפוקה מצטברת מול אשתקד'!A43,מגדל!A:K,8,0)+VLOOKUP('תפוקה מצטברת מול אשתקד'!A43,מנורה!A:K,8,0)+VLOOKUP('תפוקה מצטברת מול אשתקד'!A43,איילון!A:K,8,0)+VLOOKUP('תפוקה מצטברת מול אשתקד'!A43,הראל!A:K,8,0)+VLOOKUP('תפוקה מצטברת מול אשתקד'!A43,הפניקס!A:K,8,0)+VLOOKUP('תפוקה מצטברת מול אשתקד'!A43,כלל!A:K,8,0)+VLOOKUP('תפוקה מצטברת מול אשתקד'!A43,מור!A:K,8,0)+VLOOKUP('תפוקה מצטברת מול אשתקד'!A43,'אלטשולר שחם'!A:K,8,0)+VLOOKUP('תפוקה מצטברת מול אשתקד'!A43,'מדיהו '!A:K,8,0)+VLOOKUP('תפוקה מצטברת מול אשתקד'!A43,'אנליסט '!A:K,8,0)+VLOOKUP('תפוקה מצטברת מול אשתקד'!A43,'מיטב דש'!A:K,8,0)+VLOOKUP('תפוקה מצטברת מול אשתקד'!A43,אינפניטי!A:K,8,0)</f>
        <v>0</v>
      </c>
      <c r="M43" s="12">
        <f>VLOOKUP(A43,הכשרה!A:K,9,0)+VLOOKUP('תפוקה מצטברת מול אשתקד'!A43,מגדל!A:K,9,0)+VLOOKUP('תפוקה מצטברת מול אשתקד'!A43,מנורה!A:K,9,0)+VLOOKUP('תפוקה מצטברת מול אשתקד'!A43,איילון!A:K,9,0)+VLOOKUP('תפוקה מצטברת מול אשתקד'!A43,הראל!A:K,9,0)+VLOOKUP('תפוקה מצטברת מול אשתקד'!A43,הפניקס!A:K,9,0)+VLOOKUP('תפוקה מצטברת מול אשתקד'!A43,כלל!A:K,9,0)+VLOOKUP('תפוקה מצטברת מול אשתקד'!A43,מור!A:K,9,0)+VLOOKUP('תפוקה מצטברת מול אשתקד'!A43,'אלטשולר שחם'!A:K,9,0)+VLOOKUP('תפוקה מצטברת מול אשתקד'!A43,'מדיהו '!A:K,9,0)+VLOOKUP('תפוקה מצטברת מול אשתקד'!A43,'אנליסט '!A:K,9,0)+VLOOKUP('תפוקה מצטברת מול אשתקד'!A43,'מיטב דש'!A:K,9,0)+VLOOKUP('תפוקה מצטברת מול אשתקד'!A43,אינפניטי!A:K,9,0)</f>
        <v>0</v>
      </c>
      <c r="N43" s="12">
        <f>VLOOKUP(A43,הכשרה!A:K,10,0)+VLOOKUP('תפוקה מצטברת מול אשתקד'!A43,מגדל!A:K,10,0)+VLOOKUP('תפוקה מצטברת מול אשתקד'!A43,מנורה!A:K,10,0)+VLOOKUP('תפוקה מצטברת מול אשתקד'!A43,איילון!A:K,10,0)+VLOOKUP('תפוקה מצטברת מול אשתקד'!A43,הראל!A:K,10,0)+VLOOKUP('תפוקה מצטברת מול אשתקד'!A43,הפניקס!A:K,10,0)+VLOOKUP('תפוקה מצטברת מול אשתקד'!A43,כלל!A:K,10,0)+VLOOKUP('תפוקה מצטברת מול אשתקד'!A43,מור!A:K,10,0)+VLOOKUP('תפוקה מצטברת מול אשתקד'!A43,'אלטשולר שחם'!A:K,10,0)+VLOOKUP('תפוקה מצטברת מול אשתקד'!A43,'מדיהו '!A:K,10,0)+VLOOKUP('תפוקה מצטברת מול אשתקד'!A43,'אנליסט '!A:K,10,0)+VLOOKUP('תפוקה מצטברת מול אשתקד'!A43,'מיטב דש'!A:K,10,0)+VLOOKUP('תפוקה מצטברת מול אשתקד'!A43,אינפניטי!A:K,10,0)</f>
        <v>0</v>
      </c>
      <c r="O43" s="12">
        <f>VLOOKUP(A43,הכשרה!A:K,11,0)+VLOOKUP('תפוקה מצטברת מול אשתקד'!A43,מגדל!A:K,11,0)+VLOOKUP('תפוקה מצטברת מול אשתקד'!A43,מנורה!A:K,11,0)+VLOOKUP('תפוקה מצטברת מול אשתקד'!A43,איילון!A:K,11,0)+VLOOKUP('תפוקה מצטברת מול אשתקד'!A43,הראל!A:K,11,0)+VLOOKUP('תפוקה מצטברת מול אשתקד'!A43,הפניקס!A:K,11,0)+VLOOKUP('תפוקה מצטברת מול אשתקד'!A43,כלל!A:K,11,0)+VLOOKUP('תפוקה מצטברת מול אשתקד'!A43,מור!A:K,11,0)+VLOOKUP('תפוקה מצטברת מול אשתקד'!A43,'אלטשולר שחם'!A:K,11,0)+VLOOKUP('תפוקה מצטברת מול אשתקד'!A43,'מדיהו '!A:K,11,0)+VLOOKUP('תפוקה מצטברת מול אשתקד'!A43,'אנליסט '!A:K,11,0)+VLOOKUP('תפוקה מצטברת מול אשתקד'!A43,'מיטב דש'!A:K,11,0)+VLOOKUP('תפוקה מצטברת מול אשתקד'!A43,אינפניטי!A:K,11,0)</f>
        <v>0</v>
      </c>
    </row>
    <row r="44" spans="1:15" ht="15.75" customHeight="1" x14ac:dyDescent="0.25">
      <c r="A44" s="28" t="s">
        <v>87</v>
      </c>
      <c r="B44" s="26" t="s">
        <v>56</v>
      </c>
      <c r="C44" s="27" t="s">
        <v>107</v>
      </c>
      <c r="D44" s="19">
        <f t="shared" si="0"/>
        <v>-0.76096146420738375</v>
      </c>
      <c r="E44" s="19">
        <f t="shared" si="0"/>
        <v>0</v>
      </c>
      <c r="F44" s="19">
        <f t="shared" si="0"/>
        <v>3.0319335188995122</v>
      </c>
      <c r="G44" s="19" t="e">
        <f t="shared" si="8"/>
        <v>#DIV/0!</v>
      </c>
      <c r="H44" s="58">
        <f>VLOOKUP(A44,הכשרה!A:G,4,0)+VLOOKUP('תפוקה מצטברת מול אשתקד'!A44,מגדל!A:G,4,0)+VLOOKUP('תפוקה מצטברת מול אשתקד'!A44,מנורה!A:G,4,0)+VLOOKUP('תפוקה מצטברת מול אשתקד'!A44,איילון!A:G,4,0)+VLOOKUP('תפוקה מצטברת מול אשתקד'!A44,הראל!A:G,4,0)+VLOOKUP('תפוקה מצטברת מול אשתקד'!A44,הפניקס!A:G,4,0)+VLOOKUP('תפוקה מצטברת מול אשתקד'!A44,כלל!A:G,4,0)+VLOOKUP('תפוקה מצטברת מול אשתקד'!A44,מור!A:G,4,0)+VLOOKUP('תפוקה מצטברת מול אשתקד'!A44,'אלטשולר שחם'!A:G,4,0)+VLOOKUP('תפוקה מצטברת מול אשתקד'!A44,'מדיהו '!A:G,4,0)+VLOOKUP('תפוקה מצטברת מול אשתקד'!A44,'אנליסט '!A:G,4,0)+VLOOKUP('תפוקה מצטברת מול אשתקד'!A44,'מיטב דש'!A:G,4,0)+VLOOKUP('תפוקה מצטברת מול אשתקד'!A44,אינפניטי!A:G,4,0)</f>
        <v>3349.2</v>
      </c>
      <c r="I44" s="58">
        <f>VLOOKUP(A44,הכשרה!A:G,5,0)+VLOOKUP('תפוקה מצטברת מול אשתקד'!A44,מגדל!A:G,5,0)+VLOOKUP('תפוקה מצטברת מול אשתקד'!A44,מנורה!A:G,5,0)+VLOOKUP('תפוקה מצטברת מול אשתקד'!A44,איילון!A:G,5,0)+VLOOKUP('תפוקה מצטברת מול אשתקד'!A44,הראל!A:G,5,0)+VLOOKUP('תפוקה מצטברת מול אשתקד'!A44,הפניקס!A:G,5,0)+VLOOKUP('תפוקה מצטברת מול אשתקד'!A44,כלל!A:G,5,0)+VLOOKUP('תפוקה מצטברת מול אשתקד'!A44,מור!A:G,5,0)+VLOOKUP('תפוקה מצטברת מול אשתקד'!A44,'אלטשולר שחם'!A:G,5,0)+VLOOKUP('תפוקה מצטברת מול אשתקד'!A44,'מדיהו '!A:G,5,0)+VLOOKUP('תפוקה מצטברת מול אשתקד'!A44,'אנליסט '!A:G,5,0)+VLOOKUP('תפוקה מצטברת מול אשתקד'!A44,'מיטב דש'!A:G,5,0)+VLOOKUP('תפוקה מצטברת מול אשתקד'!A44,אינפניטי!A:G,5,0)</f>
        <v>0</v>
      </c>
      <c r="J44" s="58">
        <f>VLOOKUP(A44,הכשרה!A:G,6,0)+VLOOKUP('תפוקה מצטברת מול אשתקד'!A44,מגדל!A:G,6,0)+VLOOKUP('תפוקה מצטברת מול אשתקד'!A44,מנורה!A:G,6,0)+VLOOKUP('תפוקה מצטברת מול אשתקד'!A44,איילון!A:G,6,0)+VLOOKUP(A44,הראל!A:G,6,0)+VLOOKUP('תפוקה מצטברת מול אשתקד'!A44,הפניקס!A:G,6,0)+VLOOKUP('תפוקה מצטברת מול אשתקד'!A44,כלל!A:G,6,0)+VLOOKUP('תפוקה מצטברת מול אשתקד'!A44,מור!A:G,6,0)+VLOOKUP('תפוקה מצטברת מול אשתקד'!A44,'אלטשולר שחם'!A:G,6,0)+VLOOKUP('תפוקה מצטברת מול אשתקד'!A44,'מדיהו '!A:G,6,0)+VLOOKUP('תפוקה מצטברת מול אשתקד'!A44,'אנליסט '!A:G,6,0)+VLOOKUP('תפוקה מצטברת מול אשתקד'!A44,'מיטב דש'!A:G,6,0)+VLOOKUP('תפוקה מצטברת מול אשתקד'!A44,אינפניטי!A:G,6,0)</f>
        <v>999476</v>
      </c>
      <c r="K44" s="58">
        <f>VLOOKUP(A44,הכשרה!A:G,7,0)+VLOOKUP('תפוקה מצטברת מול אשתקד'!A44,מגדל!A:G,7,0)+VLOOKUP('תפוקה מצטברת מול אשתקד'!A44,מנורה!A:G,7,0)+VLOOKUP('תפוקה מצטברת מול אשתקד'!A44,איילון!A:G,7,0)+VLOOKUP('תפוקה מצטברת מול אשתקד'!A44,הראל!A:G,7,0)+VLOOKUP('תפוקה מצטברת מול אשתקד'!A44,הפניקס!A:G,7,0)+VLOOKUP('תפוקה מצטברת מול אשתקד'!A44,כלל!A:G,7,0)+VLOOKUP('תפוקה מצטברת מול אשתקד'!A44,מור!A:G,7,0)+VLOOKUP('תפוקה מצטברת מול אשתקד'!A44,'אלטשולר שחם'!A:G,7,0)+VLOOKUP('תפוקה מצטברת מול אשתקד'!A44,'מדיהו '!A:K,7,0)+VLOOKUP(A44,'אנליסט '!A:G,7,0)+VLOOKUP('תפוקה מצטברת מול אשתקד'!A44,'מיטב דש'!A:G,7,0)+VLOOKUP('תפוקה מצטברת מול אשתקד'!A44,אינפניטי!A:G,7,0)</f>
        <v>955923.42</v>
      </c>
      <c r="L44" s="12">
        <f>VLOOKUP(A44,הכשרה!A:K,8,0)+VLOOKUP('תפוקה מצטברת מול אשתקד'!A44,מגדל!A:K,8,0)+VLOOKUP('תפוקה מצטברת מול אשתקד'!A44,מנורה!A:K,8,0)+VLOOKUP('תפוקה מצטברת מול אשתקד'!A44,איילון!A:K,8,0)+VLOOKUP('תפוקה מצטברת מול אשתקד'!A44,הראל!A:K,8,0)+VLOOKUP('תפוקה מצטברת מול אשתקד'!A44,הפניקס!A:K,8,0)+VLOOKUP('תפוקה מצטברת מול אשתקד'!A44,כלל!A:K,8,0)+VLOOKUP('תפוקה מצטברת מול אשתקד'!A44,מור!A:K,8,0)+VLOOKUP('תפוקה מצטברת מול אשתקד'!A44,'אלטשולר שחם'!A:K,8,0)+VLOOKUP('תפוקה מצטברת מול אשתקד'!A44,'מדיהו '!A:K,8,0)+VLOOKUP('תפוקה מצטברת מול אשתקד'!A44,'אנליסט '!A:K,8,0)+VLOOKUP('תפוקה מצטברת מול אשתקד'!A44,'מיטב דש'!A:K,8,0)+VLOOKUP('תפוקה מצטברת מול אשתקד'!A44,אינפניטי!A:K,8,0)</f>
        <v>14011.130000000001</v>
      </c>
      <c r="M44" s="12">
        <f>VLOOKUP(A44,הכשרה!A:K,9,0)+VLOOKUP('תפוקה מצטברת מול אשתקד'!A44,מגדל!A:K,9,0)+VLOOKUP('תפוקה מצטברת מול אשתקד'!A44,מנורה!A:K,9,0)+VLOOKUP('תפוקה מצטברת מול אשתקד'!A44,איילון!A:K,9,0)+VLOOKUP('תפוקה מצטברת מול אשתקד'!A44,הראל!A:K,9,0)+VLOOKUP('תפוקה מצטברת מול אשתקד'!A44,הפניקס!A:K,9,0)+VLOOKUP('תפוקה מצטברת מול אשתקד'!A44,כלל!A:K,9,0)+VLOOKUP('תפוקה מצטברת מול אשתקד'!A44,מור!A:K,9,0)+VLOOKUP('תפוקה מצטברת מול אשתקד'!A44,'אלטשולר שחם'!A:K,9,0)+VLOOKUP('תפוקה מצטברת מול אשתקד'!A44,'מדיהו '!A:K,9,0)+VLOOKUP('תפוקה מצטברת מול אשתקד'!A44,'אנליסט '!A:K,9,0)+VLOOKUP('תפוקה מצטברת מול אשתקד'!A44,'מיטב דש'!A:K,9,0)+VLOOKUP('תפוקה מצטברת מול אשתקד'!A44,אינפניטי!A:K,9,0)</f>
        <v>3462.63</v>
      </c>
      <c r="N44" s="12">
        <f>VLOOKUP(A44,הכשרה!A:K,10,0)+VLOOKUP('תפוקה מצטברת מול אשתקד'!A44,מגדל!A:K,10,0)+VLOOKUP('תפוקה מצטברת מול אשתקד'!A44,מנורה!A:K,10,0)+VLOOKUP('תפוקה מצטברת מול אשתקד'!A44,איילון!A:K,10,0)+VLOOKUP('תפוקה מצטברת מול אשתקד'!A44,הראל!A:K,10,0)+VLOOKUP('תפוקה מצטברת מול אשתקד'!A44,הפניקס!A:K,10,0)+VLOOKUP('תפוקה מצטברת מול אשתקד'!A44,כלל!A:K,10,0)+VLOOKUP('תפוקה מצטברת מול אשתקד'!A44,מור!A:K,10,0)+VLOOKUP('תפוקה מצטברת מול אשתקד'!A44,'אלטשולר שחם'!A:K,10,0)+VLOOKUP('תפוקה מצטברת מול אשתקד'!A44,'מדיהו '!A:K,10,0)+VLOOKUP('תפוקה מצטברת מול אשתקד'!A44,'אנליסט '!A:K,10,0)+VLOOKUP('תפוקה מצטברת מול אשתקד'!A44,'מיטב דש'!A:K,10,0)+VLOOKUP('תפוקה מצטברת מול אשתקד'!A44,אינפניטי!A:K,10,0)</f>
        <v>247890</v>
      </c>
      <c r="O44" s="12">
        <f>VLOOKUP(A44,הכשרה!A:K,11,0)+VLOOKUP('תפוקה מצטברת מול אשתקד'!A44,מגדל!A:K,11,0)+VLOOKUP('תפוקה מצטברת מול אשתקד'!A44,מנורה!A:K,11,0)+VLOOKUP('תפוקה מצטברת מול אשתקד'!A44,איילון!A:K,11,0)+VLOOKUP('תפוקה מצטברת מול אשתקד'!A44,הראל!A:K,11,0)+VLOOKUP('תפוקה מצטברת מול אשתקד'!A44,הפניקס!A:K,11,0)+VLOOKUP('תפוקה מצטברת מול אשתקד'!A44,כלל!A:K,11,0)+VLOOKUP('תפוקה מצטברת מול אשתקד'!A44,מור!A:K,11,0)+VLOOKUP('תפוקה מצטברת מול אשתקד'!A44,'אלטשולר שחם'!A:K,11,0)+VLOOKUP('תפוקה מצטברת מול אשתקד'!A44,'מדיהו '!A:K,11,0)+VLOOKUP('תפוקה מצטברת מול אשתקד'!A44,'אנליסט '!A:K,11,0)+VLOOKUP('תפוקה מצטברת מול אשתקד'!A44,'מיטב דש'!A:K,11,0)+VLOOKUP('תפוקה מצטברת מול אשתקד'!A44,אינפניטי!A:K,11,0)</f>
        <v>0</v>
      </c>
    </row>
    <row r="45" spans="1:15" ht="15.75" customHeight="1" x14ac:dyDescent="0.25">
      <c r="A45" s="26" t="s">
        <v>97</v>
      </c>
      <c r="B45" s="26" t="s">
        <v>56</v>
      </c>
      <c r="C45" s="26" t="s">
        <v>107</v>
      </c>
      <c r="D45" s="19">
        <f t="shared" si="0"/>
        <v>0.87985036152559326</v>
      </c>
      <c r="E45" s="19">
        <f t="shared" si="0"/>
        <v>0.31516859714821832</v>
      </c>
      <c r="F45" s="19">
        <f t="shared" si="0"/>
        <v>25.615669799763239</v>
      </c>
      <c r="G45" s="19">
        <f t="shared" si="8"/>
        <v>-0.99134006815732567</v>
      </c>
      <c r="H45" s="58">
        <f>VLOOKUP(A45,הכשרה!A:G,4,0)+VLOOKUP('תפוקה מצטברת מול אשתקד'!A45,מגדל!A:G,4,0)+VLOOKUP('תפוקה מצטברת מול אשתקד'!A45,מנורה!A:G,4,0)+VLOOKUP('תפוקה מצטברת מול אשתקד'!A45,איילון!A:G,4,0)+VLOOKUP('תפוקה מצטברת מול אשתקד'!A45,הראל!A:G,4,0)+VLOOKUP('תפוקה מצטברת מול אשתקד'!A45,הפניקס!A:G,4,0)+VLOOKUP('תפוקה מצטברת מול אשתקד'!A45,כלל!A:G,4,0)+VLOOKUP('תפוקה מצטברת מול אשתקד'!A45,מור!A:G,4,0)+VLOOKUP('תפוקה מצטברת מול אשתקד'!A45,'אלטשולר שחם'!A:G,4,0)+VLOOKUP('תפוקה מצטברת מול אשתקד'!A45,'מדיהו '!A:G,4,0)+VLOOKUP('תפוקה מצטברת מול אשתקד'!A45,'אנליסט '!A:G,4,0)+VLOOKUP('תפוקה מצטברת מול אשתקד'!A45,'מיטב דש'!A:G,4,0)+VLOOKUP('תפוקה מצטברת מול אשתקד'!A45,אינפניטי!A:G,4,0)</f>
        <v>117927.34</v>
      </c>
      <c r="I45" s="58">
        <f>VLOOKUP(A45,הכשרה!A:G,5,0)+VLOOKUP('תפוקה מצטברת מול אשתקד'!A45,מגדל!A:G,5,0)+VLOOKUP('תפוקה מצטברת מול אשתקד'!A45,מנורה!A:G,5,0)+VLOOKUP('תפוקה מצטברת מול אשתקד'!A45,איילון!A:G,5,0)+VLOOKUP('תפוקה מצטברת מול אשתקד'!A45,הראל!A:G,5,0)+VLOOKUP('תפוקה מצטברת מול אשתקד'!A45,הפניקס!A:G,5,0)+VLOOKUP('תפוקה מצטברת מול אשתקד'!A45,כלל!A:G,5,0)+VLOOKUP('תפוקה מצטברת מול אשתקד'!A45,מור!A:G,5,0)+VLOOKUP('תפוקה מצטברת מול אשתקד'!A45,'אלטשולר שחם'!A:G,5,0)+VLOOKUP('תפוקה מצטברת מול אשתקד'!A45,'מדיהו '!A:G,5,0)+VLOOKUP('תפוקה מצטברת מול אשתקד'!A45,'אנליסט '!A:G,5,0)+VLOOKUP('תפוקה מצטברת מול אשתקד'!A45,'מיטב דש'!A:G,5,0)+VLOOKUP('תפוקה מצטברת מול אשתקד'!A45,אינפניטי!A:G,5,0)</f>
        <v>1661.15</v>
      </c>
      <c r="J45" s="58">
        <f>VLOOKUP(A45,הכשרה!A:G,6,0)+VLOOKUP('תפוקה מצטברת מול אשתקד'!A45,מגדל!A:G,6,0)+VLOOKUP('תפוקה מצטברת מול אשתקד'!A45,מנורה!A:G,6,0)+VLOOKUP('תפוקה מצטברת מול אשתקד'!A45,איילון!A:G,6,0)+VLOOKUP(A45,הראל!A:G,6,0)+VLOOKUP('תפוקה מצטברת מול אשתקד'!A45,הפניקס!A:G,6,0)+VLOOKUP('תפוקה מצטברת מול אשתקד'!A45,כלל!A:G,6,0)+VLOOKUP('תפוקה מצטברת מול אשתקד'!A45,מור!A:G,6,0)+VLOOKUP('תפוקה מצטברת מול אשתקד'!A45,'אלטשולר שחם'!A:G,6,0)+VLOOKUP('תפוקה מצטברת מול אשתקד'!A45,'מדיהו '!A:G,6,0)+VLOOKUP('תפוקה מצטברת מול אשתקד'!A45,'אנליסט '!A:G,6,0)+VLOOKUP('תפוקה מצטברת מול אשתקד'!A45,'מיטב דש'!A:G,6,0)+VLOOKUP('תפוקה מצטברת מול אשתקד'!A45,אינפניטי!A:G,6,0)</f>
        <v>1427521.44</v>
      </c>
      <c r="K45" s="58">
        <f>VLOOKUP(A45,הכשרה!A:G,7,0)+VLOOKUP('תפוקה מצטברת מול אשתקד'!A45,מגדל!A:G,7,0)+VLOOKUP('תפוקה מצטברת מול אשתקד'!A45,מנורה!A:G,7,0)+VLOOKUP('תפוקה מצטברת מול אשתקד'!A45,איילון!A:G,7,0)+VLOOKUP('תפוקה מצטברת מול אשתקד'!A45,הראל!A:G,7,0)+VLOOKUP('תפוקה מצטברת מול אשתקד'!A45,הפניקס!A:G,7,0)+VLOOKUP('תפוקה מצטברת מול אשתקד'!A45,כלל!A:G,7,0)+VLOOKUP('תפוקה מצטברת מול אשתקד'!A45,מור!A:G,7,0)+VLOOKUP('תפוקה מצטברת מול אשתקד'!A45,'אלטשולר שחם'!A:G,7,0)+VLOOKUP('תפוקה מצטברת מול אשתקד'!A45,'מדיהו '!A:K,7,0)+VLOOKUP(A45,'אנליסט '!A:G,7,0)+VLOOKUP('תפוקה מצטברת מול אשתקד'!A45,'מיטב דש'!A:G,7,0)+VLOOKUP('תפוקה מצטברת מול אשתקד'!A45,אינפניטי!A:G,7,0)</f>
        <v>8253</v>
      </c>
      <c r="L45" s="12">
        <f>VLOOKUP(A45,הכשרה!A:K,8,0)+VLOOKUP('תפוקה מצטברת מול אשתקד'!A45,מגדל!A:K,8,0)+VLOOKUP('תפוקה מצטברת מול אשתקד'!A45,מנורה!A:K,8,0)+VLOOKUP('תפוקה מצטברת מול אשתקד'!A45,איילון!A:K,8,0)+VLOOKUP('תפוקה מצטברת מול אשתקד'!A45,הראל!A:K,8,0)+VLOOKUP('תפוקה מצטברת מול אשתקד'!A45,הפניקס!A:K,8,0)+VLOOKUP('תפוקה מצטברת מול אשתקד'!A45,כלל!A:K,8,0)+VLOOKUP('תפוקה מצטברת מול אשתקד'!A45,מור!A:K,8,0)+VLOOKUP('תפוקה מצטברת מול אשתקד'!A45,'אלטשולר שחם'!A:K,8,0)+VLOOKUP('תפוקה מצטברת מול אשתקד'!A45,'מדיהו '!A:K,8,0)+VLOOKUP('תפוקה מצטברת מול אשתקד'!A45,'אנליסט '!A:K,8,0)+VLOOKUP('תפוקה מצטברת מול אשתקד'!A45,'מיטב דש'!A:K,8,0)+VLOOKUP('תפוקה מצטברת מול אשתקד'!A45,אינפניטי!A:K,8,0)</f>
        <v>62732.301684000005</v>
      </c>
      <c r="M45" s="12">
        <f>VLOOKUP(A45,הכשרה!A:K,9,0)+VLOOKUP('תפוקה מצטברת מול אשתקד'!A45,מגדל!A:K,9,0)+VLOOKUP('תפוקה מצטברת מול אשתקד'!A45,מנורה!A:K,9,0)+VLOOKUP('תפוקה מצטברת מול אשתקד'!A45,איילון!A:K,9,0)+VLOOKUP('תפוקה מצטברת מול אשתקד'!A45,הראל!A:K,9,0)+VLOOKUP('תפוקה מצטברת מול אשתקד'!A45,הפניקס!A:K,9,0)+VLOOKUP('תפוקה מצטברת מול אשתקד'!A45,כלל!A:K,9,0)+VLOOKUP('תפוקה מצטברת מול אשתקד'!A45,מור!A:K,9,0)+VLOOKUP('תפוקה מצטברת מול אשתקד'!A45,'אלטשולר שחם'!A:K,9,0)+VLOOKUP('תפוקה מצטברת מול אשתקד'!A45,'מדיהו '!A:K,9,0)+VLOOKUP('תפוקה מצטברת מול אשתקד'!A45,'אנליסט '!A:K,9,0)+VLOOKUP('תפוקה מצטברת מול אשתקד'!A45,'מיטב דש'!A:K,9,0)+VLOOKUP('תפוקה מצטברת מול אשתקד'!A45,אינפניטי!A:K,9,0)</f>
        <v>1263.07</v>
      </c>
      <c r="N45" s="12">
        <f>VLOOKUP(A45,הכשרה!A:K,10,0)+VLOOKUP('תפוקה מצטברת מול אשתקד'!A45,מגדל!A:K,10,0)+VLOOKUP('תפוקה מצטברת מול אשתקד'!A45,מנורה!A:K,10,0)+VLOOKUP('תפוקה מצטברת מול אשתקד'!A45,איילון!A:K,10,0)+VLOOKUP('תפוקה מצטברת מול אשתקד'!A45,הראל!A:K,10,0)+VLOOKUP('תפוקה מצטברת מול אשתקד'!A45,הפניקס!A:K,10,0)+VLOOKUP('תפוקה מצטברת מול אשתקד'!A45,כלל!A:K,10,0)+VLOOKUP('תפוקה מצטברת מול אשתקד'!A45,מור!A:K,10,0)+VLOOKUP('תפוקה מצטברת מול אשתקד'!A45,'אלטשולר שחם'!A:K,10,0)+VLOOKUP('תפוקה מצטברת מול אשתקד'!A45,'מדיהו '!A:K,10,0)+VLOOKUP('תפוקה מצטברת מול אשתקד'!A45,'אנליסט '!A:K,10,0)+VLOOKUP('תפוקה מצטברת מול אשתקד'!A45,'מיטב דש'!A:K,10,0)+VLOOKUP('תפוקה מצטברת מול אשתקד'!A45,אינפניטי!A:K,10,0)</f>
        <v>53634.623916648474</v>
      </c>
      <c r="O45" s="12">
        <f>VLOOKUP(A45,הכשרה!A:K,11,0)+VLOOKUP('תפוקה מצטברת מול אשתקד'!A45,מגדל!A:K,11,0)+VLOOKUP('תפוקה מצטברת מול אשתקד'!A45,מנורה!A:K,11,0)+VLOOKUP('תפוקה מצטברת מול אשתקד'!A45,איילון!A:K,11,0)+VLOOKUP('תפוקה מצטברת מול אשתקד'!A45,הראל!A:K,11,0)+VLOOKUP('תפוקה מצטברת מול אשתקד'!A45,הפניקס!A:K,11,0)+VLOOKUP('תפוקה מצטברת מול אשתקד'!A45,כלל!A:K,11,0)+VLOOKUP('תפוקה מצטברת מול אשתקד'!A45,מור!A:K,11,0)+VLOOKUP('תפוקה מצטברת מול אשתקד'!A45,'אלטשולר שחם'!A:K,11,0)+VLOOKUP('תפוקה מצטברת מול אשתקד'!A45,'מדיהו '!A:K,11,0)+VLOOKUP('תפוקה מצטברת מול אשתקד'!A45,'אנליסט '!A:K,11,0)+VLOOKUP('תפוקה מצטברת מול אשתקד'!A45,'מיטב דש'!A:K,11,0)+VLOOKUP('תפוקה מצטברת מול אשתקד'!A45,אינפניטי!A:K,11,0)</f>
        <v>953009.81</v>
      </c>
    </row>
    <row r="46" spans="1:15" ht="15.75" customHeight="1" x14ac:dyDescent="0.25">
      <c r="A46" s="26" t="s">
        <v>39</v>
      </c>
      <c r="B46" s="26" t="s">
        <v>56</v>
      </c>
      <c r="C46" s="26" t="s">
        <v>107</v>
      </c>
      <c r="D46" s="19">
        <f t="shared" si="0"/>
        <v>-7.7281802004354527E-2</v>
      </c>
      <c r="E46" s="19">
        <f t="shared" si="0"/>
        <v>14.615161422849122</v>
      </c>
      <c r="F46" s="19">
        <f t="shared" si="0"/>
        <v>0</v>
      </c>
      <c r="G46" s="19" t="e">
        <f t="shared" si="8"/>
        <v>#DIV/0!</v>
      </c>
      <c r="H46" s="58">
        <f>VLOOKUP(A46,הכשרה!A:G,4,0)+VLOOKUP('תפוקה מצטברת מול אשתקד'!A46,מגדל!A:G,4,0)+VLOOKUP('תפוקה מצטברת מול אשתקד'!A46,מנורה!A:G,4,0)+VLOOKUP('תפוקה מצטברת מול אשתקד'!A46,איילון!A:G,4,0)+VLOOKUP('תפוקה מצטברת מול אשתקד'!A46,הראל!A:G,4,0)+VLOOKUP('תפוקה מצטברת מול אשתקד'!A46,הפניקס!A:G,4,0)+VLOOKUP('תפוקה מצטברת מול אשתקד'!A46,כלל!A:G,4,0)+VLOOKUP('תפוקה מצטברת מול אשתקד'!A46,מור!A:G,4,0)+VLOOKUP('תפוקה מצטברת מול אשתקד'!A46,'אלטשולר שחם'!A:G,4,0)+VLOOKUP('תפוקה מצטברת מול אשתקד'!A46,'מדיהו '!A:G,4,0)+VLOOKUP('תפוקה מצטברת מול אשתקד'!A46,'אנליסט '!A:G,4,0)+VLOOKUP('תפוקה מצטברת מול אשתקד'!A46,'מיטב דש'!A:G,4,0)+VLOOKUP('תפוקה מצטברת מול אשתקד'!A46,אינפניטי!A:G,4,0)</f>
        <v>104471.52</v>
      </c>
      <c r="I46" s="58">
        <f>VLOOKUP(A46,הכשרה!A:G,5,0)+VLOOKUP('תפוקה מצטברת מול אשתקד'!A46,מגדל!A:G,5,0)+VLOOKUP('תפוקה מצטברת מול אשתקד'!A46,מנורה!A:G,5,0)+VLOOKUP('תפוקה מצטברת מול אשתקד'!A46,איילון!A:G,5,0)+VLOOKUP('תפוקה מצטברת מול אשתקד'!A46,הראל!A:G,5,0)+VLOOKUP('תפוקה מצטברת מול אשתקד'!A46,הפניקס!A:G,5,0)+VLOOKUP('תפוקה מצטברת מול אשתקד'!A46,כלל!A:G,5,0)+VLOOKUP('תפוקה מצטברת מול אשתקד'!A46,מור!A:G,5,0)+VLOOKUP('תפוקה מצטברת מול אשתקד'!A46,'אלטשולר שחם'!A:G,5,0)+VLOOKUP('תפוקה מצטברת מול אשתקד'!A46,'מדיהו '!A:G,5,0)+VLOOKUP('תפוקה מצטברת מול אשתקד'!A46,'אנליסט '!A:G,5,0)+VLOOKUP('תפוקה מצטברת מול אשתקד'!A46,'מיטב דש'!A:G,5,0)+VLOOKUP('תפוקה מצטברת מול אשתקד'!A46,אינפניטי!A:G,5,0)</f>
        <v>18244.129999999997</v>
      </c>
      <c r="J46" s="58">
        <f>VLOOKUP(A46,הכשרה!A:G,6,0)+VLOOKUP('תפוקה מצטברת מול אשתקד'!A46,מגדל!A:G,6,0)+VLOOKUP('תפוקה מצטברת מול אשתקד'!A46,מנורה!A:G,6,0)+VLOOKUP('תפוקה מצטברת מול אשתקד'!A46,איילון!A:G,6,0)+VLOOKUP(A46,הראל!A:G,6,0)+VLOOKUP('תפוקה מצטברת מול אשתקד'!A46,הפניקס!A:G,6,0)+VLOOKUP('תפוקה מצטברת מול אשתקד'!A46,כלל!A:G,6,0)+VLOOKUP('תפוקה מצטברת מול אשתקד'!A46,מור!A:G,6,0)+VLOOKUP('תפוקה מצטברת מול אשתקד'!A46,'אלטשולר שחם'!A:G,6,0)+VLOOKUP('תפוקה מצטברת מול אשתקד'!A46,'מדיהו '!A:G,6,0)+VLOOKUP('תפוקה מצטברת מול אשתקד'!A46,'אנליסט '!A:G,6,0)+VLOOKUP('תפוקה מצטברת מול אשתקד'!A46,'מיטב דש'!A:G,6,0)+VLOOKUP('תפוקה מצטברת מול אשתקד'!A46,אינפניטי!A:G,6,0)</f>
        <v>0</v>
      </c>
      <c r="K46" s="58">
        <f>VLOOKUP(A46,הכשרה!A:G,7,0)+VLOOKUP('תפוקה מצטברת מול אשתקד'!A46,מגדל!A:G,7,0)+VLOOKUP('תפוקה מצטברת מול אשתקד'!A46,מנורה!A:G,7,0)+VLOOKUP('תפוקה מצטברת מול אשתקד'!A46,איילון!A:G,7,0)+VLOOKUP('תפוקה מצטברת מול אשתקד'!A46,הראל!A:G,7,0)+VLOOKUP('תפוקה מצטברת מול אשתקד'!A46,הפניקס!A:G,7,0)+VLOOKUP('תפוקה מצטברת מול אשתקד'!A46,כלל!A:G,7,0)+VLOOKUP('תפוקה מצטברת מול אשתקד'!A46,מור!A:G,7,0)+VLOOKUP('תפוקה מצטברת מול אשתקד'!A46,'אלטשולר שחם'!A:G,7,0)+VLOOKUP('תפוקה מצטברת מול אשתקד'!A46,'מדיהו '!A:K,7,0)+VLOOKUP(A46,'אנליסט '!A:G,7,0)+VLOOKUP('תפוקה מצטברת מול אשתקד'!A46,'מיטב דש'!A:G,7,0)+VLOOKUP('תפוקה מצטברת מול אשתקד'!A46,אינפניטי!A:G,7,0)</f>
        <v>140806.85999999999</v>
      </c>
      <c r="L46" s="12">
        <f>VLOOKUP(A46,הכשרה!A:K,8,0)+VLOOKUP('תפוקה מצטברת מול אשתקד'!A46,מגדל!A:K,8,0)+VLOOKUP('תפוקה מצטברת מול אשתקד'!A46,מנורה!A:K,8,0)+VLOOKUP('תפוקה מצטברת מול אשתקד'!A46,איילון!A:K,8,0)+VLOOKUP('תפוקה מצטברת מול אשתקד'!A46,הראל!A:K,8,0)+VLOOKUP('תפוקה מצטברת מול אשתקד'!A46,הפניקס!A:K,8,0)+VLOOKUP('תפוקה מצטברת מול אשתקד'!A46,כלל!A:K,8,0)+VLOOKUP('תפוקה מצטברת מול אשתקד'!A46,מור!A:K,8,0)+VLOOKUP('תפוקה מצטברת מול אשתקד'!A46,'אלטשולר שחם'!A:K,8,0)+VLOOKUP('תפוקה מצטברת מול אשתקד'!A46,'מדיהו '!A:K,8,0)+VLOOKUP('תפוקה מצטברת מול אשתקד'!A46,'אנליסט '!A:K,8,0)+VLOOKUP('תפוקה מצטברת מול אשתקד'!A46,'מיטב דש'!A:K,8,0)+VLOOKUP('תפוקה מצטברת מול אשתקד'!A46,אינפניטי!A:K,8,0)</f>
        <v>113221.48</v>
      </c>
      <c r="M46" s="12">
        <f>VLOOKUP(A46,הכשרה!A:K,9,0)+VLOOKUP('תפוקה מצטברת מול אשתקד'!A46,מגדל!A:K,9,0)+VLOOKUP('תפוקה מצטברת מול אשתקד'!A46,מנורה!A:K,9,0)+VLOOKUP('תפוקה מצטברת מול אשתקד'!A46,איילון!A:K,9,0)+VLOOKUP('תפוקה מצטברת מול אשתקד'!A46,הראל!A:K,9,0)+VLOOKUP('תפוקה מצטברת מול אשתקד'!A46,הפניקס!A:K,9,0)+VLOOKUP('תפוקה מצטברת מול אשתקד'!A46,כלל!A:K,9,0)+VLOOKUP('תפוקה מצטברת מול אשתקד'!A46,מור!A:K,9,0)+VLOOKUP('תפוקה מצטברת מול אשתקד'!A46,'אלטשולר שחם'!A:K,9,0)+VLOOKUP('תפוקה מצטברת מול אשתקד'!A46,'מדיהו '!A:K,9,0)+VLOOKUP('תפוקה מצטברת מול אשתקד'!A46,'אנליסט '!A:K,9,0)+VLOOKUP('תפוקה מצטברת מול אשתקד'!A46,'מיטב דש'!A:K,9,0)+VLOOKUP('תפוקה מצטברת מול אשתקד'!A46,אינפניטי!A:K,9,0)</f>
        <v>1168.3599999999999</v>
      </c>
      <c r="N46" s="12">
        <f>VLOOKUP(A46,הכשרה!A:K,10,0)+VLOOKUP('תפוקה מצטברת מול אשתקד'!A46,מגדל!A:K,10,0)+VLOOKUP('תפוקה מצטברת מול אשתקד'!A46,מנורה!A:K,10,0)+VLOOKUP('תפוקה מצטברת מול אשתקד'!A46,איילון!A:K,10,0)+VLOOKUP('תפוקה מצטברת מול אשתקד'!A46,הראל!A:K,10,0)+VLOOKUP('תפוקה מצטברת מול אשתקד'!A46,הפניקס!A:K,10,0)+VLOOKUP('תפוקה מצטברת מול אשתקד'!A46,כלל!A:K,10,0)+VLOOKUP('תפוקה מצטברת מול אשתקד'!A46,מור!A:K,10,0)+VLOOKUP('תפוקה מצטברת מול אשתקד'!A46,'אלטשולר שחם'!A:K,10,0)+VLOOKUP('תפוקה מצטברת מול אשתקד'!A46,'מדיהו '!A:K,10,0)+VLOOKUP('תפוקה מצטברת מול אשתקד'!A46,'אנליסט '!A:K,10,0)+VLOOKUP('תפוקה מצטברת מול אשתקד'!A46,'מיטב דש'!A:K,10,0)+VLOOKUP('תפוקה מצטברת מול אשתקד'!A46,אינפניטי!A:K,10,0)</f>
        <v>21991.18</v>
      </c>
      <c r="O46" s="12">
        <f>VLOOKUP(A46,הכשרה!A:K,11,0)+VLOOKUP('תפוקה מצטברת מול אשתקד'!A46,מגדל!A:K,11,0)+VLOOKUP('תפוקה מצטברת מול אשתקד'!A46,מנורה!A:K,11,0)+VLOOKUP('תפוקה מצטברת מול אשתקד'!A46,איילון!A:K,11,0)+VLOOKUP('תפוקה מצטברת מול אשתקד'!A46,הראל!A:K,11,0)+VLOOKUP('תפוקה מצטברת מול אשתקד'!A46,הפניקס!A:K,11,0)+VLOOKUP('תפוקה מצטברת מול אשתקד'!A46,כלל!A:K,11,0)+VLOOKUP('תפוקה מצטברת מול אשתקד'!A46,מור!A:K,11,0)+VLOOKUP('תפוקה מצטברת מול אשתקד'!A46,'אלטשולר שחם'!A:K,11,0)+VLOOKUP('תפוקה מצטברת מול אשתקד'!A46,'מדיהו '!A:K,11,0)+VLOOKUP('תפוקה מצטברת מול אשתקד'!A46,'אנליסט '!A:K,11,0)+VLOOKUP('תפוקה מצטברת מול אשתקד'!A46,'מיטב דש'!A:K,11,0)+VLOOKUP('תפוקה מצטברת מול אשתקד'!A46,אינפניטי!A:K,11,0)</f>
        <v>0</v>
      </c>
    </row>
    <row r="47" spans="1:15" ht="15.75" customHeight="1" x14ac:dyDescent="0.25">
      <c r="A47" s="26" t="s">
        <v>91</v>
      </c>
      <c r="B47" s="26" t="s">
        <v>56</v>
      </c>
      <c r="C47" s="26" t="s">
        <v>107</v>
      </c>
      <c r="D47" s="19">
        <f t="shared" si="0"/>
        <v>1.0286666866369898</v>
      </c>
      <c r="E47" s="19">
        <f t="shared" si="0"/>
        <v>-0.23186923758678868</v>
      </c>
      <c r="F47" s="19">
        <f t="shared" si="0"/>
        <v>-0.70911646681667184</v>
      </c>
      <c r="G47" s="19">
        <f t="shared" si="8"/>
        <v>-0.57879001731310942</v>
      </c>
      <c r="H47" s="58">
        <f>VLOOKUP(A47,הכשרה!A:G,4,0)+VLOOKUP('תפוקה מצטברת מול אשתקד'!A47,מגדל!A:G,4,0)+VLOOKUP('תפוקה מצטברת מול אשתקד'!A47,מנורה!A:G,4,0)+VLOOKUP('תפוקה מצטברת מול אשתקד'!A47,איילון!A:G,4,0)+VLOOKUP('תפוקה מצטברת מול אשתקד'!A47,הראל!A:G,4,0)+VLOOKUP('תפוקה מצטברת מול אשתקד'!A47,הפניקס!A:G,4,0)+VLOOKUP('תפוקה מצטברת מול אשתקד'!A47,כלל!A:G,4,0)+VLOOKUP('תפוקה מצטברת מול אשתקד'!A47,מור!A:G,4,0)+VLOOKUP('תפוקה מצטברת מול אשתקד'!A47,'אלטשולר שחם'!A:G,4,0)+VLOOKUP('תפוקה מצטברת מול אשתקד'!A47,'מדיהו '!A:G,4,0)+VLOOKUP('תפוקה מצטברת מול אשתקד'!A47,'אנליסט '!A:G,4,0)+VLOOKUP('תפוקה מצטברת מול אשתקד'!A47,'מיטב דש'!A:G,4,0)+VLOOKUP('תפוקה מצטברת מול אשתקד'!A47,אינפניטי!A:G,4,0)</f>
        <v>174658.91</v>
      </c>
      <c r="I47" s="58">
        <f>VLOOKUP(A47,הכשרה!A:G,5,0)+VLOOKUP('תפוקה מצטברת מול אשתקד'!A47,מגדל!A:G,5,0)+VLOOKUP('תפוקה מצטברת מול אשתקד'!A47,מנורה!A:G,5,0)+VLOOKUP('תפוקה מצטברת מול אשתקד'!A47,איילון!A:G,5,0)+VLOOKUP('תפוקה מצטברת מול אשתקד'!A47,הראל!A:G,5,0)+VLOOKUP('תפוקה מצטברת מול אשתקד'!A47,הפניקס!A:G,5,0)+VLOOKUP('תפוקה מצטברת מול אשתקד'!A47,כלל!A:G,5,0)+VLOOKUP('תפוקה מצטברת מול אשתקד'!A47,מור!A:G,5,0)+VLOOKUP('תפוקה מצטברת מול אשתקד'!A47,'אלטשולר שחם'!A:G,5,0)+VLOOKUP('תפוקה מצטברת מול אשתקד'!A47,'מדיהו '!A:G,5,0)+VLOOKUP('תפוקה מצטברת מול אשתקד'!A47,'אנליסט '!A:G,5,0)+VLOOKUP('תפוקה מצטברת מול אשתקד'!A47,'מיטב דש'!A:G,5,0)+VLOOKUP('תפוקה מצטברת מול אשתקד'!A47,אינפניטי!A:G,5,0)</f>
        <v>7378.1669999999995</v>
      </c>
      <c r="J47" s="58">
        <f>VLOOKUP(A47,הכשרה!A:G,6,0)+VLOOKUP('תפוקה מצטברת מול אשתקד'!A47,מגדל!A:G,6,0)+VLOOKUP('תפוקה מצטברת מול אשתקד'!A47,מנורה!A:G,6,0)+VLOOKUP('תפוקה מצטברת מול אשתקד'!A47,איילון!A:G,6,0)+VLOOKUP(A47,הראל!A:G,6,0)+VLOOKUP('תפוקה מצטברת מול אשתקד'!A47,הפניקס!A:G,6,0)+VLOOKUP('תפוקה מצטברת מול אשתקד'!A47,כלל!A:G,6,0)+VLOOKUP('תפוקה מצטברת מול אשתקד'!A47,מור!A:G,6,0)+VLOOKUP('תפוקה מצטברת מול אשתקד'!A47,'אלטשולר שחם'!A:G,6,0)+VLOOKUP('תפוקה מצטברת מול אשתקד'!A47,'מדיהו '!A:G,6,0)+VLOOKUP('תפוקה מצטברת מול אשתקד'!A47,'אנליסט '!A:G,6,0)+VLOOKUP('תפוקה מצטברת מול אשתקד'!A47,'מיטב דש'!A:G,6,0)+VLOOKUP('תפוקה מצטברת מול אשתקד'!A47,אינפניטי!A:G,6,0)</f>
        <v>95992.86</v>
      </c>
      <c r="K47" s="58">
        <f>VLOOKUP(A47,הכשרה!A:G,7,0)+VLOOKUP('תפוקה מצטברת מול אשתקד'!A47,מגדל!A:G,7,0)+VLOOKUP('תפוקה מצטברת מול אשתקד'!A47,מנורה!A:G,7,0)+VLOOKUP('תפוקה מצטברת מול אשתקד'!A47,איילון!A:G,7,0)+VLOOKUP('תפוקה מצטברת מול אשתקד'!A47,הראל!A:G,7,0)+VLOOKUP('תפוקה מצטברת מול אשתקד'!A47,הפניקס!A:G,7,0)+VLOOKUP('תפוקה מצטברת מול אשתקד'!A47,כלל!A:G,7,0)+VLOOKUP('תפוקה מצטברת מול אשתקד'!A47,מור!A:G,7,0)+VLOOKUP('תפוקה מצטברת מול אשתקד'!A47,'אלטשולר שחם'!A:G,7,0)+VLOOKUP('תפוקה מצטברת מול אשתקד'!A47,'מדיהו '!A:K,7,0)+VLOOKUP(A47,'אנליסט '!A:G,7,0)+VLOOKUP('תפוקה מצטברת מול אשתקד'!A47,'מיטב דש'!A:G,7,0)+VLOOKUP('תפוקה מצטברת מול אשתקד'!A47,אינפניטי!A:G,7,0)</f>
        <v>593317.69999999995</v>
      </c>
      <c r="L47" s="12">
        <f>VLOOKUP(A47,הכשרה!A:K,8,0)+VLOOKUP('תפוקה מצטברת מול אשתקד'!A47,מגדל!A:K,8,0)+VLOOKUP('תפוקה מצטברת מול אשתקד'!A47,מנורה!A:K,8,0)+VLOOKUP('תפוקה מצטברת מול אשתקד'!A47,איילון!A:K,8,0)+VLOOKUP('תפוקה מצטברת מול אשתקד'!A47,הראל!A:K,8,0)+VLOOKUP('תפוקה מצטברת מול אשתקד'!A47,הפניקס!A:K,8,0)+VLOOKUP('תפוקה מצטברת מול אשתקד'!A47,כלל!A:K,8,0)+VLOOKUP('תפוקה מצטברת מול אשתקד'!A47,מור!A:K,8,0)+VLOOKUP('תפוקה מצטברת מול אשתקד'!A47,'אלטשולר שחם'!A:K,8,0)+VLOOKUP('תפוקה מצטברת מול אשתקד'!A47,'מדיהו '!A:K,8,0)+VLOOKUP('תפוקה מצטברת מול אשתקד'!A47,'אנליסט '!A:K,8,0)+VLOOKUP('תפוקה מצטברת מול אשתקד'!A47,'מיטב דש'!A:K,8,0)+VLOOKUP('תפוקה מצטברת מול אשתקד'!A47,אינפניטי!A:K,8,0)</f>
        <v>86095.41979</v>
      </c>
      <c r="M47" s="12">
        <f>VLOOKUP(A47,הכשרה!A:K,9,0)+VLOOKUP('תפוקה מצטברת מול אשתקד'!A47,מגדל!A:K,9,0)+VLOOKUP('תפוקה מצטברת מול אשתקד'!A47,מנורה!A:K,9,0)+VLOOKUP('תפוקה מצטברת מול אשתקד'!A47,איילון!A:K,9,0)+VLOOKUP('תפוקה מצטברת מול אשתקד'!A47,הראל!A:K,9,0)+VLOOKUP('תפוקה מצטברת מול אשתקד'!A47,הפניקס!A:K,9,0)+VLOOKUP('תפוקה מצטברת מול אשתקד'!A47,כלל!A:K,9,0)+VLOOKUP('תפוקה מצטברת מול אשתקד'!A47,מור!A:K,9,0)+VLOOKUP('תפוקה מצטברת מול אשתקד'!A47,'אלטשולר שחם'!A:K,9,0)+VLOOKUP('תפוקה מצטברת מול אשתקד'!A47,'מדיהו '!A:K,9,0)+VLOOKUP('תפוקה מצטברת מול אשתקד'!A47,'אנליסט '!A:K,9,0)+VLOOKUP('תפוקה מצטברת מול אשתקד'!A47,'מיטב דש'!A:K,9,0)+VLOOKUP('תפוקה מצטברת מול אשתקד'!A47,אינפניטי!A:K,9,0)</f>
        <v>9605.3528396913225</v>
      </c>
      <c r="N47" s="12">
        <f>VLOOKUP(A47,הכשרה!A:K,10,0)+VLOOKUP('תפוקה מצטברת מול אשתקד'!A47,מגדל!A:K,10,0)+VLOOKUP('תפוקה מצטברת מול אשתקד'!A47,מנורה!A:K,10,0)+VLOOKUP('תפוקה מצטברת מול אשתקד'!A47,איילון!A:K,10,0)+VLOOKUP('תפוקה מצטברת מול אשתקד'!A47,הראל!A:K,10,0)+VLOOKUP('תפוקה מצטברת מול אשתקד'!A47,הפניקס!A:K,10,0)+VLOOKUP('תפוקה מצטברת מול אשתקד'!A47,כלל!A:K,10,0)+VLOOKUP('תפוקה מצטברת מול אשתקד'!A47,מור!A:K,10,0)+VLOOKUP('תפוקה מצטברת מול אשתקד'!A47,'אלטשולר שחם'!A:K,10,0)+VLOOKUP('תפוקה מצטברת מול אשתקד'!A47,'מדיהו '!A:K,10,0)+VLOOKUP('תפוקה מצטברת מול אשתקד'!A47,'אנליסט '!A:K,10,0)+VLOOKUP('תפוקה מצטברת מול אשתקד'!A47,'מיטב דש'!A:K,10,0)+VLOOKUP('תפוקה מצטברת מול אשתקד'!A47,אינפניטי!A:K,10,0)</f>
        <v>330004.44868600002</v>
      </c>
      <c r="O47" s="12">
        <f>VLOOKUP(A47,הכשרה!A:K,11,0)+VLOOKUP('תפוקה מצטברת מול אשתקד'!A47,מגדל!A:K,11,0)+VLOOKUP('תפוקה מצטברת מול אשתקד'!A47,מנורה!A:K,11,0)+VLOOKUP('תפוקה מצטברת מול אשתקד'!A47,איילון!A:K,11,0)+VLOOKUP('תפוקה מצטברת מול אשתקד'!A47,הראל!A:K,11,0)+VLOOKUP('תפוקה מצטברת מול אשתקד'!A47,הפניקס!A:K,11,0)+VLOOKUP('תפוקה מצטברת מול אשתקד'!A47,כלל!A:K,11,0)+VLOOKUP('תפוקה מצטברת מול אשתקד'!A47,מור!A:K,11,0)+VLOOKUP('תפוקה מצטברת מול אשתקד'!A47,'אלטשולר שחם'!A:K,11,0)+VLOOKUP('תפוקה מצטברת מול אשתקד'!A47,'מדיהו '!A:K,11,0)+VLOOKUP('תפוקה מצטברת מול אשתקד'!A47,'אנליסט '!A:K,11,0)+VLOOKUP('תפוקה מצטברת מול אשתקד'!A47,'מיטב דש'!A:K,11,0)+VLOOKUP('תפוקה מצטברת מול אשתקד'!A47,אינפניטי!A:K,11,0)</f>
        <v>1408603.1300000001</v>
      </c>
    </row>
    <row r="48" spans="1:15" ht="15.75" customHeight="1" x14ac:dyDescent="0.25">
      <c r="A48" s="26" t="s">
        <v>41</v>
      </c>
      <c r="B48" s="26" t="s">
        <v>56</v>
      </c>
      <c r="C48" s="26" t="s">
        <v>107</v>
      </c>
      <c r="D48" s="19">
        <f t="shared" si="0"/>
        <v>-0.57712441815387794</v>
      </c>
      <c r="E48" s="19">
        <f t="shared" si="0"/>
        <v>-1.0772591580143263</v>
      </c>
      <c r="F48" s="19">
        <f t="shared" si="0"/>
        <v>0</v>
      </c>
      <c r="G48" s="19">
        <f t="shared" si="8"/>
        <v>0</v>
      </c>
      <c r="H48" s="58">
        <f>VLOOKUP(A48,הכשרה!A:G,4,0)+VLOOKUP('תפוקה מצטברת מול אשתקד'!A48,מגדל!A:G,4,0)+VLOOKUP('תפוקה מצטברת מול אשתקד'!A48,מנורה!A:G,4,0)+VLOOKUP('תפוקה מצטברת מול אשתקד'!A48,איילון!A:G,4,0)+VLOOKUP('תפוקה מצטברת מול אשתקד'!A48,הראל!A:G,4,0)+VLOOKUP('תפוקה מצטברת מול אשתקד'!A48,הפניקס!A:G,4,0)+VLOOKUP('תפוקה מצטברת מול אשתקד'!A48,כלל!A:G,4,0)+VLOOKUP('תפוקה מצטברת מול אשתקד'!A48,מור!A:G,4,0)+VLOOKUP('תפוקה מצטברת מול אשתקד'!A48,'אלטשולר שחם'!A:G,4,0)+VLOOKUP('תפוקה מצטברת מול אשתקד'!A48,'מדיהו '!A:G,4,0)+VLOOKUP('תפוקה מצטברת מול אשתקד'!A48,'אנליסט '!A:G,4,0)+VLOOKUP('תפוקה מצטברת מול אשתקד'!A48,'מיטב דש'!A:G,4,0)+VLOOKUP('תפוקה מצטברת מול אשתקד'!A48,אינפניטי!A:G,4,0)</f>
        <v>12130</v>
      </c>
      <c r="I48" s="58">
        <f>VLOOKUP(A48,הכשרה!A:G,5,0)+VLOOKUP('תפוקה מצטברת מול אשתקד'!A48,מגדל!A:G,5,0)+VLOOKUP('תפוקה מצטברת מול אשתקד'!A48,מנורה!A:G,5,0)+VLOOKUP('תפוקה מצטברת מול אשתקד'!A48,איילון!A:G,5,0)+VLOOKUP('תפוקה מצטברת מול אשתקד'!A48,הראל!A:G,5,0)+VLOOKUP('תפוקה מצטברת מול אשתקד'!A48,הפניקס!A:G,5,0)+VLOOKUP('תפוקה מצטברת מול אשתקד'!A48,כלל!A:G,5,0)+VLOOKUP('תפוקה מצטברת מול אשתקד'!A48,מור!A:G,5,0)+VLOOKUP('תפוקה מצטברת מול אשתקד'!A48,'אלטשולר שחם'!A:G,5,0)+VLOOKUP('תפוקה מצטברת מול אשתקד'!A48,'מדיהו '!A:G,5,0)+VLOOKUP('תפוקה מצטברת מול אשתקד'!A48,'אנליסט '!A:G,5,0)+VLOOKUP('תפוקה מצטברת מול אשתקד'!A48,'מיטב דש'!A:G,5,0)+VLOOKUP('תפוקה מצטברת מול אשתקד'!A48,אינפניטי!A:G,5,0)</f>
        <v>870</v>
      </c>
      <c r="J48" s="58">
        <f>VLOOKUP(A48,הכשרה!A:G,6,0)+VLOOKUP('תפוקה מצטברת מול אשתקד'!A48,מגדל!A:G,6,0)+VLOOKUP('תפוקה מצטברת מול אשתקד'!A48,מנורה!A:G,6,0)+VLOOKUP('תפוקה מצטברת מול אשתקד'!A48,איילון!A:G,6,0)+VLOOKUP(A48,הראל!A:G,6,0)+VLOOKUP('תפוקה מצטברת מול אשתקד'!A48,הפניקס!A:G,6,0)+VLOOKUP('תפוקה מצטברת מול אשתקד'!A48,כלל!A:G,6,0)+VLOOKUP('תפוקה מצטברת מול אשתקד'!A48,מור!A:G,6,0)+VLOOKUP('תפוקה מצטברת מול אשתקד'!A48,'אלטשולר שחם'!A:G,6,0)+VLOOKUP('תפוקה מצטברת מול אשתקד'!A48,'מדיהו '!A:G,6,0)+VLOOKUP('תפוקה מצטברת מול אשתקד'!A48,'אנליסט '!A:G,6,0)+VLOOKUP('תפוקה מצטברת מול אשתקד'!A48,'מיטב דש'!A:G,6,0)+VLOOKUP('תפוקה מצטברת מול אשתקד'!A48,אינפניטי!A:G,6,0)</f>
        <v>0</v>
      </c>
      <c r="K48" s="58">
        <f>VLOOKUP(A48,הכשרה!A:G,7,0)+VLOOKUP('תפוקה מצטברת מול אשתקד'!A48,מגדל!A:G,7,0)+VLOOKUP('תפוקה מצטברת מול אשתקד'!A48,מנורה!A:G,7,0)+VLOOKUP('תפוקה מצטברת מול אשתקד'!A48,איילון!A:G,7,0)+VLOOKUP('תפוקה מצטברת מול אשתקד'!A48,הראל!A:G,7,0)+VLOOKUP('תפוקה מצטברת מול אשתקד'!A48,הפניקס!A:G,7,0)+VLOOKUP('תפוקה מצטברת מול אשתקד'!A48,כלל!A:G,7,0)+VLOOKUP('תפוקה מצטברת מול אשתקד'!A48,מור!A:G,7,0)+VLOOKUP('תפוקה מצטברת מול אשתקד'!A48,'אלטשולר שחם'!A:G,7,0)+VLOOKUP('תפוקה מצטברת מול אשתקד'!A48,'מדיהו '!A:K,7,0)+VLOOKUP(A48,'אנליסט '!A:G,7,0)+VLOOKUP('תפוקה מצטברת מול אשתקד'!A48,'מיטב דש'!A:G,7,0)+VLOOKUP('תפוקה מצטברת מול אשתקד'!A48,אינפניטי!A:G,7,0)</f>
        <v>0</v>
      </c>
      <c r="L48" s="12">
        <f>VLOOKUP(A48,הכשרה!A:K,8,0)+VLOOKUP('תפוקה מצטברת מול אשתקד'!A48,מגדל!A:K,8,0)+VLOOKUP('תפוקה מצטברת מול אשתקד'!A48,מנורה!A:K,8,0)+VLOOKUP('תפוקה מצטברת מול אשתקד'!A48,איילון!A:K,8,0)+VLOOKUP('תפוקה מצטברת מול אשתקד'!A48,הראל!A:K,8,0)+VLOOKUP('תפוקה מצטברת מול אשתקד'!A48,הפניקס!A:K,8,0)+VLOOKUP('תפוקה מצטברת מול אשתקד'!A48,כלל!A:K,8,0)+VLOOKUP('תפוקה מצטברת מול אשתקד'!A48,מור!A:K,8,0)+VLOOKUP('תפוקה מצטברת מול אשתקד'!A48,'אלטשולר שחם'!A:K,8,0)+VLOOKUP('תפוקה מצטברת מול אשתקד'!A48,'מדיהו '!A:K,8,0)+VLOOKUP('תפוקה מצטברת מול אשתקד'!A48,'אנליסט '!A:K,8,0)+VLOOKUP('תפוקה מצטברת מול אשתקד'!A48,'מיטב דש'!A:K,8,0)+VLOOKUP('תפוקה מצטברת מול אשתקד'!A48,אינפניטי!A:K,8,0)</f>
        <v>28684.560000000001</v>
      </c>
      <c r="M48" s="12">
        <f>VLOOKUP(A48,הכשרה!A:K,9,0)+VLOOKUP('תפוקה מצטברת מול אשתקד'!A48,מגדל!A:K,9,0)+VLOOKUP('תפוקה מצטברת מול אשתקד'!A48,מנורה!A:K,9,0)+VLOOKUP('תפוקה מצטברת מול אשתקד'!A48,איילון!A:K,9,0)+VLOOKUP('תפוקה מצטברת מול אשתקד'!A48,הראל!A:K,9,0)+VLOOKUP('תפוקה מצטברת מול אשתקד'!A48,הפניקס!A:K,9,0)+VLOOKUP('תפוקה מצטברת מול אשתקד'!A48,כלל!A:K,9,0)+VLOOKUP('תפוקה מצטברת מול אשתקד'!A48,מור!A:K,9,0)+VLOOKUP('תפוקה מצטברת מול אשתקד'!A48,'אלטשולר שחם'!A:K,9,0)+VLOOKUP('תפוקה מצטברת מול אשתקד'!A48,'מדיהו '!A:K,9,0)+VLOOKUP('תפוקה מצטברת מול אשתקד'!A48,'אנליסט '!A:K,9,0)+VLOOKUP('תפוקה מצטברת מול אשתקד'!A48,'מיטב דש'!A:K,9,0)+VLOOKUP('תפוקה מצטברת מול אשתקד'!A48,אינפניטי!A:K,9,0)</f>
        <v>-11260.800950466939</v>
      </c>
      <c r="N48" s="12">
        <f>VLOOKUP(A48,הכשרה!A:K,10,0)+VLOOKUP('תפוקה מצטברת מול אשתקד'!A48,מגדל!A:K,10,0)+VLOOKUP('תפוקה מצטברת מול אשתקד'!A48,מנורה!A:K,10,0)+VLOOKUP('תפוקה מצטברת מול אשתקד'!A48,איילון!A:K,10,0)+VLOOKUP('תפוקה מצטברת מול אשתקד'!A48,הראל!A:K,10,0)+VLOOKUP('תפוקה מצטברת מול אשתקד'!A48,הפניקס!A:K,10,0)+VLOOKUP('תפוקה מצטברת מול אשתקד'!A48,כלל!A:K,10,0)+VLOOKUP('תפוקה מצטברת מול אשתקד'!A48,מור!A:K,10,0)+VLOOKUP('תפוקה מצטברת מול אשתקד'!A48,'אלטשולר שחם'!A:K,10,0)+VLOOKUP('תפוקה מצטברת מול אשתקד'!A48,'מדיהו '!A:K,10,0)+VLOOKUP('תפוקה מצטברת מול אשתקד'!A48,'אנליסט '!A:K,10,0)+VLOOKUP('תפוקה מצטברת מול אשתקד'!A48,'מיטב דש'!A:K,10,0)+VLOOKUP('תפוקה מצטברת מול אשתקד'!A48,אינפניטי!A:K,10,0)</f>
        <v>0</v>
      </c>
      <c r="O48" s="12">
        <f>VLOOKUP(A48,הכשרה!A:K,11,0)+VLOOKUP('תפוקה מצטברת מול אשתקד'!A48,מגדל!A:K,11,0)+VLOOKUP('תפוקה מצטברת מול אשתקד'!A48,מנורה!A:K,11,0)+VLOOKUP('תפוקה מצטברת מול אשתקד'!A48,איילון!A:K,11,0)+VLOOKUP('תפוקה מצטברת מול אשתקד'!A48,הראל!A:K,11,0)+VLOOKUP('תפוקה מצטברת מול אשתקד'!A48,הפניקס!A:K,11,0)+VLOOKUP('תפוקה מצטברת מול אשתקד'!A48,כלל!A:K,11,0)+VLOOKUP('תפוקה מצטברת מול אשתקד'!A48,מור!A:K,11,0)+VLOOKUP('תפוקה מצטברת מול אשתקד'!A48,'אלטשולר שחם'!A:K,11,0)+VLOOKUP('תפוקה מצטברת מול אשתקד'!A48,'מדיהו '!A:K,11,0)+VLOOKUP('תפוקה מצטברת מול אשתקד'!A48,'אנליסט '!A:K,11,0)+VLOOKUP('תפוקה מצטברת מול אשתקד'!A48,'מיטב דש'!A:K,11,0)+VLOOKUP('תפוקה מצטברת מול אשתקד'!A48,אינפניטי!A:K,11,0)</f>
        <v>0</v>
      </c>
    </row>
    <row r="49" spans="1:15" ht="15.75" customHeight="1" x14ac:dyDescent="0.25">
      <c r="A49" s="28" t="s">
        <v>88</v>
      </c>
      <c r="B49" s="28" t="s">
        <v>56</v>
      </c>
      <c r="C49" s="26" t="s">
        <v>107</v>
      </c>
      <c r="D49" s="101">
        <f t="shared" si="0"/>
        <v>0</v>
      </c>
      <c r="E49" s="101">
        <f t="shared" si="0"/>
        <v>-5.965131789775902</v>
      </c>
      <c r="F49" s="101">
        <f t="shared" si="0"/>
        <v>0</v>
      </c>
      <c r="G49" s="19">
        <f t="shared" si="8"/>
        <v>-1.4258464807614923</v>
      </c>
      <c r="H49" s="58">
        <f>VLOOKUP(A49,הכשרה!A:G,4,0)+VLOOKUP('תפוקה מצטברת מול אשתקד'!A49,מגדל!A:G,4,0)+VLOOKUP('תפוקה מצטברת מול אשתקד'!A49,מנורה!A:G,4,0)+VLOOKUP('תפוקה מצטברת מול אשתקד'!A49,איילון!A:G,4,0)+VLOOKUP('תפוקה מצטברת מול אשתקד'!A49,הראל!A:G,4,0)+VLOOKUP('תפוקה מצטברת מול אשתקד'!A49,הפניקס!A:G,4,0)+VLOOKUP('תפוקה מצטברת מול אשתקד'!A49,כלל!A:G,4,0)+VLOOKUP('תפוקה מצטברת מול אשתקד'!A49,מור!A:G,4,0)+VLOOKUP('תפוקה מצטברת מול אשתקד'!A49,'אלטשולר שחם'!A:G,4,0)+VLOOKUP('תפוקה מצטברת מול אשתקד'!A49,'מדיהו '!A:G,4,0)+VLOOKUP('תפוקה מצטברת מול אשתקד'!A49,'אנליסט '!A:G,4,0)+VLOOKUP('תפוקה מצטברת מול אשתקד'!A49,'מיטב דש'!A:G,4,0)+VLOOKUP('תפוקה מצטברת מול אשתקד'!A49,אינפניטי!A:G,4,0)</f>
        <v>0</v>
      </c>
      <c r="I49" s="58">
        <f>VLOOKUP(A49,הכשרה!A:G,5,0)+VLOOKUP('תפוקה מצטברת מול אשתקד'!A49,מגדל!A:G,5,0)+VLOOKUP('תפוקה מצטברת מול אשתקד'!A49,מנורה!A:G,5,0)+VLOOKUP('תפוקה מצטברת מול אשתקד'!A49,איילון!A:G,5,0)+VLOOKUP('תפוקה מצטברת מול אשתקד'!A49,הראל!A:G,5,0)+VLOOKUP('תפוקה מצטברת מול אשתקד'!A49,הפניקס!A:G,5,0)+VLOOKUP('תפוקה מצטברת מול אשתקד'!A49,כלל!A:G,5,0)+VLOOKUP('תפוקה מצטברת מול אשתקד'!A49,מור!A:G,5,0)+VLOOKUP('תפוקה מצטברת מול אשתקד'!A49,'אלטשולר שחם'!A:G,5,0)+VLOOKUP('תפוקה מצטברת מול אשתקד'!A49,'מדיהו '!A:G,5,0)+VLOOKUP('תפוקה מצטברת מול אשתקד'!A49,'אנליסט '!A:G,5,0)+VLOOKUP('תפוקה מצטברת מול אשתקד'!A49,'מיטב דש'!A:G,5,0)+VLOOKUP('תפוקה מצטברת מול אשתקד'!A49,אינפניטי!A:G,5,0)</f>
        <v>3272.9</v>
      </c>
      <c r="J49" s="58">
        <f>VLOOKUP(A49,הכשרה!A:G,6,0)+VLOOKUP('תפוקה מצטברת מול אשתקד'!A49,מגדל!A:G,6,0)+VLOOKUP('תפוקה מצטברת מול אשתקד'!A49,מנורה!A:G,6,0)+VLOOKUP('תפוקה מצטברת מול אשתקד'!A49,איילון!A:G,6,0)+VLOOKUP(A49,הראל!A:G,6,0)+VLOOKUP('תפוקה מצטברת מול אשתקד'!A49,הפניקס!A:G,6,0)+VLOOKUP('תפוקה מצטברת מול אשתקד'!A49,כלל!A:G,6,0)+VLOOKUP('תפוקה מצטברת מול אשתקד'!A49,מור!A:G,6,0)+VLOOKUP('תפוקה מצטברת מול אשתקד'!A49,'אלטשולר שחם'!A:G,6,0)+VLOOKUP('תפוקה מצטברת מול אשתקד'!A49,'מדיהו '!A:G,6,0)+VLOOKUP('תפוקה מצטברת מול אשתקד'!A49,'אנליסט '!A:G,6,0)+VLOOKUP('תפוקה מצטברת מול אשתקד'!A49,'מיטב דש'!A:G,6,0)+VLOOKUP('תפוקה מצטברת מול אשתקד'!A49,אינפניטי!A:G,6,0)</f>
        <v>0</v>
      </c>
      <c r="K49" s="58">
        <f>VLOOKUP(A49,הכשרה!A:G,7,0)+VLOOKUP('תפוקה מצטברת מול אשתקד'!A49,מגדל!A:G,7,0)+VLOOKUP('תפוקה מצטברת מול אשתקד'!A49,מנורה!A:G,7,0)+VLOOKUP('תפוקה מצטברת מול אשתקד'!A49,איילון!A:G,7,0)+VLOOKUP('תפוקה מצטברת מול אשתקד'!A49,הראל!A:G,7,0)+VLOOKUP('תפוקה מצטברת מול אשתקד'!A49,הפניקס!A:G,7,0)+VLOOKUP('תפוקה מצטברת מול אשתקד'!A49,כלל!A:G,7,0)+VLOOKUP('תפוקה מצטברת מול אשתקד'!A49,מור!A:G,7,0)+VLOOKUP('תפוקה מצטברת מול אשתקד'!A49,'אלטשולר שחם'!A:G,7,0)+VLOOKUP('תפוקה מצטברת מול אשתקד'!A49,'מדיהו '!A:K,7,0)+VLOOKUP(A49,'אנליסט '!A:G,7,0)+VLOOKUP('תפוקה מצטברת מול אשתקד'!A49,'מיטב דש'!A:G,7,0)+VLOOKUP('תפוקה מצטברת מול אשתקד'!A49,אינפניטי!A:G,7,0)</f>
        <v>-2038</v>
      </c>
      <c r="L49" s="12">
        <f>VLOOKUP(A49,הכשרה!A:K,8,0)+VLOOKUP('תפוקה מצטברת מול אשתקד'!A49,מגדל!A:K,8,0)+VLOOKUP('תפוקה מצטברת מול אשתקד'!A49,מנורה!A:K,8,0)+VLOOKUP('תפוקה מצטברת מול אשתקד'!A49,איילון!A:K,8,0)+VLOOKUP('תפוקה מצטברת מול אשתקד'!A49,הראל!A:K,8,0)+VLOOKUP('תפוקה מצטברת מול אשתקד'!A49,הפניקס!A:K,8,0)+VLOOKUP('תפוקה מצטברת מול אשתקד'!A49,כלל!A:K,8,0)+VLOOKUP('תפוקה מצטברת מול אשתקד'!A49,מור!A:K,8,0)+VLOOKUP('תפוקה מצטברת מול אשתקד'!A49,'אלטשולר שחם'!A:K,8,0)+VLOOKUP('תפוקה מצטברת מול אשתקד'!A49,'מדיהו '!A:K,8,0)+VLOOKUP('תפוקה מצטברת מול אשתקד'!A49,'אנליסט '!A:K,8,0)+VLOOKUP('תפוקה מצטברת מול אשתקד'!A49,'מיטב דש'!A:K,8,0)+VLOOKUP('תפוקה מצטברת מול אשתקד'!A49,אינפניטי!A:K,8,0)</f>
        <v>17529.32</v>
      </c>
      <c r="M49" s="12">
        <f>VLOOKUP(A49,הכשרה!A:K,9,0)+VLOOKUP('תפוקה מצטברת מול אשתקד'!A49,מגדל!A:K,9,0)+VLOOKUP('תפוקה מצטברת מול אשתקד'!A49,מנורה!A:K,9,0)+VLOOKUP('תפוקה מצטברת מול אשתקד'!A49,איילון!A:K,9,0)+VLOOKUP('תפוקה מצטברת מול אשתקד'!A49,הראל!A:K,9,0)+VLOOKUP('תפוקה מצטברת מול אשתקד'!A49,הפניקס!A:K,9,0)+VLOOKUP('תפוקה מצטברת מול אשתקד'!A49,כלל!A:K,9,0)+VLOOKUP('תפוקה מצטברת מול אשתקד'!A49,מור!A:K,9,0)+VLOOKUP('תפוקה מצטברת מול אשתקד'!A49,'אלטשולר שחם'!A:K,9,0)+VLOOKUP('תפוקה מצטברת מול אשתקד'!A49,'מדיהו '!A:K,9,0)+VLOOKUP('תפוקה מצטברת מול אשתקד'!A49,'אנליסט '!A:K,9,0)+VLOOKUP('תפוקה מצטברת מול אשתקד'!A49,'מיטב דש'!A:K,9,0)+VLOOKUP('תפוקה מצטברת מול אשתקד'!A49,אינפניטי!A:K,9,0)</f>
        <v>-659.17686349020767</v>
      </c>
      <c r="N49" s="12">
        <f>VLOOKUP(A49,הכשרה!A:K,10,0)+VLOOKUP('תפוקה מצטברת מול אשתקד'!A49,מגדל!A:K,10,0)+VLOOKUP('תפוקה מצטברת מול אשתקד'!A49,מנורה!A:K,10,0)+VLOOKUP('תפוקה מצטברת מול אשתקד'!A49,איילון!A:K,10,0)+VLOOKUP('תפוקה מצטברת מול אשתקד'!A49,הראל!A:K,10,0)+VLOOKUP('תפוקה מצטברת מול אשתקד'!A49,הפניקס!A:K,10,0)+VLOOKUP('תפוקה מצטברת מול אשתקד'!A49,כלל!A:K,10,0)+VLOOKUP('תפוקה מצטברת מול אשתקד'!A49,מור!A:K,10,0)+VLOOKUP('תפוקה מצטברת מול אשתקד'!A49,'אלטשולר שחם'!A:K,10,0)+VLOOKUP('תפוקה מצטברת מול אשתקד'!A49,'מדיהו '!A:K,10,0)+VLOOKUP('תפוקה מצטברת מול אשתקד'!A49,'אנליסט '!A:K,10,0)+VLOOKUP('תפוקה מצטברת מול אשתקד'!A49,'מיטב דש'!A:K,10,0)+VLOOKUP('תפוקה מצטברת מול אשתקד'!A49,אינפניטי!A:K,10,0)</f>
        <v>405.67603800000001</v>
      </c>
      <c r="O49" s="12">
        <f>VLOOKUP(A49,הכשרה!A:K,11,0)+VLOOKUP('תפוקה מצטברת מול אשתקד'!A49,מגדל!A:K,11,0)+VLOOKUP('תפוקה מצטברת מול אשתקד'!A49,מנורה!A:K,11,0)+VLOOKUP('תפוקה מצטברת מול אשתקד'!A49,איילון!A:K,11,0)+VLOOKUP('תפוקה מצטברת מול אשתקד'!A49,הראל!A:K,11,0)+VLOOKUP('תפוקה מצטברת מול אשתקד'!A49,הפניקס!A:K,11,0)+VLOOKUP('תפוקה מצטברת מול אשתקד'!A49,כלל!A:K,11,0)+VLOOKUP('תפוקה מצטברת מול אשתקד'!A49,מור!A:K,11,0)+VLOOKUP('תפוקה מצטברת מול אשתקד'!A49,'אלטשולר שחם'!A:K,11,0)+VLOOKUP('תפוקה מצטברת מול אשתקד'!A49,'מדיהו '!A:K,11,0)+VLOOKUP('תפוקה מצטברת מול אשתקד'!A49,'אנליסט '!A:K,11,0)+VLOOKUP('תפוקה מצטברת מול אשתקד'!A49,'מיטב דש'!A:K,11,0)+VLOOKUP('תפוקה מצטברת מול אשתקד'!A49,אינפניטי!A:K,11,0)</f>
        <v>4785.7622220000003</v>
      </c>
    </row>
    <row r="50" spans="1:15" ht="15.75" customHeight="1" x14ac:dyDescent="0.25">
      <c r="A50" s="26" t="s">
        <v>14</v>
      </c>
      <c r="B50" s="26" t="s">
        <v>55</v>
      </c>
      <c r="C50" s="26" t="s">
        <v>107</v>
      </c>
      <c r="D50" s="19">
        <f t="shared" ref="D50:F55" si="9">IF(H50=0,0%,IF(L50=0,100%,H50/L50-1))</f>
        <v>0</v>
      </c>
      <c r="E50" s="19">
        <f t="shared" si="9"/>
        <v>0</v>
      </c>
      <c r="F50" s="19">
        <f t="shared" si="9"/>
        <v>0</v>
      </c>
      <c r="G50" s="19">
        <f t="shared" si="8"/>
        <v>0</v>
      </c>
      <c r="H50" s="58">
        <f>VLOOKUP(A50,הכשרה!A:G,4,0)+VLOOKUP('תפוקה מצטברת מול אשתקד'!A50,מגדל!A:G,4,0)+VLOOKUP('תפוקה מצטברת מול אשתקד'!A50,מנורה!A:G,4,0)+VLOOKUP('תפוקה מצטברת מול אשתקד'!A50,איילון!A:G,4,0)+VLOOKUP('תפוקה מצטברת מול אשתקד'!A50,הראל!A:G,4,0)+VLOOKUP('תפוקה מצטברת מול אשתקד'!A50,הפניקס!A:G,4,0)+VLOOKUP('תפוקה מצטברת מול אשתקד'!A50,כלל!A:G,4,0)+VLOOKUP('תפוקה מצטברת מול אשתקד'!A50,מור!A:G,4,0)+VLOOKUP('תפוקה מצטברת מול אשתקד'!A50,'אלטשולר שחם'!A:G,4,0)+VLOOKUP('תפוקה מצטברת מול אשתקד'!A50,'מדיהו '!A:G,4,0)+VLOOKUP('תפוקה מצטברת מול אשתקד'!A50,'אנליסט '!A:G,4,0)+VLOOKUP('תפוקה מצטברת מול אשתקד'!A50,'מיטב דש'!A:G,4,0)+VLOOKUP('תפוקה מצטברת מול אשתקד'!A50,אינפניטי!A:G,4,0)</f>
        <v>0</v>
      </c>
      <c r="I50" s="58">
        <f>VLOOKUP(A50,הכשרה!A:G,5,0)+VLOOKUP('תפוקה מצטברת מול אשתקד'!A50,מגדל!A:G,5,0)+VLOOKUP('תפוקה מצטברת מול אשתקד'!A50,מנורה!A:G,5,0)+VLOOKUP('תפוקה מצטברת מול אשתקד'!A50,איילון!A:G,5,0)+VLOOKUP('תפוקה מצטברת מול אשתקד'!A50,הראל!A:G,5,0)+VLOOKUP('תפוקה מצטברת מול אשתקד'!A50,הפניקס!A:G,5,0)+VLOOKUP('תפוקה מצטברת מול אשתקד'!A50,כלל!A:G,5,0)+VLOOKUP('תפוקה מצטברת מול אשתקד'!A50,מור!A:G,5,0)+VLOOKUP('תפוקה מצטברת מול אשתקד'!A50,'אלטשולר שחם'!A:G,5,0)+VLOOKUP('תפוקה מצטברת מול אשתקד'!A50,'מדיהו '!A:G,5,0)+VLOOKUP('תפוקה מצטברת מול אשתקד'!A50,'אנליסט '!A:G,5,0)+VLOOKUP('תפוקה מצטברת מול אשתקד'!A50,'מיטב דש'!A:G,5,0)+VLOOKUP('תפוקה מצטברת מול אשתקד'!A50,אינפניטי!A:G,5,0)</f>
        <v>0</v>
      </c>
      <c r="J50" s="58">
        <f>VLOOKUP(A50,הכשרה!A:G,6,0)+VLOOKUP('תפוקה מצטברת מול אשתקד'!A50,מגדל!A:G,6,0)+VLOOKUP('תפוקה מצטברת מול אשתקד'!A50,מנורה!A:G,6,0)+VLOOKUP('תפוקה מצטברת מול אשתקד'!A50,איילון!A:G,6,0)+VLOOKUP(A50,הראל!A:G,6,0)+VLOOKUP('תפוקה מצטברת מול אשתקד'!A50,הפניקס!A:G,6,0)+VLOOKUP('תפוקה מצטברת מול אשתקד'!A50,כלל!A:G,6,0)+VLOOKUP('תפוקה מצטברת מול אשתקד'!A50,מור!A:G,6,0)+VLOOKUP('תפוקה מצטברת מול אשתקד'!A50,'אלטשולר שחם'!A:G,6,0)+VLOOKUP('תפוקה מצטברת מול אשתקד'!A50,'מדיהו '!A:G,6,0)+VLOOKUP('תפוקה מצטברת מול אשתקד'!A50,'אנליסט '!A:G,6,0)+VLOOKUP('תפוקה מצטברת מול אשתקד'!A50,'מיטב דש'!A:G,6,0)+VLOOKUP('תפוקה מצטברת מול אשתקד'!A50,אינפניטי!A:G,6,0)</f>
        <v>0</v>
      </c>
      <c r="K50" s="58">
        <f>VLOOKUP(A50,הכשרה!A:G,7,0)+VLOOKUP('תפוקה מצטברת מול אשתקד'!A50,מגדל!A:G,7,0)+VLOOKUP('תפוקה מצטברת מול אשתקד'!A50,מנורה!A:G,7,0)+VLOOKUP('תפוקה מצטברת מול אשתקד'!A50,איילון!A:G,7,0)+VLOOKUP('תפוקה מצטברת מול אשתקד'!A50,הראל!A:G,7,0)+VLOOKUP('תפוקה מצטברת מול אשתקד'!A50,הפניקס!A:G,7,0)+VLOOKUP('תפוקה מצטברת מול אשתקד'!A50,כלל!A:G,7,0)+VLOOKUP('תפוקה מצטברת מול אשתקד'!A50,מור!A:G,7,0)+VLOOKUP('תפוקה מצטברת מול אשתקד'!A50,'אלטשולר שחם'!A:G,7,0)+VLOOKUP('תפוקה מצטברת מול אשתקד'!A50,'מדיהו '!A:K,7,0)+VLOOKUP(A50,'אנליסט '!A:G,7,0)+VLOOKUP('תפוקה מצטברת מול אשתקד'!A50,'מיטב דש'!A:G,7,0)+VLOOKUP('תפוקה מצטברת מול אשתקד'!A50,אינפניטי!A:G,7,0)</f>
        <v>0</v>
      </c>
      <c r="L50" s="12">
        <f>VLOOKUP(A50,הכשרה!A:K,8,0)+VLOOKUP('תפוקה מצטברת מול אשתקד'!A50,מגדל!A:K,8,0)+VLOOKUP('תפוקה מצטברת מול אשתקד'!A50,מנורה!A:K,8,0)+VLOOKUP('תפוקה מצטברת מול אשתקד'!A50,איילון!A:K,8,0)+VLOOKUP('תפוקה מצטברת מול אשתקד'!A50,הראל!A:K,8,0)+VLOOKUP('תפוקה מצטברת מול אשתקד'!A50,הפניקס!A:K,8,0)+VLOOKUP('תפוקה מצטברת מול אשתקד'!A50,כלל!A:K,8,0)+VLOOKUP('תפוקה מצטברת מול אשתקד'!A50,מור!A:K,8,0)+VLOOKUP('תפוקה מצטברת מול אשתקד'!A50,'אלטשולר שחם'!A:K,8,0)+VLOOKUP('תפוקה מצטברת מול אשתקד'!A50,'מדיהו '!A:K,8,0)+VLOOKUP('תפוקה מצטברת מול אשתקד'!A50,'אנליסט '!A:K,8,0)+VLOOKUP('תפוקה מצטברת מול אשתקד'!A50,'מיטב דש'!A:K,8,0)+VLOOKUP('תפוקה מצטברת מול אשתקד'!A50,אינפניטי!A:K,8,0)</f>
        <v>0</v>
      </c>
      <c r="M50" s="12">
        <f>VLOOKUP(A50,הכשרה!A:K,9,0)+VLOOKUP('תפוקה מצטברת מול אשתקד'!A50,מגדל!A:K,9,0)+VLOOKUP('תפוקה מצטברת מול אשתקד'!A50,מנורה!A:K,9,0)+VLOOKUP('תפוקה מצטברת מול אשתקד'!A50,איילון!A:K,9,0)+VLOOKUP('תפוקה מצטברת מול אשתקד'!A50,הראל!A:K,9,0)+VLOOKUP('תפוקה מצטברת מול אשתקד'!A50,הפניקס!A:K,9,0)+VLOOKUP('תפוקה מצטברת מול אשתקד'!A50,כלל!A:K,9,0)+VLOOKUP('תפוקה מצטברת מול אשתקד'!A50,מור!A:K,9,0)+VLOOKUP('תפוקה מצטברת מול אשתקד'!A50,'אלטשולר שחם'!A:K,9,0)+VLOOKUP('תפוקה מצטברת מול אשתקד'!A50,'מדיהו '!A:K,9,0)+VLOOKUP('תפוקה מצטברת מול אשתקד'!A50,'אנליסט '!A:K,9,0)+VLOOKUP('תפוקה מצטברת מול אשתקד'!A50,'מיטב דש'!A:K,9,0)+VLOOKUP('תפוקה מצטברת מול אשתקד'!A50,אינפניטי!A:K,9,0)</f>
        <v>0</v>
      </c>
      <c r="N50" s="12">
        <f>VLOOKUP(A50,הכשרה!A:K,10,0)+VLOOKUP('תפוקה מצטברת מול אשתקד'!A50,מגדל!A:K,10,0)+VLOOKUP('תפוקה מצטברת מול אשתקד'!A50,מנורה!A:K,10,0)+VLOOKUP('תפוקה מצטברת מול אשתקד'!A50,איילון!A:K,10,0)+VLOOKUP('תפוקה מצטברת מול אשתקד'!A50,הראל!A:K,10,0)+VLOOKUP('תפוקה מצטברת מול אשתקד'!A50,הפניקס!A:K,10,0)+VLOOKUP('תפוקה מצטברת מול אשתקד'!A50,כלל!A:K,10,0)+VLOOKUP('תפוקה מצטברת מול אשתקד'!A50,מור!A:K,10,0)+VLOOKUP('תפוקה מצטברת מול אשתקד'!A50,'אלטשולר שחם'!A:K,10,0)+VLOOKUP('תפוקה מצטברת מול אשתקד'!A50,'מדיהו '!A:K,10,0)+VLOOKUP('תפוקה מצטברת מול אשתקד'!A50,'אנליסט '!A:K,10,0)+VLOOKUP('תפוקה מצטברת מול אשתקד'!A50,'מיטב דש'!A:K,10,0)+VLOOKUP('תפוקה מצטברת מול אשתקד'!A50,אינפניטי!A:K,10,0)</f>
        <v>0</v>
      </c>
      <c r="O50" s="12">
        <f>VLOOKUP(A50,הכשרה!A:K,11,0)+VLOOKUP('תפוקה מצטברת מול אשתקד'!A50,מגדל!A:K,11,0)+VLOOKUP('תפוקה מצטברת מול אשתקד'!A50,מנורה!A:K,11,0)+VLOOKUP('תפוקה מצטברת מול אשתקד'!A50,איילון!A:K,11,0)+VLOOKUP('תפוקה מצטברת מול אשתקד'!A50,הראל!A:K,11,0)+VLOOKUP('תפוקה מצטברת מול אשתקד'!A50,הפניקס!A:K,11,0)+VLOOKUP('תפוקה מצטברת מול אשתקד'!A50,כלל!A:K,11,0)+VLOOKUP('תפוקה מצטברת מול אשתקד'!A50,מור!A:K,11,0)+VLOOKUP('תפוקה מצטברת מול אשתקד'!A50,'אלטשולר שחם'!A:K,11,0)+VLOOKUP('תפוקה מצטברת מול אשתקד'!A50,'מדיהו '!A:K,11,0)+VLOOKUP('תפוקה מצטברת מול אשתקד'!A50,'אנליסט '!A:K,11,0)+VLOOKUP('תפוקה מצטברת מול אשתקד'!A50,'מיטב דש'!A:K,11,0)+VLOOKUP('תפוקה מצטברת מול אשתקד'!A50,אינפניטי!A:K,11,0)</f>
        <v>0</v>
      </c>
    </row>
    <row r="51" spans="1:15" ht="15.75" customHeight="1" x14ac:dyDescent="0.25">
      <c r="A51" s="26" t="s">
        <v>36</v>
      </c>
      <c r="B51" s="26" t="s">
        <v>55</v>
      </c>
      <c r="C51" s="26" t="s">
        <v>107</v>
      </c>
      <c r="D51" s="19">
        <f t="shared" si="9"/>
        <v>0</v>
      </c>
      <c r="E51" s="19">
        <f t="shared" si="9"/>
        <v>0</v>
      </c>
      <c r="F51" s="19">
        <f t="shared" si="9"/>
        <v>0</v>
      </c>
      <c r="G51" s="19">
        <f t="shared" si="8"/>
        <v>0</v>
      </c>
      <c r="H51" s="58">
        <f>VLOOKUP(A51,הכשרה!A:G,4,0)+VLOOKUP('תפוקה מצטברת מול אשתקד'!A51,מגדל!A:G,4,0)+VLOOKUP('תפוקה מצטברת מול אשתקד'!A51,מנורה!A:G,4,0)+VLOOKUP('תפוקה מצטברת מול אשתקד'!A51,איילון!A:G,4,0)+VLOOKUP('תפוקה מצטברת מול אשתקד'!A51,הראל!A:G,4,0)+VLOOKUP('תפוקה מצטברת מול אשתקד'!A51,הפניקס!A:G,4,0)+VLOOKUP('תפוקה מצטברת מול אשתקד'!A51,כלל!A:G,4,0)+VLOOKUP('תפוקה מצטברת מול אשתקד'!A51,מור!A:G,4,0)+VLOOKUP('תפוקה מצטברת מול אשתקד'!A51,'אלטשולר שחם'!A:G,4,0)+VLOOKUP('תפוקה מצטברת מול אשתקד'!A51,'מדיהו '!A:G,4,0)+VLOOKUP('תפוקה מצטברת מול אשתקד'!A51,'אנליסט '!A:G,4,0)+VLOOKUP('תפוקה מצטברת מול אשתקד'!A51,'מיטב דש'!A:G,4,0)+VLOOKUP('תפוקה מצטברת מול אשתקד'!A51,אינפניטי!A:G,4,0)</f>
        <v>0</v>
      </c>
      <c r="I51" s="58">
        <f>VLOOKUP(A51,הכשרה!A:G,5,0)+VLOOKUP('תפוקה מצטברת מול אשתקד'!A51,מגדל!A:G,5,0)+VLOOKUP('תפוקה מצטברת מול אשתקד'!A51,מנורה!A:G,5,0)+VLOOKUP('תפוקה מצטברת מול אשתקד'!A51,איילון!A:G,5,0)+VLOOKUP('תפוקה מצטברת מול אשתקד'!A51,הראל!A:G,5,0)+VLOOKUP('תפוקה מצטברת מול אשתקד'!A51,הפניקס!A:G,5,0)+VLOOKUP('תפוקה מצטברת מול אשתקד'!A51,כלל!A:G,5,0)+VLOOKUP('תפוקה מצטברת מול אשתקד'!A51,מור!A:G,5,0)+VLOOKUP('תפוקה מצטברת מול אשתקד'!A51,'אלטשולר שחם'!A:G,5,0)+VLOOKUP('תפוקה מצטברת מול אשתקד'!A51,'מדיהו '!A:G,5,0)+VLOOKUP('תפוקה מצטברת מול אשתקד'!A51,'אנליסט '!A:G,5,0)+VLOOKUP('תפוקה מצטברת מול אשתקד'!A51,'מיטב דש'!A:G,5,0)+VLOOKUP('תפוקה מצטברת מול אשתקד'!A51,אינפניטי!A:G,5,0)</f>
        <v>0</v>
      </c>
      <c r="J51" s="58">
        <f>VLOOKUP(A51,הכשרה!A:G,6,0)+VLOOKUP('תפוקה מצטברת מול אשתקד'!A51,מגדל!A:G,6,0)+VLOOKUP('תפוקה מצטברת מול אשתקד'!A51,מנורה!A:G,6,0)+VLOOKUP('תפוקה מצטברת מול אשתקד'!A51,איילון!A:G,6,0)+VLOOKUP(A51,הראל!A:G,6,0)+VLOOKUP('תפוקה מצטברת מול אשתקד'!A51,הפניקס!A:G,6,0)+VLOOKUP('תפוקה מצטברת מול אשתקד'!A51,כלל!A:G,6,0)+VLOOKUP('תפוקה מצטברת מול אשתקד'!A51,מור!A:G,6,0)+VLOOKUP('תפוקה מצטברת מול אשתקד'!A51,'אלטשולר שחם'!A:G,6,0)+VLOOKUP('תפוקה מצטברת מול אשתקד'!A51,'מדיהו '!A:G,6,0)+VLOOKUP('תפוקה מצטברת מול אשתקד'!A51,'אנליסט '!A:G,6,0)+VLOOKUP('תפוקה מצטברת מול אשתקד'!A51,'מיטב דש'!A:G,6,0)+VLOOKUP('תפוקה מצטברת מול אשתקד'!A51,אינפניטי!A:G,6,0)</f>
        <v>0</v>
      </c>
      <c r="K51" s="58">
        <f>VLOOKUP(A51,הכשרה!A:G,7,0)+VLOOKUP('תפוקה מצטברת מול אשתקד'!A51,מגדל!A:G,7,0)+VLOOKUP('תפוקה מצטברת מול אשתקד'!A51,מנורה!A:G,7,0)+VLOOKUP('תפוקה מצטברת מול אשתקד'!A51,איילון!A:G,7,0)+VLOOKUP('תפוקה מצטברת מול אשתקד'!A51,הראל!A:G,7,0)+VLOOKUP('תפוקה מצטברת מול אשתקד'!A51,הפניקס!A:G,7,0)+VLOOKUP('תפוקה מצטברת מול אשתקד'!A51,כלל!A:G,7,0)+VLOOKUP('תפוקה מצטברת מול אשתקד'!A51,מור!A:G,7,0)+VLOOKUP('תפוקה מצטברת מול אשתקד'!A51,'אלטשולר שחם'!A:G,7,0)+VLOOKUP('תפוקה מצטברת מול אשתקד'!A51,'מדיהו '!A:K,7,0)+VLOOKUP(A51,'אנליסט '!A:G,7,0)+VLOOKUP('תפוקה מצטברת מול אשתקד'!A51,'מיטב דש'!A:G,7,0)+VLOOKUP('תפוקה מצטברת מול אשתקד'!A51,אינפניטי!A:G,7,0)</f>
        <v>0</v>
      </c>
      <c r="L51" s="12">
        <f>VLOOKUP(A51,הכשרה!A:K,8,0)+VLOOKUP('תפוקה מצטברת מול אשתקד'!A51,מגדל!A:K,8,0)+VLOOKUP('תפוקה מצטברת מול אשתקד'!A51,מנורה!A:K,8,0)+VLOOKUP('תפוקה מצטברת מול אשתקד'!A51,איילון!A:K,8,0)+VLOOKUP('תפוקה מצטברת מול אשתקד'!A51,הראל!A:K,8,0)+VLOOKUP('תפוקה מצטברת מול אשתקד'!A51,הפניקס!A:K,8,0)+VLOOKUP('תפוקה מצטברת מול אשתקד'!A51,כלל!A:K,8,0)+VLOOKUP('תפוקה מצטברת מול אשתקד'!A51,מור!A:K,8,0)+VLOOKUP('תפוקה מצטברת מול אשתקד'!A51,'אלטשולר שחם'!A:K,8,0)+VLOOKUP('תפוקה מצטברת מול אשתקד'!A51,'מדיהו '!A:K,8,0)+VLOOKUP('תפוקה מצטברת מול אשתקד'!A51,'אנליסט '!A:K,8,0)+VLOOKUP('תפוקה מצטברת מול אשתקד'!A51,'מיטב דש'!A:K,8,0)+VLOOKUP('תפוקה מצטברת מול אשתקד'!A51,אינפניטי!A:K,8,0)</f>
        <v>0</v>
      </c>
      <c r="M51" s="12">
        <f>VLOOKUP(A51,הכשרה!A:K,9,0)+VLOOKUP('תפוקה מצטברת מול אשתקד'!A51,מגדל!A:K,9,0)+VLOOKUP('תפוקה מצטברת מול אשתקד'!A51,מנורה!A:K,9,0)+VLOOKUP('תפוקה מצטברת מול אשתקד'!A51,איילון!A:K,9,0)+VLOOKUP('תפוקה מצטברת מול אשתקד'!A51,הראל!A:K,9,0)+VLOOKUP('תפוקה מצטברת מול אשתקד'!A51,הפניקס!A:K,9,0)+VLOOKUP('תפוקה מצטברת מול אשתקד'!A51,כלל!A:K,9,0)+VLOOKUP('תפוקה מצטברת מול אשתקד'!A51,מור!A:K,9,0)+VLOOKUP('תפוקה מצטברת מול אשתקד'!A51,'אלטשולר שחם'!A:K,9,0)+VLOOKUP('תפוקה מצטברת מול אשתקד'!A51,'מדיהו '!A:K,9,0)+VLOOKUP('תפוקה מצטברת מול אשתקד'!A51,'אנליסט '!A:K,9,0)+VLOOKUP('תפוקה מצטברת מול אשתקד'!A51,'מיטב דש'!A:K,9,0)+VLOOKUP('תפוקה מצטברת מול אשתקד'!A51,אינפניטי!A:K,9,0)</f>
        <v>0</v>
      </c>
      <c r="N51" s="12">
        <f>VLOOKUP(A51,הכשרה!A:K,10,0)+VLOOKUP('תפוקה מצטברת מול אשתקד'!A51,מגדל!A:K,10,0)+VLOOKUP('תפוקה מצטברת מול אשתקד'!A51,מנורה!A:K,10,0)+VLOOKUP('תפוקה מצטברת מול אשתקד'!A51,איילון!A:K,10,0)+VLOOKUP('תפוקה מצטברת מול אשתקד'!A51,הראל!A:K,10,0)+VLOOKUP('תפוקה מצטברת מול אשתקד'!A51,הפניקס!A:K,10,0)+VLOOKUP('תפוקה מצטברת מול אשתקד'!A51,כלל!A:K,10,0)+VLOOKUP('תפוקה מצטברת מול אשתקד'!A51,מור!A:K,10,0)+VLOOKUP('תפוקה מצטברת מול אשתקד'!A51,'אלטשולר שחם'!A:K,10,0)+VLOOKUP('תפוקה מצטברת מול אשתקד'!A51,'מדיהו '!A:K,10,0)+VLOOKUP('תפוקה מצטברת מול אשתקד'!A51,'אנליסט '!A:K,10,0)+VLOOKUP('תפוקה מצטברת מול אשתקד'!A51,'מיטב דש'!A:K,10,0)+VLOOKUP('תפוקה מצטברת מול אשתקד'!A51,אינפניטי!A:K,10,0)</f>
        <v>0</v>
      </c>
      <c r="O51" s="12">
        <f>VLOOKUP(A51,הכשרה!A:K,11,0)+VLOOKUP('תפוקה מצטברת מול אשתקד'!A51,מגדל!A:K,11,0)+VLOOKUP('תפוקה מצטברת מול אשתקד'!A51,מנורה!A:K,11,0)+VLOOKUP('תפוקה מצטברת מול אשתקד'!A51,איילון!A:K,11,0)+VLOOKUP('תפוקה מצטברת מול אשתקד'!A51,הראל!A:K,11,0)+VLOOKUP('תפוקה מצטברת מול אשתקד'!A51,הפניקס!A:K,11,0)+VLOOKUP('תפוקה מצטברת מול אשתקד'!A51,כלל!A:K,11,0)+VLOOKUP('תפוקה מצטברת מול אשתקד'!A51,מור!A:K,11,0)+VLOOKUP('תפוקה מצטברת מול אשתקד'!A51,'אלטשולר שחם'!A:K,11,0)+VLOOKUP('תפוקה מצטברת מול אשתקד'!A51,'מדיהו '!A:K,11,0)+VLOOKUP('תפוקה מצטברת מול אשתקד'!A51,'אנליסט '!A:K,11,0)+VLOOKUP('תפוקה מצטברת מול אשתקד'!A51,'מיטב דש'!A:K,11,0)+VLOOKUP('תפוקה מצטברת מול אשתקד'!A51,אינפניטי!A:K,11,0)</f>
        <v>0</v>
      </c>
    </row>
    <row r="52" spans="1:15" ht="15.75" customHeight="1" x14ac:dyDescent="0.25">
      <c r="A52" s="26" t="s">
        <v>94</v>
      </c>
      <c r="B52" s="26" t="s">
        <v>55</v>
      </c>
      <c r="C52" s="26" t="s">
        <v>107</v>
      </c>
      <c r="D52" s="19">
        <f t="shared" si="9"/>
        <v>0</v>
      </c>
      <c r="E52" s="19">
        <f t="shared" si="9"/>
        <v>0</v>
      </c>
      <c r="F52" s="19">
        <f t="shared" si="9"/>
        <v>0</v>
      </c>
      <c r="G52" s="19">
        <f t="shared" si="8"/>
        <v>0</v>
      </c>
      <c r="H52" s="58">
        <f>VLOOKUP(A52,הכשרה!A:G,4,0)+VLOOKUP('תפוקה מצטברת מול אשתקד'!A52,מגדל!A:G,4,0)+VLOOKUP('תפוקה מצטברת מול אשתקד'!A52,מנורה!A:G,4,0)+VLOOKUP('תפוקה מצטברת מול אשתקד'!A52,איילון!A:G,4,0)+VLOOKUP('תפוקה מצטברת מול אשתקד'!A52,הראל!A:G,4,0)+VLOOKUP('תפוקה מצטברת מול אשתקד'!A52,הפניקס!A:G,4,0)+VLOOKUP('תפוקה מצטברת מול אשתקד'!A52,כלל!A:G,4,0)+VLOOKUP('תפוקה מצטברת מול אשתקד'!A52,מור!A:G,4,0)+VLOOKUP('תפוקה מצטברת מול אשתקד'!A52,'אלטשולר שחם'!A:G,4,0)+VLOOKUP('תפוקה מצטברת מול אשתקד'!A52,'מדיהו '!A:G,4,0)+VLOOKUP('תפוקה מצטברת מול אשתקד'!A52,'אנליסט '!A:G,4,0)+VLOOKUP('תפוקה מצטברת מול אשתקד'!A52,'מיטב דש'!A:G,4,0)+VLOOKUP('תפוקה מצטברת מול אשתקד'!A52,אינפניטי!A:G,4,0)</f>
        <v>0</v>
      </c>
      <c r="I52" s="58">
        <f>VLOOKUP(A52,הכשרה!A:G,5,0)+VLOOKUP('תפוקה מצטברת מול אשתקד'!A52,מגדל!A:G,5,0)+VLOOKUP('תפוקה מצטברת מול אשתקד'!A52,מנורה!A:G,5,0)+VLOOKUP('תפוקה מצטברת מול אשתקד'!A52,איילון!A:G,5,0)+VLOOKUP('תפוקה מצטברת מול אשתקד'!A52,הראל!A:G,5,0)+VLOOKUP('תפוקה מצטברת מול אשתקד'!A52,הפניקס!A:G,5,0)+VLOOKUP('תפוקה מצטברת מול אשתקד'!A52,כלל!A:G,5,0)+VLOOKUP('תפוקה מצטברת מול אשתקד'!A52,מור!A:G,5,0)+VLOOKUP('תפוקה מצטברת מול אשתקד'!A52,'אלטשולר שחם'!A:G,5,0)+VLOOKUP('תפוקה מצטברת מול אשתקד'!A52,'מדיהו '!A:G,5,0)+VLOOKUP('תפוקה מצטברת מול אשתקד'!A52,'אנליסט '!A:G,5,0)+VLOOKUP('תפוקה מצטברת מול אשתקד'!A52,'מיטב דש'!A:G,5,0)+VLOOKUP('תפוקה מצטברת מול אשתקד'!A52,אינפניטי!A:G,5,0)</f>
        <v>0</v>
      </c>
      <c r="J52" s="58">
        <f>VLOOKUP(A52,הכשרה!A:G,6,0)+VLOOKUP('תפוקה מצטברת מול אשתקד'!A52,מגדל!A:G,6,0)+VLOOKUP('תפוקה מצטברת מול אשתקד'!A52,מנורה!A:G,6,0)+VLOOKUP('תפוקה מצטברת מול אשתקד'!A52,איילון!A:G,6,0)+VLOOKUP(A52,הראל!A:G,6,0)+VLOOKUP('תפוקה מצטברת מול אשתקד'!A52,הפניקס!A:G,6,0)+VLOOKUP('תפוקה מצטברת מול אשתקד'!A52,כלל!A:G,6,0)+VLOOKUP('תפוקה מצטברת מול אשתקד'!A52,מור!A:G,6,0)+VLOOKUP('תפוקה מצטברת מול אשתקד'!A52,'אלטשולר שחם'!A:G,6,0)+VLOOKUP('תפוקה מצטברת מול אשתקד'!A52,'מדיהו '!A:G,6,0)+VLOOKUP('תפוקה מצטברת מול אשתקד'!A52,'אנליסט '!A:G,6,0)+VLOOKUP('תפוקה מצטברת מול אשתקד'!A52,'מיטב דש'!A:G,6,0)+VLOOKUP('תפוקה מצטברת מול אשתקד'!A52,אינפניטי!A:G,6,0)</f>
        <v>0</v>
      </c>
      <c r="K52" s="58">
        <f>VLOOKUP(A52,הכשרה!A:G,7,0)+VLOOKUP('תפוקה מצטברת מול אשתקד'!A52,מגדל!A:G,7,0)+VLOOKUP('תפוקה מצטברת מול אשתקד'!A52,מנורה!A:G,7,0)+VLOOKUP('תפוקה מצטברת מול אשתקד'!A52,איילון!A:G,7,0)+VLOOKUP('תפוקה מצטברת מול אשתקד'!A52,הראל!A:G,7,0)+VLOOKUP('תפוקה מצטברת מול אשתקד'!A52,הפניקס!A:G,7,0)+VLOOKUP('תפוקה מצטברת מול אשתקד'!A52,כלל!A:G,7,0)+VLOOKUP('תפוקה מצטברת מול אשתקד'!A52,מור!A:G,7,0)+VLOOKUP('תפוקה מצטברת מול אשתקד'!A52,'אלטשולר שחם'!A:G,7,0)+VLOOKUP('תפוקה מצטברת מול אשתקד'!A52,'מדיהו '!A:K,7,0)+VLOOKUP(A52,'אנליסט '!A:G,7,0)+VLOOKUP('תפוקה מצטברת מול אשתקד'!A52,'מיטב דש'!A:G,7,0)+VLOOKUP('תפוקה מצטברת מול אשתקד'!A52,אינפניטי!A:G,7,0)</f>
        <v>0</v>
      </c>
      <c r="L52" s="12">
        <f>VLOOKUP(A52,הכשרה!A:K,8,0)+VLOOKUP('תפוקה מצטברת מול אשתקד'!A52,מגדל!A:K,8,0)+VLOOKUP('תפוקה מצטברת מול אשתקד'!A52,מנורה!A:K,8,0)+VLOOKUP('תפוקה מצטברת מול אשתקד'!A52,איילון!A:K,8,0)+VLOOKUP('תפוקה מצטברת מול אשתקד'!A52,הראל!A:K,8,0)+VLOOKUP('תפוקה מצטברת מול אשתקד'!A52,הפניקס!A:K,8,0)+VLOOKUP('תפוקה מצטברת מול אשתקד'!A52,כלל!A:K,8,0)+VLOOKUP('תפוקה מצטברת מול אשתקד'!A52,מור!A:K,8,0)+VLOOKUP('תפוקה מצטברת מול אשתקד'!A52,'אלטשולר שחם'!A:K,8,0)+VLOOKUP('תפוקה מצטברת מול אשתקד'!A52,'מדיהו '!A:K,8,0)+VLOOKUP('תפוקה מצטברת מול אשתקד'!A52,'אנליסט '!A:K,8,0)+VLOOKUP('תפוקה מצטברת מול אשתקד'!A52,'מיטב דש'!A:K,8,0)+VLOOKUP('תפוקה מצטברת מול אשתקד'!A52,אינפניטי!A:K,8,0)</f>
        <v>0</v>
      </c>
      <c r="M52" s="12">
        <f>VLOOKUP(A52,הכשרה!A:K,9,0)+VLOOKUP('תפוקה מצטברת מול אשתקד'!A52,מגדל!A:K,9,0)+VLOOKUP('תפוקה מצטברת מול אשתקד'!A52,מנורה!A:K,9,0)+VLOOKUP('תפוקה מצטברת מול אשתקד'!A52,איילון!A:K,9,0)+VLOOKUP('תפוקה מצטברת מול אשתקד'!A52,הראל!A:K,9,0)+VLOOKUP('תפוקה מצטברת מול אשתקד'!A52,הפניקס!A:K,9,0)+VLOOKUP('תפוקה מצטברת מול אשתקד'!A52,כלל!A:K,9,0)+VLOOKUP('תפוקה מצטברת מול אשתקד'!A52,מור!A:K,9,0)+VLOOKUP('תפוקה מצטברת מול אשתקד'!A52,'אלטשולר שחם'!A:K,9,0)+VLOOKUP('תפוקה מצטברת מול אשתקד'!A52,'מדיהו '!A:K,9,0)+VLOOKUP('תפוקה מצטברת מול אשתקד'!A52,'אנליסט '!A:K,9,0)+VLOOKUP('תפוקה מצטברת מול אשתקד'!A52,'מיטב דש'!A:K,9,0)+VLOOKUP('תפוקה מצטברת מול אשתקד'!A52,אינפניטי!A:K,9,0)</f>
        <v>868.10332488045208</v>
      </c>
      <c r="N52" s="12">
        <f>VLOOKUP(A52,הכשרה!A:K,10,0)+VLOOKUP('תפוקה מצטברת מול אשתקד'!A52,מגדל!A:K,10,0)+VLOOKUP('תפוקה מצטברת מול אשתקד'!A52,מנורה!A:K,10,0)+VLOOKUP('תפוקה מצטברת מול אשתקד'!A52,איילון!A:K,10,0)+VLOOKUP('תפוקה מצטברת מול אשתקד'!A52,הראל!A:K,10,0)+VLOOKUP('תפוקה מצטברת מול אשתקד'!A52,הפניקס!A:K,10,0)+VLOOKUP('תפוקה מצטברת מול אשתקד'!A52,כלל!A:K,10,0)+VLOOKUP('תפוקה מצטברת מול אשתקד'!A52,מור!A:K,10,0)+VLOOKUP('תפוקה מצטברת מול אשתקד'!A52,'אלטשולר שחם'!A:K,10,0)+VLOOKUP('תפוקה מצטברת מול אשתקד'!A52,'מדיהו '!A:K,10,0)+VLOOKUP('תפוקה מצטברת מול אשתקד'!A52,'אנליסט '!A:K,10,0)+VLOOKUP('תפוקה מצטברת מול אשתקד'!A52,'מיטב דש'!A:K,10,0)+VLOOKUP('תפוקה מצטברת מול אשתקד'!A52,אינפניטי!A:K,10,0)</f>
        <v>0</v>
      </c>
      <c r="O52" s="12">
        <f>VLOOKUP(A52,הכשרה!A:K,11,0)+VLOOKUP('תפוקה מצטברת מול אשתקד'!A52,מגדל!A:K,11,0)+VLOOKUP('תפוקה מצטברת מול אשתקד'!A52,מנורה!A:K,11,0)+VLOOKUP('תפוקה מצטברת מול אשתקד'!A52,איילון!A:K,11,0)+VLOOKUP('תפוקה מצטברת מול אשתקד'!A52,הראל!A:K,11,0)+VLOOKUP('תפוקה מצטברת מול אשתקד'!A52,הפניקס!A:K,11,0)+VLOOKUP('תפוקה מצטברת מול אשתקד'!A52,כלל!A:K,11,0)+VLOOKUP('תפוקה מצטברת מול אשתקד'!A52,מור!A:K,11,0)+VLOOKUP('תפוקה מצטברת מול אשתקד'!A52,'אלטשולר שחם'!A:K,11,0)+VLOOKUP('תפוקה מצטברת מול אשתקד'!A52,'מדיהו '!A:K,11,0)+VLOOKUP('תפוקה מצטברת מול אשתקד'!A52,'אנליסט '!A:K,11,0)+VLOOKUP('תפוקה מצטברת מול אשתקד'!A52,'מיטב דש'!A:K,11,0)+VLOOKUP('תפוקה מצטברת מול אשתקד'!A52,אינפניטי!A:K,11,0)</f>
        <v>-115261.94</v>
      </c>
    </row>
    <row r="53" spans="1:15" ht="15.75" customHeight="1" x14ac:dyDescent="0.25">
      <c r="A53" s="26" t="s">
        <v>98</v>
      </c>
      <c r="B53" s="26" t="s">
        <v>55</v>
      </c>
      <c r="C53" s="27" t="s">
        <v>107</v>
      </c>
      <c r="D53" s="19">
        <f t="shared" si="9"/>
        <v>1</v>
      </c>
      <c r="E53" s="19">
        <f t="shared" si="9"/>
        <v>1</v>
      </c>
      <c r="F53" s="19">
        <f t="shared" si="9"/>
        <v>0</v>
      </c>
      <c r="G53" s="19">
        <f t="shared" si="8"/>
        <v>0</v>
      </c>
      <c r="H53" s="58">
        <f>VLOOKUP(A53,הכשרה!A:G,4,0)+VLOOKUP('תפוקה מצטברת מול אשתקד'!A53,מגדל!A:G,4,0)+VLOOKUP('תפוקה מצטברת מול אשתקד'!A53,מנורה!A:G,4,0)+VLOOKUP('תפוקה מצטברת מול אשתקד'!A53,איילון!A:G,4,0)+VLOOKUP('תפוקה מצטברת מול אשתקד'!A53,הראל!A:G,4,0)+VLOOKUP('תפוקה מצטברת מול אשתקד'!A53,הפניקס!A:G,4,0)+VLOOKUP('תפוקה מצטברת מול אשתקד'!A53,כלל!A:G,4,0)+VLOOKUP('תפוקה מצטברת מול אשתקד'!A53,מור!A:G,4,0)+VLOOKUP('תפוקה מצטברת מול אשתקד'!A53,'אלטשולר שחם'!A:G,4,0)+VLOOKUP('תפוקה מצטברת מול אשתקד'!A53,'מדיהו '!A:G,4,0)+VLOOKUP('תפוקה מצטברת מול אשתקד'!A53,'אנליסט '!A:G,4,0)+VLOOKUP('תפוקה מצטברת מול אשתקד'!A53,'מיטב דש'!A:G,4,0)+VLOOKUP('תפוקה מצטברת מול אשתקד'!A53,אינפניטי!A:G,4,0)</f>
        <v>30082.09</v>
      </c>
      <c r="I53" s="58">
        <f>VLOOKUP(A53,הכשרה!A:G,5,0)+VLOOKUP('תפוקה מצטברת מול אשתקד'!A53,מגדל!A:G,5,0)+VLOOKUP('תפוקה מצטברת מול אשתקד'!A53,מנורה!A:G,5,0)+VLOOKUP('תפוקה מצטברת מול אשתקד'!A53,איילון!A:G,5,0)+VLOOKUP('תפוקה מצטברת מול אשתקד'!A53,הראל!A:G,5,0)+VLOOKUP('תפוקה מצטברת מול אשתקד'!A53,הפניקס!A:G,5,0)+VLOOKUP('תפוקה מצטברת מול אשתקד'!A53,כלל!A:G,5,0)+VLOOKUP('תפוקה מצטברת מול אשתקד'!A53,מור!A:G,5,0)+VLOOKUP('תפוקה מצטברת מול אשתקד'!A53,'אלטשולר שחם'!A:G,5,0)+VLOOKUP('תפוקה מצטברת מול אשתקד'!A53,'מדיהו '!A:G,5,0)+VLOOKUP('תפוקה מצטברת מול אשתקד'!A53,'אנליסט '!A:G,5,0)+VLOOKUP('תפוקה מצטברת מול אשתקד'!A53,'מיטב דש'!A:G,5,0)+VLOOKUP('תפוקה מצטברת מול אשתקד'!A53,אינפניטי!A:G,5,0)</f>
        <v>17688.96</v>
      </c>
      <c r="J53" s="58">
        <f>VLOOKUP(A53,הכשרה!A:G,6,0)+VLOOKUP('תפוקה מצטברת מול אשתקד'!A53,מגדל!A:G,6,0)+VLOOKUP('תפוקה מצטברת מול אשתקד'!A53,מנורה!A:G,6,0)+VLOOKUP('תפוקה מצטברת מול אשתקד'!A53,איילון!A:G,6,0)+VLOOKUP(A53,הראל!A:G,6,0)+VLOOKUP('תפוקה מצטברת מול אשתקד'!A53,הפניקס!A:G,6,0)+VLOOKUP('תפוקה מצטברת מול אשתקד'!A53,כלל!A:G,6,0)+VLOOKUP('תפוקה מצטברת מול אשתקד'!A53,מור!A:G,6,0)+VLOOKUP('תפוקה מצטברת מול אשתקד'!A53,'אלטשולר שחם'!A:G,6,0)+VLOOKUP('תפוקה מצטברת מול אשתקד'!A53,'מדיהו '!A:G,6,0)+VLOOKUP('תפוקה מצטברת מול אשתקד'!A53,'אנליסט '!A:G,6,0)+VLOOKUP('תפוקה מצטברת מול אשתקד'!A53,'מיטב דש'!A:G,6,0)+VLOOKUP('תפוקה מצטברת מול אשתקד'!A53,אינפניטי!A:G,6,0)</f>
        <v>0</v>
      </c>
      <c r="K53" s="58">
        <f>VLOOKUP(A53,הכשרה!A:G,7,0)+VLOOKUP('תפוקה מצטברת מול אשתקד'!A53,מגדל!A:G,7,0)+VLOOKUP('תפוקה מצטברת מול אשתקד'!A53,מנורה!A:G,7,0)+VLOOKUP('תפוקה מצטברת מול אשתקד'!A53,איילון!A:G,7,0)+VLOOKUP('תפוקה מצטברת מול אשתקד'!A53,הראל!A:G,7,0)+VLOOKUP('תפוקה מצטברת מול אשתקד'!A53,הפניקס!A:G,7,0)+VLOOKUP('תפוקה מצטברת מול אשתקד'!A53,כלל!A:G,7,0)+VLOOKUP('תפוקה מצטברת מול אשתקד'!A53,מור!A:G,7,0)+VLOOKUP('תפוקה מצטברת מול אשתקד'!A53,'אלטשולר שחם'!A:G,7,0)+VLOOKUP('תפוקה מצטברת מול אשתקד'!A53,'מדיהו '!A:K,7,0)+VLOOKUP(A53,'אנליסט '!A:G,7,0)+VLOOKUP('תפוקה מצטברת מול אשתקד'!A53,'מיטב דש'!A:G,7,0)+VLOOKUP('תפוקה מצטברת מול אשתקד'!A53,אינפניטי!A:G,7,0)</f>
        <v>0</v>
      </c>
      <c r="L53" s="12">
        <f>VLOOKUP(A53,הכשרה!A:K,8,0)+VLOOKUP('תפוקה מצטברת מול אשתקד'!A53,מגדל!A:K,8,0)+VLOOKUP('תפוקה מצטברת מול אשתקד'!A53,מנורה!A:K,8,0)+VLOOKUP('תפוקה מצטברת מול אשתקד'!A53,איילון!A:K,8,0)+VLOOKUP('תפוקה מצטברת מול אשתקד'!A53,הראל!A:K,8,0)+VLOOKUP('תפוקה מצטברת מול אשתקד'!A53,הפניקס!A:K,8,0)+VLOOKUP('תפוקה מצטברת מול אשתקד'!A53,כלל!A:K,8,0)+VLOOKUP('תפוקה מצטברת מול אשתקד'!A53,מור!A:K,8,0)+VLOOKUP('תפוקה מצטברת מול אשתקד'!A53,'אלטשולר שחם'!A:K,8,0)+VLOOKUP('תפוקה מצטברת מול אשתקד'!A53,'מדיהו '!A:K,8,0)+VLOOKUP('תפוקה מצטברת מול אשתקד'!A53,'אנליסט '!A:K,8,0)+VLOOKUP('תפוקה מצטברת מול אשתקד'!A53,'מיטב דש'!A:K,8,0)+VLOOKUP('תפוקה מצטברת מול אשתקד'!A53,אינפניטי!A:K,8,0)</f>
        <v>0</v>
      </c>
      <c r="M53" s="12">
        <f>VLOOKUP(A53,הכשרה!A:K,9,0)+VLOOKUP('תפוקה מצטברת מול אשתקד'!A53,מגדל!A:K,9,0)+VLOOKUP('תפוקה מצטברת מול אשתקד'!A53,מנורה!A:K,9,0)+VLOOKUP('תפוקה מצטברת מול אשתקד'!A53,איילון!A:K,9,0)+VLOOKUP('תפוקה מצטברת מול אשתקד'!A53,הראל!A:K,9,0)+VLOOKUP('תפוקה מצטברת מול אשתקד'!A53,הפניקס!A:K,9,0)+VLOOKUP('תפוקה מצטברת מול אשתקד'!A53,כלל!A:K,9,0)+VLOOKUP('תפוקה מצטברת מול אשתקד'!A53,מור!A:K,9,0)+VLOOKUP('תפוקה מצטברת מול אשתקד'!A53,'אלטשולר שחם'!A:K,9,0)+VLOOKUP('תפוקה מצטברת מול אשתקד'!A53,'מדיהו '!A:K,9,0)+VLOOKUP('תפוקה מצטברת מול אשתקד'!A53,'אנליסט '!A:K,9,0)+VLOOKUP('תפוקה מצטברת מול אשתקד'!A53,'מיטב דש'!A:K,9,0)+VLOOKUP('תפוקה מצטברת מול אשתקד'!A53,אינפניטי!A:K,9,0)</f>
        <v>0</v>
      </c>
      <c r="N53" s="12">
        <f>VLOOKUP(A53,הכשרה!A:K,10,0)+VLOOKUP('תפוקה מצטברת מול אשתקד'!A53,מגדל!A:K,10,0)+VLOOKUP('תפוקה מצטברת מול אשתקד'!A53,מנורה!A:K,10,0)+VLOOKUP('תפוקה מצטברת מול אשתקד'!A53,איילון!A:K,10,0)+VLOOKUP('תפוקה מצטברת מול אשתקד'!A53,הראל!A:K,10,0)+VLOOKUP('תפוקה מצטברת מול אשתקד'!A53,הפניקס!A:K,10,0)+VLOOKUP('תפוקה מצטברת מול אשתקד'!A53,כלל!A:K,10,0)+VLOOKUP('תפוקה מצטברת מול אשתקד'!A53,מור!A:K,10,0)+VLOOKUP('תפוקה מצטברת מול אשתקד'!A53,'אלטשולר שחם'!A:K,10,0)+VLOOKUP('תפוקה מצטברת מול אשתקד'!A53,'מדיהו '!A:K,10,0)+VLOOKUP('תפוקה מצטברת מול אשתקד'!A53,'אנליסט '!A:K,10,0)+VLOOKUP('תפוקה מצטברת מול אשתקד'!A53,'מיטב דש'!A:K,10,0)+VLOOKUP('תפוקה מצטברת מול אשתקד'!A53,אינפניטי!A:K,10,0)</f>
        <v>0</v>
      </c>
      <c r="O53" s="12">
        <f>VLOOKUP(A53,הכשרה!A:K,11,0)+VLOOKUP('תפוקה מצטברת מול אשתקד'!A53,מגדל!A:K,11,0)+VLOOKUP('תפוקה מצטברת מול אשתקד'!A53,מנורה!A:K,11,0)+VLOOKUP('תפוקה מצטברת מול אשתקד'!A53,איילון!A:K,11,0)+VLOOKUP('תפוקה מצטברת מול אשתקד'!A53,הראל!A:K,11,0)+VLOOKUP('תפוקה מצטברת מול אשתקד'!A53,הפניקס!A:K,11,0)+VLOOKUP('תפוקה מצטברת מול אשתקד'!A53,כלל!A:K,11,0)+VLOOKUP('תפוקה מצטברת מול אשתקד'!A53,מור!A:K,11,0)+VLOOKUP('תפוקה מצטברת מול אשתקד'!A53,'אלטשולר שחם'!A:K,11,0)+VLOOKUP('תפוקה מצטברת מול אשתקד'!A53,'מדיהו '!A:K,11,0)+VLOOKUP('תפוקה מצטברת מול אשתקד'!A53,'אנליסט '!A:K,11,0)+VLOOKUP('תפוקה מצטברת מול אשתקד'!A53,'מיטב דש'!A:K,11,0)+VLOOKUP('תפוקה מצטברת מול אשתקד'!A53,אינפניטי!A:K,11,0)</f>
        <v>0</v>
      </c>
    </row>
    <row r="54" spans="1:15" ht="15.75" customHeight="1" x14ac:dyDescent="0.25">
      <c r="A54" s="26" t="s">
        <v>139</v>
      </c>
      <c r="B54" s="26" t="s">
        <v>108</v>
      </c>
      <c r="C54" s="27" t="s">
        <v>107</v>
      </c>
      <c r="D54" s="19">
        <f t="shared" si="9"/>
        <v>0</v>
      </c>
      <c r="E54" s="19">
        <f t="shared" si="9"/>
        <v>0</v>
      </c>
      <c r="F54" s="19">
        <f t="shared" si="9"/>
        <v>0</v>
      </c>
      <c r="G54" s="19">
        <f t="shared" si="8"/>
        <v>1</v>
      </c>
      <c r="H54" s="58">
        <f>VLOOKUP(A54,הכשרה!A:G,4,0)+VLOOKUP('תפוקה מצטברת מול אשתקד'!A54,מגדל!A:G,4,0)+VLOOKUP('תפוקה מצטברת מול אשתקד'!A54,מנורה!A:G,4,0)+VLOOKUP('תפוקה מצטברת מול אשתקד'!A54,איילון!A:G,4,0)+VLOOKUP('תפוקה מצטברת מול אשתקד'!A54,הראל!A:G,4,0)+VLOOKUP('תפוקה מצטברת מול אשתקד'!A54,הפניקס!A:G,4,0)+VLOOKUP('תפוקה מצטברת מול אשתקד'!A54,כלל!A:G,4,0)+VLOOKUP('תפוקה מצטברת מול אשתקד'!A54,מור!A:G,4,0)+VLOOKUP('תפוקה מצטברת מול אשתקד'!A54,'אלטשולר שחם'!A:G,4,0)+VLOOKUP('תפוקה מצטברת מול אשתקד'!A54,'מדיהו '!A:G,4,0)+VLOOKUP('תפוקה מצטברת מול אשתקד'!A54,'אנליסט '!A:G,4,0)+VLOOKUP('תפוקה מצטברת מול אשתקד'!A54,'מיטב דש'!A:G,4,0)+VLOOKUP('תפוקה מצטברת מול אשתקד'!A54,אינפניטי!A:G,4,0)</f>
        <v>0</v>
      </c>
      <c r="I54" s="58">
        <f>VLOOKUP(A54,הכשרה!A:G,5,0)+VLOOKUP('תפוקה מצטברת מול אשתקד'!A54,מגדל!A:G,5,0)+VLOOKUP('תפוקה מצטברת מול אשתקד'!A54,מנורה!A:G,5,0)+VLOOKUP('תפוקה מצטברת מול אשתקד'!A54,איילון!A:G,5,0)+VLOOKUP('תפוקה מצטברת מול אשתקד'!A54,הראל!A:G,5,0)+VLOOKUP('תפוקה מצטברת מול אשתקד'!A54,הפניקס!A:G,5,0)+VLOOKUP('תפוקה מצטברת מול אשתקד'!A54,כלל!A:G,5,0)+VLOOKUP('תפוקה מצטברת מול אשתקד'!A54,מור!A:G,5,0)+VLOOKUP('תפוקה מצטברת מול אשתקד'!A54,'אלטשולר שחם'!A:G,5,0)+VLOOKUP('תפוקה מצטברת מול אשתקד'!A54,'מדיהו '!A:G,5,0)+VLOOKUP('תפוקה מצטברת מול אשתקד'!A54,'אנליסט '!A:G,5,0)+VLOOKUP('תפוקה מצטברת מול אשתקד'!A54,'מיטב דש'!A:G,5,0)+VLOOKUP('תפוקה מצטברת מול אשתקד'!A54,אינפניטי!A:G,5,0)</f>
        <v>0</v>
      </c>
      <c r="J54" s="58">
        <f>VLOOKUP(A54,הכשרה!A:G,6,0)+VLOOKUP('תפוקה מצטברת מול אשתקד'!A54,מגדל!A:G,6,0)+VLOOKUP('תפוקה מצטברת מול אשתקד'!A54,מנורה!A:G,6,0)+VLOOKUP('תפוקה מצטברת מול אשתקד'!A54,איילון!A:G,6,0)+VLOOKUP(A54,הראל!A:G,6,0)+VLOOKUP('תפוקה מצטברת מול אשתקד'!A54,הפניקס!A:G,6,0)+VLOOKUP('תפוקה מצטברת מול אשתקד'!A54,כלל!A:G,6,0)+VLOOKUP('תפוקה מצטברת מול אשתקד'!A54,מור!A:G,6,0)+VLOOKUP('תפוקה מצטברת מול אשתקד'!A54,'אלטשולר שחם'!A:G,6,0)+VLOOKUP('תפוקה מצטברת מול אשתקד'!A54,'מדיהו '!A:G,6,0)+VLOOKUP('תפוקה מצטברת מול אשתקד'!A54,'אנליסט '!A:G,6,0)+VLOOKUP('תפוקה מצטברת מול אשתקד'!A54,'מיטב דש'!A:G,6,0)+VLOOKUP('תפוקה מצטברת מול אשתקד'!A54,אינפניטי!A:G,6,0)</f>
        <v>0</v>
      </c>
      <c r="K54" s="58">
        <f>VLOOKUP(A54,הכשרה!A:G,7,0)+VLOOKUP('תפוקה מצטברת מול אשתקד'!A54,מגדל!A:G,7,0)+VLOOKUP('תפוקה מצטברת מול אשתקד'!A54,מנורה!A:G,7,0)+VLOOKUP('תפוקה מצטברת מול אשתקד'!A54,איילון!A:G,7,0)+VLOOKUP('תפוקה מצטברת מול אשתקד'!A54,הראל!A:G,7,0)+VLOOKUP('תפוקה מצטברת מול אשתקד'!A54,הפניקס!A:G,7,0)+VLOOKUP('תפוקה מצטברת מול אשתקד'!A54,כלל!A:G,7,0)+VLOOKUP('תפוקה מצטברת מול אשתקד'!A54,מור!A:G,7,0)+VLOOKUP('תפוקה מצטברת מול אשתקד'!A54,'אלטשולר שחם'!A:G,7,0)+VLOOKUP('תפוקה מצטברת מול אשתקד'!A54,'מדיהו '!A:K,7,0)+VLOOKUP(A54,'אנליסט '!A:G,7,0)+VLOOKUP('תפוקה מצטברת מול אשתקד'!A54,'מיטב דש'!A:G,7,0)+VLOOKUP('תפוקה מצטברת מול אשתקד'!A54,אינפניטי!A:G,7,0)</f>
        <v>-124868.53</v>
      </c>
      <c r="L54" s="12">
        <f>VLOOKUP(A54,הכשרה!A:K,8,0)+VLOOKUP('תפוקה מצטברת מול אשתקד'!A54,מגדל!A:K,8,0)+VLOOKUP('תפוקה מצטברת מול אשתקד'!A54,מנורה!A:K,8,0)+VLOOKUP('תפוקה מצטברת מול אשתקד'!A54,איילון!A:K,8,0)+VLOOKUP('תפוקה מצטברת מול אשתקד'!A54,הראל!A:K,8,0)+VLOOKUP('תפוקה מצטברת מול אשתקד'!A54,הפניקס!A:K,8,0)+VLOOKUP('תפוקה מצטברת מול אשתקד'!A54,כלל!A:K,8,0)+VLOOKUP('תפוקה מצטברת מול אשתקד'!A54,מור!A:K,8,0)+VLOOKUP('תפוקה מצטברת מול אשתקד'!A54,'אלטשולר שחם'!A:K,8,0)+VLOOKUP('תפוקה מצטברת מול אשתקד'!A54,'מדיהו '!A:K,8,0)+VLOOKUP('תפוקה מצטברת מול אשתקד'!A54,'אנליסט '!A:K,8,0)+VLOOKUP('תפוקה מצטברת מול אשתקד'!A54,'מיטב דש'!A:K,8,0)+VLOOKUP('תפוקה מצטברת מול אשתקד'!A54,אינפניטי!A:K,8,0)</f>
        <v>0</v>
      </c>
      <c r="M54" s="12">
        <f>VLOOKUP(A54,הכשרה!A:K,9,0)+VLOOKUP('תפוקה מצטברת מול אשתקד'!A54,מגדל!A:K,9,0)+VLOOKUP('תפוקה מצטברת מול אשתקד'!A54,מנורה!A:K,9,0)+VLOOKUP('תפוקה מצטברת מול אשתקד'!A54,איילון!A:K,9,0)+VLOOKUP('תפוקה מצטברת מול אשתקד'!A54,הראל!A:K,9,0)+VLOOKUP('תפוקה מצטברת מול אשתקד'!A54,הפניקס!A:K,9,0)+VLOOKUP('תפוקה מצטברת מול אשתקד'!A54,כלל!A:K,9,0)+VLOOKUP('תפוקה מצטברת מול אשתקד'!A54,מור!A:K,9,0)+VLOOKUP('תפוקה מצטברת מול אשתקד'!A54,'אלטשולר שחם'!A:K,9,0)+VLOOKUP('תפוקה מצטברת מול אשתקד'!A54,'מדיהו '!A:K,9,0)+VLOOKUP('תפוקה מצטברת מול אשתקד'!A54,'אנליסט '!A:K,9,0)+VLOOKUP('תפוקה מצטברת מול אשתקד'!A54,'מיטב דש'!A:K,9,0)+VLOOKUP('תפוקה מצטברת מול אשתקד'!A54,אינפניטי!A:K,9,0)</f>
        <v>0</v>
      </c>
      <c r="N54" s="12">
        <f>VLOOKUP(A54,הכשרה!A:K,10,0)+VLOOKUP('תפוקה מצטברת מול אשתקד'!A54,מגדל!A:K,10,0)+VLOOKUP('תפוקה מצטברת מול אשתקד'!A54,מנורה!A:K,10,0)+VLOOKUP('תפוקה מצטברת מול אשתקד'!A54,איילון!A:K,10,0)+VLOOKUP('תפוקה מצטברת מול אשתקד'!A54,הראל!A:K,10,0)+VLOOKUP('תפוקה מצטברת מול אשתקד'!A54,הפניקס!A:K,10,0)+VLOOKUP('תפוקה מצטברת מול אשתקד'!A54,כלל!A:K,10,0)+VLOOKUP('תפוקה מצטברת מול אשתקד'!A54,מור!A:K,10,0)+VLOOKUP('תפוקה מצטברת מול אשתקד'!A54,'אלטשולר שחם'!A:K,10,0)+VLOOKUP('תפוקה מצטברת מול אשתקד'!A54,'מדיהו '!A:K,10,0)+VLOOKUP('תפוקה מצטברת מול אשתקד'!A54,'אנליסט '!A:K,10,0)+VLOOKUP('תפוקה מצטברת מול אשתקד'!A54,'מיטב דש'!A:K,10,0)+VLOOKUP('תפוקה מצטברת מול אשתקד'!A54,אינפניטי!A:K,10,0)</f>
        <v>0</v>
      </c>
      <c r="O54" s="12">
        <f>VLOOKUP(A54,הכשרה!A:K,11,0)+VLOOKUP('תפוקה מצטברת מול אשתקד'!A54,מגדל!A:K,11,0)+VLOOKUP('תפוקה מצטברת מול אשתקד'!A54,מנורה!A:K,11,0)+VLOOKUP('תפוקה מצטברת מול אשתקד'!A54,איילון!A:K,11,0)+VLOOKUP('תפוקה מצטברת מול אשתקד'!A54,הראל!A:K,11,0)+VLOOKUP('תפוקה מצטברת מול אשתקד'!A54,הפניקס!A:K,11,0)+VLOOKUP('תפוקה מצטברת מול אשתקד'!A54,כלל!A:K,11,0)+VLOOKUP('תפוקה מצטברת מול אשתקד'!A54,מור!A:K,11,0)+VLOOKUP('תפוקה מצטברת מול אשתקד'!A54,'אלטשולר שחם'!A:K,11,0)+VLOOKUP('תפוקה מצטברת מול אשתקד'!A54,'מדיהו '!A:K,11,0)+VLOOKUP('תפוקה מצטברת מול אשתקד'!A54,'אנליסט '!A:K,11,0)+VLOOKUP('תפוקה מצטברת מול אשתקד'!A54,'מיטב דש'!A:K,11,0)+VLOOKUP('תפוקה מצטברת מול אשתקד'!A54,אינפניטי!A:K,11,0)</f>
        <v>0</v>
      </c>
    </row>
    <row r="55" spans="1:15" ht="15.75" customHeight="1" thickBot="1" x14ac:dyDescent="0.3">
      <c r="A55" s="26" t="s">
        <v>32</v>
      </c>
      <c r="B55" s="26" t="s">
        <v>55</v>
      </c>
      <c r="C55" s="27" t="s">
        <v>107</v>
      </c>
      <c r="D55" s="19">
        <f t="shared" si="9"/>
        <v>0</v>
      </c>
      <c r="E55" s="19">
        <f t="shared" si="9"/>
        <v>0</v>
      </c>
      <c r="F55" s="19">
        <f t="shared" si="9"/>
        <v>0</v>
      </c>
      <c r="G55" s="19">
        <f t="shared" ref="G55:G64" si="10">IF(K55=0,0%,IF(O55=H80,100%,K55/O55-1))</f>
        <v>0</v>
      </c>
      <c r="H55" s="58">
        <f>VLOOKUP(A55,הכשרה!A:G,4,0)+VLOOKUP('תפוקה מצטברת מול אשתקד'!A55,מגדל!A:G,4,0)+VLOOKUP('תפוקה מצטברת מול אשתקד'!A55,מנורה!A:G,4,0)+VLOOKUP('תפוקה מצטברת מול אשתקד'!A55,איילון!A:G,4,0)+VLOOKUP('תפוקה מצטברת מול אשתקד'!A55,הראל!A:G,4,0)+VLOOKUP('תפוקה מצטברת מול אשתקד'!A55,הפניקס!A:G,4,0)+VLOOKUP('תפוקה מצטברת מול אשתקד'!A55,כלל!A:G,4,0)+VLOOKUP('תפוקה מצטברת מול אשתקד'!A55,מור!A:G,4,0)+VLOOKUP('תפוקה מצטברת מול אשתקד'!A55,'אלטשולר שחם'!A:G,4,0)+VLOOKUP('תפוקה מצטברת מול אשתקד'!A55,'מדיהו '!A:G,4,0)+VLOOKUP('תפוקה מצטברת מול אשתקד'!A55,'אנליסט '!A:G,4,0)+VLOOKUP('תפוקה מצטברת מול אשתקד'!A55,'מיטב דש'!A:G,4,0)+VLOOKUP('תפוקה מצטברת מול אשתקד'!A55,אינפניטי!A:G,4,0)</f>
        <v>0</v>
      </c>
      <c r="I55" s="58">
        <f>VLOOKUP(A55,הכשרה!A:G,5,0)+VLOOKUP('תפוקה מצטברת מול אשתקד'!A55,מגדל!A:G,5,0)+VLOOKUP('תפוקה מצטברת מול אשתקד'!A55,מנורה!A:G,5,0)+VLOOKUP('תפוקה מצטברת מול אשתקד'!A55,איילון!A:G,5,0)+VLOOKUP('תפוקה מצטברת מול אשתקד'!A55,הראל!A:G,5,0)+VLOOKUP('תפוקה מצטברת מול אשתקד'!A55,הפניקס!A:G,5,0)+VLOOKUP('תפוקה מצטברת מול אשתקד'!A55,כלל!A:G,5,0)+VLOOKUP('תפוקה מצטברת מול אשתקד'!A55,מור!A:G,5,0)+VLOOKUP('תפוקה מצטברת מול אשתקד'!A55,'אלטשולר שחם'!A:G,5,0)+VLOOKUP('תפוקה מצטברת מול אשתקד'!A55,'מדיהו '!A:G,5,0)+VLOOKUP('תפוקה מצטברת מול אשתקד'!A55,'אנליסט '!A:G,5,0)+VLOOKUP('תפוקה מצטברת מול אשתקד'!A55,'מיטב דש'!A:G,5,0)+VLOOKUP('תפוקה מצטברת מול אשתקד'!A55,אינפניטי!A:G,5,0)</f>
        <v>0</v>
      </c>
      <c r="J55" s="58">
        <f>VLOOKUP(A55,הכשרה!A:G,6,0)+VLOOKUP('תפוקה מצטברת מול אשתקד'!A55,מגדל!A:G,6,0)+VLOOKUP('תפוקה מצטברת מול אשתקד'!A55,מנורה!A:G,6,0)+VLOOKUP('תפוקה מצטברת מול אשתקד'!A55,איילון!A:G,6,0)+VLOOKUP(A55,הראל!A:G,6,0)+VLOOKUP('תפוקה מצטברת מול אשתקד'!A55,הפניקס!A:G,6,0)+VLOOKUP('תפוקה מצטברת מול אשתקד'!A55,כלל!A:G,6,0)+VLOOKUP('תפוקה מצטברת מול אשתקד'!A55,מור!A:G,6,0)+VLOOKUP('תפוקה מצטברת מול אשתקד'!A55,'אלטשולר שחם'!A:G,6,0)+VLOOKUP('תפוקה מצטברת מול אשתקד'!A55,'מדיהו '!A:G,6,0)+VLOOKUP('תפוקה מצטברת מול אשתקד'!A55,'אנליסט '!A:G,6,0)+VLOOKUP('תפוקה מצטברת מול אשתקד'!A55,'מיטב דש'!A:G,6,0)+VLOOKUP('תפוקה מצטברת מול אשתקד'!A55,אינפניטי!A:G,6,0)</f>
        <v>0</v>
      </c>
      <c r="K55" s="58">
        <f>VLOOKUP(A55,הכשרה!A:G,7,0)+VLOOKUP('תפוקה מצטברת מול אשתקד'!A55,מגדל!A:G,7,0)+VLOOKUP('תפוקה מצטברת מול אשתקד'!A55,מנורה!A:G,7,0)+VLOOKUP('תפוקה מצטברת מול אשתקד'!A55,איילון!A:G,7,0)+VLOOKUP('תפוקה מצטברת מול אשתקד'!A55,הראל!A:G,7,0)+VLOOKUP('תפוקה מצטברת מול אשתקד'!A55,הפניקס!A:G,7,0)+VLOOKUP('תפוקה מצטברת מול אשתקד'!A55,כלל!A:G,7,0)+VLOOKUP('תפוקה מצטברת מול אשתקד'!A55,מור!A:G,7,0)+VLOOKUP('תפוקה מצטברת מול אשתקד'!A55,'אלטשולר שחם'!A:G,7,0)+VLOOKUP('תפוקה מצטברת מול אשתקד'!A55,'מדיהו '!A:K,7,0)+VLOOKUP(A55,'אנליסט '!A:G,7,0)+VLOOKUP('תפוקה מצטברת מול אשתקד'!A55,'מיטב דש'!A:G,7,0)+VLOOKUP('תפוקה מצטברת מול אשתקד'!A55,אינפניטי!A:G,7,0)</f>
        <v>0</v>
      </c>
      <c r="L55" s="12">
        <f>VLOOKUP(A55,הכשרה!A:K,8,0)+VLOOKUP('תפוקה מצטברת מול אשתקד'!A55,מגדל!A:K,8,0)+VLOOKUP('תפוקה מצטברת מול אשתקד'!A55,מנורה!A:K,8,0)+VLOOKUP('תפוקה מצטברת מול אשתקד'!A55,איילון!A:K,8,0)+VLOOKUP('תפוקה מצטברת מול אשתקד'!A55,הראל!A:K,8,0)+VLOOKUP('תפוקה מצטברת מול אשתקד'!A55,הפניקס!A:K,8,0)+VLOOKUP('תפוקה מצטברת מול אשתקד'!A55,כלל!A:K,8,0)+VLOOKUP('תפוקה מצטברת מול אשתקד'!A55,מור!A:K,8,0)+VLOOKUP('תפוקה מצטברת מול אשתקד'!A55,'אלטשולר שחם'!A:K,8,0)+VLOOKUP('תפוקה מצטברת מול אשתקד'!A55,'מדיהו '!A:K,8,0)+VLOOKUP('תפוקה מצטברת מול אשתקד'!A55,'אנליסט '!A:K,8,0)+VLOOKUP('תפוקה מצטברת מול אשתקד'!A55,'מיטב דש'!A:K,8,0)+VLOOKUP('תפוקה מצטברת מול אשתקד'!A55,אינפניטי!A:K,8,0)</f>
        <v>125.97</v>
      </c>
      <c r="M55" s="12">
        <f>VLOOKUP(A55,הכשרה!A:K,9,0)+VLOOKUP('תפוקה מצטברת מול אשתקד'!A55,מגדל!A:K,9,0)+VLOOKUP('תפוקה מצטברת מול אשתקד'!A55,מנורה!A:K,9,0)+VLOOKUP('תפוקה מצטברת מול אשתקד'!A55,איילון!A:K,9,0)+VLOOKUP('תפוקה מצטברת מול אשתקד'!A55,הראל!A:K,9,0)+VLOOKUP('תפוקה מצטברת מול אשתקד'!A55,הפניקס!A:K,9,0)+VLOOKUP('תפוקה מצטברת מול אשתקד'!A55,כלל!A:K,9,0)+VLOOKUP('תפוקה מצטברת מול אשתקד'!A55,מור!A:K,9,0)+VLOOKUP('תפוקה מצטברת מול אשתקד'!A55,'אלטשולר שחם'!A:K,9,0)+VLOOKUP('תפוקה מצטברת מול אשתקד'!A55,'מדיהו '!A:K,9,0)+VLOOKUP('תפוקה מצטברת מול אשתקד'!A55,'אנליסט '!A:K,9,0)+VLOOKUP('תפוקה מצטברת מול אשתקד'!A55,'מיטב דש'!A:K,9,0)+VLOOKUP('תפוקה מצטברת מול אשתקד'!A55,אינפניטי!A:K,9,0)</f>
        <v>0</v>
      </c>
      <c r="N55" s="12">
        <f>VLOOKUP(A55,הכשרה!A:K,10,0)+VLOOKUP('תפוקה מצטברת מול אשתקד'!A55,מגדל!A:K,10,0)+VLOOKUP('תפוקה מצטברת מול אשתקד'!A55,מנורה!A:K,10,0)+VLOOKUP('תפוקה מצטברת מול אשתקד'!A55,איילון!A:K,10,0)+VLOOKUP('תפוקה מצטברת מול אשתקד'!A55,הראל!A:K,10,0)+VLOOKUP('תפוקה מצטברת מול אשתקד'!A55,הפניקס!A:K,10,0)+VLOOKUP('תפוקה מצטברת מול אשתקד'!A55,כלל!A:K,10,0)+VLOOKUP('תפוקה מצטברת מול אשתקד'!A55,מור!A:K,10,0)+VLOOKUP('תפוקה מצטברת מול אשתקד'!A55,'אלטשולר שחם'!A:K,10,0)+VLOOKUP('תפוקה מצטברת מול אשתקד'!A55,'מדיהו '!A:K,10,0)+VLOOKUP('תפוקה מצטברת מול אשתקד'!A55,'אנליסט '!A:K,10,0)+VLOOKUP('תפוקה מצטברת מול אשתקד'!A55,'מיטב דש'!A:K,10,0)+VLOOKUP('תפוקה מצטברת מול אשתקד'!A55,אינפניטי!A:K,10,0)</f>
        <v>0</v>
      </c>
      <c r="O55" s="12">
        <f>VLOOKUP(A55,הכשרה!A:K,11,0)+VLOOKUP('תפוקה מצטברת מול אשתקד'!A55,מגדל!A:K,11,0)+VLOOKUP('תפוקה מצטברת מול אשתקד'!A55,מנורה!A:K,11,0)+VLOOKUP('תפוקה מצטברת מול אשתקד'!A55,איילון!A:K,11,0)+VLOOKUP('תפוקה מצטברת מול אשתקד'!A55,הראל!A:K,11,0)+VLOOKUP('תפוקה מצטברת מול אשתקד'!A55,הפניקס!A:K,11,0)+VLOOKUP('תפוקה מצטברת מול אשתקד'!A55,כלל!A:K,11,0)+VLOOKUP('תפוקה מצטברת מול אשתקד'!A55,מור!A:K,11,0)+VLOOKUP('תפוקה מצטברת מול אשתקד'!A55,'אלטשולר שחם'!A:K,11,0)+VLOOKUP('תפוקה מצטברת מול אשתקד'!A55,'מדיהו '!A:K,11,0)+VLOOKUP('תפוקה מצטברת מול אשתקד'!A55,'אנליסט '!A:K,11,0)+VLOOKUP('תפוקה מצטברת מול אשתקד'!A55,'מיטב דש'!A:K,11,0)+VLOOKUP('תפוקה מצטברת מול אשתקד'!A55,אינפניטי!A:K,11,0)</f>
        <v>0</v>
      </c>
    </row>
    <row r="56" spans="1:15" ht="27" customHeight="1" thickBot="1" x14ac:dyDescent="0.3">
      <c r="A56" s="123" t="s">
        <v>116</v>
      </c>
      <c r="B56" s="121"/>
      <c r="C56" s="121"/>
      <c r="D56" s="19">
        <f t="shared" ref="D56:D57" si="11">IF(H56=0,0%,IF(L56=0,100%,H56/L56-1))</f>
        <v>-1.2365795475764996E-2</v>
      </c>
      <c r="E56" s="19">
        <f t="shared" ref="E56:E57" si="12">IF(I56=0,0%,IF(M56=0,100%,I56/M56-1))</f>
        <v>-0.12964988463664162</v>
      </c>
      <c r="F56" s="19">
        <f t="shared" ref="F56:F57" si="13">IF(J56=0,0%,IF(N56=0,100%,J56/N56-1))</f>
        <v>-0.20070727663209009</v>
      </c>
      <c r="G56" s="19">
        <f t="shared" si="10"/>
        <v>-0.56763626952468371</v>
      </c>
      <c r="H56" s="123">
        <f>SUM(H23:H55)</f>
        <v>4675522.4344982207</v>
      </c>
      <c r="I56" s="123">
        <f t="shared" ref="I56:O56" si="14">SUM(I23:I55)</f>
        <v>652656.53640906548</v>
      </c>
      <c r="J56" s="123">
        <f t="shared" si="14"/>
        <v>8435988.0191543568</v>
      </c>
      <c r="K56" s="123">
        <f t="shared" si="14"/>
        <v>11766559.359999998</v>
      </c>
      <c r="L56" s="123">
        <f t="shared" si="14"/>
        <v>4734062.8879398946</v>
      </c>
      <c r="M56" s="123">
        <f t="shared" si="14"/>
        <v>749878.15235319524</v>
      </c>
      <c r="N56" s="123">
        <f t="shared" si="14"/>
        <v>10554316.050330561</v>
      </c>
      <c r="O56" s="123">
        <f t="shared" si="14"/>
        <v>27214492.175521996</v>
      </c>
    </row>
    <row r="57" spans="1:15" ht="15.75" customHeight="1" x14ac:dyDescent="0.25">
      <c r="A57" s="26" t="s">
        <v>35</v>
      </c>
      <c r="B57" s="26" t="s">
        <v>115</v>
      </c>
      <c r="C57" s="27" t="s">
        <v>107</v>
      </c>
      <c r="D57" s="19">
        <f t="shared" si="11"/>
        <v>-0.65819033175436259</v>
      </c>
      <c r="E57" s="19">
        <f t="shared" si="12"/>
        <v>0</v>
      </c>
      <c r="F57" s="19">
        <f t="shared" si="13"/>
        <v>0</v>
      </c>
      <c r="G57" s="19">
        <f t="shared" si="10"/>
        <v>0</v>
      </c>
      <c r="H57" s="58">
        <f>VLOOKUP(A57,הכשרה!A:G,4,0)+VLOOKUP('תפוקה מצטברת מול אשתקד'!A57,מגדל!A:G,4,0)+VLOOKUP('תפוקה מצטברת מול אשתקד'!A57,מנורה!A:G,4,0)+VLOOKUP('תפוקה מצטברת מול אשתקד'!A57,איילון!A:G,4,0)+VLOOKUP('תפוקה מצטברת מול אשתקד'!A57,הראל!A:G,4,0)+VLOOKUP('תפוקה מצטברת מול אשתקד'!A57,הפניקס!A:G,4,0)+VLOOKUP('תפוקה מצטברת מול אשתקד'!A57,כלל!A:G,4,0)+VLOOKUP('תפוקה מצטברת מול אשתקד'!A57,מור!A:G,4,0)+VLOOKUP('תפוקה מצטברת מול אשתקד'!A57,'אלטשולר שחם'!A:G,4,0)+VLOOKUP('תפוקה מצטברת מול אשתקד'!A57,'מדיהו '!A:G,4,0)+VLOOKUP('תפוקה מצטברת מול אשתקד'!A57,'אנליסט '!A:G,4,0)+VLOOKUP('תפוקה מצטברת מול אשתקד'!A57,'מיטב דש'!A:G,4,0)+VLOOKUP('תפוקה מצטברת מול אשתקד'!A57,אינפניטי!A:G,4,0)</f>
        <v>17640.650000000001</v>
      </c>
      <c r="I57" s="58">
        <f>VLOOKUP(A57,הכשרה!A:G,5,0)+VLOOKUP('תפוקה מצטברת מול אשתקד'!A57,מגדל!A:G,5,0)+VLOOKUP('תפוקה מצטברת מול אשתקד'!A57,מנורה!A:G,5,0)+VLOOKUP('תפוקה מצטברת מול אשתקד'!A57,איילון!A:G,5,0)+VLOOKUP('תפוקה מצטברת מול אשתקד'!A57,הראל!A:G,5,0)+VLOOKUP('תפוקה מצטברת מול אשתקד'!A57,הפניקס!A:G,5,0)+VLOOKUP('תפוקה מצטברת מול אשתקד'!A57,כלל!A:G,5,0)+VLOOKUP('תפוקה מצטברת מול אשתקד'!A57,מור!A:G,5,0)+VLOOKUP('תפוקה מצטברת מול אשתקד'!A57,'אלטשולר שחם'!A:G,5,0)+VLOOKUP('תפוקה מצטברת מול אשתקד'!A57,'מדיהו '!A:G,5,0)+VLOOKUP('תפוקה מצטברת מול אשתקד'!A57,'אנליסט '!A:G,5,0)+VLOOKUP('תפוקה מצטברת מול אשתקד'!A57,'מיטב דש'!A:G,5,0)+VLOOKUP('תפוקה מצטברת מול אשתקד'!A57,אינפניטי!A:G,5,0)</f>
        <v>0</v>
      </c>
      <c r="J57" s="58">
        <f>VLOOKUP(A57,הכשרה!A:G,6,0)+VLOOKUP('תפוקה מצטברת מול אשתקד'!A57,מגדל!A:G,6,0)+VLOOKUP('תפוקה מצטברת מול אשתקד'!A57,מנורה!A:G,6,0)+VLOOKUP('תפוקה מצטברת מול אשתקד'!A57,איילון!A:G,6,0)+VLOOKUP(A57,הראל!A:G,6,0)+VLOOKUP('תפוקה מצטברת מול אשתקד'!A57,הפניקס!A:G,6,0)+VLOOKUP('תפוקה מצטברת מול אשתקד'!A57,כלל!A:G,6,0)+VLOOKUP('תפוקה מצטברת מול אשתקד'!A57,מור!A:G,6,0)+VLOOKUP('תפוקה מצטברת מול אשתקד'!A57,'אלטשולר שחם'!A:G,6,0)+VLOOKUP('תפוקה מצטברת מול אשתקד'!A57,'מדיהו '!A:G,6,0)+VLOOKUP('תפוקה מצטברת מול אשתקד'!A57,'אנליסט '!A:G,6,0)+VLOOKUP('תפוקה מצטברת מול אשתקד'!A57,'מיטב דש'!A:G,6,0)+VLOOKUP('תפוקה מצטברת מול אשתקד'!A57,אינפניטי!A:G,6,0)</f>
        <v>0</v>
      </c>
      <c r="K57" s="58">
        <f>VLOOKUP(A57,הכשרה!A:G,7,0)+VLOOKUP('תפוקה מצטברת מול אשתקד'!A57,מגדל!A:G,7,0)+VLOOKUP('תפוקה מצטברת מול אשתקד'!A57,מנורה!A:G,7,0)+VLOOKUP('תפוקה מצטברת מול אשתקד'!A57,איילון!A:G,7,0)+VLOOKUP('תפוקה מצטברת מול אשתקד'!A57,הראל!A:G,7,0)+VLOOKUP('תפוקה מצטברת מול אשתקד'!A57,הפניקס!A:G,7,0)+VLOOKUP('תפוקה מצטברת מול אשתקד'!A57,כלל!A:G,7,0)+VLOOKUP('תפוקה מצטברת מול אשתקד'!A57,מור!A:G,7,0)+VLOOKUP('תפוקה מצטברת מול אשתקד'!A57,'אלטשולר שחם'!A:G,7,0)+VLOOKUP('תפוקה מצטברת מול אשתקד'!A57,'מדיהו '!A:K,7,0)+VLOOKUP(A57,'אנליסט '!A:G,7,0)+VLOOKUP('תפוקה מצטברת מול אשתקד'!A57,'מיטב דש'!A:G,7,0)+VLOOKUP('תפוקה מצטברת מול אשתקד'!A57,אינפניטי!A:G,7,0)</f>
        <v>0</v>
      </c>
      <c r="L57" s="12">
        <f>VLOOKUP(A57,הכשרה!A:K,8,0)+VLOOKUP('תפוקה מצטברת מול אשתקד'!A57,מגדל!A:K,8,0)+VLOOKUP('תפוקה מצטברת מול אשתקד'!A57,מנורה!A:K,8,0)+VLOOKUP('תפוקה מצטברת מול אשתקד'!A57,איילון!A:K,8,0)+VLOOKUP('תפוקה מצטברת מול אשתקד'!A57,הראל!A:K,8,0)+VLOOKUP('תפוקה מצטברת מול אשתקד'!A57,הפניקס!A:K,8,0)+VLOOKUP('תפוקה מצטברת מול אשתקד'!A57,כלל!A:K,8,0)+VLOOKUP('תפוקה מצטברת מול אשתקד'!A57,מור!A:K,8,0)+VLOOKUP('תפוקה מצטברת מול אשתקד'!A57,'אלטשולר שחם'!A:K,8,0)+VLOOKUP('תפוקה מצטברת מול אשתקד'!A57,'מדיהו '!A:K,8,0)+VLOOKUP('תפוקה מצטברת מול אשתקד'!A57,'אנליסט '!A:K,8,0)+VLOOKUP('תפוקה מצטברת מול אשתקד'!A57,'מיטב דש'!A:K,8,0)+VLOOKUP('תפוקה מצטברת מול אשתקד'!A57,אינפניטי!A:K,8,0)</f>
        <v>51609.57</v>
      </c>
      <c r="M57" s="12">
        <f>VLOOKUP(A57,הכשרה!A:K,9,0)+VLOOKUP('תפוקה מצטברת מול אשתקד'!A57,מגדל!A:K,9,0)+VLOOKUP('תפוקה מצטברת מול אשתקד'!A57,מנורה!A:K,9,0)+VLOOKUP('תפוקה מצטברת מול אשתקד'!A57,איילון!A:K,9,0)+VLOOKUP('תפוקה מצטברת מול אשתקד'!A57,הראל!A:K,9,0)+VLOOKUP('תפוקה מצטברת מול אשתקד'!A57,הפניקס!A:K,9,0)+VLOOKUP('תפוקה מצטברת מול אשתקד'!A57,כלל!A:K,9,0)+VLOOKUP('תפוקה מצטברת מול אשתקד'!A57,מור!A:K,9,0)+VLOOKUP('תפוקה מצטברת מול אשתקד'!A57,'אלטשולר שחם'!A:K,9,0)+VLOOKUP('תפוקה מצטברת מול אשתקד'!A57,'מדיהו '!A:K,9,0)+VLOOKUP('תפוקה מצטברת מול אשתקד'!A57,'אנליסט '!A:K,9,0)+VLOOKUP('תפוקה מצטברת מול אשתקד'!A57,'מיטב דש'!A:K,9,0)+VLOOKUP('תפוקה מצטברת מול אשתקד'!A57,אינפניטי!A:K,9,0)</f>
        <v>2463.41</v>
      </c>
      <c r="N57" s="12">
        <f>VLOOKUP(A57,הכשרה!A:K,10,0)+VLOOKUP('תפוקה מצטברת מול אשתקד'!A57,מגדל!A:K,10,0)+VLOOKUP('תפוקה מצטברת מול אשתקד'!A57,מנורה!A:K,10,0)+VLOOKUP('תפוקה מצטברת מול אשתקד'!A57,איילון!A:K,10,0)+VLOOKUP('תפוקה מצטברת מול אשתקד'!A57,הראל!A:K,10,0)+VLOOKUP('תפוקה מצטברת מול אשתקד'!A57,הפניקס!A:K,10,0)+VLOOKUP('תפוקה מצטברת מול אשתקד'!A57,כלל!A:K,10,0)+VLOOKUP('תפוקה מצטברת מול אשתקד'!A57,מור!A:K,10,0)+VLOOKUP('תפוקה מצטברת מול אשתקד'!A57,'אלטשולר שחם'!A:K,10,0)+VLOOKUP('תפוקה מצטברת מול אשתקד'!A57,'מדיהו '!A:K,10,0)+VLOOKUP('תפוקה מצטברת מול אשתקד'!A57,'אנליסט '!A:K,10,0)+VLOOKUP('תפוקה מצטברת מול אשתקד'!A57,'מיטב דש'!A:K,10,0)+VLOOKUP('תפוקה מצטברת מול אשתקד'!A57,אינפניטי!A:K,10,0)</f>
        <v>137181.6</v>
      </c>
      <c r="O57" s="12">
        <f>VLOOKUP(A57,הכשרה!A:K,11,0)+VLOOKUP('תפוקה מצטברת מול אשתקד'!A57,מגדל!A:K,11,0)+VLOOKUP('תפוקה מצטברת מול אשתקד'!A57,מנורה!A:K,11,0)+VLOOKUP('תפוקה מצטברת מול אשתקד'!A57,איילון!A:K,11,0)+VLOOKUP('תפוקה מצטברת מול אשתקד'!A57,הראל!A:K,11,0)+VLOOKUP('תפוקה מצטברת מול אשתקד'!A57,הפניקס!A:K,11,0)+VLOOKUP('תפוקה מצטברת מול אשתקד'!A57,כלל!A:K,11,0)+VLOOKUP('תפוקה מצטברת מול אשתקד'!A57,מור!A:K,11,0)+VLOOKUP('תפוקה מצטברת מול אשתקד'!A57,'אלטשולר שחם'!A:K,11,0)+VLOOKUP('תפוקה מצטברת מול אשתקד'!A57,'מדיהו '!A:K,11,0)+VLOOKUP('תפוקה מצטברת מול אשתקד'!A57,'אנליסט '!A:K,11,0)+VLOOKUP('תפוקה מצטברת מול אשתקד'!A57,'מיטב דש'!A:K,11,0)+VLOOKUP('תפוקה מצטברת מול אשתקד'!A57,אינפניטי!A:K,11,0)</f>
        <v>0</v>
      </c>
    </row>
    <row r="58" spans="1:15" ht="15.75" customHeight="1" x14ac:dyDescent="0.25">
      <c r="A58" s="27" t="s">
        <v>86</v>
      </c>
      <c r="B58" s="27" t="s">
        <v>115</v>
      </c>
      <c r="C58" s="27" t="s">
        <v>107</v>
      </c>
      <c r="D58" s="19">
        <f t="shared" ref="D58:F65" si="15">IF(H58=0,0%,IF(L58=0,100%,H58/L58-1))</f>
        <v>0.30274693468317304</v>
      </c>
      <c r="E58" s="19">
        <f t="shared" si="15"/>
        <v>-0.68547999515311542</v>
      </c>
      <c r="F58" s="19">
        <f t="shared" si="15"/>
        <v>-0.44059684305139213</v>
      </c>
      <c r="G58" s="19">
        <f t="shared" si="10"/>
        <v>0.18761171368003104</v>
      </c>
      <c r="H58" s="58">
        <f>VLOOKUP(A58,הכשרה!A:G,4,0)+VLOOKUP('תפוקה מצטברת מול אשתקד'!A58,מגדל!A:G,4,0)+VLOOKUP('תפוקה מצטברת מול אשתקד'!A58,מנורה!A:G,4,0)+VLOOKUP('תפוקה מצטברת מול אשתקד'!A58,איילון!A:G,4,0)+VLOOKUP('תפוקה מצטברת מול אשתקד'!A58,הראל!A:G,4,0)+VLOOKUP('תפוקה מצטברת מול אשתקד'!A58,הפניקס!A:G,4,0)+VLOOKUP('תפוקה מצטברת מול אשתקד'!A58,כלל!A:G,4,0)+VLOOKUP('תפוקה מצטברת מול אשתקד'!A58,מור!A:G,4,0)+VLOOKUP('תפוקה מצטברת מול אשתקד'!A58,'אלטשולר שחם'!A:G,4,0)+VLOOKUP('תפוקה מצטברת מול אשתקד'!A58,'מדיהו '!A:G,4,0)+VLOOKUP('תפוקה מצטברת מול אשתקד'!A58,'אנליסט '!A:G,4,0)+VLOOKUP('תפוקה מצטברת מול אשתקד'!A58,'מיטב דש'!A:G,4,0)+VLOOKUP('תפוקה מצטברת מול אשתקד'!A58,אינפניטי!A:G,4,0)</f>
        <v>494879.99</v>
      </c>
      <c r="I58" s="58">
        <f>VLOOKUP(A58,הכשרה!A:G,5,0)+VLOOKUP('תפוקה מצטברת מול אשתקד'!A58,מגדל!A:G,5,0)+VLOOKUP('תפוקה מצטברת מול אשתקד'!A58,מנורה!A:G,5,0)+VLOOKUP('תפוקה מצטברת מול אשתקד'!A58,איילון!A:G,5,0)+VLOOKUP('תפוקה מצטברת מול אשתקד'!A58,הראל!A:G,5,0)+VLOOKUP('תפוקה מצטברת מול אשתקד'!A58,הפניקס!A:G,5,0)+VLOOKUP('תפוקה מצטברת מול אשתקד'!A58,כלל!A:G,5,0)+VLOOKUP('תפוקה מצטברת מול אשתקד'!A58,מור!A:G,5,0)+VLOOKUP('תפוקה מצטברת מול אשתקד'!A58,'אלטשולר שחם'!A:G,5,0)+VLOOKUP('תפוקה מצטברת מול אשתקד'!A58,'מדיהו '!A:G,5,0)+VLOOKUP('תפוקה מצטברת מול אשתקד'!A58,'אנליסט '!A:G,5,0)+VLOOKUP('תפוקה מצטברת מול אשתקד'!A58,'מיטב דש'!A:G,5,0)+VLOOKUP('תפוקה מצטברת מול אשתקד'!A58,אינפניטי!A:G,5,0)</f>
        <v>25004.880000000001</v>
      </c>
      <c r="J58" s="58">
        <f>VLOOKUP(A58,הכשרה!A:G,6,0)+VLOOKUP('תפוקה מצטברת מול אשתקד'!A58,מגדל!A:G,6,0)+VLOOKUP('תפוקה מצטברת מול אשתקד'!A58,מנורה!A:G,6,0)+VLOOKUP('תפוקה מצטברת מול אשתקד'!A58,איילון!A:G,6,0)+VLOOKUP(A58,הראל!A:G,6,0)+VLOOKUP('תפוקה מצטברת מול אשתקד'!A58,הפניקס!A:G,6,0)+VLOOKUP('תפוקה מצטברת מול אשתקד'!A58,כלל!A:G,6,0)+VLOOKUP('תפוקה מצטברת מול אשתקד'!A58,מור!A:G,6,0)+VLOOKUP('תפוקה מצטברת מול אשתקד'!A58,'אלטשולר שחם'!A:G,6,0)+VLOOKUP('תפוקה מצטברת מול אשתקד'!A58,'מדיהו '!A:G,6,0)+VLOOKUP('תפוקה מצטברת מול אשתקד'!A58,'אנליסט '!A:G,6,0)+VLOOKUP('תפוקה מצטברת מול אשתקד'!A58,'מיטב דש'!A:G,6,0)+VLOOKUP('תפוקה מצטברת מול אשתקד'!A58,אינפניטי!A:G,6,0)</f>
        <v>2810259.51</v>
      </c>
      <c r="K58" s="58">
        <f>VLOOKUP(A58,הכשרה!A:G,7,0)+VLOOKUP('תפוקה מצטברת מול אשתקד'!A58,מגדל!A:G,7,0)+VLOOKUP('תפוקה מצטברת מול אשתקד'!A58,מנורה!A:G,7,0)+VLOOKUP('תפוקה מצטברת מול אשתקד'!A58,איילון!A:G,7,0)+VLOOKUP('תפוקה מצטברת מול אשתקד'!A58,הראל!A:G,7,0)+VLOOKUP('תפוקה מצטברת מול אשתקד'!A58,הפניקס!A:G,7,0)+VLOOKUP('תפוקה מצטברת מול אשתקד'!A58,כלל!A:G,7,0)+VLOOKUP('תפוקה מצטברת מול אשתקד'!A58,מור!A:G,7,0)+VLOOKUP('תפוקה מצטברת מול אשתקד'!A58,'אלטשולר שחם'!A:G,7,0)+VLOOKUP('תפוקה מצטברת מול אשתקד'!A58,'מדיהו '!A:K,7,0)+VLOOKUP(A58,'אנליסט '!A:G,7,0)+VLOOKUP('תפוקה מצטברת מול אשתקד'!A58,'מיטב דש'!A:G,7,0)+VLOOKUP('תפוקה מצטברת מול אשתקד'!A58,אינפניטי!A:G,7,0)</f>
        <v>3890988.31</v>
      </c>
      <c r="L58" s="12">
        <f>VLOOKUP(A58,הכשרה!A:K,8,0)+VLOOKUP('תפוקה מצטברת מול אשתקד'!A58,מגדל!A:K,8,0)+VLOOKUP('תפוקה מצטברת מול אשתקד'!A58,מנורה!A:K,8,0)+VLOOKUP('תפוקה מצטברת מול אשתקד'!A58,איילון!A:K,8,0)+VLOOKUP('תפוקה מצטברת מול אשתקד'!A58,הראל!A:K,8,0)+VLOOKUP('תפוקה מצטברת מול אשתקד'!A58,הפניקס!A:K,8,0)+VLOOKUP('תפוקה מצטברת מול אשתקד'!A58,כלל!A:K,8,0)+VLOOKUP('תפוקה מצטברת מול אשתקד'!A58,מור!A:K,8,0)+VLOOKUP('תפוקה מצטברת מול אשתקד'!A58,'אלטשולר שחם'!A:K,8,0)+VLOOKUP('תפוקה מצטברת מול אשתקד'!A58,'מדיהו '!A:K,8,0)+VLOOKUP('תפוקה מצטברת מול אשתקד'!A58,'אנליסט '!A:K,8,0)+VLOOKUP('תפוקה מצטברת מול אשתקד'!A58,'מיטב דש'!A:K,8,0)+VLOOKUP('תפוקה מצטברת מול אשתקד'!A58,אינפניטי!A:K,8,0)</f>
        <v>379874.23099971015</v>
      </c>
      <c r="M58" s="12">
        <f>VLOOKUP(A58,הכשרה!A:K,9,0)+VLOOKUP('תפוקה מצטברת מול אשתקד'!A58,מגדל!A:K,9,0)+VLOOKUP('תפוקה מצטברת מול אשתקד'!A58,מנורה!A:K,9,0)+VLOOKUP('תפוקה מצטברת מול אשתקד'!A58,איילון!A:K,9,0)+VLOOKUP('תפוקה מצטברת מול אשתקד'!A58,הראל!A:K,9,0)+VLOOKUP('תפוקה מצטברת מול אשתקד'!A58,הפניקס!A:K,9,0)+VLOOKUP('תפוקה מצטברת מול אשתקד'!A58,כלל!A:K,9,0)+VLOOKUP('תפוקה מצטברת מול אשתקד'!A58,מור!A:K,9,0)+VLOOKUP('תפוקה מצטברת מול אשתקד'!A58,'אלטשולר שחם'!A:K,9,0)+VLOOKUP('תפוקה מצטברת מול אשתקד'!A58,'מדיהו '!A:K,9,0)+VLOOKUP('תפוקה מצטברת מול אשתקד'!A58,'אנליסט '!A:K,9,0)+VLOOKUP('תפוקה מצטברת מול אשתקד'!A58,'מיטב דש'!A:K,9,0)+VLOOKUP('תפוקה מצטברת מול אשתקד'!A58,אינפניטי!A:K,9,0)</f>
        <v>79501.715676791166</v>
      </c>
      <c r="N58" s="12">
        <f>VLOOKUP(A58,הכשרה!A:K,10,0)+VLOOKUP('תפוקה מצטברת מול אשתקד'!A58,מגדל!A:K,10,0)+VLOOKUP('תפוקה מצטברת מול אשתקד'!A58,מנורה!A:K,10,0)+VLOOKUP('תפוקה מצטברת מול אשתקד'!A58,איילון!A:K,10,0)+VLOOKUP('תפוקה מצטברת מול אשתקד'!A58,הראל!A:K,10,0)+VLOOKUP('תפוקה מצטברת מול אשתקד'!A58,הפניקס!A:K,10,0)+VLOOKUP('תפוקה מצטברת מול אשתקד'!A58,כלל!A:K,10,0)+VLOOKUP('תפוקה מצטברת מול אשתקד'!A58,מור!A:K,10,0)+VLOOKUP('תפוקה מצטברת מול אשתקד'!A58,'אלטשולר שחם'!A:K,10,0)+VLOOKUP('תפוקה מצטברת מול אשתקד'!A58,'מדיהו '!A:K,10,0)+VLOOKUP('תפוקה מצטברת מול אשתקד'!A58,'אנליסט '!A:K,10,0)+VLOOKUP('תפוקה מצטברת מול אשתקד'!A58,'מיטב דש'!A:K,10,0)+VLOOKUP('תפוקה מצטברת מול אשתקד'!A58,אינפניטי!A:K,10,0)</f>
        <v>5023674.741717943</v>
      </c>
      <c r="O58" s="12">
        <f>VLOOKUP(A58,הכשרה!A:K,11,0)+VLOOKUP('תפוקה מצטברת מול אשתקד'!A58,מגדל!A:K,11,0)+VLOOKUP('תפוקה מצטברת מול אשתקד'!A58,מנורה!A:K,11,0)+VLOOKUP('תפוקה מצטברת מול אשתקד'!A58,איילון!A:K,11,0)+VLOOKUP('תפוקה מצטברת מול אשתקד'!A58,הראל!A:K,11,0)+VLOOKUP('תפוקה מצטברת מול אשתקד'!A58,הפניקס!A:K,11,0)+VLOOKUP('תפוקה מצטברת מול אשתקד'!A58,כלל!A:K,11,0)+VLOOKUP('תפוקה מצטברת מול אשתקד'!A58,מור!A:K,11,0)+VLOOKUP('תפוקה מצטברת מול אשתקד'!A58,'אלטשולר שחם'!A:K,11,0)+VLOOKUP('תפוקה מצטברת מול אשתקד'!A58,'מדיהו '!A:K,11,0)+VLOOKUP('תפוקה מצטברת מול אשתקד'!A58,'אנליסט '!A:K,11,0)+VLOOKUP('תפוקה מצטברת מול אשתקד'!A58,'מיטב דש'!A:K,11,0)+VLOOKUP('תפוקה מצטברת מול אשתקד'!A58,אינפניטי!A:K,11,0)</f>
        <v>3276313.5165980002</v>
      </c>
    </row>
    <row r="59" spans="1:15" ht="15.75" customHeight="1" x14ac:dyDescent="0.25">
      <c r="A59" s="26" t="s">
        <v>37</v>
      </c>
      <c r="B59" s="26" t="s">
        <v>115</v>
      </c>
      <c r="C59" s="27" t="s">
        <v>107</v>
      </c>
      <c r="D59" s="19">
        <f t="shared" si="15"/>
        <v>-4.8134201966754775E-2</v>
      </c>
      <c r="E59" s="19">
        <f t="shared" si="15"/>
        <v>-0.39062931920253641</v>
      </c>
      <c r="F59" s="19">
        <f t="shared" si="15"/>
        <v>1.6113406537646258E-2</v>
      </c>
      <c r="G59" s="19">
        <f t="shared" si="10"/>
        <v>-2.2244178226612288</v>
      </c>
      <c r="H59" s="58">
        <f>VLOOKUP(A59,הכשרה!A:G,4,0)+VLOOKUP('תפוקה מצטברת מול אשתקד'!A59,מגדל!A:G,4,0)+VLOOKUP('תפוקה מצטברת מול אשתקד'!A59,מנורה!A:G,4,0)+VLOOKUP('תפוקה מצטברת מול אשתקד'!A59,איילון!A:G,4,0)+VLOOKUP('תפוקה מצטברת מול אשתקד'!A59,הראל!A:G,4,0)+VLOOKUP('תפוקה מצטברת מול אשתקד'!A59,הפניקס!A:G,4,0)+VLOOKUP('תפוקה מצטברת מול אשתקד'!A59,כלל!A:G,4,0)+VLOOKUP('תפוקה מצטברת מול אשתקד'!A59,מור!A:G,4,0)+VLOOKUP('תפוקה מצטברת מול אשתקד'!A59,'אלטשולר שחם'!A:G,4,0)+VLOOKUP('תפוקה מצטברת מול אשתקד'!A59,'מדיהו '!A:G,4,0)+VLOOKUP('תפוקה מצטברת מול אשתקד'!A59,'אנליסט '!A:G,4,0)+VLOOKUP('תפוקה מצטברת מול אשתקד'!A59,'מיטב דש'!A:G,4,0)+VLOOKUP('תפוקה מצטברת מול אשתקד'!A59,אינפניטי!A:G,4,0)</f>
        <v>763104.08</v>
      </c>
      <c r="I59" s="58">
        <f>VLOOKUP(A59,הכשרה!A:G,5,0)+VLOOKUP('תפוקה מצטברת מול אשתקד'!A59,מגדל!A:G,5,0)+VLOOKUP('תפוקה מצטברת מול אשתקד'!A59,מנורה!A:G,5,0)+VLOOKUP('תפוקה מצטברת מול אשתקד'!A59,איילון!A:G,5,0)+VLOOKUP('תפוקה מצטברת מול אשתקד'!A59,הראל!A:G,5,0)+VLOOKUP('תפוקה מצטברת מול אשתקד'!A59,הפניקס!A:G,5,0)+VLOOKUP('תפוקה מצטברת מול אשתקד'!A59,כלל!A:G,5,0)+VLOOKUP('תפוקה מצטברת מול אשתקד'!A59,מור!A:G,5,0)+VLOOKUP('תפוקה מצטברת מול אשתקד'!A59,'אלטשולר שחם'!A:G,5,0)+VLOOKUP('תפוקה מצטברת מול אשתקד'!A59,'מדיהו '!A:G,5,0)+VLOOKUP('תפוקה מצטברת מול אשתקד'!A59,'אנליסט '!A:G,5,0)+VLOOKUP('תפוקה מצטברת מול אשתקד'!A59,'מיטב דש'!A:G,5,0)+VLOOKUP('תפוקה מצטברת מול אשתקד'!A59,אינפניטי!A:G,5,0)</f>
        <v>63732.524999999994</v>
      </c>
      <c r="J59" s="58">
        <f>VLOOKUP(A59,הכשרה!A:G,6,0)+VLOOKUP('תפוקה מצטברת מול אשתקד'!A59,מגדל!A:G,6,0)+VLOOKUP('תפוקה מצטברת מול אשתקד'!A59,מנורה!A:G,6,0)+VLOOKUP('תפוקה מצטברת מול אשתקד'!A59,איילון!A:G,6,0)+VLOOKUP(A59,הראל!A:G,6,0)+VLOOKUP('תפוקה מצטברת מול אשתקד'!A59,הפניקס!A:G,6,0)+VLOOKUP('תפוקה מצטברת מול אשתקד'!A59,כלל!A:G,6,0)+VLOOKUP('תפוקה מצטברת מול אשתקד'!A59,מור!A:G,6,0)+VLOOKUP('תפוקה מצטברת מול אשתקד'!A59,'אלטשולר שחם'!A:G,6,0)+VLOOKUP('תפוקה מצטברת מול אשתקד'!A59,'מדיהו '!A:G,6,0)+VLOOKUP('תפוקה מצטברת מול אשתקד'!A59,'אנליסט '!A:G,6,0)+VLOOKUP('תפוקה מצטברת מול אשתקד'!A59,'מיטב דש'!A:G,6,0)+VLOOKUP('תפוקה מצטברת מול אשתקד'!A59,אינפניטי!A:G,6,0)</f>
        <v>1018341</v>
      </c>
      <c r="K59" s="58">
        <f>VLOOKUP(A59,הכשרה!A:G,7,0)+VLOOKUP('תפוקה מצטברת מול אשתקד'!A59,מגדל!A:G,7,0)+VLOOKUP('תפוקה מצטברת מול אשתקד'!A59,מנורה!A:G,7,0)+VLOOKUP('תפוקה מצטברת מול אשתקד'!A59,איילון!A:G,7,0)+VLOOKUP('תפוקה מצטברת מול אשתקד'!A59,הראל!A:G,7,0)+VLOOKUP('תפוקה מצטברת מול אשתקד'!A59,הפניקס!A:G,7,0)+VLOOKUP('תפוקה מצטברת מול אשתקד'!A59,כלל!A:G,7,0)+VLOOKUP('תפוקה מצטברת מול אשתקד'!A59,מור!A:G,7,0)+VLOOKUP('תפוקה מצטברת מול אשתקד'!A59,'אלטשולר שחם'!A:G,7,0)+VLOOKUP('תפוקה מצטברת מול אשתקד'!A59,'מדיהו '!A:K,7,0)+VLOOKUP(A59,'אנליסט '!A:G,7,0)+VLOOKUP('תפוקה מצטברת מול אשתקד'!A59,'מיטב דש'!A:G,7,0)+VLOOKUP('תפוקה מצטברת מול אשתקד'!A59,אינפניטי!A:G,7,0)</f>
        <v>389732.45</v>
      </c>
      <c r="L59" s="12">
        <f>VLOOKUP(A59,הכשרה!A:K,8,0)+VLOOKUP('תפוקה מצטברת מול אשתקד'!A59,מגדל!A:K,8,0)+VLOOKUP('תפוקה מצטברת מול אשתקד'!A59,מנורה!A:K,8,0)+VLOOKUP('תפוקה מצטברת מול אשתקד'!A59,איילון!A:K,8,0)+VLOOKUP('תפוקה מצטברת מול אשתקד'!A59,הראל!A:K,8,0)+VLOOKUP('תפוקה מצטברת מול אשתקד'!A59,הפניקס!A:K,8,0)+VLOOKUP('תפוקה מצטברת מול אשתקד'!A59,כלל!A:K,8,0)+VLOOKUP('תפוקה מצטברת מול אשתקד'!A59,מור!A:K,8,0)+VLOOKUP('תפוקה מצטברת מול אשתקד'!A59,'אלטשולר שחם'!A:K,8,0)+VLOOKUP('תפוקה מצטברת מול אשתקד'!A59,'מדיהו '!A:K,8,0)+VLOOKUP('תפוקה מצטברת מול אשתקד'!A59,'אנליסט '!A:K,8,0)+VLOOKUP('תפוקה מצטברת מול אשתקד'!A59,'מיטב דש'!A:K,8,0)+VLOOKUP('תפוקה מצטברת מול אשתקד'!A59,אינפניטי!A:K,8,0)</f>
        <v>801692.92937799986</v>
      </c>
      <c r="M59" s="12">
        <f>VLOOKUP(A59,הכשרה!A:K,9,0)+VLOOKUP('תפוקה מצטברת מול אשתקד'!A59,מגדל!A:K,9,0)+VLOOKUP('תפוקה מצטברת מול אשתקד'!A59,מנורה!A:K,9,0)+VLOOKUP('תפוקה מצטברת מול אשתקד'!A59,איילון!A:K,9,0)+VLOOKUP('תפוקה מצטברת מול אשתקד'!A59,הראל!A:K,9,0)+VLOOKUP('תפוקה מצטברת מול אשתקד'!A59,הפניקס!A:K,9,0)+VLOOKUP('תפוקה מצטברת מול אשתקד'!A59,כלל!A:K,9,0)+VLOOKUP('תפוקה מצטברת מול אשתקד'!A59,מור!A:K,9,0)+VLOOKUP('תפוקה מצטברת מול אשתקד'!A59,'אלטשולר שחם'!A:K,9,0)+VLOOKUP('תפוקה מצטברת מול אשתקד'!A59,'מדיהו '!A:K,9,0)+VLOOKUP('תפוקה מצטברת מול אשתקד'!A59,'אנליסט '!A:K,9,0)+VLOOKUP('תפוקה מצטברת מול אשתקד'!A59,'מיטב דש'!A:K,9,0)+VLOOKUP('תפוקה מצטברת מול אשתקד'!A59,אינפניטי!A:K,9,0)</f>
        <v>104587.44899999999</v>
      </c>
      <c r="N59" s="12">
        <f>VLOOKUP(A59,הכשרה!A:K,10,0)+VLOOKUP('תפוקה מצטברת מול אשתקד'!A59,מגדל!A:K,10,0)+VLOOKUP('תפוקה מצטברת מול אשתקד'!A59,מנורה!A:K,10,0)+VLOOKUP('תפוקה מצטברת מול אשתקד'!A59,איילון!A:K,10,0)+VLOOKUP('תפוקה מצטברת מול אשתקד'!A59,הראל!A:K,10,0)+VLOOKUP('תפוקה מצטברת מול אשתקד'!A59,הפניקס!A:K,10,0)+VLOOKUP('תפוקה מצטברת מול אשתקד'!A59,כלל!A:K,10,0)+VLOOKUP('תפוקה מצטברת מול אשתקד'!A59,מור!A:K,10,0)+VLOOKUP('תפוקה מצטברת מול אשתקד'!A59,'אלטשולר שחם'!A:K,10,0)+VLOOKUP('תפוקה מצטברת מול אשתקד'!A59,'מדיהו '!A:K,10,0)+VLOOKUP('תפוקה מצטברת מול אשתקד'!A59,'אנליסט '!A:K,10,0)+VLOOKUP('תפוקה מצטברת מול אשתקד'!A59,'מיטב דש'!A:K,10,0)+VLOOKUP('תפוקה מצטברת מול אשתקד'!A59,אינפניטי!A:K,10,0)</f>
        <v>1002192.268548</v>
      </c>
      <c r="O59" s="12">
        <f>VLOOKUP(A59,הכשרה!A:K,11,0)+VLOOKUP('תפוקה מצטברת מול אשתקד'!A59,מגדל!A:K,11,0)+VLOOKUP('תפוקה מצטברת מול אשתקד'!A59,מנורה!A:K,11,0)+VLOOKUP('תפוקה מצטברת מול אשתקד'!A59,איילון!A:K,11,0)+VLOOKUP('תפוקה מצטברת מול אשתקד'!A59,הראל!A:K,11,0)+VLOOKUP('תפוקה מצטברת מול אשתקד'!A59,הפניקס!A:K,11,0)+VLOOKUP('תפוקה מצטברת מול אשתקד'!A59,כלל!A:K,11,0)+VLOOKUP('תפוקה מצטברת מול אשתקד'!A59,מור!A:K,11,0)+VLOOKUP('תפוקה מצטברת מול אשתקד'!A59,'אלטשולר שחם'!A:K,11,0)+VLOOKUP('תפוקה מצטברת מול אשתקד'!A59,'מדיהו '!A:K,11,0)+VLOOKUP('תפוקה מצטברת מול אשתקד'!A59,'אנליסט '!A:K,11,0)+VLOOKUP('תפוקה מצטברת מול אשתקד'!A59,'מיטב דש'!A:K,11,0)+VLOOKUP('תפוקה מצטברת מול אשתקד'!A59,אינפניטי!A:K,11,0)</f>
        <v>-318300.20993399969</v>
      </c>
    </row>
    <row r="60" spans="1:15" ht="15.75" customHeight="1" x14ac:dyDescent="0.25">
      <c r="A60" s="30" t="s">
        <v>33</v>
      </c>
      <c r="B60" s="26" t="s">
        <v>115</v>
      </c>
      <c r="C60" s="26" t="s">
        <v>107</v>
      </c>
      <c r="D60" s="19">
        <f t="shared" si="15"/>
        <v>-0.53771551317918842</v>
      </c>
      <c r="E60" s="19">
        <f t="shared" si="15"/>
        <v>-9.6391642513226405E-2</v>
      </c>
      <c r="F60" s="19">
        <f t="shared" si="15"/>
        <v>4.5567140981143188</v>
      </c>
      <c r="G60" s="19">
        <f t="shared" si="10"/>
        <v>0</v>
      </c>
      <c r="H60" s="58">
        <f>VLOOKUP(A60,הכשרה!A:G,4,0)+VLOOKUP('תפוקה מצטברת מול אשתקד'!A60,מגדל!A:G,4,0)+VLOOKUP('תפוקה מצטברת מול אשתקד'!A60,מנורה!A:G,4,0)+VLOOKUP('תפוקה מצטברת מול אשתקד'!A60,איילון!A:G,4,0)+VLOOKUP('תפוקה מצטברת מול אשתקד'!A60,הראל!A:G,4,0)+VLOOKUP('תפוקה מצטברת מול אשתקד'!A60,הפניקס!A:G,4,0)+VLOOKUP('תפוקה מצטברת מול אשתקד'!A60,כלל!A:G,4,0)+VLOOKUP('תפוקה מצטברת מול אשתקד'!A60,מור!A:G,4,0)+VLOOKUP('תפוקה מצטברת מול אשתקד'!A60,'אלטשולר שחם'!A:G,4,0)+VLOOKUP('תפוקה מצטברת מול אשתקד'!A60,'מדיהו '!A:G,4,0)+VLOOKUP('תפוקה מצטברת מול אשתקד'!A60,'אנליסט '!A:G,4,0)+VLOOKUP('תפוקה מצטברת מול אשתקד'!A60,'מיטב דש'!A:G,4,0)+VLOOKUP('תפוקה מצטברת מול אשתקד'!A60,אינפניטי!A:G,4,0)</f>
        <v>20219.080000000002</v>
      </c>
      <c r="I60" s="58">
        <f>VLOOKUP(A60,הכשרה!A:G,5,0)+VLOOKUP('תפוקה מצטברת מול אשתקד'!A60,מגדל!A:G,5,0)+VLOOKUP('תפוקה מצטברת מול אשתקד'!A60,מנורה!A:G,5,0)+VLOOKUP('תפוקה מצטברת מול אשתקד'!A60,איילון!A:G,5,0)+VLOOKUP('תפוקה מצטברת מול אשתקד'!A60,הראל!A:G,5,0)+VLOOKUP('תפוקה מצטברת מול אשתקד'!A60,הפניקס!A:G,5,0)+VLOOKUP('תפוקה מצטברת מול אשתקד'!A60,כלל!A:G,5,0)+VLOOKUP('תפוקה מצטברת מול אשתקד'!A60,מור!A:G,5,0)+VLOOKUP('תפוקה מצטברת מול אשתקד'!A60,'אלטשולר שחם'!A:G,5,0)+VLOOKUP('תפוקה מצטברת מול אשתקד'!A60,'מדיהו '!A:G,5,0)+VLOOKUP('תפוקה מצטברת מול אשתקד'!A60,'אנליסט '!A:G,5,0)+VLOOKUP('תפוקה מצטברת מול אשתקד'!A60,'מיטב דש'!A:G,5,0)+VLOOKUP('תפוקה מצטברת מול אשתקד'!A60,אינפניטי!A:G,5,0)</f>
        <v>4402.8317218543043</v>
      </c>
      <c r="J60" s="58">
        <f>VLOOKUP(A60,הכשרה!A:G,6,0)+VLOOKUP('תפוקה מצטברת מול אשתקד'!A60,מגדל!A:G,6,0)+VLOOKUP('תפוקה מצטברת מול אשתקד'!A60,מנורה!A:G,6,0)+VLOOKUP('תפוקה מצטברת מול אשתקד'!A60,איילון!A:G,6,0)+VLOOKUP(A60,הראל!A:G,6,0)+VLOOKUP('תפוקה מצטברת מול אשתקד'!A60,הפניקס!A:G,6,0)+VLOOKUP('תפוקה מצטברת מול אשתקד'!A60,כלל!A:G,6,0)+VLOOKUP('תפוקה מצטברת מול אשתקד'!A60,מור!A:G,6,0)+VLOOKUP('תפוקה מצטברת מול אשתקד'!A60,'אלטשולר שחם'!A:G,6,0)+VLOOKUP('תפוקה מצטברת מול אשתקד'!A60,'מדיהו '!A:G,6,0)+VLOOKUP('תפוקה מצטברת מול אשתקד'!A60,'אנליסט '!A:G,6,0)+VLOOKUP('תפוקה מצטברת מול אשתקד'!A60,'מיטב דש'!A:G,6,0)+VLOOKUP('תפוקה מצטברת מול אשתקד'!A60,אינפניטי!A:G,6,0)</f>
        <v>903242.77376873011</v>
      </c>
      <c r="K60" s="58">
        <f>VLOOKUP(A60,הכשרה!A:G,7,0)+VLOOKUP('תפוקה מצטברת מול אשתקד'!A60,מגדל!A:G,7,0)+VLOOKUP('תפוקה מצטברת מול אשתקד'!A60,מנורה!A:G,7,0)+VLOOKUP('תפוקה מצטברת מול אשתקד'!A60,איילון!A:G,7,0)+VLOOKUP('תפוקה מצטברת מול אשתקד'!A60,הראל!A:G,7,0)+VLOOKUP('תפוקה מצטברת מול אשתקד'!A60,הפניקס!A:G,7,0)+VLOOKUP('תפוקה מצטברת מול אשתקד'!A60,כלל!A:G,7,0)+VLOOKUP('תפוקה מצטברת מול אשתקד'!A60,מור!A:G,7,0)+VLOOKUP('תפוקה מצטברת מול אשתקד'!A60,'אלטשולר שחם'!A:G,7,0)+VLOOKUP('תפוקה מצטברת מול אשתקד'!A60,'מדיהו '!A:K,7,0)+VLOOKUP(A60,'אנליסט '!A:G,7,0)+VLOOKUP('תפוקה מצטברת מול אשתקד'!A60,'מיטב דש'!A:G,7,0)+VLOOKUP('תפוקה מצטברת מול אשתקד'!A60,אינפניטי!A:G,7,0)</f>
        <v>0</v>
      </c>
      <c r="L60" s="12">
        <f>VLOOKUP(A60,הכשרה!A:K,8,0)+VLOOKUP('תפוקה מצטברת מול אשתקד'!A60,מגדל!A:K,8,0)+VLOOKUP('תפוקה מצטברת מול אשתקד'!A60,מנורה!A:K,8,0)+VLOOKUP('תפוקה מצטברת מול אשתקד'!A60,איילון!A:K,8,0)+VLOOKUP('תפוקה מצטברת מול אשתקד'!A60,הראל!A:K,8,0)+VLOOKUP('תפוקה מצטברת מול אשתקד'!A60,הפניקס!A:K,8,0)+VLOOKUP('תפוקה מצטברת מול אשתקד'!A60,כלל!A:K,8,0)+VLOOKUP('תפוקה מצטברת מול אשתקד'!A60,מור!A:K,8,0)+VLOOKUP('תפוקה מצטברת מול אשתקד'!A60,'אלטשולר שחם'!A:K,8,0)+VLOOKUP('תפוקה מצטברת מול אשתקד'!A60,'מדיהו '!A:K,8,0)+VLOOKUP('תפוקה מצטברת מול אשתקד'!A60,'אנליסט '!A:K,8,0)+VLOOKUP('תפוקה מצטברת מול אשתקד'!A60,'מיטב דש'!A:K,8,0)+VLOOKUP('תפוקה מצטברת מול אשתקד'!A60,אינפניטי!A:K,8,0)</f>
        <v>43737.310198421648</v>
      </c>
      <c r="M60" s="12">
        <f>VLOOKUP(A60,הכשרה!A:K,9,0)+VLOOKUP('תפוקה מצטברת מול אשתקד'!A60,מגדל!A:K,9,0)+VLOOKUP('תפוקה מצטברת מול אשתקד'!A60,מנורה!A:K,9,0)+VLOOKUP('תפוקה מצטברת מול אשתקד'!A60,איילון!A:K,9,0)+VLOOKUP('תפוקה מצטברת מול אשתקד'!A60,הראל!A:K,9,0)+VLOOKUP('תפוקה מצטברת מול אשתקד'!A60,הפניקס!A:K,9,0)+VLOOKUP('תפוקה מצטברת מול אשתקד'!A60,כלל!A:K,9,0)+VLOOKUP('תפוקה מצטברת מול אשתקד'!A60,מור!A:K,9,0)+VLOOKUP('תפוקה מצטברת מול אשתקד'!A60,'אלטשולר שחם'!A:K,9,0)+VLOOKUP('תפוקה מצטברת מול אשתקד'!A60,'מדיהו '!A:K,9,0)+VLOOKUP('תפוקה מצטברת מול אשתקד'!A60,'אנליסט '!A:K,9,0)+VLOOKUP('תפוקה מצטברת מול אשתקד'!A60,'מיטב דש'!A:K,9,0)+VLOOKUP('תפוקה מצטברת מול אשתקד'!A60,אינפניטי!A:K,9,0)</f>
        <v>4872.5</v>
      </c>
      <c r="N60" s="12">
        <f>VLOOKUP(A60,הכשרה!A:K,10,0)+VLOOKUP('תפוקה מצטברת מול אשתקד'!A60,מגדל!A:K,10,0)+VLOOKUP('תפוקה מצטברת מול אשתקד'!A60,מנורה!A:K,10,0)+VLOOKUP('תפוקה מצטברת מול אשתקד'!A60,איילון!A:K,10,0)+VLOOKUP('תפוקה מצטברת מול אשתקד'!A60,הראל!A:K,10,0)+VLOOKUP('תפוקה מצטברת מול אשתקד'!A60,הפניקס!A:K,10,0)+VLOOKUP('תפוקה מצטברת מול אשתקד'!A60,כלל!A:K,10,0)+VLOOKUP('תפוקה מצטברת מול אשתקד'!A60,מור!A:K,10,0)+VLOOKUP('תפוקה מצטברת מול אשתקד'!A60,'אלטשולר שחם'!A:K,10,0)+VLOOKUP('תפוקה מצטברת מול אשתקד'!A60,'מדיהו '!A:K,10,0)+VLOOKUP('תפוקה מצטברת מול אשתקד'!A60,'אנליסט '!A:K,10,0)+VLOOKUP('תפוקה מצטברת מול אשתקד'!A60,'מיטב דש'!A:K,10,0)+VLOOKUP('תפוקה מצטברת מול אשתקד'!A60,אינפניטי!A:K,10,0)</f>
        <v>162549.80152303449</v>
      </c>
      <c r="O60" s="12">
        <f>VLOOKUP(A60,הכשרה!A:K,11,0)+VLOOKUP('תפוקה מצטברת מול אשתקד'!A60,מגדל!A:K,11,0)+VLOOKUP('תפוקה מצטברת מול אשתקד'!A60,מנורה!A:K,11,0)+VLOOKUP('תפוקה מצטברת מול אשתקד'!A60,איילון!A:K,11,0)+VLOOKUP('תפוקה מצטברת מול אשתקד'!A60,הראל!A:K,11,0)+VLOOKUP('תפוקה מצטברת מול אשתקד'!A60,הפניקס!A:K,11,0)+VLOOKUP('תפוקה מצטברת מול אשתקד'!A60,כלל!A:K,11,0)+VLOOKUP('תפוקה מצטברת מול אשתקד'!A60,מור!A:K,11,0)+VLOOKUP('תפוקה מצטברת מול אשתקד'!A60,'אלטשולר שחם'!A:K,11,0)+VLOOKUP('תפוקה מצטברת מול אשתקד'!A60,'מדיהו '!A:K,11,0)+VLOOKUP('תפוקה מצטברת מול אשתקד'!A60,'אנליסט '!A:K,11,0)+VLOOKUP('תפוקה מצטברת מול אשתקד'!A60,'מיטב דש'!A:K,11,0)+VLOOKUP('תפוקה מצטברת מול אשתקד'!A60,אינפניטי!A:K,11,0)</f>
        <v>-15343.550000000012</v>
      </c>
    </row>
    <row r="61" spans="1:15" ht="15.75" customHeight="1" x14ac:dyDescent="0.25">
      <c r="A61" s="26" t="s">
        <v>84</v>
      </c>
      <c r="B61" s="26" t="s">
        <v>115</v>
      </c>
      <c r="C61" s="26" t="s">
        <v>107</v>
      </c>
      <c r="D61" s="19">
        <f t="shared" si="15"/>
        <v>-0.35771636711338461</v>
      </c>
      <c r="E61" s="19">
        <f t="shared" si="15"/>
        <v>0.73602174316632474</v>
      </c>
      <c r="F61" s="19">
        <f t="shared" si="15"/>
        <v>2.3817440079398935</v>
      </c>
      <c r="G61" s="19">
        <f t="shared" si="10"/>
        <v>0.48415122307604563</v>
      </c>
      <c r="H61" s="58">
        <f>VLOOKUP(A61,הכשרה!A:G,4,0)+VLOOKUP('תפוקה מצטברת מול אשתקד'!A61,מגדל!A:G,4,0)+VLOOKUP('תפוקה מצטברת מול אשתקד'!A61,מנורה!A:G,4,0)+VLOOKUP('תפוקה מצטברת מול אשתקד'!A61,איילון!A:G,4,0)+VLOOKUP('תפוקה מצטברת מול אשתקד'!A61,הראל!A:G,4,0)+VLOOKUP('תפוקה מצטברת מול אשתקד'!A61,הפניקס!A:G,4,0)+VLOOKUP('תפוקה מצטברת מול אשתקד'!A61,כלל!A:G,4,0)+VLOOKUP('תפוקה מצטברת מול אשתקד'!A61,מור!A:G,4,0)+VLOOKUP('תפוקה מצטברת מול אשתקד'!A61,'אלטשולר שחם'!A:G,4,0)+VLOOKUP('תפוקה מצטברת מול אשתקד'!A61,'מדיהו '!A:G,4,0)+VLOOKUP('תפוקה מצטברת מול אשתקד'!A61,'אנליסט '!A:G,4,0)+VLOOKUP('תפוקה מצטברת מול אשתקד'!A61,'מיטב דש'!A:G,4,0)+VLOOKUP('תפוקה מצטברת מול אשתקד'!A61,אינפניטי!A:G,4,0)</f>
        <v>371646.23089269834</v>
      </c>
      <c r="I61" s="58">
        <f>VLOOKUP(A61,הכשרה!A:G,5,0)+VLOOKUP('תפוקה מצטברת מול אשתקד'!A61,מגדל!A:G,5,0)+VLOOKUP('תפוקה מצטברת מול אשתקד'!A61,מנורה!A:G,5,0)+VLOOKUP('תפוקה מצטברת מול אשתקד'!A61,איילון!A:G,5,0)+VLOOKUP('תפוקה מצטברת מול אשתקד'!A61,הראל!A:G,5,0)+VLOOKUP('תפוקה מצטברת מול אשתקד'!A61,הפניקס!A:G,5,0)+VLOOKUP('תפוקה מצטברת מול אשתקד'!A61,כלל!A:G,5,0)+VLOOKUP('תפוקה מצטברת מול אשתקד'!A61,מור!A:G,5,0)+VLOOKUP('תפוקה מצטברת מול אשתקד'!A61,'אלטשולר שחם'!A:G,5,0)+VLOOKUP('תפוקה מצטברת מול אשתקד'!A61,'מדיהו '!A:G,5,0)+VLOOKUP('תפוקה מצטברת מול אשתקד'!A61,'אנליסט '!A:G,5,0)+VLOOKUP('תפוקה מצטברת מול אשתקד'!A61,'מיטב דש'!A:G,5,0)+VLOOKUP('תפוקה מצטברת מול אשתקד'!A61,אינפניטי!A:G,5,0)</f>
        <v>28126.379462432924</v>
      </c>
      <c r="J61" s="58">
        <f>VLOOKUP(A61,הכשרה!A:G,6,0)+VLOOKUP('תפוקה מצטברת מול אשתקד'!A61,מגדל!A:G,6,0)+VLOOKUP('תפוקה מצטברת מול אשתקד'!A61,מנורה!A:G,6,0)+VLOOKUP('תפוקה מצטברת מול אשתקד'!A61,איילון!A:G,6,0)+VLOOKUP(A61,הראל!A:G,6,0)+VLOOKUP('תפוקה מצטברת מול אשתקד'!A61,הפניקס!A:G,6,0)+VLOOKUP('תפוקה מצטברת מול אשתקד'!A61,כלל!A:G,6,0)+VLOOKUP('תפוקה מצטברת מול אשתקד'!A61,מור!A:G,6,0)+VLOOKUP('תפוקה מצטברת מול אשתקד'!A61,'אלטשולר שחם'!A:G,6,0)+VLOOKUP('תפוקה מצטברת מול אשתקד'!A61,'מדיהו '!A:G,6,0)+VLOOKUP('תפוקה מצטברת מול אשתקד'!A61,'אנליסט '!A:G,6,0)+VLOOKUP('תפוקה מצטברת מול אשתקד'!A61,'מיטב דש'!A:G,6,0)+VLOOKUP('תפוקה מצטברת מול אשתקד'!A61,אינפניטי!A:G,6,0)</f>
        <v>3061021.21</v>
      </c>
      <c r="K61" s="58">
        <f>VLOOKUP(A61,הכשרה!A:G,7,0)+VLOOKUP('תפוקה מצטברת מול אשתקד'!A61,מגדל!A:G,7,0)+VLOOKUP('תפוקה מצטברת מול אשתקד'!A61,מנורה!A:G,7,0)+VLOOKUP('תפוקה מצטברת מול אשתקד'!A61,איילון!A:G,7,0)+VLOOKUP('תפוקה מצטברת מול אשתקד'!A61,הראל!A:G,7,0)+VLOOKUP('תפוקה מצטברת מול אשתקד'!A61,הפניקס!A:G,7,0)+VLOOKUP('תפוקה מצטברת מול אשתקד'!A61,כלל!A:G,7,0)+VLOOKUP('תפוקה מצטברת מול אשתקד'!A61,מור!A:G,7,0)+VLOOKUP('תפוקה מצטברת מול אשתקד'!A61,'אלטשולר שחם'!A:G,7,0)+VLOOKUP('תפוקה מצטברת מול אשתקד'!A61,'מדיהו '!A:K,7,0)+VLOOKUP(A61,'אנליסט '!A:G,7,0)+VLOOKUP('תפוקה מצטברת מול אשתקד'!A61,'מיטב דש'!A:G,7,0)+VLOOKUP('תפוקה מצטברת מול אשתקד'!A61,אינפניטי!A:G,7,0)</f>
        <v>1230912.83</v>
      </c>
      <c r="L61" s="12">
        <f>VLOOKUP(A61,הכשרה!A:K,8,0)+VLOOKUP('תפוקה מצטברת מול אשתקד'!A61,מגדל!A:K,8,0)+VLOOKUP('תפוקה מצטברת מול אשתקד'!A61,מנורה!A:K,8,0)+VLOOKUP('תפוקה מצטברת מול אשתקד'!A61,איילון!A:K,8,0)+VLOOKUP('תפוקה מצטברת מול אשתקד'!A61,הראל!A:K,8,0)+VLOOKUP('תפוקה מצטברת מול אשתקד'!A61,הפניקס!A:K,8,0)+VLOOKUP('תפוקה מצטברת מול אשתקד'!A61,כלל!A:K,8,0)+VLOOKUP('תפוקה מצטברת מול אשתקד'!A61,מור!A:K,8,0)+VLOOKUP('תפוקה מצטברת מול אשתקד'!A61,'אלטשולר שחם'!A:K,8,0)+VLOOKUP('תפוקה מצטברת מול אשתקד'!A61,'מדיהו '!A:K,8,0)+VLOOKUP('תפוקה מצטברת מול אשתקד'!A61,'אנליסט '!A:K,8,0)+VLOOKUP('תפוקה מצטברת מול אשתקד'!A61,'מיטב דש'!A:K,8,0)+VLOOKUP('תפוקה מצטברת מול אשתקד'!A61,אינפניטי!A:K,8,0)</f>
        <v>578632.57268818864</v>
      </c>
      <c r="M61" s="12">
        <f>VLOOKUP(A61,הכשרה!A:K,9,0)+VLOOKUP('תפוקה מצטברת מול אשתקד'!A61,מגדל!A:K,9,0)+VLOOKUP('תפוקה מצטברת מול אשתקד'!A61,מנורה!A:K,9,0)+VLOOKUP('תפוקה מצטברת מול אשתקד'!A61,איילון!A:K,9,0)+VLOOKUP('תפוקה מצטברת מול אשתקד'!A61,הראל!A:K,9,0)+VLOOKUP('תפוקה מצטברת מול אשתקד'!A61,הפניקס!A:K,9,0)+VLOOKUP('תפוקה מצטברת מול אשתקד'!A61,כלל!A:K,9,0)+VLOOKUP('תפוקה מצטברת מול אשתקד'!A61,מור!A:K,9,0)+VLOOKUP('תפוקה מצטברת מול אשתקד'!A61,'אלטשולר שחם'!A:K,9,0)+VLOOKUP('תפוקה מצטברת מול אשתקד'!A61,'מדיהו '!A:K,9,0)+VLOOKUP('תפוקה מצטברת מול אשתקד'!A61,'אנליסט '!A:K,9,0)+VLOOKUP('תפוקה מצטברת מול אשתקד'!A61,'מיטב דש'!A:K,9,0)+VLOOKUP('תפוקה מצטברת מול אשתקד'!A61,אינפניטי!A:K,9,0)</f>
        <v>16201.628564359629</v>
      </c>
      <c r="N61" s="12">
        <f>VLOOKUP(A61,הכשרה!A:K,10,0)+VLOOKUP('תפוקה מצטברת מול אשתקד'!A61,מגדל!A:K,10,0)+VLOOKUP('תפוקה מצטברת מול אשתקד'!A61,מנורה!A:K,10,0)+VLOOKUP('תפוקה מצטברת מול אשתקד'!A61,איילון!A:K,10,0)+VLOOKUP('תפוקה מצטברת מול אשתקד'!A61,הראל!A:K,10,0)+VLOOKUP('תפוקה מצטברת מול אשתקד'!A61,הפניקס!A:K,10,0)+VLOOKUP('תפוקה מצטברת מול אשתקד'!A61,כלל!A:K,10,0)+VLOOKUP('תפוקה מצטברת מול אשתקד'!A61,מור!A:K,10,0)+VLOOKUP('תפוקה מצטברת מול אשתקד'!A61,'אלטשולר שחם'!A:K,10,0)+VLOOKUP('תפוקה מצטברת מול אשתקד'!A61,'מדיהו '!A:K,10,0)+VLOOKUP('תפוקה מצטברת מול אשתקד'!A61,'אנליסט '!A:K,10,0)+VLOOKUP('תפוקה מצטברת מול אשתקד'!A61,'מיטב דש'!A:K,10,0)+VLOOKUP('תפוקה מצטברת מול אשתקד'!A61,אינפניטי!A:K,10,0)</f>
        <v>905160.53338547261</v>
      </c>
      <c r="O61" s="12">
        <f>VLOOKUP(A61,הכשרה!A:K,11,0)+VLOOKUP('תפוקה מצטברת מול אשתקד'!A61,מגדל!A:K,11,0)+VLOOKUP('תפוקה מצטברת מול אשתקד'!A61,מנורה!A:K,11,0)+VLOOKUP('תפוקה מצטברת מול אשתקד'!A61,איילון!A:K,11,0)+VLOOKUP('תפוקה מצטברת מול אשתקד'!A61,הראל!A:K,11,0)+VLOOKUP('תפוקה מצטברת מול אשתקד'!A61,הפניקס!A:K,11,0)+VLOOKUP('תפוקה מצטברת מול אשתקד'!A61,כלל!A:K,11,0)+VLOOKUP('תפוקה מצטברת מול אשתקד'!A61,מור!A:K,11,0)+VLOOKUP('תפוקה מצטברת מול אשתקד'!A61,'אלטשולר שחם'!A:K,11,0)+VLOOKUP('תפוקה מצטברת מול אשתקד'!A61,'מדיהו '!A:K,11,0)+VLOOKUP('תפוקה מצטברת מול אשתקד'!A61,'אנליסט '!A:K,11,0)+VLOOKUP('תפוקה מצטברת מול אשתקד'!A61,'מיטב דש'!A:K,11,0)+VLOOKUP('תפוקה מצטברת מול אשתקד'!A61,אינפניטי!A:K,11,0)</f>
        <v>829371.57</v>
      </c>
    </row>
    <row r="62" spans="1:15" ht="15.75" customHeight="1" x14ac:dyDescent="0.25">
      <c r="A62" s="107" t="s">
        <v>99</v>
      </c>
      <c r="B62" s="26" t="s">
        <v>115</v>
      </c>
      <c r="C62" s="27" t="s">
        <v>107</v>
      </c>
      <c r="D62" s="19">
        <f t="shared" si="15"/>
        <v>1</v>
      </c>
      <c r="E62" s="19">
        <f t="shared" si="15"/>
        <v>1</v>
      </c>
      <c r="F62" s="19">
        <f t="shared" si="15"/>
        <v>1</v>
      </c>
      <c r="G62" s="19">
        <f t="shared" si="10"/>
        <v>1</v>
      </c>
      <c r="H62" s="58">
        <f>VLOOKUP(A62,הכשרה!A:G,4,0)+VLOOKUP('תפוקה מצטברת מול אשתקד'!A62,מגדל!A:G,4,0)+VLOOKUP('תפוקה מצטברת מול אשתקד'!A62,מנורה!A:G,4,0)+VLOOKUP('תפוקה מצטברת מול אשתקד'!A62,איילון!A:G,4,0)+VLOOKUP('תפוקה מצטברת מול אשתקד'!A62,הראל!A:G,4,0)+VLOOKUP('תפוקה מצטברת מול אשתקד'!A62,הפניקס!A:G,4,0)+VLOOKUP('תפוקה מצטברת מול אשתקד'!A62,כלל!A:G,4,0)+VLOOKUP('תפוקה מצטברת מול אשתקד'!A62,מור!A:G,4,0)+VLOOKUP('תפוקה מצטברת מול אשתקד'!A62,'אלטשולר שחם'!A:G,4,0)+VLOOKUP('תפוקה מצטברת מול אשתקד'!A62,'מדיהו '!A:G,4,0)+VLOOKUP('תפוקה מצטברת מול אשתקד'!A62,'אנליסט '!A:G,4,0)+VLOOKUP('תפוקה מצטברת מול אשתקד'!A62,'מיטב דש'!A:G,4,0)+VLOOKUP('תפוקה מצטברת מול אשתקד'!A62,אינפניטי!A:G,4,0)</f>
        <v>114189.31</v>
      </c>
      <c r="I62" s="58">
        <f>VLOOKUP(A62,הכשרה!A:G,5,0)+VLOOKUP('תפוקה מצטברת מול אשתקד'!A62,מגדל!A:G,5,0)+VLOOKUP('תפוקה מצטברת מול אשתקד'!A62,מנורה!A:G,5,0)+VLOOKUP('תפוקה מצטברת מול אשתקד'!A62,איילון!A:G,5,0)+VLOOKUP('תפוקה מצטברת מול אשתקד'!A62,הראל!A:G,5,0)+VLOOKUP('תפוקה מצטברת מול אשתקד'!A62,הפניקס!A:G,5,0)+VLOOKUP('תפוקה מצטברת מול אשתקד'!A62,כלל!A:G,5,0)+VLOOKUP('תפוקה מצטברת מול אשתקד'!A62,מור!A:G,5,0)+VLOOKUP('תפוקה מצטברת מול אשתקד'!A62,'אלטשולר שחם'!A:G,5,0)+VLOOKUP('תפוקה מצטברת מול אשתקד'!A62,'מדיהו '!A:G,5,0)+VLOOKUP('תפוקה מצטברת מול אשתקד'!A62,'אנליסט '!A:G,5,0)+VLOOKUP('תפוקה מצטברת מול אשתקד'!A62,'מיטב דש'!A:G,5,0)+VLOOKUP('תפוקה מצטברת מול אשתקד'!A62,אינפניטי!A:G,5,0)</f>
        <v>5713.79</v>
      </c>
      <c r="J62" s="58">
        <f>VLOOKUP(A62,הכשרה!A:G,6,0)+VLOOKUP('תפוקה מצטברת מול אשתקד'!A62,מגדל!A:G,6,0)+VLOOKUP('תפוקה מצטברת מול אשתקד'!A62,מנורה!A:G,6,0)+VLOOKUP('תפוקה מצטברת מול אשתקד'!A62,איילון!A:G,6,0)+VLOOKUP(A62,הראל!A:G,6,0)+VLOOKUP('תפוקה מצטברת מול אשתקד'!A62,הפניקס!A:G,6,0)+VLOOKUP('תפוקה מצטברת מול אשתקד'!A62,כלל!A:G,6,0)+VLOOKUP('תפוקה מצטברת מול אשתקד'!A62,מור!A:G,6,0)+VLOOKUP('תפוקה מצטברת מול אשתקד'!A62,'אלטשולר שחם'!A:G,6,0)+VLOOKUP('תפוקה מצטברת מול אשתקד'!A62,'מדיהו '!A:G,6,0)+VLOOKUP('תפוקה מצטברת מול אשתקד'!A62,'אנליסט '!A:G,6,0)+VLOOKUP('תפוקה מצטברת מול אשתקד'!A62,'מיטב דש'!A:G,6,0)+VLOOKUP('תפוקה מצטברת מול אשתקד'!A62,אינפניטי!A:G,6,0)</f>
        <v>544448.87</v>
      </c>
      <c r="K62" s="58">
        <f>VLOOKUP(A62,הכשרה!A:G,7,0)+VLOOKUP('תפוקה מצטברת מול אשתקד'!A62,מגדל!A:G,7,0)+VLOOKUP('תפוקה מצטברת מול אשתקד'!A62,מנורה!A:G,7,0)+VLOOKUP('תפוקה מצטברת מול אשתקד'!A62,איילון!A:G,7,0)+VLOOKUP('תפוקה מצטברת מול אשתקד'!A62,הראל!A:G,7,0)+VLOOKUP('תפוקה מצטברת מול אשתקד'!A62,הפניקס!A:G,7,0)+VLOOKUP('תפוקה מצטברת מול אשתקד'!A62,כלל!A:G,7,0)+VLOOKUP('תפוקה מצטברת מול אשתקד'!A62,מור!A:G,7,0)+VLOOKUP('תפוקה מצטברת מול אשתקד'!A62,'אלטשולר שחם'!A:G,7,0)+VLOOKUP('תפוקה מצטברת מול אשתקד'!A62,'מדיהו '!A:K,7,0)+VLOOKUP(A62,'אנליסט '!A:G,7,0)+VLOOKUP('תפוקה מצטברת מול אשתקד'!A62,'מיטב דש'!A:G,7,0)+VLOOKUP('תפוקה מצטברת מול אשתקד'!A62,אינפניטי!A:G,7,0)</f>
        <v>510135.79000000004</v>
      </c>
      <c r="L62" s="12">
        <f>VLOOKUP(A62,הכשרה!A:K,8,0)+VLOOKUP('תפוקה מצטברת מול אשתקד'!A62,מגדל!A:K,8,0)+VLOOKUP('תפוקה מצטברת מול אשתקד'!A62,מנורה!A:K,8,0)+VLOOKUP('תפוקה מצטברת מול אשתקד'!A62,איילון!A:K,8,0)+VLOOKUP('תפוקה מצטברת מול אשתקד'!A62,הראל!A:K,8,0)+VLOOKUP('תפוקה מצטברת מול אשתקד'!A62,הפניקס!A:K,8,0)+VLOOKUP('תפוקה מצטברת מול אשתקד'!A62,כלל!A:K,8,0)+VLOOKUP('תפוקה מצטברת מול אשתקד'!A62,מור!A:K,8,0)+VLOOKUP('תפוקה מצטברת מול אשתקד'!A62,'אלטשולר שחם'!A:K,8,0)+VLOOKUP('תפוקה מצטברת מול אשתקד'!A62,'מדיהו '!A:K,8,0)+VLOOKUP('תפוקה מצטברת מול אשתקד'!A62,'אנליסט '!A:K,8,0)+VLOOKUP('תפוקה מצטברת מול אשתקד'!A62,'מיטב דש'!A:K,8,0)+VLOOKUP('תפוקה מצטברת מול אשתקד'!A62,אינפניטי!A:K,8,0)</f>
        <v>0</v>
      </c>
      <c r="M62" s="12">
        <f>VLOOKUP(A62,הכשרה!A:K,9,0)+VLOOKUP('תפוקה מצטברת מול אשתקד'!A62,מגדל!A:K,9,0)+VLOOKUP('תפוקה מצטברת מול אשתקד'!A62,מנורה!A:K,9,0)+VLOOKUP('תפוקה מצטברת מול אשתקד'!A62,איילון!A:K,9,0)+VLOOKUP('תפוקה מצטברת מול אשתקד'!A62,הראל!A:K,9,0)+VLOOKUP('תפוקה מצטברת מול אשתקד'!A62,הפניקס!A:K,9,0)+VLOOKUP('תפוקה מצטברת מול אשתקד'!A62,כלל!A:K,9,0)+VLOOKUP('תפוקה מצטברת מול אשתקד'!A62,מור!A:K,9,0)+VLOOKUP('תפוקה מצטברת מול אשתקד'!A62,'אלטשולר שחם'!A:K,9,0)+VLOOKUP('תפוקה מצטברת מול אשתקד'!A62,'מדיהו '!A:K,9,0)+VLOOKUP('תפוקה מצטברת מול אשתקד'!A62,'אנליסט '!A:K,9,0)+VLOOKUP('תפוקה מצטברת מול אשתקד'!A62,'מיטב דש'!A:K,9,0)+VLOOKUP('תפוקה מצטברת מול אשתקד'!A62,אינפניטי!A:K,9,0)</f>
        <v>0</v>
      </c>
      <c r="N62" s="12">
        <f>VLOOKUP(A62,הכשרה!A:K,10,0)+VLOOKUP('תפוקה מצטברת מול אשתקד'!A62,מגדל!A:K,10,0)+VLOOKUP('תפוקה מצטברת מול אשתקד'!A62,מנורה!A:K,10,0)+VLOOKUP('תפוקה מצטברת מול אשתקד'!A62,איילון!A:K,10,0)+VLOOKUP('תפוקה מצטברת מול אשתקד'!A62,הראל!A:K,10,0)+VLOOKUP('תפוקה מצטברת מול אשתקד'!A62,הפניקס!A:K,10,0)+VLOOKUP('תפוקה מצטברת מול אשתקד'!A62,כלל!A:K,10,0)+VLOOKUP('תפוקה מצטברת מול אשתקד'!A62,מור!A:K,10,0)+VLOOKUP('תפוקה מצטברת מול אשתקד'!A62,'אלטשולר שחם'!A:K,10,0)+VLOOKUP('תפוקה מצטברת מול אשתקד'!A62,'מדיהו '!A:K,10,0)+VLOOKUP('תפוקה מצטברת מול אשתקד'!A62,'אנליסט '!A:K,10,0)+VLOOKUP('תפוקה מצטברת מול אשתקד'!A62,'מיטב דש'!A:K,10,0)+VLOOKUP('תפוקה מצטברת מול אשתקד'!A62,אינפניטי!A:K,10,0)</f>
        <v>0</v>
      </c>
      <c r="O62" s="12">
        <f>VLOOKUP(A62,הכשרה!A:K,11,0)+VLOOKUP('תפוקה מצטברת מול אשתקד'!A62,מגדל!A:K,11,0)+VLOOKUP('תפוקה מצטברת מול אשתקד'!A62,מנורה!A:K,11,0)+VLOOKUP('תפוקה מצטברת מול אשתקד'!A62,איילון!A:K,11,0)+VLOOKUP('תפוקה מצטברת מול אשתקד'!A62,הראל!A:K,11,0)+VLOOKUP('תפוקה מצטברת מול אשתקד'!A62,הפניקס!A:K,11,0)+VLOOKUP('תפוקה מצטברת מול אשתקד'!A62,כלל!A:K,11,0)+VLOOKUP('תפוקה מצטברת מול אשתקד'!A62,מור!A:K,11,0)+VLOOKUP('תפוקה מצטברת מול אשתקד'!A62,'אלטשולר שחם'!A:K,11,0)+VLOOKUP('תפוקה מצטברת מול אשתקד'!A62,'מדיהו '!A:K,11,0)+VLOOKUP('תפוקה מצטברת מול אשתקד'!A62,'אנליסט '!A:K,11,0)+VLOOKUP('תפוקה מצטברת מול אשתקד'!A62,'מיטב דש'!A:K,11,0)+VLOOKUP('תפוקה מצטברת מול אשתקד'!A62,אינפניטי!A:K,11,0)</f>
        <v>0</v>
      </c>
    </row>
    <row r="63" spans="1:15" ht="15.75" customHeight="1" x14ac:dyDescent="0.25">
      <c r="A63" s="192" t="s">
        <v>130</v>
      </c>
      <c r="B63" s="26" t="s">
        <v>115</v>
      </c>
      <c r="C63" s="27" t="s">
        <v>107</v>
      </c>
      <c r="D63" s="19">
        <f t="shared" si="15"/>
        <v>0</v>
      </c>
      <c r="E63" s="19">
        <f t="shared" si="15"/>
        <v>0</v>
      </c>
      <c r="F63" s="19">
        <f t="shared" si="15"/>
        <v>0</v>
      </c>
      <c r="G63" s="19">
        <f t="shared" si="10"/>
        <v>0</v>
      </c>
      <c r="H63" s="58">
        <f>VLOOKUP(A63,הכשרה!A:G,4,0)+VLOOKUP('תפוקה מצטברת מול אשתקד'!A63,מגדל!A:G,4,0)+VLOOKUP('תפוקה מצטברת מול אשתקד'!A63,מנורה!A:G,4,0)+VLOOKUP('תפוקה מצטברת מול אשתקד'!A63,איילון!A:G,4,0)+VLOOKUP('תפוקה מצטברת מול אשתקד'!A63,הראל!A:G,4,0)+VLOOKUP('תפוקה מצטברת מול אשתקד'!A63,הפניקס!A:G,4,0)+VLOOKUP('תפוקה מצטברת מול אשתקד'!A63,כלל!A:G,4,0)+VLOOKUP('תפוקה מצטברת מול אשתקד'!A63,מור!A:G,4,0)+VLOOKUP('תפוקה מצטברת מול אשתקד'!A63,'אלטשולר שחם'!A:G,4,0)+VLOOKUP('תפוקה מצטברת מול אשתקד'!A63,'מדיהו '!A:G,4,0)+VLOOKUP('תפוקה מצטברת מול אשתקד'!A63,'אנליסט '!A:G,4,0)+VLOOKUP('תפוקה מצטברת מול אשתקד'!A63,'מיטב דש'!A:G,4,0)+VLOOKUP('תפוקה מצטברת מול אשתקד'!A63,אינפניטי!A:G,4,0)</f>
        <v>0</v>
      </c>
      <c r="I63" s="58">
        <f>VLOOKUP(A63,הכשרה!A:G,5,0)+VLOOKUP('תפוקה מצטברת מול אשתקד'!A63,מגדל!A:G,5,0)+VLOOKUP('תפוקה מצטברת מול אשתקד'!A63,מנורה!A:G,5,0)+VLOOKUP('תפוקה מצטברת מול אשתקד'!A63,איילון!A:G,5,0)+VLOOKUP('תפוקה מצטברת מול אשתקד'!A63,הראל!A:G,5,0)+VLOOKUP('תפוקה מצטברת מול אשתקד'!A63,הפניקס!A:G,5,0)+VLOOKUP('תפוקה מצטברת מול אשתקד'!A63,כלל!A:G,5,0)+VLOOKUP('תפוקה מצטברת מול אשתקד'!A63,מור!A:G,5,0)+VLOOKUP('תפוקה מצטברת מול אשתקד'!A63,'אלטשולר שחם'!A:G,5,0)+VLOOKUP('תפוקה מצטברת מול אשתקד'!A63,'מדיהו '!A:G,5,0)+VLOOKUP('תפוקה מצטברת מול אשתקד'!A63,'אנליסט '!A:G,5,0)+VLOOKUP('תפוקה מצטברת מול אשתקד'!A63,'מיטב דש'!A:G,5,0)+VLOOKUP('תפוקה מצטברת מול אשתקד'!A63,אינפניטי!A:G,5,0)</f>
        <v>0</v>
      </c>
      <c r="J63" s="58">
        <f>VLOOKUP(A63,הכשרה!A:G,6,0)+VLOOKUP('תפוקה מצטברת מול אשתקד'!A63,מגדל!A:G,6,0)+VLOOKUP('תפוקה מצטברת מול אשתקד'!A63,מנורה!A:G,6,0)+VLOOKUP('תפוקה מצטברת מול אשתקד'!A63,איילון!A:G,6,0)+VLOOKUP(A63,הראל!A:G,6,0)+VLOOKUP('תפוקה מצטברת מול אשתקד'!A63,הפניקס!A:G,6,0)+VLOOKUP('תפוקה מצטברת מול אשתקד'!A63,כלל!A:G,6,0)+VLOOKUP('תפוקה מצטברת מול אשתקד'!A63,מור!A:G,6,0)+VLOOKUP('תפוקה מצטברת מול אשתקד'!A63,'אלטשולר שחם'!A:G,6,0)+VLOOKUP('תפוקה מצטברת מול אשתקד'!A63,'מדיהו '!A:G,6,0)+VLOOKUP('תפוקה מצטברת מול אשתקד'!A63,'אנליסט '!A:G,6,0)+VLOOKUP('תפוקה מצטברת מול אשתקד'!A63,'מיטב דש'!A:G,6,0)+VLOOKUP('תפוקה מצטברת מול אשתקד'!A63,אינפניטי!A:G,6,0)</f>
        <v>0</v>
      </c>
      <c r="K63" s="58">
        <f>VLOOKUP(A63,הכשרה!A:G,7,0)+VLOOKUP('תפוקה מצטברת מול אשתקד'!A63,מגדל!A:G,7,0)+VLOOKUP('תפוקה מצטברת מול אשתקד'!A63,מנורה!A:G,7,0)+VLOOKUP('תפוקה מצטברת מול אשתקד'!A63,איילון!A:G,7,0)+VLOOKUP('תפוקה מצטברת מול אשתקד'!A63,הראל!A:G,7,0)+VLOOKUP('תפוקה מצטברת מול אשתקד'!A63,הפניקס!A:G,7,0)+VLOOKUP('תפוקה מצטברת מול אשתקד'!A63,כלל!A:G,7,0)+VLOOKUP('תפוקה מצטברת מול אשתקד'!A63,מור!A:G,7,0)+VLOOKUP('תפוקה מצטברת מול אשתקד'!A63,'אלטשולר שחם'!A:G,7,0)+VLOOKUP('תפוקה מצטברת מול אשתקד'!A63,'מדיהו '!A:K,7,0)+VLOOKUP(A63,'אנליסט '!A:G,7,0)+VLOOKUP('תפוקה מצטברת מול אשתקד'!A63,'מיטב דש'!A:G,7,0)+VLOOKUP('תפוקה מצטברת מול אשתקד'!A63,אינפניטי!A:G,7,0)</f>
        <v>0</v>
      </c>
      <c r="L63" s="12">
        <f>VLOOKUP(A63,הכשרה!A:K,8,0)+VLOOKUP('תפוקה מצטברת מול אשתקד'!A63,מגדל!A:K,8,0)+VLOOKUP('תפוקה מצטברת מול אשתקד'!A63,מנורה!A:K,8,0)+VLOOKUP('תפוקה מצטברת מול אשתקד'!A63,איילון!A:K,8,0)+VLOOKUP('תפוקה מצטברת מול אשתקד'!A63,הראל!A:K,8,0)+VLOOKUP('תפוקה מצטברת מול אשתקד'!A63,הפניקס!A:K,8,0)+VLOOKUP('תפוקה מצטברת מול אשתקד'!A63,כלל!A:K,8,0)+VLOOKUP('תפוקה מצטברת מול אשתקד'!A63,מור!A:K,8,0)+VLOOKUP('תפוקה מצטברת מול אשתקד'!A63,'אלטשולר שחם'!A:K,8,0)+VLOOKUP('תפוקה מצטברת מול אשתקד'!A63,'מדיהו '!A:K,8,0)+VLOOKUP('תפוקה מצטברת מול אשתקד'!A63,'אנליסט '!A:K,8,0)+VLOOKUP('תפוקה מצטברת מול אשתקד'!A63,'מיטב דש'!A:K,8,0)+VLOOKUP('תפוקה מצטברת מול אשתקד'!A63,אינפניטי!A:K,8,0)</f>
        <v>0</v>
      </c>
      <c r="M63" s="12">
        <f>VLOOKUP(A63,הכשרה!A:K,9,0)+VLOOKUP('תפוקה מצטברת מול אשתקד'!A63,מגדל!A:K,9,0)+VLOOKUP('תפוקה מצטברת מול אשתקד'!A63,מנורה!A:K,9,0)+VLOOKUP('תפוקה מצטברת מול אשתקד'!A63,איילון!A:K,9,0)+VLOOKUP('תפוקה מצטברת מול אשתקד'!A63,הראל!A:K,9,0)+VLOOKUP('תפוקה מצטברת מול אשתקד'!A63,הפניקס!A:K,9,0)+VLOOKUP('תפוקה מצטברת מול אשתקד'!A63,כלל!A:K,9,0)+VLOOKUP('תפוקה מצטברת מול אשתקד'!A63,מור!A:K,9,0)+VLOOKUP('תפוקה מצטברת מול אשתקד'!A63,'אלטשולר שחם'!A:K,9,0)+VLOOKUP('תפוקה מצטברת מול אשתקד'!A63,'מדיהו '!A:K,9,0)+VLOOKUP('תפוקה מצטברת מול אשתקד'!A63,'אנליסט '!A:K,9,0)+VLOOKUP('תפוקה מצטברת מול אשתקד'!A63,'מיטב דש'!A:K,9,0)+VLOOKUP('תפוקה מצטברת מול אשתקד'!A63,אינפניטי!A:K,9,0)</f>
        <v>0</v>
      </c>
      <c r="N63" s="12">
        <f>VLOOKUP(A63,הכשרה!A:K,10,0)+VLOOKUP('תפוקה מצטברת מול אשתקד'!A63,מגדל!A:K,10,0)+VLOOKUP('תפוקה מצטברת מול אשתקד'!A63,מנורה!A:K,10,0)+VLOOKUP('תפוקה מצטברת מול אשתקד'!A63,איילון!A:K,10,0)+VLOOKUP('תפוקה מצטברת מול אשתקד'!A63,הראל!A:K,10,0)+VLOOKUP('תפוקה מצטברת מול אשתקד'!A63,הפניקס!A:K,10,0)+VLOOKUP('תפוקה מצטברת מול אשתקד'!A63,כלל!A:K,10,0)+VLOOKUP('תפוקה מצטברת מול אשתקד'!A63,מור!A:K,10,0)+VLOOKUP('תפוקה מצטברת מול אשתקד'!A63,'אלטשולר שחם'!A:K,10,0)+VLOOKUP('תפוקה מצטברת מול אשתקד'!A63,'מדיהו '!A:K,10,0)+VLOOKUP('תפוקה מצטברת מול אשתקד'!A63,'אנליסט '!A:K,10,0)+VLOOKUP('תפוקה מצטברת מול אשתקד'!A63,'מיטב דש'!A:K,10,0)+VLOOKUP('תפוקה מצטברת מול אשתקד'!A63,אינפניטי!A:K,10,0)</f>
        <v>0</v>
      </c>
      <c r="O63" s="12">
        <f>VLOOKUP(A63,הכשרה!A:K,11,0)+VLOOKUP('תפוקה מצטברת מול אשתקד'!A63,מגדל!A:K,11,0)+VLOOKUP('תפוקה מצטברת מול אשתקד'!A63,מנורה!A:K,11,0)+VLOOKUP('תפוקה מצטברת מול אשתקד'!A63,איילון!A:K,11,0)+VLOOKUP('תפוקה מצטברת מול אשתקד'!A63,הראל!A:K,11,0)+VLOOKUP('תפוקה מצטברת מול אשתקד'!A63,הפניקס!A:K,11,0)+VLOOKUP('תפוקה מצטברת מול אשתקד'!A63,כלל!A:K,11,0)+VLOOKUP('תפוקה מצטברת מול אשתקד'!A63,מור!A:K,11,0)+VLOOKUP('תפוקה מצטברת מול אשתקד'!A63,'אלטשולר שחם'!A:K,11,0)+VLOOKUP('תפוקה מצטברת מול אשתקד'!A63,'מדיהו '!A:K,11,0)+VLOOKUP('תפוקה מצטברת מול אשתקד'!A63,'אנליסט '!A:K,11,0)+VLOOKUP('תפוקה מצטברת מול אשתקד'!A63,'מיטב דש'!A:K,11,0)+VLOOKUP('תפוקה מצטברת מול אשתקד'!A63,אינפניטי!A:K,11,0)</f>
        <v>0</v>
      </c>
    </row>
    <row r="64" spans="1:15" ht="15.75" customHeight="1" x14ac:dyDescent="0.25">
      <c r="A64" s="197" t="s">
        <v>141</v>
      </c>
      <c r="B64" s="26" t="s">
        <v>115</v>
      </c>
      <c r="C64" s="27" t="s">
        <v>107</v>
      </c>
      <c r="D64" s="19">
        <f t="shared" si="15"/>
        <v>0</v>
      </c>
      <c r="E64" s="19">
        <f t="shared" si="15"/>
        <v>1</v>
      </c>
      <c r="F64" s="19">
        <f t="shared" si="15"/>
        <v>0</v>
      </c>
      <c r="G64" s="19">
        <f t="shared" si="10"/>
        <v>1</v>
      </c>
      <c r="H64" s="58">
        <f>VLOOKUP(A64,הכשרה!A:G,4,0)+VLOOKUP('תפוקה מצטברת מול אשתקד'!A64,מגדל!A:G,4,0)+VLOOKUP('תפוקה מצטברת מול אשתקד'!A64,מנורה!A:G,4,0)+VLOOKUP('תפוקה מצטברת מול אשתקד'!A64,איילון!A:G,4,0)+VLOOKUP('תפוקה מצטברת מול אשתקד'!A64,הראל!A:G,4,0)+VLOOKUP('תפוקה מצטברת מול אשתקד'!A64,הפניקס!A:G,4,0)+VLOOKUP('תפוקה מצטברת מול אשתקד'!A64,כלל!A:G,4,0)+VLOOKUP('תפוקה מצטברת מול אשתקד'!A64,מור!A:G,4,0)+VLOOKUP('תפוקה מצטברת מול אשתקד'!A64,'אלטשולר שחם'!A:G,4,0)+VLOOKUP('תפוקה מצטברת מול אשתקד'!A64,'מדיהו '!A:G,4,0)+VLOOKUP('תפוקה מצטברת מול אשתקד'!A64,'אנליסט '!A:G,4,0)+VLOOKUP('תפוקה מצטברת מול אשתקד'!A64,'מיטב דש'!A:G,4,0)+VLOOKUP('תפוקה מצטברת מול אשתקד'!A64,אינפניטי!A:G,4,0)</f>
        <v>0</v>
      </c>
      <c r="I64" s="58">
        <f>VLOOKUP(A64,הכשרה!A:G,5,0)+VLOOKUP('תפוקה מצטברת מול אשתקד'!A64,מגדל!A:G,5,0)+VLOOKUP('תפוקה מצטברת מול אשתקד'!A64,מנורה!A:G,5,0)+VLOOKUP('תפוקה מצטברת מול אשתקד'!A64,איילון!A:G,5,0)+VLOOKUP('תפוקה מצטברת מול אשתקד'!A64,הראל!A:G,5,0)+VLOOKUP('תפוקה מצטברת מול אשתקד'!A64,הפניקס!A:G,5,0)+VLOOKUP('תפוקה מצטברת מול אשתקד'!A64,כלל!A:G,5,0)+VLOOKUP('תפוקה מצטברת מול אשתקד'!A64,מור!A:G,5,0)+VLOOKUP('תפוקה מצטברת מול אשתקד'!A64,'אלטשולר שחם'!A:G,5,0)+VLOOKUP('תפוקה מצטברת מול אשתקד'!A64,'מדיהו '!A:G,5,0)+VLOOKUP('תפוקה מצטברת מול אשתקד'!A64,'אנליסט '!A:G,5,0)+VLOOKUP('תפוקה מצטברת מול אשתקד'!A64,'מיטב דש'!A:G,5,0)+VLOOKUP('תפוקה מצטברת מול אשתקד'!A64,אינפניטי!A:G,5,0)</f>
        <v>2108</v>
      </c>
      <c r="J64" s="58">
        <f>VLOOKUP(A64,הכשרה!A:G,6,0)+VLOOKUP('תפוקה מצטברת מול אשתקד'!A64,מגדל!A:G,6,0)+VLOOKUP('תפוקה מצטברת מול אשתקד'!A64,מנורה!A:G,6,0)+VLOOKUP('תפוקה מצטברת מול אשתקד'!A64,איילון!A:G,6,0)+VLOOKUP(A64,הראל!A:G,6,0)+VLOOKUP('תפוקה מצטברת מול אשתקד'!A64,הפניקס!A:G,6,0)+VLOOKUP('תפוקה מצטברת מול אשתקד'!A64,כלל!A:G,6,0)+VLOOKUP('תפוקה מצטברת מול אשתקד'!A64,מור!A:G,6,0)+VLOOKUP('תפוקה מצטברת מול אשתקד'!A64,'אלטשולר שחם'!A:G,6,0)+VLOOKUP('תפוקה מצטברת מול אשתקד'!A64,'מדיהו '!A:G,6,0)+VLOOKUP('תפוקה מצטברת מול אשתקד'!A64,'אנליסט '!A:G,6,0)+VLOOKUP('תפוקה מצטברת מול אשתקד'!A64,'מיטב דש'!A:G,6,0)+VLOOKUP('תפוקה מצטברת מול אשתקד'!A64,אינפניטי!A:G,6,0)</f>
        <v>0</v>
      </c>
      <c r="K64" s="58">
        <f>VLOOKUP(A64,הכשרה!A:G,7,0)+VLOOKUP('תפוקה מצטברת מול אשתקד'!A64,מגדל!A:G,7,0)+VLOOKUP('תפוקה מצטברת מול אשתקד'!A64,מנורה!A:G,7,0)+VLOOKUP('תפוקה מצטברת מול אשתקד'!A64,איילון!A:G,7,0)+VLOOKUP('תפוקה מצטברת מול אשתקד'!A64,הראל!A:G,7,0)+VLOOKUP('תפוקה מצטברת מול אשתקד'!A64,הפניקס!A:G,7,0)+VLOOKUP('תפוקה מצטברת מול אשתקד'!A64,כלל!A:G,7,0)+VLOOKUP('תפוקה מצטברת מול אשתקד'!A64,מור!A:G,7,0)+VLOOKUP('תפוקה מצטברת מול אשתקד'!A64,'אלטשולר שחם'!A:G,7,0)+VLOOKUP('תפוקה מצטברת מול אשתקד'!A64,'מדיהו '!A:K,7,0)+VLOOKUP(A64,'אנליסט '!A:G,7,0)+VLOOKUP('תפוקה מצטברת מול אשתקד'!A64,'מיטב דש'!A:G,7,0)+VLOOKUP('תפוקה מצטברת מול אשתקד'!A64,אינפניטי!A:G,7,0)</f>
        <v>439063.23</v>
      </c>
      <c r="L64" s="12">
        <f>VLOOKUP(A64,הכשרה!A:K,8,0)+VLOOKUP('תפוקה מצטברת מול אשתקד'!A64,מגדל!A:K,8,0)+VLOOKUP('תפוקה מצטברת מול אשתקד'!A64,מנורה!A:K,8,0)+VLOOKUP('תפוקה מצטברת מול אשתקד'!A64,איילון!A:K,8,0)+VLOOKUP('תפוקה מצטברת מול אשתקד'!A64,הראל!A:K,8,0)+VLOOKUP('תפוקה מצטברת מול אשתקד'!A64,הפניקס!A:K,8,0)+VLOOKUP('תפוקה מצטברת מול אשתקד'!A64,כלל!A:K,8,0)+VLOOKUP('תפוקה מצטברת מול אשתקד'!A64,מור!A:K,8,0)+VLOOKUP('תפוקה מצטברת מול אשתקד'!A64,'אלטשולר שחם'!A:K,8,0)+VLOOKUP('תפוקה מצטברת מול אשתקד'!A64,'מדיהו '!A:K,8,0)+VLOOKUP('תפוקה מצטברת מול אשתקד'!A64,'אנליסט '!A:K,8,0)+VLOOKUP('תפוקה מצטברת מול אשתקד'!A64,'מיטב דש'!A:K,8,0)+VLOOKUP('תפוקה מצטברת מול אשתקד'!A64,אינפניטי!A:K,8,0)</f>
        <v>0</v>
      </c>
      <c r="M64" s="12">
        <f>VLOOKUP(A64,הכשרה!A:K,9,0)+VLOOKUP('תפוקה מצטברת מול אשתקד'!A64,מגדל!A:K,9,0)+VLOOKUP('תפוקה מצטברת מול אשתקד'!A64,מנורה!A:K,9,0)+VLOOKUP('תפוקה מצטברת מול אשתקד'!A64,איילון!A:K,9,0)+VLOOKUP('תפוקה מצטברת מול אשתקד'!A64,הראל!A:K,9,0)+VLOOKUP('תפוקה מצטברת מול אשתקד'!A64,הפניקס!A:K,9,0)+VLOOKUP('תפוקה מצטברת מול אשתקד'!A64,כלל!A:K,9,0)+VLOOKUP('תפוקה מצטברת מול אשתקד'!A64,מור!A:K,9,0)+VLOOKUP('תפוקה מצטברת מול אשתקד'!A64,'אלטשולר שחם'!A:K,9,0)+VLOOKUP('תפוקה מצטברת מול אשתקד'!A64,'מדיהו '!A:K,9,0)+VLOOKUP('תפוקה מצטברת מול אשתקד'!A64,'אנליסט '!A:K,9,0)+VLOOKUP('תפוקה מצטברת מול אשתקד'!A64,'מיטב דש'!A:K,9,0)+VLOOKUP('תפוקה מצטברת מול אשתקד'!A64,אינפניטי!A:K,9,0)</f>
        <v>0</v>
      </c>
      <c r="N64" s="12">
        <f>VLOOKUP(A64,הכשרה!A:K,10,0)+VLOOKUP('תפוקה מצטברת מול אשתקד'!A64,מגדל!A:K,10,0)+VLOOKUP('תפוקה מצטברת מול אשתקד'!A64,מנורה!A:K,10,0)+VLOOKUP('תפוקה מצטברת מול אשתקד'!A64,איילון!A:K,10,0)+VLOOKUP('תפוקה מצטברת מול אשתקד'!A64,הראל!A:K,10,0)+VLOOKUP('תפוקה מצטברת מול אשתקד'!A64,הפניקס!A:K,10,0)+VLOOKUP('תפוקה מצטברת מול אשתקד'!A64,כלל!A:K,10,0)+VLOOKUP('תפוקה מצטברת מול אשתקד'!A64,מור!A:K,10,0)+VLOOKUP('תפוקה מצטברת מול אשתקד'!A64,'אלטשולר שחם'!A:K,10,0)+VLOOKUP('תפוקה מצטברת מול אשתקד'!A64,'מדיהו '!A:K,10,0)+VLOOKUP('תפוקה מצטברת מול אשתקד'!A64,'אנליסט '!A:K,10,0)+VLOOKUP('תפוקה מצטברת מול אשתקד'!A64,'מיטב דש'!A:K,10,0)+VLOOKUP('תפוקה מצטברת מול אשתקד'!A64,אינפניטי!A:K,10,0)</f>
        <v>0</v>
      </c>
      <c r="O64" s="12">
        <f>VLOOKUP(A64,הכשרה!A:K,11,0)+VLOOKUP('תפוקה מצטברת מול אשתקד'!A64,מגדל!A:K,11,0)+VLOOKUP('תפוקה מצטברת מול אשתקד'!A64,מנורה!A:K,11,0)+VLOOKUP('תפוקה מצטברת מול אשתקד'!A64,איילון!A:K,11,0)+VLOOKUP('תפוקה מצטברת מול אשתקד'!A64,הראל!A:K,11,0)+VLOOKUP('תפוקה מצטברת מול אשתקד'!A64,הפניקס!A:K,11,0)+VLOOKUP('תפוקה מצטברת מול אשתקד'!A64,כלל!A:K,11,0)+VLOOKUP('תפוקה מצטברת מול אשתקד'!A64,מור!A:K,11,0)+VLOOKUP('תפוקה מצטברת מול אשתקד'!A64,'אלטשולר שחם'!A:K,11,0)+VLOOKUP('תפוקה מצטברת מול אשתקד'!A64,'מדיהו '!A:K,11,0)+VLOOKUP('תפוקה מצטברת מול אשתקד'!A64,'אנליסט '!A:K,11,0)+VLOOKUP('תפוקה מצטברת מול אשתקד'!A64,'מיטב דש'!A:K,11,0)+VLOOKUP('תפוקה מצטברת מול אשתקד'!A64,אינפניטי!A:K,11,0)</f>
        <v>0</v>
      </c>
    </row>
    <row r="65" spans="1:15" ht="15.75" customHeight="1" thickBot="1" x14ac:dyDescent="0.3">
      <c r="A65" s="30" t="s">
        <v>16</v>
      </c>
      <c r="B65" s="26" t="s">
        <v>115</v>
      </c>
      <c r="C65" s="27" t="s">
        <v>107</v>
      </c>
      <c r="D65" s="19">
        <f t="shared" si="15"/>
        <v>0</v>
      </c>
      <c r="E65" s="19">
        <f t="shared" si="15"/>
        <v>0</v>
      </c>
      <c r="F65" s="19">
        <f t="shared" si="15"/>
        <v>0</v>
      </c>
      <c r="G65" s="19">
        <f t="shared" si="5"/>
        <v>0</v>
      </c>
      <c r="H65" s="58">
        <f>VLOOKUP(A65,הכשרה!A:G,4,0)+VLOOKUP('תפוקה מצטברת מול אשתקד'!A65,מגדל!A:G,4,0)+VLOOKUP('תפוקה מצטברת מול אשתקד'!A65,מנורה!A:G,4,0)+VLOOKUP('תפוקה מצטברת מול אשתקד'!A65,איילון!A:G,4,0)+VLOOKUP('תפוקה מצטברת מול אשתקד'!A65,הראל!A:G,4,0)+VLOOKUP('תפוקה מצטברת מול אשתקד'!A65,הפניקס!A:G,4,0)+VLOOKUP('תפוקה מצטברת מול אשתקד'!A65,כלל!A:G,4,0)+VLOOKUP('תפוקה מצטברת מול אשתקד'!A65,מור!A:G,4,0)+VLOOKUP('תפוקה מצטברת מול אשתקד'!A65,'אלטשולר שחם'!A:G,4,0)+VLOOKUP('תפוקה מצטברת מול אשתקד'!A65,'מדיהו '!A:G,4,0)+VLOOKUP('תפוקה מצטברת מול אשתקד'!A65,'אנליסט '!A:G,4,0)+VLOOKUP('תפוקה מצטברת מול אשתקד'!A65,'מיטב דש'!A:G,4,0)+VLOOKUP('תפוקה מצטברת מול אשתקד'!A65,אינפניטי!A:G,4,0)</f>
        <v>0</v>
      </c>
      <c r="I65" s="58">
        <f>VLOOKUP(A65,הכשרה!A:G,5,0)+VLOOKUP('תפוקה מצטברת מול אשתקד'!A65,מגדל!A:G,5,0)+VLOOKUP('תפוקה מצטברת מול אשתקד'!A65,מנורה!A:G,5,0)+VLOOKUP('תפוקה מצטברת מול אשתקד'!A65,איילון!A:G,5,0)+VLOOKUP('תפוקה מצטברת מול אשתקד'!A65,הראל!A:G,5,0)+VLOOKUP('תפוקה מצטברת מול אשתקד'!A65,הפניקס!A:G,5,0)+VLOOKUP('תפוקה מצטברת מול אשתקד'!A65,כלל!A:G,5,0)+VLOOKUP('תפוקה מצטברת מול אשתקד'!A65,מור!A:G,5,0)+VLOOKUP('תפוקה מצטברת מול אשתקד'!A65,'אלטשולר שחם'!A:G,5,0)+VLOOKUP('תפוקה מצטברת מול אשתקד'!A65,'מדיהו '!A:G,5,0)+VLOOKUP('תפוקה מצטברת מול אשתקד'!A65,'אנליסט '!A:G,5,0)+VLOOKUP('תפוקה מצטברת מול אשתקד'!A65,'מיטב דש'!A:G,5,0)+VLOOKUP('תפוקה מצטברת מול אשתקד'!A65,אינפניטי!A:G,5,0)</f>
        <v>0</v>
      </c>
      <c r="J65" s="58">
        <f>VLOOKUP(A65,הכשרה!A:G,6,0)+VLOOKUP('תפוקה מצטברת מול אשתקד'!A65,מגדל!A:G,6,0)+VLOOKUP('תפוקה מצטברת מול אשתקד'!A65,מנורה!A:G,6,0)+VLOOKUP('תפוקה מצטברת מול אשתקד'!A65,איילון!A:G,6,0)+VLOOKUP(A65,הראל!A:G,6,0)+VLOOKUP('תפוקה מצטברת מול אשתקד'!A65,הפניקס!A:G,6,0)+VLOOKUP('תפוקה מצטברת מול אשתקד'!A65,כלל!A:G,6,0)+VLOOKUP('תפוקה מצטברת מול אשתקד'!A65,מור!A:G,6,0)+VLOOKUP('תפוקה מצטברת מול אשתקד'!A65,'אלטשולר שחם'!A:G,6,0)+VLOOKUP('תפוקה מצטברת מול אשתקד'!A65,'מדיהו '!A:G,6,0)+VLOOKUP('תפוקה מצטברת מול אשתקד'!A65,'אנליסט '!A:G,6,0)+VLOOKUP('תפוקה מצטברת מול אשתקד'!A65,'מיטב דש'!A:G,6,0)+VLOOKUP('תפוקה מצטברת מול אשתקד'!A65,אינפניטי!A:G,6,0)</f>
        <v>0</v>
      </c>
      <c r="K65" s="58">
        <f>VLOOKUP(A65,הכשרה!A:G,7,0)+VLOOKUP('תפוקה מצטברת מול אשתקד'!A65,מגדל!A:G,7,0)+VLOOKUP('תפוקה מצטברת מול אשתקד'!A65,מנורה!A:G,7,0)+VLOOKUP('תפוקה מצטברת מול אשתקד'!A65,איילון!A:G,7,0)+VLOOKUP('תפוקה מצטברת מול אשתקד'!A65,הראל!A:G,7,0)+VLOOKUP('תפוקה מצטברת מול אשתקד'!A65,הפניקס!A:G,7,0)+VLOOKUP('תפוקה מצטברת מול אשתקד'!A65,כלל!A:G,7,0)+VLOOKUP('תפוקה מצטברת מול אשתקד'!A65,מור!A:G,7,0)+VLOOKUP('תפוקה מצטברת מול אשתקד'!A65,'אלטשולר שחם'!A:G,7,0)+VLOOKUP('תפוקה מצטברת מול אשתקד'!A65,'מדיהו '!A:K,7,0)+VLOOKUP(A65,'אנליסט '!A:G,7,0)+VLOOKUP('תפוקה מצטברת מול אשתקד'!A65,'מיטב דש'!A:G,7,0)+VLOOKUP('תפוקה מצטברת מול אשתקד'!A65,אינפניטי!A:G,7,0)</f>
        <v>0</v>
      </c>
      <c r="L65" s="12">
        <f>VLOOKUP(A65,הכשרה!A:K,8,0)+VLOOKUP('תפוקה מצטברת מול אשתקד'!A65,מגדל!A:K,8,0)+VLOOKUP('תפוקה מצטברת מול אשתקד'!A65,מנורה!A:K,8,0)+VLOOKUP('תפוקה מצטברת מול אשתקד'!A65,איילון!A:K,8,0)+VLOOKUP('תפוקה מצטברת מול אשתקד'!A65,הראל!A:K,8,0)+VLOOKUP('תפוקה מצטברת מול אשתקד'!A65,הפניקס!A:K,8,0)+VLOOKUP('תפוקה מצטברת מול אשתקד'!A65,כלל!A:K,8,0)+VLOOKUP('תפוקה מצטברת מול אשתקד'!A65,מור!A:K,8,0)+VLOOKUP('תפוקה מצטברת מול אשתקד'!A65,'אלטשולר שחם'!A:K,8,0)+VLOOKUP('תפוקה מצטברת מול אשתקד'!A65,'מדיהו '!A:K,8,0)+VLOOKUP('תפוקה מצטברת מול אשתקד'!A65,'אנליסט '!A:K,8,0)+VLOOKUP('תפוקה מצטברת מול אשתקד'!A65,'מיטב דש'!A:K,8,0)+VLOOKUP('תפוקה מצטברת מול אשתקד'!A65,אינפניטי!A:K,8,0)</f>
        <v>0</v>
      </c>
      <c r="M65" s="12">
        <f>VLOOKUP(A65,הכשרה!A:K,9,0)+VLOOKUP('תפוקה מצטברת מול אשתקד'!A65,מגדל!A:K,9,0)+VLOOKUP('תפוקה מצטברת מול אשתקד'!A65,מנורה!A:K,9,0)+VLOOKUP('תפוקה מצטברת מול אשתקד'!A65,איילון!A:K,9,0)+VLOOKUP('תפוקה מצטברת מול אשתקד'!A65,הראל!A:K,9,0)+VLOOKUP('תפוקה מצטברת מול אשתקד'!A65,הפניקס!A:K,9,0)+VLOOKUP('תפוקה מצטברת מול אשתקד'!A65,כלל!A:K,9,0)+VLOOKUP('תפוקה מצטברת מול אשתקד'!A65,מור!A:K,9,0)+VLOOKUP('תפוקה מצטברת מול אשתקד'!A65,'אלטשולר שחם'!A:K,9,0)+VLOOKUP('תפוקה מצטברת מול אשתקד'!A65,'מדיהו '!A:K,9,0)+VLOOKUP('תפוקה מצטברת מול אשתקד'!A65,'אנליסט '!A:K,9,0)+VLOOKUP('תפוקה מצטברת מול אשתקד'!A65,'מיטב דש'!A:K,9,0)+VLOOKUP('תפוקה מצטברת מול אשתקד'!A65,אינפניטי!A:K,9,0)</f>
        <v>0</v>
      </c>
      <c r="N65" s="12">
        <f>VLOOKUP(A65,הכשרה!A:K,10,0)+VLOOKUP('תפוקה מצטברת מול אשתקד'!A65,מגדל!A:K,10,0)+VLOOKUP('תפוקה מצטברת מול אשתקד'!A65,מנורה!A:K,10,0)+VLOOKUP('תפוקה מצטברת מול אשתקד'!A65,איילון!A:K,10,0)+VLOOKUP('תפוקה מצטברת מול אשתקד'!A65,הראל!A:K,10,0)+VLOOKUP('תפוקה מצטברת מול אשתקד'!A65,הפניקס!A:K,10,0)+VLOOKUP('תפוקה מצטברת מול אשתקד'!A65,כלל!A:K,10,0)+VLOOKUP('תפוקה מצטברת מול אשתקד'!A65,מור!A:K,10,0)+VLOOKUP('תפוקה מצטברת מול אשתקד'!A65,'אלטשולר שחם'!A:K,10,0)+VLOOKUP('תפוקה מצטברת מול אשתקד'!A65,'מדיהו '!A:K,10,0)+VLOOKUP('תפוקה מצטברת מול אשתקד'!A65,'אנליסט '!A:K,10,0)+VLOOKUP('תפוקה מצטברת מול אשתקד'!A65,'מיטב דש'!A:K,10,0)+VLOOKUP('תפוקה מצטברת מול אשתקד'!A65,אינפניטי!A:K,10,0)</f>
        <v>0</v>
      </c>
      <c r="O65" s="12">
        <f>VLOOKUP(A65,הכשרה!A:K,11,0)+VLOOKUP('תפוקה מצטברת מול אשתקד'!A65,מגדל!A:K,11,0)+VLOOKUP('תפוקה מצטברת מול אשתקד'!A65,מנורה!A:K,11,0)+VLOOKUP('תפוקה מצטברת מול אשתקד'!A65,איילון!A:K,11,0)+VLOOKUP('תפוקה מצטברת מול אשתקד'!A65,הראל!A:K,11,0)+VLOOKUP('תפוקה מצטברת מול אשתקד'!A65,הפניקס!A:K,11,0)+VLOOKUP('תפוקה מצטברת מול אשתקד'!A65,כלל!A:K,11,0)+VLOOKUP('תפוקה מצטברת מול אשתקד'!A65,מור!A:K,11,0)+VLOOKUP('תפוקה מצטברת מול אשתקד'!A65,'אלטשולר שחם'!A:K,11,0)+VLOOKUP('תפוקה מצטברת מול אשתקד'!A65,'מדיהו '!A:K,11,0)+VLOOKUP('תפוקה מצטברת מול אשתקד'!A65,'אנליסט '!A:K,11,0)+VLOOKUP('תפוקה מצטברת מול אשתקד'!A65,'מיטב דש'!A:K,11,0)+VLOOKUP('תפוקה מצטברת מול אשתקד'!A65,אינפניטי!A:K,11,0)</f>
        <v>0</v>
      </c>
    </row>
    <row r="66" spans="1:15" ht="24.6" customHeight="1" thickBot="1" x14ac:dyDescent="0.3">
      <c r="A66" s="123" t="s">
        <v>117</v>
      </c>
      <c r="B66" s="121"/>
      <c r="C66" s="121"/>
      <c r="D66" s="126">
        <f t="shared" si="0"/>
        <v>-3.9808901508366246E-2</v>
      </c>
      <c r="E66" s="126">
        <f t="shared" si="0"/>
        <v>-0.3782668405886318</v>
      </c>
      <c r="F66" s="126">
        <f t="shared" si="0"/>
        <v>0.15303433940814148</v>
      </c>
      <c r="G66" s="19">
        <f t="shared" si="5"/>
        <v>0.71282126850767313</v>
      </c>
      <c r="H66" s="123">
        <f>SUM(H57:H65)</f>
        <v>1781679.3408926984</v>
      </c>
      <c r="I66" s="123">
        <f t="shared" ref="I66:O66" si="16">SUM(I57:I65)</f>
        <v>129088.40618428723</v>
      </c>
      <c r="J66" s="123">
        <f t="shared" si="16"/>
        <v>8337313.3637687303</v>
      </c>
      <c r="K66" s="123">
        <f t="shared" si="16"/>
        <v>6460832.6099999994</v>
      </c>
      <c r="L66" s="123">
        <f t="shared" si="16"/>
        <v>1855546.6132643202</v>
      </c>
      <c r="M66" s="123">
        <f t="shared" si="16"/>
        <v>207626.70324115077</v>
      </c>
      <c r="N66" s="123">
        <f t="shared" si="16"/>
        <v>7230758.9451744491</v>
      </c>
      <c r="O66" s="123">
        <f t="shared" si="16"/>
        <v>3772041.3266640003</v>
      </c>
    </row>
    <row r="67" spans="1:15" ht="15.75" customHeight="1" x14ac:dyDescent="0.25">
      <c r="A67" s="26" t="s">
        <v>77</v>
      </c>
      <c r="B67" s="26" t="s">
        <v>108</v>
      </c>
      <c r="C67" s="27" t="s">
        <v>102</v>
      </c>
      <c r="D67" s="103">
        <f t="shared" si="0"/>
        <v>0.5599665188167231</v>
      </c>
      <c r="E67" s="103">
        <f t="shared" si="0"/>
        <v>2.1211549530253793</v>
      </c>
      <c r="F67" s="103">
        <f t="shared" si="0"/>
        <v>-0.1970710737416016</v>
      </c>
      <c r="G67" s="19">
        <f t="shared" si="5"/>
        <v>4.2010544214767336</v>
      </c>
      <c r="H67" s="58">
        <f>VLOOKUP(A67,הכשרה!A:G,4,0)+VLOOKUP('תפוקה מצטברת מול אשתקד'!A67,מגדל!A:G,4,0)+VLOOKUP('תפוקה מצטברת מול אשתקד'!A67,מנורה!A:G,4,0)+VLOOKUP('תפוקה מצטברת מול אשתקד'!A67,איילון!A:G,4,0)+VLOOKUP('תפוקה מצטברת מול אשתקד'!A67,הראל!A:G,4,0)+VLOOKUP('תפוקה מצטברת מול אשתקד'!A67,הפניקס!A:G,4,0)+VLOOKUP('תפוקה מצטברת מול אשתקד'!A67,כלל!A:G,4,0)+VLOOKUP('תפוקה מצטברת מול אשתקד'!A67,מור!A:G,4,0)+VLOOKUP('תפוקה מצטברת מול אשתקד'!A67,'אלטשולר שחם'!A:G,4,0)+VLOOKUP('תפוקה מצטברת מול אשתקד'!A67,'מדיהו '!A:G,4,0)+VLOOKUP('תפוקה מצטברת מול אשתקד'!A67,'אנליסט '!A:G,4,0)+VLOOKUP('תפוקה מצטברת מול אשתקד'!A67,'מיטב דש'!A:G,4,0)+VLOOKUP('תפוקה מצטברת מול אשתקד'!A67,אינפניטי!A:G,4,0)</f>
        <v>252868.82745332865</v>
      </c>
      <c r="I67" s="58">
        <f>VLOOKUP(A67,הכשרה!A:G,5,0)+VLOOKUP('תפוקה מצטברת מול אשתקד'!A67,מגדל!A:G,5,0)+VLOOKUP('תפוקה מצטברת מול אשתקד'!A67,מנורה!A:G,5,0)+VLOOKUP('תפוקה מצטברת מול אשתקד'!A67,איילון!A:G,5,0)+VLOOKUP('תפוקה מצטברת מול אשתקד'!A67,הראל!A:G,5,0)+VLOOKUP('תפוקה מצטברת מול אשתקד'!A67,הפניקס!A:G,5,0)+VLOOKUP('תפוקה מצטברת מול אשתקד'!A67,כלל!A:G,5,0)+VLOOKUP('תפוקה מצטברת מול אשתקד'!A67,מור!A:G,5,0)+VLOOKUP('תפוקה מצטברת מול אשתקד'!A67,'אלטשולר שחם'!A:G,5,0)+VLOOKUP('תפוקה מצטברת מול אשתקד'!A67,'מדיהו '!A:G,5,0)+VLOOKUP('תפוקה מצטברת מול אשתקד'!A67,'אנליסט '!A:G,5,0)+VLOOKUP('תפוקה מצטברת מול אשתקד'!A67,'מיטב דש'!A:G,5,0)+VLOOKUP('תפוקה מצטברת מול אשתקד'!A67,אינפניטי!A:G,5,0)</f>
        <v>21673.205082197557</v>
      </c>
      <c r="J67" s="58">
        <f>VLOOKUP(A67,הכשרה!A:G,6,0)+VLOOKUP('תפוקה מצטברת מול אשתקד'!A67,מגדל!A:G,6,0)+VLOOKUP('תפוקה מצטברת מול אשתקד'!A67,מנורה!A:G,6,0)+VLOOKUP('תפוקה מצטברת מול אשתקד'!A67,איילון!A:G,6,0)+VLOOKUP(A67,הראל!A:G,6,0)+VLOOKUP('תפוקה מצטברת מול אשתקד'!A67,הפניקס!A:G,6,0)+VLOOKUP('תפוקה מצטברת מול אשתקד'!A67,כלל!A:G,6,0)+VLOOKUP('תפוקה מצטברת מול אשתקד'!A67,מור!A:G,6,0)+VLOOKUP('תפוקה מצטברת מול אשתקד'!A67,'אלטשולר שחם'!A:G,6,0)+VLOOKUP('תפוקה מצטברת מול אשתקד'!A67,'מדיהו '!A:G,6,0)+VLOOKUP('תפוקה מצטברת מול אשתקד'!A67,'אנליסט '!A:G,6,0)+VLOOKUP('תפוקה מצטברת מול אשתקד'!A67,'מיטב דש'!A:G,6,0)+VLOOKUP('תפוקה מצטברת מול אשתקד'!A67,אינפניטי!A:G,6,0)</f>
        <v>3701018.6799999997</v>
      </c>
      <c r="K67" s="58">
        <f>VLOOKUP(A67,הכשרה!A:G,7,0)+VLOOKUP('תפוקה מצטברת מול אשתקד'!A67,מגדל!A:G,7,0)+VLOOKUP('תפוקה מצטברת מול אשתקד'!A67,מנורה!A:G,7,0)+VLOOKUP('תפוקה מצטברת מול אשתקד'!A67,איילון!A:G,7,0)+VLOOKUP('תפוקה מצטברת מול אשתקד'!A67,הראל!A:G,7,0)+VLOOKUP('תפוקה מצטברת מול אשתקד'!A67,הפניקס!A:G,7,0)+VLOOKUP('תפוקה מצטברת מול אשתקד'!A67,כלל!A:G,7,0)+VLOOKUP('תפוקה מצטברת מול אשתקד'!A67,מור!A:G,7,0)+VLOOKUP('תפוקה מצטברת מול אשתקד'!A67,'אלטשולר שחם'!A:G,7,0)+VLOOKUP('תפוקה מצטברת מול אשתקד'!A67,'מדיהו '!A:K,7,0)+VLOOKUP(A67,'אנליסט '!A:G,7,0)+VLOOKUP('תפוקה מצטברת מול אשתקד'!A67,'מיטב דש'!A:G,7,0)+VLOOKUP('תפוקה מצטברת מול אשתקד'!A67,אינפניטי!A:G,7,0)</f>
        <v>3874757.96</v>
      </c>
      <c r="L67" s="12">
        <f>VLOOKUP(A67,הכשרה!A:K,8,0)+VLOOKUP('תפוקה מצטברת מול אשתקד'!A67,מגדל!A:K,8,0)+VLOOKUP('תפוקה מצטברת מול אשתקד'!A67,מנורה!A:K,8,0)+VLOOKUP('תפוקה מצטברת מול אשתקד'!A67,איילון!A:K,8,0)+VLOOKUP('תפוקה מצטברת מול אשתקד'!A67,הראל!A:K,8,0)+VLOOKUP('תפוקה מצטברת מול אשתקד'!A67,הפניקס!A:K,8,0)+VLOOKUP('תפוקה מצטברת מול אשתקד'!A67,כלל!A:K,8,0)+VLOOKUP('תפוקה מצטברת מול אשתקד'!A67,מור!A:K,8,0)+VLOOKUP('תפוקה מצטברת מול אשתקד'!A67,'אלטשולר שחם'!A:K,8,0)+VLOOKUP('תפוקה מצטברת מול אשתקד'!A67,'מדיהו '!A:K,8,0)+VLOOKUP('תפוקה מצטברת מול אשתקד'!A67,'אנליסט '!A:K,8,0)+VLOOKUP('תפוקה מצטברת מול אשתקד'!A67,'מיטב דש'!A:K,8,0)+VLOOKUP('תפוקה מצטברת מול אשתקד'!A67,אינפניטי!A:K,8,0)</f>
        <v>162098.88122800001</v>
      </c>
      <c r="M67" s="12">
        <f>VLOOKUP(A67,הכשרה!A:K,9,0)+VLOOKUP('תפוקה מצטברת מול אשתקד'!A67,מגדל!A:K,9,0)+VLOOKUP('תפוקה מצטברת מול אשתקד'!A67,מנורה!A:K,9,0)+VLOOKUP('תפוקה מצטברת מול אשתקד'!A67,איילון!A:K,9,0)+VLOOKUP('תפוקה מצטברת מול אשתקד'!A67,הראל!A:K,9,0)+VLOOKUP('תפוקה מצטברת מול אשתקד'!A67,הפניקס!A:K,9,0)+VLOOKUP('תפוקה מצטברת מול אשתקד'!A67,כלל!A:K,9,0)+VLOOKUP('תפוקה מצטברת מול אשתקד'!A67,מור!A:K,9,0)+VLOOKUP('תפוקה מצטברת מול אשתקד'!A67,'אלטשולר שחם'!A:K,9,0)+VLOOKUP('תפוקה מצטברת מול אשתקד'!A67,'מדיהו '!A:K,9,0)+VLOOKUP('תפוקה מצטברת מול אשתקד'!A67,'אנליסט '!A:K,9,0)+VLOOKUP('תפוקה מצטברת מול אשתקד'!A67,'מיטב דש'!A:K,9,0)+VLOOKUP('תפוקה מצטברת מול אשתקד'!A67,אינפניטי!A:K,9,0)</f>
        <v>6943.9695908687318</v>
      </c>
      <c r="N67" s="12">
        <f>VLOOKUP(A67,הכשרה!A:K,10,0)+VLOOKUP('תפוקה מצטברת מול אשתקד'!A67,מגדל!A:K,10,0)+VLOOKUP('תפוקה מצטברת מול אשתקד'!A67,מנורה!A:K,10,0)+VLOOKUP('תפוקה מצטברת מול אשתקד'!A67,איילון!A:K,10,0)+VLOOKUP('תפוקה מצטברת מול אשתקד'!A67,הראל!A:K,10,0)+VLOOKUP('תפוקה מצטברת מול אשתקד'!A67,הפניקס!A:K,10,0)+VLOOKUP('תפוקה מצטברת מול אשתקד'!A67,כלל!A:K,10,0)+VLOOKUP('תפוקה מצטברת מול אשתקד'!A67,מור!A:K,10,0)+VLOOKUP('תפוקה מצטברת מול אשתקד'!A67,'אלטשולר שחם'!A:K,10,0)+VLOOKUP('תפוקה מצטברת מול אשתקד'!A67,'מדיהו '!A:K,10,0)+VLOOKUP('תפוקה מצטברת מול אשתקד'!A67,'אנליסט '!A:K,10,0)+VLOOKUP('תפוקה מצטברת מול אשתקד'!A67,'מיטב דש'!A:K,10,0)+VLOOKUP('תפוקה מצטברת מול אשתקד'!A67,אינפניטי!A:K,10,0)</f>
        <v>4609397.6178520918</v>
      </c>
      <c r="O67" s="12">
        <f>VLOOKUP(A67,הכשרה!A:K,11,0)+VLOOKUP('תפוקה מצטברת מול אשתקד'!A67,מגדל!A:K,11,0)+VLOOKUP('תפוקה מצטברת מול אשתקד'!A67,מנורה!A:K,11,0)+VLOOKUP('תפוקה מצטברת מול אשתקד'!A67,איילון!A:K,11,0)+VLOOKUP('תפוקה מצטברת מול אשתקד'!A67,הראל!A:K,11,0)+VLOOKUP('תפוקה מצטברת מול אשתקד'!A67,הפניקס!A:K,11,0)+VLOOKUP('תפוקה מצטברת מול אשתקד'!A67,כלל!A:K,11,0)+VLOOKUP('תפוקה מצטברת מול אשתקד'!A67,מור!A:K,11,0)+VLOOKUP('תפוקה מצטברת מול אשתקד'!A67,'אלטשולר שחם'!A:K,11,0)+VLOOKUP('תפוקה מצטברת מול אשתקד'!A67,'מדיהו '!A:K,11,0)+VLOOKUP('תפוקה מצטברת מול אשתקד'!A67,'אנליסט '!A:K,11,0)+VLOOKUP('תפוקה מצטברת מול אשתקד'!A67,'מיטב דש'!A:K,11,0)+VLOOKUP('תפוקה מצטברת מול אשתקד'!A67,אינפניטי!A:K,11,0)</f>
        <v>744994.69646000001</v>
      </c>
    </row>
    <row r="68" spans="1:15" ht="15.75" customHeight="1" x14ac:dyDescent="0.25">
      <c r="A68" s="30" t="s">
        <v>40</v>
      </c>
      <c r="B68" s="26" t="s">
        <v>56</v>
      </c>
      <c r="C68" s="26" t="s">
        <v>103</v>
      </c>
      <c r="D68" s="19">
        <f t="shared" si="0"/>
        <v>0.42468132694230709</v>
      </c>
      <c r="E68" s="19">
        <f t="shared" si="0"/>
        <v>0.1639250055072512</v>
      </c>
      <c r="F68" s="19">
        <f t="shared" si="0"/>
        <v>0.60891584795928844</v>
      </c>
      <c r="G68" s="19">
        <f t="shared" si="5"/>
        <v>-0.10858813127642297</v>
      </c>
      <c r="H68" s="58">
        <f>VLOOKUP(A68,הכשרה!A:G,4,0)+VLOOKUP('תפוקה מצטברת מול אשתקד'!A68,מגדל!A:G,4,0)+VLOOKUP('תפוקה מצטברת מול אשתקד'!A68,מנורה!A:G,4,0)+VLOOKUP('תפוקה מצטברת מול אשתקד'!A68,איילון!A:G,4,0)+VLOOKUP('תפוקה מצטברת מול אשתקד'!A68,הראל!A:G,4,0)+VLOOKUP('תפוקה מצטברת מול אשתקד'!A68,הפניקס!A:G,4,0)+VLOOKUP('תפוקה מצטברת מול אשתקד'!A68,כלל!A:G,4,0)+VLOOKUP('תפוקה מצטברת מול אשתקד'!A68,מור!A:G,4,0)+VLOOKUP('תפוקה מצטברת מול אשתקד'!A68,'אלטשולר שחם'!A:G,4,0)+VLOOKUP('תפוקה מצטברת מול אשתקד'!A68,'מדיהו '!A:G,4,0)+VLOOKUP('תפוקה מצטברת מול אשתקד'!A68,'אנליסט '!A:G,4,0)+VLOOKUP('תפוקה מצטברת מול אשתקד'!A68,'מיטב דש'!A:G,4,0)+VLOOKUP('תפוקה מצטברת מול אשתקד'!A68,אינפניטי!A:G,4,0)</f>
        <v>1588048.8193757138</v>
      </c>
      <c r="I68" s="58">
        <f>VLOOKUP(A68,הכשרה!A:G,5,0)+VLOOKUP('תפוקה מצטברת מול אשתקד'!A68,מגדל!A:G,5,0)+VLOOKUP('תפוקה מצטברת מול אשתקד'!A68,מנורה!A:G,5,0)+VLOOKUP('תפוקה מצטברת מול אשתקד'!A68,איילון!A:G,5,0)+VLOOKUP('תפוקה מצטברת מול אשתקד'!A68,הראל!A:G,5,0)+VLOOKUP('תפוקה מצטברת מול אשתקד'!A68,הפניקס!A:G,5,0)+VLOOKUP('תפוקה מצטברת מול אשתקד'!A68,כלל!A:G,5,0)+VLOOKUP('תפוקה מצטברת מול אשתקד'!A68,מור!A:G,5,0)+VLOOKUP('תפוקה מצטברת מול אשתקד'!A68,'אלטשולר שחם'!A:G,5,0)+VLOOKUP('תפוקה מצטברת מול אשתקד'!A68,'מדיהו '!A:G,5,0)+VLOOKUP('תפוקה מצטברת מול אשתקד'!A68,'אנליסט '!A:G,5,0)+VLOOKUP('תפוקה מצטברת מול אשתקד'!A68,'מיטב דש'!A:G,5,0)+VLOOKUP('תפוקה מצטברת מול אשתקד'!A68,אינפניטי!A:G,5,0)</f>
        <v>330170.12099999998</v>
      </c>
      <c r="J68" s="58">
        <f>VLOOKUP(A68,הכשרה!A:G,6,0)+VLOOKUP('תפוקה מצטברת מול אשתקד'!A68,מגדל!A:G,6,0)+VLOOKUP('תפוקה מצטברת מול אשתקד'!A68,מנורה!A:G,6,0)+VLOOKUP('תפוקה מצטברת מול אשתקד'!A68,איילון!A:G,6,0)+VLOOKUP(A68,הראל!A:G,6,0)+VLOOKUP('תפוקה מצטברת מול אשתקד'!A68,הפניקס!A:G,6,0)+VLOOKUP('תפוקה מצטברת מול אשתקד'!A68,כלל!A:G,6,0)+VLOOKUP('תפוקה מצטברת מול אשתקד'!A68,מור!A:G,6,0)+VLOOKUP('תפוקה מצטברת מול אשתקד'!A68,'אלטשולר שחם'!A:G,6,0)+VLOOKUP('תפוקה מצטברת מול אשתקד'!A68,'מדיהו '!A:G,6,0)+VLOOKUP('תפוקה מצטברת מול אשתקד'!A68,'אנליסט '!A:G,6,0)+VLOOKUP('תפוקה מצטברת מול אשתקד'!A68,'מיטב דש'!A:G,6,0)+VLOOKUP('תפוקה מצטברת מול אשתקד'!A68,אינפניטי!A:G,6,0)</f>
        <v>3243356.45</v>
      </c>
      <c r="K68" s="58">
        <f>VLOOKUP(A68,הכשרה!A:G,7,0)+VLOOKUP('תפוקה מצטברת מול אשתקד'!A68,מגדל!A:G,7,0)+VLOOKUP('תפוקה מצטברת מול אשתקד'!A68,מנורה!A:G,7,0)+VLOOKUP('תפוקה מצטברת מול אשתקד'!A68,איילון!A:G,7,0)+VLOOKUP('תפוקה מצטברת מול אשתקד'!A68,הראל!A:G,7,0)+VLOOKUP('תפוקה מצטברת מול אשתקד'!A68,הפניקס!A:G,7,0)+VLOOKUP('תפוקה מצטברת מול אשתקד'!A68,כלל!A:G,7,0)+VLOOKUP('תפוקה מצטברת מול אשתקד'!A68,מור!A:G,7,0)+VLOOKUP('תפוקה מצטברת מול אשתקד'!A68,'אלטשולר שחם'!A:G,7,0)+VLOOKUP('תפוקה מצטברת מול אשתקד'!A68,'מדיהו '!A:K,7,0)+VLOOKUP(A68,'אנליסט '!A:G,7,0)+VLOOKUP('תפוקה מצטברת מול אשתקד'!A68,'מיטב דש'!A:G,7,0)+VLOOKUP('תפוקה מצטברת מול אשתקד'!A68,אינפניטי!A:G,7,0)</f>
        <v>6933016.1899999995</v>
      </c>
      <c r="L68" s="12">
        <f>VLOOKUP(A68,הכשרה!A:K,8,0)+VLOOKUP('תפוקה מצטברת מול אשתקד'!A68,מגדל!A:K,8,0)+VLOOKUP('תפוקה מצטברת מול אשתקד'!A68,מנורה!A:K,8,0)+VLOOKUP('תפוקה מצטברת מול אשתקד'!A68,איילון!A:K,8,0)+VLOOKUP('תפוקה מצטברת מול אשתקד'!A68,הראל!A:K,8,0)+VLOOKUP('תפוקה מצטברת מול אשתקד'!A68,הפניקס!A:K,8,0)+VLOOKUP('תפוקה מצטברת מול אשתקד'!A68,כלל!A:K,8,0)+VLOOKUP('תפוקה מצטברת מול אשתקד'!A68,מור!A:K,8,0)+VLOOKUP('תפוקה מצטברת מול אשתקד'!A68,'אלטשולר שחם'!A:K,8,0)+VLOOKUP('תפוקה מצטברת מול אשתקד'!A68,'מדיהו '!A:K,8,0)+VLOOKUP('תפוקה מצטברת מול אשתקד'!A68,'אנליסט '!A:K,8,0)+VLOOKUP('תפוקה מצטברת מול אשתקד'!A68,'מיטב דש'!A:K,8,0)+VLOOKUP('תפוקה מצטברת מול אשתקד'!A68,אינפניטי!A:K,8,0)</f>
        <v>1114669.497903809</v>
      </c>
      <c r="M68" s="12">
        <f>VLOOKUP(A68,הכשרה!A:K,9,0)+VLOOKUP('תפוקה מצטברת מול אשתקד'!A68,מגדל!A:K,9,0)+VLOOKUP('תפוקה מצטברת מול אשתקד'!A68,מנורה!A:K,9,0)+VLOOKUP('תפוקה מצטברת מול אשתקד'!A68,איילון!A:K,9,0)+VLOOKUP('תפוקה מצטברת מול אשתקד'!A68,הראל!A:K,9,0)+VLOOKUP('תפוקה מצטברת מול אשתקד'!A68,הפניקס!A:K,9,0)+VLOOKUP('תפוקה מצטברת מול אשתקד'!A68,כלל!A:K,9,0)+VLOOKUP('תפוקה מצטברת מול אשתקד'!A68,מור!A:K,9,0)+VLOOKUP('תפוקה מצטברת מול אשתקד'!A68,'אלטשולר שחם'!A:K,9,0)+VLOOKUP('תפוקה מצטברת מול אשתקד'!A68,'מדיהו '!A:K,9,0)+VLOOKUP('תפוקה מצטברת מול אשתקד'!A68,'אנליסט '!A:K,9,0)+VLOOKUP('תפוקה מצטברת מול אשתקד'!A68,'מיטב דש'!A:K,9,0)+VLOOKUP('תפוקה מצטברת מול אשתקד'!A68,אינפניטי!A:K,9,0)</f>
        <v>283669.58303822012</v>
      </c>
      <c r="N68" s="12">
        <f>VLOOKUP(A68,הכשרה!A:K,10,0)+VLOOKUP('תפוקה מצטברת מול אשתקד'!A68,מגדל!A:K,10,0)+VLOOKUP('תפוקה מצטברת מול אשתקד'!A68,מנורה!A:K,10,0)+VLOOKUP('תפוקה מצטברת מול אשתקד'!A68,איילון!A:K,10,0)+VLOOKUP('תפוקה מצטברת מול אשתקד'!A68,הראל!A:K,10,0)+VLOOKUP('תפוקה מצטברת מול אשתקד'!A68,הפניקס!A:K,10,0)+VLOOKUP('תפוקה מצטברת מול אשתקד'!A68,כלל!A:K,10,0)+VLOOKUP('תפוקה מצטברת מול אשתקד'!A68,מור!A:K,10,0)+VLOOKUP('תפוקה מצטברת מול אשתקד'!A68,'אלטשולר שחם'!A:K,10,0)+VLOOKUP('תפוקה מצטברת מול אשתקד'!A68,'מדיהו '!A:K,10,0)+VLOOKUP('תפוקה מצטברת מול אשתקד'!A68,'אנליסט '!A:K,10,0)+VLOOKUP('תפוקה מצטברת מול אשתקד'!A68,'מיטב דש'!A:K,10,0)+VLOOKUP('תפוקה מצטברת מול אשתקד'!A68,אינפניטי!A:K,10,0)</f>
        <v>2015864.5675059999</v>
      </c>
      <c r="O68" s="12">
        <f>VLOOKUP(A68,הכשרה!A:K,11,0)+VLOOKUP('תפוקה מצטברת מול אשתקד'!A68,מגדל!A:K,11,0)+VLOOKUP('תפוקה מצטברת מול אשתקד'!A68,מנורה!A:K,11,0)+VLOOKUP('תפוקה מצטברת מול אשתקד'!A68,איילון!A:K,11,0)+VLOOKUP('תפוקה מצטברת מול אשתקד'!A68,הראל!A:K,11,0)+VLOOKUP('תפוקה מצטברת מול אשתקד'!A68,הפניקס!A:K,11,0)+VLOOKUP('תפוקה מצטברת מול אשתקד'!A68,כלל!A:K,11,0)+VLOOKUP('תפוקה מצטברת מול אשתקד'!A68,מור!A:K,11,0)+VLOOKUP('תפוקה מצטברת מול אשתקד'!A68,'אלטשולר שחם'!A:K,11,0)+VLOOKUP('תפוקה מצטברת מול אשתקד'!A68,'מדיהו '!A:K,11,0)+VLOOKUP('תפוקה מצטברת מול אשתקד'!A68,'אנליסט '!A:K,11,0)+VLOOKUP('תפוקה מצטברת מול אשתקד'!A68,'מיטב דש'!A:K,11,0)+VLOOKUP('תפוקה מצטברת מול אשתקד'!A68,אינפניטי!A:K,11,0)</f>
        <v>7777567.7363679996</v>
      </c>
    </row>
    <row r="69" spans="1:15" ht="15.75" customHeight="1" x14ac:dyDescent="0.25">
      <c r="A69" s="26" t="s">
        <v>90</v>
      </c>
      <c r="B69" s="26" t="s">
        <v>108</v>
      </c>
      <c r="C69" s="26" t="s">
        <v>103</v>
      </c>
      <c r="D69" s="19">
        <f t="shared" si="0"/>
        <v>0</v>
      </c>
      <c r="E69" s="19">
        <f t="shared" si="0"/>
        <v>-1.0730498587142154</v>
      </c>
      <c r="F69" s="19">
        <f t="shared" si="0"/>
        <v>-0.86497392619848146</v>
      </c>
      <c r="G69" s="19">
        <f t="shared" si="5"/>
        <v>0</v>
      </c>
      <c r="H69" s="58">
        <f>VLOOKUP(A69,הכשרה!A:G,4,0)+VLOOKUP('תפוקה מצטברת מול אשתקד'!A69,מגדל!A:G,4,0)+VLOOKUP('תפוקה מצטברת מול אשתקד'!A69,מנורה!A:G,4,0)+VLOOKUP('תפוקה מצטברת מול אשתקד'!A69,איילון!A:G,4,0)+VLOOKUP('תפוקה מצטברת מול אשתקד'!A69,הראל!A:G,4,0)+VLOOKUP('תפוקה מצטברת מול אשתקד'!A69,הפניקס!A:G,4,0)+VLOOKUP('תפוקה מצטברת מול אשתקד'!A69,כלל!A:G,4,0)+VLOOKUP('תפוקה מצטברת מול אשתקד'!A69,מור!A:G,4,0)+VLOOKUP('תפוקה מצטברת מול אשתקד'!A69,'אלטשולר שחם'!A:G,4,0)+VLOOKUP('תפוקה מצטברת מול אשתקד'!A69,'מדיהו '!A:G,4,0)+VLOOKUP('תפוקה מצטברת מול אשתקד'!A69,'אנליסט '!A:G,4,0)+VLOOKUP('תפוקה מצטברת מול אשתקד'!A69,'מיטב דש'!A:G,4,0)+VLOOKUP('תפוקה מצטברת מול אשתקד'!A69,אינפניטי!A:G,4,0)</f>
        <v>0</v>
      </c>
      <c r="I69" s="58">
        <f>VLOOKUP(A69,הכשרה!A:G,5,0)+VLOOKUP('תפוקה מצטברת מול אשתקד'!A69,מגדל!A:G,5,0)+VLOOKUP('תפוקה מצטברת מול אשתקד'!A69,מנורה!A:G,5,0)+VLOOKUP('תפוקה מצטברת מול אשתקד'!A69,איילון!A:G,5,0)+VLOOKUP('תפוקה מצטברת מול אשתקד'!A69,הראל!A:G,5,0)+VLOOKUP('תפוקה מצטברת מול אשתקד'!A69,הפניקס!A:G,5,0)+VLOOKUP('תפוקה מצטברת מול אשתקד'!A69,כלל!A:G,5,0)+VLOOKUP('תפוקה מצטברת מול אשתקד'!A69,מור!A:G,5,0)+VLOOKUP('תפוקה מצטברת מול אשתקד'!A69,'אלטשולר שחם'!A:G,5,0)+VLOOKUP('תפוקה מצטברת מול אשתקד'!A69,'מדיהו '!A:G,5,0)+VLOOKUP('תפוקה מצטברת מול אשתקד'!A69,'אנליסט '!A:G,5,0)+VLOOKUP('תפוקה מצטברת מול אשתקד'!A69,'מיטב דש'!A:G,5,0)+VLOOKUP('תפוקה מצטברת מול אשתקד'!A69,אינפניטי!A:G,5,0)</f>
        <v>-1563.3605168282938</v>
      </c>
      <c r="J69" s="58">
        <f>VLOOKUP(A69,הכשרה!A:G,6,0)+VLOOKUP('תפוקה מצטברת מול אשתקד'!A69,מגדל!A:G,6,0)+VLOOKUP('תפוקה מצטברת מול אשתקד'!A69,מנורה!A:G,6,0)+VLOOKUP('תפוקה מצטברת מול אשתקד'!A69,איילון!A:G,6,0)+VLOOKUP(A69,הראל!A:G,6,0)+VLOOKUP('תפוקה מצטברת מול אשתקד'!A69,הפניקס!A:G,6,0)+VLOOKUP('תפוקה מצטברת מול אשתקד'!A69,כלל!A:G,6,0)+VLOOKUP('תפוקה מצטברת מול אשתקד'!A69,מור!A:G,6,0)+VLOOKUP('תפוקה מצטברת מול אשתקד'!A69,'אלטשולר שחם'!A:G,6,0)+VLOOKUP('תפוקה מצטברת מול אשתקד'!A69,'מדיהו '!A:G,6,0)+VLOOKUP('תפוקה מצטברת מול אשתקד'!A69,'אנליסט '!A:G,6,0)+VLOOKUP('תפוקה מצטברת מול אשתקד'!A69,'מיטב דש'!A:G,6,0)+VLOOKUP('תפוקה מצטברת מול אשתקד'!A69,אינפניטי!A:G,6,0)</f>
        <v>10532</v>
      </c>
      <c r="K69" s="58">
        <f>VLOOKUP(A69,הכשרה!A:G,7,0)+VLOOKUP('תפוקה מצטברת מול אשתקד'!A69,מגדל!A:G,7,0)+VLOOKUP('תפוקה מצטברת מול אשתקד'!A69,מנורה!A:G,7,0)+VLOOKUP('תפוקה מצטברת מול אשתקד'!A69,איילון!A:G,7,0)+VLOOKUP('תפוקה מצטברת מול אשתקד'!A69,הראל!A:G,7,0)+VLOOKUP('תפוקה מצטברת מול אשתקד'!A69,הפניקס!A:G,7,0)+VLOOKUP('תפוקה מצטברת מול אשתקד'!A69,כלל!A:G,7,0)+VLOOKUP('תפוקה מצטברת מול אשתקד'!A69,מור!A:G,7,0)+VLOOKUP('תפוקה מצטברת מול אשתקד'!A69,'אלטשולר שחם'!A:G,7,0)+VLOOKUP('תפוקה מצטברת מול אשתקד'!A69,'מדיהו '!A:K,7,0)+VLOOKUP(A69,'אנליסט '!A:G,7,0)+VLOOKUP('תפוקה מצטברת מול אשתקד'!A69,'מיטב דש'!A:G,7,0)+VLOOKUP('תפוקה מצטברת מול אשתקד'!A69,אינפניטי!A:G,7,0)</f>
        <v>0</v>
      </c>
      <c r="L69" s="12">
        <f>VLOOKUP(A69,הכשרה!A:K,8,0)+VLOOKUP('תפוקה מצטברת מול אשתקד'!A69,מגדל!A:K,8,0)+VLOOKUP('תפוקה מצטברת מול אשתקד'!A69,מנורה!A:K,8,0)+VLOOKUP('תפוקה מצטברת מול אשתקד'!A69,איילון!A:K,8,0)+VLOOKUP('תפוקה מצטברת מול אשתקד'!A69,הראל!A:K,8,0)+VLOOKUP('תפוקה מצטברת מול אשתקד'!A69,הפניקס!A:K,8,0)+VLOOKUP('תפוקה מצטברת מול אשתקד'!A69,כלל!A:K,8,0)+VLOOKUP('תפוקה מצטברת מול אשתקד'!A69,מור!A:K,8,0)+VLOOKUP('תפוקה מצטברת מול אשתקד'!A69,'אלטשולר שחם'!A:K,8,0)+VLOOKUP('תפוקה מצטברת מול אשתקד'!A69,'מדיהו '!A:K,8,0)+VLOOKUP('תפוקה מצטברת מול אשתקד'!A69,'אנליסט '!A:K,8,0)+VLOOKUP('תפוקה מצטברת מול אשתקד'!A69,'מיטב דש'!A:K,8,0)+VLOOKUP('תפוקה מצטברת מול אשתקד'!A69,אינפניטי!A:K,8,0)</f>
        <v>53674.049999999996</v>
      </c>
      <c r="M69" s="12">
        <f>VLOOKUP(A69,הכשרה!A:K,9,0)+VLOOKUP('תפוקה מצטברת מול אשתקד'!A69,מגדל!A:K,9,0)+VLOOKUP('תפוקה מצטברת מול אשתקד'!A69,מנורה!A:K,9,0)+VLOOKUP('תפוקה מצטברת מול אשתקד'!A69,איילון!A:K,9,0)+VLOOKUP('תפוקה מצטברת מול אשתקד'!A69,הראל!A:K,9,0)+VLOOKUP('תפוקה מצטברת מול אשתקד'!A69,הפניקס!A:K,9,0)+VLOOKUP('תפוקה מצטברת מול אשתקד'!A69,כלל!A:K,9,0)+VLOOKUP('תפוקה מצטברת מול אשתקד'!A69,מור!A:K,9,0)+VLOOKUP('תפוקה מצטברת מול אשתקד'!A69,'אלטשולר שחם'!A:K,9,0)+VLOOKUP('תפוקה מצטברת מול אשתקד'!A69,'מדיהו '!A:K,9,0)+VLOOKUP('תפוקה מצטברת מול אשתקד'!A69,'אנליסט '!A:K,9,0)+VLOOKUP('תפוקה מצטברת מול אשתקד'!A69,'מיטב דש'!A:K,9,0)+VLOOKUP('תפוקה מצטברת מול אשתקד'!A69,אינפניטי!A:K,9,0)</f>
        <v>21401.280500000001</v>
      </c>
      <c r="N69" s="12">
        <f>VLOOKUP(A69,הכשרה!A:K,10,0)+VLOOKUP('תפוקה מצטברת מול אשתקד'!A69,מגדל!A:K,10,0)+VLOOKUP('תפוקה מצטברת מול אשתקד'!A69,מנורה!A:K,10,0)+VLOOKUP('תפוקה מצטברת מול אשתקד'!A69,איילון!A:K,10,0)+VLOOKUP('תפוקה מצטברת מול אשתקד'!A69,הראל!A:K,10,0)+VLOOKUP('תפוקה מצטברת מול אשתקד'!A69,הפניקס!A:K,10,0)+VLOOKUP('תפוקה מצטברת מול אשתקד'!A69,כלל!A:K,10,0)+VLOOKUP('תפוקה מצטברת מול אשתקד'!A69,מור!A:K,10,0)+VLOOKUP('תפוקה מצטברת מול אשתקד'!A69,'אלטשולר שחם'!A:K,10,0)+VLOOKUP('תפוקה מצטברת מול אשתקד'!A69,'מדיהו '!A:K,10,0)+VLOOKUP('תפוקה מצטברת מול אשתקד'!A69,'אנליסט '!A:K,10,0)+VLOOKUP('תפוקה מצטברת מול אשתקד'!A69,'מיטב דש'!A:K,10,0)+VLOOKUP('תפוקה מצטברת מול אשתקד'!A69,אינפניטי!A:K,10,0)</f>
        <v>77999.75</v>
      </c>
      <c r="O69" s="12">
        <f>VLOOKUP(A69,הכשרה!A:K,11,0)+VLOOKUP('תפוקה מצטברת מול אשתקד'!A69,מגדל!A:K,11,0)+VLOOKUP('תפוקה מצטברת מול אשתקד'!A69,מנורה!A:K,11,0)+VLOOKUP('תפוקה מצטברת מול אשתקד'!A69,איילון!A:K,11,0)+VLOOKUP('תפוקה מצטברת מול אשתקד'!A69,הראל!A:K,11,0)+VLOOKUP('תפוקה מצטברת מול אשתקד'!A69,הפניקס!A:K,11,0)+VLOOKUP('תפוקה מצטברת מול אשתקד'!A69,כלל!A:K,11,0)+VLOOKUP('תפוקה מצטברת מול אשתקד'!A69,מור!A:K,11,0)+VLOOKUP('תפוקה מצטברת מול אשתקד'!A69,'אלטשולר שחם'!A:K,11,0)+VLOOKUP('תפוקה מצטברת מול אשתקד'!A69,'מדיהו '!A:K,11,0)+VLOOKUP('תפוקה מצטברת מול אשתקד'!A69,'אנליסט '!A:K,11,0)+VLOOKUP('תפוקה מצטברת מול אשתקד'!A69,'מיטב דש'!A:K,11,0)+VLOOKUP('תפוקה מצטברת מול אשתקד'!A69,אינפניטי!A:K,11,0)</f>
        <v>257608.98</v>
      </c>
    </row>
    <row r="70" spans="1:15" ht="15.75" customHeight="1" x14ac:dyDescent="0.25">
      <c r="A70" s="26" t="s">
        <v>92</v>
      </c>
      <c r="B70" s="26" t="s">
        <v>56</v>
      </c>
      <c r="C70" s="26" t="s">
        <v>103</v>
      </c>
      <c r="D70" s="19">
        <f t="shared" ref="D70:F76" si="17">IF(H70=0,0%,IF(L70=0,100%,H70/L70-1))</f>
        <v>6.8963674801018655</v>
      </c>
      <c r="E70" s="19">
        <f t="shared" si="17"/>
        <v>-1.1045939729292851</v>
      </c>
      <c r="F70" s="19">
        <f t="shared" si="17"/>
        <v>0.25040874844008232</v>
      </c>
      <c r="G70" s="19">
        <f t="shared" si="5"/>
        <v>16.24693334697427</v>
      </c>
      <c r="H70" s="58">
        <f>VLOOKUP(A70,הכשרה!A:G,4,0)+VLOOKUP('תפוקה מצטברת מול אשתקד'!A70,מגדל!A:G,4,0)+VLOOKUP('תפוקה מצטברת מול אשתקד'!A70,מנורה!A:G,4,0)+VLOOKUP('תפוקה מצטברת מול אשתקד'!A70,איילון!A:G,4,0)+VLOOKUP('תפוקה מצטברת מול אשתקד'!A70,הראל!A:G,4,0)+VLOOKUP('תפוקה מצטברת מול אשתקד'!A70,הפניקס!A:G,4,0)+VLOOKUP('תפוקה מצטברת מול אשתקד'!A70,כלל!A:G,4,0)+VLOOKUP('תפוקה מצטברת מול אשתקד'!A70,מור!A:G,4,0)+VLOOKUP('תפוקה מצטברת מול אשתקד'!A70,'אלטשולר שחם'!A:G,4,0)+VLOOKUP('תפוקה מצטברת מול אשתקד'!A70,'מדיהו '!A:G,4,0)+VLOOKUP('תפוקה מצטברת מול אשתקד'!A70,'אנליסט '!A:G,4,0)+VLOOKUP('תפוקה מצטברת מול אשתקד'!A70,'מיטב דש'!A:G,4,0)+VLOOKUP('תפוקה מצטברת מול אשתקד'!A70,אינפניטי!A:G,4,0)</f>
        <v>122663.12</v>
      </c>
      <c r="I70" s="58">
        <f>VLOOKUP(A70,הכשרה!A:G,5,0)+VLOOKUP('תפוקה מצטברת מול אשתקד'!A70,מגדל!A:G,5,0)+VLOOKUP('תפוקה מצטברת מול אשתקד'!A70,מנורה!A:G,5,0)+VLOOKUP('תפוקה מצטברת מול אשתקד'!A70,איילון!A:G,5,0)+VLOOKUP('תפוקה מצטברת מול אשתקד'!A70,הראל!A:G,5,0)+VLOOKUP('תפוקה מצטברת מול אשתקד'!A70,הפניקס!A:G,5,0)+VLOOKUP('תפוקה מצטברת מול אשתקד'!A70,כלל!A:G,5,0)+VLOOKUP('תפוקה מצטברת מול אשתקד'!A70,מור!A:G,5,0)+VLOOKUP('תפוקה מצטברת מול אשתקד'!A70,'אלטשולר שחם'!A:G,5,0)+VLOOKUP('תפוקה מצטברת מול אשתקד'!A70,'מדיהו '!A:G,5,0)+VLOOKUP('תפוקה מצטברת מול אשתקד'!A70,'אנליסט '!A:G,5,0)+VLOOKUP('תפוקה מצטברת מול אשתקד'!A70,'מיטב דש'!A:G,5,0)+VLOOKUP('תפוקה מצטברת מול אשתקד'!A70,אינפניטי!A:G,5,0)</f>
        <v>-478.12349989090097</v>
      </c>
      <c r="J70" s="58">
        <f>VLOOKUP(A70,הכשרה!A:G,6,0)+VLOOKUP('תפוקה מצטברת מול אשתקד'!A70,מגדל!A:G,6,0)+VLOOKUP('תפוקה מצטברת מול אשתקד'!A70,מנורה!A:G,6,0)+VLOOKUP('תפוקה מצטברת מול אשתקד'!A70,איילון!A:G,6,0)+VLOOKUP(A70,הראל!A:G,6,0)+VLOOKUP('תפוקה מצטברת מול אשתקד'!A70,הפניקס!A:G,6,0)+VLOOKUP('תפוקה מצטברת מול אשתקד'!A70,כלל!A:G,6,0)+VLOOKUP('תפוקה מצטברת מול אשתקד'!A70,מור!A:G,6,0)+VLOOKUP('תפוקה מצטברת מול אשתקד'!A70,'אלטשולר שחם'!A:G,6,0)+VLOOKUP('תפוקה מצטברת מול אשתקד'!A70,'מדיהו '!A:G,6,0)+VLOOKUP('תפוקה מצטברת מול אשתקד'!A70,'אנליסט '!A:G,6,0)+VLOOKUP('תפוקה מצטברת מול אשתקד'!A70,'מיטב דש'!A:G,6,0)+VLOOKUP('תפוקה מצטברת מול אשתקד'!A70,אינפניטי!A:G,6,0)</f>
        <v>44969</v>
      </c>
      <c r="K70" s="58">
        <f>VLOOKUP(A70,הכשרה!A:G,7,0)+VLOOKUP('תפוקה מצטברת מול אשתקד'!A70,מגדל!A:G,7,0)+VLOOKUP('תפוקה מצטברת מול אשתקד'!A70,מנורה!A:G,7,0)+VLOOKUP('תפוקה מצטברת מול אשתקד'!A70,איילון!A:G,7,0)+VLOOKUP('תפוקה מצטברת מול אשתקד'!A70,הראל!A:G,7,0)+VLOOKUP('תפוקה מצטברת מול אשתקד'!A70,הפניקס!A:G,7,0)+VLOOKUP('תפוקה מצטברת מול אשתקד'!A70,כלל!A:G,7,0)+VLOOKUP('תפוקה מצטברת מול אשתקד'!A70,מור!A:G,7,0)+VLOOKUP('תפוקה מצטברת מול אשתקד'!A70,'אלטשולר שחם'!A:G,7,0)+VLOOKUP('תפוקה מצטברת מול אשתקד'!A70,'מדיהו '!A:K,7,0)+VLOOKUP(A70,'אנליסט '!A:G,7,0)+VLOOKUP('תפוקה מצטברת מול אשתקד'!A70,'מיטב דש'!A:G,7,0)+VLOOKUP('תפוקה מצטברת מול אשתקד'!A70,אינפניטי!A:G,7,0)</f>
        <v>1517221.35</v>
      </c>
      <c r="L70" s="12">
        <f>VLOOKUP(A70,הכשרה!A:K,8,0)+VLOOKUP('תפוקה מצטברת מול אשתקד'!A70,מגדל!A:K,8,0)+VLOOKUP('תפוקה מצטברת מול אשתקד'!A70,מנורה!A:K,8,0)+VLOOKUP('תפוקה מצטברת מול אשתקד'!A70,איילון!A:K,8,0)+VLOOKUP('תפוקה מצטברת מול אשתקד'!A70,הראל!A:K,8,0)+VLOOKUP('תפוקה מצטברת מול אשתקד'!A70,הפניקס!A:K,8,0)+VLOOKUP('תפוקה מצטברת מול אשתקד'!A70,כלל!A:K,8,0)+VLOOKUP('תפוקה מצטברת מול אשתקד'!A70,מור!A:K,8,0)+VLOOKUP('תפוקה מצטברת מול אשתקד'!A70,'אלטשולר שחם'!A:K,8,0)+VLOOKUP('תפוקה מצטברת מול אשתקד'!A70,'מדיהו '!A:K,8,0)+VLOOKUP('תפוקה מצטברת מול אשתקד'!A70,'אנליסט '!A:K,8,0)+VLOOKUP('תפוקה מצטברת מול אשתקד'!A70,'מיטב דש'!A:K,8,0)+VLOOKUP('תפוקה מצטברת מול אשתקד'!A70,אינפניטי!A:K,8,0)</f>
        <v>15534.12</v>
      </c>
      <c r="M70" s="12">
        <f>VLOOKUP(A70,הכשרה!A:K,9,0)+VLOOKUP('תפוקה מצטברת מול אשתקד'!A70,מגדל!A:K,9,0)+VLOOKUP('תפוקה מצטברת מול אשתקד'!A70,מנורה!A:K,9,0)+VLOOKUP('תפוקה מצטברת מול אשתקד'!A70,איילון!A:K,9,0)+VLOOKUP('תפוקה מצטברת מול אשתקד'!A70,הראל!A:K,9,0)+VLOOKUP('תפוקה מצטברת מול אשתקד'!A70,הפניקס!A:K,9,0)+VLOOKUP('תפוקה מצטברת מול אשתקד'!A70,כלל!A:K,9,0)+VLOOKUP('תפוקה מצטברת מול אשתקד'!A70,מור!A:K,9,0)+VLOOKUP('תפוקה מצטברת מול אשתקד'!A70,'אלטשולר שחם'!A:K,9,0)+VLOOKUP('תפוקה מצטברת מול אשתקד'!A70,'מדיהו '!A:K,9,0)+VLOOKUP('תפוקה מצטברת מול אשתקד'!A70,'אנליסט '!A:K,9,0)+VLOOKUP('תפוקה מצטברת מול אשתקד'!A70,'מיטב דש'!A:K,9,0)+VLOOKUP('תפוקה מצטברת מול אשתקד'!A70,אינפניטי!A:K,9,0)</f>
        <v>4571.2337575526954</v>
      </c>
      <c r="N70" s="12">
        <f>VLOOKUP(A70,הכשרה!A:K,10,0)+VLOOKUP('תפוקה מצטברת מול אשתקד'!A70,מגדל!A:K,10,0)+VLOOKUP('תפוקה מצטברת מול אשתקד'!A70,מנורה!A:K,10,0)+VLOOKUP('תפוקה מצטברת מול אשתקד'!A70,איילון!A:K,10,0)+VLOOKUP('תפוקה מצטברת מול אשתקד'!A70,הראל!A:K,10,0)+VLOOKUP('תפוקה מצטברת מול אשתקד'!A70,הפניקס!A:K,10,0)+VLOOKUP('תפוקה מצטברת מול אשתקד'!A70,כלל!A:K,10,0)+VLOOKUP('תפוקה מצטברת מול אשתקד'!A70,מור!A:K,10,0)+VLOOKUP('תפוקה מצטברת מול אשתקד'!A70,'אלטשולר שחם'!A:K,10,0)+VLOOKUP('תפוקה מצטברת מול אשתקד'!A70,'מדיהו '!A:K,10,0)+VLOOKUP('תפוקה מצטברת מול אשתקד'!A70,'אנליסט '!A:K,10,0)+VLOOKUP('תפוקה מצטברת מול אשתקד'!A70,'מיטב דש'!A:K,10,0)+VLOOKUP('תפוקה מצטברת מול אשתקד'!A70,אינפניטי!A:K,10,0)</f>
        <v>35963.440000000002</v>
      </c>
      <c r="O70" s="12">
        <f>VLOOKUP(A70,הכשרה!A:K,11,0)+VLOOKUP('תפוקה מצטברת מול אשתקד'!A70,מגדל!A:K,11,0)+VLOOKUP('תפוקה מצטברת מול אשתקד'!A70,מנורה!A:K,11,0)+VLOOKUP('תפוקה מצטברת מול אשתקד'!A70,איילון!A:K,11,0)+VLOOKUP('תפוקה מצטברת מול אשתקד'!A70,הראל!A:K,11,0)+VLOOKUP('תפוקה מצטברת מול אשתקד'!A70,הפניקס!A:K,11,0)+VLOOKUP('תפוקה מצטברת מול אשתקד'!A70,כלל!A:K,11,0)+VLOOKUP('תפוקה מצטברת מול אשתקד'!A70,מור!A:K,11,0)+VLOOKUP('תפוקה מצטברת מול אשתקד'!A70,'אלטשולר שחם'!A:K,11,0)+VLOOKUP('תפוקה מצטברת מול אשתקד'!A70,'מדיהו '!A:K,11,0)+VLOOKUP('תפוקה מצטברת מול אשתקד'!A70,'אנליסט '!A:K,11,0)+VLOOKUP('תפוקה מצטברת מול אשתקד'!A70,'מיטב דש'!A:K,11,0)+VLOOKUP('תפוקה מצטברת מול אשתקד'!A70,אינפניטי!A:K,11,0)</f>
        <v>87970.5</v>
      </c>
    </row>
    <row r="71" spans="1:15" ht="15.75" customHeight="1" x14ac:dyDescent="0.25">
      <c r="A71" s="26" t="s">
        <v>93</v>
      </c>
      <c r="B71" s="26" t="s">
        <v>56</v>
      </c>
      <c r="C71" s="26" t="s">
        <v>103</v>
      </c>
      <c r="D71" s="19">
        <f t="shared" si="17"/>
        <v>0</v>
      </c>
      <c r="E71" s="19">
        <f t="shared" si="17"/>
        <v>0.35374583993975017</v>
      </c>
      <c r="F71" s="19">
        <f t="shared" si="17"/>
        <v>0</v>
      </c>
      <c r="G71" s="19">
        <f t="shared" si="5"/>
        <v>0</v>
      </c>
      <c r="H71" s="58">
        <f>VLOOKUP(A71,הכשרה!A:G,4,0)+VLOOKUP('תפוקה מצטברת מול אשתקד'!A71,מגדל!A:G,4,0)+VLOOKUP('תפוקה מצטברת מול אשתקד'!A71,מנורה!A:G,4,0)+VLOOKUP('תפוקה מצטברת מול אשתקד'!A71,איילון!A:G,4,0)+VLOOKUP('תפוקה מצטברת מול אשתקד'!A71,הראל!A:G,4,0)+VLOOKUP('תפוקה מצטברת מול אשתקד'!A71,הפניקס!A:G,4,0)+VLOOKUP('תפוקה מצטברת מול אשתקד'!A71,כלל!A:G,4,0)+VLOOKUP('תפוקה מצטברת מול אשתקד'!A71,מור!A:G,4,0)+VLOOKUP('תפוקה מצטברת מול אשתקד'!A71,'אלטשולר שחם'!A:G,4,0)+VLOOKUP('תפוקה מצטברת מול אשתקד'!A71,'מדיהו '!A:G,4,0)+VLOOKUP('תפוקה מצטברת מול אשתקד'!A71,'אנליסט '!A:G,4,0)+VLOOKUP('תפוקה מצטברת מול אשתקד'!A71,'מיטב דש'!A:G,4,0)+VLOOKUP('תפוקה מצטברת מול אשתקד'!A71,אינפניטי!A:G,4,0)</f>
        <v>0</v>
      </c>
      <c r="I71" s="58">
        <f>VLOOKUP(A71,הכשרה!A:G,5,0)+VLOOKUP('תפוקה מצטברת מול אשתקד'!A71,מגדל!A:G,5,0)+VLOOKUP('תפוקה מצטברת מול אשתקד'!A71,מנורה!A:G,5,0)+VLOOKUP('תפוקה מצטברת מול אשתקד'!A71,איילון!A:G,5,0)+VLOOKUP('תפוקה מצטברת מול אשתקד'!A71,הראל!A:G,5,0)+VLOOKUP('תפוקה מצטברת מול אשתקד'!A71,הפניקס!A:G,5,0)+VLOOKUP('תפוקה מצטברת מול אשתקד'!A71,כלל!A:G,5,0)+VLOOKUP('תפוקה מצטברת מול אשתקד'!A71,מור!A:G,5,0)+VLOOKUP('תפוקה מצטברת מול אשתקד'!A71,'אלטשולר שחם'!A:G,5,0)+VLOOKUP('תפוקה מצטברת מול אשתקד'!A71,'מדיהו '!A:G,5,0)+VLOOKUP('תפוקה מצטברת מול אשתקד'!A71,'אנליסט '!A:G,5,0)+VLOOKUP('תפוקה מצטברת מול אשתקד'!A71,'מיטב דש'!A:G,5,0)+VLOOKUP('תפוקה מצטברת מול אשתקד'!A71,אינפניטי!A:G,5,0)</f>
        <v>66445.646000000008</v>
      </c>
      <c r="J71" s="58">
        <f>VLOOKUP(A71,הכשרה!A:G,6,0)+VLOOKUP('תפוקה מצטברת מול אשתקד'!A71,מגדל!A:G,6,0)+VLOOKUP('תפוקה מצטברת מול אשתקד'!A71,מנורה!A:G,6,0)+VLOOKUP('תפוקה מצטברת מול אשתקד'!A71,איילון!A:G,6,0)+VLOOKUP(A71,הראל!A:G,6,0)+VLOOKUP('תפוקה מצטברת מול אשתקד'!A71,הפניקס!A:G,6,0)+VLOOKUP('תפוקה מצטברת מול אשתקד'!A71,כלל!A:G,6,0)+VLOOKUP('תפוקה מצטברת מול אשתקד'!A71,מור!A:G,6,0)+VLOOKUP('תפוקה מצטברת מול אשתקד'!A71,'אלטשולר שחם'!A:G,6,0)+VLOOKUP('תפוקה מצטברת מול אשתקד'!A71,'מדיהו '!A:G,6,0)+VLOOKUP('תפוקה מצטברת מול אשתקד'!A71,'אנליסט '!A:G,6,0)+VLOOKUP('תפוקה מצטברת מול אשתקד'!A71,'מיטב דש'!A:G,6,0)+VLOOKUP('תפוקה מצטברת מול אשתקד'!A71,אינפניטי!A:G,6,0)</f>
        <v>0</v>
      </c>
      <c r="K71" s="58">
        <f>VLOOKUP(A71,הכשרה!A:G,7,0)+VLOOKUP('תפוקה מצטברת מול אשתקד'!A71,מגדל!A:G,7,0)+VLOOKUP('תפוקה מצטברת מול אשתקד'!A71,מנורה!A:G,7,0)+VLOOKUP('תפוקה מצטברת מול אשתקד'!A71,איילון!A:G,7,0)+VLOOKUP('תפוקה מצטברת מול אשתקד'!A71,הראל!A:G,7,0)+VLOOKUP('תפוקה מצטברת מול אשתקד'!A71,הפניקס!A:G,7,0)+VLOOKUP('תפוקה מצטברת מול אשתקד'!A71,כלל!A:G,7,0)+VLOOKUP('תפוקה מצטברת מול אשתקד'!A71,מור!A:G,7,0)+VLOOKUP('תפוקה מצטברת מול אשתקד'!A71,'אלטשולר שחם'!A:G,7,0)+VLOOKUP('תפוקה מצטברת מול אשתקד'!A71,'מדיהו '!A:K,7,0)+VLOOKUP(A71,'אנליסט '!A:G,7,0)+VLOOKUP('תפוקה מצטברת מול אשתקד'!A71,'מיטב דש'!A:G,7,0)+VLOOKUP('תפוקה מצטברת מול אשתקד'!A71,אינפניטי!A:G,7,0)</f>
        <v>0</v>
      </c>
      <c r="L71" s="12">
        <f>VLOOKUP(A71,הכשרה!A:K,8,0)+VLOOKUP('תפוקה מצטברת מול אשתקד'!A71,מגדל!A:K,8,0)+VLOOKUP('תפוקה מצטברת מול אשתקד'!A71,מנורה!A:K,8,0)+VLOOKUP('תפוקה מצטברת מול אשתקד'!A71,איילון!A:K,8,0)+VLOOKUP('תפוקה מצטברת מול אשתקד'!A71,הראל!A:K,8,0)+VLOOKUP('תפוקה מצטברת מול אשתקד'!A71,הפניקס!A:K,8,0)+VLOOKUP('תפוקה מצטברת מול אשתקד'!A71,כלל!A:K,8,0)+VLOOKUP('תפוקה מצטברת מול אשתקד'!A71,מור!A:K,8,0)+VLOOKUP('תפוקה מצטברת מול אשתקד'!A71,'אלטשולר שחם'!A:K,8,0)+VLOOKUP('תפוקה מצטברת מול אשתקד'!A71,'מדיהו '!A:K,8,0)+VLOOKUP('תפוקה מצטברת מול אשתקד'!A71,'אנליסט '!A:K,8,0)+VLOOKUP('תפוקה מצטברת מול אשתקד'!A71,'מיטב דש'!A:K,8,0)+VLOOKUP('תפוקה מצטברת מול אשתקד'!A71,אינפניטי!A:K,8,0)</f>
        <v>9681.6187140000002</v>
      </c>
      <c r="M71" s="12">
        <f>VLOOKUP(A71,הכשרה!A:K,9,0)+VLOOKUP('תפוקה מצטברת מול אשתקד'!A71,מגדל!A:K,9,0)+VLOOKUP('תפוקה מצטברת מול אשתקד'!A71,מנורה!A:K,9,0)+VLOOKUP('תפוקה מצטברת מול אשתקד'!A71,איילון!A:K,9,0)+VLOOKUP('תפוקה מצטברת מול אשתקד'!A71,הראל!A:K,9,0)+VLOOKUP('תפוקה מצטברת מול אשתקד'!A71,הפניקס!A:K,9,0)+VLOOKUP('תפוקה מצטברת מול אשתקד'!A71,כלל!A:K,9,0)+VLOOKUP('תפוקה מצטברת מול אשתקד'!A71,מור!A:K,9,0)+VLOOKUP('תפוקה מצטברת מול אשתקד'!A71,'אלטשולר שחם'!A:K,9,0)+VLOOKUP('תפוקה מצטברת מול אשתקד'!A71,'מדיהו '!A:K,9,0)+VLOOKUP('תפוקה מצטברת מול אשתקד'!A71,'אנליסט '!A:K,9,0)+VLOOKUP('תפוקה מצטברת מול אשתקד'!A71,'מיטב דש'!A:K,9,0)+VLOOKUP('תפוקה מצטברת מול אשתקד'!A71,אינפניטי!A:K,9,0)</f>
        <v>49082.807156000003</v>
      </c>
      <c r="N71" s="12">
        <f>VLOOKUP(A71,הכשרה!A:K,10,0)+VLOOKUP('תפוקה מצטברת מול אשתקד'!A71,מגדל!A:K,10,0)+VLOOKUP('תפוקה מצטברת מול אשתקד'!A71,מנורה!A:K,10,0)+VLOOKUP('תפוקה מצטברת מול אשתקד'!A71,איילון!A:K,10,0)+VLOOKUP('תפוקה מצטברת מול אשתקד'!A71,הראל!A:K,10,0)+VLOOKUP('תפוקה מצטברת מול אשתקד'!A71,הפניקס!A:K,10,0)+VLOOKUP('תפוקה מצטברת מול אשתקד'!A71,כלל!A:K,10,0)+VLOOKUP('תפוקה מצטברת מול אשתקד'!A71,מור!A:K,10,0)+VLOOKUP('תפוקה מצטברת מול אשתקד'!A71,'אלטשולר שחם'!A:K,10,0)+VLOOKUP('תפוקה מצטברת מול אשתקד'!A71,'מדיהו '!A:K,10,0)+VLOOKUP('תפוקה מצטברת מול אשתקד'!A71,'אנליסט '!A:K,10,0)+VLOOKUP('תפוקה מצטברת מול אשתקד'!A71,'מיטב דש'!A:K,10,0)+VLOOKUP('תפוקה מצטברת מול אשתקד'!A71,אינפניטי!A:K,10,0)</f>
        <v>0</v>
      </c>
      <c r="O71" s="12">
        <f>VLOOKUP(A71,הכשרה!A:K,11,0)+VLOOKUP('תפוקה מצטברת מול אשתקד'!A71,מגדל!A:K,11,0)+VLOOKUP('תפוקה מצטברת מול אשתקד'!A71,מנורה!A:K,11,0)+VLOOKUP('תפוקה מצטברת מול אשתקד'!A71,איילון!A:K,11,0)+VLOOKUP('תפוקה מצטברת מול אשתקד'!A71,הראל!A:K,11,0)+VLOOKUP('תפוקה מצטברת מול אשתקד'!A71,הפניקס!A:K,11,0)+VLOOKUP('תפוקה מצטברת מול אשתקד'!A71,כלל!A:K,11,0)+VLOOKUP('תפוקה מצטברת מול אשתקד'!A71,מור!A:K,11,0)+VLOOKUP('תפוקה מצטברת מול אשתקד'!A71,'אלטשולר שחם'!A:K,11,0)+VLOOKUP('תפוקה מצטברת מול אשתקד'!A71,'מדיהו '!A:K,11,0)+VLOOKUP('תפוקה מצטברת מול אשתקד'!A71,'אנליסט '!A:K,11,0)+VLOOKUP('תפוקה מצטברת מול אשתקד'!A71,'מיטב דש'!A:K,11,0)+VLOOKUP('תפוקה מצטברת מול אשתקד'!A71,אינפניטי!A:K,11,0)</f>
        <v>90372</v>
      </c>
    </row>
    <row r="72" spans="1:15" ht="15.75" customHeight="1" x14ac:dyDescent="0.25">
      <c r="A72" s="26" t="s">
        <v>100</v>
      </c>
      <c r="B72" s="26" t="s">
        <v>56</v>
      </c>
      <c r="C72" s="26" t="s">
        <v>103</v>
      </c>
      <c r="D72" s="19">
        <f t="shared" si="17"/>
        <v>7.1864731219450029E-2</v>
      </c>
      <c r="E72" s="19">
        <f t="shared" si="17"/>
        <v>0.39570635673636834</v>
      </c>
      <c r="F72" s="19">
        <f t="shared" si="17"/>
        <v>8.3978075640244843E-2</v>
      </c>
      <c r="G72" s="19">
        <f t="shared" si="5"/>
        <v>-0.31756846403393446</v>
      </c>
      <c r="H72" s="58">
        <f>VLOOKUP(A72,הכשרה!A:G,4,0)+VLOOKUP('תפוקה מצטברת מול אשתקד'!A72,מגדל!A:G,4,0)+VLOOKUP('תפוקה מצטברת מול אשתקד'!A72,מנורה!A:G,4,0)+VLOOKUP('תפוקה מצטברת מול אשתקד'!A72,איילון!A:G,4,0)+VLOOKUP('תפוקה מצטברת מול אשתקד'!A72,הראל!A:G,4,0)+VLOOKUP('תפוקה מצטברת מול אשתקד'!A72,הפניקס!A:G,4,0)+VLOOKUP('תפוקה מצטברת מול אשתקד'!A72,כלל!A:G,4,0)+VLOOKUP('תפוקה מצטברת מול אשתקד'!A72,מור!A:G,4,0)+VLOOKUP('תפוקה מצטברת מול אשתקד'!A72,'אלטשולר שחם'!A:G,4,0)+VLOOKUP('תפוקה מצטברת מול אשתקד'!A72,'מדיהו '!A:G,4,0)+VLOOKUP('תפוקה מצטברת מול אשתקד'!A72,'אנליסט '!A:G,4,0)+VLOOKUP('תפוקה מצטברת מול אשתקד'!A72,'מיטב דש'!A:G,4,0)+VLOOKUP('תפוקה מצטברת מול אשתקד'!A72,אינפניטי!A:G,4,0)</f>
        <v>411639.97235632996</v>
      </c>
      <c r="I72" s="58">
        <f>VLOOKUP(A72,הכשרה!A:G,5,0)+VLOOKUP('תפוקה מצטברת מול אשתקד'!A72,מגדל!A:G,5,0)+VLOOKUP('תפוקה מצטברת מול אשתקד'!A72,מנורה!A:G,5,0)+VLOOKUP('תפוקה מצטברת מול אשתקד'!A72,איילון!A:G,5,0)+VLOOKUP('תפוקה מצטברת מול אשתקד'!A72,הראל!A:G,5,0)+VLOOKUP('תפוקה מצטברת מול אשתקד'!A72,הפניקס!A:G,5,0)+VLOOKUP('תפוקה מצטברת מול אשתקד'!A72,כלל!A:G,5,0)+VLOOKUP('תפוקה מצטברת מול אשתקד'!A72,מור!A:G,5,0)+VLOOKUP('תפוקה מצטברת מול אשתקד'!A72,'אלטשולר שחם'!A:G,5,0)+VLOOKUP('תפוקה מצטברת מול אשתקד'!A72,'מדיהו '!A:G,5,0)+VLOOKUP('תפוקה מצטברת מול אשתקד'!A72,'אנליסט '!A:G,5,0)+VLOOKUP('תפוקה מצטברת מול אשתקד'!A72,'מיטב דש'!A:G,5,0)+VLOOKUP('תפוקה מצטברת מול אשתקד'!A72,אינפניטי!A:G,5,0)</f>
        <v>47938.342000000004</v>
      </c>
      <c r="J72" s="58">
        <f>VLOOKUP(A72,הכשרה!A:G,6,0)+VLOOKUP('תפוקה מצטברת מול אשתקד'!A72,מגדל!A:G,6,0)+VLOOKUP('תפוקה מצטברת מול אשתקד'!A72,מנורה!A:G,6,0)+VLOOKUP('תפוקה מצטברת מול אשתקד'!A72,איילון!A:G,6,0)+VLOOKUP(A72,הראל!A:G,6,0)+VLOOKUP('תפוקה מצטברת מול אשתקד'!A72,הפניקס!A:G,6,0)+VLOOKUP('תפוקה מצטברת מול אשתקד'!A72,כלל!A:G,6,0)+VLOOKUP('תפוקה מצטברת מול אשתקד'!A72,מור!A:G,6,0)+VLOOKUP('תפוקה מצטברת מול אשתקד'!A72,'אלטשולר שחם'!A:G,6,0)+VLOOKUP('תפוקה מצטברת מול אשתקד'!A72,'מדיהו '!A:G,6,0)+VLOOKUP('תפוקה מצטברת מול אשתקד'!A72,'אנליסט '!A:G,6,0)+VLOOKUP('תפוקה מצטברת מול אשתקד'!A72,'מיטב דש'!A:G,6,0)+VLOOKUP('תפוקה מצטברת מול אשתקד'!A72,אינפניטי!A:G,6,0)</f>
        <v>3362571.78</v>
      </c>
      <c r="K72" s="58">
        <f>VLOOKUP(A72,הכשרה!A:G,7,0)+VLOOKUP('תפוקה מצטברת מול אשתקד'!A72,מגדל!A:G,7,0)+VLOOKUP('תפוקה מצטברת מול אשתקד'!A72,מנורה!A:G,7,0)+VLOOKUP('תפוקה מצטברת מול אשתקד'!A72,איילון!A:G,7,0)+VLOOKUP('תפוקה מצטברת מול אשתקד'!A72,הראל!A:G,7,0)+VLOOKUP('תפוקה מצטברת מול אשתקד'!A72,הפניקס!A:G,7,0)+VLOOKUP('תפוקה מצטברת מול אשתקד'!A72,כלל!A:G,7,0)+VLOOKUP('תפוקה מצטברת מול אשתקד'!A72,מור!A:G,7,0)+VLOOKUP('תפוקה מצטברת מול אשתקד'!A72,'אלטשולר שחם'!A:G,7,0)+VLOOKUP('תפוקה מצטברת מול אשתקד'!A72,'מדיהו '!A:K,7,0)+VLOOKUP(A72,'אנליסט '!A:G,7,0)+VLOOKUP('תפוקה מצטברת מול אשתקד'!A72,'מיטב דש'!A:G,7,0)+VLOOKUP('תפוקה מצטברת מול אשתקד'!A72,אינפניטי!A:G,7,0)</f>
        <v>1835168.92</v>
      </c>
      <c r="L72" s="12">
        <f>VLOOKUP(A72,הכשרה!A:K,8,0)+VLOOKUP('תפוקה מצטברת מול אשתקד'!A72,מגדל!A:K,8,0)+VLOOKUP('תפוקה מצטברת מול אשתקד'!A72,מנורה!A:K,8,0)+VLOOKUP('תפוקה מצטברת מול אשתקד'!A72,איילון!A:K,8,0)+VLOOKUP('תפוקה מצטברת מול אשתקד'!A72,הראל!A:K,8,0)+VLOOKUP('תפוקה מצטברת מול אשתקד'!A72,הפניקס!A:K,8,0)+VLOOKUP('תפוקה מצטברת מול אשתקד'!A72,כלל!A:K,8,0)+VLOOKUP('תפוקה מצטברת מול אשתקד'!A72,מור!A:K,8,0)+VLOOKUP('תפוקה מצטברת מול אשתקד'!A72,'אלטשולר שחם'!A:K,8,0)+VLOOKUP('תפוקה מצטברת מול אשתקד'!A72,'מדיהו '!A:K,8,0)+VLOOKUP('תפוקה מצטברת מול אשתקד'!A72,'אנליסט '!A:K,8,0)+VLOOKUP('תפוקה מצטברת מול אשתקד'!A72,'מיטב דש'!A:K,8,0)+VLOOKUP('תפוקה מצטברת מול אשתקד'!A72,אינפניטי!A:K,8,0)</f>
        <v>384040.97118487256</v>
      </c>
      <c r="M72" s="12">
        <f>VLOOKUP(A72,הכשרה!A:K,9,0)+VLOOKUP('תפוקה מצטברת מול אשתקד'!A72,מגדל!A:K,9,0)+VLOOKUP('תפוקה מצטברת מול אשתקד'!A72,מנורה!A:K,9,0)+VLOOKUP('תפוקה מצטברת מול אשתקד'!A72,איילון!A:K,9,0)+VLOOKUP('תפוקה מצטברת מול אשתקד'!A72,הראל!A:K,9,0)+VLOOKUP('תפוקה מצטברת מול אשתקד'!A72,הפניקס!A:K,9,0)+VLOOKUP('תפוקה מצטברת מול אשתקד'!A72,כלל!A:K,9,0)+VLOOKUP('תפוקה מצטברת מול אשתקד'!A72,מור!A:K,9,0)+VLOOKUP('תפוקה מצטברת מול אשתקד'!A72,'אלטשולר שחם'!A:K,9,0)+VLOOKUP('תפוקה מצטברת מול אשתקד'!A72,'מדיהו '!A:K,9,0)+VLOOKUP('תפוקה מצטברת מול אשתקד'!A72,'אנליסט '!A:K,9,0)+VLOOKUP('תפוקה מצטברת מול אשתקד'!A72,'מיטב דש'!A:K,9,0)+VLOOKUP('תפוקה מצטברת מול אשתקד'!A72,אינפניטי!A:K,9,0)</f>
        <v>34347.011295481949</v>
      </c>
      <c r="N72" s="12">
        <f>VLOOKUP(A72,הכשרה!A:K,10,0)+VLOOKUP('תפוקה מצטברת מול אשתקד'!A72,מגדל!A:K,10,0)+VLOOKUP('תפוקה מצטברת מול אשתקד'!A72,מנורה!A:K,10,0)+VLOOKUP('תפוקה מצטברת מול אשתקד'!A72,איילון!A:K,10,0)+VLOOKUP('תפוקה מצטברת מול אשתקד'!A72,הראל!A:K,10,0)+VLOOKUP('תפוקה מצטברת מול אשתקד'!A72,הפניקס!A:K,10,0)+VLOOKUP('תפוקה מצטברת מול אשתקד'!A72,כלל!A:K,10,0)+VLOOKUP('תפוקה מצטברת מול אשתקד'!A72,מור!A:K,10,0)+VLOOKUP('תפוקה מצטברת מול אשתקד'!A72,'אלטשולר שחם'!A:K,10,0)+VLOOKUP('תפוקה מצטברת מול אשתקד'!A72,'מדיהו '!A:K,10,0)+VLOOKUP('תפוקה מצטברת מול אשתקד'!A72,'אנליסט '!A:K,10,0)+VLOOKUP('תפוקה מצטברת מול אשתקד'!A72,'מיטב דש'!A:K,10,0)+VLOOKUP('תפוקה מצטברת מול אשתקד'!A72,אינפניטי!A:K,10,0)</f>
        <v>3102066.2276900001</v>
      </c>
      <c r="O72" s="12">
        <f>VLOOKUP(A72,הכשרה!A:K,11,0)+VLOOKUP('תפוקה מצטברת מול אשתקד'!A72,מגדל!A:K,11,0)+VLOOKUP('תפוקה מצטברת מול אשתקד'!A72,מנורה!A:K,11,0)+VLOOKUP('תפוקה מצטברת מול אשתקד'!A72,איילון!A:K,11,0)+VLOOKUP('תפוקה מצטברת מול אשתקד'!A72,הראל!A:K,11,0)+VLOOKUP('תפוקה מצטברת מול אשתקד'!A72,הפניקס!A:K,11,0)+VLOOKUP('תפוקה מצטברת מול אשתקד'!A72,כלל!A:K,11,0)+VLOOKUP('תפוקה מצטברת מול אשתקד'!A72,מור!A:K,11,0)+VLOOKUP('תפוקה מצטברת מול אשתקד'!A72,'אלטשולר שחם'!A:K,11,0)+VLOOKUP('תפוקה מצטברת מול אשתקד'!A72,'מדיהו '!A:K,11,0)+VLOOKUP('תפוקה מצטברת מול אשתקד'!A72,'אנליסט '!A:K,11,0)+VLOOKUP('תפוקה מצטברת מול אשתקד'!A72,'מיטב דש'!A:K,11,0)+VLOOKUP('תפוקה מצטברת מול אשתקד'!A72,אינפניטי!A:K,11,0)</f>
        <v>2689161.95</v>
      </c>
    </row>
    <row r="73" spans="1:15" ht="15.75" customHeight="1" x14ac:dyDescent="0.25">
      <c r="A73" s="98" t="s">
        <v>101</v>
      </c>
      <c r="B73" s="26" t="s">
        <v>56</v>
      </c>
      <c r="C73" s="26" t="s">
        <v>103</v>
      </c>
      <c r="D73" s="19">
        <f t="shared" si="17"/>
        <v>0.3902700075567993</v>
      </c>
      <c r="E73" s="19">
        <f t="shared" si="17"/>
        <v>0.45416327700529124</v>
      </c>
      <c r="F73" s="19">
        <f t="shared" si="17"/>
        <v>0.92495000385943826</v>
      </c>
      <c r="G73" s="19">
        <f t="shared" si="5"/>
        <v>0.56656327872294243</v>
      </c>
      <c r="H73" s="58">
        <f>VLOOKUP(A73,הכשרה!A:G,4,0)+VLOOKUP('תפוקה מצטברת מול אשתקד'!A73,מגדל!A:G,4,0)+VLOOKUP('תפוקה מצטברת מול אשתקד'!A73,מנורה!A:G,4,0)+VLOOKUP('תפוקה מצטברת מול אשתקד'!A73,איילון!A:G,4,0)+VLOOKUP('תפוקה מצטברת מול אשתקד'!A73,הראל!A:G,4,0)+VLOOKUP('תפוקה מצטברת מול אשתקד'!A73,הפניקס!A:G,4,0)+VLOOKUP('תפוקה מצטברת מול אשתקד'!A73,כלל!A:G,4,0)+VLOOKUP('תפוקה מצטברת מול אשתקד'!A73,מור!A:G,4,0)+VLOOKUP('תפוקה מצטברת מול אשתקד'!A73,'אלטשולר שחם'!A:G,4,0)+VLOOKUP('תפוקה מצטברת מול אשתקד'!A73,'מדיהו '!A:G,4,0)+VLOOKUP('תפוקה מצטברת מול אשתקד'!A73,'אנליסט '!A:G,4,0)+VLOOKUP('תפוקה מצטברת מול אשתקד'!A73,'מיטב דש'!A:G,4,0)+VLOOKUP('תפוקה מצטברת מול אשתקד'!A73,אינפניטי!A:G,4,0)</f>
        <v>1505327.3709158155</v>
      </c>
      <c r="I73" s="58">
        <f>VLOOKUP(A73,הכשרה!A:G,5,0)+VLOOKUP('תפוקה מצטברת מול אשתקד'!A73,מגדל!A:G,5,0)+VLOOKUP('תפוקה מצטברת מול אשתקד'!A73,מנורה!A:G,5,0)+VLOOKUP('תפוקה מצטברת מול אשתקד'!A73,איילון!A:G,5,0)+VLOOKUP('תפוקה מצטברת מול אשתקד'!A73,הראל!A:G,5,0)+VLOOKUP('תפוקה מצטברת מול אשתקד'!A73,הפניקס!A:G,5,0)+VLOOKUP('תפוקה מצטברת מול אשתקד'!A73,כלל!A:G,5,0)+VLOOKUP('תפוקה מצטברת מול אשתקד'!A73,מור!A:G,5,0)+VLOOKUP('תפוקה מצטברת מול אשתקד'!A73,'אלטשולר שחם'!A:G,5,0)+VLOOKUP('תפוקה מצטברת מול אשתקד'!A73,'מדיהו '!A:G,5,0)+VLOOKUP('תפוקה מצטברת מול אשתקד'!A73,'אנליסט '!A:G,5,0)+VLOOKUP('תפוקה מצטברת מול אשתקד'!A73,'מיטב דש'!A:G,5,0)+VLOOKUP('תפוקה מצטברת מול אשתקד'!A73,אינפניטי!A:G,5,0)</f>
        <v>173099.73063455595</v>
      </c>
      <c r="J73" s="58">
        <f>VLOOKUP(A73,הכשרה!A:G,6,0)+VLOOKUP('תפוקה מצטברת מול אשתקד'!A73,מגדל!A:G,6,0)+VLOOKUP('תפוקה מצטברת מול אשתקד'!A73,מנורה!A:G,6,0)+VLOOKUP('תפוקה מצטברת מול אשתקד'!A73,איילון!A:G,6,0)+VLOOKUP(A73,הראל!A:G,6,0)+VLOOKUP('תפוקה מצטברת מול אשתקד'!A73,הפניקס!A:G,6,0)+VLOOKUP('תפוקה מצטברת מול אשתקד'!A73,כלל!A:G,6,0)+VLOOKUP('תפוקה מצטברת מול אשתקד'!A73,מור!A:G,6,0)+VLOOKUP('תפוקה מצטברת מול אשתקד'!A73,'אלטשולר שחם'!A:G,6,0)+VLOOKUP('תפוקה מצטברת מול אשתקד'!A73,'מדיהו '!A:G,6,0)+VLOOKUP('תפוקה מצטברת מול אשתקד'!A73,'אנליסט '!A:G,6,0)+VLOOKUP('תפוקה מצטברת מול אשתקד'!A73,'מיטב דש'!A:G,6,0)+VLOOKUP('תפוקה מצטברת מול אשתקד'!A73,אינפניטי!A:G,6,0)</f>
        <v>17586186.281716283</v>
      </c>
      <c r="K73" s="58">
        <f>VLOOKUP(A73,הכשרה!A:G,7,0)+VLOOKUP('תפוקה מצטברת מול אשתקד'!A73,מגדל!A:G,7,0)+VLOOKUP('תפוקה מצטברת מול אשתקד'!A73,מנורה!A:G,7,0)+VLOOKUP('תפוקה מצטברת מול אשתקד'!A73,איילון!A:G,7,0)+VLOOKUP('תפוקה מצטברת מול אשתקד'!A73,הראל!A:G,7,0)+VLOOKUP('תפוקה מצטברת מול אשתקד'!A73,הפניקס!A:G,7,0)+VLOOKUP('תפוקה מצטברת מול אשתקד'!A73,כלל!A:G,7,0)+VLOOKUP('תפוקה מצטברת מול אשתקד'!A73,מור!A:G,7,0)+VLOOKUP('תפוקה מצטברת מול אשתקד'!A73,'אלטשולר שחם'!A:G,7,0)+VLOOKUP('תפוקה מצטברת מול אשתקד'!A73,'מדיהו '!A:K,7,0)+VLOOKUP(A73,'אנליסט '!A:G,7,0)+VLOOKUP('תפוקה מצטברת מול אשתקד'!A73,'מיטב דש'!A:G,7,0)+VLOOKUP('תפוקה מצטברת מול אשתקד'!A73,אינפניטי!A:G,7,0)</f>
        <v>15432228.960000001</v>
      </c>
      <c r="L73" s="12">
        <f>VLOOKUP(A73,הכשרה!A:K,8,0)+VLOOKUP('תפוקה מצטברת מול אשתקד'!A73,מגדל!A:K,8,0)+VLOOKUP('תפוקה מצטברת מול אשתקד'!A73,מנורה!A:K,8,0)+VLOOKUP('תפוקה מצטברת מול אשתקד'!A73,איילון!A:K,8,0)+VLOOKUP('תפוקה מצטברת מול אשתקד'!A73,הראל!A:K,8,0)+VLOOKUP('תפוקה מצטברת מול אשתקד'!A73,הפניקס!A:K,8,0)+VLOOKUP('תפוקה מצטברת מול אשתקד'!A73,כלל!A:K,8,0)+VLOOKUP('תפוקה מצטברת מול אשתקד'!A73,מור!A:K,8,0)+VLOOKUP('תפוקה מצטברת מול אשתקד'!A73,'אלטשולר שחם'!A:K,8,0)+VLOOKUP('תפוקה מצטברת מול אשתקד'!A73,'מדיהו '!A:K,8,0)+VLOOKUP('תפוקה מצטברת מול אשתקד'!A73,'אנליסט '!A:K,8,0)+VLOOKUP('תפוקה מצטברת מול אשתקד'!A73,'מיטב דש'!A:K,8,0)+VLOOKUP('תפוקה מצטברת מול אשתקד'!A73,אינפניטי!A:K,8,0)</f>
        <v>1082759.0056130269</v>
      </c>
      <c r="M73" s="12">
        <f>VLOOKUP(A73,הכשרה!A:K,9,0)+VLOOKUP('תפוקה מצטברת מול אשתקד'!A73,מגדל!A:K,9,0)+VLOOKUP('תפוקה מצטברת מול אשתקד'!A73,מנורה!A:K,9,0)+VLOOKUP('תפוקה מצטברת מול אשתקד'!A73,איילון!A:K,9,0)+VLOOKUP('תפוקה מצטברת מול אשתקד'!A73,הראל!A:K,9,0)+VLOOKUP('תפוקה מצטברת מול אשתקד'!A73,הפניקס!A:K,9,0)+VLOOKUP('תפוקה מצטברת מול אשתקד'!A73,כלל!A:K,9,0)+VLOOKUP('תפוקה מצטברת מול אשתקד'!A73,מור!A:K,9,0)+VLOOKUP('תפוקה מצטברת מול אשתקד'!A73,'אלטשולר שחם'!A:K,9,0)+VLOOKUP('תפוקה מצטברת מול אשתקד'!A73,'מדיהו '!A:K,9,0)+VLOOKUP('תפוקה מצטברת מול אשתקד'!A73,'אנליסט '!A:K,9,0)+VLOOKUP('תפוקה מצטברת מול אשתקד'!A73,'מיטב דש'!A:K,9,0)+VLOOKUP('תפוקה מצטברת מול אשתקד'!A73,אינפניטי!A:K,9,0)</f>
        <v>119037.34152263707</v>
      </c>
      <c r="N73" s="12">
        <f>VLOOKUP(A73,הכשרה!A:K,10,0)+VLOOKUP('תפוקה מצטברת מול אשתקד'!A73,מגדל!A:K,10,0)+VLOOKUP('תפוקה מצטברת מול אשתקד'!A73,מנורה!A:K,10,0)+VLOOKUP('תפוקה מצטברת מול אשתקד'!A73,איילון!A:K,10,0)+VLOOKUP('תפוקה מצטברת מול אשתקד'!A73,הראל!A:K,10,0)+VLOOKUP('תפוקה מצטברת מול אשתקד'!A73,הפניקס!A:K,10,0)+VLOOKUP('תפוקה מצטברת מול אשתקד'!A73,כלל!A:K,10,0)+VLOOKUP('תפוקה מצטברת מול אשתקד'!A73,מור!A:K,10,0)+VLOOKUP('תפוקה מצטברת מול אשתקד'!A73,'אלטשולר שחם'!A:K,10,0)+VLOOKUP('תפוקה מצטברת מול אשתקד'!A73,'מדיהו '!A:K,10,0)+VLOOKUP('תפוקה מצטברת מול אשתקד'!A73,'אנליסט '!A:K,10,0)+VLOOKUP('תפוקה מצטברת מול אשתקד'!A73,'מיטב דש'!A:K,10,0)+VLOOKUP('תפוקה מצטברת מול אשתקד'!A73,אינפניטי!A:K,10,0)</f>
        <v>9135918.4635739997</v>
      </c>
      <c r="O73" s="12">
        <f>VLOOKUP(A73,הכשרה!A:K,11,0)+VLOOKUP('תפוקה מצטברת מול אשתקד'!A73,מגדל!A:K,11,0)+VLOOKUP('תפוקה מצטברת מול אשתקד'!A73,מנורה!A:K,11,0)+VLOOKUP('תפוקה מצטברת מול אשתקד'!A73,איילון!A:K,11,0)+VLOOKUP('תפוקה מצטברת מול אשתקד'!A73,הראל!A:K,11,0)+VLOOKUP('תפוקה מצטברת מול אשתקד'!A73,הפניקס!A:K,11,0)+VLOOKUP('תפוקה מצטברת מול אשתקד'!A73,כלל!A:K,11,0)+VLOOKUP('תפוקה מצטברת מול אשתקד'!A73,מור!A:K,11,0)+VLOOKUP('תפוקה מצטברת מול אשתקד'!A73,'אלטשולר שחם'!A:K,11,0)+VLOOKUP('תפוקה מצטברת מול אשתקד'!A73,'מדיהו '!A:K,11,0)+VLOOKUP('תפוקה מצטברת מול אשתקד'!A73,'אנליסט '!A:K,11,0)+VLOOKUP('תפוקה מצטברת מול אשתקד'!A73,'מיטב דש'!A:K,11,0)+VLOOKUP('תפוקה מצטברת מול אשתקד'!A73,אינפניטי!A:K,11,0)</f>
        <v>9851009.0014239997</v>
      </c>
    </row>
    <row r="74" spans="1:15" ht="15.75" customHeight="1" thickBot="1" x14ac:dyDescent="0.3">
      <c r="A74" s="26" t="s">
        <v>81</v>
      </c>
      <c r="B74" s="26" t="s">
        <v>56</v>
      </c>
      <c r="C74" s="28" t="s">
        <v>103</v>
      </c>
      <c r="D74" s="101">
        <f t="shared" si="17"/>
        <v>1</v>
      </c>
      <c r="E74" s="101">
        <f t="shared" si="17"/>
        <v>-0.30468917581433097</v>
      </c>
      <c r="F74" s="101">
        <f t="shared" si="17"/>
        <v>0</v>
      </c>
      <c r="G74" s="19">
        <f t="shared" si="5"/>
        <v>0</v>
      </c>
      <c r="H74" s="58">
        <f>VLOOKUP(A74,הכשרה!A:G,4,0)+VLOOKUP('תפוקה מצטברת מול אשתקד'!A74,מגדל!A:G,4,0)+VLOOKUP('תפוקה מצטברת מול אשתקד'!A74,מנורה!A:G,4,0)+VLOOKUP('תפוקה מצטברת מול אשתקד'!A74,איילון!A:G,4,0)+VLOOKUP('תפוקה מצטברת מול אשתקד'!A74,הראל!A:G,4,0)+VLOOKUP('תפוקה מצטברת מול אשתקד'!A74,הפניקס!A:G,4,0)+VLOOKUP('תפוקה מצטברת מול אשתקד'!A74,כלל!A:G,4,0)+VLOOKUP('תפוקה מצטברת מול אשתקד'!A74,מור!A:G,4,0)+VLOOKUP('תפוקה מצטברת מול אשתקד'!A74,'אלטשולר שחם'!A:G,4,0)+VLOOKUP('תפוקה מצטברת מול אשתקד'!A74,'מדיהו '!A:G,4,0)+VLOOKUP('תפוקה מצטברת מול אשתקד'!A74,'אנליסט '!A:G,4,0)+VLOOKUP('תפוקה מצטברת מול אשתקד'!A74,'מיטב דש'!A:G,4,0)+VLOOKUP('תפוקה מצטברת מול אשתקד'!A74,אינפניטי!A:G,4,0)</f>
        <v>95017.57</v>
      </c>
      <c r="I74" s="58">
        <f>VLOOKUP(A74,הכשרה!A:G,5,0)+VLOOKUP('תפוקה מצטברת מול אשתקד'!A74,מגדל!A:G,5,0)+VLOOKUP('תפוקה מצטברת מול אשתקד'!A74,מנורה!A:G,5,0)+VLOOKUP('תפוקה מצטברת מול אשתקד'!A74,איילון!A:G,5,0)+VLOOKUP('תפוקה מצטברת מול אשתקד'!A74,הראל!A:G,5,0)+VLOOKUP('תפוקה מצטברת מול אשתקד'!A74,הפניקס!A:G,5,0)+VLOOKUP('תפוקה מצטברת מול אשתקד'!A74,כלל!A:G,5,0)+VLOOKUP('תפוקה מצטברת מול אשתקד'!A74,מור!A:G,5,0)+VLOOKUP('תפוקה מצטברת מול אשתקד'!A74,'אלטשולר שחם'!A:G,5,0)+VLOOKUP('תפוקה מצטברת מול אשתקד'!A74,'מדיהו '!A:G,5,0)+VLOOKUP('תפוקה מצטברת מול אשתקד'!A74,'אנליסט '!A:G,5,0)+VLOOKUP('תפוקה מצטברת מול אשתקד'!A74,'מיטב דש'!A:G,5,0)+VLOOKUP('תפוקה מצטברת מול אשתקד'!A74,אינפניטי!A:G,5,0)</f>
        <v>15410.081</v>
      </c>
      <c r="J74" s="58">
        <f>VLOOKUP(A74,הכשרה!A:G,6,0)+VLOOKUP('תפוקה מצטברת מול אשתקד'!A74,מגדל!A:G,6,0)+VLOOKUP('תפוקה מצטברת מול אשתקד'!A74,מנורה!A:G,6,0)+VLOOKUP('תפוקה מצטברת מול אשתקד'!A74,איילון!A:G,6,0)+VLOOKUP(A74,הראל!A:G,6,0)+VLOOKUP('תפוקה מצטברת מול אשתקד'!A74,הפניקס!A:G,6,0)+VLOOKUP('תפוקה מצטברת מול אשתקד'!A74,כלל!A:G,6,0)+VLOOKUP('תפוקה מצטברת מול אשתקד'!A74,מור!A:G,6,0)+VLOOKUP('תפוקה מצטברת מול אשתקד'!A74,'אלטשולר שחם'!A:G,6,0)+VLOOKUP('תפוקה מצטברת מול אשתקד'!A74,'מדיהו '!A:G,6,0)+VLOOKUP('תפוקה מצטברת מול אשתקד'!A74,'אנליסט '!A:G,6,0)+VLOOKUP('תפוקה מצטברת מול אשתקד'!A74,'מיטב דש'!A:G,6,0)+VLOOKUP('תפוקה מצטברת מול אשתקד'!A74,אינפניטי!A:G,6,0)</f>
        <v>0</v>
      </c>
      <c r="K74" s="58">
        <f>VLOOKUP(A74,הכשרה!A:G,7,0)+VLOOKUP('תפוקה מצטברת מול אשתקד'!A74,מגדל!A:G,7,0)+VLOOKUP('תפוקה מצטברת מול אשתקד'!A74,מנורה!A:G,7,0)+VLOOKUP('תפוקה מצטברת מול אשתקד'!A74,איילון!A:G,7,0)+VLOOKUP('תפוקה מצטברת מול אשתקד'!A74,הראל!A:G,7,0)+VLOOKUP('תפוקה מצטברת מול אשתקד'!A74,הפניקס!A:G,7,0)+VLOOKUP('תפוקה מצטברת מול אשתקד'!A74,כלל!A:G,7,0)+VLOOKUP('תפוקה מצטברת מול אשתקד'!A74,מור!A:G,7,0)+VLOOKUP('תפוקה מצטברת מול אשתקד'!A74,'אלטשולר שחם'!A:G,7,0)+VLOOKUP('תפוקה מצטברת מול אשתקד'!A74,'מדיהו '!A:K,7,0)+VLOOKUP(A74,'אנליסט '!A:G,7,0)+VLOOKUP('תפוקה מצטברת מול אשתקד'!A74,'מיטב דש'!A:G,7,0)+VLOOKUP('תפוקה מצטברת מול אשתקד'!A74,אינפניטי!A:G,7,0)</f>
        <v>0</v>
      </c>
      <c r="L74" s="12">
        <f>VLOOKUP(A74,הכשרה!A:K,8,0)+VLOOKUP('תפוקה מצטברת מול אשתקד'!A74,מגדל!A:K,8,0)+VLOOKUP('תפוקה מצטברת מול אשתקד'!A74,מנורה!A:K,8,0)+VLOOKUP('תפוקה מצטברת מול אשתקד'!A74,איילון!A:K,8,0)+VLOOKUP('תפוקה מצטברת מול אשתקד'!A74,הראל!A:K,8,0)+VLOOKUP('תפוקה מצטברת מול אשתקד'!A74,הפניקס!A:K,8,0)+VLOOKUP('תפוקה מצטברת מול אשתקד'!A74,כלל!A:K,8,0)+VLOOKUP('תפוקה מצטברת מול אשתקד'!A74,מור!A:K,8,0)+VLOOKUP('תפוקה מצטברת מול אשתקד'!A74,'אלטשולר שחם'!A:K,8,0)+VLOOKUP('תפוקה מצטברת מול אשתקד'!A74,'מדיהו '!A:K,8,0)+VLOOKUP('תפוקה מצטברת מול אשתקד'!A74,'אנליסט '!A:K,8,0)+VLOOKUP('תפוקה מצטברת מול אשתקד'!A74,'מיטב דש'!A:K,8,0)+VLOOKUP('תפוקה מצטברת מול אשתקד'!A74,אינפניטי!A:K,8,0)</f>
        <v>0</v>
      </c>
      <c r="M74" s="12">
        <f>VLOOKUP(A74,הכשרה!A:K,9,0)+VLOOKUP('תפוקה מצטברת מול אשתקד'!A74,מגדל!A:K,9,0)+VLOOKUP('תפוקה מצטברת מול אשתקד'!A74,מנורה!A:K,9,0)+VLOOKUP('תפוקה מצטברת מול אשתקד'!A74,איילון!A:K,9,0)+VLOOKUP('תפוקה מצטברת מול אשתקד'!A74,הראל!A:K,9,0)+VLOOKUP('תפוקה מצטברת מול אשתקד'!A74,הפניקס!A:K,9,0)+VLOOKUP('תפוקה מצטברת מול אשתקד'!A74,כלל!A:K,9,0)+VLOOKUP('תפוקה מצטברת מול אשתקד'!A74,מור!A:K,9,0)+VLOOKUP('תפוקה מצטברת מול אשתקד'!A74,'אלטשולר שחם'!A:K,9,0)+VLOOKUP('תפוקה מצטברת מול אשתקד'!A74,'מדיהו '!A:K,9,0)+VLOOKUP('תפוקה מצטברת מול אשתקד'!A74,'אנליסט '!A:K,9,0)+VLOOKUP('תפוקה מצטברת מול אשתקד'!A74,'מיטב דש'!A:K,9,0)+VLOOKUP('תפוקה מצטברת מול אשתקד'!A74,אינפניטי!A:K,9,0)</f>
        <v>22162.866539648523</v>
      </c>
      <c r="N74" s="12">
        <f>VLOOKUP(A74,הכשרה!A:K,10,0)+VLOOKUP('תפוקה מצטברת מול אשתקד'!A74,מגדל!A:K,10,0)+VLOOKUP('תפוקה מצטברת מול אשתקד'!A74,מנורה!A:K,10,0)+VLOOKUP('תפוקה מצטברת מול אשתקד'!A74,איילון!A:K,10,0)+VLOOKUP('תפוקה מצטברת מול אשתקד'!A74,הראל!A:K,10,0)+VLOOKUP('תפוקה מצטברת מול אשתקד'!A74,הפניקס!A:K,10,0)+VLOOKUP('תפוקה מצטברת מול אשתקד'!A74,כלל!A:K,10,0)+VLOOKUP('תפוקה מצטברת מול אשתקד'!A74,מור!A:K,10,0)+VLOOKUP('תפוקה מצטברת מול אשתקד'!A74,'אלטשולר שחם'!A:K,10,0)+VLOOKUP('תפוקה מצטברת מול אשתקד'!A74,'מדיהו '!A:K,10,0)+VLOOKUP('תפוקה מצטברת מול אשתקד'!A74,'אנליסט '!A:K,10,0)+VLOOKUP('תפוקה מצטברת מול אשתקד'!A74,'מיטב דש'!A:K,10,0)+VLOOKUP('תפוקה מצטברת מול אשתקד'!A74,אינפניטי!A:K,10,0)</f>
        <v>0</v>
      </c>
      <c r="O74" s="12">
        <f>VLOOKUP(A74,הכשרה!A:K,11,0)+VLOOKUP('תפוקה מצטברת מול אשתקד'!A74,מגדל!A:K,11,0)+VLOOKUP('תפוקה מצטברת מול אשתקד'!A74,מנורה!A:K,11,0)+VLOOKUP('תפוקה מצטברת מול אשתקד'!A74,איילון!A:K,11,0)+VLOOKUP('תפוקה מצטברת מול אשתקד'!A74,הראל!A:K,11,0)+VLOOKUP('תפוקה מצטברת מול אשתקד'!A74,הפניקס!A:K,11,0)+VLOOKUP('תפוקה מצטברת מול אשתקד'!A74,כלל!A:K,11,0)+VLOOKUP('תפוקה מצטברת מול אשתקד'!A74,מור!A:K,11,0)+VLOOKUP('תפוקה מצטברת מול אשתקד'!A74,'אלטשולר שחם'!A:K,11,0)+VLOOKUP('תפוקה מצטברת מול אשתקד'!A74,'מדיהו '!A:K,11,0)+VLOOKUP('תפוקה מצטברת מול אשתקד'!A74,'אנליסט '!A:K,11,0)+VLOOKUP('תפוקה מצטברת מול אשתקד'!A74,'מיטב דש'!A:K,11,0)+VLOOKUP('תפוקה מצטברת מול אשתקד'!A74,אינפניטי!A:K,11,0)</f>
        <v>0</v>
      </c>
    </row>
    <row r="75" spans="1:15" ht="28.2" customHeight="1" thickBot="1" x14ac:dyDescent="0.3">
      <c r="A75" s="122" t="s">
        <v>44</v>
      </c>
      <c r="B75" s="121"/>
      <c r="C75" s="121"/>
      <c r="D75" s="126">
        <f t="shared" si="17"/>
        <v>0.40854725787370061</v>
      </c>
      <c r="E75" s="126">
        <f t="shared" si="17"/>
        <v>0.20597973648420131</v>
      </c>
      <c r="F75" s="126">
        <f t="shared" si="17"/>
        <v>0.47274726335424311</v>
      </c>
      <c r="G75" s="19">
        <f t="shared" si="5"/>
        <v>0.37647458748540519</v>
      </c>
      <c r="H75" s="124">
        <f>SUM(H67:H74)</f>
        <v>3975565.6801011884</v>
      </c>
      <c r="I75" s="124">
        <f t="shared" ref="I75:O75" si="18">SUM(I67:I74)</f>
        <v>652695.64170003426</v>
      </c>
      <c r="J75" s="124">
        <f t="shared" si="18"/>
        <v>27948634.191716284</v>
      </c>
      <c r="K75" s="124">
        <f t="shared" si="18"/>
        <v>29592393.379999999</v>
      </c>
      <c r="L75" s="124">
        <f t="shared" si="18"/>
        <v>2822458.1446437086</v>
      </c>
      <c r="M75" s="124">
        <f t="shared" si="18"/>
        <v>541216.0934004091</v>
      </c>
      <c r="N75" s="124">
        <f t="shared" si="18"/>
        <v>18977210.066622093</v>
      </c>
      <c r="O75" s="124">
        <f t="shared" si="18"/>
        <v>21498684.864252001</v>
      </c>
    </row>
    <row r="76" spans="1:15" ht="30" customHeight="1" thickBot="1" x14ac:dyDescent="0.3">
      <c r="A76" s="122" t="s">
        <v>45</v>
      </c>
      <c r="B76" s="121"/>
      <c r="C76" s="121"/>
      <c r="D76" s="126">
        <f t="shared" si="17"/>
        <v>0.28593697460957146</v>
      </c>
      <c r="E76" s="126">
        <f t="shared" si="17"/>
        <v>2.3588629733123812E-2</v>
      </c>
      <c r="F76" s="126">
        <f t="shared" si="17"/>
        <v>4.1488034292581411E-2</v>
      </c>
      <c r="G76" s="19">
        <f t="shared" si="5"/>
        <v>6.8566129023150291E-2</v>
      </c>
      <c r="H76" s="124">
        <f>H75+H66+H56+H22+H8</f>
        <v>19275812.732675359</v>
      </c>
      <c r="I76" s="124">
        <f t="shared" ref="I76:O76" si="19">I75+I66+I56+I22+I8</f>
        <v>2945087.4056243943</v>
      </c>
      <c r="J76" s="124">
        <f t="shared" si="19"/>
        <v>72592309.604164883</v>
      </c>
      <c r="K76" s="124">
        <f t="shared" si="19"/>
        <v>94870880.75</v>
      </c>
      <c r="L76" s="124">
        <f t="shared" si="19"/>
        <v>14989702.538514974</v>
      </c>
      <c r="M76" s="124">
        <f t="shared" si="19"/>
        <v>2877217.7807331206</v>
      </c>
      <c r="N76" s="124">
        <f t="shared" si="19"/>
        <v>69700569.967155084</v>
      </c>
      <c r="O76" s="124">
        <f t="shared" si="19"/>
        <v>88783350.111169994</v>
      </c>
    </row>
    <row r="77" spans="1:15" ht="15.75" customHeight="1" x14ac:dyDescent="0.25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5" customFormat="1" ht="15.75" customHeight="1" x14ac:dyDescent="0.3">
      <c r="A78" s="32"/>
    </row>
    <row r="79" spans="1:15" customFormat="1" ht="15.75" customHeight="1" x14ac:dyDescent="0.3">
      <c r="A79" s="32"/>
      <c r="H79" s="6"/>
      <c r="I79" s="6"/>
      <c r="J79" s="6"/>
      <c r="K79" s="6"/>
    </row>
    <row r="80" spans="1:15" customFormat="1" ht="15.75" customHeight="1" x14ac:dyDescent="0.3">
      <c r="A80" s="32"/>
    </row>
    <row r="81" spans="1:14" customFormat="1" ht="15.75" customHeight="1" x14ac:dyDescent="0.3">
      <c r="A81" s="32"/>
      <c r="H81" s="9"/>
      <c r="I81" s="9"/>
      <c r="J81" s="9"/>
      <c r="K81" s="9"/>
      <c r="N81" s="97"/>
    </row>
    <row r="82" spans="1:14" ht="15.75" customHeight="1" x14ac:dyDescent="0.25">
      <c r="H82" s="10"/>
      <c r="I82" s="10"/>
      <c r="J82" s="10"/>
      <c r="K82" s="10"/>
    </row>
  </sheetData>
  <mergeCells count="3">
    <mergeCell ref="H1:K1"/>
    <mergeCell ref="D1:F1"/>
    <mergeCell ref="L1:O1"/>
  </mergeCells>
  <conditionalFormatting sqref="A14">
    <cfRule type="duplicateValues" dxfId="361" priority="13"/>
    <cfRule type="duplicateValues" dxfId="360" priority="14"/>
  </conditionalFormatting>
  <conditionalFormatting sqref="A60">
    <cfRule type="duplicateValues" dxfId="359" priority="17"/>
    <cfRule type="duplicateValues" dxfId="358" priority="18"/>
  </conditionalFormatting>
  <conditionalFormatting sqref="A65 A23:A55 A61 A57:A59 A7">
    <cfRule type="duplicateValues" dxfId="357" priority="224"/>
    <cfRule type="duplicateValues" dxfId="356" priority="225"/>
  </conditionalFormatting>
  <conditionalFormatting sqref="A67:A74">
    <cfRule type="duplicateValues" dxfId="355" priority="126"/>
    <cfRule type="duplicateValues" dxfId="354" priority="127"/>
  </conditionalFormatting>
  <conditionalFormatting sqref="A75:A1048576 A1:A6 A8:A13 A15:A22 A66 A56">
    <cfRule type="duplicateValues" dxfId="353" priority="80"/>
    <cfRule type="duplicateValues" dxfId="352" priority="81"/>
  </conditionalFormatting>
  <conditionalFormatting sqref="D1:D25 E2:G25 G15:G76 D26:G77 D82:G1048576">
    <cfRule type="cellIs" dxfId="351" priority="35" operator="lessThan">
      <formula>-0.0001</formula>
    </cfRule>
  </conditionalFormatting>
  <conditionalFormatting sqref="D3:G77 D82:G1048576">
    <cfRule type="cellIs" dxfId="350" priority="36" operator="greaterThan">
      <formula>0.1</formula>
    </cfRule>
  </conditionalFormatting>
  <conditionalFormatting sqref="H8:O8">
    <cfRule type="duplicateValues" dxfId="349" priority="9"/>
    <cfRule type="duplicateValues" dxfId="348" priority="10"/>
  </conditionalFormatting>
  <conditionalFormatting sqref="H22:O22">
    <cfRule type="duplicateValues" dxfId="347" priority="1"/>
    <cfRule type="duplicateValues" dxfId="346" priority="2"/>
  </conditionalFormatting>
  <conditionalFormatting sqref="H56:O56">
    <cfRule type="duplicateValues" dxfId="345" priority="5"/>
    <cfRule type="duplicateValues" dxfId="344" priority="6"/>
  </conditionalFormatting>
  <conditionalFormatting sqref="H66:O66">
    <cfRule type="duplicateValues" dxfId="343" priority="3"/>
    <cfRule type="duplicateValues" dxfId="342" priority="4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74A9-708B-40D6-85A7-35DB7FD43F66}">
  <sheetPr>
    <tabColor theme="4" tint="0.39997558519241921"/>
  </sheetPr>
  <dimension ref="A1:R82"/>
  <sheetViews>
    <sheetView rightToLeft="1" workbookViewId="0">
      <selection activeCell="L14" sqref="L14"/>
    </sheetView>
  </sheetViews>
  <sheetFormatPr defaultColWidth="27.69921875" defaultRowHeight="20.399999999999999" x14ac:dyDescent="0.25"/>
  <cols>
    <col min="1" max="1" width="27.59765625" style="94" bestFit="1" customWidth="1"/>
    <col min="2" max="2" width="10.09765625" style="4" bestFit="1" customWidth="1"/>
    <col min="3" max="3" width="10.3984375" style="4" bestFit="1" customWidth="1"/>
    <col min="4" max="4" width="10.69921875" style="3" bestFit="1" customWidth="1"/>
    <col min="5" max="5" width="11" style="3" bestFit="1" customWidth="1"/>
    <col min="6" max="6" width="11.69921875" style="3" bestFit="1" customWidth="1"/>
    <col min="7" max="7" width="13.59765625" style="3" bestFit="1" customWidth="1"/>
    <col min="8" max="8" width="14.69921875" style="3" bestFit="1" customWidth="1"/>
    <col min="9" max="9" width="13.59765625" style="3" bestFit="1" customWidth="1"/>
    <col min="10" max="10" width="15" style="3" bestFit="1" customWidth="1"/>
    <col min="11" max="11" width="16.09765625" style="3" bestFit="1" customWidth="1"/>
    <col min="12" max="12" width="15" style="3" bestFit="1" customWidth="1"/>
    <col min="13" max="13" width="13.59765625" style="3" bestFit="1" customWidth="1"/>
    <col min="14" max="15" width="16.3984375" style="3" bestFit="1" customWidth="1"/>
    <col min="16" max="16384" width="27.69921875" style="3"/>
  </cols>
  <sheetData>
    <row r="1" spans="1:16" ht="15.75" customHeight="1" x14ac:dyDescent="0.25">
      <c r="A1" s="26"/>
      <c r="B1" s="26"/>
      <c r="C1" s="26"/>
      <c r="D1" s="221" t="s">
        <v>52</v>
      </c>
      <c r="E1" s="221"/>
      <c r="F1" s="221"/>
      <c r="G1" s="100"/>
      <c r="H1" s="218" t="s">
        <v>137</v>
      </c>
      <c r="I1" s="219"/>
      <c r="J1" s="219"/>
      <c r="K1" s="220"/>
      <c r="L1" s="222" t="s">
        <v>138</v>
      </c>
      <c r="M1" s="223"/>
      <c r="N1" s="223"/>
      <c r="O1" s="223"/>
    </row>
    <row r="2" spans="1:16" ht="15.75" customHeight="1" x14ac:dyDescent="0.25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25" t="s">
        <v>46</v>
      </c>
      <c r="I2" s="25" t="s">
        <v>50</v>
      </c>
      <c r="J2" s="25" t="s">
        <v>48</v>
      </c>
      <c r="K2" s="25" t="s">
        <v>49</v>
      </c>
      <c r="L2" s="29" t="s">
        <v>46</v>
      </c>
      <c r="M2" s="29" t="s">
        <v>47</v>
      </c>
      <c r="N2" s="29" t="s">
        <v>48</v>
      </c>
      <c r="O2" s="29" t="s">
        <v>89</v>
      </c>
      <c r="P2" s="5"/>
    </row>
    <row r="3" spans="1:16" ht="15.75" customHeight="1" x14ac:dyDescent="0.25">
      <c r="A3" s="26" t="s">
        <v>1</v>
      </c>
      <c r="B3" s="26" t="s">
        <v>108</v>
      </c>
      <c r="C3" s="26" t="s">
        <v>58</v>
      </c>
      <c r="D3" s="19">
        <f>IF(H3=0,0%,IF(L3=0,100%,H3/L3-1))</f>
        <v>3.7681172684012196</v>
      </c>
      <c r="E3" s="19">
        <f>IF(I3=0,0%,IF(M3=0,100%,I3/M3-1))</f>
        <v>-0.67318284743506851</v>
      </c>
      <c r="F3" s="19">
        <f t="shared" ref="D3:G69" si="0">IF(J3=0,0%,IF(N3=0,100%,J3/N3-1))</f>
        <v>2.2917809240966207</v>
      </c>
      <c r="G3" s="19">
        <f t="shared" ref="G3:G5" si="1">IF(K3=0,0%,IF(O3=H29,100%,K3/O3-1))</f>
        <v>0.81051062920945594</v>
      </c>
      <c r="H3" s="58">
        <v>1649391.4227679241</v>
      </c>
      <c r="I3" s="58">
        <v>37856.593856191554</v>
      </c>
      <c r="J3" s="58">
        <v>2461770.5397000015</v>
      </c>
      <c r="K3" s="58">
        <v>11264408.830000002</v>
      </c>
      <c r="L3" s="12">
        <v>345920.90125354147</v>
      </c>
      <c r="M3" s="12">
        <v>115834.17075598647</v>
      </c>
      <c r="N3" s="12">
        <v>747853.69879242405</v>
      </c>
      <c r="O3" s="12">
        <v>6221675.0613159947</v>
      </c>
      <c r="P3" s="89"/>
    </row>
    <row r="4" spans="1:16" ht="15.75" customHeight="1" x14ac:dyDescent="0.25">
      <c r="A4" s="26" t="s">
        <v>2</v>
      </c>
      <c r="B4" s="26" t="s">
        <v>108</v>
      </c>
      <c r="C4" s="26" t="s">
        <v>58</v>
      </c>
      <c r="D4" s="19">
        <f t="shared" si="0"/>
        <v>6.2050694838560085</v>
      </c>
      <c r="E4" s="19">
        <f t="shared" ref="E4:E67" si="2">IF(I4=0,0%,IF(M4=0,100%,I4/M4-1))</f>
        <v>-0.99506416584401636</v>
      </c>
      <c r="F4" s="19">
        <f t="shared" si="0"/>
        <v>-0.88289615978071723</v>
      </c>
      <c r="G4" s="19">
        <f t="shared" si="1"/>
        <v>-0.98853360003310142</v>
      </c>
      <c r="H4" s="58">
        <v>70832.523380034952</v>
      </c>
      <c r="I4" s="58">
        <v>7.0000000000163709E-2</v>
      </c>
      <c r="J4" s="58">
        <v>137968.19630000019</v>
      </c>
      <c r="K4" s="58">
        <v>27396.25</v>
      </c>
      <c r="L4" s="12">
        <v>9830.9285620000446</v>
      </c>
      <c r="M4" s="12">
        <v>14.182000000000698</v>
      </c>
      <c r="N4" s="12">
        <v>1178169.6999999993</v>
      </c>
      <c r="O4" s="12">
        <v>2389263.4199999995</v>
      </c>
      <c r="P4" s="89"/>
    </row>
    <row r="5" spans="1:16" ht="15.75" customHeight="1" x14ac:dyDescent="0.25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2"/>
        <v>1</v>
      </c>
      <c r="F5" s="19">
        <f t="shared" si="0"/>
        <v>0</v>
      </c>
      <c r="G5" s="19">
        <f t="shared" si="1"/>
        <v>0</v>
      </c>
      <c r="H5" s="58">
        <v>0</v>
      </c>
      <c r="I5" s="58">
        <v>7419.57</v>
      </c>
      <c r="J5" s="58">
        <v>0</v>
      </c>
      <c r="K5" s="58">
        <v>0</v>
      </c>
      <c r="L5" s="12"/>
      <c r="M5" s="12"/>
      <c r="N5" s="12"/>
      <c r="O5" s="12"/>
      <c r="P5" s="89"/>
    </row>
    <row r="6" spans="1:16" ht="15.75" customHeight="1" x14ac:dyDescent="0.25">
      <c r="A6" s="28" t="s">
        <v>105</v>
      </c>
      <c r="B6" s="26" t="s">
        <v>108</v>
      </c>
      <c r="C6" s="28" t="s">
        <v>58</v>
      </c>
      <c r="D6" s="101">
        <f t="shared" si="0"/>
        <v>1</v>
      </c>
      <c r="E6" s="19">
        <f t="shared" si="2"/>
        <v>1</v>
      </c>
      <c r="F6" s="101">
        <f t="shared" si="0"/>
        <v>1</v>
      </c>
      <c r="G6" s="19">
        <f>IF(K6=0,0%,IF(O6=H32,100%,K6/O6-1))</f>
        <v>1</v>
      </c>
      <c r="H6" s="58">
        <v>-9959.9997517626034</v>
      </c>
      <c r="I6" s="58">
        <v>8322.5447793590429</v>
      </c>
      <c r="J6" s="58">
        <v>48377.719999999972</v>
      </c>
      <c r="K6" s="58">
        <v>-142394.31000000008</v>
      </c>
      <c r="L6" s="12"/>
      <c r="M6" s="12"/>
      <c r="N6" s="12"/>
      <c r="O6" s="12"/>
      <c r="P6" s="89"/>
    </row>
    <row r="7" spans="1:16" ht="15.75" customHeight="1" thickBot="1" x14ac:dyDescent="0.3">
      <c r="A7" s="26" t="s">
        <v>34</v>
      </c>
      <c r="B7" s="26" t="s">
        <v>108</v>
      </c>
      <c r="C7" s="27" t="s">
        <v>58</v>
      </c>
      <c r="D7" s="19">
        <f>IF(H7=0,0%,IF(L7=0,100%,H7/L7-1))</f>
        <v>-0.73730723606167703</v>
      </c>
      <c r="E7" s="19">
        <f t="shared" si="2"/>
        <v>-1.0234318576969372</v>
      </c>
      <c r="F7" s="19">
        <f>IF(J7=0,0%,IF(N7=0,100%,J7/N7-1))</f>
        <v>-19.631404113964376</v>
      </c>
      <c r="G7" s="19">
        <f t="shared" ref="G7:G70" si="3">IF(K7=0,0%,IF(O7=H33,100%,K7/O7-1))</f>
        <v>-0.36124288958338935</v>
      </c>
      <c r="H7" s="58">
        <v>88.580000000001746</v>
      </c>
      <c r="I7" s="58">
        <v>17.519999999999982</v>
      </c>
      <c r="J7" s="58">
        <v>-2916.5599999999995</v>
      </c>
      <c r="K7" s="58">
        <v>568.19999999999709</v>
      </c>
      <c r="L7" s="12">
        <v>337.19999999999709</v>
      </c>
      <c r="M7" s="12">
        <v>-747.7</v>
      </c>
      <c r="N7" s="12">
        <v>156.54000000000087</v>
      </c>
      <c r="O7" s="12">
        <v>889.54000000000815</v>
      </c>
    </row>
    <row r="8" spans="1:16" ht="26.4" customHeight="1" thickBot="1" x14ac:dyDescent="0.3">
      <c r="A8" s="122" t="s">
        <v>3</v>
      </c>
      <c r="B8" s="121"/>
      <c r="C8" s="121"/>
      <c r="D8" s="126">
        <f t="shared" si="0"/>
        <v>3.8031598369716146</v>
      </c>
      <c r="E8" s="19">
        <f t="shared" si="2"/>
        <v>-0.53417902199723222</v>
      </c>
      <c r="F8" s="126">
        <f t="shared" si="0"/>
        <v>0.37328805202817739</v>
      </c>
      <c r="G8" s="19">
        <f t="shared" si="3"/>
        <v>0.2947284760449902</v>
      </c>
      <c r="H8" s="124">
        <f>SUM(H3:H7)</f>
        <v>1710352.5263961968</v>
      </c>
      <c r="I8" s="124">
        <f t="shared" ref="I8:O8" si="4">SUM(I3:I7)</f>
        <v>53616.298635550593</v>
      </c>
      <c r="J8" s="124">
        <f t="shared" si="4"/>
        <v>2645199.8960000011</v>
      </c>
      <c r="K8" s="124">
        <f t="shared" si="4"/>
        <v>11149978.970000001</v>
      </c>
      <c r="L8" s="124">
        <f t="shared" si="4"/>
        <v>356089.02981554152</v>
      </c>
      <c r="M8" s="124">
        <f t="shared" si="4"/>
        <v>115100.65275598648</v>
      </c>
      <c r="N8" s="124">
        <f t="shared" si="4"/>
        <v>1926179.9387924233</v>
      </c>
      <c r="O8" s="124">
        <f t="shared" si="4"/>
        <v>8611828.0213159937</v>
      </c>
    </row>
    <row r="9" spans="1:16" ht="15.75" customHeight="1" x14ac:dyDescent="0.25">
      <c r="A9" s="27" t="s">
        <v>4</v>
      </c>
      <c r="B9" s="26" t="s">
        <v>108</v>
      </c>
      <c r="C9" s="27" t="s">
        <v>106</v>
      </c>
      <c r="D9" s="103">
        <f t="shared" si="0"/>
        <v>194.84915688835551</v>
      </c>
      <c r="E9" s="19">
        <f t="shared" si="2"/>
        <v>-0.82253501202433066</v>
      </c>
      <c r="F9" s="103">
        <f t="shared" si="0"/>
        <v>0</v>
      </c>
      <c r="G9" s="19">
        <f t="shared" si="3"/>
        <v>-0.95053946506835296</v>
      </c>
      <c r="H9" s="58">
        <v>17494.850087565672</v>
      </c>
      <c r="I9" s="58">
        <v>12.545000000000073</v>
      </c>
      <c r="J9" s="58">
        <v>0</v>
      </c>
      <c r="K9" s="58">
        <v>-29509.910000000033</v>
      </c>
      <c r="L9" s="12">
        <v>89.328186883840772</v>
      </c>
      <c r="M9" s="12">
        <v>70.690000000000012</v>
      </c>
      <c r="N9" s="12">
        <v>0</v>
      </c>
      <c r="O9" s="12">
        <v>-596635.4800000001</v>
      </c>
    </row>
    <row r="10" spans="1:16" ht="15.75" customHeight="1" x14ac:dyDescent="0.25">
      <c r="A10" s="26" t="s">
        <v>5</v>
      </c>
      <c r="B10" s="26" t="s">
        <v>108</v>
      </c>
      <c r="C10" s="26" t="s">
        <v>106</v>
      </c>
      <c r="D10" s="19">
        <f t="shared" si="0"/>
        <v>-0.65366207742911886</v>
      </c>
      <c r="E10" s="19">
        <f t="shared" si="2"/>
        <v>-0.12232169169002993</v>
      </c>
      <c r="F10" s="19">
        <f t="shared" si="0"/>
        <v>-0.97248563569119539</v>
      </c>
      <c r="G10" s="19">
        <f t="shared" si="3"/>
        <v>-0.93378013599616805</v>
      </c>
      <c r="H10" s="58">
        <v>42392.560270429472</v>
      </c>
      <c r="I10" s="58">
        <v>152383.70842692966</v>
      </c>
      <c r="J10" s="58">
        <v>2700</v>
      </c>
      <c r="K10" s="58">
        <v>24992.85999999987</v>
      </c>
      <c r="L10" s="12">
        <v>122402.30568962154</v>
      </c>
      <c r="M10" s="12">
        <v>173621.36785669794</v>
      </c>
      <c r="N10" s="12">
        <v>98130.560811684787</v>
      </c>
      <c r="O10" s="12">
        <v>377422.4</v>
      </c>
    </row>
    <row r="11" spans="1:16" ht="15.75" customHeight="1" x14ac:dyDescent="0.25">
      <c r="A11" s="26" t="s">
        <v>6</v>
      </c>
      <c r="B11" s="26" t="s">
        <v>108</v>
      </c>
      <c r="C11" s="26" t="s">
        <v>106</v>
      </c>
      <c r="D11" s="19">
        <f t="shared" si="0"/>
        <v>-0.22958459949996612</v>
      </c>
      <c r="E11" s="19">
        <f t="shared" si="2"/>
        <v>-0.7830690415571987</v>
      </c>
      <c r="F11" s="19">
        <f t="shared" si="0"/>
        <v>-1.7590735292931363</v>
      </c>
      <c r="G11" s="19">
        <f t="shared" si="3"/>
        <v>1.9083486963392589</v>
      </c>
      <c r="H11" s="58">
        <v>34217.043747810865</v>
      </c>
      <c r="I11" s="58">
        <v>2470.9639901373739</v>
      </c>
      <c r="J11" s="58">
        <v>-53692.97000000003</v>
      </c>
      <c r="K11" s="58">
        <v>6073.6500000000233</v>
      </c>
      <c r="L11" s="12">
        <v>44413.758766507628</v>
      </c>
      <c r="M11" s="12">
        <v>11390.554893016335</v>
      </c>
      <c r="N11" s="12">
        <v>70734.873405478837</v>
      </c>
      <c r="O11" s="12">
        <v>2088.3499999999767</v>
      </c>
    </row>
    <row r="12" spans="1:16" ht="15.75" customHeight="1" x14ac:dyDescent="0.25">
      <c r="A12" s="26" t="s">
        <v>7</v>
      </c>
      <c r="B12" s="26" t="s">
        <v>108</v>
      </c>
      <c r="C12" s="26" t="s">
        <v>106</v>
      </c>
      <c r="D12" s="19">
        <f t="shared" si="0"/>
        <v>460.04382008782062</v>
      </c>
      <c r="E12" s="19">
        <f t="shared" si="2"/>
        <v>-612.79310344828093</v>
      </c>
      <c r="F12" s="19">
        <f t="shared" si="0"/>
        <v>1</v>
      </c>
      <c r="G12" s="19" t="e">
        <f t="shared" si="3"/>
        <v>#DIV/0!</v>
      </c>
      <c r="H12" s="58">
        <v>63651.709801324512</v>
      </c>
      <c r="I12" s="58">
        <v>-887.10000000000036</v>
      </c>
      <c r="J12" s="58">
        <v>208189.14</v>
      </c>
      <c r="K12" s="58">
        <v>131467.6</v>
      </c>
      <c r="L12" s="12">
        <v>138.06</v>
      </c>
      <c r="M12" s="12">
        <v>1.4499999999999886</v>
      </c>
      <c r="N12" s="12">
        <v>0</v>
      </c>
      <c r="O12" s="12">
        <v>0</v>
      </c>
    </row>
    <row r="13" spans="1:16" ht="15.75" customHeight="1" x14ac:dyDescent="0.25">
      <c r="A13" s="26" t="s">
        <v>8</v>
      </c>
      <c r="B13" s="26" t="s">
        <v>108</v>
      </c>
      <c r="C13" s="26" t="s">
        <v>106</v>
      </c>
      <c r="D13" s="19">
        <f t="shared" si="0"/>
        <v>1</v>
      </c>
      <c r="E13" s="19">
        <f t="shared" si="2"/>
        <v>-0.54981741662765038</v>
      </c>
      <c r="F13" s="19">
        <f t="shared" si="0"/>
        <v>0</v>
      </c>
      <c r="G13" s="19">
        <f t="shared" si="3"/>
        <v>0</v>
      </c>
      <c r="H13" s="58">
        <v>-401.41788499999893</v>
      </c>
      <c r="I13" s="58">
        <v>48903.386280000006</v>
      </c>
      <c r="J13" s="58">
        <v>0</v>
      </c>
      <c r="K13" s="58">
        <v>0</v>
      </c>
      <c r="L13" s="12">
        <v>0</v>
      </c>
      <c r="M13" s="12">
        <v>108630.11606015782</v>
      </c>
      <c r="N13" s="12">
        <v>6715.7199999999721</v>
      </c>
      <c r="O13" s="12">
        <v>921.77999999999884</v>
      </c>
    </row>
    <row r="14" spans="1:16" ht="15.75" customHeight="1" x14ac:dyDescent="0.25">
      <c r="A14" s="26" t="s">
        <v>9</v>
      </c>
      <c r="B14" s="26" t="s">
        <v>108</v>
      </c>
      <c r="C14" s="26" t="s">
        <v>106</v>
      </c>
      <c r="D14" s="19">
        <f t="shared" si="0"/>
        <v>-0.97586753170342466</v>
      </c>
      <c r="E14" s="19">
        <f t="shared" si="2"/>
        <v>0.19994192521686638</v>
      </c>
      <c r="F14" s="19">
        <f t="shared" si="0"/>
        <v>-0.58964684136548173</v>
      </c>
      <c r="G14" s="19">
        <f t="shared" si="3"/>
        <v>-0.90924605501000533</v>
      </c>
      <c r="H14" s="58">
        <v>4908.0100000000093</v>
      </c>
      <c r="I14" s="58">
        <v>1960.5620000000054</v>
      </c>
      <c r="J14" s="58">
        <v>7123.3800000001211</v>
      </c>
      <c r="K14" s="58">
        <v>179528.20999999996</v>
      </c>
      <c r="L14" s="12">
        <v>203377.86999999994</v>
      </c>
      <c r="M14" s="12">
        <v>1633.880739391343</v>
      </c>
      <c r="N14" s="12">
        <v>17359.145043999946</v>
      </c>
      <c r="O14" s="12">
        <v>1978186.2928360007</v>
      </c>
    </row>
    <row r="15" spans="1:16" ht="15.75" customHeight="1" x14ac:dyDescent="0.25">
      <c r="A15" s="26" t="s">
        <v>31</v>
      </c>
      <c r="B15" s="26" t="s">
        <v>108</v>
      </c>
      <c r="C15" s="26" t="s">
        <v>106</v>
      </c>
      <c r="D15" s="19">
        <f t="shared" si="0"/>
        <v>0</v>
      </c>
      <c r="E15" s="19">
        <f t="shared" si="2"/>
        <v>0</v>
      </c>
      <c r="F15" s="19">
        <f t="shared" si="0"/>
        <v>1</v>
      </c>
      <c r="G15" s="19">
        <f t="shared" si="3"/>
        <v>0</v>
      </c>
      <c r="H15" s="58">
        <v>0</v>
      </c>
      <c r="I15" s="58">
        <v>0</v>
      </c>
      <c r="J15" s="58">
        <v>-83454.310000000027</v>
      </c>
      <c r="K15" s="58">
        <v>0</v>
      </c>
      <c r="L15" s="12">
        <v>321.06999999999971</v>
      </c>
      <c r="M15" s="12">
        <v>0</v>
      </c>
      <c r="N15" s="12">
        <v>0</v>
      </c>
      <c r="O15" s="12">
        <v>0</v>
      </c>
    </row>
    <row r="16" spans="1:16" ht="15.75" customHeight="1" x14ac:dyDescent="0.25">
      <c r="A16" s="26" t="s">
        <v>96</v>
      </c>
      <c r="B16" s="26" t="s">
        <v>108</v>
      </c>
      <c r="C16" s="26" t="s">
        <v>106</v>
      </c>
      <c r="D16" s="19">
        <f t="shared" si="0"/>
        <v>0.89350938579905859</v>
      </c>
      <c r="E16" s="19">
        <f t="shared" si="2"/>
        <v>-0.54700479566434435</v>
      </c>
      <c r="F16" s="19">
        <f t="shared" si="0"/>
        <v>1</v>
      </c>
      <c r="G16" s="19">
        <f t="shared" si="3"/>
        <v>64.498212993786396</v>
      </c>
      <c r="H16" s="58">
        <v>30913.764400000015</v>
      </c>
      <c r="I16" s="58">
        <v>4023.1169999999947</v>
      </c>
      <c r="J16" s="58">
        <v>-6046.79</v>
      </c>
      <c r="K16" s="58">
        <v>98551.56</v>
      </c>
      <c r="L16" s="12">
        <v>16326.174368</v>
      </c>
      <c r="M16" s="12">
        <v>8881.146999999999</v>
      </c>
      <c r="N16" s="12">
        <v>0</v>
      </c>
      <c r="O16" s="12">
        <v>1504.6450199999999</v>
      </c>
    </row>
    <row r="17" spans="1:18" ht="15.75" customHeight="1" x14ac:dyDescent="0.25">
      <c r="A17" s="26" t="s">
        <v>42</v>
      </c>
      <c r="B17" s="26" t="s">
        <v>108</v>
      </c>
      <c r="C17" s="26" t="s">
        <v>106</v>
      </c>
      <c r="D17" s="19">
        <f t="shared" si="0"/>
        <v>-4.5698673120427609</v>
      </c>
      <c r="E17" s="19">
        <f t="shared" si="2"/>
        <v>0.96550681151834672</v>
      </c>
      <c r="F17" s="19">
        <f t="shared" si="0"/>
        <v>-0.10145366114886689</v>
      </c>
      <c r="G17" s="19">
        <f t="shared" si="3"/>
        <v>-0.20543263744018958</v>
      </c>
      <c r="H17" s="58">
        <v>62726.674020000035</v>
      </c>
      <c r="I17" s="58">
        <v>37392.985062466061</v>
      </c>
      <c r="J17" s="58">
        <v>206808.44273204915</v>
      </c>
      <c r="K17" s="58">
        <v>311980.28000000026</v>
      </c>
      <c r="L17" s="12">
        <v>-17571.149999999965</v>
      </c>
      <c r="M17" s="12">
        <v>19024.602124670389</v>
      </c>
      <c r="N17" s="12">
        <v>230158.90643600095</v>
      </c>
      <c r="O17" s="12">
        <v>392641.69999999995</v>
      </c>
    </row>
    <row r="18" spans="1:18" ht="15.75" customHeight="1" x14ac:dyDescent="0.25">
      <c r="A18" s="26" t="s">
        <v>43</v>
      </c>
      <c r="B18" s="26" t="s">
        <v>108</v>
      </c>
      <c r="C18" s="26" t="s">
        <v>106</v>
      </c>
      <c r="D18" s="19">
        <f t="shared" si="0"/>
        <v>0.4541795690408037</v>
      </c>
      <c r="E18" s="19">
        <f t="shared" si="2"/>
        <v>0.78589737344493127</v>
      </c>
      <c r="F18" s="19">
        <f t="shared" si="0"/>
        <v>0.35308875361988634</v>
      </c>
      <c r="G18" s="19">
        <f t="shared" si="3"/>
        <v>-0.87759111378422039</v>
      </c>
      <c r="H18" s="58">
        <v>146176.00423147215</v>
      </c>
      <c r="I18" s="58">
        <v>-12291.95604885809</v>
      </c>
      <c r="J18" s="58">
        <v>2023055.6029999997</v>
      </c>
      <c r="K18" s="58">
        <v>271829.51000000024</v>
      </c>
      <c r="L18" s="12">
        <v>100521.28866580885</v>
      </c>
      <c r="M18" s="12">
        <v>-6882.7897009262924</v>
      </c>
      <c r="N18" s="12">
        <v>1495138.8795360001</v>
      </c>
      <c r="O18" s="12">
        <v>2220668.1099999994</v>
      </c>
    </row>
    <row r="19" spans="1:18" ht="15.75" customHeight="1" x14ac:dyDescent="0.25">
      <c r="A19" s="26" t="s">
        <v>30</v>
      </c>
      <c r="B19" s="26" t="s">
        <v>108</v>
      </c>
      <c r="C19" s="26" t="s">
        <v>106</v>
      </c>
      <c r="D19" s="19">
        <f t="shared" si="0"/>
        <v>-0.99269420257896779</v>
      </c>
      <c r="E19" s="19">
        <f t="shared" si="2"/>
        <v>0</v>
      </c>
      <c r="F19" s="19">
        <f t="shared" si="0"/>
        <v>0</v>
      </c>
      <c r="G19" s="19" t="e">
        <f t="shared" si="3"/>
        <v>#DIV/0!</v>
      </c>
      <c r="H19" s="58">
        <v>5.0399999999990541</v>
      </c>
      <c r="I19" s="58">
        <v>0</v>
      </c>
      <c r="J19" s="58">
        <v>0</v>
      </c>
      <c r="K19" s="58">
        <v>-14201.174999999988</v>
      </c>
      <c r="L19" s="12">
        <v>689.86309221902013</v>
      </c>
      <c r="M19" s="12">
        <v>577.01855699999999</v>
      </c>
      <c r="N19" s="12">
        <v>275.41427199999998</v>
      </c>
      <c r="O19" s="12">
        <v>0</v>
      </c>
    </row>
    <row r="20" spans="1:18" ht="15.75" customHeight="1" x14ac:dyDescent="0.25">
      <c r="A20" s="28" t="s">
        <v>140</v>
      </c>
      <c r="B20" s="26" t="s">
        <v>108</v>
      </c>
      <c r="C20" s="26" t="s">
        <v>106</v>
      </c>
      <c r="D20" s="19">
        <f t="shared" si="0"/>
        <v>0</v>
      </c>
      <c r="E20" s="19">
        <f t="shared" si="2"/>
        <v>0</v>
      </c>
      <c r="F20" s="19">
        <f t="shared" si="0"/>
        <v>0</v>
      </c>
      <c r="G20" s="19">
        <f t="shared" si="3"/>
        <v>0</v>
      </c>
      <c r="H20" s="58"/>
      <c r="I20" s="58"/>
      <c r="J20" s="58"/>
      <c r="K20" s="58"/>
      <c r="L20" s="12"/>
      <c r="M20" s="12"/>
      <c r="N20" s="12"/>
      <c r="O20" s="12"/>
    </row>
    <row r="21" spans="1:18" ht="15.75" customHeight="1" thickBot="1" x14ac:dyDescent="0.3">
      <c r="A21" s="28" t="s">
        <v>38</v>
      </c>
      <c r="B21" s="26" t="s">
        <v>108</v>
      </c>
      <c r="C21" s="28" t="s">
        <v>106</v>
      </c>
      <c r="D21" s="101">
        <f t="shared" si="0"/>
        <v>0</v>
      </c>
      <c r="E21" s="19">
        <f t="shared" si="2"/>
        <v>0</v>
      </c>
      <c r="F21" s="101">
        <f t="shared" si="0"/>
        <v>0</v>
      </c>
      <c r="G21" s="19">
        <f t="shared" si="3"/>
        <v>0</v>
      </c>
      <c r="H21" s="58">
        <v>0</v>
      </c>
      <c r="I21" s="58">
        <v>0</v>
      </c>
      <c r="J21" s="58">
        <v>0</v>
      </c>
      <c r="K21" s="58">
        <v>0</v>
      </c>
      <c r="L21" s="12">
        <v>0</v>
      </c>
      <c r="M21" s="12">
        <v>9.2699999999999818</v>
      </c>
      <c r="N21" s="12">
        <v>0</v>
      </c>
      <c r="O21" s="12">
        <v>0</v>
      </c>
    </row>
    <row r="22" spans="1:18" ht="18" customHeight="1" thickBot="1" x14ac:dyDescent="0.3">
      <c r="A22" s="122" t="s">
        <v>10</v>
      </c>
      <c r="B22" s="121"/>
      <c r="C22" s="121"/>
      <c r="D22" s="126">
        <f t="shared" si="0"/>
        <v>-0.14578942183886501</v>
      </c>
      <c r="E22" s="19">
        <f t="shared" si="2"/>
        <v>-0.26183051738435048</v>
      </c>
      <c r="F22" s="126">
        <f t="shared" si="0"/>
        <v>0.20128552461397198</v>
      </c>
      <c r="G22" s="19">
        <f t="shared" si="3"/>
        <v>-0.77592919977239794</v>
      </c>
      <c r="H22" s="124">
        <f>SUM(H9:H21)</f>
        <v>402084.23867360275</v>
      </c>
      <c r="I22" s="124">
        <f t="shared" ref="I22:O22" si="5">SUM(I9:I21)</f>
        <v>233968.21171067501</v>
      </c>
      <c r="J22" s="124">
        <f t="shared" si="5"/>
        <v>2304682.495732049</v>
      </c>
      <c r="K22" s="124">
        <f t="shared" si="5"/>
        <v>980712.5850000002</v>
      </c>
      <c r="L22" s="124">
        <f t="shared" si="5"/>
        <v>470708.56876904087</v>
      </c>
      <c r="M22" s="124">
        <f t="shared" si="5"/>
        <v>316957.30753000756</v>
      </c>
      <c r="N22" s="124">
        <f t="shared" si="5"/>
        <v>1918513.4995051646</v>
      </c>
      <c r="O22" s="124">
        <f t="shared" si="5"/>
        <v>4376797.7978559993</v>
      </c>
      <c r="P22" s="35"/>
      <c r="Q22" s="35"/>
      <c r="R22" s="35"/>
    </row>
    <row r="23" spans="1:18" ht="15.75" customHeight="1" x14ac:dyDescent="0.25">
      <c r="A23" s="27" t="s">
        <v>11</v>
      </c>
      <c r="B23" s="27" t="s">
        <v>56</v>
      </c>
      <c r="C23" s="27" t="s">
        <v>107</v>
      </c>
      <c r="D23" s="103">
        <f t="shared" si="0"/>
        <v>-0.46320945075708808</v>
      </c>
      <c r="E23" s="19">
        <f t="shared" si="2"/>
        <v>0.15990895116617021</v>
      </c>
      <c r="F23" s="103">
        <f t="shared" si="0"/>
        <v>-0.96530906888432655</v>
      </c>
      <c r="G23" s="19">
        <f t="shared" si="3"/>
        <v>0.10620726136447245</v>
      </c>
      <c r="H23" s="58">
        <v>-14756.602279999992</v>
      </c>
      <c r="I23" s="58">
        <v>3184.91</v>
      </c>
      <c r="J23" s="58">
        <v>27510</v>
      </c>
      <c r="K23" s="58">
        <v>267692.59999999963</v>
      </c>
      <c r="L23" s="12">
        <v>-27490.428623999935</v>
      </c>
      <c r="M23" s="12">
        <v>2745.8275899999717</v>
      </c>
      <c r="N23" s="12">
        <v>793002.6411880001</v>
      </c>
      <c r="O23" s="12">
        <v>241991.36034400016</v>
      </c>
    </row>
    <row r="24" spans="1:18" customFormat="1" ht="15.75" customHeight="1" x14ac:dyDescent="0.25">
      <c r="A24" s="30" t="s">
        <v>12</v>
      </c>
      <c r="B24" s="26" t="s">
        <v>56</v>
      </c>
      <c r="C24" s="27" t="s">
        <v>107</v>
      </c>
      <c r="D24" s="19">
        <f t="shared" si="0"/>
        <v>0</v>
      </c>
      <c r="E24" s="19">
        <f t="shared" si="2"/>
        <v>0</v>
      </c>
      <c r="F24" s="19">
        <f t="shared" si="0"/>
        <v>0</v>
      </c>
      <c r="G24" s="19">
        <f t="shared" si="3"/>
        <v>0</v>
      </c>
      <c r="H24" s="58">
        <v>0</v>
      </c>
      <c r="I24" s="58">
        <v>0</v>
      </c>
      <c r="J24" s="58">
        <v>0</v>
      </c>
      <c r="K24" s="58">
        <v>0</v>
      </c>
      <c r="L24" s="12">
        <v>0</v>
      </c>
      <c r="M24" s="12">
        <v>0</v>
      </c>
      <c r="N24" s="12">
        <v>0</v>
      </c>
      <c r="O24" s="12">
        <v>-329998.16000000015</v>
      </c>
    </row>
    <row r="25" spans="1:18" ht="15.75" customHeight="1" x14ac:dyDescent="0.25">
      <c r="A25" s="30" t="s">
        <v>13</v>
      </c>
      <c r="B25" s="26" t="s">
        <v>56</v>
      </c>
      <c r="C25" s="27" t="s">
        <v>107</v>
      </c>
      <c r="D25" s="19">
        <f t="shared" si="0"/>
        <v>0</v>
      </c>
      <c r="E25" s="19">
        <f t="shared" si="2"/>
        <v>-1.0752623070594796</v>
      </c>
      <c r="F25" s="19">
        <f t="shared" si="0"/>
        <v>0</v>
      </c>
      <c r="G25" s="19">
        <f t="shared" si="3"/>
        <v>0</v>
      </c>
      <c r="H25" s="58">
        <v>0</v>
      </c>
      <c r="I25" s="58">
        <v>-885.08200000000033</v>
      </c>
      <c r="J25" s="58">
        <v>0</v>
      </c>
      <c r="K25" s="58">
        <v>0</v>
      </c>
      <c r="L25" s="12">
        <v>28372.134553314121</v>
      </c>
      <c r="M25" s="12">
        <v>11759.963713316989</v>
      </c>
      <c r="N25" s="12">
        <v>17867.685164265142</v>
      </c>
      <c r="O25" s="12">
        <v>0</v>
      </c>
    </row>
    <row r="26" spans="1:18" ht="15.75" customHeight="1" x14ac:dyDescent="0.25">
      <c r="A26" s="30" t="s">
        <v>15</v>
      </c>
      <c r="B26" s="26" t="s">
        <v>56</v>
      </c>
      <c r="C26" s="27" t="s">
        <v>107</v>
      </c>
      <c r="D26" s="19">
        <f t="shared" si="0"/>
        <v>7.0651625178675879</v>
      </c>
      <c r="E26" s="19">
        <f t="shared" si="2"/>
        <v>-0.42167082680540868</v>
      </c>
      <c r="F26" s="19">
        <f t="shared" si="0"/>
        <v>2.868103087380991E-2</v>
      </c>
      <c r="G26" s="19">
        <f t="shared" si="3"/>
        <v>11.239871184105347</v>
      </c>
      <c r="H26" s="58">
        <v>112476.63589999999</v>
      </c>
      <c r="I26" s="58">
        <v>5689.4506500000134</v>
      </c>
      <c r="J26" s="58">
        <v>89589.826620000065</v>
      </c>
      <c r="K26" s="58">
        <v>753305.31999999983</v>
      </c>
      <c r="L26" s="12">
        <v>13945.985049999785</v>
      </c>
      <c r="M26" s="12">
        <v>9837.7375959999772</v>
      </c>
      <c r="N26" s="12">
        <v>87091.940000000061</v>
      </c>
      <c r="O26" s="12">
        <v>61545.199999999953</v>
      </c>
    </row>
    <row r="27" spans="1:18" ht="15.75" customHeight="1" x14ac:dyDescent="0.25">
      <c r="A27" s="30" t="s">
        <v>17</v>
      </c>
      <c r="B27" s="26" t="s">
        <v>56</v>
      </c>
      <c r="C27" s="27" t="s">
        <v>107</v>
      </c>
      <c r="D27" s="19">
        <f t="shared" si="0"/>
        <v>0</v>
      </c>
      <c r="E27" s="19">
        <f t="shared" si="2"/>
        <v>8.8209512759938598</v>
      </c>
      <c r="F27" s="19">
        <f t="shared" si="0"/>
        <v>0</v>
      </c>
      <c r="G27" s="19">
        <f t="shared" si="3"/>
        <v>1.0608591301031303</v>
      </c>
      <c r="H27" s="58">
        <v>0</v>
      </c>
      <c r="I27" s="58">
        <v>6052.4371278458711</v>
      </c>
      <c r="J27" s="58">
        <v>0</v>
      </c>
      <c r="K27" s="58">
        <v>10974.649999999994</v>
      </c>
      <c r="L27" s="12">
        <v>50955.579175999999</v>
      </c>
      <c r="M27" s="12">
        <v>616.27809341039392</v>
      </c>
      <c r="N27" s="12">
        <v>6102.3104059999996</v>
      </c>
      <c r="O27" s="12">
        <v>5325.2790739999764</v>
      </c>
    </row>
    <row r="28" spans="1:18" ht="15.75" customHeight="1" x14ac:dyDescent="0.25">
      <c r="A28" s="30" t="s">
        <v>18</v>
      </c>
      <c r="B28" s="26" t="s">
        <v>56</v>
      </c>
      <c r="C28" s="27" t="s">
        <v>107</v>
      </c>
      <c r="D28" s="19">
        <f t="shared" si="0"/>
        <v>-1.2665019798743316</v>
      </c>
      <c r="E28" s="19">
        <f t="shared" si="2"/>
        <v>-0.6055115693039872</v>
      </c>
      <c r="F28" s="19">
        <f t="shared" si="0"/>
        <v>1.2855320891562716E-3</v>
      </c>
      <c r="G28" s="19">
        <f t="shared" si="3"/>
        <v>-0.16750118589574081</v>
      </c>
      <c r="H28" s="58">
        <v>73.360000000000582</v>
      </c>
      <c r="I28" s="58">
        <v>3862.726999999999</v>
      </c>
      <c r="J28" s="58">
        <v>9989.0300000000279</v>
      </c>
      <c r="K28" s="58">
        <v>631.80000000000291</v>
      </c>
      <c r="L28" s="12">
        <v>-275.26999999997497</v>
      </c>
      <c r="M28" s="12">
        <v>9791.7370940000037</v>
      </c>
      <c r="N28" s="12">
        <v>9976.2052680000052</v>
      </c>
      <c r="O28" s="12">
        <v>758.91999999999825</v>
      </c>
    </row>
    <row r="29" spans="1:18" ht="15.75" customHeight="1" x14ac:dyDescent="0.25">
      <c r="A29" s="26" t="s">
        <v>19</v>
      </c>
      <c r="B29" s="26" t="s">
        <v>56</v>
      </c>
      <c r="C29" s="27" t="s">
        <v>107</v>
      </c>
      <c r="D29" s="19">
        <f t="shared" si="0"/>
        <v>-0.62627689084186322</v>
      </c>
      <c r="E29" s="19">
        <f t="shared" si="2"/>
        <v>-0.92354744584030191</v>
      </c>
      <c r="F29" s="19">
        <f t="shared" si="0"/>
        <v>-2.2534780144630613</v>
      </c>
      <c r="G29" s="19">
        <f t="shared" si="3"/>
        <v>-0.84482787120413083</v>
      </c>
      <c r="H29" s="58">
        <v>81448.310000000027</v>
      </c>
      <c r="I29" s="58">
        <v>1593.6900000000023</v>
      </c>
      <c r="J29" s="58">
        <v>-261340.79000000004</v>
      </c>
      <c r="K29" s="58">
        <v>163152.92000000016</v>
      </c>
      <c r="L29" s="12">
        <v>217937.57999999961</v>
      </c>
      <c r="M29" s="12">
        <v>20845.477532000048</v>
      </c>
      <c r="N29" s="12">
        <v>208492.51999999996</v>
      </c>
      <c r="O29" s="12">
        <v>1051431.8599999994</v>
      </c>
    </row>
    <row r="30" spans="1:18" ht="15.75" customHeight="1" x14ac:dyDescent="0.25">
      <c r="A30" s="26" t="s">
        <v>20</v>
      </c>
      <c r="B30" s="26" t="s">
        <v>56</v>
      </c>
      <c r="C30" s="27" t="s">
        <v>107</v>
      </c>
      <c r="D30" s="19">
        <f t="shared" si="0"/>
        <v>-0.10469397692429983</v>
      </c>
      <c r="E30" s="19">
        <f t="shared" si="2"/>
        <v>-0.2227136086846635</v>
      </c>
      <c r="F30" s="19">
        <f t="shared" si="0"/>
        <v>-0.46842618902892386</v>
      </c>
      <c r="G30" s="19">
        <f t="shared" si="3"/>
        <v>-1.1324398371055686</v>
      </c>
      <c r="H30" s="58">
        <v>187580.24</v>
      </c>
      <c r="I30" s="58">
        <v>16023.374699546868</v>
      </c>
      <c r="J30" s="58">
        <v>152705.91000000015</v>
      </c>
      <c r="K30" s="58">
        <v>-295036.43000000017</v>
      </c>
      <c r="L30" s="12">
        <v>209515.22179599997</v>
      </c>
      <c r="M30" s="12">
        <v>20614.505642420751</v>
      </c>
      <c r="N30" s="12">
        <v>287271.31933199987</v>
      </c>
      <c r="O30" s="12">
        <v>2227701.546966</v>
      </c>
    </row>
    <row r="31" spans="1:18" ht="15.75" customHeight="1" x14ac:dyDescent="0.25">
      <c r="A31" s="26" t="s">
        <v>21</v>
      </c>
      <c r="B31" s="26" t="s">
        <v>56</v>
      </c>
      <c r="C31" s="27" t="s">
        <v>107</v>
      </c>
      <c r="D31" s="19">
        <f t="shared" si="0"/>
        <v>-0.9498492140855368</v>
      </c>
      <c r="E31" s="19">
        <f t="shared" si="2"/>
        <v>-0.99993662908195124</v>
      </c>
      <c r="F31" s="19">
        <f t="shared" si="0"/>
        <v>0</v>
      </c>
      <c r="G31" s="19">
        <f t="shared" si="3"/>
        <v>0</v>
      </c>
      <c r="H31" s="58">
        <v>-987.80999999999949</v>
      </c>
      <c r="I31" s="58">
        <v>0.10999999999999943</v>
      </c>
      <c r="J31" s="58">
        <v>0</v>
      </c>
      <c r="K31" s="58">
        <v>0</v>
      </c>
      <c r="L31" s="12">
        <v>-19696.8</v>
      </c>
      <c r="M31" s="12">
        <v>1735.8119999999999</v>
      </c>
      <c r="N31" s="12">
        <v>0</v>
      </c>
      <c r="O31" s="12">
        <v>-213955.23</v>
      </c>
    </row>
    <row r="32" spans="1:18" ht="15.75" customHeight="1" x14ac:dyDescent="0.25">
      <c r="A32" s="26" t="s">
        <v>22</v>
      </c>
      <c r="B32" s="26" t="s">
        <v>56</v>
      </c>
      <c r="C32" s="27" t="s">
        <v>107</v>
      </c>
      <c r="D32" s="19">
        <f t="shared" si="0"/>
        <v>0</v>
      </c>
      <c r="E32" s="19">
        <f t="shared" si="2"/>
        <v>151.96474718584</v>
      </c>
      <c r="F32" s="19">
        <f t="shared" si="0"/>
        <v>0</v>
      </c>
      <c r="G32" s="19">
        <f t="shared" si="3"/>
        <v>0</v>
      </c>
      <c r="H32" s="58">
        <v>0</v>
      </c>
      <c r="I32" s="58">
        <v>3967.905542000698</v>
      </c>
      <c r="J32" s="58">
        <v>0</v>
      </c>
      <c r="K32" s="58">
        <v>0</v>
      </c>
      <c r="L32" s="12">
        <v>8.6300000000046566</v>
      </c>
      <c r="M32" s="12">
        <v>25.940000000000055</v>
      </c>
      <c r="N32" s="12">
        <v>-18827.113537168527</v>
      </c>
      <c r="O32" s="12">
        <v>0</v>
      </c>
      <c r="P32" s="10"/>
      <c r="Q32" s="106"/>
    </row>
    <row r="33" spans="1:15" ht="15.75" customHeight="1" x14ac:dyDescent="0.25">
      <c r="A33" s="26" t="s">
        <v>23</v>
      </c>
      <c r="B33" s="26" t="s">
        <v>56</v>
      </c>
      <c r="C33" s="27" t="s">
        <v>107</v>
      </c>
      <c r="D33" s="19">
        <f t="shared" si="0"/>
        <v>0</v>
      </c>
      <c r="E33" s="19">
        <f t="shared" si="2"/>
        <v>0</v>
      </c>
      <c r="F33" s="19">
        <f t="shared" si="0"/>
        <v>0</v>
      </c>
      <c r="G33" s="19">
        <f t="shared" si="3"/>
        <v>0</v>
      </c>
      <c r="H33" s="58">
        <v>0</v>
      </c>
      <c r="I33" s="58">
        <v>0</v>
      </c>
      <c r="J33" s="58">
        <v>0</v>
      </c>
      <c r="K33" s="58">
        <v>0</v>
      </c>
      <c r="L33" s="12">
        <v>0</v>
      </c>
      <c r="M33" s="12">
        <v>7.0000000000000284E-2</v>
      </c>
      <c r="N33" s="12">
        <v>0</v>
      </c>
      <c r="O33" s="12">
        <v>0</v>
      </c>
    </row>
    <row r="34" spans="1:15" ht="15.75" customHeight="1" x14ac:dyDescent="0.25">
      <c r="A34" s="26" t="s">
        <v>24</v>
      </c>
      <c r="B34" s="26" t="s">
        <v>56</v>
      </c>
      <c r="C34" s="27" t="s">
        <v>107</v>
      </c>
      <c r="D34" s="19">
        <f t="shared" si="0"/>
        <v>0</v>
      </c>
      <c r="E34" s="19">
        <f t="shared" si="2"/>
        <v>-18.78018728437636</v>
      </c>
      <c r="F34" s="19">
        <f t="shared" si="0"/>
        <v>0</v>
      </c>
      <c r="G34" s="19">
        <f t="shared" si="3"/>
        <v>0</v>
      </c>
      <c r="H34" s="58">
        <v>0</v>
      </c>
      <c r="I34" s="58">
        <v>72.151999999999134</v>
      </c>
      <c r="J34" s="58">
        <v>0</v>
      </c>
      <c r="K34" s="58">
        <v>0</v>
      </c>
      <c r="L34" s="12">
        <v>0</v>
      </c>
      <c r="M34" s="12">
        <v>-4.0579999999999927</v>
      </c>
      <c r="N34" s="12">
        <v>0</v>
      </c>
      <c r="O34" s="12">
        <v>0</v>
      </c>
    </row>
    <row r="35" spans="1:15" ht="15.75" customHeight="1" x14ac:dyDescent="0.25">
      <c r="A35" s="30" t="s">
        <v>25</v>
      </c>
      <c r="B35" s="26" t="s">
        <v>56</v>
      </c>
      <c r="C35" s="27" t="s">
        <v>107</v>
      </c>
      <c r="D35" s="19">
        <f t="shared" si="0"/>
        <v>0.19603009254975134</v>
      </c>
      <c r="E35" s="19">
        <f t="shared" si="2"/>
        <v>-0.41222501852185267</v>
      </c>
      <c r="F35" s="19">
        <f t="shared" si="0"/>
        <v>-0.72379972778857926</v>
      </c>
      <c r="G35" s="19">
        <f t="shared" si="3"/>
        <v>-0.98972892519663402</v>
      </c>
      <c r="H35" s="58">
        <v>135213.1266623165</v>
      </c>
      <c r="I35" s="58">
        <v>26800.60210652923</v>
      </c>
      <c r="J35" s="58">
        <v>102934.50891406299</v>
      </c>
      <c r="K35" s="58">
        <v>52898.939999999944</v>
      </c>
      <c r="L35" s="12">
        <v>113051.60924008442</v>
      </c>
      <c r="M35" s="12">
        <v>45596.704438032699</v>
      </c>
      <c r="N35" s="12">
        <v>372680.69321550336</v>
      </c>
      <c r="O35" s="12">
        <v>5150282.8100000042</v>
      </c>
    </row>
    <row r="36" spans="1:15" ht="15.75" customHeight="1" x14ac:dyDescent="0.25">
      <c r="A36" s="26" t="s">
        <v>26</v>
      </c>
      <c r="B36" s="26" t="s">
        <v>56</v>
      </c>
      <c r="C36" s="27" t="s">
        <v>107</v>
      </c>
      <c r="D36" s="19">
        <f t="shared" si="0"/>
        <v>0</v>
      </c>
      <c r="E36" s="19">
        <f t="shared" si="2"/>
        <v>0</v>
      </c>
      <c r="F36" s="19">
        <f t="shared" si="0"/>
        <v>0</v>
      </c>
      <c r="G36" s="19">
        <f t="shared" si="3"/>
        <v>0</v>
      </c>
      <c r="H36" s="58">
        <v>0</v>
      </c>
      <c r="I36" s="58">
        <v>0</v>
      </c>
      <c r="J36" s="58">
        <v>0</v>
      </c>
      <c r="K36" s="58">
        <v>0</v>
      </c>
      <c r="L36" s="12">
        <v>-851.54999999999927</v>
      </c>
      <c r="M36" s="12">
        <v>24.299999999999727</v>
      </c>
      <c r="N36" s="12">
        <v>0</v>
      </c>
      <c r="O36" s="12">
        <v>0</v>
      </c>
    </row>
    <row r="37" spans="1:15" ht="15.75" customHeight="1" x14ac:dyDescent="0.25">
      <c r="A37" s="26" t="s">
        <v>27</v>
      </c>
      <c r="B37" s="26" t="s">
        <v>56</v>
      </c>
      <c r="C37" s="27" t="s">
        <v>107</v>
      </c>
      <c r="D37" s="19">
        <f t="shared" si="0"/>
        <v>435.22335791516724</v>
      </c>
      <c r="E37" s="19">
        <f t="shared" si="2"/>
        <v>-0.50449697942196869</v>
      </c>
      <c r="F37" s="19">
        <f t="shared" si="0"/>
        <v>1</v>
      </c>
      <c r="G37" s="19">
        <f t="shared" si="3"/>
        <v>0</v>
      </c>
      <c r="H37" s="58">
        <v>44755.199999999997</v>
      </c>
      <c r="I37" s="58">
        <v>-2705.06</v>
      </c>
      <c r="J37" s="58">
        <v>1000</v>
      </c>
      <c r="K37" s="58">
        <v>0</v>
      </c>
      <c r="L37" s="12">
        <v>102.59698199999548</v>
      </c>
      <c r="M37" s="12">
        <v>-5459.22</v>
      </c>
      <c r="N37" s="12">
        <v>0</v>
      </c>
      <c r="O37" s="12">
        <v>23023.899268000001</v>
      </c>
    </row>
    <row r="38" spans="1:15" ht="15.75" customHeight="1" x14ac:dyDescent="0.25">
      <c r="A38" s="26" t="s">
        <v>28</v>
      </c>
      <c r="B38" s="26" t="s">
        <v>56</v>
      </c>
      <c r="C38" s="27" t="s">
        <v>107</v>
      </c>
      <c r="D38" s="19">
        <f t="shared" si="0"/>
        <v>-5.4913406647314735</v>
      </c>
      <c r="E38" s="19">
        <f t="shared" si="2"/>
        <v>0</v>
      </c>
      <c r="F38" s="19">
        <f t="shared" si="0"/>
        <v>0</v>
      </c>
      <c r="G38" s="19">
        <f t="shared" si="3"/>
        <v>0</v>
      </c>
      <c r="H38" s="58">
        <v>37915.581688366226</v>
      </c>
      <c r="I38" s="58">
        <v>0</v>
      </c>
      <c r="J38" s="58">
        <v>0</v>
      </c>
      <c r="K38" s="58">
        <v>0</v>
      </c>
      <c r="L38" s="12">
        <v>-8441.929597124672</v>
      </c>
      <c r="M38" s="12">
        <v>0</v>
      </c>
      <c r="N38" s="12">
        <v>0</v>
      </c>
      <c r="O38" s="12">
        <v>0</v>
      </c>
    </row>
    <row r="39" spans="1:15" ht="15.75" customHeight="1" x14ac:dyDescent="0.25">
      <c r="A39" s="26" t="s">
        <v>29</v>
      </c>
      <c r="B39" s="26" t="s">
        <v>56</v>
      </c>
      <c r="C39" s="27" t="s">
        <v>107</v>
      </c>
      <c r="D39" s="19">
        <f t="shared" si="0"/>
        <v>-885.29885266800466</v>
      </c>
      <c r="E39" s="19">
        <f t="shared" si="2"/>
        <v>1</v>
      </c>
      <c r="F39" s="19">
        <f t="shared" si="0"/>
        <v>1</v>
      </c>
      <c r="G39" s="19">
        <f t="shared" si="3"/>
        <v>1</v>
      </c>
      <c r="H39" s="58">
        <v>97113.700000000012</v>
      </c>
      <c r="I39" s="58">
        <v>27.929999999999836</v>
      </c>
      <c r="J39" s="58">
        <v>-6975.2400000000198</v>
      </c>
      <c r="K39" s="58">
        <v>2458.7799999999988</v>
      </c>
      <c r="L39" s="12">
        <v>-109.81999999999971</v>
      </c>
      <c r="M39" s="12">
        <v>0</v>
      </c>
      <c r="N39" s="12">
        <v>0</v>
      </c>
      <c r="O39" s="12">
        <v>0</v>
      </c>
    </row>
    <row r="40" spans="1:15" ht="15.75" customHeight="1" x14ac:dyDescent="0.25">
      <c r="A40" s="30" t="s">
        <v>95</v>
      </c>
      <c r="B40" s="26" t="s">
        <v>56</v>
      </c>
      <c r="C40" s="27" t="s">
        <v>107</v>
      </c>
      <c r="D40" s="19">
        <f t="shared" si="0"/>
        <v>-0.97702964210417109</v>
      </c>
      <c r="E40" s="19">
        <f t="shared" si="2"/>
        <v>-0.49598925862641086</v>
      </c>
      <c r="F40" s="19">
        <f t="shared" si="0"/>
        <v>1.637141456539728</v>
      </c>
      <c r="G40" s="19">
        <f t="shared" si="3"/>
        <v>0.23810504179679537</v>
      </c>
      <c r="H40" s="58">
        <v>2569.4944308232225</v>
      </c>
      <c r="I40" s="58">
        <v>8994.59544658495</v>
      </c>
      <c r="J40" s="58">
        <v>120729.81244286252</v>
      </c>
      <c r="K40" s="58">
        <v>200127.03000000003</v>
      </c>
      <c r="L40" s="12">
        <v>111861.31458969606</v>
      </c>
      <c r="M40" s="12">
        <v>17846.039197640559</v>
      </c>
      <c r="N40" s="12">
        <v>45780.559910227836</v>
      </c>
      <c r="O40" s="12">
        <v>161639.78276800038</v>
      </c>
    </row>
    <row r="41" spans="1:15" ht="15.75" customHeight="1" x14ac:dyDescent="0.25">
      <c r="A41" s="26" t="s">
        <v>83</v>
      </c>
      <c r="B41" s="26" t="s">
        <v>56</v>
      </c>
      <c r="C41" s="27" t="s">
        <v>107</v>
      </c>
      <c r="D41" s="19">
        <f t="shared" si="0"/>
        <v>0</v>
      </c>
      <c r="E41" s="19">
        <f t="shared" si="2"/>
        <v>1.5288751597292536</v>
      </c>
      <c r="F41" s="19">
        <f t="shared" si="0"/>
        <v>-0.99973749999999995</v>
      </c>
      <c r="G41" s="19">
        <f t="shared" si="3"/>
        <v>0</v>
      </c>
      <c r="H41" s="58">
        <v>0</v>
      </c>
      <c r="I41" s="58">
        <v>13709.402827814567</v>
      </c>
      <c r="J41" s="58">
        <v>0.42000000000007276</v>
      </c>
      <c r="K41" s="58">
        <v>0</v>
      </c>
      <c r="L41" s="12">
        <v>60001.968219999981</v>
      </c>
      <c r="M41" s="12">
        <v>5421.1465421971734</v>
      </c>
      <c r="N41" s="12">
        <v>1600</v>
      </c>
      <c r="O41" s="12">
        <v>-45622.790000000008</v>
      </c>
    </row>
    <row r="42" spans="1:15" ht="15.75" customHeight="1" x14ac:dyDescent="0.25">
      <c r="A42" s="26" t="s">
        <v>82</v>
      </c>
      <c r="B42" s="26" t="s">
        <v>56</v>
      </c>
      <c r="C42" s="27" t="s">
        <v>107</v>
      </c>
      <c r="D42" s="19">
        <f t="shared" si="0"/>
        <v>0</v>
      </c>
      <c r="E42" s="19">
        <f t="shared" si="2"/>
        <v>-0.99751151252887948</v>
      </c>
      <c r="F42" s="19">
        <f t="shared" si="0"/>
        <v>1.0365654051585809</v>
      </c>
      <c r="G42" s="19">
        <f t="shared" si="3"/>
        <v>-1.0832243999522784</v>
      </c>
      <c r="H42" s="58">
        <v>0</v>
      </c>
      <c r="I42" s="58">
        <v>3.8000000000001819</v>
      </c>
      <c r="J42" s="58">
        <v>12666.5</v>
      </c>
      <c r="K42" s="58">
        <v>7101.3200000000652</v>
      </c>
      <c r="L42" s="12">
        <v>0</v>
      </c>
      <c r="M42" s="12">
        <v>1527.0320000000002</v>
      </c>
      <c r="N42" s="12">
        <v>6219.54</v>
      </c>
      <c r="O42" s="12">
        <v>-85327.380000000354</v>
      </c>
    </row>
    <row r="43" spans="1:15" ht="15.75" customHeight="1" x14ac:dyDescent="0.25">
      <c r="A43" s="28" t="s">
        <v>85</v>
      </c>
      <c r="B43" s="26" t="s">
        <v>56</v>
      </c>
      <c r="C43" s="27" t="s">
        <v>107</v>
      </c>
      <c r="D43" s="19">
        <f t="shared" si="0"/>
        <v>0</v>
      </c>
      <c r="E43" s="19">
        <f t="shared" si="2"/>
        <v>1</v>
      </c>
      <c r="F43" s="19">
        <f t="shared" si="0"/>
        <v>0</v>
      </c>
      <c r="G43" s="19">
        <f t="shared" si="3"/>
        <v>0</v>
      </c>
      <c r="H43" s="58">
        <v>0</v>
      </c>
      <c r="I43" s="58">
        <v>59.982999999999265</v>
      </c>
      <c r="J43" s="58">
        <v>0</v>
      </c>
      <c r="K43" s="58">
        <v>0</v>
      </c>
      <c r="L43" s="12">
        <v>0</v>
      </c>
      <c r="M43" s="12">
        <v>0</v>
      </c>
      <c r="N43" s="12">
        <v>0</v>
      </c>
      <c r="O43" s="12">
        <v>0</v>
      </c>
    </row>
    <row r="44" spans="1:15" ht="15.75" customHeight="1" x14ac:dyDescent="0.25">
      <c r="A44" s="28" t="s">
        <v>87</v>
      </c>
      <c r="B44" s="26" t="s">
        <v>56</v>
      </c>
      <c r="C44" s="27" t="s">
        <v>107</v>
      </c>
      <c r="D44" s="19">
        <f t="shared" si="0"/>
        <v>0</v>
      </c>
      <c r="E44" s="19">
        <f t="shared" si="2"/>
        <v>0</v>
      </c>
      <c r="F44" s="19">
        <f t="shared" si="0"/>
        <v>-2.8153380423814323E-2</v>
      </c>
      <c r="G44" s="19">
        <f t="shared" si="3"/>
        <v>0</v>
      </c>
      <c r="H44" s="58">
        <v>0</v>
      </c>
      <c r="I44" s="58">
        <v>0</v>
      </c>
      <c r="J44" s="58">
        <v>9631</v>
      </c>
      <c r="K44" s="58">
        <v>0</v>
      </c>
      <c r="L44" s="12">
        <v>1885.8600000000006</v>
      </c>
      <c r="M44" s="12">
        <v>0</v>
      </c>
      <c r="N44" s="12">
        <v>9910</v>
      </c>
      <c r="O44" s="12">
        <v>0</v>
      </c>
    </row>
    <row r="45" spans="1:15" ht="15.75" customHeight="1" x14ac:dyDescent="0.25">
      <c r="A45" s="26" t="s">
        <v>97</v>
      </c>
      <c r="B45" s="26" t="s">
        <v>56</v>
      </c>
      <c r="C45" s="26" t="s">
        <v>107</v>
      </c>
      <c r="D45" s="19">
        <f t="shared" si="0"/>
        <v>-0.99956721116121705</v>
      </c>
      <c r="E45" s="19">
        <f t="shared" si="2"/>
        <v>-0.94524452326474373</v>
      </c>
      <c r="F45" s="19">
        <f t="shared" si="0"/>
        <v>25.411491631456954</v>
      </c>
      <c r="G45" s="19">
        <f t="shared" si="3"/>
        <v>-0.99134006815732567</v>
      </c>
      <c r="H45" s="58">
        <v>27.149839999998221</v>
      </c>
      <c r="I45" s="58">
        <v>69.160000000000082</v>
      </c>
      <c r="J45" s="58">
        <v>502142.41000000003</v>
      </c>
      <c r="K45" s="58">
        <v>8253</v>
      </c>
      <c r="L45" s="12">
        <v>62732.301684000005</v>
      </c>
      <c r="M45" s="12">
        <v>1263.07</v>
      </c>
      <c r="N45" s="12">
        <v>19012.269999999997</v>
      </c>
      <c r="O45" s="12">
        <v>953009.81</v>
      </c>
    </row>
    <row r="46" spans="1:15" ht="15.75" customHeight="1" x14ac:dyDescent="0.25">
      <c r="A46" s="26" t="s">
        <v>39</v>
      </c>
      <c r="B46" s="26" t="s">
        <v>56</v>
      </c>
      <c r="C46" s="26" t="s">
        <v>107</v>
      </c>
      <c r="D46" s="19">
        <f t="shared" si="0"/>
        <v>156.90588770914431</v>
      </c>
      <c r="E46" s="19">
        <f t="shared" si="2"/>
        <v>1</v>
      </c>
      <c r="F46" s="19">
        <f t="shared" si="0"/>
        <v>0</v>
      </c>
      <c r="G46" s="19" t="e">
        <f t="shared" si="3"/>
        <v>#DIV/0!</v>
      </c>
      <c r="H46" s="58">
        <v>97113.700000000012</v>
      </c>
      <c r="I46" s="58">
        <v>8540.2299999999977</v>
      </c>
      <c r="J46" s="58">
        <v>0</v>
      </c>
      <c r="K46" s="58">
        <v>1505.179999999993</v>
      </c>
      <c r="L46" s="12">
        <v>615.00999999999476</v>
      </c>
      <c r="M46" s="12">
        <v>0</v>
      </c>
      <c r="N46" s="12">
        <v>7453.98</v>
      </c>
      <c r="O46" s="12">
        <v>0</v>
      </c>
    </row>
    <row r="47" spans="1:15" ht="15.75" customHeight="1" x14ac:dyDescent="0.25">
      <c r="A47" s="26" t="s">
        <v>91</v>
      </c>
      <c r="B47" s="26" t="s">
        <v>56</v>
      </c>
      <c r="C47" s="26" t="s">
        <v>107</v>
      </c>
      <c r="D47" s="19">
        <f t="shared" si="0"/>
        <v>-0.93377142940740665</v>
      </c>
      <c r="E47" s="19">
        <f t="shared" si="2"/>
        <v>-2.0491684013600286</v>
      </c>
      <c r="F47" s="19">
        <f t="shared" si="0"/>
        <v>-1.1388121312343862</v>
      </c>
      <c r="G47" s="19">
        <f t="shared" si="3"/>
        <v>-0.99837820680896783</v>
      </c>
      <c r="H47" s="58">
        <v>2640.3838800000085</v>
      </c>
      <c r="I47" s="58">
        <v>796.42599999999948</v>
      </c>
      <c r="J47" s="58">
        <v>-28318.630000000005</v>
      </c>
      <c r="K47" s="58">
        <v>2195.1199999998789</v>
      </c>
      <c r="L47" s="12">
        <v>39867.746750000006</v>
      </c>
      <c r="M47" s="12">
        <v>-759.10216030867741</v>
      </c>
      <c r="N47" s="12">
        <v>204006.88144600001</v>
      </c>
      <c r="O47" s="12">
        <v>1353514.1300000001</v>
      </c>
    </row>
    <row r="48" spans="1:15" ht="15.75" customHeight="1" x14ac:dyDescent="0.25">
      <c r="A48" s="26" t="s">
        <v>41</v>
      </c>
      <c r="B48" s="26" t="s">
        <v>56</v>
      </c>
      <c r="C48" s="26" t="s">
        <v>107</v>
      </c>
      <c r="D48" s="19">
        <f t="shared" si="0"/>
        <v>-0.99752480079875727</v>
      </c>
      <c r="E48" s="19">
        <f t="shared" si="2"/>
        <v>5.0817684446241351E-2</v>
      </c>
      <c r="F48" s="19">
        <f t="shared" si="0"/>
        <v>0</v>
      </c>
      <c r="G48" s="19">
        <f t="shared" si="3"/>
        <v>0</v>
      </c>
      <c r="H48" s="58">
        <v>71</v>
      </c>
      <c r="I48" s="58">
        <v>9.2999999999999545</v>
      </c>
      <c r="J48" s="58">
        <v>0</v>
      </c>
      <c r="K48" s="58">
        <v>0</v>
      </c>
      <c r="L48" s="12">
        <v>28684.560000000001</v>
      </c>
      <c r="M48" s="12">
        <v>8.8502507501107175</v>
      </c>
      <c r="N48" s="12">
        <v>0</v>
      </c>
      <c r="O48" s="12">
        <v>0</v>
      </c>
    </row>
    <row r="49" spans="1:15" ht="15.75" customHeight="1" x14ac:dyDescent="0.25">
      <c r="A49" s="28" t="s">
        <v>88</v>
      </c>
      <c r="B49" s="28" t="s">
        <v>56</v>
      </c>
      <c r="C49" s="26" t="s">
        <v>107</v>
      </c>
      <c r="D49" s="101">
        <f t="shared" si="0"/>
        <v>0</v>
      </c>
      <c r="E49" s="19">
        <f t="shared" si="2"/>
        <v>1</v>
      </c>
      <c r="F49" s="101">
        <f t="shared" si="0"/>
        <v>0</v>
      </c>
      <c r="G49" s="19">
        <f t="shared" si="3"/>
        <v>-0.99999157399874028</v>
      </c>
      <c r="H49" s="58">
        <v>0</v>
      </c>
      <c r="I49" s="58">
        <v>34.929999999999836</v>
      </c>
      <c r="J49" s="58">
        <v>0</v>
      </c>
      <c r="K49" s="58">
        <v>-22</v>
      </c>
      <c r="L49" s="12">
        <v>67.180000000000291</v>
      </c>
      <c r="M49" s="12">
        <v>0</v>
      </c>
      <c r="N49" s="12">
        <v>3.4197580000000016</v>
      </c>
      <c r="O49" s="12">
        <v>-2610965.6670980002</v>
      </c>
    </row>
    <row r="50" spans="1:15" ht="15.75" customHeight="1" x14ac:dyDescent="0.25">
      <c r="A50" s="26" t="s">
        <v>14</v>
      </c>
      <c r="B50" s="26" t="s">
        <v>55</v>
      </c>
      <c r="C50" s="26" t="s">
        <v>107</v>
      </c>
      <c r="D50" s="19">
        <f t="shared" si="0"/>
        <v>0</v>
      </c>
      <c r="E50" s="19">
        <f t="shared" si="2"/>
        <v>0</v>
      </c>
      <c r="F50" s="19">
        <f t="shared" si="0"/>
        <v>0</v>
      </c>
      <c r="G50" s="19">
        <f t="shared" si="3"/>
        <v>0</v>
      </c>
      <c r="H50" s="58">
        <v>0</v>
      </c>
      <c r="I50" s="58">
        <v>0</v>
      </c>
      <c r="J50" s="58">
        <v>0</v>
      </c>
      <c r="K50" s="58">
        <v>0</v>
      </c>
      <c r="L50" s="12">
        <v>0</v>
      </c>
      <c r="M50" s="12">
        <v>0</v>
      </c>
      <c r="N50" s="12">
        <v>0</v>
      </c>
      <c r="O50" s="12">
        <v>0</v>
      </c>
    </row>
    <row r="51" spans="1:15" ht="15.75" customHeight="1" x14ac:dyDescent="0.25">
      <c r="A51" s="26" t="s">
        <v>36</v>
      </c>
      <c r="B51" s="26" t="s">
        <v>55</v>
      </c>
      <c r="C51" s="26" t="s">
        <v>107</v>
      </c>
      <c r="D51" s="19">
        <f t="shared" si="0"/>
        <v>0</v>
      </c>
      <c r="E51" s="19">
        <f t="shared" si="2"/>
        <v>0</v>
      </c>
      <c r="F51" s="19">
        <f t="shared" si="0"/>
        <v>0</v>
      </c>
      <c r="G51" s="19">
        <f t="shared" si="3"/>
        <v>0</v>
      </c>
      <c r="H51" s="58">
        <v>0</v>
      </c>
      <c r="I51" s="58">
        <v>0</v>
      </c>
      <c r="J51" s="58">
        <v>0</v>
      </c>
      <c r="K51" s="58">
        <v>0</v>
      </c>
      <c r="L51" s="12">
        <v>0</v>
      </c>
      <c r="M51" s="12">
        <v>0</v>
      </c>
      <c r="N51" s="12">
        <v>0</v>
      </c>
      <c r="O51" s="12">
        <v>0</v>
      </c>
    </row>
    <row r="52" spans="1:15" ht="15.75" customHeight="1" x14ac:dyDescent="0.25">
      <c r="A52" s="26" t="s">
        <v>94</v>
      </c>
      <c r="B52" s="26" t="s">
        <v>55</v>
      </c>
      <c r="C52" s="26" t="s">
        <v>107</v>
      </c>
      <c r="D52" s="19">
        <f t="shared" si="0"/>
        <v>0</v>
      </c>
      <c r="E52" s="19">
        <f t="shared" si="2"/>
        <v>0</v>
      </c>
      <c r="F52" s="19">
        <f t="shared" si="0"/>
        <v>0</v>
      </c>
      <c r="G52" s="19">
        <f t="shared" si="3"/>
        <v>0</v>
      </c>
      <c r="H52" s="58">
        <v>0</v>
      </c>
      <c r="I52" s="58">
        <v>0</v>
      </c>
      <c r="J52" s="58">
        <v>0</v>
      </c>
      <c r="K52" s="58">
        <v>0</v>
      </c>
      <c r="L52" s="12">
        <v>0</v>
      </c>
      <c r="M52" s="12">
        <v>0</v>
      </c>
      <c r="N52" s="12">
        <v>0</v>
      </c>
      <c r="O52" s="12">
        <v>-96658.84</v>
      </c>
    </row>
    <row r="53" spans="1:15" ht="15.75" customHeight="1" x14ac:dyDescent="0.25">
      <c r="A53" s="26" t="s">
        <v>98</v>
      </c>
      <c r="B53" s="26" t="s">
        <v>55</v>
      </c>
      <c r="C53" s="27" t="s">
        <v>107</v>
      </c>
      <c r="D53" s="19">
        <f t="shared" si="0"/>
        <v>1</v>
      </c>
      <c r="E53" s="19">
        <f t="shared" si="2"/>
        <v>1</v>
      </c>
      <c r="F53" s="19">
        <f t="shared" si="0"/>
        <v>0</v>
      </c>
      <c r="G53" s="19">
        <f t="shared" si="3"/>
        <v>0</v>
      </c>
      <c r="H53" s="58">
        <v>5698.32</v>
      </c>
      <c r="I53" s="58">
        <v>8780.119999999999</v>
      </c>
      <c r="J53" s="58">
        <v>0</v>
      </c>
      <c r="K53" s="58">
        <v>0</v>
      </c>
      <c r="L53" s="12"/>
      <c r="M53" s="12"/>
      <c r="N53" s="12"/>
      <c r="O53" s="12"/>
    </row>
    <row r="54" spans="1:15" ht="15.75" customHeight="1" x14ac:dyDescent="0.25">
      <c r="A54" s="26" t="s">
        <v>139</v>
      </c>
      <c r="B54" s="26" t="s">
        <v>108</v>
      </c>
      <c r="C54" s="27" t="s">
        <v>107</v>
      </c>
      <c r="D54" s="19">
        <f t="shared" si="0"/>
        <v>0</v>
      </c>
      <c r="E54" s="19">
        <f t="shared" si="2"/>
        <v>0</v>
      </c>
      <c r="F54" s="19">
        <f t="shared" si="0"/>
        <v>0</v>
      </c>
      <c r="G54" s="19">
        <f t="shared" si="3"/>
        <v>0</v>
      </c>
      <c r="H54" s="58"/>
      <c r="I54" s="58"/>
      <c r="J54" s="58"/>
      <c r="K54" s="58"/>
      <c r="L54" s="12"/>
      <c r="M54" s="12"/>
      <c r="N54" s="12"/>
      <c r="O54" s="12"/>
    </row>
    <row r="55" spans="1:15" ht="15.75" customHeight="1" thickBot="1" x14ac:dyDescent="0.3">
      <c r="A55" s="26" t="s">
        <v>32</v>
      </c>
      <c r="B55" s="26" t="s">
        <v>55</v>
      </c>
      <c r="C55" s="27" t="s">
        <v>107</v>
      </c>
      <c r="D55" s="19">
        <f t="shared" si="0"/>
        <v>0</v>
      </c>
      <c r="E55" s="19">
        <f t="shared" si="2"/>
        <v>0</v>
      </c>
      <c r="F55" s="19">
        <f t="shared" si="0"/>
        <v>0</v>
      </c>
      <c r="G55" s="19">
        <f t="shared" si="3"/>
        <v>0</v>
      </c>
      <c r="H55" s="58">
        <v>0</v>
      </c>
      <c r="I55" s="58">
        <v>0</v>
      </c>
      <c r="J55" s="58">
        <v>0</v>
      </c>
      <c r="K55" s="58">
        <v>0</v>
      </c>
      <c r="L55" s="12">
        <v>1.0600000000000023</v>
      </c>
      <c r="M55" s="12">
        <v>0</v>
      </c>
      <c r="N55" s="12">
        <v>0</v>
      </c>
      <c r="O55" s="12">
        <v>0</v>
      </c>
    </row>
    <row r="56" spans="1:15" ht="27" customHeight="1" thickBot="1" x14ac:dyDescent="0.3">
      <c r="A56" s="123" t="s">
        <v>116</v>
      </c>
      <c r="B56" s="121"/>
      <c r="C56" s="121"/>
      <c r="D56" s="19">
        <f t="shared" si="0"/>
        <v>-0.1062472441988348</v>
      </c>
      <c r="E56" s="19">
        <f t="shared" si="2"/>
        <v>-0.27018633134456838</v>
      </c>
      <c r="F56" s="19">
        <f t="shared" si="0"/>
        <v>-0.64412480744113854</v>
      </c>
      <c r="G56" s="19">
        <f t="shared" si="3"/>
        <v>-0.85024417989287093</v>
      </c>
      <c r="H56" s="123">
        <f>SUM(H23:H55)</f>
        <v>788951.79012150597</v>
      </c>
      <c r="I56" s="123">
        <f t="shared" ref="I56:O56" si="6">SUM(I23:I55)</f>
        <v>104683.0944003222</v>
      </c>
      <c r="J56" s="123">
        <f t="shared" si="6"/>
        <v>732264.7579769257</v>
      </c>
      <c r="K56" s="123">
        <f t="shared" si="6"/>
        <v>1175238.2299999993</v>
      </c>
      <c r="L56" s="123">
        <f t="shared" si="6"/>
        <v>882740.53981996956</v>
      </c>
      <c r="M56" s="123">
        <f t="shared" si="6"/>
        <v>143438.11152946003</v>
      </c>
      <c r="N56" s="123">
        <f t="shared" si="6"/>
        <v>2057644.8521508276</v>
      </c>
      <c r="O56" s="123">
        <f t="shared" si="6"/>
        <v>7847696.5313220061</v>
      </c>
    </row>
    <row r="57" spans="1:15" ht="15.75" customHeight="1" x14ac:dyDescent="0.25">
      <c r="A57" s="26" t="s">
        <v>35</v>
      </c>
      <c r="B57" s="26" t="s">
        <v>115</v>
      </c>
      <c r="C57" s="27" t="s">
        <v>107</v>
      </c>
      <c r="D57" s="19">
        <f t="shared" si="0"/>
        <v>-1.0121045909693456</v>
      </c>
      <c r="E57" s="19">
        <f t="shared" si="2"/>
        <v>0</v>
      </c>
      <c r="F57" s="19">
        <f t="shared" si="0"/>
        <v>0</v>
      </c>
      <c r="G57" s="19">
        <f t="shared" si="3"/>
        <v>0</v>
      </c>
      <c r="H57" s="58">
        <v>129.94000000000233</v>
      </c>
      <c r="I57" s="58">
        <v>0</v>
      </c>
      <c r="J57" s="58">
        <v>0</v>
      </c>
      <c r="K57" s="58">
        <v>0</v>
      </c>
      <c r="L57" s="12">
        <v>-10734.769999999997</v>
      </c>
      <c r="M57" s="12">
        <v>20.779999999999745</v>
      </c>
      <c r="N57" s="12">
        <v>1156.4100000000035</v>
      </c>
      <c r="O57" s="12">
        <v>0</v>
      </c>
    </row>
    <row r="58" spans="1:15" ht="15.75" customHeight="1" x14ac:dyDescent="0.25">
      <c r="A58" s="27" t="s">
        <v>86</v>
      </c>
      <c r="B58" s="27" t="s">
        <v>115</v>
      </c>
      <c r="C58" s="27" t="s">
        <v>107</v>
      </c>
      <c r="D58" s="19">
        <f t="shared" si="0"/>
        <v>-2.0370113456611767</v>
      </c>
      <c r="E58" s="19">
        <f t="shared" si="2"/>
        <v>-4.2011333487700462</v>
      </c>
      <c r="F58" s="19">
        <f t="shared" si="0"/>
        <v>0.46169409945072437</v>
      </c>
      <c r="G58" s="19">
        <f t="shared" si="3"/>
        <v>-0.51341286025038524</v>
      </c>
      <c r="H58" s="58">
        <v>-130931.62404246535</v>
      </c>
      <c r="I58" s="58">
        <v>-50551.367642103331</v>
      </c>
      <c r="J58" s="58">
        <v>314023.46538922098</v>
      </c>
      <c r="K58" s="58">
        <v>509901.27</v>
      </c>
      <c r="L58" s="12">
        <v>126258.62252161387</v>
      </c>
      <c r="M58" s="12">
        <v>15791.709414894074</v>
      </c>
      <c r="N58" s="12">
        <v>214835.2829140001</v>
      </c>
      <c r="O58" s="12">
        <v>1047913.5767179998</v>
      </c>
    </row>
    <row r="59" spans="1:15" ht="15.75" customHeight="1" x14ac:dyDescent="0.25">
      <c r="A59" s="26" t="s">
        <v>37</v>
      </c>
      <c r="B59" s="26" t="s">
        <v>115</v>
      </c>
      <c r="C59" s="27" t="s">
        <v>107</v>
      </c>
      <c r="D59" s="19">
        <f t="shared" si="0"/>
        <v>-0.16776249808255228</v>
      </c>
      <c r="E59" s="19">
        <f t="shared" si="2"/>
        <v>-0.73811437004774305</v>
      </c>
      <c r="F59" s="19">
        <f t="shared" si="0"/>
        <v>-0.79159711326491156</v>
      </c>
      <c r="G59" s="19">
        <f t="shared" si="3"/>
        <v>-0.92221815110912464</v>
      </c>
      <c r="H59" s="58">
        <v>109004.04999999993</v>
      </c>
      <c r="I59" s="58">
        <v>18159.604999999989</v>
      </c>
      <c r="J59" s="58">
        <v>66985</v>
      </c>
      <c r="K59" s="58">
        <v>33094.049999999988</v>
      </c>
      <c r="L59" s="12">
        <v>130977.0945779999</v>
      </c>
      <c r="M59" s="12">
        <v>69341.739000000001</v>
      </c>
      <c r="N59" s="12">
        <v>321420.69166799996</v>
      </c>
      <c r="O59" s="12">
        <v>425472.65810600028</v>
      </c>
    </row>
    <row r="60" spans="1:15" ht="15.75" customHeight="1" x14ac:dyDescent="0.25">
      <c r="A60" s="30" t="s">
        <v>33</v>
      </c>
      <c r="B60" s="26" t="s">
        <v>115</v>
      </c>
      <c r="C60" s="26" t="s">
        <v>107</v>
      </c>
      <c r="D60" s="19">
        <f t="shared" si="0"/>
        <v>-2.9588979705072469</v>
      </c>
      <c r="E60" s="19">
        <f t="shared" si="2"/>
        <v>0.78874848759837368</v>
      </c>
      <c r="F60" s="19">
        <f t="shared" si="0"/>
        <v>-2.1628667598782148</v>
      </c>
      <c r="G60" s="19">
        <f t="shared" si="3"/>
        <v>0</v>
      </c>
      <c r="H60" s="58">
        <v>-917.91999999999825</v>
      </c>
      <c r="I60" s="58">
        <v>2664.8417218543045</v>
      </c>
      <c r="J60" s="58">
        <v>-62491.273551760241</v>
      </c>
      <c r="K60" s="58">
        <v>0</v>
      </c>
      <c r="L60" s="12">
        <v>468.59000000000378</v>
      </c>
      <c r="M60" s="12">
        <v>1489.7799999999997</v>
      </c>
      <c r="N60" s="12">
        <v>53738.98000000004</v>
      </c>
      <c r="O60" s="12">
        <v>64703.439999999995</v>
      </c>
    </row>
    <row r="61" spans="1:15" ht="15.75" customHeight="1" x14ac:dyDescent="0.25">
      <c r="A61" s="26" t="s">
        <v>84</v>
      </c>
      <c r="B61" s="26" t="s">
        <v>115</v>
      </c>
      <c r="C61" s="26" t="s">
        <v>107</v>
      </c>
      <c r="D61" s="19">
        <f t="shared" si="0"/>
        <v>-0.41587780344333147</v>
      </c>
      <c r="E61" s="19">
        <f t="shared" si="2"/>
        <v>0.86949957430963298</v>
      </c>
      <c r="F61" s="19">
        <f t="shared" si="0"/>
        <v>0.44654467732379866</v>
      </c>
      <c r="G61" s="19">
        <f t="shared" si="3"/>
        <v>1.3228177325826711</v>
      </c>
      <c r="H61" s="58">
        <v>100080.28749153542</v>
      </c>
      <c r="I61" s="58">
        <v>3597.3125200000031</v>
      </c>
      <c r="J61" s="58">
        <v>470015.07999999961</v>
      </c>
      <c r="K61" s="58">
        <v>663388.15000000014</v>
      </c>
      <c r="L61" s="12">
        <v>171334.50514549337</v>
      </c>
      <c r="M61" s="12">
        <v>1924.2114678354046</v>
      </c>
      <c r="N61" s="12">
        <v>324922.615504388</v>
      </c>
      <c r="O61" s="12">
        <v>285596.29999999993</v>
      </c>
    </row>
    <row r="62" spans="1:15" ht="15.75" customHeight="1" x14ac:dyDescent="0.25">
      <c r="A62" s="107" t="s">
        <v>99</v>
      </c>
      <c r="B62" s="26" t="s">
        <v>115</v>
      </c>
      <c r="C62" s="27" t="s">
        <v>107</v>
      </c>
      <c r="D62" s="19">
        <f t="shared" si="0"/>
        <v>1</v>
      </c>
      <c r="E62" s="19">
        <f t="shared" si="2"/>
        <v>1</v>
      </c>
      <c r="F62" s="19">
        <f t="shared" si="0"/>
        <v>1</v>
      </c>
      <c r="G62" s="19">
        <f t="shared" si="3"/>
        <v>1</v>
      </c>
      <c r="H62" s="58">
        <v>-433.90000000000873</v>
      </c>
      <c r="I62" s="58">
        <v>-8561.9500000000007</v>
      </c>
      <c r="J62" s="58">
        <v>37747.440000000002</v>
      </c>
      <c r="K62" s="58">
        <v>474044.05000000005</v>
      </c>
      <c r="L62" s="12"/>
      <c r="M62" s="12"/>
      <c r="N62" s="12"/>
      <c r="O62" s="12"/>
    </row>
    <row r="63" spans="1:15" ht="15.75" customHeight="1" x14ac:dyDescent="0.25">
      <c r="A63" s="192" t="s">
        <v>130</v>
      </c>
      <c r="B63" s="26" t="s">
        <v>115</v>
      </c>
      <c r="C63" s="27" t="s">
        <v>107</v>
      </c>
      <c r="D63" s="19">
        <f t="shared" si="0"/>
        <v>0</v>
      </c>
      <c r="E63" s="19">
        <f t="shared" si="2"/>
        <v>0</v>
      </c>
      <c r="F63" s="19">
        <f t="shared" si="0"/>
        <v>0</v>
      </c>
      <c r="G63" s="19">
        <f t="shared" si="3"/>
        <v>0</v>
      </c>
      <c r="H63" s="58"/>
      <c r="I63" s="58"/>
      <c r="J63" s="58"/>
      <c r="K63" s="58"/>
      <c r="L63" s="12"/>
      <c r="M63" s="12"/>
      <c r="N63" s="12"/>
      <c r="O63" s="12"/>
    </row>
    <row r="64" spans="1:15" ht="15.75" customHeight="1" x14ac:dyDescent="0.25">
      <c r="A64" s="197" t="s">
        <v>141</v>
      </c>
      <c r="B64" s="26" t="s">
        <v>115</v>
      </c>
      <c r="C64" s="27" t="s">
        <v>107</v>
      </c>
      <c r="D64" s="19">
        <f t="shared" si="0"/>
        <v>0</v>
      </c>
      <c r="E64" s="19">
        <f t="shared" si="2"/>
        <v>0</v>
      </c>
      <c r="F64" s="19">
        <f t="shared" si="0"/>
        <v>0</v>
      </c>
      <c r="G64" s="19">
        <f t="shared" si="3"/>
        <v>0</v>
      </c>
      <c r="H64" s="58"/>
      <c r="I64" s="58"/>
      <c r="J64" s="58"/>
      <c r="K64" s="58"/>
      <c r="L64" s="12"/>
      <c r="M64" s="12"/>
      <c r="N64" s="12"/>
      <c r="O64" s="12"/>
    </row>
    <row r="65" spans="1:15" ht="15.75" customHeight="1" thickBot="1" x14ac:dyDescent="0.3">
      <c r="A65" s="30" t="s">
        <v>16</v>
      </c>
      <c r="B65" s="26" t="s">
        <v>115</v>
      </c>
      <c r="C65" s="27" t="s">
        <v>107</v>
      </c>
      <c r="D65" s="19">
        <f t="shared" si="0"/>
        <v>0</v>
      </c>
      <c r="E65" s="19">
        <f t="shared" si="2"/>
        <v>0</v>
      </c>
      <c r="F65" s="19">
        <f t="shared" si="0"/>
        <v>0</v>
      </c>
      <c r="G65" s="19">
        <f t="shared" si="3"/>
        <v>0</v>
      </c>
      <c r="H65" s="58">
        <v>0</v>
      </c>
      <c r="I65" s="58">
        <v>0</v>
      </c>
      <c r="J65" s="58">
        <v>0</v>
      </c>
      <c r="K65" s="58">
        <v>0</v>
      </c>
      <c r="L65" s="12">
        <v>0</v>
      </c>
      <c r="M65" s="12">
        <v>0</v>
      </c>
      <c r="N65" s="12">
        <v>0</v>
      </c>
      <c r="O65" s="12">
        <v>0</v>
      </c>
    </row>
    <row r="66" spans="1:15" ht="24.6" customHeight="1" thickBot="1" x14ac:dyDescent="0.3">
      <c r="A66" s="123" t="s">
        <v>117</v>
      </c>
      <c r="B66" s="121"/>
      <c r="C66" s="121"/>
      <c r="D66" s="126">
        <f t="shared" si="0"/>
        <v>-0.81608871614969469</v>
      </c>
      <c r="E66" s="19">
        <f t="shared" si="2"/>
        <v>-1.3916930750802385</v>
      </c>
      <c r="F66" s="126">
        <f t="shared" si="0"/>
        <v>-9.8020760550867281E-2</v>
      </c>
      <c r="G66" s="19">
        <f t="shared" si="3"/>
        <v>-7.8554343676314642E-2</v>
      </c>
      <c r="H66" s="123">
        <f>SUM(H57:H65)</f>
        <v>76930.833449069993</v>
      </c>
      <c r="I66" s="123">
        <f t="shared" ref="I66:O66" si="7">SUM(I57:I65)</f>
        <v>-34691.558400249036</v>
      </c>
      <c r="J66" s="123">
        <f t="shared" si="7"/>
        <v>826279.71183746029</v>
      </c>
      <c r="K66" s="123">
        <f t="shared" si="7"/>
        <v>1680427.5200000003</v>
      </c>
      <c r="L66" s="123">
        <f t="shared" si="7"/>
        <v>418304.04224510712</v>
      </c>
      <c r="M66" s="123">
        <f t="shared" si="7"/>
        <v>88568.219882729492</v>
      </c>
      <c r="N66" s="123">
        <f t="shared" si="7"/>
        <v>916073.98008638807</v>
      </c>
      <c r="O66" s="123">
        <f t="shared" si="7"/>
        <v>1823685.9748239997</v>
      </c>
    </row>
    <row r="67" spans="1:15" ht="15.75" customHeight="1" x14ac:dyDescent="0.25">
      <c r="A67" s="26" t="s">
        <v>77</v>
      </c>
      <c r="B67" s="26" t="s">
        <v>108</v>
      </c>
      <c r="C67" s="27" t="s">
        <v>102</v>
      </c>
      <c r="D67" s="103">
        <f t="shared" si="0"/>
        <v>-0.68951619398071906</v>
      </c>
      <c r="E67" s="19">
        <f t="shared" si="2"/>
        <v>1.9421236441981353</v>
      </c>
      <c r="F67" s="103">
        <f t="shared" si="0"/>
        <v>1.6207789517341151</v>
      </c>
      <c r="G67" s="19">
        <f t="shared" si="3"/>
        <v>-2.8468727219345018</v>
      </c>
      <c r="H67" s="58">
        <v>24837.519535000029</v>
      </c>
      <c r="I67" s="58">
        <v>8622.2400650000018</v>
      </c>
      <c r="J67" s="58">
        <v>848289.06999999983</v>
      </c>
      <c r="K67" s="58">
        <v>313551.29000000004</v>
      </c>
      <c r="L67" s="12">
        <v>79996.18354800003</v>
      </c>
      <c r="M67" s="12">
        <v>2930.6178487783986</v>
      </c>
      <c r="N67" s="12">
        <v>323678.22148399986</v>
      </c>
      <c r="O67" s="12">
        <v>-169774.17353999987</v>
      </c>
    </row>
    <row r="68" spans="1:15" ht="15.75" customHeight="1" x14ac:dyDescent="0.25">
      <c r="A68" s="30" t="s">
        <v>40</v>
      </c>
      <c r="B68" s="26" t="s">
        <v>56</v>
      </c>
      <c r="C68" s="26" t="s">
        <v>103</v>
      </c>
      <c r="D68" s="19">
        <f t="shared" si="0"/>
        <v>0.84207685667207399</v>
      </c>
      <c r="E68" s="19">
        <f t="shared" ref="E68:E76" si="8">IF(I68=0,0%,IF(M68=0,100%,I68/M68-1))</f>
        <v>-0.43649579511690328</v>
      </c>
      <c r="F68" s="19">
        <f t="shared" si="0"/>
        <v>-0.99772698015545747</v>
      </c>
      <c r="G68" s="19">
        <f t="shared" si="3"/>
        <v>-0.33195516711725803</v>
      </c>
      <c r="H68" s="58">
        <v>516772.67999999993</v>
      </c>
      <c r="I68" s="58">
        <v>49166.828999999969</v>
      </c>
      <c r="J68" s="58">
        <v>1810.2600000002421</v>
      </c>
      <c r="K68" s="58">
        <v>2095319.0399999991</v>
      </c>
      <c r="L68" s="12">
        <v>280538.06665461825</v>
      </c>
      <c r="M68" s="12">
        <v>87251.929220652411</v>
      </c>
      <c r="N68" s="12">
        <v>796411.87662599981</v>
      </c>
      <c r="O68" s="12">
        <v>3136494.6435679989</v>
      </c>
    </row>
    <row r="69" spans="1:15" ht="15.75" customHeight="1" x14ac:dyDescent="0.25">
      <c r="A69" s="26" t="s">
        <v>90</v>
      </c>
      <c r="B69" s="26" t="s">
        <v>108</v>
      </c>
      <c r="C69" s="26" t="s">
        <v>103</v>
      </c>
      <c r="D69" s="19">
        <f t="shared" si="0"/>
        <v>0</v>
      </c>
      <c r="E69" s="19">
        <f t="shared" si="8"/>
        <v>-0.99764127005669567</v>
      </c>
      <c r="F69" s="19">
        <f t="shared" si="0"/>
        <v>1</v>
      </c>
      <c r="G69" s="19">
        <f t="shared" si="3"/>
        <v>0</v>
      </c>
      <c r="H69" s="58">
        <v>0</v>
      </c>
      <c r="I69" s="58">
        <v>22.159000000000106</v>
      </c>
      <c r="J69" s="58">
        <v>8032</v>
      </c>
      <c r="K69" s="58">
        <v>0</v>
      </c>
      <c r="L69" s="12">
        <v>-100535.18000000002</v>
      </c>
      <c r="M69" s="12">
        <v>9394.4625000000015</v>
      </c>
      <c r="N69" s="12">
        <v>0</v>
      </c>
      <c r="O69" s="12">
        <v>2171.5800000000163</v>
      </c>
    </row>
    <row r="70" spans="1:15" ht="15.75" customHeight="1" x14ac:dyDescent="0.25">
      <c r="A70" s="26" t="s">
        <v>92</v>
      </c>
      <c r="B70" s="26" t="s">
        <v>56</v>
      </c>
      <c r="C70" s="26" t="s">
        <v>103</v>
      </c>
      <c r="D70" s="19">
        <f t="shared" ref="D70:F76" si="9">IF(H70=0,0%,IF(L70=0,100%,H70/L70-1))</f>
        <v>1.7885718663174992</v>
      </c>
      <c r="E70" s="19">
        <f t="shared" si="8"/>
        <v>0</v>
      </c>
      <c r="F70" s="19">
        <f t="shared" si="9"/>
        <v>-0.24890477115269705</v>
      </c>
      <c r="G70" s="19">
        <f t="shared" si="3"/>
        <v>0.16825106143536894</v>
      </c>
      <c r="H70" s="58">
        <v>43318.009999999995</v>
      </c>
      <c r="I70" s="58">
        <v>0</v>
      </c>
      <c r="J70" s="58">
        <v>14000.369999999999</v>
      </c>
      <c r="K70" s="58">
        <v>102771.63000000012</v>
      </c>
      <c r="L70" s="12">
        <v>15534.12</v>
      </c>
      <c r="M70" s="12">
        <v>15.728928000000451</v>
      </c>
      <c r="N70" s="12">
        <v>18639.940000000002</v>
      </c>
      <c r="O70" s="12">
        <v>87970.5</v>
      </c>
    </row>
    <row r="71" spans="1:15" ht="15.75" customHeight="1" x14ac:dyDescent="0.25">
      <c r="A71" s="26" t="s">
        <v>93</v>
      </c>
      <c r="B71" s="26" t="s">
        <v>56</v>
      </c>
      <c r="C71" s="26" t="s">
        <v>103</v>
      </c>
      <c r="D71" s="19">
        <f t="shared" si="9"/>
        <v>0</v>
      </c>
      <c r="E71" s="19">
        <f t="shared" si="8"/>
        <v>-0.19989859020426448</v>
      </c>
      <c r="F71" s="19">
        <f t="shared" si="9"/>
        <v>0</v>
      </c>
      <c r="G71" s="19">
        <f t="shared" ref="G71:G76" si="10">IF(K71=0,0%,IF(O71=H97,100%,K71/O71-1))</f>
        <v>0</v>
      </c>
      <c r="H71" s="58">
        <v>0</v>
      </c>
      <c r="I71" s="58">
        <v>10201.895000000011</v>
      </c>
      <c r="J71" s="58">
        <v>0</v>
      </c>
      <c r="K71" s="58">
        <v>0</v>
      </c>
      <c r="L71" s="12">
        <v>9681.6187140000002</v>
      </c>
      <c r="M71" s="12">
        <v>12750.752436000002</v>
      </c>
      <c r="N71" s="12">
        <v>0</v>
      </c>
      <c r="O71" s="12">
        <v>0</v>
      </c>
    </row>
    <row r="72" spans="1:15" ht="15.75" customHeight="1" x14ac:dyDescent="0.25">
      <c r="A72" s="26" t="s">
        <v>100</v>
      </c>
      <c r="B72" s="26" t="s">
        <v>56</v>
      </c>
      <c r="C72" s="26" t="s">
        <v>103</v>
      </c>
      <c r="D72" s="19">
        <f t="shared" si="9"/>
        <v>0.76854197418850023</v>
      </c>
      <c r="E72" s="19">
        <f t="shared" si="8"/>
        <v>-0.36556508149950151</v>
      </c>
      <c r="F72" s="19">
        <f t="shared" si="9"/>
        <v>0.34537868423064144</v>
      </c>
      <c r="G72" s="19">
        <f t="shared" si="10"/>
        <v>0.3626490808847227</v>
      </c>
      <c r="H72" s="58">
        <v>178002.73125000004</v>
      </c>
      <c r="I72" s="58">
        <v>7476.3650000000052</v>
      </c>
      <c r="J72" s="58">
        <v>910917.12000000011</v>
      </c>
      <c r="K72" s="58">
        <v>530205.64000000013</v>
      </c>
      <c r="L72" s="12">
        <v>100649.42412897892</v>
      </c>
      <c r="M72" s="12">
        <v>11784.289896386166</v>
      </c>
      <c r="N72" s="12">
        <v>677071.17012999998</v>
      </c>
      <c r="O72" s="12">
        <v>389099.18000000063</v>
      </c>
    </row>
    <row r="73" spans="1:15" ht="15.75" customHeight="1" x14ac:dyDescent="0.25">
      <c r="A73" s="98" t="s">
        <v>101</v>
      </c>
      <c r="B73" s="26" t="s">
        <v>56</v>
      </c>
      <c r="C73" s="26" t="s">
        <v>103</v>
      </c>
      <c r="D73" s="19">
        <f t="shared" si="9"/>
        <v>-2.9547799678745768E-2</v>
      </c>
      <c r="E73" s="19">
        <f t="shared" si="8"/>
        <v>0.92382869397518497</v>
      </c>
      <c r="F73" s="19">
        <f t="shared" si="9"/>
        <v>3.599856332712708</v>
      </c>
      <c r="G73" s="19">
        <f t="shared" si="10"/>
        <v>-0.69535769746792186</v>
      </c>
      <c r="H73" s="58">
        <v>142920.01016000006</v>
      </c>
      <c r="I73" s="58">
        <v>24947.575833409646</v>
      </c>
      <c r="J73" s="58">
        <v>3923297.4799999967</v>
      </c>
      <c r="K73" s="58">
        <v>791762.36000000127</v>
      </c>
      <c r="L73" s="12">
        <v>147271.56073497329</v>
      </c>
      <c r="M73" s="12">
        <v>12967.670100533098</v>
      </c>
      <c r="N73" s="12">
        <v>852917.39485399984</v>
      </c>
      <c r="O73" s="12">
        <v>2598990.2039839998</v>
      </c>
    </row>
    <row r="74" spans="1:15" ht="15.75" customHeight="1" thickBot="1" x14ac:dyDescent="0.3">
      <c r="A74" s="26" t="s">
        <v>81</v>
      </c>
      <c r="B74" s="26" t="s">
        <v>56</v>
      </c>
      <c r="C74" s="28" t="s">
        <v>103</v>
      </c>
      <c r="D74" s="101">
        <f t="shared" si="9"/>
        <v>1</v>
      </c>
      <c r="E74" s="19">
        <f t="shared" si="8"/>
        <v>-1.1144916565039458</v>
      </c>
      <c r="F74" s="101">
        <f t="shared" si="9"/>
        <v>0</v>
      </c>
      <c r="G74" s="19">
        <f t="shared" si="10"/>
        <v>0</v>
      </c>
      <c r="H74" s="58">
        <v>11052.200000000012</v>
      </c>
      <c r="I74" s="58">
        <v>-681.13600000000042</v>
      </c>
      <c r="J74" s="58">
        <v>0</v>
      </c>
      <c r="K74" s="58">
        <v>0</v>
      </c>
      <c r="L74" s="12">
        <v>0</v>
      </c>
      <c r="M74" s="12">
        <v>5949.2195396485222</v>
      </c>
      <c r="N74" s="12">
        <v>0</v>
      </c>
      <c r="O74" s="12">
        <v>0</v>
      </c>
    </row>
    <row r="75" spans="1:15" ht="28.2" customHeight="1" thickBot="1" x14ac:dyDescent="0.3">
      <c r="A75" s="122" t="s">
        <v>44</v>
      </c>
      <c r="B75" s="121"/>
      <c r="C75" s="121"/>
      <c r="D75" s="126">
        <f t="shared" si="9"/>
        <v>0.71983041026575978</v>
      </c>
      <c r="E75" s="19">
        <f t="shared" si="8"/>
        <v>-0.30262394557837169</v>
      </c>
      <c r="F75" s="126">
        <f t="shared" si="9"/>
        <v>1.1382345419949114</v>
      </c>
      <c r="G75" s="19">
        <f t="shared" si="10"/>
        <v>-0.36581630394277498</v>
      </c>
      <c r="H75" s="124">
        <f>SUM(H67:H74)</f>
        <v>916903.15094500012</v>
      </c>
      <c r="I75" s="124">
        <f t="shared" ref="I75:O75" si="11">SUM(I67:I74)</f>
        <v>99755.927898409645</v>
      </c>
      <c r="J75" s="124">
        <f t="shared" si="11"/>
        <v>5706346.299999997</v>
      </c>
      <c r="K75" s="124">
        <f t="shared" si="11"/>
        <v>3833609.9600000004</v>
      </c>
      <c r="L75" s="124">
        <f t="shared" si="11"/>
        <v>533135.7937805705</v>
      </c>
      <c r="M75" s="124">
        <f t="shared" si="11"/>
        <v>143044.67046999861</v>
      </c>
      <c r="N75" s="124">
        <f t="shared" si="11"/>
        <v>2668718.6030939994</v>
      </c>
      <c r="O75" s="124">
        <f t="shared" si="11"/>
        <v>6044951.9340119995</v>
      </c>
    </row>
    <row r="76" spans="1:15" ht="30" customHeight="1" thickBot="1" x14ac:dyDescent="0.3">
      <c r="A76" s="122" t="s">
        <v>45</v>
      </c>
      <c r="B76" s="121"/>
      <c r="C76" s="121"/>
      <c r="D76" s="126">
        <f t="shared" si="9"/>
        <v>0.4638311842545122</v>
      </c>
      <c r="E76" s="19">
        <f t="shared" si="8"/>
        <v>-0.43337021928718045</v>
      </c>
      <c r="F76" s="126">
        <f t="shared" si="9"/>
        <v>0.287509714396331</v>
      </c>
      <c r="G76" s="19">
        <f t="shared" si="10"/>
        <v>-0.34436532588882685</v>
      </c>
      <c r="H76" s="124">
        <f>H75+H66+H56+H22+H8</f>
        <v>3895222.5395853757</v>
      </c>
      <c r="I76" s="124">
        <f t="shared" ref="I76:O76" si="12">I75+I66+I56+I22+I8</f>
        <v>457331.97424470837</v>
      </c>
      <c r="J76" s="124">
        <f t="shared" si="12"/>
        <v>12214773.161546433</v>
      </c>
      <c r="K76" s="124">
        <f t="shared" si="12"/>
        <v>18819967.265000001</v>
      </c>
      <c r="L76" s="124">
        <f t="shared" si="12"/>
        <v>2660977.9744302295</v>
      </c>
      <c r="M76" s="124">
        <f t="shared" si="12"/>
        <v>807108.96216818213</v>
      </c>
      <c r="N76" s="124">
        <f t="shared" si="12"/>
        <v>9487130.8736288026</v>
      </c>
      <c r="O76" s="124">
        <f t="shared" si="12"/>
        <v>28704960.259329997</v>
      </c>
    </row>
    <row r="77" spans="1:15" ht="15.75" customHeight="1" x14ac:dyDescent="0.25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5" customFormat="1" ht="15.75" customHeight="1" x14ac:dyDescent="0.3">
      <c r="A78" s="32"/>
    </row>
    <row r="79" spans="1:15" customFormat="1" ht="15.75" customHeight="1" x14ac:dyDescent="0.3">
      <c r="A79" s="32"/>
      <c r="H79" s="6"/>
      <c r="I79" s="6"/>
      <c r="J79" s="6"/>
      <c r="K79" s="6"/>
    </row>
    <row r="80" spans="1:15" customFormat="1" ht="15.75" customHeight="1" x14ac:dyDescent="0.3">
      <c r="A80" s="32"/>
    </row>
    <row r="81" spans="1:14" customFormat="1" ht="15.75" customHeight="1" x14ac:dyDescent="0.3">
      <c r="A81" s="32"/>
      <c r="H81" s="9"/>
      <c r="I81" s="9"/>
      <c r="J81" s="9"/>
      <c r="K81" s="9"/>
      <c r="N81" s="97"/>
    </row>
    <row r="82" spans="1:14" ht="15.75" customHeight="1" x14ac:dyDescent="0.25">
      <c r="H82" s="10"/>
      <c r="I82" s="10"/>
      <c r="J82" s="10"/>
      <c r="K82" s="10"/>
    </row>
  </sheetData>
  <mergeCells count="3">
    <mergeCell ref="D1:F1"/>
    <mergeCell ref="H1:K1"/>
    <mergeCell ref="L1:O1"/>
  </mergeCells>
  <conditionalFormatting sqref="A14">
    <cfRule type="duplicateValues" dxfId="341" priority="13"/>
    <cfRule type="duplicateValues" dxfId="340" priority="14"/>
  </conditionalFormatting>
  <conditionalFormatting sqref="A20">
    <cfRule type="duplicateValues" dxfId="339" priority="1"/>
    <cfRule type="duplicateValues" dxfId="338" priority="2"/>
  </conditionalFormatting>
  <conditionalFormatting sqref="A54">
    <cfRule type="duplicateValues" dxfId="337" priority="3"/>
    <cfRule type="duplicateValues" dxfId="336" priority="4"/>
  </conditionalFormatting>
  <conditionalFormatting sqref="A60">
    <cfRule type="duplicateValues" dxfId="335" priority="15"/>
    <cfRule type="duplicateValues" dxfId="334" priority="16"/>
  </conditionalFormatting>
  <conditionalFormatting sqref="A65 A23:A53 A61 A57:A59 A7 A55">
    <cfRule type="duplicateValues" dxfId="333" priority="23"/>
    <cfRule type="duplicateValues" dxfId="332" priority="24"/>
  </conditionalFormatting>
  <conditionalFormatting sqref="A67:A74">
    <cfRule type="duplicateValues" dxfId="331" priority="21"/>
    <cfRule type="duplicateValues" dxfId="330" priority="22"/>
  </conditionalFormatting>
  <conditionalFormatting sqref="A75:A1048576 A1:A6 A8:A13 A15:A19 A66 A56 A21:A22">
    <cfRule type="duplicateValues" dxfId="329" priority="19"/>
    <cfRule type="duplicateValues" dxfId="328" priority="20"/>
  </conditionalFormatting>
  <conditionalFormatting sqref="D1:D25 D26:G77 D82:G1048576 E2:G25 G7:G76 E4:E76">
    <cfRule type="cellIs" dxfId="327" priority="17" operator="lessThan">
      <formula>-0.0001</formula>
    </cfRule>
  </conditionalFormatting>
  <conditionalFormatting sqref="D82:G1048576 D3:G77">
    <cfRule type="cellIs" dxfId="326" priority="18" operator="greaterThan">
      <formula>0.1</formula>
    </cfRule>
  </conditionalFormatting>
  <conditionalFormatting sqref="H8:O8">
    <cfRule type="duplicateValues" dxfId="325" priority="11"/>
    <cfRule type="duplicateValues" dxfId="324" priority="12"/>
  </conditionalFormatting>
  <conditionalFormatting sqref="H22:O22">
    <cfRule type="duplicateValues" dxfId="323" priority="5"/>
    <cfRule type="duplicateValues" dxfId="322" priority="6"/>
  </conditionalFormatting>
  <conditionalFormatting sqref="H56:O56">
    <cfRule type="duplicateValues" dxfId="321" priority="9"/>
    <cfRule type="duplicateValues" dxfId="320" priority="10"/>
  </conditionalFormatting>
  <conditionalFormatting sqref="H66:O66">
    <cfRule type="duplicateValues" dxfId="319" priority="7"/>
    <cfRule type="duplicateValues" dxfId="318" priority="8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8895-D3E4-49E3-AA83-C6D39DC12A72}">
  <sheetPr>
    <tabColor theme="4" tint="0.39997558519241921"/>
  </sheetPr>
  <dimension ref="A1:P88"/>
  <sheetViews>
    <sheetView rightToLeft="1" workbookViewId="0">
      <pane ySplit="2" topLeftCell="A58" activePane="bottomLeft" state="frozen"/>
      <selection pane="bottomLeft" activeCell="O76" sqref="O76"/>
    </sheetView>
  </sheetViews>
  <sheetFormatPr defaultColWidth="18.8984375" defaultRowHeight="15" x14ac:dyDescent="0.25"/>
  <cols>
    <col min="1" max="1" width="30" style="1" bestFit="1" customWidth="1"/>
    <col min="2" max="2" width="8.69921875" style="1" bestFit="1" customWidth="1"/>
    <col min="3" max="3" width="7.69921875" style="1" bestFit="1" customWidth="1"/>
    <col min="4" max="4" width="7.69921875" style="3" bestFit="1" customWidth="1"/>
    <col min="5" max="5" width="8" style="3" bestFit="1" customWidth="1"/>
    <col min="6" max="6" width="8.8984375" style="3" bestFit="1" customWidth="1"/>
    <col min="7" max="7" width="11" style="3" bestFit="1" customWidth="1"/>
    <col min="8" max="9" width="15.19921875" style="2" bestFit="1" customWidth="1"/>
    <col min="10" max="11" width="16.8984375" style="2" bestFit="1" customWidth="1"/>
    <col min="12" max="13" width="15.19921875" style="2" bestFit="1" customWidth="1"/>
    <col min="14" max="15" width="16.8984375" style="2" bestFit="1" customWidth="1"/>
    <col min="16" max="16384" width="18.8984375" style="2"/>
  </cols>
  <sheetData>
    <row r="1" spans="1:16" ht="21" x14ac:dyDescent="0.4">
      <c r="A1" s="26"/>
      <c r="B1" s="26"/>
      <c r="C1" s="26"/>
      <c r="D1" s="225" t="s">
        <v>62</v>
      </c>
      <c r="E1" s="226"/>
      <c r="F1" s="226"/>
      <c r="G1" s="227"/>
      <c r="H1" s="228" t="s">
        <v>134</v>
      </c>
      <c r="I1" s="229"/>
      <c r="J1" s="229"/>
      <c r="K1" s="230"/>
      <c r="L1" s="224" t="s">
        <v>132</v>
      </c>
      <c r="M1" s="224"/>
      <c r="N1" s="224"/>
      <c r="O1" s="224"/>
    </row>
    <row r="2" spans="1:16" ht="21" x14ac:dyDescent="0.25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60" t="s">
        <v>46</v>
      </c>
      <c r="I2" s="60" t="s">
        <v>50</v>
      </c>
      <c r="J2" s="60" t="s">
        <v>51</v>
      </c>
      <c r="K2" s="60" t="s">
        <v>49</v>
      </c>
      <c r="L2" s="25" t="s">
        <v>46</v>
      </c>
      <c r="M2" s="25" t="s">
        <v>47</v>
      </c>
      <c r="N2" s="25" t="s">
        <v>48</v>
      </c>
      <c r="O2" s="25" t="s">
        <v>49</v>
      </c>
    </row>
    <row r="3" spans="1:16" ht="15.6" x14ac:dyDescent="0.25">
      <c r="A3" s="26" t="s">
        <v>1</v>
      </c>
      <c r="B3" s="26" t="s">
        <v>108</v>
      </c>
      <c r="C3" s="26" t="s">
        <v>58</v>
      </c>
      <c r="D3" s="61">
        <f t="shared" ref="D3:D68" si="0">IF(L3=0,0%,IF(H3=0,100%,L3/H3-1))</f>
        <v>-0.17074909749366474</v>
      </c>
      <c r="E3" s="61">
        <f t="shared" ref="E3:E68" si="1">IF(M3=0,0%,IF(I3=0,100%,M3/I3-1))</f>
        <v>-0.62791358816937082</v>
      </c>
      <c r="F3" s="61">
        <f>IF(N3=0,0%,IF(J3=0,100%,N3/J3-1))</f>
        <v>-0.30408699131093542</v>
      </c>
      <c r="G3" s="61">
        <f>IF(O3=0,0%,IF(K3=0,100%,O3/K3-1))</f>
        <v>2.1144246969696967E-2</v>
      </c>
      <c r="H3" s="12">
        <v>7343999.9999999991</v>
      </c>
      <c r="I3" s="12">
        <v>565500</v>
      </c>
      <c r="J3" s="12">
        <v>19800000</v>
      </c>
      <c r="K3" s="12">
        <v>39600000</v>
      </c>
      <c r="L3" s="59">
        <f>VLOOKUP(A3,'תפוקה מצטברת מול אשתקד'!A:K,8,0)</f>
        <v>6090018.6280065253</v>
      </c>
      <c r="M3" s="62">
        <f>VLOOKUP(A3,'תפוקה מצטברת מול אשתקד'!A:K,9,0)</f>
        <v>210414.8658902208</v>
      </c>
      <c r="N3" s="62">
        <f>VLOOKUP(A3,'תפוקה מצטברת מול אשתקד'!A:K,10,0)</f>
        <v>13779077.572043478</v>
      </c>
      <c r="O3" s="62">
        <f>VLOOKUP(A3,'תפוקה מצטברת מול אשתקד'!A:K,11,0)</f>
        <v>40437312.18</v>
      </c>
    </row>
    <row r="4" spans="1:16" ht="15.6" x14ac:dyDescent="0.25">
      <c r="A4" s="26" t="s">
        <v>2</v>
      </c>
      <c r="B4" s="26" t="s">
        <v>108</v>
      </c>
      <c r="C4" s="26" t="s">
        <v>58</v>
      </c>
      <c r="D4" s="61">
        <f t="shared" si="0"/>
        <v>-0.3613302827681405</v>
      </c>
      <c r="E4" s="61">
        <f t="shared" si="1"/>
        <v>1</v>
      </c>
      <c r="F4" s="61">
        <f t="shared" ref="F4:F69" si="2">IF(N4=0,0%,IF(J4=0,100%,N4/J4-1))</f>
        <v>-0.78666493314581898</v>
      </c>
      <c r="G4" s="61">
        <f t="shared" ref="G4:G69" si="3">IF(O4=0,0%,IF(K4=0,100%,O4/K4-1))</f>
        <v>-0.84556756565656566</v>
      </c>
      <c r="H4" s="12">
        <v>612000</v>
      </c>
      <c r="I4" s="12">
        <v>0</v>
      </c>
      <c r="J4" s="12">
        <v>9900000</v>
      </c>
      <c r="K4" s="12">
        <v>7920000</v>
      </c>
      <c r="L4" s="59">
        <f>VLOOKUP(A4,'תפוקה מצטברת מול אשתקד'!A:K,8,0)</f>
        <v>390865.86694589799</v>
      </c>
      <c r="M4" s="62">
        <f>VLOOKUP(A4,'תפוקה מצטברת מול אשתקד'!A:K,9,0)</f>
        <v>3936.1291768826632</v>
      </c>
      <c r="N4" s="62">
        <f>VLOOKUP(A4,'תפוקה מצטברת מול אשתקד'!A:K,10,0)</f>
        <v>2112017.1618563924</v>
      </c>
      <c r="O4" s="62">
        <f>VLOOKUP(A4,'תפוקה מצטברת מול אשתקד'!A:K,11,0)</f>
        <v>1223104.8799999999</v>
      </c>
    </row>
    <row r="5" spans="1:16" ht="15.6" x14ac:dyDescent="0.25">
      <c r="A5" s="26" t="s">
        <v>104</v>
      </c>
      <c r="B5" s="26" t="s">
        <v>108</v>
      </c>
      <c r="C5" s="26" t="s">
        <v>58</v>
      </c>
      <c r="D5" s="61">
        <f t="shared" si="0"/>
        <v>0</v>
      </c>
      <c r="E5" s="61">
        <f t="shared" si="1"/>
        <v>-0.62925490193379296</v>
      </c>
      <c r="F5" s="61">
        <f t="shared" si="2"/>
        <v>0</v>
      </c>
      <c r="G5" s="61">
        <f t="shared" si="3"/>
        <v>0</v>
      </c>
      <c r="H5" s="12">
        <v>0</v>
      </c>
      <c r="I5" s="12">
        <v>130500</v>
      </c>
      <c r="J5" s="12">
        <v>0</v>
      </c>
      <c r="K5" s="12">
        <v>0</v>
      </c>
      <c r="L5" s="59">
        <f>VLOOKUP(A5,'תפוקה מצטברת מול אשתקד'!A:K,8,0)</f>
        <v>0</v>
      </c>
      <c r="M5" s="62">
        <f>VLOOKUP(A5,'תפוקה מצטברת מול אשתקד'!A:K,9,0)</f>
        <v>48382.235297640014</v>
      </c>
      <c r="N5" s="62">
        <f>VLOOKUP(A5,'תפוקה מצטברת מול אשתקד'!A:K,10,0)</f>
        <v>0</v>
      </c>
      <c r="O5" s="62">
        <f>VLOOKUP(A5,'תפוקה מצטברת מול אשתקד'!A:K,11,0)</f>
        <v>0</v>
      </c>
    </row>
    <row r="6" spans="1:16" ht="15.6" x14ac:dyDescent="0.25">
      <c r="A6" s="28" t="s">
        <v>105</v>
      </c>
      <c r="B6" s="28" t="s">
        <v>108</v>
      </c>
      <c r="C6" s="28" t="s">
        <v>58</v>
      </c>
      <c r="D6" s="145">
        <f t="shared" si="0"/>
        <v>-0.11130454171626369</v>
      </c>
      <c r="E6" s="145">
        <f t="shared" si="1"/>
        <v>-0.63815994387649799</v>
      </c>
      <c r="F6" s="145">
        <f t="shared" si="2"/>
        <v>-0.36671843434343432</v>
      </c>
      <c r="G6" s="145">
        <f t="shared" si="3"/>
        <v>-1.0282248484848486</v>
      </c>
      <c r="H6" s="12">
        <v>204000</v>
      </c>
      <c r="I6" s="12">
        <v>108750</v>
      </c>
      <c r="J6" s="12">
        <v>792000</v>
      </c>
      <c r="K6" s="12">
        <v>396000</v>
      </c>
      <c r="L6" s="59">
        <f>VLOOKUP(A6,'תפוקה מצטברת מול אשתקד'!A:K,8,0)</f>
        <v>181293.87348988221</v>
      </c>
      <c r="M6" s="62">
        <f>VLOOKUP(A6,'תפוקה מצטברת מול אשתקד'!A:K,9,0)</f>
        <v>39350.106103430844</v>
      </c>
      <c r="N6" s="62">
        <f>VLOOKUP(A6,'תפוקה מצטברת מול אשתקד'!A:K,10,0)</f>
        <v>501559</v>
      </c>
      <c r="O6" s="62">
        <f>VLOOKUP(A6,'תפוקה מצטברת מול אשתקד'!A:K,11,0)</f>
        <v>-11177.040000000037</v>
      </c>
    </row>
    <row r="7" spans="1:16" ht="16.2" thickBot="1" x14ac:dyDescent="0.3">
      <c r="A7" s="26" t="s">
        <v>34</v>
      </c>
      <c r="B7" s="26" t="s">
        <v>108</v>
      </c>
      <c r="C7" s="27" t="s">
        <v>58</v>
      </c>
      <c r="D7" s="61">
        <f>IF(L7=0,0%,IF(H7=0,100%,L7/H7-1))</f>
        <v>1</v>
      </c>
      <c r="E7" s="61">
        <f>IF(M7=0,0%,IF(I7=0,100%,M7/I7-1))</f>
        <v>1</v>
      </c>
      <c r="F7" s="61">
        <f>IF(N7=0,0%,IF(J7=0,100%,N7/J7-1))</f>
        <v>-0.97681391414141416</v>
      </c>
      <c r="G7" s="61">
        <f>IF(O7=0,0%,IF(K7=0,100%,O7/K7-1))</f>
        <v>-0.73154409090909089</v>
      </c>
      <c r="H7" s="12">
        <v>0</v>
      </c>
      <c r="I7" s="12">
        <v>0</v>
      </c>
      <c r="J7" s="12">
        <v>396000</v>
      </c>
      <c r="K7" s="12">
        <v>198000</v>
      </c>
      <c r="L7" s="59">
        <f>VLOOKUP(A7,'תפוקה מצטברת מול אשתקד'!A:K,8,0)</f>
        <v>19388.54</v>
      </c>
      <c r="M7" s="62">
        <f>VLOOKUP(A7,'תפוקה מצטברת מול אשתקד'!A:K,9,0)</f>
        <v>1254.24</v>
      </c>
      <c r="N7" s="62">
        <f>VLOOKUP(A7,'תפוקה מצטברת מול אשתקד'!A:K,10,0)</f>
        <v>9181.69</v>
      </c>
      <c r="O7" s="62">
        <f>VLOOKUP(A7,'תפוקה מצטברת מול אשתקד'!A:K,11,0)</f>
        <v>53154.27</v>
      </c>
    </row>
    <row r="8" spans="1:16" ht="21.6" thickBot="1" x14ac:dyDescent="0.3">
      <c r="A8" s="17" t="s">
        <v>3</v>
      </c>
      <c r="B8" s="57"/>
      <c r="C8" s="147"/>
      <c r="D8" s="148">
        <f t="shared" si="0"/>
        <v>-0.18118052592618794</v>
      </c>
      <c r="E8" s="148">
        <f t="shared" si="1"/>
        <v>-0.62306607459686325</v>
      </c>
      <c r="F8" s="148">
        <f t="shared" si="2"/>
        <v>-0.46899004714128889</v>
      </c>
      <c r="G8" s="148">
        <f t="shared" si="3"/>
        <v>-0.13325862971276536</v>
      </c>
      <c r="H8" s="173">
        <f>SUM(H3:H7)</f>
        <v>8159999.9999999991</v>
      </c>
      <c r="I8" s="173">
        <f>SUM(I3:I7)</f>
        <v>804750</v>
      </c>
      <c r="J8" s="173">
        <f>SUM(J3:J7)</f>
        <v>30888000</v>
      </c>
      <c r="K8" s="173">
        <f>SUM(K3:K7)</f>
        <v>48114000</v>
      </c>
      <c r="L8" s="173">
        <f>SUM(L3:L7)</f>
        <v>6681566.9084423054</v>
      </c>
      <c r="M8" s="173">
        <f t="shared" ref="M8:O8" si="4">SUM(M3:M7)</f>
        <v>303337.57646817435</v>
      </c>
      <c r="N8" s="173">
        <f t="shared" si="4"/>
        <v>16401835.42389987</v>
      </c>
      <c r="O8" s="173">
        <f t="shared" si="4"/>
        <v>41702394.290000007</v>
      </c>
    </row>
    <row r="9" spans="1:16" ht="15.6" x14ac:dyDescent="0.25">
      <c r="A9" s="27" t="s">
        <v>4</v>
      </c>
      <c r="B9" s="27" t="s">
        <v>108</v>
      </c>
      <c r="C9" s="27" t="s">
        <v>106</v>
      </c>
      <c r="D9" s="146">
        <f t="shared" si="0"/>
        <v>1</v>
      </c>
      <c r="E9" s="146">
        <f t="shared" si="1"/>
        <v>1</v>
      </c>
      <c r="F9" s="146">
        <f t="shared" si="2"/>
        <v>0</v>
      </c>
      <c r="G9" s="146">
        <f t="shared" si="3"/>
        <v>1</v>
      </c>
      <c r="H9" s="12">
        <v>0</v>
      </c>
      <c r="I9" s="12">
        <v>0</v>
      </c>
      <c r="J9" s="12">
        <v>0</v>
      </c>
      <c r="K9" s="12">
        <v>0</v>
      </c>
      <c r="L9" s="59">
        <f>VLOOKUP(A9,'תפוקה מצטברת מול אשתקד'!A:K,8,0)</f>
        <v>42413.789712023361</v>
      </c>
      <c r="M9" s="62">
        <f>VLOOKUP(A9,'תפוקה מצטברת מול אשתקד'!A:K,9,0)</f>
        <v>1173.1300000000001</v>
      </c>
      <c r="N9" s="62">
        <f>VLOOKUP(A9,'תפוקה מצטברת מול אשתקד'!A:K,10,0)</f>
        <v>0</v>
      </c>
      <c r="O9" s="62">
        <f>VLOOKUP(A9,'תפוקה מצטברת מול אשתקד'!A:K,11,0)</f>
        <v>-220528.51</v>
      </c>
    </row>
    <row r="10" spans="1:16" ht="15.6" x14ac:dyDescent="0.25">
      <c r="A10" s="26" t="s">
        <v>5</v>
      </c>
      <c r="B10" s="26" t="s">
        <v>108</v>
      </c>
      <c r="C10" s="26" t="s">
        <v>106</v>
      </c>
      <c r="D10" s="61">
        <f t="shared" si="0"/>
        <v>-0.46252678296698102</v>
      </c>
      <c r="E10" s="61">
        <f t="shared" si="1"/>
        <v>0.6291731479986602</v>
      </c>
      <c r="F10" s="61">
        <f t="shared" si="2"/>
        <v>-0.21108154310177085</v>
      </c>
      <c r="G10" s="61">
        <f t="shared" si="3"/>
        <v>0.14689290909090902</v>
      </c>
      <c r="H10" s="12">
        <v>1019999.9999999999</v>
      </c>
      <c r="I10" s="12">
        <v>435000</v>
      </c>
      <c r="J10" s="12">
        <v>396000</v>
      </c>
      <c r="K10" s="12">
        <v>990000</v>
      </c>
      <c r="L10" s="59">
        <f>VLOOKUP(A10,'תפוקה מצטברת מול אשתקד'!A:K,8,0)</f>
        <v>548222.68137367931</v>
      </c>
      <c r="M10" s="62">
        <f>VLOOKUP(A10,'תפוקה מצטברת מול אשתקד'!A:K,9,0)</f>
        <v>708690.31937941723</v>
      </c>
      <c r="N10" s="62">
        <f>VLOOKUP(A10,'תפוקה מצטברת מול אשתקד'!A:K,10,0)</f>
        <v>312411.70893169875</v>
      </c>
      <c r="O10" s="62">
        <f>VLOOKUP(A10,'תפוקה מצטברת מול אשתקד'!A:K,11,0)</f>
        <v>1135423.98</v>
      </c>
    </row>
    <row r="11" spans="1:16" ht="15.6" x14ac:dyDescent="0.25">
      <c r="A11" s="26" t="s">
        <v>6</v>
      </c>
      <c r="B11" s="26" t="s">
        <v>108</v>
      </c>
      <c r="C11" s="26" t="s">
        <v>106</v>
      </c>
      <c r="D11" s="61">
        <f t="shared" si="0"/>
        <v>-0.42899422382184149</v>
      </c>
      <c r="E11" s="61">
        <f t="shared" si="1"/>
        <v>-0.73609469168194208</v>
      </c>
      <c r="F11" s="61">
        <f t="shared" si="2"/>
        <v>1</v>
      </c>
      <c r="G11" s="61">
        <f t="shared" si="3"/>
        <v>1</v>
      </c>
      <c r="H11" s="12">
        <v>204000</v>
      </c>
      <c r="I11" s="12">
        <v>87000</v>
      </c>
      <c r="J11" s="12">
        <v>0</v>
      </c>
      <c r="K11" s="12">
        <v>0</v>
      </c>
      <c r="L11" s="59">
        <f>VLOOKUP(A11,'תפוקה מצטברת מול אשתקד'!A:K,8,0)</f>
        <v>116485.17834034433</v>
      </c>
      <c r="M11" s="62">
        <f>VLOOKUP(A11,'תפוקה מצטברת מול אשתקד'!A:K,9,0)</f>
        <v>22959.76182367104</v>
      </c>
      <c r="N11" s="62">
        <f>VLOOKUP(A11,'תפוקה מצטברת מול אשתקד'!A:K,10,0)</f>
        <v>507594.08948263148</v>
      </c>
      <c r="O11" s="62">
        <f>VLOOKUP(A11,'תפוקה מצטברת מול אשתקד'!A:K,11,0)</f>
        <v>-7766.5999999999767</v>
      </c>
    </row>
    <row r="12" spans="1:16" ht="15.6" x14ac:dyDescent="0.25">
      <c r="A12" s="26" t="s">
        <v>7</v>
      </c>
      <c r="B12" s="26" t="s">
        <v>108</v>
      </c>
      <c r="C12" s="26" t="s">
        <v>106</v>
      </c>
      <c r="D12" s="61">
        <f t="shared" si="0"/>
        <v>1</v>
      </c>
      <c r="E12" s="61">
        <f t="shared" si="1"/>
        <v>1</v>
      </c>
      <c r="F12" s="61">
        <f t="shared" si="2"/>
        <v>1</v>
      </c>
      <c r="G12" s="61">
        <f t="shared" si="3"/>
        <v>1</v>
      </c>
      <c r="H12" s="12">
        <v>0</v>
      </c>
      <c r="I12" s="12">
        <v>0</v>
      </c>
      <c r="J12" s="12">
        <v>0</v>
      </c>
      <c r="K12" s="12">
        <v>0</v>
      </c>
      <c r="L12" s="59">
        <f>VLOOKUP(A12,'תפוקה מצטברת מול אשתקד'!A:K,8,0)</f>
        <v>158224.93980132451</v>
      </c>
      <c r="M12" s="62">
        <f>VLOOKUP(A12,'תפוקה מצטברת מול אשתקד'!A:K,9,0)</f>
        <v>3291.3599999999997</v>
      </c>
      <c r="N12" s="62">
        <f>VLOOKUP(A12,'תפוקה מצטברת מול אשתקד'!A:K,10,0)</f>
        <v>361415</v>
      </c>
      <c r="O12" s="62">
        <f>VLOOKUP(A12,'תפוקה מצטברת מול אשתקד'!A:K,11,0)</f>
        <v>69263.600000000006</v>
      </c>
    </row>
    <row r="13" spans="1:16" ht="15.6" x14ac:dyDescent="0.25">
      <c r="A13" s="26" t="s">
        <v>8</v>
      </c>
      <c r="B13" s="26" t="s">
        <v>108</v>
      </c>
      <c r="C13" s="26" t="s">
        <v>106</v>
      </c>
      <c r="D13" s="61">
        <f t="shared" si="0"/>
        <v>1</v>
      </c>
      <c r="E13" s="61">
        <f t="shared" si="1"/>
        <v>-0.56063045210727969</v>
      </c>
      <c r="F13" s="61">
        <f t="shared" si="2"/>
        <v>0</v>
      </c>
      <c r="G13" s="61">
        <f t="shared" si="3"/>
        <v>0</v>
      </c>
      <c r="H13" s="12">
        <v>0</v>
      </c>
      <c r="I13" s="12">
        <v>261000</v>
      </c>
      <c r="J13" s="12">
        <v>0</v>
      </c>
      <c r="K13" s="12">
        <v>0</v>
      </c>
      <c r="L13" s="59">
        <f>VLOOKUP(A13,'תפוקה מצטברת מול אשתקד'!A:K,8,0)</f>
        <v>15476</v>
      </c>
      <c r="M13" s="62">
        <f>VLOOKUP(A13,'תפוקה מצטברת מול אשתקד'!A:K,9,0)</f>
        <v>114675.452</v>
      </c>
      <c r="N13" s="62">
        <f>VLOOKUP(A13,'תפוקה מצטברת מול אשתקד'!A:K,10,0)</f>
        <v>0</v>
      </c>
      <c r="O13" s="62">
        <f>VLOOKUP(A13,'תפוקה מצטברת מול אשתקד'!A:K,11,0)</f>
        <v>0</v>
      </c>
    </row>
    <row r="14" spans="1:16" ht="15.6" x14ac:dyDescent="0.25">
      <c r="A14" s="26" t="s">
        <v>9</v>
      </c>
      <c r="B14" s="26" t="s">
        <v>108</v>
      </c>
      <c r="C14" s="26" t="s">
        <v>106</v>
      </c>
      <c r="D14" s="61">
        <f t="shared" si="0"/>
        <v>0.37900423633701497</v>
      </c>
      <c r="E14" s="61">
        <f t="shared" si="1"/>
        <v>-0.55993180076628346</v>
      </c>
      <c r="F14" s="61">
        <f t="shared" si="2"/>
        <v>-0.25933348484848484</v>
      </c>
      <c r="G14" s="61">
        <f t="shared" si="3"/>
        <v>-0.81713688973063969</v>
      </c>
      <c r="H14" s="12">
        <v>122399.99999999999</v>
      </c>
      <c r="I14" s="12">
        <v>65250</v>
      </c>
      <c r="J14" s="12">
        <v>1584000</v>
      </c>
      <c r="K14" s="12">
        <v>4752000</v>
      </c>
      <c r="L14" s="59">
        <f>VLOOKUP(A14,'תפוקה מצטברת מול אשתקד'!A:K,8,0)</f>
        <v>168790.1185276506</v>
      </c>
      <c r="M14" s="62">
        <f>VLOOKUP(A14,'תפוקה מצטברת מול אשתקד'!A:K,9,0)</f>
        <v>28714.450000000004</v>
      </c>
      <c r="N14" s="62">
        <f>VLOOKUP(A14,'תפוקה מצטברת מול אשתקד'!A:K,10,0)</f>
        <v>1173215.76</v>
      </c>
      <c r="O14" s="62">
        <f>VLOOKUP(A14,'תפוקה מצטברת מול אשתקד'!A:K,11,0)</f>
        <v>868965.5</v>
      </c>
    </row>
    <row r="15" spans="1:16" ht="31.2" x14ac:dyDescent="0.25">
      <c r="A15" s="26" t="s">
        <v>31</v>
      </c>
      <c r="B15" s="26" t="s">
        <v>55</v>
      </c>
      <c r="C15" s="26" t="s">
        <v>106</v>
      </c>
      <c r="D15" s="61">
        <f t="shared" si="0"/>
        <v>0</v>
      </c>
      <c r="E15" s="61">
        <f t="shared" si="1"/>
        <v>0</v>
      </c>
      <c r="F15" s="61">
        <f t="shared" si="2"/>
        <v>1</v>
      </c>
      <c r="G15" s="61">
        <f t="shared" si="3"/>
        <v>0</v>
      </c>
      <c r="H15" s="12">
        <v>0</v>
      </c>
      <c r="I15" s="12">
        <v>0</v>
      </c>
      <c r="J15" s="12">
        <v>0</v>
      </c>
      <c r="K15" s="12">
        <v>0</v>
      </c>
      <c r="L15" s="59">
        <f>VLOOKUP(A15,'תפוקה מצטברת מול אשתקד'!A:K,8,0)</f>
        <v>0</v>
      </c>
      <c r="M15" s="62">
        <f>VLOOKUP(A15,'תפוקה מצטברת מול אשתקד'!A:K,9,0)</f>
        <v>0</v>
      </c>
      <c r="N15" s="62">
        <f>VLOOKUP(A15,'תפוקה מצטברת מול אשתקד'!A:K,10,0)</f>
        <v>218691.22</v>
      </c>
      <c r="O15" s="62">
        <f>VLOOKUP(A15,'תפוקה מצטברת מול אשתקד'!A:K,11,0)</f>
        <v>0</v>
      </c>
    </row>
    <row r="16" spans="1:16" customFormat="1" ht="15.6" x14ac:dyDescent="0.25">
      <c r="A16" s="26" t="s">
        <v>96</v>
      </c>
      <c r="B16" s="26" t="s">
        <v>108</v>
      </c>
      <c r="C16" s="26" t="s">
        <v>106</v>
      </c>
      <c r="D16" s="61">
        <f t="shared" si="0"/>
        <v>1</v>
      </c>
      <c r="E16" s="61">
        <f t="shared" si="1"/>
        <v>1</v>
      </c>
      <c r="F16" s="61">
        <f t="shared" si="2"/>
        <v>0</v>
      </c>
      <c r="G16" s="61">
        <f t="shared" si="3"/>
        <v>1</v>
      </c>
      <c r="H16" s="12">
        <v>0</v>
      </c>
      <c r="I16" s="12">
        <v>0</v>
      </c>
      <c r="J16" s="12">
        <v>0</v>
      </c>
      <c r="K16" s="12">
        <v>0</v>
      </c>
      <c r="L16" s="59">
        <f>VLOOKUP(A16,'תפוקה מצטברת מול אשתקד'!A:K,8,0)</f>
        <v>90775.790000000008</v>
      </c>
      <c r="M16" s="62">
        <f>VLOOKUP(A16,'תפוקה מצטברת מול אשתקד'!A:K,9,0)</f>
        <v>35219.477999999996</v>
      </c>
      <c r="N16" s="62">
        <f>VLOOKUP(A16,'תפוקה מצטברת מול אשתקד'!A:K,10,0)</f>
        <v>0</v>
      </c>
      <c r="O16" s="62">
        <f>VLOOKUP(A16,'תפוקה מצטברת מול אשתקד'!A:K,11,0)</f>
        <v>103548.56</v>
      </c>
      <c r="P16" s="2"/>
    </row>
    <row r="17" spans="1:15" ht="15.6" x14ac:dyDescent="0.25">
      <c r="A17" s="26" t="s">
        <v>42</v>
      </c>
      <c r="B17" s="26" t="s">
        <v>108</v>
      </c>
      <c r="C17" s="26" t="s">
        <v>106</v>
      </c>
      <c r="D17" s="61">
        <f t="shared" si="0"/>
        <v>-0.30791089458519538</v>
      </c>
      <c r="E17" s="61">
        <f t="shared" si="1"/>
        <v>-0.21419017910627691</v>
      </c>
      <c r="F17" s="61">
        <f t="shared" si="2"/>
        <v>-0.41379601275451539</v>
      </c>
      <c r="G17" s="61">
        <f t="shared" si="3"/>
        <v>-0.53142352693602679</v>
      </c>
      <c r="H17" s="12">
        <v>612000</v>
      </c>
      <c r="I17" s="12">
        <v>261000</v>
      </c>
      <c r="J17" s="12">
        <v>4752000</v>
      </c>
      <c r="K17" s="12">
        <v>2376000</v>
      </c>
      <c r="L17" s="59">
        <f>VLOOKUP(A17,'תפוקה מצטברת מול אשתקד'!A:K,8,0)</f>
        <v>423558.53251386044</v>
      </c>
      <c r="M17" s="62">
        <f>VLOOKUP(A17,'תפוקה מצטברת מול אשתקד'!A:K,9,0)</f>
        <v>205096.36325326172</v>
      </c>
      <c r="N17" s="62">
        <f>VLOOKUP(A17,'תפוקה מצטברת מול אשתקד'!A:K,10,0)</f>
        <v>2785641.3473905427</v>
      </c>
      <c r="O17" s="62">
        <f>VLOOKUP(A17,'תפוקה מצטברת מול אשתקד'!A:K,11,0)</f>
        <v>1113337.7000000002</v>
      </c>
    </row>
    <row r="18" spans="1:15" ht="15.6" x14ac:dyDescent="0.25">
      <c r="A18" s="26" t="s">
        <v>43</v>
      </c>
      <c r="B18" s="26" t="s">
        <v>108</v>
      </c>
      <c r="C18" s="26" t="s">
        <v>106</v>
      </c>
      <c r="D18" s="61">
        <f t="shared" si="0"/>
        <v>-0.54298866457168138</v>
      </c>
      <c r="E18" s="61">
        <f t="shared" si="1"/>
        <v>-0.42536006301160678</v>
      </c>
      <c r="F18" s="61">
        <f t="shared" si="2"/>
        <v>-0.55919412122505219</v>
      </c>
      <c r="G18" s="61">
        <f t="shared" si="3"/>
        <v>-0.37086112373737368</v>
      </c>
      <c r="H18" s="12">
        <v>1224000</v>
      </c>
      <c r="I18" s="12">
        <v>152250</v>
      </c>
      <c r="J18" s="12">
        <v>13860000</v>
      </c>
      <c r="K18" s="12">
        <v>3960000</v>
      </c>
      <c r="L18" s="59">
        <f>VLOOKUP(A18,'תפוקה מצטברת מול אשתקד'!A:K,8,0)</f>
        <v>559381.87456426199</v>
      </c>
      <c r="M18" s="62">
        <f>VLOOKUP(A18,'תפוקה מצטברת מול אשתקד'!A:K,9,0)</f>
        <v>87488.930406482861</v>
      </c>
      <c r="N18" s="62">
        <f>VLOOKUP(A18,'תפוקה מצטברת מול אשתקד'!A:K,10,0)</f>
        <v>6109569.4798207767</v>
      </c>
      <c r="O18" s="62">
        <f>VLOOKUP(A18,'תפוקה מצטברת מול אשתקד'!A:K,11,0)</f>
        <v>2491389.9500000002</v>
      </c>
    </row>
    <row r="19" spans="1:15" ht="15.6" x14ac:dyDescent="0.25">
      <c r="A19" s="26" t="s">
        <v>30</v>
      </c>
      <c r="B19" s="26" t="s">
        <v>108</v>
      </c>
      <c r="C19" s="26" t="s">
        <v>106</v>
      </c>
      <c r="D19" s="61">
        <f t="shared" si="0"/>
        <v>1</v>
      </c>
      <c r="E19" s="61">
        <f t="shared" si="1"/>
        <v>0</v>
      </c>
      <c r="F19" s="61">
        <f t="shared" si="2"/>
        <v>0</v>
      </c>
      <c r="G19" s="61">
        <f t="shared" si="3"/>
        <v>1</v>
      </c>
      <c r="H19" s="12">
        <v>0</v>
      </c>
      <c r="I19" s="12">
        <v>0</v>
      </c>
      <c r="J19" s="12">
        <v>0</v>
      </c>
      <c r="K19" s="12">
        <v>0</v>
      </c>
      <c r="L19" s="59">
        <f>VLOOKUP(A19,'תפוקה מצטברת מול אשתקד'!A:K,8,0)</f>
        <v>8659.139824868651</v>
      </c>
      <c r="M19" s="62">
        <f>VLOOKUP(A19,'תפוקה מצטברת מול אשתקד'!A:K,9,0)</f>
        <v>0</v>
      </c>
      <c r="N19" s="62">
        <f>VLOOKUP(A19,'תפוקה מצטברת מול אשתקד'!A:K,10,0)</f>
        <v>0</v>
      </c>
      <c r="O19" s="62">
        <f>VLOOKUP(A19,'תפוקה מצטברת מול אשתקד'!A:K,11,0)</f>
        <v>-204933.06999999998</v>
      </c>
    </row>
    <row r="20" spans="1:15" ht="15.6" x14ac:dyDescent="0.25">
      <c r="A20" s="28" t="s">
        <v>140</v>
      </c>
      <c r="B20" s="26" t="s">
        <v>108</v>
      </c>
      <c r="C20" s="26" t="s">
        <v>106</v>
      </c>
      <c r="D20" s="61">
        <f t="shared" si="0"/>
        <v>1</v>
      </c>
      <c r="E20" s="61">
        <f t="shared" si="1"/>
        <v>0</v>
      </c>
      <c r="F20" s="61">
        <f t="shared" si="2"/>
        <v>0</v>
      </c>
      <c r="G20" s="61">
        <f t="shared" si="3"/>
        <v>0</v>
      </c>
      <c r="H20" s="12">
        <v>0</v>
      </c>
      <c r="I20" s="12">
        <v>0</v>
      </c>
      <c r="J20" s="12">
        <v>0</v>
      </c>
      <c r="K20" s="12">
        <v>0</v>
      </c>
      <c r="L20" s="59">
        <f>VLOOKUP(A20,'תפוקה מצטברת מול אשתקד'!A:K,8,0)</f>
        <v>29490.324082935349</v>
      </c>
      <c r="M20" s="62">
        <f>VLOOKUP(A20,'תפוקה מצטברת מול אשתקד'!A:K,9,0)</f>
        <v>0</v>
      </c>
      <c r="N20" s="62">
        <f>VLOOKUP(A20,'תפוקה מצטברת מול אשתקד'!A:K,10,0)</f>
        <v>0</v>
      </c>
      <c r="O20" s="62">
        <f>VLOOKUP(A20,'תפוקה מצטברת מול אשתקד'!A:K,11,0)</f>
        <v>0</v>
      </c>
    </row>
    <row r="21" spans="1:15" ht="16.2" thickBot="1" x14ac:dyDescent="0.3">
      <c r="A21" s="28" t="s">
        <v>38</v>
      </c>
      <c r="B21" s="28" t="s">
        <v>108</v>
      </c>
      <c r="C21" s="28" t="s">
        <v>106</v>
      </c>
      <c r="D21" s="145">
        <f t="shared" si="0"/>
        <v>0</v>
      </c>
      <c r="E21" s="145">
        <f t="shared" si="1"/>
        <v>0</v>
      </c>
      <c r="F21" s="145">
        <f t="shared" si="2"/>
        <v>0</v>
      </c>
      <c r="G21" s="145">
        <f t="shared" si="3"/>
        <v>0</v>
      </c>
      <c r="H21" s="12">
        <v>0</v>
      </c>
      <c r="I21" s="12">
        <v>0</v>
      </c>
      <c r="J21" s="12">
        <v>0</v>
      </c>
      <c r="K21" s="12">
        <v>0</v>
      </c>
      <c r="L21" s="59">
        <f>VLOOKUP(A21,'תפוקה מצטברת מול אשתקד'!A:K,8,0)</f>
        <v>0</v>
      </c>
      <c r="M21" s="62">
        <f>VLOOKUP(A21,'תפוקה מצטברת מול אשתקד'!A:K,9,0)</f>
        <v>0</v>
      </c>
      <c r="N21" s="62">
        <f>VLOOKUP(A21,'תפוקה מצטברת מול אשתקד'!A:K,10,0)</f>
        <v>0</v>
      </c>
      <c r="O21" s="62">
        <f>VLOOKUP(A21,'תפוקה מצטברת מול אשתקד'!A:K,11,0)</f>
        <v>0</v>
      </c>
    </row>
    <row r="22" spans="1:15" ht="21.6" thickBot="1" x14ac:dyDescent="0.3">
      <c r="A22" s="17" t="s">
        <v>10</v>
      </c>
      <c r="B22" s="57"/>
      <c r="C22" s="147"/>
      <c r="D22" s="148">
        <f t="shared" si="0"/>
        <v>-0.32080242309547879</v>
      </c>
      <c r="E22" s="148">
        <f t="shared" si="1"/>
        <v>-4.2957396065927189E-2</v>
      </c>
      <c r="F22" s="148">
        <f t="shared" si="2"/>
        <v>-0.44305853702284137</v>
      </c>
      <c r="G22" s="148">
        <f t="shared" si="3"/>
        <v>-0.55715341033283661</v>
      </c>
      <c r="H22" s="149">
        <f t="shared" ref="H22:O22" si="5">SUM(H9:H21)</f>
        <v>3182400</v>
      </c>
      <c r="I22" s="149">
        <f t="shared" si="5"/>
        <v>1261500</v>
      </c>
      <c r="J22" s="149">
        <f t="shared" si="5"/>
        <v>20592000</v>
      </c>
      <c r="K22" s="149">
        <f t="shared" si="5"/>
        <v>12078000</v>
      </c>
      <c r="L22" s="149">
        <f t="shared" si="5"/>
        <v>2161478.3687409484</v>
      </c>
      <c r="M22" s="149">
        <f t="shared" si="5"/>
        <v>1207309.2448628328</v>
      </c>
      <c r="N22" s="149">
        <f t="shared" si="5"/>
        <v>11468538.60562565</v>
      </c>
      <c r="O22" s="149">
        <f t="shared" si="5"/>
        <v>5348701.1100000003</v>
      </c>
    </row>
    <row r="23" spans="1:15" ht="15.6" x14ac:dyDescent="0.25">
      <c r="A23" s="27" t="s">
        <v>11</v>
      </c>
      <c r="B23" s="27" t="s">
        <v>56</v>
      </c>
      <c r="C23" s="27" t="s">
        <v>107</v>
      </c>
      <c r="D23" s="146">
        <f t="shared" si="0"/>
        <v>-0.25757956495098044</v>
      </c>
      <c r="E23" s="146">
        <f t="shared" si="1"/>
        <v>-0.83880175794455714</v>
      </c>
      <c r="F23" s="146">
        <f t="shared" si="2"/>
        <v>-0.77869999999999995</v>
      </c>
      <c r="G23" s="146">
        <f t="shared" si="3"/>
        <v>0.31694390404040385</v>
      </c>
      <c r="H23" s="12">
        <v>652800</v>
      </c>
      <c r="I23" s="12">
        <v>73950</v>
      </c>
      <c r="J23" s="12">
        <v>990000</v>
      </c>
      <c r="K23" s="12">
        <v>1980000</v>
      </c>
      <c r="L23" s="59">
        <f>VLOOKUP(A23,'תפוקה מצטברת מול אשתקד'!A:K,8,0)</f>
        <v>484652.06</v>
      </c>
      <c r="M23" s="62">
        <f>VLOOKUP(A23,'תפוקה מצטברת מול אשתקד'!A:K,9,0)</f>
        <v>11920.61</v>
      </c>
      <c r="N23" s="62">
        <f>VLOOKUP(A23,'תפוקה מצטברת מול אשתקד'!A:K,10,0)</f>
        <v>219087</v>
      </c>
      <c r="O23" s="62">
        <f>VLOOKUP(A23,'תפוקה מצטברת מול אשתקד'!A:K,11,0)</f>
        <v>2607548.9299999997</v>
      </c>
    </row>
    <row r="24" spans="1:15" ht="15.6" x14ac:dyDescent="0.25">
      <c r="A24" s="30" t="s">
        <v>12</v>
      </c>
      <c r="B24" s="26" t="s">
        <v>56</v>
      </c>
      <c r="C24" s="27" t="s">
        <v>107</v>
      </c>
      <c r="D24" s="61">
        <f t="shared" si="0"/>
        <v>0</v>
      </c>
      <c r="E24" s="61">
        <f t="shared" si="1"/>
        <v>1</v>
      </c>
      <c r="F24" s="61">
        <f t="shared" si="2"/>
        <v>0</v>
      </c>
      <c r="G24" s="61">
        <f t="shared" si="3"/>
        <v>1</v>
      </c>
      <c r="H24" s="12">
        <v>0</v>
      </c>
      <c r="I24" s="12">
        <v>0</v>
      </c>
      <c r="J24" s="12">
        <v>0</v>
      </c>
      <c r="K24" s="12">
        <v>0</v>
      </c>
      <c r="L24" s="59">
        <f>VLOOKUP(A24,'תפוקה מצטברת מול אשתקד'!A:K,8,0)</f>
        <v>0</v>
      </c>
      <c r="M24" s="62">
        <f>VLOOKUP(A24,'תפוקה מצטברת מול אשתקד'!A:K,9,0)</f>
        <v>3071.9442883237321</v>
      </c>
      <c r="N24" s="62">
        <f>VLOOKUP(A24,'תפוקה מצטברת מול אשתקד'!A:K,10,0)</f>
        <v>0</v>
      </c>
      <c r="O24" s="62">
        <f>VLOOKUP(A24,'תפוקה מצטברת מול אשתקד'!A:K,11,0)</f>
        <v>-11711.17</v>
      </c>
    </row>
    <row r="25" spans="1:15" ht="15.6" x14ac:dyDescent="0.25">
      <c r="A25" s="30" t="s">
        <v>13</v>
      </c>
      <c r="B25" s="26" t="s">
        <v>56</v>
      </c>
      <c r="C25" s="27" t="s">
        <v>107</v>
      </c>
      <c r="D25" s="61">
        <f t="shared" si="0"/>
        <v>-0.68039191513167452</v>
      </c>
      <c r="E25" s="61">
        <f t="shared" si="1"/>
        <v>-0.65875862068965518</v>
      </c>
      <c r="F25" s="61">
        <f t="shared" si="2"/>
        <v>0</v>
      </c>
      <c r="G25" s="61">
        <f t="shared" si="3"/>
        <v>0</v>
      </c>
      <c r="H25" s="12">
        <v>40800</v>
      </c>
      <c r="I25" s="12">
        <v>21750</v>
      </c>
      <c r="J25" s="12">
        <v>118800</v>
      </c>
      <c r="K25" s="12">
        <v>39600</v>
      </c>
      <c r="L25" s="59">
        <f>VLOOKUP(A25,'תפוקה מצטברת מול אשתקד'!A:K,8,0)</f>
        <v>13040.009862627679</v>
      </c>
      <c r="M25" s="62">
        <f>VLOOKUP(A25,'תפוקה מצטברת מול אשתקד'!A:K,9,0)</f>
        <v>7422</v>
      </c>
      <c r="N25" s="62">
        <f>VLOOKUP(A25,'תפוקה מצטברת מול אשתקד'!A:K,10,0)</f>
        <v>0</v>
      </c>
      <c r="O25" s="62">
        <f>VLOOKUP(A25,'תפוקה מצטברת מול אשתקד'!A:K,11,0)</f>
        <v>0</v>
      </c>
    </row>
    <row r="26" spans="1:15" ht="31.2" x14ac:dyDescent="0.25">
      <c r="A26" s="26" t="s">
        <v>14</v>
      </c>
      <c r="B26" s="26" t="s">
        <v>55</v>
      </c>
      <c r="C26" s="27" t="s">
        <v>107</v>
      </c>
      <c r="D26" s="61">
        <f t="shared" si="0"/>
        <v>0</v>
      </c>
      <c r="E26" s="61">
        <f t="shared" si="1"/>
        <v>0</v>
      </c>
      <c r="F26" s="61">
        <f t="shared" si="2"/>
        <v>0</v>
      </c>
      <c r="G26" s="61">
        <f t="shared" si="3"/>
        <v>0</v>
      </c>
      <c r="H26" s="12">
        <v>0</v>
      </c>
      <c r="I26" s="12">
        <v>0</v>
      </c>
      <c r="J26" s="12">
        <v>0</v>
      </c>
      <c r="K26" s="12">
        <v>0</v>
      </c>
      <c r="L26" s="59">
        <f>VLOOKUP(A26,'תפוקה מצטברת מול אשתקד'!A:K,8,0)</f>
        <v>0</v>
      </c>
      <c r="M26" s="62">
        <f>VLOOKUP(A26,'תפוקה מצטברת מול אשתקד'!A:K,9,0)</f>
        <v>0</v>
      </c>
      <c r="N26" s="62">
        <f>VLOOKUP(A26,'תפוקה מצטברת מול אשתקד'!A:K,10,0)</f>
        <v>0</v>
      </c>
      <c r="O26" s="62">
        <f>VLOOKUP(A26,'תפוקה מצטברת מול אשתקד'!A:K,11,0)</f>
        <v>0</v>
      </c>
    </row>
    <row r="27" spans="1:15" ht="15.6" x14ac:dyDescent="0.25">
      <c r="A27" s="30" t="s">
        <v>15</v>
      </c>
      <c r="B27" s="26" t="s">
        <v>56</v>
      </c>
      <c r="C27" s="27" t="s">
        <v>107</v>
      </c>
      <c r="D27" s="61">
        <f t="shared" si="0"/>
        <v>-0.15662216687270336</v>
      </c>
      <c r="E27" s="61">
        <f t="shared" si="1"/>
        <v>-0.37279931034482761</v>
      </c>
      <c r="F27" s="61">
        <f t="shared" si="2"/>
        <v>-0.63862034511784516</v>
      </c>
      <c r="G27" s="61">
        <f t="shared" si="3"/>
        <v>-0.1555938194444445</v>
      </c>
      <c r="H27" s="12">
        <v>1019999.9999999999</v>
      </c>
      <c r="I27" s="12">
        <v>130500</v>
      </c>
      <c r="J27" s="12">
        <v>1188000</v>
      </c>
      <c r="K27" s="12">
        <v>1584000</v>
      </c>
      <c r="L27" s="59">
        <f>VLOOKUP(A27,'תפוקה מצטברת מול אשתקד'!A:K,8,0)</f>
        <v>860245.38978984242</v>
      </c>
      <c r="M27" s="62">
        <f>VLOOKUP(A27,'תפוקה מצטברת מול אשתקד'!A:K,9,0)</f>
        <v>81849.69</v>
      </c>
      <c r="N27" s="62">
        <f>VLOOKUP(A27,'תפוקה מצטברת מול אשתקד'!A:K,10,0)</f>
        <v>429319.03</v>
      </c>
      <c r="O27" s="62">
        <f>VLOOKUP(A27,'תפוקה מצטברת מול אשתקד'!A:K,11,0)</f>
        <v>1337539.3899999999</v>
      </c>
    </row>
    <row r="28" spans="1:15" ht="15.6" x14ac:dyDescent="0.25">
      <c r="A28" s="30" t="s">
        <v>17</v>
      </c>
      <c r="B28" s="26" t="s">
        <v>56</v>
      </c>
      <c r="C28" s="27" t="s">
        <v>107</v>
      </c>
      <c r="D28" s="61">
        <f t="shared" si="0"/>
        <v>-0.62426938093936513</v>
      </c>
      <c r="E28" s="61">
        <f t="shared" si="1"/>
        <v>-0.27263050822675072</v>
      </c>
      <c r="F28" s="61">
        <f t="shared" si="2"/>
        <v>1.5252525252525251</v>
      </c>
      <c r="G28" s="61">
        <f t="shared" si="3"/>
        <v>1.4103996212121213</v>
      </c>
      <c r="H28" s="12">
        <v>122399.99999999999</v>
      </c>
      <c r="I28" s="12">
        <v>87000</v>
      </c>
      <c r="J28" s="12">
        <v>39600</v>
      </c>
      <c r="K28" s="12">
        <v>79200</v>
      </c>
      <c r="L28" s="59">
        <f>VLOOKUP(A28,'תפוקה מצטברת מול אשתקד'!A:K,8,0)</f>
        <v>45989.427773021707</v>
      </c>
      <c r="M28" s="62">
        <f>VLOOKUP(A28,'תפוקה מצטברת מול אשתקד'!A:K,9,0)</f>
        <v>63281.145784272689</v>
      </c>
      <c r="N28" s="62">
        <f>VLOOKUP(A28,'תפוקה מצטברת מול אשתקד'!A:K,10,0)</f>
        <v>100000</v>
      </c>
      <c r="O28" s="62">
        <f>VLOOKUP(A28,'תפוקה מצטברת מול אשתקד'!A:K,11,0)</f>
        <v>190903.65</v>
      </c>
    </row>
    <row r="29" spans="1:15" ht="15.6" x14ac:dyDescent="0.25">
      <c r="A29" s="30" t="s">
        <v>18</v>
      </c>
      <c r="B29" s="26" t="s">
        <v>56</v>
      </c>
      <c r="C29" s="27" t="s">
        <v>107</v>
      </c>
      <c r="D29" s="61">
        <f t="shared" si="0"/>
        <v>-0.91769272875816998</v>
      </c>
      <c r="E29" s="61">
        <f t="shared" si="1"/>
        <v>-0.33012173180076632</v>
      </c>
      <c r="F29" s="61">
        <f t="shared" si="2"/>
        <v>-0.75746700336700334</v>
      </c>
      <c r="G29" s="61">
        <f t="shared" si="3"/>
        <v>-0.50249486531986531</v>
      </c>
      <c r="H29" s="12">
        <v>122399.99999999999</v>
      </c>
      <c r="I29" s="12">
        <v>65250</v>
      </c>
      <c r="J29" s="12">
        <v>594000</v>
      </c>
      <c r="K29" s="12">
        <v>118800</v>
      </c>
      <c r="L29" s="59">
        <f>VLOOKUP(A29,'תפוקה מצטברת מול אשתקד'!A:K,8,0)</f>
        <v>10074.41</v>
      </c>
      <c r="M29" s="62">
        <f>VLOOKUP(A29,'תפוקה מצטברת מול אשתקד'!A:K,9,0)</f>
        <v>43709.557000000001</v>
      </c>
      <c r="N29" s="62">
        <f>VLOOKUP(A29,'תפוקה מצטברת מול אשתקד'!A:K,10,0)</f>
        <v>144064.6</v>
      </c>
      <c r="O29" s="62">
        <f>VLOOKUP(A29,'תפוקה מצטברת מול אשתקד'!A:K,11,0)</f>
        <v>59103.61</v>
      </c>
    </row>
    <row r="30" spans="1:15" ht="15.6" x14ac:dyDescent="0.25">
      <c r="A30" s="26" t="s">
        <v>19</v>
      </c>
      <c r="B30" s="26" t="s">
        <v>56</v>
      </c>
      <c r="C30" s="27" t="s">
        <v>107</v>
      </c>
      <c r="D30" s="61">
        <f t="shared" si="0"/>
        <v>-0.55646586729036196</v>
      </c>
      <c r="E30" s="61">
        <f t="shared" si="1"/>
        <v>-0.23006957854406129</v>
      </c>
      <c r="F30" s="61">
        <f t="shared" si="2"/>
        <v>-0.65041086700336703</v>
      </c>
      <c r="G30" s="61">
        <f t="shared" si="3"/>
        <v>-0.53152736363636355</v>
      </c>
      <c r="H30" s="12">
        <v>714000</v>
      </c>
      <c r="I30" s="12">
        <v>65250</v>
      </c>
      <c r="J30" s="12">
        <v>1188000</v>
      </c>
      <c r="K30" s="12">
        <v>1980000</v>
      </c>
      <c r="L30" s="59">
        <f>VLOOKUP(A30,'תפוקה מצטברת מול אשתקד'!A:K,8,0)</f>
        <v>316683.37075468153</v>
      </c>
      <c r="M30" s="62">
        <f>VLOOKUP(A30,'תפוקה מצטברת מול אשתקד'!A:K,9,0)</f>
        <v>50237.96</v>
      </c>
      <c r="N30" s="62">
        <f>VLOOKUP(A30,'תפוקה מצטברת מול אשתקד'!A:K,10,0)</f>
        <v>415311.89</v>
      </c>
      <c r="O30" s="62">
        <f>VLOOKUP(A30,'תפוקה מצטברת מול אשתקד'!A:K,11,0)</f>
        <v>927575.82000000007</v>
      </c>
    </row>
    <row r="31" spans="1:15" ht="15.6" x14ac:dyDescent="0.25">
      <c r="A31" s="26" t="s">
        <v>20</v>
      </c>
      <c r="B31" s="26" t="s">
        <v>56</v>
      </c>
      <c r="C31" s="27" t="s">
        <v>107</v>
      </c>
      <c r="D31" s="61">
        <f t="shared" si="0"/>
        <v>0.78189612745098036</v>
      </c>
      <c r="E31" s="61">
        <f t="shared" si="1"/>
        <v>-1.7201127872356392E-2</v>
      </c>
      <c r="F31" s="61">
        <f t="shared" si="2"/>
        <v>0.14967931818181812</v>
      </c>
      <c r="G31" s="61">
        <f t="shared" si="3"/>
        <v>0.68170927272727266</v>
      </c>
      <c r="H31" s="12">
        <v>408000</v>
      </c>
      <c r="I31" s="12">
        <v>87000</v>
      </c>
      <c r="J31" s="12">
        <v>1584000</v>
      </c>
      <c r="K31" s="12">
        <v>990000</v>
      </c>
      <c r="L31" s="59">
        <f>VLOOKUP(A31,'תפוקה מצטברת מול אשתקד'!A:K,8,0)</f>
        <v>727013.62</v>
      </c>
      <c r="M31" s="62">
        <f>VLOOKUP(A31,'תפוקה מצטברת מול אשתקד'!A:K,9,0)</f>
        <v>85503.501875104994</v>
      </c>
      <c r="N31" s="62">
        <f>VLOOKUP(A31,'תפוקה מצטברת מול אשתקד'!A:K,10,0)</f>
        <v>1821092.04</v>
      </c>
      <c r="O31" s="62">
        <f>VLOOKUP(A31,'תפוקה מצטברת מול אשתקד'!A:K,11,0)</f>
        <v>1664892.18</v>
      </c>
    </row>
    <row r="32" spans="1:15" ht="15.6" x14ac:dyDescent="0.25">
      <c r="A32" s="26" t="s">
        <v>21</v>
      </c>
      <c r="B32" s="26" t="s">
        <v>56</v>
      </c>
      <c r="C32" s="27" t="s">
        <v>107</v>
      </c>
      <c r="D32" s="61">
        <f t="shared" si="0"/>
        <v>1</v>
      </c>
      <c r="E32" s="61">
        <f t="shared" si="1"/>
        <v>1</v>
      </c>
      <c r="F32" s="61">
        <f t="shared" si="2"/>
        <v>0</v>
      </c>
      <c r="G32" s="61">
        <f t="shared" si="3"/>
        <v>0</v>
      </c>
      <c r="H32" s="12">
        <v>0</v>
      </c>
      <c r="I32" s="12">
        <v>0</v>
      </c>
      <c r="J32" s="12">
        <v>0</v>
      </c>
      <c r="K32" s="12">
        <v>0</v>
      </c>
      <c r="L32" s="59">
        <f>VLOOKUP(A32,'תפוקה מצטברת מול אשתקד'!A:K,8,0)</f>
        <v>3534.26</v>
      </c>
      <c r="M32" s="62">
        <f>VLOOKUP(A32,'תפוקה מצטברת מול אשתקד'!A:K,9,0)</f>
        <v>9.77</v>
      </c>
      <c r="N32" s="62">
        <f>VLOOKUP(A32,'תפוקה מצטברת מול אשתקד'!A:K,10,0)</f>
        <v>0</v>
      </c>
      <c r="O32" s="62">
        <f>VLOOKUP(A32,'תפוקה מצטברת מול אשתקד'!A:K,11,0)</f>
        <v>0</v>
      </c>
    </row>
    <row r="33" spans="1:15" ht="15.6" x14ac:dyDescent="0.25">
      <c r="A33" s="26" t="s">
        <v>22</v>
      </c>
      <c r="B33" s="26" t="s">
        <v>56</v>
      </c>
      <c r="C33" s="27" t="s">
        <v>107</v>
      </c>
      <c r="D33" s="61">
        <f t="shared" si="0"/>
        <v>1</v>
      </c>
      <c r="E33" s="61">
        <f t="shared" si="1"/>
        <v>1</v>
      </c>
      <c r="F33" s="61">
        <f t="shared" si="2"/>
        <v>1</v>
      </c>
      <c r="G33" s="61">
        <f t="shared" si="3"/>
        <v>0</v>
      </c>
      <c r="H33" s="12">
        <v>0</v>
      </c>
      <c r="I33" s="12">
        <v>0</v>
      </c>
      <c r="J33" s="12">
        <v>0</v>
      </c>
      <c r="K33" s="12">
        <v>0</v>
      </c>
      <c r="L33" s="59">
        <f>VLOOKUP(A33,'תפוקה מצטברת מול אשתקד'!A:K,8,0)</f>
        <v>1430.7864342713151</v>
      </c>
      <c r="M33" s="62">
        <f>VLOOKUP(A33,'תפוקה מצטברת מול אשתקד'!A:K,9,0)</f>
        <v>3967.905542000698</v>
      </c>
      <c r="N33" s="62">
        <f>VLOOKUP(A33,'תפוקה מצטברת מול אשתקד'!A:K,10,0)</f>
        <v>14899.64635435012</v>
      </c>
      <c r="O33" s="62">
        <f>VLOOKUP(A33,'תפוקה מצטברת מול אשתקד'!A:K,11,0)</f>
        <v>0</v>
      </c>
    </row>
    <row r="34" spans="1:15" ht="15.6" x14ac:dyDescent="0.25">
      <c r="A34" s="26" t="s">
        <v>23</v>
      </c>
      <c r="B34" s="26" t="s">
        <v>56</v>
      </c>
      <c r="C34" s="27" t="s">
        <v>107</v>
      </c>
      <c r="D34" s="61">
        <f t="shared" si="0"/>
        <v>0</v>
      </c>
      <c r="E34" s="61">
        <f t="shared" si="1"/>
        <v>0</v>
      </c>
      <c r="F34" s="61">
        <f t="shared" si="2"/>
        <v>0</v>
      </c>
      <c r="G34" s="61">
        <f t="shared" si="3"/>
        <v>0</v>
      </c>
      <c r="H34" s="12">
        <v>0</v>
      </c>
      <c r="I34" s="12">
        <v>0</v>
      </c>
      <c r="J34" s="12">
        <v>0</v>
      </c>
      <c r="K34" s="12">
        <v>0</v>
      </c>
      <c r="L34" s="59">
        <f>VLOOKUP(A34,'תפוקה מצטברת מול אשתקד'!A:K,8,0)</f>
        <v>0</v>
      </c>
      <c r="M34" s="62">
        <f>VLOOKUP(A34,'תפוקה מצטברת מול אשתקד'!A:K,9,0)</f>
        <v>0</v>
      </c>
      <c r="N34" s="62">
        <f>VLOOKUP(A34,'תפוקה מצטברת מול אשתקד'!A:K,10,0)</f>
        <v>0</v>
      </c>
      <c r="O34" s="62">
        <f>VLOOKUP(A34,'תפוקה מצטברת מול אשתקד'!A:K,11,0)</f>
        <v>0</v>
      </c>
    </row>
    <row r="35" spans="1:15" ht="15.6" x14ac:dyDescent="0.25">
      <c r="A35" s="26" t="s">
        <v>24</v>
      </c>
      <c r="B35" s="26" t="s">
        <v>56</v>
      </c>
      <c r="C35" s="27" t="s">
        <v>107</v>
      </c>
      <c r="D35" s="61">
        <f t="shared" si="0"/>
        <v>0</v>
      </c>
      <c r="E35" s="61">
        <f t="shared" si="1"/>
        <v>1</v>
      </c>
      <c r="F35" s="61">
        <f t="shared" si="2"/>
        <v>0</v>
      </c>
      <c r="G35" s="61">
        <f t="shared" si="3"/>
        <v>0</v>
      </c>
      <c r="H35" s="12">
        <v>0</v>
      </c>
      <c r="I35" s="12">
        <v>0</v>
      </c>
      <c r="J35" s="12">
        <v>0</v>
      </c>
      <c r="K35" s="12">
        <v>0</v>
      </c>
      <c r="L35" s="59">
        <f>VLOOKUP(A35,'תפוקה מצטברת מול אשתקד'!A:K,8,0)</f>
        <v>0</v>
      </c>
      <c r="M35" s="62">
        <f>VLOOKUP(A35,'תפוקה מצטברת מול אשתקד'!A:K,9,0)</f>
        <v>6731.5479999999998</v>
      </c>
      <c r="N35" s="62">
        <f>VLOOKUP(A35,'תפוקה מצטברת מול אשתקד'!A:K,10,0)</f>
        <v>0</v>
      </c>
      <c r="O35" s="62">
        <f>VLOOKUP(A35,'תפוקה מצטברת מול אשתקד'!A:K,11,0)</f>
        <v>0</v>
      </c>
    </row>
    <row r="36" spans="1:15" ht="15.6" x14ac:dyDescent="0.25">
      <c r="A36" s="30" t="s">
        <v>25</v>
      </c>
      <c r="B36" s="26" t="s">
        <v>56</v>
      </c>
      <c r="C36" s="27" t="s">
        <v>107</v>
      </c>
      <c r="D36" s="61">
        <f t="shared" si="0"/>
        <v>0.33816166214801258</v>
      </c>
      <c r="E36" s="61">
        <f t="shared" si="1"/>
        <v>-6.3353741392877527E-2</v>
      </c>
      <c r="F36" s="61">
        <f t="shared" si="2"/>
        <v>-0.29880305678019781</v>
      </c>
      <c r="G36" s="61">
        <f t="shared" si="3"/>
        <v>0.76802323863636368</v>
      </c>
      <c r="H36" s="12">
        <v>1019999.9999999999</v>
      </c>
      <c r="I36" s="12">
        <v>195750</v>
      </c>
      <c r="J36" s="12">
        <v>2376000</v>
      </c>
      <c r="K36" s="12">
        <v>1584000</v>
      </c>
      <c r="L36" s="59">
        <f>VLOOKUP(A36,'תפוקה מצטברת מול אשתקד'!A:K,8,0)</f>
        <v>1364924.8953909727</v>
      </c>
      <c r="M36" s="62">
        <f>VLOOKUP(A36,'תפוקה מצטברת מול אשתקד'!A:K,9,0)</f>
        <v>183348.50512234421</v>
      </c>
      <c r="N36" s="62">
        <f>VLOOKUP(A36,'תפוקה מצטברת מול אשתקד'!A:K,10,0)</f>
        <v>1666043.93709025</v>
      </c>
      <c r="O36" s="62">
        <f>VLOOKUP(A36,'תפוקה מצטברת מול אשתקד'!A:K,11,0)</f>
        <v>2800548.81</v>
      </c>
    </row>
    <row r="37" spans="1:15" ht="15.6" x14ac:dyDescent="0.25">
      <c r="A37" s="26" t="s">
        <v>26</v>
      </c>
      <c r="B37" s="26" t="s">
        <v>56</v>
      </c>
      <c r="C37" s="27" t="s">
        <v>107</v>
      </c>
      <c r="D37" s="61">
        <f t="shared" si="0"/>
        <v>0</v>
      </c>
      <c r="E37" s="61">
        <f t="shared" si="1"/>
        <v>0</v>
      </c>
      <c r="F37" s="61">
        <f t="shared" si="2"/>
        <v>0</v>
      </c>
      <c r="G37" s="61">
        <f t="shared" si="3"/>
        <v>0</v>
      </c>
      <c r="H37" s="12">
        <v>0</v>
      </c>
      <c r="I37" s="12">
        <v>0</v>
      </c>
      <c r="J37" s="12">
        <v>0</v>
      </c>
      <c r="K37" s="12">
        <v>0</v>
      </c>
      <c r="L37" s="59">
        <f>VLOOKUP(A37,'תפוקה מצטברת מול אשתקד'!A:K,8,0)</f>
        <v>0</v>
      </c>
      <c r="M37" s="62">
        <f>VLOOKUP(A37,'תפוקה מצטברת מול אשתקד'!A:K,9,0)</f>
        <v>0</v>
      </c>
      <c r="N37" s="62">
        <f>VLOOKUP(A37,'תפוקה מצטברת מול אשתקד'!A:K,10,0)</f>
        <v>0</v>
      </c>
      <c r="O37" s="62">
        <f>VLOOKUP(A37,'תפוקה מצטברת מול אשתקד'!A:K,11,0)</f>
        <v>0</v>
      </c>
    </row>
    <row r="38" spans="1:15" ht="15.6" x14ac:dyDescent="0.25">
      <c r="A38" s="26" t="s">
        <v>27</v>
      </c>
      <c r="B38" s="26" t="s">
        <v>56</v>
      </c>
      <c r="C38" s="27" t="s">
        <v>107</v>
      </c>
      <c r="D38" s="61">
        <f t="shared" si="0"/>
        <v>1</v>
      </c>
      <c r="E38" s="61">
        <f t="shared" si="1"/>
        <v>1</v>
      </c>
      <c r="F38" s="61">
        <f t="shared" si="2"/>
        <v>1</v>
      </c>
      <c r="G38" s="61">
        <f t="shared" si="3"/>
        <v>1</v>
      </c>
      <c r="H38" s="12">
        <v>0</v>
      </c>
      <c r="I38" s="12">
        <v>0</v>
      </c>
      <c r="J38" s="12">
        <v>0</v>
      </c>
      <c r="K38" s="12">
        <v>0</v>
      </c>
      <c r="L38" s="59">
        <f>VLOOKUP(A38,'תפוקה מצטברת מול אשתקד'!A:K,8,0)</f>
        <v>44755.199999999997</v>
      </c>
      <c r="M38" s="62">
        <f>VLOOKUP(A38,'תפוקה מצטברת מול אשתקד'!A:K,9,0)</f>
        <v>-3451</v>
      </c>
      <c r="N38" s="62">
        <f>VLOOKUP(A38,'תפוקה מצטברת מול אשתקד'!A:K,10,0)</f>
        <v>22102.44</v>
      </c>
      <c r="O38" s="62">
        <f>VLOOKUP(A38,'תפוקה מצטברת מול אשתקד'!A:K,11,0)</f>
        <v>-580576.23</v>
      </c>
    </row>
    <row r="39" spans="1:15" ht="15.6" x14ac:dyDescent="0.25">
      <c r="A39" s="26" t="s">
        <v>28</v>
      </c>
      <c r="B39" s="26" t="s">
        <v>56</v>
      </c>
      <c r="C39" s="27" t="s">
        <v>107</v>
      </c>
      <c r="D39" s="61">
        <f t="shared" si="0"/>
        <v>1</v>
      </c>
      <c r="E39" s="61">
        <f t="shared" si="1"/>
        <v>0</v>
      </c>
      <c r="F39" s="61">
        <f t="shared" si="2"/>
        <v>0</v>
      </c>
      <c r="G39" s="61">
        <f t="shared" si="3"/>
        <v>0</v>
      </c>
      <c r="H39" s="12">
        <v>0</v>
      </c>
      <c r="I39" s="12">
        <v>0</v>
      </c>
      <c r="J39" s="12">
        <v>0</v>
      </c>
      <c r="K39" s="12">
        <v>0</v>
      </c>
      <c r="L39" s="59">
        <f>VLOOKUP(A39,'תפוקה מצטברת מול אשתקד'!A:K,8,0)</f>
        <v>37915.581688366226</v>
      </c>
      <c r="M39" s="62">
        <f>VLOOKUP(A39,'תפוקה מצטברת מול אשתקד'!A:K,9,0)</f>
        <v>0</v>
      </c>
      <c r="N39" s="62">
        <f>VLOOKUP(A39,'תפוקה מצטברת מול אשתקד'!A:K,10,0)</f>
        <v>0</v>
      </c>
      <c r="O39" s="62">
        <f>VLOOKUP(A39,'תפוקה מצטברת מול אשתקד'!A:K,11,0)</f>
        <v>0</v>
      </c>
    </row>
    <row r="40" spans="1:15" ht="15.6" x14ac:dyDescent="0.25">
      <c r="A40" s="26" t="s">
        <v>29</v>
      </c>
      <c r="B40" s="26" t="s">
        <v>56</v>
      </c>
      <c r="C40" s="27" t="s">
        <v>107</v>
      </c>
      <c r="D40" s="61">
        <f t="shared" si="0"/>
        <v>1</v>
      </c>
      <c r="E40" s="61">
        <f t="shared" si="1"/>
        <v>-0.39908045977011497</v>
      </c>
      <c r="F40" s="61">
        <f t="shared" si="2"/>
        <v>1</v>
      </c>
      <c r="G40" s="61">
        <f t="shared" si="3"/>
        <v>1</v>
      </c>
      <c r="H40" s="12">
        <v>0</v>
      </c>
      <c r="I40" s="12">
        <v>4350</v>
      </c>
      <c r="J40" s="12">
        <v>0</v>
      </c>
      <c r="K40" s="12">
        <v>0</v>
      </c>
      <c r="L40" s="59">
        <f>VLOOKUP(A40,'תפוקה מצטברת מול אשתקד'!A:K,8,0)</f>
        <v>104471.52</v>
      </c>
      <c r="M40" s="62">
        <f>VLOOKUP(A40,'תפוקה מצטברת מול אשתקד'!A:K,9,0)</f>
        <v>2614</v>
      </c>
      <c r="N40" s="62">
        <f>VLOOKUP(A40,'תפוקה מצטברת מול אשתקד'!A:K,10,0)</f>
        <v>238400.74</v>
      </c>
      <c r="O40" s="62">
        <f>VLOOKUP(A40,'תפוקה מצטברת מול אשתקד'!A:K,11,0)</f>
        <v>230013.85</v>
      </c>
    </row>
    <row r="41" spans="1:15" ht="31.2" x14ac:dyDescent="0.25">
      <c r="A41" s="26" t="s">
        <v>98</v>
      </c>
      <c r="B41" s="26" t="s">
        <v>55</v>
      </c>
      <c r="C41" s="27" t="s">
        <v>107</v>
      </c>
      <c r="D41" s="61">
        <f t="shared" si="0"/>
        <v>-0.81567346813725494</v>
      </c>
      <c r="E41" s="61">
        <f t="shared" si="1"/>
        <v>-0.59335724137931034</v>
      </c>
      <c r="F41" s="61">
        <f t="shared" si="2"/>
        <v>0</v>
      </c>
      <c r="G41" s="61">
        <f t="shared" si="3"/>
        <v>0</v>
      </c>
      <c r="H41" s="12">
        <v>163200</v>
      </c>
      <c r="I41" s="12">
        <v>43500</v>
      </c>
      <c r="J41" s="12">
        <v>396000</v>
      </c>
      <c r="K41" s="12">
        <v>396000</v>
      </c>
      <c r="L41" s="59">
        <f>VLOOKUP(A41,'תפוקה מצטברת מול אשתקד'!A:K,8,0)</f>
        <v>30082.09</v>
      </c>
      <c r="M41" s="62">
        <f>VLOOKUP(A41,'תפוקה מצטברת מול אשתקד'!A:K,9,0)</f>
        <v>17688.96</v>
      </c>
      <c r="N41" s="62">
        <f>VLOOKUP(A41,'תפוקה מצטברת מול אשתקד'!A:K,10,0)</f>
        <v>0</v>
      </c>
      <c r="O41" s="62">
        <f>VLOOKUP(A41,'תפוקה מצטברת מול אשתקד'!A:K,11,0)</f>
        <v>0</v>
      </c>
    </row>
    <row r="42" spans="1:15" ht="31.2" x14ac:dyDescent="0.25">
      <c r="A42" s="26" t="s">
        <v>32</v>
      </c>
      <c r="B42" s="26" t="s">
        <v>55</v>
      </c>
      <c r="C42" s="27" t="s">
        <v>107</v>
      </c>
      <c r="D42" s="61">
        <f t="shared" si="0"/>
        <v>0</v>
      </c>
      <c r="E42" s="61">
        <f t="shared" si="1"/>
        <v>0</v>
      </c>
      <c r="F42" s="61">
        <f t="shared" si="2"/>
        <v>0</v>
      </c>
      <c r="G42" s="61">
        <f t="shared" si="3"/>
        <v>0</v>
      </c>
      <c r="H42" s="12">
        <v>0</v>
      </c>
      <c r="I42" s="12">
        <v>0</v>
      </c>
      <c r="J42" s="12">
        <v>0</v>
      </c>
      <c r="K42" s="12">
        <v>0</v>
      </c>
      <c r="L42" s="59">
        <f>VLOOKUP(A42,'תפוקה מצטברת מול אשתקד'!A:K,8,0)</f>
        <v>0</v>
      </c>
      <c r="M42" s="62">
        <f>VLOOKUP(A42,'תפוקה מצטברת מול אשתקד'!A:K,9,0)</f>
        <v>0</v>
      </c>
      <c r="N42" s="62">
        <f>VLOOKUP(A42,'תפוקה מצטברת מול אשתקד'!A:K,10,0)</f>
        <v>0</v>
      </c>
      <c r="O42" s="62">
        <f>VLOOKUP(A42,'תפוקה מצטברת מול אשתקד'!A:K,11,0)</f>
        <v>0</v>
      </c>
    </row>
    <row r="43" spans="1:15" ht="15.6" x14ac:dyDescent="0.25">
      <c r="A43" s="30" t="s">
        <v>95</v>
      </c>
      <c r="B43" s="26" t="s">
        <v>56</v>
      </c>
      <c r="C43" s="27" t="s">
        <v>107</v>
      </c>
      <c r="D43" s="61">
        <f t="shared" si="0"/>
        <v>1</v>
      </c>
      <c r="E43" s="61">
        <f t="shared" si="1"/>
        <v>1</v>
      </c>
      <c r="F43" s="61">
        <f t="shared" si="2"/>
        <v>1</v>
      </c>
      <c r="G43" s="61">
        <f t="shared" si="3"/>
        <v>1</v>
      </c>
      <c r="H43" s="12">
        <v>0</v>
      </c>
      <c r="I43" s="12">
        <v>0</v>
      </c>
      <c r="J43" s="12">
        <v>0</v>
      </c>
      <c r="K43" s="12">
        <v>0</v>
      </c>
      <c r="L43" s="59">
        <f>VLOOKUP(A43,'תפוקה מצטברת מול אשתקד'!A:K,8,0)</f>
        <v>203040.96280443773</v>
      </c>
      <c r="M43" s="62">
        <f>VLOOKUP(A43,'תפוקה מצטברת מול אשתקד'!A:K,9,0)</f>
        <v>29617.5869692044</v>
      </c>
      <c r="N43" s="62">
        <f>VLOOKUP(A43,'תפוקה מצטברת מול אשתקד'!A:K,10,0)</f>
        <v>337601.39570975612</v>
      </c>
      <c r="O43" s="62">
        <f>VLOOKUP(A43,'תפוקה מצטברת מול אשתקד'!A:K,11,0)</f>
        <v>837884.91</v>
      </c>
    </row>
    <row r="44" spans="1:15" ht="15.6" x14ac:dyDescent="0.25">
      <c r="A44" s="26" t="s">
        <v>83</v>
      </c>
      <c r="B44" s="26" t="s">
        <v>56</v>
      </c>
      <c r="C44" s="27" t="s">
        <v>107</v>
      </c>
      <c r="D44" s="61">
        <f t="shared" si="0"/>
        <v>-0.91838235294117643</v>
      </c>
      <c r="E44" s="61">
        <f t="shared" si="1"/>
        <v>-0.35596244747659289</v>
      </c>
      <c r="F44" s="61">
        <f t="shared" si="2"/>
        <v>-0.92109427609427608</v>
      </c>
      <c r="G44" s="61">
        <f t="shared" si="3"/>
        <v>0</v>
      </c>
      <c r="H44" s="12">
        <v>122399.99999999999</v>
      </c>
      <c r="I44" s="12">
        <v>34800</v>
      </c>
      <c r="J44" s="12">
        <v>118800</v>
      </c>
      <c r="K44" s="12">
        <v>118800</v>
      </c>
      <c r="L44" s="59">
        <f>VLOOKUP(A44,'תפוקה מצטברת מול אשתקד'!A:K,8,0)</f>
        <v>9990</v>
      </c>
      <c r="M44" s="62">
        <f>VLOOKUP(A44,'תפוקה מצטברת מול אשתקד'!A:K,9,0)</f>
        <v>22412.506827814566</v>
      </c>
      <c r="N44" s="62">
        <f>VLOOKUP(A44,'תפוקה מצטברת מול אשתקד'!A:K,10,0)</f>
        <v>9374</v>
      </c>
      <c r="O44" s="62">
        <f>VLOOKUP(A44,'תפוקה מצטברת מול אשתקד'!A:K,11,0)</f>
        <v>0</v>
      </c>
    </row>
    <row r="45" spans="1:15" ht="15.6" x14ac:dyDescent="0.25">
      <c r="A45" s="26" t="s">
        <v>82</v>
      </c>
      <c r="B45" s="26" t="s">
        <v>56</v>
      </c>
      <c r="C45" s="27" t="s">
        <v>107</v>
      </c>
      <c r="D45" s="61">
        <f t="shared" si="0"/>
        <v>-0.74794705882352941</v>
      </c>
      <c r="E45" s="61">
        <f t="shared" si="1"/>
        <v>-0.73873471264367807</v>
      </c>
      <c r="F45" s="61">
        <f t="shared" si="2"/>
        <v>3.1725673400673404</v>
      </c>
      <c r="G45" s="61">
        <f t="shared" si="3"/>
        <v>0.6596106060606064</v>
      </c>
      <c r="H45" s="12">
        <v>20400</v>
      </c>
      <c r="I45" s="12">
        <v>21750</v>
      </c>
      <c r="J45" s="12">
        <v>118800</v>
      </c>
      <c r="K45" s="12">
        <v>79200</v>
      </c>
      <c r="L45" s="59">
        <f>VLOOKUP(A45,'תפוקה מצטברת מול אשתקד'!A:K,8,0)</f>
        <v>5141.88</v>
      </c>
      <c r="M45" s="62">
        <f>VLOOKUP(A45,'תפוקה מצטברת מול אשתקד'!A:K,9,0)</f>
        <v>5682.52</v>
      </c>
      <c r="N45" s="62">
        <f>VLOOKUP(A45,'תפוקה מצטברת מול אשתקד'!A:K,10,0)</f>
        <v>495701</v>
      </c>
      <c r="O45" s="62">
        <f>VLOOKUP(A45,'תפוקה מצטברת מול אשתקד'!A:K,11,0)</f>
        <v>131441.16000000003</v>
      </c>
    </row>
    <row r="46" spans="1:15" ht="31.2" x14ac:dyDescent="0.25">
      <c r="A46" s="26" t="s">
        <v>36</v>
      </c>
      <c r="B46" s="26" t="s">
        <v>55</v>
      </c>
      <c r="C46" s="27" t="s">
        <v>107</v>
      </c>
      <c r="D46" s="61">
        <f t="shared" si="0"/>
        <v>0</v>
      </c>
      <c r="E46" s="61">
        <f t="shared" si="1"/>
        <v>0</v>
      </c>
      <c r="F46" s="61">
        <f t="shared" si="2"/>
        <v>0</v>
      </c>
      <c r="G46" s="61">
        <f t="shared" si="3"/>
        <v>0</v>
      </c>
      <c r="H46" s="12">
        <v>0</v>
      </c>
      <c r="I46" s="12">
        <v>0</v>
      </c>
      <c r="J46" s="12">
        <v>0</v>
      </c>
      <c r="K46" s="12">
        <v>0</v>
      </c>
      <c r="L46" s="59">
        <f>VLOOKUP(A46,'תפוקה מצטברת מול אשתקד'!A:K,8,0)</f>
        <v>0</v>
      </c>
      <c r="M46" s="62">
        <f>VLOOKUP(A46,'תפוקה מצטברת מול אשתקד'!A:K,9,0)</f>
        <v>0</v>
      </c>
      <c r="N46" s="62">
        <f>VLOOKUP(A46,'תפוקה מצטברת מול אשתקד'!A:K,10,0)</f>
        <v>0</v>
      </c>
      <c r="O46" s="62">
        <f>VLOOKUP(A46,'תפוקה מצטברת מול אשתקד'!A:K,11,0)</f>
        <v>0</v>
      </c>
    </row>
    <row r="47" spans="1:15" ht="31.2" x14ac:dyDescent="0.25">
      <c r="A47" s="26" t="s">
        <v>94</v>
      </c>
      <c r="B47" s="26" t="s">
        <v>55</v>
      </c>
      <c r="C47" s="27" t="s">
        <v>107</v>
      </c>
      <c r="D47" s="61">
        <f t="shared" si="0"/>
        <v>0</v>
      </c>
      <c r="E47" s="61">
        <f t="shared" si="1"/>
        <v>0</v>
      </c>
      <c r="F47" s="61">
        <f t="shared" si="2"/>
        <v>0</v>
      </c>
      <c r="G47" s="61">
        <f t="shared" si="3"/>
        <v>0</v>
      </c>
      <c r="H47" s="12">
        <v>0</v>
      </c>
      <c r="I47" s="12">
        <v>0</v>
      </c>
      <c r="J47" s="12">
        <v>0</v>
      </c>
      <c r="K47" s="12">
        <v>0</v>
      </c>
      <c r="L47" s="59">
        <f>VLOOKUP(A47,'תפוקה מצטברת מול אשתקד'!A:K,8,0)</f>
        <v>0</v>
      </c>
      <c r="M47" s="62">
        <f>VLOOKUP(A47,'תפוקה מצטברת מול אשתקד'!A:K,9,0)</f>
        <v>0</v>
      </c>
      <c r="N47" s="62">
        <f>VLOOKUP(A47,'תפוקה מצטברת מול אשתקד'!A:K,10,0)</f>
        <v>0</v>
      </c>
      <c r="O47" s="62">
        <f>VLOOKUP(A47,'תפוקה מצטברת מול אשתקד'!A:K,11,0)</f>
        <v>0</v>
      </c>
    </row>
    <row r="48" spans="1:15" ht="15.6" x14ac:dyDescent="0.25">
      <c r="A48" s="28" t="s">
        <v>85</v>
      </c>
      <c r="B48" s="26" t="s">
        <v>56</v>
      </c>
      <c r="C48" s="27" t="s">
        <v>107</v>
      </c>
      <c r="D48" s="61">
        <f t="shared" si="0"/>
        <v>0</v>
      </c>
      <c r="E48" s="61">
        <f t="shared" si="1"/>
        <v>-0.74200101149425279</v>
      </c>
      <c r="F48" s="61">
        <f t="shared" si="2"/>
        <v>0</v>
      </c>
      <c r="G48" s="61">
        <f t="shared" si="3"/>
        <v>0</v>
      </c>
      <c r="H48" s="12">
        <v>20400</v>
      </c>
      <c r="I48" s="12">
        <v>21750</v>
      </c>
      <c r="J48" s="12">
        <v>198000</v>
      </c>
      <c r="K48" s="12">
        <v>79200</v>
      </c>
      <c r="L48" s="59">
        <f>VLOOKUP(A48,'תפוקה מצטברת מול אשתקד'!A:K,8,0)</f>
        <v>0</v>
      </c>
      <c r="M48" s="62">
        <f>VLOOKUP(A48,'תפוקה מצטברת מול אשתקד'!A:K,9,0)</f>
        <v>5611.4780000000001</v>
      </c>
      <c r="N48" s="62">
        <f>VLOOKUP(A48,'תפוקה מצטברת מול אשתקד'!A:K,10,0)</f>
        <v>0</v>
      </c>
      <c r="O48" s="62">
        <f>VLOOKUP(A48,'תפוקה מצטברת מול אשתקד'!A:K,11,0)</f>
        <v>0</v>
      </c>
    </row>
    <row r="49" spans="1:15" ht="15.6" x14ac:dyDescent="0.25">
      <c r="A49" s="28" t="s">
        <v>87</v>
      </c>
      <c r="B49" s="26" t="s">
        <v>56</v>
      </c>
      <c r="C49" s="27" t="s">
        <v>107</v>
      </c>
      <c r="D49" s="61">
        <f t="shared" si="0"/>
        <v>-0.91791176470588232</v>
      </c>
      <c r="E49" s="61">
        <f t="shared" si="1"/>
        <v>0</v>
      </c>
      <c r="F49" s="61">
        <f t="shared" si="2"/>
        <v>0.26196464646464657</v>
      </c>
      <c r="G49" s="61">
        <f t="shared" si="3"/>
        <v>3.8278960606060606</v>
      </c>
      <c r="H49" s="12">
        <v>40800</v>
      </c>
      <c r="I49" s="12">
        <v>21750</v>
      </c>
      <c r="J49" s="12">
        <v>792000</v>
      </c>
      <c r="K49" s="12">
        <v>198000</v>
      </c>
      <c r="L49" s="59">
        <f>VLOOKUP(A49,'תפוקה מצטברת מול אשתקד'!A:K,8,0)</f>
        <v>3349.2</v>
      </c>
      <c r="M49" s="62">
        <f>VLOOKUP(A49,'תפוקה מצטברת מול אשתקד'!A:K,9,0)</f>
        <v>0</v>
      </c>
      <c r="N49" s="62">
        <f>VLOOKUP(A49,'תפוקה מצטברת מול אשתקד'!A:K,10,0)</f>
        <v>999476</v>
      </c>
      <c r="O49" s="62">
        <f>VLOOKUP(A49,'תפוקה מצטברת מול אשתקד'!A:K,11,0)</f>
        <v>955923.42</v>
      </c>
    </row>
    <row r="50" spans="1:15" ht="15.6" x14ac:dyDescent="0.25">
      <c r="A50" s="26" t="s">
        <v>97</v>
      </c>
      <c r="B50" s="26" t="s">
        <v>56</v>
      </c>
      <c r="C50" s="26" t="s">
        <v>107</v>
      </c>
      <c r="D50" s="61">
        <f t="shared" si="0"/>
        <v>1</v>
      </c>
      <c r="E50" s="61">
        <f t="shared" si="1"/>
        <v>1</v>
      </c>
      <c r="F50" s="61">
        <f t="shared" si="2"/>
        <v>1</v>
      </c>
      <c r="G50" s="61">
        <f t="shared" si="3"/>
        <v>1</v>
      </c>
      <c r="H50" s="12">
        <v>0</v>
      </c>
      <c r="I50" s="12">
        <v>0</v>
      </c>
      <c r="J50" s="12">
        <v>0</v>
      </c>
      <c r="K50" s="12">
        <v>0</v>
      </c>
      <c r="L50" s="59">
        <f>VLOOKUP(A50,'תפוקה מצטברת מול אשתקד'!A:K,8,0)</f>
        <v>117927.34</v>
      </c>
      <c r="M50" s="62">
        <f>VLOOKUP(A50,'תפוקה מצטברת מול אשתקד'!A:K,9,0)</f>
        <v>1661.15</v>
      </c>
      <c r="N50" s="62">
        <f>VLOOKUP(A50,'תפוקה מצטברת מול אשתקד'!A:K,10,0)</f>
        <v>1427521.44</v>
      </c>
      <c r="O50" s="62">
        <f>VLOOKUP(A50,'תפוקה מצטברת מול אשתקד'!A:K,11,0)</f>
        <v>8253</v>
      </c>
    </row>
    <row r="51" spans="1:15" ht="15.6" x14ac:dyDescent="0.25">
      <c r="A51" s="26" t="s">
        <v>39</v>
      </c>
      <c r="B51" s="26" t="s">
        <v>56</v>
      </c>
      <c r="C51" s="26" t="s">
        <v>107</v>
      </c>
      <c r="D51" s="61">
        <f t="shared" si="0"/>
        <v>1</v>
      </c>
      <c r="E51" s="61">
        <f t="shared" si="1"/>
        <v>1</v>
      </c>
      <c r="F51" s="61">
        <f t="shared" si="2"/>
        <v>0</v>
      </c>
      <c r="G51" s="61">
        <f t="shared" si="3"/>
        <v>1</v>
      </c>
      <c r="H51" s="12">
        <v>0</v>
      </c>
      <c r="I51" s="12">
        <v>0</v>
      </c>
      <c r="J51" s="12">
        <v>0</v>
      </c>
      <c r="K51" s="12">
        <v>0</v>
      </c>
      <c r="L51" s="59">
        <f>VLOOKUP(A51,'תפוקה מצטברת מול אשתקד'!A:K,8,0)</f>
        <v>104471.52</v>
      </c>
      <c r="M51" s="62">
        <f>VLOOKUP(A51,'תפוקה מצטברת מול אשתקד'!A:K,9,0)</f>
        <v>18244.129999999997</v>
      </c>
      <c r="N51" s="62">
        <f>VLOOKUP(A51,'תפוקה מצטברת מול אשתקד'!A:K,10,0)</f>
        <v>0</v>
      </c>
      <c r="O51" s="62">
        <f>VLOOKUP(A51,'תפוקה מצטברת מול אשתקד'!A:K,11,0)</f>
        <v>140806.85999999999</v>
      </c>
    </row>
    <row r="52" spans="1:15" ht="15.6" x14ac:dyDescent="0.25">
      <c r="A52" s="26" t="s">
        <v>91</v>
      </c>
      <c r="B52" s="26" t="s">
        <v>56</v>
      </c>
      <c r="C52" s="26" t="s">
        <v>107</v>
      </c>
      <c r="D52" s="61">
        <f t="shared" si="0"/>
        <v>1</v>
      </c>
      <c r="E52" s="61">
        <f t="shared" si="1"/>
        <v>1</v>
      </c>
      <c r="F52" s="61">
        <f t="shared" si="2"/>
        <v>1</v>
      </c>
      <c r="G52" s="61">
        <f t="shared" si="3"/>
        <v>1</v>
      </c>
      <c r="H52" s="12">
        <v>0</v>
      </c>
      <c r="I52" s="12">
        <v>0</v>
      </c>
      <c r="J52" s="12">
        <v>0</v>
      </c>
      <c r="K52" s="12">
        <v>0</v>
      </c>
      <c r="L52" s="59">
        <f>VLOOKUP(A52,'תפוקה מצטברת מול אשתקד'!A:K,8,0)</f>
        <v>174658.91</v>
      </c>
      <c r="M52" s="62">
        <f>VLOOKUP(A52,'תפוקה מצטברת מול אשתקד'!A:K,9,0)</f>
        <v>7378.1669999999995</v>
      </c>
      <c r="N52" s="62">
        <f>VLOOKUP(A52,'תפוקה מצטברת מול אשתקד'!A:K,10,0)</f>
        <v>95992.86</v>
      </c>
      <c r="O52" s="62">
        <f>VLOOKUP(A52,'תפוקה מצטברת מול אשתקד'!A:K,11,0)</f>
        <v>593317.69999999995</v>
      </c>
    </row>
    <row r="53" spans="1:15" ht="15.6" x14ac:dyDescent="0.25">
      <c r="A53" s="26" t="s">
        <v>41</v>
      </c>
      <c r="B53" s="26" t="s">
        <v>56</v>
      </c>
      <c r="C53" s="26" t="s">
        <v>107</v>
      </c>
      <c r="D53" s="61">
        <f t="shared" si="0"/>
        <v>1</v>
      </c>
      <c r="E53" s="61">
        <f t="shared" si="1"/>
        <v>1</v>
      </c>
      <c r="F53" s="61">
        <f t="shared" si="2"/>
        <v>0</v>
      </c>
      <c r="G53" s="61">
        <f t="shared" si="3"/>
        <v>0</v>
      </c>
      <c r="H53" s="12">
        <v>0</v>
      </c>
      <c r="I53" s="12">
        <v>0</v>
      </c>
      <c r="J53" s="12">
        <v>0</v>
      </c>
      <c r="K53" s="12">
        <v>0</v>
      </c>
      <c r="L53" s="59">
        <f>VLOOKUP(A53,'תפוקה מצטברת מול אשתקד'!A:K,8,0)</f>
        <v>12130</v>
      </c>
      <c r="M53" s="62">
        <f>VLOOKUP(A53,'תפוקה מצטברת מול אשתקד'!A:K,9,0)</f>
        <v>870</v>
      </c>
      <c r="N53" s="62">
        <f>VLOOKUP(A53,'תפוקה מצטברת מול אשתקד'!A:K,10,0)</f>
        <v>0</v>
      </c>
      <c r="O53" s="62">
        <f>VLOOKUP(A53,'תפוקה מצטברת מול אשתקד'!A:K,11,0)</f>
        <v>0</v>
      </c>
    </row>
    <row r="54" spans="1:15" ht="15.6" x14ac:dyDescent="0.25">
      <c r="A54" s="26" t="s">
        <v>139</v>
      </c>
      <c r="B54" s="26" t="s">
        <v>108</v>
      </c>
      <c r="C54" s="27" t="s">
        <v>107</v>
      </c>
      <c r="D54" s="61">
        <f t="shared" si="0"/>
        <v>0</v>
      </c>
      <c r="E54" s="61">
        <f t="shared" si="1"/>
        <v>0</v>
      </c>
      <c r="F54" s="61">
        <f t="shared" si="2"/>
        <v>0</v>
      </c>
      <c r="G54" s="61">
        <f t="shared" si="3"/>
        <v>1</v>
      </c>
      <c r="H54" s="12"/>
      <c r="I54" s="12"/>
      <c r="J54" s="12"/>
      <c r="K54" s="12"/>
      <c r="L54" s="59">
        <f>VLOOKUP(A54,'תפוקה מצטברת מול אשתקד'!A:K,8,0)</f>
        <v>0</v>
      </c>
      <c r="M54" s="62">
        <f>VLOOKUP(A54,'תפוקה מצטברת מול אשתקד'!A:K,9,0)</f>
        <v>0</v>
      </c>
      <c r="N54" s="62">
        <f>VLOOKUP(A54,'תפוקה מצטברת מול אשתקד'!A:K,10,0)</f>
        <v>0</v>
      </c>
      <c r="O54" s="62">
        <f>VLOOKUP(A54,'תפוקה מצטברת מול אשתקד'!A:K,11,0)</f>
        <v>-124868.53</v>
      </c>
    </row>
    <row r="55" spans="1:15" ht="16.2" thickBot="1" x14ac:dyDescent="0.3">
      <c r="A55" s="28" t="s">
        <v>88</v>
      </c>
      <c r="B55" s="28" t="s">
        <v>56</v>
      </c>
      <c r="C55" s="28" t="s">
        <v>107</v>
      </c>
      <c r="D55" s="145">
        <f t="shared" si="0"/>
        <v>0</v>
      </c>
      <c r="E55" s="145">
        <f t="shared" si="1"/>
        <v>1</v>
      </c>
      <c r="F55" s="145">
        <f t="shared" si="2"/>
        <v>0</v>
      </c>
      <c r="G55" s="145">
        <f t="shared" si="3"/>
        <v>1</v>
      </c>
      <c r="H55" s="12">
        <v>0</v>
      </c>
      <c r="I55" s="12">
        <v>0</v>
      </c>
      <c r="J55" s="12">
        <v>0</v>
      </c>
      <c r="K55" s="12">
        <v>0</v>
      </c>
      <c r="L55" s="59">
        <f>VLOOKUP(A55,'תפוקה מצטברת מול אשתקד'!A:K,8,0)</f>
        <v>0</v>
      </c>
      <c r="M55" s="62">
        <f>VLOOKUP(A55,'תפוקה מצטברת מול אשתקד'!A:K,9,0)</f>
        <v>3272.9</v>
      </c>
      <c r="N55" s="62">
        <f>VLOOKUP(A55,'תפוקה מצטברת מול אשתקד'!A:K,10,0)</f>
        <v>0</v>
      </c>
      <c r="O55" s="62">
        <f>VLOOKUP(A55,'תפוקה מצטברת מול אשתקד'!A:K,11,0)</f>
        <v>-2038</v>
      </c>
    </row>
    <row r="56" spans="1:15" ht="21.6" thickBot="1" x14ac:dyDescent="0.3">
      <c r="A56" s="150" t="s">
        <v>116</v>
      </c>
      <c r="B56" s="57"/>
      <c r="C56" s="147"/>
      <c r="D56" s="151">
        <f t="shared" ref="D56" si="6">IF(L56=0,0%,IF(H56=0,100%,L56/H56-1))</f>
        <v>4.6540073976681251E-2</v>
      </c>
      <c r="E56" s="151">
        <f t="shared" ref="E56" si="7">IF(M56=0,0%,IF(I56=0,100%,M56/I56-1))</f>
        <v>-0.2535523115353514</v>
      </c>
      <c r="F56" s="151">
        <f t="shared" ref="F56" si="8">IF(N56=0,0%,IF(J56=0,100%,N56/J56-1))</f>
        <v>-0.13048979394409843</v>
      </c>
      <c r="G56" s="151">
        <f t="shared" ref="G56" si="9">IF(O56=0,0%,IF(K56=0,100%,O56/K56-1))</f>
        <v>0.27525895868556782</v>
      </c>
      <c r="H56" s="129">
        <f>SUM(H23:H55)</f>
        <v>4467600</v>
      </c>
      <c r="I56" s="129">
        <f>SUM(I23:I55)</f>
        <v>874350</v>
      </c>
      <c r="J56" s="129">
        <f>SUM(J23:J55)</f>
        <v>9702000</v>
      </c>
      <c r="K56" s="129">
        <f>SUM(K23:K55)</f>
        <v>9226800</v>
      </c>
      <c r="L56" s="129">
        <f>SUM(L23:L55)</f>
        <v>4675522.4344982207</v>
      </c>
      <c r="M56" s="129">
        <f t="shared" ref="M56:O56" si="10">SUM(M23:M55)</f>
        <v>652656.53640906548</v>
      </c>
      <c r="N56" s="129">
        <f t="shared" si="10"/>
        <v>8435988.0191543568</v>
      </c>
      <c r="O56" s="129">
        <f t="shared" si="10"/>
        <v>11766559.359999998</v>
      </c>
    </row>
    <row r="57" spans="1:15" ht="15.6" x14ac:dyDescent="0.25">
      <c r="A57" s="26" t="s">
        <v>37</v>
      </c>
      <c r="B57" s="26" t="s">
        <v>115</v>
      </c>
      <c r="C57" s="27" t="s">
        <v>107</v>
      </c>
      <c r="D57" s="61">
        <f t="shared" ref="D57:G65" si="11">IF(L57=0,0%,IF(H57=0,100%,L57/H57-1))</f>
        <v>-0.53241171568627454</v>
      </c>
      <c r="E57" s="61">
        <f t="shared" si="11"/>
        <v>-0.58139556650246305</v>
      </c>
      <c r="F57" s="61">
        <f t="shared" si="11"/>
        <v>-0.35710795454545452</v>
      </c>
      <c r="G57" s="61">
        <f t="shared" si="11"/>
        <v>-0.75395678661616161</v>
      </c>
      <c r="H57" s="12">
        <v>1632000</v>
      </c>
      <c r="I57" s="12">
        <v>152250</v>
      </c>
      <c r="J57" s="12">
        <v>1584000</v>
      </c>
      <c r="K57" s="12">
        <v>1584000</v>
      </c>
      <c r="L57" s="59">
        <f>VLOOKUP(A57,'תפוקה מצטברת מול אשתקד'!A:K,8,0)</f>
        <v>763104.08</v>
      </c>
      <c r="M57" s="62">
        <f>VLOOKUP(A57,'תפוקה מצטברת מול אשתקד'!A:K,9,0)</f>
        <v>63732.524999999994</v>
      </c>
      <c r="N57" s="62">
        <f>VLOOKUP(A57,'תפוקה מצטברת מול אשתקד'!A:K,10,0)</f>
        <v>1018341</v>
      </c>
      <c r="O57" s="62">
        <f>VLOOKUP(A57,'תפוקה מצטברת מול אשתקד'!A:K,11,0)</f>
        <v>389732.45</v>
      </c>
    </row>
    <row r="58" spans="1:15" ht="15.6" x14ac:dyDescent="0.25">
      <c r="A58" s="30" t="s">
        <v>33</v>
      </c>
      <c r="B58" s="26" t="s">
        <v>115</v>
      </c>
      <c r="C58" s="26" t="s">
        <v>107</v>
      </c>
      <c r="D58" s="61">
        <f t="shared" si="11"/>
        <v>-0.90088686274509799</v>
      </c>
      <c r="E58" s="61">
        <f t="shared" si="11"/>
        <v>-0.87348184707315224</v>
      </c>
      <c r="F58" s="61">
        <f t="shared" si="11"/>
        <v>-0.6741548435177741</v>
      </c>
      <c r="G58" s="61">
        <f t="shared" si="11"/>
        <v>0</v>
      </c>
      <c r="H58" s="12">
        <v>204000</v>
      </c>
      <c r="I58" s="12">
        <v>34800</v>
      </c>
      <c r="J58" s="12">
        <v>2772000</v>
      </c>
      <c r="K58" s="12">
        <v>396000</v>
      </c>
      <c r="L58" s="59">
        <f>VLOOKUP(A58,'תפוקה מצטברת מול אשתקד'!A:K,8,0)</f>
        <v>20219.080000000002</v>
      </c>
      <c r="M58" s="62">
        <f>VLOOKUP(A58,'תפוקה מצטברת מול אשתקד'!A:K,9,0)</f>
        <v>4402.8317218543043</v>
      </c>
      <c r="N58" s="62">
        <f>VLOOKUP(A58,'תפוקה מצטברת מול אשתקד'!A:K,10,0)</f>
        <v>903242.77376873011</v>
      </c>
      <c r="O58" s="62">
        <f>VLOOKUP(A58,'תפוקה מצטברת מול אשתקד'!A:K,11,0)</f>
        <v>0</v>
      </c>
    </row>
    <row r="59" spans="1:15" ht="15.6" x14ac:dyDescent="0.25">
      <c r="A59" s="26" t="s">
        <v>35</v>
      </c>
      <c r="B59" s="26" t="s">
        <v>115</v>
      </c>
      <c r="C59" s="27" t="s">
        <v>107</v>
      </c>
      <c r="D59" s="61">
        <f t="shared" si="11"/>
        <v>1</v>
      </c>
      <c r="E59" s="61">
        <f t="shared" si="11"/>
        <v>0</v>
      </c>
      <c r="F59" s="61">
        <f t="shared" si="11"/>
        <v>0</v>
      </c>
      <c r="G59" s="61">
        <f t="shared" si="11"/>
        <v>0</v>
      </c>
      <c r="H59" s="12">
        <v>0</v>
      </c>
      <c r="I59" s="12">
        <v>17400</v>
      </c>
      <c r="J59" s="12">
        <v>0</v>
      </c>
      <c r="K59" s="12">
        <v>0</v>
      </c>
      <c r="L59" s="59">
        <f>VLOOKUP(A59,'תפוקה מצטברת מול אשתקד'!A:K,8,0)</f>
        <v>17640.650000000001</v>
      </c>
      <c r="M59" s="62">
        <f>VLOOKUP(A59,'תפוקה מצטברת מול אשתקד'!A:K,9,0)</f>
        <v>0</v>
      </c>
      <c r="N59" s="62">
        <f>VLOOKUP(A59,'תפוקה מצטברת מול אשתקד'!A:K,10,0)</f>
        <v>0</v>
      </c>
      <c r="O59" s="62">
        <f>VLOOKUP(A59,'תפוקה מצטברת מול אשתקד'!A:K,11,0)</f>
        <v>0</v>
      </c>
    </row>
    <row r="60" spans="1:15" ht="15.6" x14ac:dyDescent="0.25">
      <c r="A60" s="27" t="s">
        <v>86</v>
      </c>
      <c r="B60" s="27" t="s">
        <v>115</v>
      </c>
      <c r="C60" s="27" t="s">
        <v>107</v>
      </c>
      <c r="D60" s="61">
        <f t="shared" si="11"/>
        <v>0.21294115196078423</v>
      </c>
      <c r="E60" s="61">
        <f t="shared" si="11"/>
        <v>-0.71258758620689655</v>
      </c>
      <c r="F60" s="61">
        <f t="shared" si="11"/>
        <v>1.8386459696969695</v>
      </c>
      <c r="G60" s="61">
        <f t="shared" si="11"/>
        <v>-1.7427194444444405E-2</v>
      </c>
      <c r="H60" s="12">
        <v>408000</v>
      </c>
      <c r="I60" s="12">
        <v>87000</v>
      </c>
      <c r="J60" s="12">
        <v>990000</v>
      </c>
      <c r="K60" s="12">
        <v>3960000</v>
      </c>
      <c r="L60" s="59">
        <f>VLOOKUP(A60,'תפוקה מצטברת מול אשתקד'!A:K,8,0)</f>
        <v>494879.99</v>
      </c>
      <c r="M60" s="62">
        <f>VLOOKUP(A60,'תפוקה מצטברת מול אשתקד'!A:K,9,0)</f>
        <v>25004.880000000001</v>
      </c>
      <c r="N60" s="62">
        <f>VLOOKUP(A60,'תפוקה מצטברת מול אשתקד'!A:K,10,0)</f>
        <v>2810259.51</v>
      </c>
      <c r="O60" s="62">
        <f>VLOOKUP(A60,'תפוקה מצטברת מול אשתקד'!A:K,11,0)</f>
        <v>3890988.31</v>
      </c>
    </row>
    <row r="61" spans="1:15" ht="15.6" x14ac:dyDescent="0.25">
      <c r="A61" s="26" t="s">
        <v>84</v>
      </c>
      <c r="B61" s="26" t="s">
        <v>115</v>
      </c>
      <c r="C61" s="26" t="s">
        <v>107</v>
      </c>
      <c r="D61" s="61">
        <f t="shared" si="11"/>
        <v>-8.9102375262994249E-2</v>
      </c>
      <c r="E61" s="61">
        <f t="shared" si="11"/>
        <v>-0.35341656408200173</v>
      </c>
      <c r="F61" s="61">
        <f t="shared" si="11"/>
        <v>2.0919406161616161</v>
      </c>
      <c r="G61" s="61">
        <f t="shared" si="11"/>
        <v>1.0722438215488217</v>
      </c>
      <c r="H61" s="12">
        <v>408000</v>
      </c>
      <c r="I61" s="12">
        <v>43500</v>
      </c>
      <c r="J61" s="12">
        <v>990000</v>
      </c>
      <c r="K61" s="12">
        <v>594000</v>
      </c>
      <c r="L61" s="59">
        <f>VLOOKUP(A61,'תפוקה מצטברת מול אשתקד'!A:K,8,0)</f>
        <v>371646.23089269834</v>
      </c>
      <c r="M61" s="62">
        <f>VLOOKUP(A61,'תפוקה מצטברת מול אשתקד'!A:K,9,0)</f>
        <v>28126.379462432924</v>
      </c>
      <c r="N61" s="62">
        <f>VLOOKUP(A61,'תפוקה מצטברת מול אשתקד'!A:K,10,0)</f>
        <v>3061021.21</v>
      </c>
      <c r="O61" s="62">
        <f>VLOOKUP(A61,'תפוקה מצטברת מול אשתקד'!A:K,11,0)</f>
        <v>1230912.83</v>
      </c>
    </row>
    <row r="62" spans="1:15" ht="15.6" x14ac:dyDescent="0.25">
      <c r="A62" s="107" t="s">
        <v>99</v>
      </c>
      <c r="B62" s="26" t="s">
        <v>115</v>
      </c>
      <c r="C62" s="27" t="s">
        <v>107</v>
      </c>
      <c r="D62" s="61">
        <f t="shared" si="11"/>
        <v>1.7987575980392156</v>
      </c>
      <c r="E62" s="61">
        <f t="shared" si="11"/>
        <v>-0.86864850574712649</v>
      </c>
      <c r="F62" s="61">
        <f t="shared" si="11"/>
        <v>-0.31256455808080807</v>
      </c>
      <c r="G62" s="61">
        <f t="shared" si="11"/>
        <v>-0.14118553872053863</v>
      </c>
      <c r="H62" s="12">
        <v>40800</v>
      </c>
      <c r="I62" s="12">
        <v>43500</v>
      </c>
      <c r="J62" s="12">
        <v>792000</v>
      </c>
      <c r="K62" s="12">
        <v>594000</v>
      </c>
      <c r="L62" s="59">
        <f>VLOOKUP(A62,'תפוקה מצטברת מול אשתקד'!A:K,8,0)</f>
        <v>114189.31</v>
      </c>
      <c r="M62" s="62">
        <f>VLOOKUP(A62,'תפוקה מצטברת מול אשתקד'!A:K,9,0)</f>
        <v>5713.79</v>
      </c>
      <c r="N62" s="62">
        <f>VLOOKUP(A62,'תפוקה מצטברת מול אשתקד'!A:K,10,0)</f>
        <v>544448.87</v>
      </c>
      <c r="O62" s="62">
        <f>VLOOKUP(A62,'תפוקה מצטברת מול אשתקד'!A:K,11,0)</f>
        <v>510135.79000000004</v>
      </c>
    </row>
    <row r="63" spans="1:15" ht="15.6" x14ac:dyDescent="0.25">
      <c r="A63" s="192" t="s">
        <v>130</v>
      </c>
      <c r="B63" s="26" t="s">
        <v>115</v>
      </c>
      <c r="C63" s="27" t="s">
        <v>107</v>
      </c>
      <c r="D63" s="61">
        <f t="shared" si="11"/>
        <v>0</v>
      </c>
      <c r="E63" s="61">
        <f t="shared" si="11"/>
        <v>0</v>
      </c>
      <c r="F63" s="61">
        <f t="shared" si="11"/>
        <v>0</v>
      </c>
      <c r="G63" s="61">
        <f t="shared" si="11"/>
        <v>0</v>
      </c>
      <c r="H63" s="12">
        <v>408000</v>
      </c>
      <c r="I63" s="12">
        <v>65250</v>
      </c>
      <c r="J63" s="12">
        <v>1980000</v>
      </c>
      <c r="K63" s="12">
        <v>792000</v>
      </c>
      <c r="L63" s="59">
        <f>VLOOKUP(A63,'תפוקה מצטברת מול אשתקד'!A:K,8,0)</f>
        <v>0</v>
      </c>
      <c r="M63" s="62">
        <f>VLOOKUP(A63,'תפוקה מצטברת מול אשתקד'!A:K,9,0)</f>
        <v>0</v>
      </c>
      <c r="N63" s="62">
        <f>VLOOKUP(A63,'תפוקה מצטברת מול אשתקד'!A:K,10,0)</f>
        <v>0</v>
      </c>
      <c r="O63" s="62">
        <f>VLOOKUP(A63,'תפוקה מצטברת מול אשתקד'!A:K,11,0)</f>
        <v>0</v>
      </c>
    </row>
    <row r="64" spans="1:15" ht="15.6" x14ac:dyDescent="0.25">
      <c r="A64" s="197" t="s">
        <v>141</v>
      </c>
      <c r="B64" s="26" t="s">
        <v>115</v>
      </c>
      <c r="C64" s="27" t="s">
        <v>107</v>
      </c>
      <c r="D64" s="61">
        <f t="shared" si="11"/>
        <v>0</v>
      </c>
      <c r="E64" s="61">
        <f t="shared" si="11"/>
        <v>1</v>
      </c>
      <c r="F64" s="61">
        <f t="shared" si="11"/>
        <v>0</v>
      </c>
      <c r="G64" s="61">
        <f t="shared" si="11"/>
        <v>1</v>
      </c>
      <c r="H64" s="12"/>
      <c r="I64" s="12"/>
      <c r="J64" s="12"/>
      <c r="K64" s="12"/>
      <c r="L64" s="59">
        <f>VLOOKUP(A64,'תפוקה מצטברת מול אשתקד'!A:K,8,0)</f>
        <v>0</v>
      </c>
      <c r="M64" s="62">
        <f>VLOOKUP(A64,'תפוקה מצטברת מול אשתקד'!A:K,9,0)</f>
        <v>2108</v>
      </c>
      <c r="N64" s="62">
        <f>VLOOKUP(A64,'תפוקה מצטברת מול אשתקד'!A:K,10,0)</f>
        <v>0</v>
      </c>
      <c r="O64" s="62">
        <f>VLOOKUP(A64,'תפוקה מצטברת מול אשתקד'!A:K,11,0)</f>
        <v>439063.23</v>
      </c>
    </row>
    <row r="65" spans="1:15" ht="16.2" thickBot="1" x14ac:dyDescent="0.3">
      <c r="A65" s="30" t="s">
        <v>16</v>
      </c>
      <c r="B65" s="26" t="s">
        <v>115</v>
      </c>
      <c r="C65" s="27" t="s">
        <v>107</v>
      </c>
      <c r="D65" s="61">
        <f t="shared" si="11"/>
        <v>0</v>
      </c>
      <c r="E65" s="61">
        <f t="shared" si="11"/>
        <v>0</v>
      </c>
      <c r="F65" s="61">
        <f t="shared" si="11"/>
        <v>0</v>
      </c>
      <c r="G65" s="61">
        <f t="shared" si="11"/>
        <v>0</v>
      </c>
      <c r="H65" s="12">
        <v>0</v>
      </c>
      <c r="I65" s="12">
        <v>43500</v>
      </c>
      <c r="J65" s="12">
        <v>0</v>
      </c>
      <c r="K65" s="12">
        <v>0</v>
      </c>
      <c r="L65" s="59">
        <f>VLOOKUP(A65,'תפוקה מצטברת מול אשתקד'!A:K,8,0)</f>
        <v>0</v>
      </c>
      <c r="M65" s="62">
        <f>VLOOKUP(A65,'תפוקה מצטברת מול אשתקד'!A:K,9,0)</f>
        <v>0</v>
      </c>
      <c r="N65" s="62">
        <f>VLOOKUP(A65,'תפוקה מצטברת מול אשתקד'!A:K,10,0)</f>
        <v>0</v>
      </c>
      <c r="O65" s="62">
        <f>VLOOKUP(A65,'תפוקה מצטברת מול אשתקד'!A:K,11,0)</f>
        <v>0</v>
      </c>
    </row>
    <row r="66" spans="1:15" ht="21.6" thickBot="1" x14ac:dyDescent="0.3">
      <c r="A66" s="150" t="s">
        <v>117</v>
      </c>
      <c r="B66" s="57"/>
      <c r="C66" s="147"/>
      <c r="D66" s="151">
        <f t="shared" si="0"/>
        <v>-0.42541300925803083</v>
      </c>
      <c r="E66" s="151">
        <f t="shared" si="1"/>
        <v>-0.73504021719152868</v>
      </c>
      <c r="F66" s="151">
        <f t="shared" si="2"/>
        <v>-8.4616451057451636E-2</v>
      </c>
      <c r="G66" s="151">
        <f t="shared" si="3"/>
        <v>-0.18423830681818187</v>
      </c>
      <c r="H66" s="129">
        <f>SUM(H57:H65)</f>
        <v>3100800</v>
      </c>
      <c r="I66" s="129">
        <f>SUM(I57:I65)</f>
        <v>487200</v>
      </c>
      <c r="J66" s="129">
        <f>SUM(J57:J65)</f>
        <v>9108000</v>
      </c>
      <c r="K66" s="129">
        <f>SUM(K57:K65)</f>
        <v>7920000</v>
      </c>
      <c r="L66" s="129">
        <f>SUM(L57:L65)</f>
        <v>1781679.3408926982</v>
      </c>
      <c r="M66" s="129">
        <f t="shared" ref="M66:O66" si="12">SUM(M57:M65)</f>
        <v>129088.40618428723</v>
      </c>
      <c r="N66" s="129">
        <f t="shared" si="12"/>
        <v>8337313.3637687303</v>
      </c>
      <c r="O66" s="129">
        <f t="shared" si="12"/>
        <v>6460832.6099999994</v>
      </c>
    </row>
    <row r="67" spans="1:15" ht="15.6" x14ac:dyDescent="0.25">
      <c r="A67" s="27" t="s">
        <v>77</v>
      </c>
      <c r="B67" s="27" t="s">
        <v>108</v>
      </c>
      <c r="C67" s="27" t="s">
        <v>102</v>
      </c>
      <c r="D67" s="146">
        <f t="shared" si="0"/>
        <v>-0.38022346212419444</v>
      </c>
      <c r="E67" s="146">
        <f t="shared" si="1"/>
        <v>-0.66784360027283429</v>
      </c>
      <c r="F67" s="146">
        <f t="shared" si="2"/>
        <v>-6.5399323232323336E-2</v>
      </c>
      <c r="G67" s="146">
        <f t="shared" si="3"/>
        <v>0.95694846464646455</v>
      </c>
      <c r="H67" s="12">
        <v>408000</v>
      </c>
      <c r="I67" s="12">
        <v>65250</v>
      </c>
      <c r="J67" s="12">
        <v>3960000</v>
      </c>
      <c r="K67" s="12">
        <v>1980000</v>
      </c>
      <c r="L67" s="59">
        <f>VLOOKUP(A67,'תפוקה מצטברת מול אשתקד'!A:K,8,0)</f>
        <v>252868.82745332865</v>
      </c>
      <c r="M67" s="62">
        <f>VLOOKUP(A67,'תפוקה מצטברת מול אשתקד'!A:K,9,0)</f>
        <v>21673.205082197557</v>
      </c>
      <c r="N67" s="62">
        <f>VLOOKUP(A67,'תפוקה מצטברת מול אשתקד'!A:K,10,0)</f>
        <v>3701018.6799999997</v>
      </c>
      <c r="O67" s="62">
        <f>VLOOKUP(A67,'תפוקה מצטברת מול אשתקד'!A:K,11,0)</f>
        <v>3874757.96</v>
      </c>
    </row>
    <row r="68" spans="1:15" ht="15.6" x14ac:dyDescent="0.25">
      <c r="A68" s="30" t="s">
        <v>40</v>
      </c>
      <c r="B68" s="26" t="s">
        <v>56</v>
      </c>
      <c r="C68" s="26" t="s">
        <v>103</v>
      </c>
      <c r="D68" s="61">
        <f t="shared" si="0"/>
        <v>0.29742550602590989</v>
      </c>
      <c r="E68" s="61">
        <f t="shared" si="1"/>
        <v>0.26501962068965512</v>
      </c>
      <c r="F68" s="61">
        <f t="shared" si="2"/>
        <v>-0.18097059343434341</v>
      </c>
      <c r="G68" s="61">
        <f t="shared" si="3"/>
        <v>1.9179361069023568</v>
      </c>
      <c r="H68" s="12">
        <v>1224000</v>
      </c>
      <c r="I68" s="12">
        <v>261000</v>
      </c>
      <c r="J68" s="12">
        <v>3960000</v>
      </c>
      <c r="K68" s="12">
        <v>2376000</v>
      </c>
      <c r="L68" s="59">
        <f>VLOOKUP(A68,'תפוקה מצטברת מול אשתקד'!A:K,8,0)</f>
        <v>1588048.8193757138</v>
      </c>
      <c r="M68" s="62">
        <f>VLOOKUP(A68,'תפוקה מצטברת מול אשתקד'!A:K,9,0)</f>
        <v>330170.12099999998</v>
      </c>
      <c r="N68" s="62">
        <f>VLOOKUP(A68,'תפוקה מצטברת מול אשתקד'!A:K,10,0)</f>
        <v>3243356.45</v>
      </c>
      <c r="O68" s="62">
        <f>VLOOKUP(A68,'תפוקה מצטברת מול אשתקד'!A:K,11,0)</f>
        <v>6933016.1899999995</v>
      </c>
    </row>
    <row r="69" spans="1:15" ht="15.6" x14ac:dyDescent="0.25">
      <c r="A69" s="26" t="s">
        <v>90</v>
      </c>
      <c r="B69" s="26" t="s">
        <v>108</v>
      </c>
      <c r="C69" s="26" t="s">
        <v>103</v>
      </c>
      <c r="D69" s="61">
        <f t="shared" ref="D69:E76" si="13">IF(L69=0,0%,IF(H69=0,100%,L69/H69-1))</f>
        <v>0</v>
      </c>
      <c r="E69" s="61">
        <f t="shared" si="13"/>
        <v>1</v>
      </c>
      <c r="F69" s="61">
        <f t="shared" si="2"/>
        <v>1</v>
      </c>
      <c r="G69" s="61">
        <f t="shared" si="3"/>
        <v>0</v>
      </c>
      <c r="H69" s="12">
        <v>0</v>
      </c>
      <c r="I69" s="12">
        <v>0</v>
      </c>
      <c r="J69" s="12">
        <v>0</v>
      </c>
      <c r="K69" s="12">
        <v>0</v>
      </c>
      <c r="L69" s="59">
        <f>VLOOKUP(A69,'תפוקה מצטברת מול אשתקד'!A:K,8,0)</f>
        <v>0</v>
      </c>
      <c r="M69" s="62">
        <f>VLOOKUP(A69,'תפוקה מצטברת מול אשתקד'!A:K,9,0)</f>
        <v>-1563.3605168282938</v>
      </c>
      <c r="N69" s="62">
        <f>VLOOKUP(A69,'תפוקה מצטברת מול אשתקד'!A:K,10,0)</f>
        <v>10532</v>
      </c>
      <c r="O69" s="62">
        <f>VLOOKUP(A69,'תפוקה מצטברת מול אשתקד'!A:K,11,0)</f>
        <v>0</v>
      </c>
    </row>
    <row r="70" spans="1:15" ht="15.6" x14ac:dyDescent="0.25">
      <c r="A70" s="26" t="s">
        <v>92</v>
      </c>
      <c r="B70" s="26" t="s">
        <v>56</v>
      </c>
      <c r="C70" s="26" t="s">
        <v>103</v>
      </c>
      <c r="D70" s="61">
        <f t="shared" si="13"/>
        <v>1</v>
      </c>
      <c r="E70" s="61">
        <f t="shared" si="13"/>
        <v>1</v>
      </c>
      <c r="F70" s="61">
        <f t="shared" ref="F70:F76" si="14">IF(N70=0,0%,IF(J70=0,100%,N70/J70-1))</f>
        <v>1</v>
      </c>
      <c r="G70" s="61">
        <f t="shared" ref="G70:G76" si="15">IF(O70=0,0%,IF(K70=0,100%,O70/K70-1))</f>
        <v>1</v>
      </c>
      <c r="H70" s="12">
        <v>0</v>
      </c>
      <c r="I70" s="12">
        <v>0</v>
      </c>
      <c r="J70" s="12">
        <v>0</v>
      </c>
      <c r="K70" s="12">
        <v>0</v>
      </c>
      <c r="L70" s="59">
        <f>VLOOKUP(A70,'תפוקה מצטברת מול אשתקד'!A:K,8,0)</f>
        <v>122663.12</v>
      </c>
      <c r="M70" s="62">
        <f>VLOOKUP(A70,'תפוקה מצטברת מול אשתקד'!A:K,9,0)</f>
        <v>-478.12349989090097</v>
      </c>
      <c r="N70" s="62">
        <f>VLOOKUP(A70,'תפוקה מצטברת מול אשתקד'!A:K,10,0)</f>
        <v>44969</v>
      </c>
      <c r="O70" s="62">
        <f>VLOOKUP(A70,'תפוקה מצטברת מול אשתקד'!A:K,11,0)</f>
        <v>1517221.35</v>
      </c>
    </row>
    <row r="71" spans="1:15" ht="15.6" x14ac:dyDescent="0.25">
      <c r="A71" s="26" t="s">
        <v>93</v>
      </c>
      <c r="B71" s="26" t="s">
        <v>56</v>
      </c>
      <c r="C71" s="26" t="s">
        <v>103</v>
      </c>
      <c r="D71" s="61">
        <f t="shared" si="13"/>
        <v>0</v>
      </c>
      <c r="E71" s="61">
        <f t="shared" si="13"/>
        <v>0.52748611494252895</v>
      </c>
      <c r="F71" s="61">
        <f t="shared" si="14"/>
        <v>0</v>
      </c>
      <c r="G71" s="61">
        <f t="shared" si="15"/>
        <v>0</v>
      </c>
      <c r="H71" s="12">
        <v>81600</v>
      </c>
      <c r="I71" s="12">
        <v>43500</v>
      </c>
      <c r="J71" s="12">
        <v>198000</v>
      </c>
      <c r="K71" s="12">
        <v>237600</v>
      </c>
      <c r="L71" s="59">
        <f>VLOOKUP(A71,'תפוקה מצטברת מול אשתקד'!A:K,8,0)</f>
        <v>0</v>
      </c>
      <c r="M71" s="62">
        <f>VLOOKUP(A71,'תפוקה מצטברת מול אשתקד'!A:K,9,0)</f>
        <v>66445.646000000008</v>
      </c>
      <c r="N71" s="62">
        <f>VLOOKUP(A71,'תפוקה מצטברת מול אשתקד'!A:K,10,0)</f>
        <v>0</v>
      </c>
      <c r="O71" s="62">
        <f>VLOOKUP(A71,'תפוקה מצטברת מול אשתקד'!A:K,11,0)</f>
        <v>0</v>
      </c>
    </row>
    <row r="72" spans="1:15" ht="15.6" x14ac:dyDescent="0.25">
      <c r="A72" s="26" t="s">
        <v>100</v>
      </c>
      <c r="B72" s="26" t="s">
        <v>56</v>
      </c>
      <c r="C72" s="26" t="s">
        <v>103</v>
      </c>
      <c r="D72" s="61">
        <f t="shared" si="13"/>
        <v>8.9215008733578571E-3</v>
      </c>
      <c r="E72" s="61">
        <f t="shared" si="13"/>
        <v>-0.26531276628352485</v>
      </c>
      <c r="F72" s="61">
        <f t="shared" si="14"/>
        <v>6.141785984848469E-2</v>
      </c>
      <c r="G72" s="61">
        <f t="shared" si="15"/>
        <v>-0.22762250841750842</v>
      </c>
      <c r="H72" s="12">
        <v>408000</v>
      </c>
      <c r="I72" s="12">
        <v>65250</v>
      </c>
      <c r="J72" s="12">
        <v>3168000</v>
      </c>
      <c r="K72" s="12">
        <v>2376000</v>
      </c>
      <c r="L72" s="59">
        <f>VLOOKUP(A72,'תפוקה מצטברת מול אשתקד'!A:K,8,0)</f>
        <v>411639.97235632996</v>
      </c>
      <c r="M72" s="62">
        <f>VLOOKUP(A72,'תפוקה מצטברת מול אשתקד'!A:K,9,0)</f>
        <v>47938.342000000004</v>
      </c>
      <c r="N72" s="62">
        <f>VLOOKUP(A72,'תפוקה מצטברת מול אשתקד'!A:K,10,0)</f>
        <v>3362571.78</v>
      </c>
      <c r="O72" s="62">
        <f>VLOOKUP(A72,'תפוקה מצטברת מול אשתקד'!A:K,11,0)</f>
        <v>1835168.92</v>
      </c>
    </row>
    <row r="73" spans="1:15" ht="15.6" x14ac:dyDescent="0.25">
      <c r="A73" s="98" t="s">
        <v>101</v>
      </c>
      <c r="B73" s="26" t="s">
        <v>56</v>
      </c>
      <c r="C73" s="26" t="s">
        <v>103</v>
      </c>
      <c r="D73" s="61">
        <f t="shared" si="13"/>
        <v>0.22984262329723482</v>
      </c>
      <c r="E73" s="61">
        <f t="shared" si="13"/>
        <v>0.59172166100741097</v>
      </c>
      <c r="F73" s="61">
        <f t="shared" si="14"/>
        <v>1.2204780658732681</v>
      </c>
      <c r="G73" s="61">
        <f t="shared" si="15"/>
        <v>5.4950458585858586</v>
      </c>
      <c r="H73" s="12">
        <v>1224000</v>
      </c>
      <c r="I73" s="12">
        <v>108750</v>
      </c>
      <c r="J73" s="12">
        <v>7920000</v>
      </c>
      <c r="K73" s="12">
        <v>2376000</v>
      </c>
      <c r="L73" s="59">
        <f>VLOOKUP(A73,'תפוקה מצטברת מול אשתקד'!A:K,8,0)</f>
        <v>1505327.3709158155</v>
      </c>
      <c r="M73" s="62">
        <f>VLOOKUP(A73,'תפוקה מצטברת מול אשתקד'!A:K,9,0)</f>
        <v>173099.73063455595</v>
      </c>
      <c r="N73" s="62">
        <f>VLOOKUP(A73,'תפוקה מצטברת מול אשתקד'!A:K,10,0)</f>
        <v>17586186.281716283</v>
      </c>
      <c r="O73" s="62">
        <f>VLOOKUP(A73,'תפוקה מצטברת מול אשתקד'!A:K,11,0)</f>
        <v>15432228.960000001</v>
      </c>
    </row>
    <row r="74" spans="1:15" ht="16.2" thickBot="1" x14ac:dyDescent="0.3">
      <c r="A74" s="26" t="s">
        <v>81</v>
      </c>
      <c r="B74" s="26" t="s">
        <v>56</v>
      </c>
      <c r="C74" s="26" t="s">
        <v>103</v>
      </c>
      <c r="D74" s="61">
        <f t="shared" si="13"/>
        <v>-0.53422759803921571</v>
      </c>
      <c r="E74" s="61">
        <f t="shared" si="13"/>
        <v>-0.76383017624521066</v>
      </c>
      <c r="F74" s="61">
        <f t="shared" si="14"/>
        <v>0</v>
      </c>
      <c r="G74" s="61">
        <f t="shared" si="15"/>
        <v>0</v>
      </c>
      <c r="H74" s="12">
        <v>204000</v>
      </c>
      <c r="I74" s="12">
        <v>65250</v>
      </c>
      <c r="J74" s="12">
        <v>396000</v>
      </c>
      <c r="K74" s="12">
        <v>792000</v>
      </c>
      <c r="L74" s="59">
        <f>VLOOKUP(A74,'תפוקה מצטברת מול אשתקד'!A:K,8,0)</f>
        <v>95017.57</v>
      </c>
      <c r="M74" s="62">
        <f>VLOOKUP(A74,'תפוקה מצטברת מול אשתקד'!A:K,9,0)</f>
        <v>15410.081</v>
      </c>
      <c r="N74" s="62">
        <f>VLOOKUP(A74,'תפוקה מצטברת מול אשתקד'!A:K,10,0)</f>
        <v>0</v>
      </c>
      <c r="O74" s="62">
        <f>VLOOKUP(A74,'תפוקה מצטברת מול אשתקד'!A:K,11,0)</f>
        <v>0</v>
      </c>
    </row>
    <row r="75" spans="1:15" ht="21.6" thickBot="1" x14ac:dyDescent="0.3">
      <c r="A75" s="17" t="s">
        <v>44</v>
      </c>
      <c r="B75" s="57"/>
      <c r="C75" s="99"/>
      <c r="D75" s="127">
        <f t="shared" si="13"/>
        <v>0.12000385398388214</v>
      </c>
      <c r="E75" s="127">
        <f t="shared" si="13"/>
        <v>7.1749822167543886E-2</v>
      </c>
      <c r="F75" s="127">
        <f t="shared" si="14"/>
        <v>0.42580523373718404</v>
      </c>
      <c r="G75" s="127">
        <f t="shared" si="15"/>
        <v>1.9190728949652778</v>
      </c>
      <c r="H75" s="63">
        <f>SUM(H67:H74)</f>
        <v>3549600</v>
      </c>
      <c r="I75" s="63">
        <f>SUM(I67:I74)</f>
        <v>609000</v>
      </c>
      <c r="J75" s="63">
        <f>SUM(J67:J74)</f>
        <v>19602000</v>
      </c>
      <c r="K75" s="63">
        <f>SUM(K67:K74)</f>
        <v>10137600</v>
      </c>
      <c r="L75" s="63">
        <f>SUM(L67:L74)</f>
        <v>3975565.6801011884</v>
      </c>
      <c r="M75" s="63">
        <f t="shared" ref="M75:O75" si="16">SUM(M67:M74)</f>
        <v>652695.64170003426</v>
      </c>
      <c r="N75" s="63">
        <f t="shared" si="16"/>
        <v>27948634.191716284</v>
      </c>
      <c r="O75" s="63">
        <f t="shared" si="16"/>
        <v>29592393.379999999</v>
      </c>
    </row>
    <row r="76" spans="1:15" ht="21.6" thickBot="1" x14ac:dyDescent="0.3">
      <c r="A76" s="17" t="s">
        <v>45</v>
      </c>
      <c r="B76" s="57"/>
      <c r="C76" s="99"/>
      <c r="D76" s="127">
        <f t="shared" si="13"/>
        <v>-0.14178675657266304</v>
      </c>
      <c r="E76" s="127">
        <f t="shared" si="13"/>
        <v>-0.27044009967687421</v>
      </c>
      <c r="F76" s="127">
        <f t="shared" si="14"/>
        <v>-0.19244972184215636</v>
      </c>
      <c r="G76" s="127">
        <f t="shared" si="15"/>
        <v>8.4531150687499723E-2</v>
      </c>
      <c r="H76" s="129">
        <f t="shared" ref="H76:O76" si="17">H75+H66+H56+H22+H8</f>
        <v>22460400</v>
      </c>
      <c r="I76" s="129">
        <f t="shared" si="17"/>
        <v>4036800</v>
      </c>
      <c r="J76" s="129">
        <f t="shared" si="17"/>
        <v>89892000</v>
      </c>
      <c r="K76" s="129">
        <f t="shared" si="17"/>
        <v>87476400</v>
      </c>
      <c r="L76" s="129">
        <f t="shared" si="17"/>
        <v>19275812.732675359</v>
      </c>
      <c r="M76" s="129">
        <f t="shared" si="17"/>
        <v>2945087.4056243943</v>
      </c>
      <c r="N76" s="129">
        <f t="shared" si="17"/>
        <v>72592309.604164883</v>
      </c>
      <c r="O76" s="129">
        <f t="shared" si="17"/>
        <v>94870880.75</v>
      </c>
    </row>
    <row r="77" spans="1:15" x14ac:dyDescent="0.25">
      <c r="H77" s="87"/>
    </row>
    <row r="78" spans="1:15" x14ac:dyDescent="0.25">
      <c r="H78" s="87"/>
      <c r="I78" s="87"/>
    </row>
    <row r="79" spans="1:15" x14ac:dyDescent="0.25">
      <c r="J79" s="191"/>
      <c r="N79" s="87"/>
    </row>
    <row r="80" spans="1:15" x14ac:dyDescent="0.25">
      <c r="J80" s="87"/>
      <c r="K80"/>
      <c r="L80"/>
      <c r="M80"/>
      <c r="N80"/>
      <c r="O80"/>
    </row>
    <row r="81" spans="11:15" x14ac:dyDescent="0.25">
      <c r="K81"/>
      <c r="L81" s="6"/>
      <c r="M81" s="6"/>
      <c r="N81" s="6"/>
      <c r="O81" s="6"/>
    </row>
    <row r="82" spans="11:15" x14ac:dyDescent="0.25">
      <c r="K82"/>
      <c r="L82"/>
      <c r="M82"/>
      <c r="N82"/>
      <c r="O82"/>
    </row>
    <row r="83" spans="11:15" x14ac:dyDescent="0.25">
      <c r="K83"/>
      <c r="L83"/>
      <c r="M83"/>
      <c r="N83"/>
      <c r="O83"/>
    </row>
    <row r="84" spans="11:15" x14ac:dyDescent="0.25">
      <c r="K84"/>
      <c r="L84"/>
      <c r="M84"/>
      <c r="N84"/>
      <c r="O84"/>
    </row>
    <row r="85" spans="11:15" x14ac:dyDescent="0.25">
      <c r="K85"/>
      <c r="L85"/>
      <c r="M85"/>
      <c r="N85"/>
      <c r="O85"/>
    </row>
    <row r="88" spans="11:15" x14ac:dyDescent="0.25">
      <c r="L88" s="87"/>
      <c r="M88" s="87"/>
      <c r="N88" s="87"/>
      <c r="O88" s="87"/>
    </row>
  </sheetData>
  <mergeCells count="3">
    <mergeCell ref="L1:O1"/>
    <mergeCell ref="D1:G1"/>
    <mergeCell ref="H1:K1"/>
  </mergeCells>
  <conditionalFormatting sqref="A14">
    <cfRule type="duplicateValues" dxfId="317" priority="7"/>
    <cfRule type="duplicateValues" dxfId="316" priority="8"/>
  </conditionalFormatting>
  <conditionalFormatting sqref="A20">
    <cfRule type="duplicateValues" dxfId="315" priority="1"/>
    <cfRule type="duplicateValues" dxfId="314" priority="2"/>
  </conditionalFormatting>
  <conditionalFormatting sqref="A54">
    <cfRule type="duplicateValues" dxfId="313" priority="3"/>
    <cfRule type="duplicateValues" dxfId="312" priority="4"/>
  </conditionalFormatting>
  <conditionalFormatting sqref="A58">
    <cfRule type="duplicateValues" dxfId="311" priority="11"/>
    <cfRule type="duplicateValues" dxfId="310" priority="12"/>
  </conditionalFormatting>
  <conditionalFormatting sqref="A60">
    <cfRule type="duplicateValues" dxfId="309" priority="5"/>
    <cfRule type="duplicateValues" dxfId="308" priority="6"/>
  </conditionalFormatting>
  <conditionalFormatting sqref="A61 A57 A59 A7 A23:A53 A65 A55">
    <cfRule type="duplicateValues" dxfId="307" priority="236"/>
    <cfRule type="duplicateValues" dxfId="306" priority="237"/>
  </conditionalFormatting>
  <conditionalFormatting sqref="A67:A74">
    <cfRule type="duplicateValues" dxfId="305" priority="15"/>
    <cfRule type="duplicateValues" dxfId="304" priority="16"/>
  </conditionalFormatting>
  <conditionalFormatting sqref="A75:A76 A1:A6 A8:A13 A15:A19 A56 A66 A21:A22">
    <cfRule type="duplicateValues" dxfId="303" priority="13"/>
    <cfRule type="duplicateValues" dxfId="302" priority="14"/>
  </conditionalFormatting>
  <conditionalFormatting sqref="D1 D2:G1048576">
    <cfRule type="cellIs" dxfId="301" priority="34" operator="lessThan">
      <formula>-0.0001</formula>
    </cfRule>
  </conditionalFormatting>
  <conditionalFormatting sqref="D3:G1048576">
    <cfRule type="cellIs" dxfId="300" priority="40" operator="greaterThan">
      <formula>0.1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0A0E-83EC-4DBB-BD3E-7E64456E7812}">
  <sheetPr>
    <tabColor theme="4" tint="0.39997558519241921"/>
  </sheetPr>
  <dimension ref="A1:O83"/>
  <sheetViews>
    <sheetView rightToLeft="1" topLeftCell="A53" workbookViewId="0">
      <selection activeCell="J86" sqref="J86"/>
    </sheetView>
  </sheetViews>
  <sheetFormatPr defaultRowHeight="15" x14ac:dyDescent="0.25"/>
  <cols>
    <col min="1" max="1" width="27.59765625" style="1" bestFit="1" customWidth="1"/>
    <col min="2" max="2" width="10.09765625" style="1" bestFit="1" customWidth="1"/>
    <col min="3" max="3" width="10.3984375" style="1" bestFit="1" customWidth="1"/>
    <col min="4" max="4" width="10.69921875" style="3" bestFit="1" customWidth="1"/>
    <col min="5" max="5" width="11" style="3" bestFit="1" customWidth="1"/>
    <col min="6" max="6" width="11.69921875" style="3" bestFit="1" customWidth="1"/>
    <col min="7" max="8" width="13.59765625" style="3" bestFit="1" customWidth="1"/>
    <col min="9" max="9" width="12" style="3" bestFit="1" customWidth="1"/>
    <col min="10" max="12" width="15" style="3" bestFit="1" customWidth="1"/>
    <col min="13" max="13" width="13.59765625" style="3" bestFit="1" customWidth="1"/>
    <col min="14" max="15" width="15" style="3" bestFit="1" customWidth="1"/>
    <col min="16" max="16" width="19" bestFit="1" customWidth="1"/>
    <col min="18" max="19" width="9.8984375" bestFit="1" customWidth="1"/>
    <col min="20" max="20" width="12.3984375" bestFit="1" customWidth="1"/>
    <col min="21" max="21" width="10.8984375" bestFit="1" customWidth="1"/>
    <col min="22" max="22" width="9.8984375" bestFit="1" customWidth="1"/>
    <col min="23" max="23" width="12.3984375" bestFit="1" customWidth="1"/>
  </cols>
  <sheetData>
    <row r="1" spans="1:15" ht="21" x14ac:dyDescent="0.25">
      <c r="A1" s="26"/>
      <c r="B1" s="26"/>
      <c r="C1" s="26"/>
      <c r="D1" s="225" t="s">
        <v>62</v>
      </c>
      <c r="E1" s="226"/>
      <c r="F1" s="226"/>
      <c r="G1" s="227"/>
      <c r="H1" s="231" t="s">
        <v>135</v>
      </c>
      <c r="I1" s="232"/>
      <c r="J1" s="232"/>
      <c r="K1" s="233"/>
      <c r="L1" s="224" t="s">
        <v>136</v>
      </c>
      <c r="M1" s="224"/>
      <c r="N1" s="224"/>
      <c r="O1" s="224"/>
    </row>
    <row r="2" spans="1:15" ht="21" x14ac:dyDescent="0.25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60" t="s">
        <v>46</v>
      </c>
      <c r="I2" s="60" t="s">
        <v>47</v>
      </c>
      <c r="J2" s="60" t="s">
        <v>51</v>
      </c>
      <c r="K2" s="60" t="s">
        <v>49</v>
      </c>
      <c r="L2" s="25" t="s">
        <v>46</v>
      </c>
      <c r="M2" s="25" t="s">
        <v>47</v>
      </c>
      <c r="N2" s="25" t="s">
        <v>48</v>
      </c>
      <c r="O2" s="25" t="s">
        <v>49</v>
      </c>
    </row>
    <row r="3" spans="1:15" ht="15.6" x14ac:dyDescent="0.25">
      <c r="A3" s="26" t="s">
        <v>1</v>
      </c>
      <c r="B3" s="26" t="s">
        <v>108</v>
      </c>
      <c r="C3" s="26" t="s">
        <v>58</v>
      </c>
      <c r="D3" s="19">
        <f>IF(L3=0,0%,IF(H3=0,100%,L3/H3-1))</f>
        <v>7.8033609652238045E-2</v>
      </c>
      <c r="E3" s="19">
        <f>IF(M3=0,0%,IF(I3=0,100%,M3/I3-1))</f>
        <v>-0.67280385603983106</v>
      </c>
      <c r="F3" s="19">
        <f>IF(N3=0,0%,IF(J3=0,100%,N3/J3-1))</f>
        <v>-0.36877678469230735</v>
      </c>
      <c r="G3" s="19">
        <f>IF(O3=0,0%,IF(K3=0,100%,O3/K3-1))</f>
        <v>0.44415497820512839</v>
      </c>
      <c r="H3" s="12">
        <v>1530000</v>
      </c>
      <c r="I3" s="12">
        <v>115700</v>
      </c>
      <c r="J3" s="12">
        <v>3900000</v>
      </c>
      <c r="K3" s="12">
        <v>7800000</v>
      </c>
      <c r="L3" s="58">
        <f>VLOOKUP(A3,'תפוקה חודשית מול אשתקד'!A:K,8,0)</f>
        <v>1649391.4227679241</v>
      </c>
      <c r="M3" s="58">
        <f>VLOOKUP(A3,'תפוקה חודשית מול אשתקד'!A:K,9,0)</f>
        <v>37856.593856191554</v>
      </c>
      <c r="N3" s="58">
        <f>VLOOKUP(A3,'תפוקה חודשית מול אשתקד'!A:K,10,0)</f>
        <v>2461770.5397000015</v>
      </c>
      <c r="O3" s="58">
        <f>VLOOKUP(A3,'תפוקה חודשית מול אשתקד'!A:K,11,0)</f>
        <v>11264408.830000002</v>
      </c>
    </row>
    <row r="4" spans="1:15" ht="15.6" x14ac:dyDescent="0.25">
      <c r="A4" s="26" t="s">
        <v>2</v>
      </c>
      <c r="B4" s="26" t="s">
        <v>108</v>
      </c>
      <c r="C4" s="26" t="s">
        <v>58</v>
      </c>
      <c r="D4" s="19">
        <f t="shared" ref="D4:D69" si="0">IF(L4=0,0%,IF(H4=0,100%,L4/H4-1))</f>
        <v>-0.44445079701933377</v>
      </c>
      <c r="E4" s="19">
        <f t="shared" ref="E4:E69" si="1">IF(M4=0,0%,IF(I4=0,100%,M4/I4-1))</f>
        <v>1</v>
      </c>
      <c r="F4" s="19">
        <f t="shared" ref="F4:F69" si="2">IF(N4=0,0%,IF(J4=0,100%,N4/J4-1))</f>
        <v>-0.92924707882051272</v>
      </c>
      <c r="G4" s="19">
        <f t="shared" ref="G4:G69" si="3">IF(O4=0,0%,IF(K4=0,100%,O4/K4-1))</f>
        <v>-0.98243830128205123</v>
      </c>
      <c r="H4" s="12">
        <v>127500.00000000001</v>
      </c>
      <c r="I4" s="12">
        <v>0</v>
      </c>
      <c r="J4" s="12">
        <v>1950000</v>
      </c>
      <c r="K4" s="12">
        <v>1560000</v>
      </c>
      <c r="L4" s="58">
        <f>VLOOKUP(A4,'תפוקה חודשית מול אשתקד'!A:K,8,0)</f>
        <v>70832.523380034952</v>
      </c>
      <c r="M4" s="58">
        <f>VLOOKUP(A4,'תפוקה חודשית מול אשתקד'!A:K,9,0)</f>
        <v>7.0000000000163709E-2</v>
      </c>
      <c r="N4" s="58">
        <f>VLOOKUP(A4,'תפוקה חודשית מול אשתקד'!A:K,10,0)</f>
        <v>137968.19630000019</v>
      </c>
      <c r="O4" s="58">
        <f>VLOOKUP(A4,'תפוקה חודשית מול אשתקד'!A:K,11,0)</f>
        <v>27396.25</v>
      </c>
    </row>
    <row r="5" spans="1:15" ht="15.6" x14ac:dyDescent="0.25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1"/>
        <v>-0.72211348314606738</v>
      </c>
      <c r="F5" s="19">
        <f t="shared" si="2"/>
        <v>0</v>
      </c>
      <c r="G5" s="19">
        <f t="shared" si="3"/>
        <v>0</v>
      </c>
      <c r="H5" s="12">
        <v>0</v>
      </c>
      <c r="I5" s="12">
        <v>26700</v>
      </c>
      <c r="J5" s="12">
        <v>0</v>
      </c>
      <c r="K5" s="12">
        <v>0</v>
      </c>
      <c r="L5" s="58">
        <f>VLOOKUP(A5,'תפוקה חודשית מול אשתקד'!A:K,8,0)</f>
        <v>0</v>
      </c>
      <c r="M5" s="58">
        <f>VLOOKUP(A5,'תפוקה חודשית מול אשתקד'!A:K,9,0)</f>
        <v>7419.57</v>
      </c>
      <c r="N5" s="58">
        <f>VLOOKUP(A5,'תפוקה חודשית מול אשתקד'!A:K,10,0)</f>
        <v>0</v>
      </c>
      <c r="O5" s="58">
        <f>VLOOKUP(A5,'תפוקה חודשית מול אשתקד'!A:K,11,0)</f>
        <v>0</v>
      </c>
    </row>
    <row r="6" spans="1:15" ht="15.6" x14ac:dyDescent="0.25">
      <c r="A6" s="26" t="s">
        <v>105</v>
      </c>
      <c r="B6" s="26" t="s">
        <v>108</v>
      </c>
      <c r="C6" s="26" t="s">
        <v>58</v>
      </c>
      <c r="D6" s="19">
        <f t="shared" si="0"/>
        <v>-1.2343529353355907</v>
      </c>
      <c r="E6" s="19">
        <f t="shared" si="1"/>
        <v>-0.6259530436243127</v>
      </c>
      <c r="F6" s="19">
        <f t="shared" si="2"/>
        <v>-0.6898864102564104</v>
      </c>
      <c r="G6" s="19">
        <f t="shared" si="3"/>
        <v>-2.8255680769230782</v>
      </c>
      <c r="H6" s="12">
        <v>42500</v>
      </c>
      <c r="I6" s="12">
        <v>22250</v>
      </c>
      <c r="J6" s="12">
        <v>156000</v>
      </c>
      <c r="K6" s="12">
        <v>78000</v>
      </c>
      <c r="L6" s="58">
        <f>VLOOKUP(A6,'תפוקה חודשית מול אשתקד'!A:K,8,0)</f>
        <v>-9959.9997517626034</v>
      </c>
      <c r="M6" s="58">
        <f>VLOOKUP(A6,'תפוקה חודשית מול אשתקד'!A:K,9,0)</f>
        <v>8322.5447793590429</v>
      </c>
      <c r="N6" s="58">
        <f>VLOOKUP(A6,'תפוקה חודשית מול אשתקד'!A:K,10,0)</f>
        <v>48377.719999999972</v>
      </c>
      <c r="O6" s="58">
        <f>VLOOKUP(A6,'תפוקה חודשית מול אשתקד'!A:K,11,0)</f>
        <v>-142394.31000000008</v>
      </c>
    </row>
    <row r="7" spans="1:15" ht="15.6" x14ac:dyDescent="0.25">
      <c r="A7" s="26" t="s">
        <v>34</v>
      </c>
      <c r="B7" s="26" t="s">
        <v>108</v>
      </c>
      <c r="C7" s="27" t="s">
        <v>58</v>
      </c>
      <c r="D7" s="19">
        <f>IF(L7=0,0%,IF(H7=0,100%,L7/H7-1))</f>
        <v>1</v>
      </c>
      <c r="E7" s="19">
        <f>IF(M7=0,0%,IF(I7=0,100%,M7/I7-1))</f>
        <v>1</v>
      </c>
      <c r="F7" s="19">
        <f>IF(N7=0,0%,IF(J7=0,100%,N7/J7-1))</f>
        <v>-1.0373917948717948</v>
      </c>
      <c r="G7" s="19">
        <f>IF(O7=0,0%,IF(K7=0,100%,O7/K7-1))</f>
        <v>-0.98543076923076933</v>
      </c>
      <c r="H7" s="12">
        <v>0</v>
      </c>
      <c r="I7" s="12">
        <v>0</v>
      </c>
      <c r="J7" s="12">
        <v>78000</v>
      </c>
      <c r="K7" s="12">
        <v>39000</v>
      </c>
      <c r="L7" s="58">
        <f>VLOOKUP(A7,'תפוקה חודשית מול אשתקד'!A:K,8,0)</f>
        <v>88.580000000001746</v>
      </c>
      <c r="M7" s="58">
        <f>VLOOKUP(A7,'תפוקה חודשית מול אשתקד'!A:K,9,0)</f>
        <v>17.519999999999982</v>
      </c>
      <c r="N7" s="58">
        <f>VLOOKUP(A7,'תפוקה חודשית מול אשתקד'!A:K,10,0)</f>
        <v>-2916.5599999999995</v>
      </c>
      <c r="O7" s="58">
        <f>VLOOKUP(A7,'תפוקה חודשית מול אשתקד'!A:K,11,0)</f>
        <v>568.19999999999709</v>
      </c>
    </row>
    <row r="8" spans="1:15" ht="21" x14ac:dyDescent="0.25">
      <c r="A8" s="104" t="s">
        <v>3</v>
      </c>
      <c r="B8" s="105"/>
      <c r="C8" s="99"/>
      <c r="D8" s="19">
        <f t="shared" si="0"/>
        <v>6.0897214095274599E-3</v>
      </c>
      <c r="E8" s="19">
        <f t="shared" si="1"/>
        <v>-0.67436198824445426</v>
      </c>
      <c r="F8" s="19">
        <f t="shared" si="2"/>
        <v>-0.56522026692965133</v>
      </c>
      <c r="G8" s="19">
        <f t="shared" si="3"/>
        <v>0.176530438957476</v>
      </c>
      <c r="H8" s="130">
        <f>SUM(H3:H7)</f>
        <v>1700000</v>
      </c>
      <c r="I8" s="130">
        <f t="shared" ref="I8:O8" si="4">SUM(I3:I7)</f>
        <v>164650</v>
      </c>
      <c r="J8" s="130">
        <f t="shared" si="4"/>
        <v>6084000</v>
      </c>
      <c r="K8" s="130">
        <f t="shared" si="4"/>
        <v>9477000</v>
      </c>
      <c r="L8" s="130">
        <f t="shared" si="4"/>
        <v>1710352.5263961968</v>
      </c>
      <c r="M8" s="130">
        <f t="shared" si="4"/>
        <v>53616.298635550593</v>
      </c>
      <c r="N8" s="130">
        <f t="shared" si="4"/>
        <v>2645199.8960000011</v>
      </c>
      <c r="O8" s="130">
        <f t="shared" si="4"/>
        <v>11149978.970000001</v>
      </c>
    </row>
    <row r="9" spans="1:15" ht="15.6" x14ac:dyDescent="0.25">
      <c r="A9" s="26" t="s">
        <v>4</v>
      </c>
      <c r="B9" s="26" t="s">
        <v>108</v>
      </c>
      <c r="C9" s="26" t="s">
        <v>106</v>
      </c>
      <c r="D9" s="19">
        <f t="shared" si="0"/>
        <v>1</v>
      </c>
      <c r="E9" s="19">
        <f t="shared" si="1"/>
        <v>1</v>
      </c>
      <c r="F9" s="19">
        <f t="shared" si="2"/>
        <v>0</v>
      </c>
      <c r="G9" s="19">
        <f t="shared" si="3"/>
        <v>1</v>
      </c>
      <c r="H9" s="12">
        <v>0</v>
      </c>
      <c r="I9" s="12">
        <v>0</v>
      </c>
      <c r="J9" s="12">
        <v>0</v>
      </c>
      <c r="K9" s="12">
        <v>0</v>
      </c>
      <c r="L9" s="58">
        <f>VLOOKUP(A9,'תפוקה חודשית מול אשתקד'!A:K,8,0)</f>
        <v>17494.850087565672</v>
      </c>
      <c r="M9" s="58">
        <f>VLOOKUP(A9,'תפוקה חודשית מול אשתקד'!A:K,9,0)</f>
        <v>12.545000000000073</v>
      </c>
      <c r="N9" s="58">
        <f>VLOOKUP(A9,'תפוקה חודשית מול אשתקד'!A:K,10,0)</f>
        <v>0</v>
      </c>
      <c r="O9" s="58">
        <f>VLOOKUP(A9,'תפוקה חודשית מול אשתקד'!A:K,11,0)</f>
        <v>-29509.910000000033</v>
      </c>
    </row>
    <row r="10" spans="1:15" ht="15.6" x14ac:dyDescent="0.25">
      <c r="A10" s="26" t="s">
        <v>5</v>
      </c>
      <c r="B10" s="26" t="s">
        <v>108</v>
      </c>
      <c r="C10" s="26" t="s">
        <v>106</v>
      </c>
      <c r="D10" s="19">
        <f t="shared" si="0"/>
        <v>-0.8005055987273908</v>
      </c>
      <c r="E10" s="19">
        <f t="shared" si="1"/>
        <v>0.71217649917898496</v>
      </c>
      <c r="F10" s="19">
        <f t="shared" si="2"/>
        <v>-0.9653846153846154</v>
      </c>
      <c r="G10" s="19">
        <f t="shared" si="3"/>
        <v>-0.87183148717948789</v>
      </c>
      <c r="H10" s="12">
        <v>212500.00000000003</v>
      </c>
      <c r="I10" s="12">
        <v>89000</v>
      </c>
      <c r="J10" s="12">
        <v>78000</v>
      </c>
      <c r="K10" s="12">
        <v>195000</v>
      </c>
      <c r="L10" s="58">
        <f>VLOOKUP(A10,'תפוקה חודשית מול אשתקד'!A:K,8,0)</f>
        <v>42392.560270429472</v>
      </c>
      <c r="M10" s="58">
        <f>VLOOKUP(A10,'תפוקה חודשית מול אשתקד'!A:K,9,0)</f>
        <v>152383.70842692966</v>
      </c>
      <c r="N10" s="58">
        <f>VLOOKUP(A10,'תפוקה חודשית מול אשתקד'!A:K,10,0)</f>
        <v>2700</v>
      </c>
      <c r="O10" s="58">
        <f>VLOOKUP(A10,'תפוקה חודשית מול אשתקד'!A:K,11,0)</f>
        <v>24992.85999999987</v>
      </c>
    </row>
    <row r="11" spans="1:15" ht="15.6" x14ac:dyDescent="0.25">
      <c r="A11" s="26" t="s">
        <v>6</v>
      </c>
      <c r="B11" s="26" t="s">
        <v>108</v>
      </c>
      <c r="C11" s="26" t="s">
        <v>106</v>
      </c>
      <c r="D11" s="19">
        <f t="shared" si="0"/>
        <v>-0.19489308828680318</v>
      </c>
      <c r="E11" s="19">
        <f t="shared" si="1"/>
        <v>-0.86118179830688912</v>
      </c>
      <c r="F11" s="19">
        <f t="shared" si="2"/>
        <v>1</v>
      </c>
      <c r="G11" s="19">
        <f t="shared" si="3"/>
        <v>1</v>
      </c>
      <c r="H11" s="12">
        <v>42500</v>
      </c>
      <c r="I11" s="12">
        <v>17800</v>
      </c>
      <c r="J11" s="12">
        <v>0</v>
      </c>
      <c r="K11" s="12">
        <v>0</v>
      </c>
      <c r="L11" s="58">
        <f>VLOOKUP(A11,'תפוקה חודשית מול אשתקד'!A:K,8,0)</f>
        <v>34217.043747810865</v>
      </c>
      <c r="M11" s="58">
        <f>VLOOKUP(A11,'תפוקה חודשית מול אשתקד'!A:K,9,0)</f>
        <v>2470.9639901373739</v>
      </c>
      <c r="N11" s="58">
        <f>VLOOKUP(A11,'תפוקה חודשית מול אשתקד'!A:K,10,0)</f>
        <v>-53692.97000000003</v>
      </c>
      <c r="O11" s="58">
        <f>VLOOKUP(A11,'תפוקה חודשית מול אשתקד'!A:K,11,0)</f>
        <v>6073.6500000000233</v>
      </c>
    </row>
    <row r="12" spans="1:15" ht="15.6" x14ac:dyDescent="0.25">
      <c r="A12" s="26" t="s">
        <v>7</v>
      </c>
      <c r="B12" s="26" t="s">
        <v>108</v>
      </c>
      <c r="C12" s="26" t="s">
        <v>106</v>
      </c>
      <c r="D12" s="19">
        <f t="shared" si="0"/>
        <v>1</v>
      </c>
      <c r="E12" s="19">
        <f t="shared" si="1"/>
        <v>1</v>
      </c>
      <c r="F12" s="19">
        <f t="shared" si="2"/>
        <v>1</v>
      </c>
      <c r="G12" s="19">
        <f t="shared" si="3"/>
        <v>1</v>
      </c>
      <c r="H12" s="12">
        <v>0</v>
      </c>
      <c r="I12" s="12">
        <v>0</v>
      </c>
      <c r="J12" s="12">
        <v>0</v>
      </c>
      <c r="K12" s="12">
        <v>0</v>
      </c>
      <c r="L12" s="58">
        <f>VLOOKUP(A12,'תפוקה חודשית מול אשתקד'!A:K,8,0)</f>
        <v>63651.709801324512</v>
      </c>
      <c r="M12" s="58">
        <f>VLOOKUP(A12,'תפוקה חודשית מול אשתקד'!A:K,9,0)</f>
        <v>-887.10000000000036</v>
      </c>
      <c r="N12" s="58">
        <f>VLOOKUP(A12,'תפוקה חודשית מול אשתקד'!A:K,10,0)</f>
        <v>208189.14</v>
      </c>
      <c r="O12" s="58">
        <f>VLOOKUP(A12,'תפוקה חודשית מול אשתקד'!A:K,11,0)</f>
        <v>131467.6</v>
      </c>
    </row>
    <row r="13" spans="1:15" ht="15.6" x14ac:dyDescent="0.25">
      <c r="A13" s="26" t="s">
        <v>8</v>
      </c>
      <c r="B13" s="26" t="s">
        <v>108</v>
      </c>
      <c r="C13" s="26" t="s">
        <v>106</v>
      </c>
      <c r="D13" s="19">
        <f t="shared" si="0"/>
        <v>1</v>
      </c>
      <c r="E13" s="19">
        <f t="shared" si="1"/>
        <v>-8.4206249438202097E-2</v>
      </c>
      <c r="F13" s="19">
        <f t="shared" si="2"/>
        <v>0</v>
      </c>
      <c r="G13" s="19">
        <f t="shared" si="3"/>
        <v>0</v>
      </c>
      <c r="H13" s="12">
        <v>0</v>
      </c>
      <c r="I13" s="12">
        <v>53400</v>
      </c>
      <c r="J13" s="12">
        <v>0</v>
      </c>
      <c r="K13" s="12">
        <v>0</v>
      </c>
      <c r="L13" s="58">
        <f>VLOOKUP(A13,'תפוקה חודשית מול אשתקד'!A:K,8,0)</f>
        <v>-401.41788499999893</v>
      </c>
      <c r="M13" s="58">
        <f>VLOOKUP(A13,'תפוקה חודשית מול אשתקד'!A:K,9,0)</f>
        <v>48903.386280000006</v>
      </c>
      <c r="N13" s="58">
        <f>VLOOKUP(A13,'תפוקה חודשית מול אשתקד'!A:K,10,0)</f>
        <v>0</v>
      </c>
      <c r="O13" s="58">
        <f>VLOOKUP(A13,'תפוקה חודשית מול אשתקד'!A:K,11,0)</f>
        <v>0</v>
      </c>
    </row>
    <row r="14" spans="1:15" ht="15.6" x14ac:dyDescent="0.25">
      <c r="A14" s="26" t="s">
        <v>9</v>
      </c>
      <c r="B14" s="26" t="s">
        <v>108</v>
      </c>
      <c r="C14" s="26" t="s">
        <v>106</v>
      </c>
      <c r="D14" s="19">
        <f t="shared" si="0"/>
        <v>-0.80752901960784285</v>
      </c>
      <c r="E14" s="19">
        <f t="shared" si="1"/>
        <v>-0.85314142322097342</v>
      </c>
      <c r="F14" s="19">
        <f t="shared" si="2"/>
        <v>-0.97716865384615348</v>
      </c>
      <c r="G14" s="19">
        <f t="shared" si="3"/>
        <v>-0.80819635683760693</v>
      </c>
      <c r="H14" s="12">
        <v>25500.000000000004</v>
      </c>
      <c r="I14" s="12">
        <v>13350</v>
      </c>
      <c r="J14" s="12">
        <v>312000</v>
      </c>
      <c r="K14" s="12">
        <v>936000</v>
      </c>
      <c r="L14" s="58">
        <f>VLOOKUP(A14,'תפוקה חודשית מול אשתקד'!A:K,8,0)</f>
        <v>4908.0100000000093</v>
      </c>
      <c r="M14" s="58">
        <f>VLOOKUP(A14,'תפוקה חודשית מול אשתקד'!A:K,9,0)</f>
        <v>1960.5620000000054</v>
      </c>
      <c r="N14" s="58">
        <f>VLOOKUP(A14,'תפוקה חודשית מול אשתקד'!A:K,10,0)</f>
        <v>7123.3800000001211</v>
      </c>
      <c r="O14" s="58">
        <f>VLOOKUP(A14,'תפוקה חודשית מול אשתקד'!A:K,11,0)</f>
        <v>179528.20999999996</v>
      </c>
    </row>
    <row r="15" spans="1:15" ht="15.6" x14ac:dyDescent="0.25">
      <c r="A15" s="26" t="s">
        <v>31</v>
      </c>
      <c r="B15" s="26" t="s">
        <v>108</v>
      </c>
      <c r="C15" s="26" t="s">
        <v>106</v>
      </c>
      <c r="D15" s="19">
        <f t="shared" si="0"/>
        <v>0</v>
      </c>
      <c r="E15" s="19">
        <f t="shared" si="1"/>
        <v>0</v>
      </c>
      <c r="F15" s="19">
        <f t="shared" si="2"/>
        <v>1</v>
      </c>
      <c r="G15" s="19">
        <f t="shared" si="3"/>
        <v>0</v>
      </c>
      <c r="H15" s="12">
        <v>0</v>
      </c>
      <c r="I15" s="12">
        <v>0</v>
      </c>
      <c r="J15" s="12">
        <v>0</v>
      </c>
      <c r="K15" s="12">
        <v>0</v>
      </c>
      <c r="L15" s="58">
        <f>VLOOKUP(A15,'תפוקה חודשית מול אשתקד'!A:K,8,0)</f>
        <v>0</v>
      </c>
      <c r="M15" s="58">
        <f>VLOOKUP(A15,'תפוקה חודשית מול אשתקד'!A:K,9,0)</f>
        <v>0</v>
      </c>
      <c r="N15" s="58">
        <f>VLOOKUP(A15,'תפוקה חודשית מול אשתקד'!A:K,10,0)</f>
        <v>-83454.310000000027</v>
      </c>
      <c r="O15" s="58">
        <f>VLOOKUP(A15,'תפוקה חודשית מול אשתקד'!A:K,11,0)</f>
        <v>0</v>
      </c>
    </row>
    <row r="16" spans="1:15" ht="15.6" x14ac:dyDescent="0.25">
      <c r="A16" s="26" t="s">
        <v>96</v>
      </c>
      <c r="B16" s="26" t="s">
        <v>108</v>
      </c>
      <c r="C16" s="26" t="s">
        <v>106</v>
      </c>
      <c r="D16" s="19">
        <f t="shared" si="0"/>
        <v>1</v>
      </c>
      <c r="E16" s="19">
        <f t="shared" si="1"/>
        <v>1</v>
      </c>
      <c r="F16" s="19">
        <f t="shared" si="2"/>
        <v>1</v>
      </c>
      <c r="G16" s="19">
        <f t="shared" si="3"/>
        <v>1</v>
      </c>
      <c r="H16" s="12">
        <v>0</v>
      </c>
      <c r="I16" s="12">
        <v>0</v>
      </c>
      <c r="J16" s="12">
        <v>0</v>
      </c>
      <c r="K16" s="12">
        <v>0</v>
      </c>
      <c r="L16" s="58">
        <f>VLOOKUP(A16,'תפוקה חודשית מול אשתקד'!A:K,8,0)</f>
        <v>30913.764400000015</v>
      </c>
      <c r="M16" s="58">
        <f>VLOOKUP(A16,'תפוקה חודשית מול אשתקד'!A:K,9,0)</f>
        <v>4023.1169999999947</v>
      </c>
      <c r="N16" s="58">
        <f>VLOOKUP(A16,'תפוקה חודשית מול אשתקד'!A:K,10,0)</f>
        <v>-6046.79</v>
      </c>
      <c r="O16" s="58">
        <f>VLOOKUP(A16,'תפוקה חודשית מול אשתקד'!A:K,11,0)</f>
        <v>98551.56</v>
      </c>
    </row>
    <row r="17" spans="1:15" ht="15.6" x14ac:dyDescent="0.25">
      <c r="A17" s="26" t="s">
        <v>42</v>
      </c>
      <c r="B17" s="26" t="s">
        <v>108</v>
      </c>
      <c r="C17" s="26" t="s">
        <v>106</v>
      </c>
      <c r="D17" s="19">
        <f t="shared" si="0"/>
        <v>-0.50802608611764688</v>
      </c>
      <c r="E17" s="19">
        <f t="shared" si="1"/>
        <v>-0.29975683403621611</v>
      </c>
      <c r="F17" s="19">
        <f t="shared" si="2"/>
        <v>-0.77905080904695601</v>
      </c>
      <c r="G17" s="19">
        <f t="shared" si="3"/>
        <v>-0.33337547008546953</v>
      </c>
      <c r="H17" s="12">
        <v>127500.00000000001</v>
      </c>
      <c r="I17" s="12">
        <v>53400</v>
      </c>
      <c r="J17" s="12">
        <v>936000</v>
      </c>
      <c r="K17" s="12">
        <v>468000</v>
      </c>
      <c r="L17" s="58">
        <f>VLOOKUP(A17,'תפוקה חודשית מול אשתקד'!A:K,8,0)</f>
        <v>62726.674020000035</v>
      </c>
      <c r="M17" s="58">
        <f>VLOOKUP(A17,'תפוקה חודשית מול אשתקד'!A:K,9,0)</f>
        <v>37392.985062466061</v>
      </c>
      <c r="N17" s="58">
        <f>VLOOKUP(A17,'תפוקה חודשית מול אשתקד'!A:K,10,0)</f>
        <v>206808.44273204915</v>
      </c>
      <c r="O17" s="58">
        <f>VLOOKUP(A17,'תפוקה חודשית מול אשתקד'!A:K,11,0)</f>
        <v>311980.28000000026</v>
      </c>
    </row>
    <row r="18" spans="1:15" ht="15.6" x14ac:dyDescent="0.25">
      <c r="A18" s="26" t="s">
        <v>43</v>
      </c>
      <c r="B18" s="26" t="s">
        <v>108</v>
      </c>
      <c r="C18" s="26" t="s">
        <v>106</v>
      </c>
      <c r="D18" s="19">
        <f t="shared" si="0"/>
        <v>-0.42676076771971716</v>
      </c>
      <c r="E18" s="19">
        <f t="shared" si="1"/>
        <v>-1.3946053306214474</v>
      </c>
      <c r="F18" s="19">
        <f t="shared" si="2"/>
        <v>-0.25895399157509169</v>
      </c>
      <c r="G18" s="19">
        <f t="shared" si="3"/>
        <v>-0.65150062820512789</v>
      </c>
      <c r="H18" s="12">
        <v>255000.00000000003</v>
      </c>
      <c r="I18" s="12">
        <v>31150</v>
      </c>
      <c r="J18" s="12">
        <v>2730000</v>
      </c>
      <c r="K18" s="12">
        <v>780000</v>
      </c>
      <c r="L18" s="58">
        <f>VLOOKUP(A18,'תפוקה חודשית מול אשתקד'!A:K,8,0)</f>
        <v>146176.00423147215</v>
      </c>
      <c r="M18" s="58">
        <f>VLOOKUP(A18,'תפוקה חודשית מול אשתקד'!A:K,9,0)</f>
        <v>-12291.95604885809</v>
      </c>
      <c r="N18" s="58">
        <f>VLOOKUP(A18,'תפוקה חודשית מול אשתקד'!A:K,10,0)</f>
        <v>2023055.6029999997</v>
      </c>
      <c r="O18" s="58">
        <f>VLOOKUP(A18,'תפוקה חודשית מול אשתקד'!A:K,11,0)</f>
        <v>271829.51000000024</v>
      </c>
    </row>
    <row r="19" spans="1:15" ht="15.6" x14ac:dyDescent="0.25">
      <c r="A19" s="26" t="s">
        <v>30</v>
      </c>
      <c r="B19" s="26" t="s">
        <v>108</v>
      </c>
      <c r="C19" s="26" t="s">
        <v>106</v>
      </c>
      <c r="D19" s="19">
        <f t="shared" si="0"/>
        <v>1</v>
      </c>
      <c r="E19" s="19">
        <f t="shared" si="1"/>
        <v>0</v>
      </c>
      <c r="F19" s="19">
        <f t="shared" si="2"/>
        <v>0</v>
      </c>
      <c r="G19" s="19">
        <f t="shared" si="3"/>
        <v>1</v>
      </c>
      <c r="H19" s="12">
        <v>0</v>
      </c>
      <c r="I19" s="12">
        <v>0</v>
      </c>
      <c r="J19" s="12">
        <v>0</v>
      </c>
      <c r="K19" s="12">
        <v>0</v>
      </c>
      <c r="L19" s="58">
        <f>VLOOKUP(A19,'תפוקה חודשית מול אשתקד'!A:K,8,0)</f>
        <v>5.0399999999990541</v>
      </c>
      <c r="M19" s="58">
        <f>VLOOKUP(A19,'תפוקה חודשית מול אשתקד'!A:K,9,0)</f>
        <v>0</v>
      </c>
      <c r="N19" s="58">
        <f>VLOOKUP(A19,'תפוקה חודשית מול אשתקד'!A:K,10,0)</f>
        <v>0</v>
      </c>
      <c r="O19" s="58">
        <f>VLOOKUP(A19,'תפוקה חודשית מול אשתקד'!A:K,11,0)</f>
        <v>-14201.174999999988</v>
      </c>
    </row>
    <row r="20" spans="1:15" ht="15.6" x14ac:dyDescent="0.25">
      <c r="A20" s="28" t="s">
        <v>140</v>
      </c>
      <c r="B20" s="26" t="s">
        <v>108</v>
      </c>
      <c r="C20" s="26" t="s">
        <v>106</v>
      </c>
      <c r="D20" s="19">
        <f t="shared" si="0"/>
        <v>0</v>
      </c>
      <c r="E20" s="19">
        <f t="shared" si="1"/>
        <v>0</v>
      </c>
      <c r="F20" s="19">
        <f t="shared" si="2"/>
        <v>0</v>
      </c>
      <c r="G20" s="19">
        <f t="shared" si="3"/>
        <v>0</v>
      </c>
      <c r="H20" s="12">
        <v>0</v>
      </c>
      <c r="I20" s="12">
        <v>0</v>
      </c>
      <c r="J20" s="12">
        <v>0</v>
      </c>
      <c r="K20" s="12">
        <v>0</v>
      </c>
      <c r="L20" s="58">
        <f>VLOOKUP(A20,'תפוקה חודשית מול אשתקד'!A:K,8,0)</f>
        <v>0</v>
      </c>
      <c r="M20" s="58">
        <f>VLOOKUP(A20,'תפוקה חודשית מול אשתקד'!A:K,9,0)</f>
        <v>0</v>
      </c>
      <c r="N20" s="58">
        <f>VLOOKUP(A20,'תפוקה חודשית מול אשתקד'!A:K,10,0)</f>
        <v>0</v>
      </c>
      <c r="O20" s="58">
        <f>VLOOKUP(A20,'תפוקה חודשית מול אשתקד'!A:K,11,0)</f>
        <v>0</v>
      </c>
    </row>
    <row r="21" spans="1:15" ht="15.6" x14ac:dyDescent="0.25">
      <c r="A21" s="26" t="s">
        <v>38</v>
      </c>
      <c r="B21" s="26" t="s">
        <v>108</v>
      </c>
      <c r="C21" s="26" t="s">
        <v>106</v>
      </c>
      <c r="D21" s="19">
        <f t="shared" si="0"/>
        <v>0</v>
      </c>
      <c r="E21" s="19">
        <f t="shared" si="1"/>
        <v>0</v>
      </c>
      <c r="F21" s="19">
        <f t="shared" si="2"/>
        <v>0</v>
      </c>
      <c r="G21" s="19">
        <f t="shared" si="3"/>
        <v>0</v>
      </c>
      <c r="H21" s="12">
        <v>0</v>
      </c>
      <c r="I21" s="12">
        <v>0</v>
      </c>
      <c r="J21" s="12">
        <v>0</v>
      </c>
      <c r="K21" s="12">
        <v>0</v>
      </c>
      <c r="L21" s="58">
        <f>VLOOKUP(A21,'תפוקה חודשית מול אשתקד'!A:K,8,0)</f>
        <v>0</v>
      </c>
      <c r="M21" s="58">
        <f>VLOOKUP(A21,'תפוקה חודשית מול אשתקד'!A:K,9,0)</f>
        <v>0</v>
      </c>
      <c r="N21" s="58">
        <f>VLOOKUP(A21,'תפוקה חודשית מול אשתקד'!A:K,10,0)</f>
        <v>0</v>
      </c>
      <c r="O21" s="58">
        <f>VLOOKUP(A21,'תפוקה חודשית מול אשתקד'!A:K,11,0)</f>
        <v>0</v>
      </c>
    </row>
    <row r="22" spans="1:15" ht="21.6" thickBot="1" x14ac:dyDescent="0.3">
      <c r="A22" s="16" t="s">
        <v>10</v>
      </c>
      <c r="B22" s="102"/>
      <c r="C22" s="99"/>
      <c r="D22" s="19">
        <f t="shared" si="0"/>
        <v>-0.39353810154811053</v>
      </c>
      <c r="E22" s="19">
        <f t="shared" si="1"/>
        <v>-9.3497823670379621E-2</v>
      </c>
      <c r="F22" s="19">
        <f t="shared" si="2"/>
        <v>-0.43178439454338047</v>
      </c>
      <c r="G22" s="19">
        <f t="shared" si="3"/>
        <v>-0.58776267969735174</v>
      </c>
      <c r="H22" s="128">
        <f>SUM(H9:H21)</f>
        <v>663000.00000000012</v>
      </c>
      <c r="I22" s="128">
        <f t="shared" ref="I22:O22" si="5">SUM(I9:I21)</f>
        <v>258100</v>
      </c>
      <c r="J22" s="128">
        <f t="shared" si="5"/>
        <v>4056000</v>
      </c>
      <c r="K22" s="128">
        <f t="shared" si="5"/>
        <v>2379000</v>
      </c>
      <c r="L22" s="128">
        <f t="shared" si="5"/>
        <v>402084.23867360275</v>
      </c>
      <c r="M22" s="128">
        <f t="shared" si="5"/>
        <v>233968.21171067501</v>
      </c>
      <c r="N22" s="128">
        <f t="shared" si="5"/>
        <v>2304682.495732049</v>
      </c>
      <c r="O22" s="128">
        <f t="shared" si="5"/>
        <v>980712.5850000002</v>
      </c>
    </row>
    <row r="23" spans="1:15" ht="15.6" x14ac:dyDescent="0.25">
      <c r="A23" s="27" t="s">
        <v>11</v>
      </c>
      <c r="B23" s="27" t="s">
        <v>56</v>
      </c>
      <c r="C23" s="27" t="s">
        <v>107</v>
      </c>
      <c r="D23" s="19">
        <f t="shared" si="0"/>
        <v>-1.1085044285294117</v>
      </c>
      <c r="E23" s="19">
        <f t="shared" si="1"/>
        <v>-0.78949702577660275</v>
      </c>
      <c r="F23" s="19">
        <f t="shared" si="2"/>
        <v>-0.8589230769230769</v>
      </c>
      <c r="G23" s="19">
        <f t="shared" si="3"/>
        <v>-0.31360871794871892</v>
      </c>
      <c r="H23" s="12">
        <v>136000</v>
      </c>
      <c r="I23" s="12">
        <v>15130</v>
      </c>
      <c r="J23" s="12">
        <v>195000</v>
      </c>
      <c r="K23" s="12">
        <v>390000</v>
      </c>
      <c r="L23" s="58">
        <f>VLOOKUP(A23,'תפוקה חודשית מול אשתקד'!A:K,8,0)</f>
        <v>-14756.602279999992</v>
      </c>
      <c r="M23" s="58">
        <f>VLOOKUP(A23,'תפוקה חודשית מול אשתקד'!A:K,9,0)</f>
        <v>3184.91</v>
      </c>
      <c r="N23" s="58">
        <f>VLOOKUP(A23,'תפוקה חודשית מול אשתקד'!A:K,10,0)</f>
        <v>27510</v>
      </c>
      <c r="O23" s="58">
        <f>VLOOKUP(A23,'תפוקה חודשית מול אשתקד'!A:K,11,0)</f>
        <v>267692.59999999963</v>
      </c>
    </row>
    <row r="24" spans="1:15" ht="15.6" x14ac:dyDescent="0.25">
      <c r="A24" s="30" t="s">
        <v>12</v>
      </c>
      <c r="B24" s="26" t="s">
        <v>56</v>
      </c>
      <c r="C24" s="27" t="s">
        <v>107</v>
      </c>
      <c r="D24" s="19">
        <f t="shared" si="0"/>
        <v>0</v>
      </c>
      <c r="E24" s="19">
        <f t="shared" si="1"/>
        <v>0</v>
      </c>
      <c r="F24" s="19">
        <f t="shared" si="2"/>
        <v>0</v>
      </c>
      <c r="G24" s="19">
        <f t="shared" si="3"/>
        <v>0</v>
      </c>
      <c r="H24" s="12">
        <v>0</v>
      </c>
      <c r="I24" s="12">
        <v>0</v>
      </c>
      <c r="J24" s="12">
        <v>0</v>
      </c>
      <c r="K24" s="12">
        <v>0</v>
      </c>
      <c r="L24" s="58">
        <f>VLOOKUP(A24,'תפוקה חודשית מול אשתקד'!A:K,8,0)</f>
        <v>0</v>
      </c>
      <c r="M24" s="58">
        <f>VLOOKUP(A24,'תפוקה חודשית מול אשתקד'!A:K,9,0)</f>
        <v>0</v>
      </c>
      <c r="N24" s="58">
        <f>VLOOKUP(A24,'תפוקה חודשית מול אשתקד'!A:K,10,0)</f>
        <v>0</v>
      </c>
      <c r="O24" s="58">
        <f>VLOOKUP(A24,'תפוקה חודשית מול אשתקד'!A:K,11,0)</f>
        <v>0</v>
      </c>
    </row>
    <row r="25" spans="1:15" ht="15.6" x14ac:dyDescent="0.25">
      <c r="A25" s="30" t="s">
        <v>13</v>
      </c>
      <c r="B25" s="26" t="s">
        <v>56</v>
      </c>
      <c r="C25" s="27" t="s">
        <v>107</v>
      </c>
      <c r="D25" s="19">
        <f t="shared" si="0"/>
        <v>0</v>
      </c>
      <c r="E25" s="19">
        <f t="shared" si="1"/>
        <v>-1.1988948314606742</v>
      </c>
      <c r="F25" s="19">
        <f t="shared" si="2"/>
        <v>0</v>
      </c>
      <c r="G25" s="19">
        <f t="shared" si="3"/>
        <v>0</v>
      </c>
      <c r="H25" s="12">
        <v>8500</v>
      </c>
      <c r="I25" s="12">
        <v>4450</v>
      </c>
      <c r="J25" s="12">
        <v>23400</v>
      </c>
      <c r="K25" s="12">
        <v>7800</v>
      </c>
      <c r="L25" s="58">
        <f>VLOOKUP(A25,'תפוקה חודשית מול אשתקד'!A:K,8,0)</f>
        <v>0</v>
      </c>
      <c r="M25" s="58">
        <f>VLOOKUP(A25,'תפוקה חודשית מול אשתקד'!A:K,9,0)</f>
        <v>-885.08200000000033</v>
      </c>
      <c r="N25" s="58">
        <f>VLOOKUP(A25,'תפוקה חודשית מול אשתקד'!A:K,10,0)</f>
        <v>0</v>
      </c>
      <c r="O25" s="58">
        <f>VLOOKUP(A25,'תפוקה חודשית מול אשתקד'!A:K,11,0)</f>
        <v>0</v>
      </c>
    </row>
    <row r="26" spans="1:15" ht="31.2" x14ac:dyDescent="0.25">
      <c r="A26" s="26" t="s">
        <v>14</v>
      </c>
      <c r="B26" s="26" t="s">
        <v>55</v>
      </c>
      <c r="C26" s="27" t="s">
        <v>107</v>
      </c>
      <c r="D26" s="19">
        <f t="shared" si="0"/>
        <v>0</v>
      </c>
      <c r="E26" s="19">
        <f t="shared" si="1"/>
        <v>0</v>
      </c>
      <c r="F26" s="19">
        <f t="shared" si="2"/>
        <v>0</v>
      </c>
      <c r="G26" s="19">
        <f t="shared" si="3"/>
        <v>0</v>
      </c>
      <c r="H26" s="12">
        <v>0</v>
      </c>
      <c r="I26" s="12">
        <v>0</v>
      </c>
      <c r="J26" s="12">
        <v>0</v>
      </c>
      <c r="K26" s="12">
        <v>0</v>
      </c>
      <c r="L26" s="58">
        <f>VLOOKUP(A26,'תפוקה חודשית מול אשתקד'!A:K,8,0)</f>
        <v>0</v>
      </c>
      <c r="M26" s="58">
        <f>VLOOKUP(A26,'תפוקה חודשית מול אשתקד'!A:K,9,0)</f>
        <v>0</v>
      </c>
      <c r="N26" s="58">
        <f>VLOOKUP(A26,'תפוקה חודשית מול אשתקד'!A:K,10,0)</f>
        <v>0</v>
      </c>
      <c r="O26" s="58">
        <f>VLOOKUP(A26,'תפוקה חודשית מול אשתקד'!A:K,11,0)</f>
        <v>0</v>
      </c>
    </row>
    <row r="27" spans="1:15" ht="15.6" x14ac:dyDescent="0.25">
      <c r="A27" s="30" t="s">
        <v>15</v>
      </c>
      <c r="B27" s="26" t="s">
        <v>56</v>
      </c>
      <c r="C27" s="27" t="s">
        <v>107</v>
      </c>
      <c r="D27" s="19">
        <f t="shared" si="0"/>
        <v>-0.47069818400000007</v>
      </c>
      <c r="E27" s="19">
        <f t="shared" si="1"/>
        <v>-0.78691196067415681</v>
      </c>
      <c r="F27" s="19">
        <f t="shared" si="2"/>
        <v>-0.61713749307692278</v>
      </c>
      <c r="G27" s="19">
        <f t="shared" si="3"/>
        <v>1.4144401282051278</v>
      </c>
      <c r="H27" s="12">
        <v>212500.00000000003</v>
      </c>
      <c r="I27" s="12">
        <v>26700</v>
      </c>
      <c r="J27" s="12">
        <v>234000</v>
      </c>
      <c r="K27" s="12">
        <v>312000</v>
      </c>
      <c r="L27" s="58">
        <f>VLOOKUP(A27,'תפוקה חודשית מול אשתקד'!A:K,8,0)</f>
        <v>112476.63589999999</v>
      </c>
      <c r="M27" s="58">
        <f>VLOOKUP(A27,'תפוקה חודשית מול אשתקד'!A:K,9,0)</f>
        <v>5689.4506500000134</v>
      </c>
      <c r="N27" s="58">
        <f>VLOOKUP(A27,'תפוקה חודשית מול אשתקד'!A:K,10,0)</f>
        <v>89589.826620000065</v>
      </c>
      <c r="O27" s="58">
        <f>VLOOKUP(A27,'תפוקה חודשית מול אשתקד'!A:K,11,0)</f>
        <v>753305.31999999983</v>
      </c>
    </row>
    <row r="28" spans="1:15" ht="15.6" x14ac:dyDescent="0.25">
      <c r="A28" s="30" t="s">
        <v>17</v>
      </c>
      <c r="B28" s="26" t="s">
        <v>56</v>
      </c>
      <c r="C28" s="27" t="s">
        <v>107</v>
      </c>
      <c r="D28" s="19">
        <f t="shared" si="0"/>
        <v>0</v>
      </c>
      <c r="E28" s="19">
        <f t="shared" si="1"/>
        <v>-0.65997544225584992</v>
      </c>
      <c r="F28" s="19">
        <f t="shared" si="2"/>
        <v>0</v>
      </c>
      <c r="G28" s="19">
        <f t="shared" si="3"/>
        <v>-0.29649679487179526</v>
      </c>
      <c r="H28" s="12">
        <v>25500.000000000004</v>
      </c>
      <c r="I28" s="12">
        <v>17800</v>
      </c>
      <c r="J28" s="12">
        <v>7800</v>
      </c>
      <c r="K28" s="12">
        <v>15600</v>
      </c>
      <c r="L28" s="58">
        <f>VLOOKUP(A28,'תפוקה חודשית מול אשתקד'!A:K,8,0)</f>
        <v>0</v>
      </c>
      <c r="M28" s="58">
        <f>VLOOKUP(A28,'תפוקה חודשית מול אשתקד'!A:K,9,0)</f>
        <v>6052.4371278458711</v>
      </c>
      <c r="N28" s="58">
        <f>VLOOKUP(A28,'תפוקה חודשית מול אשתקד'!A:K,10,0)</f>
        <v>0</v>
      </c>
      <c r="O28" s="58">
        <f>VLOOKUP(A28,'תפוקה חודשית מול אשתקד'!A:K,11,0)</f>
        <v>10974.649999999994</v>
      </c>
    </row>
    <row r="29" spans="1:15" ht="15.6" x14ac:dyDescent="0.25">
      <c r="A29" s="30" t="s">
        <v>18</v>
      </c>
      <c r="B29" s="26" t="s">
        <v>56</v>
      </c>
      <c r="C29" s="27" t="s">
        <v>107</v>
      </c>
      <c r="D29" s="19">
        <f t="shared" si="0"/>
        <v>-0.99712313725490198</v>
      </c>
      <c r="E29" s="19">
        <f t="shared" si="1"/>
        <v>-0.71065715355805259</v>
      </c>
      <c r="F29" s="19">
        <f t="shared" si="2"/>
        <v>-0.91462367521367494</v>
      </c>
      <c r="G29" s="19">
        <f t="shared" si="3"/>
        <v>-0.97299999999999986</v>
      </c>
      <c r="H29" s="12">
        <v>25500.000000000004</v>
      </c>
      <c r="I29" s="12">
        <v>13350</v>
      </c>
      <c r="J29" s="12">
        <v>117000</v>
      </c>
      <c r="K29" s="12">
        <v>23400</v>
      </c>
      <c r="L29" s="58">
        <f>VLOOKUP(A29,'תפוקה חודשית מול אשתקד'!A:K,8,0)</f>
        <v>73.360000000000582</v>
      </c>
      <c r="M29" s="58">
        <f>VLOOKUP(A29,'תפוקה חודשית מול אשתקד'!A:K,9,0)</f>
        <v>3862.726999999999</v>
      </c>
      <c r="N29" s="58">
        <f>VLOOKUP(A29,'תפוקה חודשית מול אשתקד'!A:K,10,0)</f>
        <v>9989.0300000000279</v>
      </c>
      <c r="O29" s="58">
        <f>VLOOKUP(A29,'תפוקה חודשית מול אשתקד'!A:K,11,0)</f>
        <v>631.80000000000291</v>
      </c>
    </row>
    <row r="30" spans="1:15" ht="15.6" x14ac:dyDescent="0.25">
      <c r="A30" s="26" t="s">
        <v>19</v>
      </c>
      <c r="B30" s="26" t="s">
        <v>56</v>
      </c>
      <c r="C30" s="27" t="s">
        <v>107</v>
      </c>
      <c r="D30" s="19">
        <f t="shared" si="0"/>
        <v>-0.45244833613445357</v>
      </c>
      <c r="E30" s="19">
        <f t="shared" si="1"/>
        <v>-0.88062247191011223</v>
      </c>
      <c r="F30" s="19">
        <f t="shared" si="2"/>
        <v>-2.1168409829059831</v>
      </c>
      <c r="G30" s="19">
        <f t="shared" si="3"/>
        <v>-0.58165917948717905</v>
      </c>
      <c r="H30" s="12">
        <v>148750</v>
      </c>
      <c r="I30" s="12">
        <v>13350</v>
      </c>
      <c r="J30" s="12">
        <v>234000</v>
      </c>
      <c r="K30" s="12">
        <v>390000</v>
      </c>
      <c r="L30" s="58">
        <f>VLOOKUP(A30,'תפוקה חודשית מול אשתקד'!A:K,8,0)</f>
        <v>81448.310000000027</v>
      </c>
      <c r="M30" s="58">
        <f>VLOOKUP(A30,'תפוקה חודשית מול אשתקד'!A:K,9,0)</f>
        <v>1593.6900000000023</v>
      </c>
      <c r="N30" s="58">
        <f>VLOOKUP(A30,'תפוקה חודשית מול אשתקד'!A:K,10,0)</f>
        <v>-261340.79000000004</v>
      </c>
      <c r="O30" s="58">
        <f>VLOOKUP(A30,'תפוקה חודשית מול אשתקד'!A:K,11,0)</f>
        <v>163152.92000000016</v>
      </c>
    </row>
    <row r="31" spans="1:15" ht="15.6" x14ac:dyDescent="0.25">
      <c r="A31" s="26" t="s">
        <v>20</v>
      </c>
      <c r="B31" s="26" t="s">
        <v>56</v>
      </c>
      <c r="C31" s="27" t="s">
        <v>107</v>
      </c>
      <c r="D31" s="19">
        <f t="shared" si="0"/>
        <v>1.2068263529411762</v>
      </c>
      <c r="E31" s="19">
        <f t="shared" si="1"/>
        <v>-9.9810410137816441E-2</v>
      </c>
      <c r="F31" s="19">
        <f t="shared" si="2"/>
        <v>-0.51055798076923031</v>
      </c>
      <c r="G31" s="19">
        <f t="shared" si="3"/>
        <v>-2.5130073333333343</v>
      </c>
      <c r="H31" s="12">
        <v>85000</v>
      </c>
      <c r="I31" s="12">
        <v>17800</v>
      </c>
      <c r="J31" s="12">
        <v>312000</v>
      </c>
      <c r="K31" s="12">
        <v>195000</v>
      </c>
      <c r="L31" s="58">
        <f>VLOOKUP(A31,'תפוקה חודשית מול אשתקד'!A:K,8,0)</f>
        <v>187580.24</v>
      </c>
      <c r="M31" s="58">
        <f>VLOOKUP(A31,'תפוקה חודשית מול אשתקד'!A:K,9,0)</f>
        <v>16023.374699546868</v>
      </c>
      <c r="N31" s="58">
        <f>VLOOKUP(A31,'תפוקה חודשית מול אשתקד'!A:K,10,0)</f>
        <v>152705.91000000015</v>
      </c>
      <c r="O31" s="58">
        <f>VLOOKUP(A31,'תפוקה חודשית מול אשתקד'!A:K,11,0)</f>
        <v>-295036.43000000017</v>
      </c>
    </row>
    <row r="32" spans="1:15" ht="15.6" x14ac:dyDescent="0.25">
      <c r="A32" s="26" t="s">
        <v>21</v>
      </c>
      <c r="B32" s="26" t="s">
        <v>56</v>
      </c>
      <c r="C32" s="27" t="s">
        <v>107</v>
      </c>
      <c r="D32" s="19">
        <f t="shared" si="0"/>
        <v>1</v>
      </c>
      <c r="E32" s="19">
        <f t="shared" si="1"/>
        <v>1</v>
      </c>
      <c r="F32" s="19">
        <f t="shared" si="2"/>
        <v>0</v>
      </c>
      <c r="G32" s="19">
        <f t="shared" si="3"/>
        <v>0</v>
      </c>
      <c r="H32" s="12">
        <v>0</v>
      </c>
      <c r="I32" s="12">
        <v>0</v>
      </c>
      <c r="J32" s="12">
        <v>0</v>
      </c>
      <c r="K32" s="12">
        <v>0</v>
      </c>
      <c r="L32" s="58">
        <f>VLOOKUP(A32,'תפוקה חודשית מול אשתקד'!A:K,8,0)</f>
        <v>-987.80999999999949</v>
      </c>
      <c r="M32" s="58">
        <f>VLOOKUP(A32,'תפוקה חודשית מול אשתקד'!A:K,9,0)</f>
        <v>0.10999999999999943</v>
      </c>
      <c r="N32" s="58">
        <f>VLOOKUP(A32,'תפוקה חודשית מול אשתקד'!A:K,10,0)</f>
        <v>0</v>
      </c>
      <c r="O32" s="58">
        <f>VLOOKUP(A32,'תפוקה חודשית מול אשתקד'!A:K,11,0)</f>
        <v>0</v>
      </c>
    </row>
    <row r="33" spans="1:15" ht="15.6" x14ac:dyDescent="0.25">
      <c r="A33" s="26" t="s">
        <v>22</v>
      </c>
      <c r="B33" s="26" t="s">
        <v>56</v>
      </c>
      <c r="C33" s="27" t="s">
        <v>107</v>
      </c>
      <c r="D33" s="19">
        <f t="shared" si="0"/>
        <v>0</v>
      </c>
      <c r="E33" s="19">
        <f t="shared" si="1"/>
        <v>1</v>
      </c>
      <c r="F33" s="19">
        <f t="shared" si="2"/>
        <v>0</v>
      </c>
      <c r="G33" s="19">
        <f t="shared" si="3"/>
        <v>0</v>
      </c>
      <c r="H33" s="12">
        <v>0</v>
      </c>
      <c r="I33" s="12">
        <v>0</v>
      </c>
      <c r="J33" s="12">
        <v>0</v>
      </c>
      <c r="K33" s="12">
        <v>0</v>
      </c>
      <c r="L33" s="58">
        <f>VLOOKUP(A33,'תפוקה חודשית מול אשתקד'!A:K,8,0)</f>
        <v>0</v>
      </c>
      <c r="M33" s="58">
        <f>VLOOKUP(A33,'תפוקה חודשית מול אשתקד'!A:K,9,0)</f>
        <v>3967.905542000698</v>
      </c>
      <c r="N33" s="58">
        <f>VLOOKUP(A33,'תפוקה חודשית מול אשתקד'!A:K,10,0)</f>
        <v>0</v>
      </c>
      <c r="O33" s="58">
        <f>VLOOKUP(A33,'תפוקה חודשית מול אשתקד'!A:K,11,0)</f>
        <v>0</v>
      </c>
    </row>
    <row r="34" spans="1:15" ht="15.6" x14ac:dyDescent="0.25">
      <c r="A34" s="26" t="s">
        <v>23</v>
      </c>
      <c r="B34" s="26" t="s">
        <v>56</v>
      </c>
      <c r="C34" s="27" t="s">
        <v>107</v>
      </c>
      <c r="D34" s="19">
        <f t="shared" si="0"/>
        <v>0</v>
      </c>
      <c r="E34" s="19">
        <f t="shared" si="1"/>
        <v>0</v>
      </c>
      <c r="F34" s="19">
        <f t="shared" si="2"/>
        <v>0</v>
      </c>
      <c r="G34" s="19">
        <f t="shared" si="3"/>
        <v>0</v>
      </c>
      <c r="H34" s="12">
        <v>0</v>
      </c>
      <c r="I34" s="12">
        <v>0</v>
      </c>
      <c r="J34" s="12">
        <v>0</v>
      </c>
      <c r="K34" s="12">
        <v>0</v>
      </c>
      <c r="L34" s="58">
        <f>VLOOKUP(A34,'תפוקה חודשית מול אשתקד'!A:K,8,0)</f>
        <v>0</v>
      </c>
      <c r="M34" s="58">
        <f>VLOOKUP(A34,'תפוקה חודשית מול אשתקד'!A:K,9,0)</f>
        <v>0</v>
      </c>
      <c r="N34" s="58">
        <f>VLOOKUP(A34,'תפוקה חודשית מול אשתקד'!A:K,10,0)</f>
        <v>0</v>
      </c>
      <c r="O34" s="58">
        <f>VLOOKUP(A34,'תפוקה חודשית מול אשתקד'!A:K,11,0)</f>
        <v>0</v>
      </c>
    </row>
    <row r="35" spans="1:15" ht="15.6" x14ac:dyDescent="0.25">
      <c r="A35" s="26" t="s">
        <v>24</v>
      </c>
      <c r="B35" s="26" t="s">
        <v>56</v>
      </c>
      <c r="C35" s="27" t="s">
        <v>107</v>
      </c>
      <c r="D35" s="19">
        <f t="shared" si="0"/>
        <v>0</v>
      </c>
      <c r="E35" s="19">
        <f t="shared" si="1"/>
        <v>1</v>
      </c>
      <c r="F35" s="19">
        <f t="shared" si="2"/>
        <v>0</v>
      </c>
      <c r="G35" s="19">
        <f t="shared" si="3"/>
        <v>0</v>
      </c>
      <c r="H35" s="12">
        <v>0</v>
      </c>
      <c r="I35" s="12">
        <v>0</v>
      </c>
      <c r="J35" s="12">
        <v>0</v>
      </c>
      <c r="K35" s="12">
        <v>0</v>
      </c>
      <c r="L35" s="58">
        <f>VLOOKUP(A35,'תפוקה חודשית מול אשתקד'!A:K,8,0)</f>
        <v>0</v>
      </c>
      <c r="M35" s="58">
        <f>VLOOKUP(A35,'תפוקה חודשית מול אשתקד'!A:K,9,0)</f>
        <v>72.151999999999134</v>
      </c>
      <c r="N35" s="58">
        <f>VLOOKUP(A35,'תפוקה חודשית מול אשתקד'!A:K,10,0)</f>
        <v>0</v>
      </c>
      <c r="O35" s="58">
        <f>VLOOKUP(A35,'תפוקה חודשית מול אשתקד'!A:K,11,0)</f>
        <v>0</v>
      </c>
    </row>
    <row r="36" spans="1:15" ht="15.6" x14ac:dyDescent="0.25">
      <c r="A36" s="30" t="s">
        <v>25</v>
      </c>
      <c r="B36" s="26" t="s">
        <v>56</v>
      </c>
      <c r="C36" s="27" t="s">
        <v>107</v>
      </c>
      <c r="D36" s="19">
        <f t="shared" si="0"/>
        <v>-0.36370293335380477</v>
      </c>
      <c r="E36" s="19">
        <f t="shared" si="1"/>
        <v>-0.33082142056106789</v>
      </c>
      <c r="F36" s="19">
        <f t="shared" si="2"/>
        <v>-0.78005446813234403</v>
      </c>
      <c r="G36" s="19">
        <f t="shared" si="3"/>
        <v>-0.83045211538461561</v>
      </c>
      <c r="H36" s="12">
        <v>212500.00000000003</v>
      </c>
      <c r="I36" s="12">
        <v>40050</v>
      </c>
      <c r="J36" s="12">
        <v>468000</v>
      </c>
      <c r="K36" s="12">
        <v>312000</v>
      </c>
      <c r="L36" s="58">
        <f>VLOOKUP(A36,'תפוקה חודשית מול אשתקד'!A:K,8,0)</f>
        <v>135213.1266623165</v>
      </c>
      <c r="M36" s="58">
        <f>VLOOKUP(A36,'תפוקה חודשית מול אשתקד'!A:K,9,0)</f>
        <v>26800.60210652923</v>
      </c>
      <c r="N36" s="58">
        <f>VLOOKUP(A36,'תפוקה חודשית מול אשתקד'!A:K,10,0)</f>
        <v>102934.50891406299</v>
      </c>
      <c r="O36" s="58">
        <f>VLOOKUP(A36,'תפוקה חודשית מול אשתקד'!A:K,11,0)</f>
        <v>52898.939999999944</v>
      </c>
    </row>
    <row r="37" spans="1:15" ht="15.6" x14ac:dyDescent="0.25">
      <c r="A37" s="26" t="s">
        <v>26</v>
      </c>
      <c r="B37" s="26" t="s">
        <v>56</v>
      </c>
      <c r="C37" s="27" t="s">
        <v>107</v>
      </c>
      <c r="D37" s="19">
        <f t="shared" si="0"/>
        <v>0</v>
      </c>
      <c r="E37" s="19">
        <f t="shared" si="1"/>
        <v>0</v>
      </c>
      <c r="F37" s="19">
        <f t="shared" si="2"/>
        <v>0</v>
      </c>
      <c r="G37" s="19">
        <f t="shared" si="3"/>
        <v>0</v>
      </c>
      <c r="H37" s="12">
        <v>0</v>
      </c>
      <c r="I37" s="12">
        <v>0</v>
      </c>
      <c r="J37" s="12">
        <v>0</v>
      </c>
      <c r="K37" s="12">
        <v>0</v>
      </c>
      <c r="L37" s="58">
        <f>VLOOKUP(A37,'תפוקה חודשית מול אשתקד'!A:K,8,0)</f>
        <v>0</v>
      </c>
      <c r="M37" s="58">
        <f>VLOOKUP(A37,'תפוקה חודשית מול אשתקד'!A:K,9,0)</f>
        <v>0</v>
      </c>
      <c r="N37" s="58">
        <f>VLOOKUP(A37,'תפוקה חודשית מול אשתקד'!A:K,10,0)</f>
        <v>0</v>
      </c>
      <c r="O37" s="58">
        <f>VLOOKUP(A37,'תפוקה חודשית מול אשתקד'!A:K,11,0)</f>
        <v>0</v>
      </c>
    </row>
    <row r="38" spans="1:15" ht="15.6" x14ac:dyDescent="0.25">
      <c r="A38" s="26" t="s">
        <v>27</v>
      </c>
      <c r="B38" s="26" t="s">
        <v>56</v>
      </c>
      <c r="C38" s="27" t="s">
        <v>107</v>
      </c>
      <c r="D38" s="19">
        <f t="shared" si="0"/>
        <v>1</v>
      </c>
      <c r="E38" s="19">
        <f t="shared" si="1"/>
        <v>1</v>
      </c>
      <c r="F38" s="19">
        <f t="shared" si="2"/>
        <v>1</v>
      </c>
      <c r="G38" s="19">
        <f t="shared" si="3"/>
        <v>0</v>
      </c>
      <c r="H38" s="12">
        <v>0</v>
      </c>
      <c r="I38" s="12">
        <v>0</v>
      </c>
      <c r="J38" s="12">
        <v>0</v>
      </c>
      <c r="K38" s="12">
        <v>0</v>
      </c>
      <c r="L38" s="58">
        <f>VLOOKUP(A38,'תפוקה חודשית מול אשתקד'!A:K,8,0)</f>
        <v>44755.199999999997</v>
      </c>
      <c r="M38" s="58">
        <f>VLOOKUP(A38,'תפוקה חודשית מול אשתקד'!A:K,9,0)</f>
        <v>-2705.06</v>
      </c>
      <c r="N38" s="58">
        <f>VLOOKUP(A38,'תפוקה חודשית מול אשתקד'!A:K,10,0)</f>
        <v>1000</v>
      </c>
      <c r="O38" s="58">
        <f>VLOOKUP(A38,'תפוקה חודשית מול אשתקד'!A:K,11,0)</f>
        <v>0</v>
      </c>
    </row>
    <row r="39" spans="1:15" ht="15.6" x14ac:dyDescent="0.25">
      <c r="A39" s="26" t="s">
        <v>28</v>
      </c>
      <c r="B39" s="26" t="s">
        <v>56</v>
      </c>
      <c r="C39" s="27" t="s">
        <v>107</v>
      </c>
      <c r="D39" s="19">
        <f t="shared" si="0"/>
        <v>1</v>
      </c>
      <c r="E39" s="19">
        <f t="shared" si="1"/>
        <v>0</v>
      </c>
      <c r="F39" s="19">
        <f t="shared" si="2"/>
        <v>0</v>
      </c>
      <c r="G39" s="19">
        <f t="shared" si="3"/>
        <v>0</v>
      </c>
      <c r="H39" s="12">
        <v>0</v>
      </c>
      <c r="I39" s="12">
        <v>0</v>
      </c>
      <c r="J39" s="12">
        <v>0</v>
      </c>
      <c r="K39" s="12">
        <v>0</v>
      </c>
      <c r="L39" s="58">
        <f>VLOOKUP(A39,'תפוקה חודשית מול אשתקד'!A:K,8,0)</f>
        <v>37915.581688366226</v>
      </c>
      <c r="M39" s="58">
        <f>VLOOKUP(A39,'תפוקה חודשית מול אשתקד'!A:K,9,0)</f>
        <v>0</v>
      </c>
      <c r="N39" s="58">
        <f>VLOOKUP(A39,'תפוקה חודשית מול אשתקד'!A:K,10,0)</f>
        <v>0</v>
      </c>
      <c r="O39" s="58">
        <f>VLOOKUP(A39,'תפוקה חודשית מול אשתקד'!A:K,11,0)</f>
        <v>0</v>
      </c>
    </row>
    <row r="40" spans="1:15" ht="15.6" x14ac:dyDescent="0.25">
      <c r="A40" s="26" t="s">
        <v>29</v>
      </c>
      <c r="B40" s="26" t="s">
        <v>56</v>
      </c>
      <c r="C40" s="27" t="s">
        <v>107</v>
      </c>
      <c r="D40" s="19">
        <f t="shared" si="0"/>
        <v>1</v>
      </c>
      <c r="E40" s="19">
        <f t="shared" si="1"/>
        <v>-0.96861797752809009</v>
      </c>
      <c r="F40" s="19">
        <f t="shared" si="2"/>
        <v>1</v>
      </c>
      <c r="G40" s="19">
        <f t="shared" si="3"/>
        <v>1</v>
      </c>
      <c r="H40" s="12">
        <v>0</v>
      </c>
      <c r="I40" s="12">
        <v>890</v>
      </c>
      <c r="J40" s="12">
        <v>0</v>
      </c>
      <c r="K40" s="12">
        <v>0</v>
      </c>
      <c r="L40" s="58">
        <f>VLOOKUP(A40,'תפוקה חודשית מול אשתקד'!A:K,8,0)</f>
        <v>97113.700000000012</v>
      </c>
      <c r="M40" s="58">
        <f>VLOOKUP(A40,'תפוקה חודשית מול אשתקד'!A:K,9,0)</f>
        <v>27.929999999999836</v>
      </c>
      <c r="N40" s="58">
        <f>VLOOKUP(A40,'תפוקה חודשית מול אשתקד'!A:K,10,0)</f>
        <v>-6975.2400000000198</v>
      </c>
      <c r="O40" s="58">
        <f>VLOOKUP(A40,'תפוקה חודשית מול אשתקד'!A:K,11,0)</f>
        <v>2458.7799999999988</v>
      </c>
    </row>
    <row r="41" spans="1:15" ht="31.2" x14ac:dyDescent="0.25">
      <c r="A41" s="26" t="s">
        <v>98</v>
      </c>
      <c r="B41" s="26" t="s">
        <v>55</v>
      </c>
      <c r="C41" s="27" t="s">
        <v>107</v>
      </c>
      <c r="D41" s="19">
        <f t="shared" si="0"/>
        <v>-0.83240235294117648</v>
      </c>
      <c r="E41" s="19">
        <f t="shared" si="1"/>
        <v>-1.3469662921348435E-2</v>
      </c>
      <c r="F41" s="19">
        <f t="shared" si="2"/>
        <v>0</v>
      </c>
      <c r="G41" s="19">
        <f t="shared" si="3"/>
        <v>0</v>
      </c>
      <c r="H41" s="12">
        <v>34000</v>
      </c>
      <c r="I41" s="12">
        <v>8900</v>
      </c>
      <c r="J41" s="12">
        <v>78000</v>
      </c>
      <c r="K41" s="12">
        <v>78000</v>
      </c>
      <c r="L41" s="58">
        <f>VLOOKUP(A41,'תפוקה חודשית מול אשתקד'!A:K,8,0)</f>
        <v>5698.32</v>
      </c>
      <c r="M41" s="58">
        <f>VLOOKUP(A41,'תפוקה חודשית מול אשתקד'!A:K,9,0)</f>
        <v>8780.119999999999</v>
      </c>
      <c r="N41" s="58">
        <f>VLOOKUP(A41,'תפוקה חודשית מול אשתקד'!A:K,10,0)</f>
        <v>0</v>
      </c>
      <c r="O41" s="58">
        <f>VLOOKUP(A41,'תפוקה חודשית מול אשתקד'!A:K,11,0)</f>
        <v>0</v>
      </c>
    </row>
    <row r="42" spans="1:15" ht="31.2" x14ac:dyDescent="0.25">
      <c r="A42" s="26" t="s">
        <v>32</v>
      </c>
      <c r="B42" s="26" t="s">
        <v>55</v>
      </c>
      <c r="C42" s="27" t="s">
        <v>107</v>
      </c>
      <c r="D42" s="19">
        <f t="shared" si="0"/>
        <v>0</v>
      </c>
      <c r="E42" s="19">
        <f t="shared" si="1"/>
        <v>0</v>
      </c>
      <c r="F42" s="19">
        <f t="shared" si="2"/>
        <v>0</v>
      </c>
      <c r="G42" s="19">
        <f t="shared" si="3"/>
        <v>0</v>
      </c>
      <c r="H42" s="12">
        <v>0</v>
      </c>
      <c r="I42" s="12">
        <v>0</v>
      </c>
      <c r="J42" s="12">
        <v>0</v>
      </c>
      <c r="K42" s="12">
        <v>0</v>
      </c>
      <c r="L42" s="58">
        <f>VLOOKUP(A42,'תפוקה חודשית מול אשתקד'!A:K,8,0)</f>
        <v>0</v>
      </c>
      <c r="M42" s="58">
        <f>VLOOKUP(A42,'תפוקה חודשית מול אשתקד'!A:K,9,0)</f>
        <v>0</v>
      </c>
      <c r="N42" s="58">
        <f>VLOOKUP(A42,'תפוקה חודשית מול אשתקד'!A:K,10,0)</f>
        <v>0</v>
      </c>
      <c r="O42" s="58">
        <f>VLOOKUP(A42,'תפוקה חודשית מול אשתקד'!A:K,11,0)</f>
        <v>0</v>
      </c>
    </row>
    <row r="43" spans="1:15" ht="15.6" x14ac:dyDescent="0.25">
      <c r="A43" s="30" t="s">
        <v>95</v>
      </c>
      <c r="B43" s="26" t="s">
        <v>56</v>
      </c>
      <c r="C43" s="27" t="s">
        <v>107</v>
      </c>
      <c r="D43" s="19">
        <f t="shared" si="0"/>
        <v>1</v>
      </c>
      <c r="E43" s="19">
        <f t="shared" si="1"/>
        <v>1</v>
      </c>
      <c r="F43" s="19">
        <f t="shared" si="2"/>
        <v>1</v>
      </c>
      <c r="G43" s="19">
        <f t="shared" si="3"/>
        <v>1</v>
      </c>
      <c r="H43" s="12">
        <v>0</v>
      </c>
      <c r="I43" s="12">
        <v>0</v>
      </c>
      <c r="J43" s="12">
        <v>0</v>
      </c>
      <c r="K43" s="12">
        <v>0</v>
      </c>
      <c r="L43" s="58">
        <f>VLOOKUP(A43,'תפוקה חודשית מול אשתקד'!A:K,8,0)</f>
        <v>2569.4944308232225</v>
      </c>
      <c r="M43" s="58">
        <f>VLOOKUP(A43,'תפוקה חודשית מול אשתקד'!A:K,9,0)</f>
        <v>8994.59544658495</v>
      </c>
      <c r="N43" s="58">
        <f>VLOOKUP(A43,'תפוקה חודשית מול אשתקד'!A:K,10,0)</f>
        <v>120729.81244286252</v>
      </c>
      <c r="O43" s="58">
        <f>VLOOKUP(A43,'תפוקה חודשית מול אשתקד'!A:K,11,0)</f>
        <v>200127.03000000003</v>
      </c>
    </row>
    <row r="44" spans="1:15" ht="15.6" x14ac:dyDescent="0.25">
      <c r="A44" s="26" t="s">
        <v>83</v>
      </c>
      <c r="B44" s="26" t="s">
        <v>56</v>
      </c>
      <c r="C44" s="27" t="s">
        <v>107</v>
      </c>
      <c r="D44" s="19">
        <f t="shared" si="0"/>
        <v>0</v>
      </c>
      <c r="E44" s="19">
        <f t="shared" si="1"/>
        <v>0.92547792525485484</v>
      </c>
      <c r="F44" s="19">
        <f t="shared" si="2"/>
        <v>-0.99998205128205131</v>
      </c>
      <c r="G44" s="19">
        <f t="shared" si="3"/>
        <v>0</v>
      </c>
      <c r="H44" s="12">
        <v>25500.000000000004</v>
      </c>
      <c r="I44" s="12">
        <v>7120</v>
      </c>
      <c r="J44" s="12">
        <v>23400</v>
      </c>
      <c r="K44" s="12">
        <v>23400</v>
      </c>
      <c r="L44" s="58">
        <f>VLOOKUP(A44,'תפוקה חודשית מול אשתקד'!A:K,8,0)</f>
        <v>0</v>
      </c>
      <c r="M44" s="58">
        <f>VLOOKUP(A44,'תפוקה חודשית מול אשתקד'!A:K,9,0)</f>
        <v>13709.402827814567</v>
      </c>
      <c r="N44" s="58">
        <f>VLOOKUP(A44,'תפוקה חודשית מול אשתקד'!A:K,10,0)</f>
        <v>0.42000000000007276</v>
      </c>
      <c r="O44" s="58">
        <f>VLOOKUP(A44,'תפוקה חודשית מול אשתקד'!A:K,11,0)</f>
        <v>0</v>
      </c>
    </row>
    <row r="45" spans="1:15" ht="15.6" x14ac:dyDescent="0.25">
      <c r="A45" s="26" t="s">
        <v>82</v>
      </c>
      <c r="B45" s="26" t="s">
        <v>56</v>
      </c>
      <c r="C45" s="27" t="s">
        <v>107</v>
      </c>
      <c r="D45" s="19">
        <f t="shared" si="0"/>
        <v>0</v>
      </c>
      <c r="E45" s="19">
        <f t="shared" si="1"/>
        <v>-0.99914606741573031</v>
      </c>
      <c r="F45" s="19">
        <f t="shared" si="2"/>
        <v>-0.45869658119658119</v>
      </c>
      <c r="G45" s="19">
        <f t="shared" si="3"/>
        <v>-0.54478717948717525</v>
      </c>
      <c r="H45" s="12">
        <v>4250</v>
      </c>
      <c r="I45" s="12">
        <v>4450</v>
      </c>
      <c r="J45" s="12">
        <v>23400</v>
      </c>
      <c r="K45" s="12">
        <v>15600</v>
      </c>
      <c r="L45" s="58">
        <f>VLOOKUP(A45,'תפוקה חודשית מול אשתקד'!A:K,8,0)</f>
        <v>0</v>
      </c>
      <c r="M45" s="58">
        <f>VLOOKUP(A45,'תפוקה חודשית מול אשתקד'!A:K,9,0)</f>
        <v>3.8000000000001819</v>
      </c>
      <c r="N45" s="58">
        <f>VLOOKUP(A45,'תפוקה חודשית מול אשתקד'!A:K,10,0)</f>
        <v>12666.5</v>
      </c>
      <c r="O45" s="58">
        <f>VLOOKUP(A45,'תפוקה חודשית מול אשתקד'!A:K,11,0)</f>
        <v>7101.3200000000652</v>
      </c>
    </row>
    <row r="46" spans="1:15" ht="31.2" x14ac:dyDescent="0.25">
      <c r="A46" s="26" t="s">
        <v>36</v>
      </c>
      <c r="B46" s="26" t="s">
        <v>55</v>
      </c>
      <c r="C46" s="27" t="s">
        <v>107</v>
      </c>
      <c r="D46" s="19">
        <f t="shared" si="0"/>
        <v>0</v>
      </c>
      <c r="E46" s="19">
        <f t="shared" si="1"/>
        <v>0</v>
      </c>
      <c r="F46" s="19">
        <f t="shared" si="2"/>
        <v>0</v>
      </c>
      <c r="G46" s="19">
        <f t="shared" si="3"/>
        <v>0</v>
      </c>
      <c r="H46" s="12">
        <v>0</v>
      </c>
      <c r="I46" s="12">
        <v>0</v>
      </c>
      <c r="J46" s="12">
        <v>0</v>
      </c>
      <c r="K46" s="12">
        <v>0</v>
      </c>
      <c r="L46" s="58">
        <f>VLOOKUP(A46,'תפוקה חודשית מול אשתקד'!A:K,8,0)</f>
        <v>0</v>
      </c>
      <c r="M46" s="58">
        <f>VLOOKUP(A46,'תפוקה חודשית מול אשתקד'!A:K,9,0)</f>
        <v>0</v>
      </c>
      <c r="N46" s="58">
        <f>VLOOKUP(A46,'תפוקה חודשית מול אשתקד'!A:K,10,0)</f>
        <v>0</v>
      </c>
      <c r="O46" s="58">
        <f>VLOOKUP(A46,'תפוקה חודשית מול אשתקד'!A:K,11,0)</f>
        <v>0</v>
      </c>
    </row>
    <row r="47" spans="1:15" ht="31.2" x14ac:dyDescent="0.25">
      <c r="A47" s="26" t="s">
        <v>94</v>
      </c>
      <c r="B47" s="26" t="s">
        <v>55</v>
      </c>
      <c r="C47" s="27" t="s">
        <v>107</v>
      </c>
      <c r="D47" s="19">
        <f t="shared" si="0"/>
        <v>0</v>
      </c>
      <c r="E47" s="19">
        <f t="shared" si="1"/>
        <v>0</v>
      </c>
      <c r="F47" s="19">
        <f t="shared" si="2"/>
        <v>0</v>
      </c>
      <c r="G47" s="19">
        <f t="shared" si="3"/>
        <v>0</v>
      </c>
      <c r="H47" s="12">
        <v>0</v>
      </c>
      <c r="I47" s="12">
        <v>0</v>
      </c>
      <c r="J47" s="12">
        <v>0</v>
      </c>
      <c r="K47" s="12">
        <v>0</v>
      </c>
      <c r="L47" s="58">
        <f>VLOOKUP(A47,'תפוקה חודשית מול אשתקד'!A:K,8,0)</f>
        <v>0</v>
      </c>
      <c r="M47" s="58">
        <f>VLOOKUP(A47,'תפוקה חודשית מול אשתקד'!A:K,9,0)</f>
        <v>0</v>
      </c>
      <c r="N47" s="58">
        <f>VLOOKUP(A47,'תפוקה חודשית מול אשתקד'!A:K,10,0)</f>
        <v>0</v>
      </c>
      <c r="O47" s="58">
        <f>VLOOKUP(A47,'תפוקה חודשית מול אשתקד'!A:K,11,0)</f>
        <v>0</v>
      </c>
    </row>
    <row r="48" spans="1:15" ht="15.6" x14ac:dyDescent="0.25">
      <c r="A48" s="28" t="s">
        <v>85</v>
      </c>
      <c r="B48" s="26" t="s">
        <v>56</v>
      </c>
      <c r="C48" s="27" t="s">
        <v>107</v>
      </c>
      <c r="D48" s="19">
        <f t="shared" si="0"/>
        <v>0</v>
      </c>
      <c r="E48" s="19">
        <f t="shared" si="1"/>
        <v>-0.98652067415730349</v>
      </c>
      <c r="F48" s="19">
        <f t="shared" si="2"/>
        <v>0</v>
      </c>
      <c r="G48" s="19">
        <f t="shared" si="3"/>
        <v>0</v>
      </c>
      <c r="H48" s="12">
        <v>4250</v>
      </c>
      <c r="I48" s="12">
        <v>4450</v>
      </c>
      <c r="J48" s="12">
        <v>39000</v>
      </c>
      <c r="K48" s="12">
        <v>15600</v>
      </c>
      <c r="L48" s="58">
        <f>VLOOKUP(A48,'תפוקה חודשית מול אשתקד'!A:K,8,0)</f>
        <v>0</v>
      </c>
      <c r="M48" s="58">
        <f>VLOOKUP(A48,'תפוקה חודשית מול אשתקד'!A:K,9,0)</f>
        <v>59.982999999999265</v>
      </c>
      <c r="N48" s="58">
        <f>VLOOKUP(A48,'תפוקה חודשית מול אשתקד'!A:K,10,0)</f>
        <v>0</v>
      </c>
      <c r="O48" s="58">
        <f>VLOOKUP(A48,'תפוקה חודשית מול אשתקד'!A:K,11,0)</f>
        <v>0</v>
      </c>
    </row>
    <row r="49" spans="1:15" ht="15.6" x14ac:dyDescent="0.25">
      <c r="A49" s="28" t="s">
        <v>87</v>
      </c>
      <c r="B49" s="26" t="s">
        <v>56</v>
      </c>
      <c r="C49" s="27" t="s">
        <v>107</v>
      </c>
      <c r="D49" s="19">
        <f t="shared" si="0"/>
        <v>0</v>
      </c>
      <c r="E49" s="19">
        <f t="shared" si="1"/>
        <v>0</v>
      </c>
      <c r="F49" s="19">
        <f t="shared" si="2"/>
        <v>-0.93826282051282051</v>
      </c>
      <c r="G49" s="19">
        <f t="shared" si="3"/>
        <v>0</v>
      </c>
      <c r="H49" s="12">
        <v>8500</v>
      </c>
      <c r="I49" s="12">
        <v>4450</v>
      </c>
      <c r="J49" s="12">
        <v>156000</v>
      </c>
      <c r="K49" s="12">
        <v>39000</v>
      </c>
      <c r="L49" s="58">
        <f>VLOOKUP(A49,'תפוקה חודשית מול אשתקד'!A:K,8,0)</f>
        <v>0</v>
      </c>
      <c r="M49" s="58">
        <f>VLOOKUP(A49,'תפוקה חודשית מול אשתקד'!A:K,9,0)</f>
        <v>0</v>
      </c>
      <c r="N49" s="58">
        <f>VLOOKUP(A49,'תפוקה חודשית מול אשתקד'!A:K,10,0)</f>
        <v>9631</v>
      </c>
      <c r="O49" s="58">
        <f>VLOOKUP(A49,'תפוקה חודשית מול אשתקד'!A:K,11,0)</f>
        <v>0</v>
      </c>
    </row>
    <row r="50" spans="1:15" ht="15.6" x14ac:dyDescent="0.25">
      <c r="A50" s="26" t="s">
        <v>97</v>
      </c>
      <c r="B50" s="26" t="s">
        <v>56</v>
      </c>
      <c r="C50" s="26" t="s">
        <v>107</v>
      </c>
      <c r="D50" s="19">
        <f t="shared" si="0"/>
        <v>1</v>
      </c>
      <c r="E50" s="19">
        <f t="shared" si="1"/>
        <v>1</v>
      </c>
      <c r="F50" s="19">
        <f t="shared" si="2"/>
        <v>1</v>
      </c>
      <c r="G50" s="19">
        <f t="shared" si="3"/>
        <v>1</v>
      </c>
      <c r="H50" s="12">
        <v>0</v>
      </c>
      <c r="I50" s="12">
        <v>0</v>
      </c>
      <c r="J50" s="12">
        <v>0</v>
      </c>
      <c r="K50" s="12">
        <v>0</v>
      </c>
      <c r="L50" s="58">
        <f>VLOOKUP(A50,'תפוקה חודשית מול אשתקד'!A:K,8,0)</f>
        <v>27.149839999998221</v>
      </c>
      <c r="M50" s="58">
        <f>VLOOKUP(A50,'תפוקה חודשית מול אשתקד'!A:K,9,0)</f>
        <v>69.160000000000082</v>
      </c>
      <c r="N50" s="58">
        <f>VLOOKUP(A50,'תפוקה חודשית מול אשתקד'!A:K,10,0)</f>
        <v>502142.41000000003</v>
      </c>
      <c r="O50" s="58">
        <f>VLOOKUP(A50,'תפוקה חודשית מול אשתקד'!A:K,11,0)</f>
        <v>8253</v>
      </c>
    </row>
    <row r="51" spans="1:15" ht="15.6" x14ac:dyDescent="0.25">
      <c r="A51" s="26" t="s">
        <v>39</v>
      </c>
      <c r="B51" s="26" t="s">
        <v>56</v>
      </c>
      <c r="C51" s="26" t="s">
        <v>107</v>
      </c>
      <c r="D51" s="19">
        <f t="shared" si="0"/>
        <v>1</v>
      </c>
      <c r="E51" s="19">
        <f t="shared" si="1"/>
        <v>1</v>
      </c>
      <c r="F51" s="19">
        <f t="shared" si="2"/>
        <v>0</v>
      </c>
      <c r="G51" s="19">
        <f t="shared" si="3"/>
        <v>1</v>
      </c>
      <c r="H51" s="12">
        <v>0</v>
      </c>
      <c r="I51" s="12">
        <v>0</v>
      </c>
      <c r="J51" s="12">
        <v>0</v>
      </c>
      <c r="K51" s="12">
        <v>0</v>
      </c>
      <c r="L51" s="58">
        <f>VLOOKUP(A51,'תפוקה חודשית מול אשתקד'!A:K,8,0)</f>
        <v>97113.700000000012</v>
      </c>
      <c r="M51" s="58">
        <f>VLOOKUP(A51,'תפוקה חודשית מול אשתקד'!A:K,9,0)</f>
        <v>8540.2299999999977</v>
      </c>
      <c r="N51" s="58">
        <f>VLOOKUP(A51,'תפוקה חודשית מול אשתקד'!A:K,10,0)</f>
        <v>0</v>
      </c>
      <c r="O51" s="58">
        <f>VLOOKUP(A51,'תפוקה חודשית מול אשתקד'!A:K,11,0)</f>
        <v>1505.179999999993</v>
      </c>
    </row>
    <row r="52" spans="1:15" ht="15.6" x14ac:dyDescent="0.25">
      <c r="A52" s="26" t="s">
        <v>91</v>
      </c>
      <c r="B52" s="26" t="s">
        <v>56</v>
      </c>
      <c r="C52" s="26" t="s">
        <v>107</v>
      </c>
      <c r="D52" s="19">
        <f t="shared" si="0"/>
        <v>1</v>
      </c>
      <c r="E52" s="19">
        <f t="shared" si="1"/>
        <v>1</v>
      </c>
      <c r="F52" s="19">
        <f t="shared" si="2"/>
        <v>1</v>
      </c>
      <c r="G52" s="19">
        <f t="shared" si="3"/>
        <v>1</v>
      </c>
      <c r="H52" s="12">
        <v>0</v>
      </c>
      <c r="I52" s="12">
        <v>0</v>
      </c>
      <c r="J52" s="12">
        <v>0</v>
      </c>
      <c r="K52" s="12">
        <v>0</v>
      </c>
      <c r="L52" s="58">
        <f>VLOOKUP(A52,'תפוקה חודשית מול אשתקד'!A:K,8,0)</f>
        <v>2640.3838800000085</v>
      </c>
      <c r="M52" s="58">
        <f>VLOOKUP(A52,'תפוקה חודשית מול אשתקד'!A:K,9,0)</f>
        <v>796.42599999999948</v>
      </c>
      <c r="N52" s="58">
        <f>VLOOKUP(A52,'תפוקה חודשית מול אשתקד'!A:K,10,0)</f>
        <v>-28318.630000000005</v>
      </c>
      <c r="O52" s="58">
        <f>VLOOKUP(A52,'תפוקה חודשית מול אשתקד'!A:K,11,0)</f>
        <v>2195.1199999998789</v>
      </c>
    </row>
    <row r="53" spans="1:15" ht="15.6" x14ac:dyDescent="0.25">
      <c r="A53" s="26" t="s">
        <v>41</v>
      </c>
      <c r="B53" s="26" t="s">
        <v>56</v>
      </c>
      <c r="C53" s="26" t="s">
        <v>107</v>
      </c>
      <c r="D53" s="19">
        <f t="shared" si="0"/>
        <v>1</v>
      </c>
      <c r="E53" s="19">
        <f t="shared" si="1"/>
        <v>1</v>
      </c>
      <c r="F53" s="19">
        <f t="shared" si="2"/>
        <v>0</v>
      </c>
      <c r="G53" s="19">
        <f t="shared" si="3"/>
        <v>0</v>
      </c>
      <c r="H53" s="12">
        <v>0</v>
      </c>
      <c r="I53" s="12">
        <v>0</v>
      </c>
      <c r="J53" s="12">
        <v>0</v>
      </c>
      <c r="K53" s="12">
        <v>0</v>
      </c>
      <c r="L53" s="58">
        <f>VLOOKUP(A53,'תפוקה חודשית מול אשתקד'!A:K,8,0)</f>
        <v>71</v>
      </c>
      <c r="M53" s="58">
        <f>VLOOKUP(A53,'תפוקה חודשית מול אשתקד'!A:K,9,0)</f>
        <v>9.2999999999999545</v>
      </c>
      <c r="N53" s="58">
        <f>VLOOKUP(A53,'תפוקה חודשית מול אשתקד'!A:K,10,0)</f>
        <v>0</v>
      </c>
      <c r="O53" s="58">
        <f>VLOOKUP(A53,'תפוקה חודשית מול אשתקד'!A:K,11,0)</f>
        <v>0</v>
      </c>
    </row>
    <row r="54" spans="1:15" ht="15.6" x14ac:dyDescent="0.25">
      <c r="A54" s="26" t="s">
        <v>139</v>
      </c>
      <c r="B54" s="26" t="s">
        <v>108</v>
      </c>
      <c r="C54" s="27" t="s">
        <v>107</v>
      </c>
      <c r="D54" s="19">
        <f t="shared" si="0"/>
        <v>0</v>
      </c>
      <c r="E54" s="19">
        <f t="shared" si="1"/>
        <v>0</v>
      </c>
      <c r="F54" s="19">
        <f t="shared" si="2"/>
        <v>0</v>
      </c>
      <c r="G54" s="19">
        <f t="shared" si="3"/>
        <v>0</v>
      </c>
      <c r="H54" s="12"/>
      <c r="I54" s="12"/>
      <c r="J54" s="12"/>
      <c r="K54" s="12"/>
      <c r="L54" s="58">
        <f>VLOOKUP(A54,'תפוקה חודשית מול אשתקד'!A:K,8,0)</f>
        <v>0</v>
      </c>
      <c r="M54" s="58">
        <f>VLOOKUP(A54,'תפוקה חודשית מול אשתקד'!A:K,9,0)</f>
        <v>0</v>
      </c>
      <c r="N54" s="58">
        <f>VLOOKUP(A54,'תפוקה חודשית מול אשתקד'!A:K,10,0)</f>
        <v>0</v>
      </c>
      <c r="O54" s="58">
        <f>VLOOKUP(A54,'תפוקה חודשית מול אשתקד'!A:K,11,0)</f>
        <v>0</v>
      </c>
    </row>
    <row r="55" spans="1:15" ht="15.6" x14ac:dyDescent="0.25">
      <c r="A55" s="26" t="s">
        <v>88</v>
      </c>
      <c r="B55" s="26" t="s">
        <v>56</v>
      </c>
      <c r="C55" s="26" t="s">
        <v>107</v>
      </c>
      <c r="D55" s="19">
        <f t="shared" si="0"/>
        <v>0</v>
      </c>
      <c r="E55" s="19">
        <f t="shared" si="1"/>
        <v>1</v>
      </c>
      <c r="F55" s="19">
        <f t="shared" si="2"/>
        <v>0</v>
      </c>
      <c r="G55" s="19">
        <f t="shared" si="3"/>
        <v>1</v>
      </c>
      <c r="H55" s="12">
        <v>0</v>
      </c>
      <c r="I55" s="12">
        <v>0</v>
      </c>
      <c r="J55" s="12">
        <v>0</v>
      </c>
      <c r="K55" s="12">
        <v>0</v>
      </c>
      <c r="L55" s="58">
        <f>VLOOKUP(A55,'תפוקה חודשית מול אשתקד'!A:K,8,0)</f>
        <v>0</v>
      </c>
      <c r="M55" s="58">
        <f>VLOOKUP(A55,'תפוקה חודשית מול אשתקד'!A:K,9,0)</f>
        <v>34.929999999999836</v>
      </c>
      <c r="N55" s="58">
        <f>VLOOKUP(A55,'תפוקה חודשית מול אשתקד'!A:K,10,0)</f>
        <v>0</v>
      </c>
      <c r="O55" s="58">
        <f>VLOOKUP(A55,'תפוקה חודשית מול אשתקד'!A:K,11,0)</f>
        <v>-22</v>
      </c>
    </row>
    <row r="56" spans="1:15" ht="21.6" thickBot="1" x14ac:dyDescent="0.3">
      <c r="A56" s="108" t="s">
        <v>116</v>
      </c>
      <c r="B56" s="102"/>
      <c r="C56" s="99"/>
      <c r="D56" s="19">
        <f t="shared" ref="D56" si="6">IF(L56=0,0%,IF(H56=0,100%,L56/H56-1))</f>
        <v>-0.15234833185978425</v>
      </c>
      <c r="E56" s="19">
        <f t="shared" ref="E56" si="7">IF(M56=0,0%,IF(I56=0,100%,M56/I56-1))</f>
        <v>-0.41481863491351001</v>
      </c>
      <c r="F56" s="19">
        <f t="shared" ref="F56" si="8">IF(N56=0,0%,IF(J56=0,100%,N56/J56-1))</f>
        <v>-0.61681592989171863</v>
      </c>
      <c r="G56" s="19">
        <f t="shared" ref="G56" si="9">IF(O56=0,0%,IF(K56=0,100%,O56/K56-1))</f>
        <v>-0.35334091009133972</v>
      </c>
      <c r="H56" s="128">
        <f>SUM(H23:H55)</f>
        <v>930750</v>
      </c>
      <c r="I56" s="128">
        <f t="shared" ref="I56:O56" si="10">SUM(I23:I55)</f>
        <v>178890</v>
      </c>
      <c r="J56" s="128">
        <f t="shared" si="10"/>
        <v>1911000</v>
      </c>
      <c r="K56" s="128">
        <f t="shared" si="10"/>
        <v>1817400</v>
      </c>
      <c r="L56" s="128">
        <f t="shared" si="10"/>
        <v>788951.79012150585</v>
      </c>
      <c r="M56" s="128">
        <f t="shared" si="10"/>
        <v>104683.0944003222</v>
      </c>
      <c r="N56" s="128">
        <f t="shared" si="10"/>
        <v>732264.7579769257</v>
      </c>
      <c r="O56" s="128">
        <f t="shared" si="10"/>
        <v>1175238.2299999993</v>
      </c>
    </row>
    <row r="57" spans="1:15" ht="15.6" x14ac:dyDescent="0.25">
      <c r="A57" s="30" t="s">
        <v>33</v>
      </c>
      <c r="B57" s="26" t="s">
        <v>115</v>
      </c>
      <c r="C57" s="26" t="s">
        <v>107</v>
      </c>
      <c r="D57" s="19">
        <f t="shared" ref="D57:G65" si="11">IF(L57=0,0%,IF(H57=0,100%,L57/H57-1))</f>
        <v>-1.0215981176470588</v>
      </c>
      <c r="E57" s="19">
        <f t="shared" si="11"/>
        <v>-0.62572447726765379</v>
      </c>
      <c r="F57" s="19">
        <f t="shared" si="11"/>
        <v>-1.1144528819629309</v>
      </c>
      <c r="G57" s="19">
        <f t="shared" si="11"/>
        <v>0</v>
      </c>
      <c r="H57" s="12">
        <v>42500</v>
      </c>
      <c r="I57" s="12">
        <v>7120</v>
      </c>
      <c r="J57" s="12">
        <v>546000</v>
      </c>
      <c r="K57" s="12">
        <v>78000</v>
      </c>
      <c r="L57" s="58">
        <f>VLOOKUP(A57,'תפוקה חודשית מול אשתקד'!A:K,8,0)</f>
        <v>-917.91999999999825</v>
      </c>
      <c r="M57" s="58">
        <f>VLOOKUP(A57,'תפוקה חודשית מול אשתקד'!A:K,9,0)</f>
        <v>2664.8417218543045</v>
      </c>
      <c r="N57" s="58">
        <f>VLOOKUP(A57,'תפוקה חודשית מול אשתקד'!A:K,10,0)</f>
        <v>-62491.273551760241</v>
      </c>
      <c r="O57" s="58">
        <f>VLOOKUP(A57,'תפוקה חודשית מול אשתקד'!A:K,11,0)</f>
        <v>0</v>
      </c>
    </row>
    <row r="58" spans="1:15" ht="15.6" x14ac:dyDescent="0.25">
      <c r="A58" s="26" t="s">
        <v>37</v>
      </c>
      <c r="B58" s="26" t="s">
        <v>115</v>
      </c>
      <c r="C58" s="27" t="s">
        <v>107</v>
      </c>
      <c r="D58" s="19">
        <f t="shared" si="11"/>
        <v>-0.67939985294117666</v>
      </c>
      <c r="E58" s="19">
        <f t="shared" si="11"/>
        <v>-0.4170271268057788</v>
      </c>
      <c r="F58" s="19">
        <f t="shared" si="11"/>
        <v>-0.7853044871794872</v>
      </c>
      <c r="G58" s="19">
        <f t="shared" si="11"/>
        <v>-0.89392932692307692</v>
      </c>
      <c r="H58" s="12">
        <v>340000</v>
      </c>
      <c r="I58" s="12">
        <v>31150</v>
      </c>
      <c r="J58" s="12">
        <v>312000</v>
      </c>
      <c r="K58" s="12">
        <v>312000</v>
      </c>
      <c r="L58" s="58">
        <f>VLOOKUP(A58,'תפוקה חודשית מול אשתקד'!A:K,8,0)</f>
        <v>109004.04999999993</v>
      </c>
      <c r="M58" s="58">
        <f>VLOOKUP(A58,'תפוקה חודשית מול אשתקד'!A:K,9,0)</f>
        <v>18159.604999999989</v>
      </c>
      <c r="N58" s="58">
        <f>VLOOKUP(A58,'תפוקה חודשית מול אשתקד'!A:K,10,0)</f>
        <v>66985</v>
      </c>
      <c r="O58" s="58">
        <f>VLOOKUP(A58,'תפוקה חודשית מול אשתקד'!A:K,11,0)</f>
        <v>33094.049999999988</v>
      </c>
    </row>
    <row r="59" spans="1:15" ht="15.6" x14ac:dyDescent="0.25">
      <c r="A59" s="26" t="s">
        <v>35</v>
      </c>
      <c r="B59" s="26" t="s">
        <v>115</v>
      </c>
      <c r="C59" s="27" t="s">
        <v>107</v>
      </c>
      <c r="D59" s="19">
        <f t="shared" si="11"/>
        <v>1</v>
      </c>
      <c r="E59" s="19">
        <f t="shared" si="11"/>
        <v>0</v>
      </c>
      <c r="F59" s="19">
        <f t="shared" si="11"/>
        <v>0</v>
      </c>
      <c r="G59" s="19">
        <f t="shared" si="11"/>
        <v>0</v>
      </c>
      <c r="H59" s="12">
        <v>0</v>
      </c>
      <c r="I59" s="12">
        <v>3560</v>
      </c>
      <c r="J59" s="12">
        <v>0</v>
      </c>
      <c r="K59" s="12">
        <v>0</v>
      </c>
      <c r="L59" s="58">
        <f>VLOOKUP(A59,'תפוקה חודשית מול אשתקד'!A:K,8,0)</f>
        <v>129.94000000000233</v>
      </c>
      <c r="M59" s="58">
        <f>VLOOKUP(A59,'תפוקה חודשית מול אשתקד'!A:K,9,0)</f>
        <v>0</v>
      </c>
      <c r="N59" s="58">
        <f>VLOOKUP(A59,'תפוקה חודשית מול אשתקד'!A:K,10,0)</f>
        <v>0</v>
      </c>
      <c r="O59" s="58">
        <f>VLOOKUP(A59,'תפוקה חודשית מול אשתקד'!A:K,11,0)</f>
        <v>0</v>
      </c>
    </row>
    <row r="60" spans="1:15" ht="15.6" x14ac:dyDescent="0.25">
      <c r="A60" s="27" t="s">
        <v>86</v>
      </c>
      <c r="B60" s="27" t="s">
        <v>115</v>
      </c>
      <c r="C60" s="27" t="s">
        <v>107</v>
      </c>
      <c r="D60" s="19">
        <f t="shared" si="11"/>
        <v>-2.5403720475584159</v>
      </c>
      <c r="E60" s="19">
        <f t="shared" si="11"/>
        <v>-3.8399644742754679</v>
      </c>
      <c r="F60" s="19">
        <f t="shared" si="11"/>
        <v>0.6103767455857485</v>
      </c>
      <c r="G60" s="19">
        <f t="shared" si="11"/>
        <v>-0.34628042307692308</v>
      </c>
      <c r="H60" s="12">
        <v>85000</v>
      </c>
      <c r="I60" s="12">
        <v>17800</v>
      </c>
      <c r="J60" s="12">
        <v>195000</v>
      </c>
      <c r="K60" s="12">
        <v>780000</v>
      </c>
      <c r="L60" s="58">
        <f>VLOOKUP(A60,'תפוקה חודשית מול אשתקד'!A:K,8,0)</f>
        <v>-130931.62404246535</v>
      </c>
      <c r="M60" s="58">
        <f>VLOOKUP(A60,'תפוקה חודשית מול אשתקד'!A:K,9,0)</f>
        <v>-50551.367642103331</v>
      </c>
      <c r="N60" s="58">
        <f>VLOOKUP(A60,'תפוקה חודשית מול אשתקד'!A:K,10,0)</f>
        <v>314023.46538922098</v>
      </c>
      <c r="O60" s="58">
        <f>VLOOKUP(A60,'תפוקה חודשית מול אשתקד'!A:K,11,0)</f>
        <v>509901.27</v>
      </c>
    </row>
    <row r="61" spans="1:15" ht="15.6" x14ac:dyDescent="0.25">
      <c r="A61" s="26" t="s">
        <v>84</v>
      </c>
      <c r="B61" s="26" t="s">
        <v>115</v>
      </c>
      <c r="C61" s="26" t="s">
        <v>107</v>
      </c>
      <c r="D61" s="19">
        <f t="shared" si="11"/>
        <v>0.17741514695924021</v>
      </c>
      <c r="E61" s="19">
        <f t="shared" si="11"/>
        <v>-0.59580758202247153</v>
      </c>
      <c r="F61" s="19">
        <f t="shared" si="11"/>
        <v>1.4103337435897414</v>
      </c>
      <c r="G61" s="19">
        <f t="shared" si="11"/>
        <v>4.6699841880341895</v>
      </c>
      <c r="H61" s="12">
        <v>85000</v>
      </c>
      <c r="I61" s="12">
        <v>8900</v>
      </c>
      <c r="J61" s="12">
        <v>195000</v>
      </c>
      <c r="K61" s="12">
        <v>117000</v>
      </c>
      <c r="L61" s="58">
        <f>VLOOKUP(A61,'תפוקה חודשית מול אשתקד'!A:K,8,0)</f>
        <v>100080.28749153542</v>
      </c>
      <c r="M61" s="58">
        <f>VLOOKUP(A61,'תפוקה חודשית מול אשתקד'!A:K,9,0)</f>
        <v>3597.3125200000031</v>
      </c>
      <c r="N61" s="58">
        <f>VLOOKUP(A61,'תפוקה חודשית מול אשתקד'!A:K,10,0)</f>
        <v>470015.07999999961</v>
      </c>
      <c r="O61" s="58">
        <f>VLOOKUP(A61,'תפוקה חודשית מול אשתקד'!A:K,11,0)</f>
        <v>663388.15000000014</v>
      </c>
    </row>
    <row r="62" spans="1:15" ht="15.6" x14ac:dyDescent="0.25">
      <c r="A62" s="192" t="s">
        <v>130</v>
      </c>
      <c r="B62" s="26" t="s">
        <v>115</v>
      </c>
      <c r="C62" s="27" t="s">
        <v>107</v>
      </c>
      <c r="D62" s="19">
        <f t="shared" si="11"/>
        <v>0</v>
      </c>
      <c r="E62" s="19">
        <f t="shared" si="11"/>
        <v>0</v>
      </c>
      <c r="F62" s="19">
        <f t="shared" si="11"/>
        <v>0</v>
      </c>
      <c r="G62" s="19">
        <f t="shared" si="11"/>
        <v>0</v>
      </c>
      <c r="H62" s="12">
        <v>85000</v>
      </c>
      <c r="I62" s="12">
        <v>13350</v>
      </c>
      <c r="J62" s="12">
        <v>390000</v>
      </c>
      <c r="K62" s="12">
        <v>156000</v>
      </c>
      <c r="L62" s="58">
        <f>VLOOKUP(A62,'תפוקה חודשית מול אשתקד'!A:K,8,0)</f>
        <v>0</v>
      </c>
      <c r="M62" s="58">
        <f>VLOOKUP(A62,'תפוקה חודשית מול אשתקד'!A:K,9,0)</f>
        <v>0</v>
      </c>
      <c r="N62" s="58">
        <f>VLOOKUP(A62,'תפוקה חודשית מול אשתקד'!A:K,10,0)</f>
        <v>0</v>
      </c>
      <c r="O62" s="58">
        <f>VLOOKUP(A62,'תפוקה חודשית מול אשתקד'!A:K,11,0)</f>
        <v>0</v>
      </c>
    </row>
    <row r="63" spans="1:15" ht="15.6" x14ac:dyDescent="0.25">
      <c r="A63" s="107" t="s">
        <v>99</v>
      </c>
      <c r="B63" s="26" t="s">
        <v>115</v>
      </c>
      <c r="C63" s="27" t="s">
        <v>107</v>
      </c>
      <c r="D63" s="19">
        <f t="shared" si="11"/>
        <v>-1.0510470588235303</v>
      </c>
      <c r="E63" s="19">
        <f t="shared" si="11"/>
        <v>-1.9620168539325844</v>
      </c>
      <c r="F63" s="19">
        <f t="shared" si="11"/>
        <v>-0.75802923076923079</v>
      </c>
      <c r="G63" s="19">
        <f t="shared" si="11"/>
        <v>3.0516585470085476</v>
      </c>
      <c r="H63" s="12">
        <v>8500</v>
      </c>
      <c r="I63" s="12">
        <v>8900</v>
      </c>
      <c r="J63" s="12">
        <v>156000</v>
      </c>
      <c r="K63" s="12">
        <v>117000</v>
      </c>
      <c r="L63" s="58">
        <f>VLOOKUP(A63,'תפוקה חודשית מול אשתקד'!A:K,8,0)</f>
        <v>-433.90000000000873</v>
      </c>
      <c r="M63" s="58">
        <f>VLOOKUP(A63,'תפוקה חודשית מול אשתקד'!A:K,9,0)</f>
        <v>-8561.9500000000007</v>
      </c>
      <c r="N63" s="58">
        <f>VLOOKUP(A63,'תפוקה חודשית מול אשתקד'!A:K,10,0)</f>
        <v>37747.440000000002</v>
      </c>
      <c r="O63" s="58">
        <f>VLOOKUP(A63,'תפוקה חודשית מול אשתקד'!A:K,11,0)</f>
        <v>474044.05000000005</v>
      </c>
    </row>
    <row r="64" spans="1:15" ht="15.6" x14ac:dyDescent="0.25">
      <c r="A64" s="197" t="s">
        <v>141</v>
      </c>
      <c r="B64" s="26" t="s">
        <v>115</v>
      </c>
      <c r="C64" s="27" t="s">
        <v>107</v>
      </c>
      <c r="D64" s="19">
        <f t="shared" si="11"/>
        <v>0</v>
      </c>
      <c r="E64" s="19">
        <f t="shared" si="11"/>
        <v>0</v>
      </c>
      <c r="F64" s="19">
        <f t="shared" si="11"/>
        <v>0</v>
      </c>
      <c r="G64" s="19">
        <f t="shared" si="11"/>
        <v>0</v>
      </c>
      <c r="H64" s="12">
        <v>8500</v>
      </c>
      <c r="I64" s="12">
        <v>8900</v>
      </c>
      <c r="J64" s="12">
        <v>156000</v>
      </c>
      <c r="K64" s="12">
        <v>117000</v>
      </c>
      <c r="L64" s="58">
        <f>VLOOKUP(A64,'תפוקה חודשית מול אשתקד'!A:K,8,0)</f>
        <v>0</v>
      </c>
      <c r="M64" s="58">
        <f>VLOOKUP(A64,'תפוקה חודשית מול אשתקד'!A:K,9,0)</f>
        <v>0</v>
      </c>
      <c r="N64" s="58">
        <f>VLOOKUP(A64,'תפוקה חודשית מול אשתקד'!A:K,10,0)</f>
        <v>0</v>
      </c>
      <c r="O64" s="58">
        <f>VLOOKUP(A64,'תפוקה חודשית מול אשתקד'!A:K,11,0)</f>
        <v>0</v>
      </c>
    </row>
    <row r="65" spans="1:15" ht="15.6" x14ac:dyDescent="0.25">
      <c r="A65" s="30" t="s">
        <v>16</v>
      </c>
      <c r="B65" s="26" t="s">
        <v>115</v>
      </c>
      <c r="C65" s="27" t="s">
        <v>107</v>
      </c>
      <c r="D65" s="19">
        <f t="shared" si="11"/>
        <v>0</v>
      </c>
      <c r="E65" s="19">
        <f t="shared" si="11"/>
        <v>0</v>
      </c>
      <c r="F65" s="19">
        <f t="shared" si="11"/>
        <v>0</v>
      </c>
      <c r="G65" s="19">
        <f t="shared" si="11"/>
        <v>0</v>
      </c>
      <c r="H65" s="12">
        <v>0</v>
      </c>
      <c r="I65" s="12">
        <v>8900</v>
      </c>
      <c r="J65" s="12">
        <v>0</v>
      </c>
      <c r="K65" s="12">
        <v>0</v>
      </c>
      <c r="L65" s="58">
        <f>VLOOKUP(A65,'תפוקה חודשית מול אשתקד'!A:K,8,0)</f>
        <v>0</v>
      </c>
      <c r="M65" s="58">
        <f>VLOOKUP(A65,'תפוקה חודשית מול אשתקד'!A:K,9,0)</f>
        <v>0</v>
      </c>
      <c r="N65" s="58">
        <f>VLOOKUP(A65,'תפוקה חודשית מול אשתקד'!A:K,10,0)</f>
        <v>0</v>
      </c>
      <c r="O65" s="58">
        <f>VLOOKUP(A65,'תפוקה חודשית מול אשתקד'!A:K,11,0)</f>
        <v>0</v>
      </c>
    </row>
    <row r="66" spans="1:15" ht="21.6" thickBot="1" x14ac:dyDescent="0.3">
      <c r="A66" s="108" t="s">
        <v>120</v>
      </c>
      <c r="B66" s="102"/>
      <c r="C66" s="99"/>
      <c r="D66" s="19">
        <f t="shared" si="0"/>
        <v>-0.88245861963472882</v>
      </c>
      <c r="E66" s="19">
        <f t="shared" si="1"/>
        <v>-1.3195022877164213</v>
      </c>
      <c r="F66" s="19">
        <f t="shared" si="2"/>
        <v>-0.57626681444232808</v>
      </c>
      <c r="G66" s="19">
        <f t="shared" si="3"/>
        <v>2.0438401908171588E-3</v>
      </c>
      <c r="H66" s="128">
        <f>SUM(H57:H65)</f>
        <v>654500</v>
      </c>
      <c r="I66" s="128">
        <f t="shared" ref="I66:O66" si="12">SUM(I57:I65)</f>
        <v>108580</v>
      </c>
      <c r="J66" s="128">
        <f t="shared" si="12"/>
        <v>1950000</v>
      </c>
      <c r="K66" s="128">
        <f t="shared" si="12"/>
        <v>1677000</v>
      </c>
      <c r="L66" s="128">
        <f t="shared" si="12"/>
        <v>76930.833449069993</v>
      </c>
      <c r="M66" s="128">
        <f t="shared" si="12"/>
        <v>-34691.558400249036</v>
      </c>
      <c r="N66" s="128">
        <f t="shared" si="12"/>
        <v>826279.71183746029</v>
      </c>
      <c r="O66" s="128">
        <f t="shared" si="12"/>
        <v>1680427.5200000003</v>
      </c>
    </row>
    <row r="67" spans="1:15" ht="15.6" x14ac:dyDescent="0.25">
      <c r="A67" s="26" t="s">
        <v>77</v>
      </c>
      <c r="B67" s="26" t="s">
        <v>108</v>
      </c>
      <c r="C67" s="26" t="s">
        <v>102</v>
      </c>
      <c r="D67" s="19">
        <f t="shared" si="0"/>
        <v>-0.70779388782352903</v>
      </c>
      <c r="E67" s="19">
        <f t="shared" si="1"/>
        <v>-0.35413932097378265</v>
      </c>
      <c r="F67" s="19">
        <f t="shared" si="2"/>
        <v>8.7550089743589465E-2</v>
      </c>
      <c r="G67" s="19">
        <f t="shared" si="3"/>
        <v>-0.19602233333333319</v>
      </c>
      <c r="H67" s="12">
        <v>85000</v>
      </c>
      <c r="I67" s="12">
        <v>13350</v>
      </c>
      <c r="J67" s="12">
        <v>780000</v>
      </c>
      <c r="K67" s="12">
        <v>390000</v>
      </c>
      <c r="L67" s="58">
        <f>VLOOKUP(A67,'תפוקה חודשית מול אשתקד'!A:K,8,0)</f>
        <v>24837.519535000029</v>
      </c>
      <c r="M67" s="58">
        <f>VLOOKUP(A67,'תפוקה חודשית מול אשתקד'!A:K,9,0)</f>
        <v>8622.2400650000018</v>
      </c>
      <c r="N67" s="58">
        <f>VLOOKUP(A67,'תפוקה חודשית מול אשתקד'!A:K,10,0)</f>
        <v>848289.06999999983</v>
      </c>
      <c r="O67" s="58">
        <f>VLOOKUP(A67,'תפוקה חודשית מול אשתקד'!A:K,11,0)</f>
        <v>313551.29000000004</v>
      </c>
    </row>
    <row r="68" spans="1:15" ht="15.6" x14ac:dyDescent="0.25">
      <c r="A68" s="30" t="s">
        <v>40</v>
      </c>
      <c r="B68" s="26" t="s">
        <v>56</v>
      </c>
      <c r="C68" s="26" t="s">
        <v>103</v>
      </c>
      <c r="D68" s="19">
        <f t="shared" si="0"/>
        <v>1.0265595294117644</v>
      </c>
      <c r="E68" s="19">
        <f t="shared" si="1"/>
        <v>-7.927286516853993E-2</v>
      </c>
      <c r="F68" s="19">
        <f t="shared" si="2"/>
        <v>-0.99767915384615358</v>
      </c>
      <c r="G68" s="19">
        <f t="shared" si="3"/>
        <v>3.4771774358974339</v>
      </c>
      <c r="H68" s="12">
        <v>255000.00000000003</v>
      </c>
      <c r="I68" s="12">
        <v>53400</v>
      </c>
      <c r="J68" s="12">
        <v>780000</v>
      </c>
      <c r="K68" s="12">
        <v>468000</v>
      </c>
      <c r="L68" s="58">
        <f>VLOOKUP(A68,'תפוקה חודשית מול אשתקד'!A:K,8,0)</f>
        <v>516772.67999999993</v>
      </c>
      <c r="M68" s="58">
        <f>VLOOKUP(A68,'תפוקה חודשית מול אשתקד'!A:K,9,0)</f>
        <v>49166.828999999969</v>
      </c>
      <c r="N68" s="58">
        <f>VLOOKUP(A68,'תפוקה חודשית מול אשתקד'!A:K,10,0)</f>
        <v>1810.2600000002421</v>
      </c>
      <c r="O68" s="58">
        <f>VLOOKUP(A68,'תפוקה חודשית מול אשתקד'!A:K,11,0)</f>
        <v>2095319.0399999991</v>
      </c>
    </row>
    <row r="69" spans="1:15" ht="15.6" x14ac:dyDescent="0.25">
      <c r="A69" s="26" t="s">
        <v>90</v>
      </c>
      <c r="B69" s="26" t="s">
        <v>108</v>
      </c>
      <c r="C69" s="26" t="s">
        <v>103</v>
      </c>
      <c r="D69" s="19">
        <f t="shared" si="0"/>
        <v>0</v>
      </c>
      <c r="E69" s="19">
        <f t="shared" si="1"/>
        <v>1</v>
      </c>
      <c r="F69" s="19">
        <f t="shared" si="2"/>
        <v>1</v>
      </c>
      <c r="G69" s="19">
        <f t="shared" si="3"/>
        <v>0</v>
      </c>
      <c r="H69" s="12">
        <v>0</v>
      </c>
      <c r="I69" s="12">
        <v>0</v>
      </c>
      <c r="J69" s="12">
        <v>0</v>
      </c>
      <c r="K69" s="12">
        <v>0</v>
      </c>
      <c r="L69" s="58">
        <f>VLOOKUP(A69,'תפוקה חודשית מול אשתקד'!A:K,8,0)</f>
        <v>0</v>
      </c>
      <c r="M69" s="58">
        <f>VLOOKUP(A69,'תפוקה חודשית מול אשתקד'!A:K,9,0)</f>
        <v>22.159000000000106</v>
      </c>
      <c r="N69" s="58">
        <f>VLOOKUP(A69,'תפוקה חודשית מול אשתקד'!A:K,10,0)</f>
        <v>8032</v>
      </c>
      <c r="O69" s="58">
        <f>VLOOKUP(A69,'תפוקה חודשית מול אשתקד'!A:K,11,0)</f>
        <v>0</v>
      </c>
    </row>
    <row r="70" spans="1:15" ht="15.6" x14ac:dyDescent="0.25">
      <c r="A70" s="26" t="s">
        <v>92</v>
      </c>
      <c r="B70" s="26" t="s">
        <v>56</v>
      </c>
      <c r="C70" s="26" t="s">
        <v>103</v>
      </c>
      <c r="D70" s="19">
        <f t="shared" ref="D70:D76" si="13">IF(L70=0,0%,IF(H70=0,100%,L70/H70-1))</f>
        <v>1</v>
      </c>
      <c r="E70" s="19">
        <f t="shared" ref="E70:E76" si="14">IF(M70=0,0%,IF(I70=0,100%,M70/I70-1))</f>
        <v>0</v>
      </c>
      <c r="F70" s="19">
        <f t="shared" ref="F70:F76" si="15">IF(N70=0,0%,IF(J70=0,100%,N70/J70-1))</f>
        <v>1</v>
      </c>
      <c r="G70" s="19">
        <f t="shared" ref="G70:G76" si="16">IF(O70=0,0%,IF(K70=0,100%,O70/K70-1))</f>
        <v>1</v>
      </c>
      <c r="H70" s="12">
        <v>0</v>
      </c>
      <c r="I70" s="12">
        <v>0</v>
      </c>
      <c r="J70" s="12">
        <v>0</v>
      </c>
      <c r="K70" s="12">
        <v>0</v>
      </c>
      <c r="L70" s="58">
        <f>VLOOKUP(A70,'תפוקה חודשית מול אשתקד'!A:K,8,0)</f>
        <v>43318.009999999995</v>
      </c>
      <c r="M70" s="58">
        <f>VLOOKUP(A70,'תפוקה חודשית מול אשתקד'!A:K,9,0)</f>
        <v>0</v>
      </c>
      <c r="N70" s="58">
        <f>VLOOKUP(A70,'תפוקה חודשית מול אשתקד'!A:K,10,0)</f>
        <v>14000.369999999999</v>
      </c>
      <c r="O70" s="58">
        <f>VLOOKUP(A70,'תפוקה חודשית מול אשתקד'!A:K,11,0)</f>
        <v>102771.63000000012</v>
      </c>
    </row>
    <row r="71" spans="1:15" ht="15.6" x14ac:dyDescent="0.25">
      <c r="A71" s="26" t="s">
        <v>93</v>
      </c>
      <c r="B71" s="26" t="s">
        <v>56</v>
      </c>
      <c r="C71" s="26" t="s">
        <v>103</v>
      </c>
      <c r="D71" s="19">
        <f t="shared" si="13"/>
        <v>0</v>
      </c>
      <c r="E71" s="19">
        <f t="shared" si="14"/>
        <v>0.14628033707865296</v>
      </c>
      <c r="F71" s="19">
        <f t="shared" si="15"/>
        <v>0</v>
      </c>
      <c r="G71" s="19">
        <f t="shared" si="16"/>
        <v>0</v>
      </c>
      <c r="H71" s="12">
        <v>17000</v>
      </c>
      <c r="I71" s="12">
        <v>8900</v>
      </c>
      <c r="J71" s="12">
        <v>39000</v>
      </c>
      <c r="K71" s="12">
        <v>46800</v>
      </c>
      <c r="L71" s="58">
        <f>VLOOKUP(A71,'תפוקה חודשית מול אשתקד'!A:K,8,0)</f>
        <v>0</v>
      </c>
      <c r="M71" s="58">
        <f>VLOOKUP(A71,'תפוקה חודשית מול אשתקד'!A:K,9,0)</f>
        <v>10201.895000000011</v>
      </c>
      <c r="N71" s="58">
        <f>VLOOKUP(A71,'תפוקה חודשית מול אשתקד'!A:K,10,0)</f>
        <v>0</v>
      </c>
      <c r="O71" s="58">
        <f>VLOOKUP(A71,'תפוקה חודשית מול אשתקד'!A:K,11,0)</f>
        <v>0</v>
      </c>
    </row>
    <row r="72" spans="1:15" ht="15.6" x14ac:dyDescent="0.25">
      <c r="A72" s="26" t="s">
        <v>100</v>
      </c>
      <c r="B72" s="26" t="s">
        <v>56</v>
      </c>
      <c r="C72" s="26" t="s">
        <v>103</v>
      </c>
      <c r="D72" s="19">
        <f t="shared" si="13"/>
        <v>1.0941497794117652</v>
      </c>
      <c r="E72" s="19">
        <f t="shared" si="14"/>
        <v>-0.43997265917602957</v>
      </c>
      <c r="F72" s="19">
        <f t="shared" si="15"/>
        <v>0.4598030769230772</v>
      </c>
      <c r="G72" s="19">
        <f t="shared" si="16"/>
        <v>0.1329180341880345</v>
      </c>
      <c r="H72" s="12">
        <v>85000</v>
      </c>
      <c r="I72" s="12">
        <v>13350</v>
      </c>
      <c r="J72" s="12">
        <v>624000</v>
      </c>
      <c r="K72" s="12">
        <v>468000</v>
      </c>
      <c r="L72" s="58">
        <f>VLOOKUP(A72,'תפוקה חודשית מול אשתקד'!A:K,8,0)</f>
        <v>178002.73125000004</v>
      </c>
      <c r="M72" s="58">
        <f>VLOOKUP(A72,'תפוקה חודשית מול אשתקד'!A:K,9,0)</f>
        <v>7476.3650000000052</v>
      </c>
      <c r="N72" s="58">
        <f>VLOOKUP(A72,'תפוקה חודשית מול אשתקד'!A:K,10,0)</f>
        <v>910917.12000000011</v>
      </c>
      <c r="O72" s="58">
        <f>VLOOKUP(A72,'תפוקה חודשית מול אשתקד'!A:K,11,0)</f>
        <v>530205.64000000013</v>
      </c>
    </row>
    <row r="73" spans="1:15" ht="15.6" x14ac:dyDescent="0.25">
      <c r="A73" s="98" t="s">
        <v>101</v>
      </c>
      <c r="B73" s="26" t="s">
        <v>56</v>
      </c>
      <c r="C73" s="26" t="s">
        <v>103</v>
      </c>
      <c r="D73" s="19">
        <f t="shared" si="13"/>
        <v>-0.43952937192156849</v>
      </c>
      <c r="E73" s="19">
        <f t="shared" si="14"/>
        <v>0.12123936329930984</v>
      </c>
      <c r="F73" s="19">
        <f t="shared" si="15"/>
        <v>1.5149342820512799</v>
      </c>
      <c r="G73" s="19">
        <f t="shared" si="16"/>
        <v>0.69179991452991718</v>
      </c>
      <c r="H73" s="12">
        <v>255000.00000000003</v>
      </c>
      <c r="I73" s="12">
        <v>22250</v>
      </c>
      <c r="J73" s="12">
        <v>1560000</v>
      </c>
      <c r="K73" s="12">
        <v>468000</v>
      </c>
      <c r="L73" s="58">
        <f>VLOOKUP(A73,'תפוקה חודשית מול אשתקד'!A:K,8,0)</f>
        <v>142920.01016000006</v>
      </c>
      <c r="M73" s="58">
        <f>VLOOKUP(A73,'תפוקה חודשית מול אשתקד'!A:K,9,0)</f>
        <v>24947.575833409646</v>
      </c>
      <c r="N73" s="58">
        <f>VLOOKUP(A73,'תפוקה חודשית מול אשתקד'!A:K,10,0)</f>
        <v>3923297.4799999967</v>
      </c>
      <c r="O73" s="58">
        <f>VLOOKUP(A73,'תפוקה חודשית מול אשתקד'!A:K,11,0)</f>
        <v>791762.36000000127</v>
      </c>
    </row>
    <row r="74" spans="1:15" ht="16.2" thickBot="1" x14ac:dyDescent="0.3">
      <c r="A74" s="26" t="s">
        <v>81</v>
      </c>
      <c r="B74" s="26" t="s">
        <v>56</v>
      </c>
      <c r="C74" s="26" t="s">
        <v>103</v>
      </c>
      <c r="D74" s="19">
        <f t="shared" si="13"/>
        <v>-0.73994823529411735</v>
      </c>
      <c r="E74" s="19">
        <f t="shared" si="14"/>
        <v>-1.0510214232209738</v>
      </c>
      <c r="F74" s="19">
        <f t="shared" si="15"/>
        <v>0</v>
      </c>
      <c r="G74" s="19">
        <f t="shared" si="16"/>
        <v>0</v>
      </c>
      <c r="H74" s="12">
        <v>42500</v>
      </c>
      <c r="I74" s="12">
        <v>13350</v>
      </c>
      <c r="J74" s="12">
        <v>78000</v>
      </c>
      <c r="K74" s="12">
        <v>156000</v>
      </c>
      <c r="L74" s="58">
        <f>VLOOKUP(A74,'תפוקה חודשית מול אשתקד'!A:K,8,0)</f>
        <v>11052.200000000012</v>
      </c>
      <c r="M74" s="58">
        <f>VLOOKUP(A74,'תפוקה חודשית מול אשתקד'!A:K,9,0)</f>
        <v>-681.13600000000042</v>
      </c>
      <c r="N74" s="58">
        <f>VLOOKUP(A74,'תפוקה חודשית מול אשתקד'!A:K,10,0)</f>
        <v>0</v>
      </c>
      <c r="O74" s="58">
        <f>VLOOKUP(A74,'תפוקה חודשית מול אשתקד'!A:K,11,0)</f>
        <v>0</v>
      </c>
    </row>
    <row r="75" spans="1:15" ht="21.6" thickBot="1" x14ac:dyDescent="0.3">
      <c r="A75" s="17" t="s">
        <v>44</v>
      </c>
      <c r="B75" s="147"/>
      <c r="C75" s="166"/>
      <c r="D75" s="19">
        <f t="shared" si="13"/>
        <v>0.23989607970926308</v>
      </c>
      <c r="E75" s="19">
        <f t="shared" si="14"/>
        <v>-0.19939062681854214</v>
      </c>
      <c r="F75" s="19">
        <f t="shared" si="15"/>
        <v>0.47794516964516887</v>
      </c>
      <c r="G75" s="19">
        <f t="shared" si="16"/>
        <v>0.91987678285256425</v>
      </c>
      <c r="H75" s="88">
        <f>SUM(H67:H74)</f>
        <v>739500</v>
      </c>
      <c r="I75" s="88">
        <f t="shared" ref="I75:O75" si="17">SUM(I67:I74)</f>
        <v>124600</v>
      </c>
      <c r="J75" s="88">
        <f t="shared" si="17"/>
        <v>3861000</v>
      </c>
      <c r="K75" s="88">
        <f t="shared" si="17"/>
        <v>1996800</v>
      </c>
      <c r="L75" s="88">
        <f t="shared" si="17"/>
        <v>916903.15094500012</v>
      </c>
      <c r="M75" s="88">
        <f t="shared" si="17"/>
        <v>99755.927898409645</v>
      </c>
      <c r="N75" s="88">
        <f t="shared" si="17"/>
        <v>5706346.299999997</v>
      </c>
      <c r="O75" s="88">
        <f t="shared" si="17"/>
        <v>3833609.9600000004</v>
      </c>
    </row>
    <row r="76" spans="1:15" ht="21.6" thickBot="1" x14ac:dyDescent="0.3">
      <c r="A76" s="17" t="s">
        <v>45</v>
      </c>
      <c r="B76" s="147"/>
      <c r="C76" s="166"/>
      <c r="D76" s="19">
        <f t="shared" si="13"/>
        <v>-0.16906350816801752</v>
      </c>
      <c r="E76" s="19">
        <f t="shared" si="14"/>
        <v>-0.45217894367084122</v>
      </c>
      <c r="F76" s="19">
        <f t="shared" si="15"/>
        <v>-0.3161587077848822</v>
      </c>
      <c r="G76" s="19">
        <f t="shared" si="16"/>
        <v>8.4899422673399672E-2</v>
      </c>
      <c r="H76" s="88">
        <f>H75+H66+H56+H22+H8</f>
        <v>4687750</v>
      </c>
      <c r="I76" s="88">
        <f t="shared" ref="I76:O76" si="18">I75+I66+I56+I22+I8</f>
        <v>834820</v>
      </c>
      <c r="J76" s="88">
        <f t="shared" si="18"/>
        <v>17862000</v>
      </c>
      <c r="K76" s="88">
        <f t="shared" si="18"/>
        <v>17347200</v>
      </c>
      <c r="L76" s="88">
        <f t="shared" si="18"/>
        <v>3895222.5395853757</v>
      </c>
      <c r="M76" s="88">
        <f t="shared" si="18"/>
        <v>457331.97424470837</v>
      </c>
      <c r="N76" s="88">
        <f t="shared" si="18"/>
        <v>12214773.161546433</v>
      </c>
      <c r="O76" s="88">
        <f t="shared" si="18"/>
        <v>18819967.265000001</v>
      </c>
    </row>
    <row r="77" spans="1:15" x14ac:dyDescent="0.25">
      <c r="D77" s="5"/>
      <c r="E77" s="5"/>
      <c r="F77" s="5"/>
      <c r="G77" s="5"/>
      <c r="H77" s="74"/>
      <c r="I77" s="74"/>
      <c r="J77" s="74"/>
      <c r="K77" s="74"/>
      <c r="L77" s="6"/>
      <c r="M77" s="6"/>
      <c r="N77" s="6"/>
      <c r="O77" s="6"/>
    </row>
    <row r="78" spans="1:15" x14ac:dyDescent="0.25">
      <c r="I78" s="10"/>
      <c r="J78" s="10"/>
      <c r="K78" s="9"/>
      <c r="L78"/>
      <c r="M78"/>
      <c r="N78"/>
      <c r="O78"/>
    </row>
    <row r="79" spans="1:15" x14ac:dyDescent="0.25">
      <c r="B79" s="3"/>
      <c r="C79" s="3"/>
      <c r="H79" s="74"/>
      <c r="I79" s="74"/>
      <c r="J79" s="74"/>
      <c r="K79" s="74"/>
      <c r="L79"/>
      <c r="M79"/>
      <c r="N79"/>
      <c r="O79"/>
    </row>
    <row r="80" spans="1:15" x14ac:dyDescent="0.25">
      <c r="B80" s="3"/>
      <c r="C80" s="3"/>
      <c r="H80" s="10"/>
      <c r="K80"/>
      <c r="L80"/>
      <c r="M80"/>
      <c r="N80"/>
      <c r="O80"/>
    </row>
    <row r="81" spans="8:15" x14ac:dyDescent="0.25">
      <c r="H81" s="10"/>
      <c r="I81" s="10"/>
      <c r="J81" s="10"/>
      <c r="K81"/>
      <c r="L81"/>
      <c r="M81"/>
      <c r="N81"/>
      <c r="O81"/>
    </row>
    <row r="82" spans="8:15" x14ac:dyDescent="0.25">
      <c r="K82"/>
      <c r="L82" s="9"/>
      <c r="M82" s="9"/>
      <c r="N82" s="9"/>
      <c r="O82" s="9"/>
    </row>
    <row r="83" spans="8:15" x14ac:dyDescent="0.25">
      <c r="K83"/>
      <c r="L83"/>
      <c r="M83"/>
      <c r="N83"/>
      <c r="O83"/>
    </row>
  </sheetData>
  <mergeCells count="3">
    <mergeCell ref="L1:O1"/>
    <mergeCell ref="H1:K1"/>
    <mergeCell ref="D1:G1"/>
  </mergeCells>
  <conditionalFormatting sqref="A14">
    <cfRule type="duplicateValues" dxfId="299" priority="7"/>
    <cfRule type="duplicateValues" dxfId="298" priority="8"/>
  </conditionalFormatting>
  <conditionalFormatting sqref="A20">
    <cfRule type="duplicateValues" dxfId="297" priority="1"/>
    <cfRule type="duplicateValues" dxfId="296" priority="2"/>
  </conditionalFormatting>
  <conditionalFormatting sqref="A54">
    <cfRule type="duplicateValues" dxfId="295" priority="3"/>
    <cfRule type="duplicateValues" dxfId="294" priority="4"/>
  </conditionalFormatting>
  <conditionalFormatting sqref="A57">
    <cfRule type="duplicateValues" dxfId="293" priority="11"/>
    <cfRule type="duplicateValues" dxfId="292" priority="12"/>
  </conditionalFormatting>
  <conditionalFormatting sqref="A60">
    <cfRule type="duplicateValues" dxfId="291" priority="5"/>
    <cfRule type="duplicateValues" dxfId="290" priority="6"/>
  </conditionalFormatting>
  <conditionalFormatting sqref="A61 A58:A59 A7 A23:A53 A65 A55">
    <cfRule type="duplicateValues" dxfId="289" priority="254"/>
    <cfRule type="duplicateValues" dxfId="288" priority="255"/>
  </conditionalFormatting>
  <conditionalFormatting sqref="A67:A74">
    <cfRule type="duplicateValues" dxfId="287" priority="15"/>
    <cfRule type="duplicateValues" dxfId="286" priority="16"/>
  </conditionalFormatting>
  <conditionalFormatting sqref="A75:A76 A1:A6 A8:A13 A15:A19 A56 A66 A21:A22">
    <cfRule type="duplicateValues" dxfId="285" priority="13"/>
    <cfRule type="duplicateValues" dxfId="284" priority="14"/>
  </conditionalFormatting>
  <conditionalFormatting sqref="D1 D2:G78 B79:C80 E79:G80 D81:G1048576">
    <cfRule type="cellIs" dxfId="283" priority="39" operator="lessThan">
      <formula>-0.0001</formula>
    </cfRule>
  </conditionalFormatting>
  <conditionalFormatting sqref="D3:G78 B79:C80 E79:G80 D81:G1048576">
    <cfRule type="cellIs" dxfId="282" priority="32" operator="greaterThan">
      <formula>0.1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56E0-BEA5-4A33-8A86-06A0464561C3}">
  <sheetPr>
    <tabColor theme="4" tint="0.39997558519241921"/>
  </sheetPr>
  <dimension ref="A1:F69"/>
  <sheetViews>
    <sheetView rightToLeft="1" workbookViewId="0">
      <selection activeCell="H18" sqref="H18"/>
    </sheetView>
  </sheetViews>
  <sheetFormatPr defaultColWidth="21.69921875" defaultRowHeight="15" x14ac:dyDescent="0.25"/>
  <cols>
    <col min="1" max="1" width="30" style="8" bestFit="1" customWidth="1"/>
    <col min="2" max="2" width="11.5" style="7" customWidth="1"/>
    <col min="3" max="3" width="14.59765625" style="7" bestFit="1" customWidth="1"/>
    <col min="4" max="4" width="26.3984375" style="7" customWidth="1"/>
    <col min="5" max="5" width="27.5" style="7" customWidth="1"/>
  </cols>
  <sheetData>
    <row r="1" spans="1:6" ht="21" x14ac:dyDescent="0.25">
      <c r="A1" s="11" t="s">
        <v>0</v>
      </c>
      <c r="B1" s="93" t="s">
        <v>74</v>
      </c>
      <c r="C1" s="92" t="s">
        <v>75</v>
      </c>
      <c r="D1" s="91" t="s">
        <v>118</v>
      </c>
      <c r="E1" s="90" t="s">
        <v>119</v>
      </c>
    </row>
    <row r="2" spans="1:6" ht="15.6" x14ac:dyDescent="0.3">
      <c r="A2" s="30" t="s">
        <v>18</v>
      </c>
      <c r="B2" s="19">
        <f>IF(D2=0,0%,IF(E2=0,100%,D2/E2-1))</f>
        <v>0.18446087410536527</v>
      </c>
      <c r="C2" s="20">
        <f>D2-E2</f>
        <v>6807.0657859999992</v>
      </c>
      <c r="D2" s="21">
        <f>VLOOKUP('עולים יורדים'!A2,'תפוקה מצטברת מול אשתקד'!A:K,9,0)</f>
        <v>43709.557000000001</v>
      </c>
      <c r="E2" s="22">
        <f>VLOOKUP(A2,'תפוקה מצטברת מול אשתקד'!A:O,13,0)</f>
        <v>36902.491214000001</v>
      </c>
    </row>
    <row r="3" spans="1:6" ht="15.6" x14ac:dyDescent="0.3">
      <c r="A3" s="26" t="s">
        <v>14</v>
      </c>
      <c r="B3" s="19">
        <f>IF(D3=0,0%,IF(E3=0,100%,D3/E3-1))</f>
        <v>0</v>
      </c>
      <c r="C3" s="20">
        <f>D3-E3</f>
        <v>0</v>
      </c>
      <c r="D3" s="21">
        <f>VLOOKUP('עולים יורדים'!A7,'תפוקה מצטברת מול אשתקד'!A:K,9,0)</f>
        <v>0</v>
      </c>
      <c r="E3" s="22">
        <f>VLOOKUP(A3,'תפוקה מצטברת מול אשתקד'!A:O,13,0)</f>
        <v>0</v>
      </c>
    </row>
    <row r="4" spans="1:6" ht="15.6" x14ac:dyDescent="0.3">
      <c r="A4" s="26" t="s">
        <v>22</v>
      </c>
      <c r="B4" s="19">
        <f>IF(D4=0,0%,IF(E4=0,100%,D4/E4-1))</f>
        <v>67.345805959119105</v>
      </c>
      <c r="C4" s="20">
        <f>D4-E4</f>
        <v>207336.1858902208</v>
      </c>
      <c r="D4" s="21">
        <f>VLOOKUP('עולים יורדים'!A69,'תפוקה מצטברת מול אשתקד'!A:K,9,0)</f>
        <v>210414.8658902208</v>
      </c>
      <c r="E4" s="22">
        <f>VLOOKUP(A4,'תפוקה מצטברת מול אשתקד'!A:O,13,0)</f>
        <v>3078.68</v>
      </c>
    </row>
    <row r="5" spans="1:6" ht="15.6" x14ac:dyDescent="0.3">
      <c r="A5" s="26" t="s">
        <v>26</v>
      </c>
      <c r="B5" s="19">
        <f>IF(D5=0,0%,IF(E5=0,100%,D5/E5-1))</f>
        <v>0</v>
      </c>
      <c r="C5" s="20">
        <f>D5-E5</f>
        <v>-2882.47</v>
      </c>
      <c r="D5" s="21">
        <f>VLOOKUP('עולים יורדים'!A3,'תפוקה מצטברת מול אשתקד'!A:K,9,0)</f>
        <v>0</v>
      </c>
      <c r="E5" s="22">
        <f>VLOOKUP(A5,'תפוקה מצטברת מול אשתקד'!A:O,13,0)</f>
        <v>2882.47</v>
      </c>
    </row>
    <row r="6" spans="1:6" ht="15.6" x14ac:dyDescent="0.3">
      <c r="A6" s="26" t="s">
        <v>82</v>
      </c>
      <c r="B6" s="19">
        <f>IF(D6=0,0%,IF(E6=0,100%,D6/E6-1))</f>
        <v>429.18924419896246</v>
      </c>
      <c r="C6" s="20">
        <f>D6-E6</f>
        <v>707042.92737941723</v>
      </c>
      <c r="D6" s="21">
        <f>VLOOKUP('עולים יורדים'!A68,'תפוקה מצטברת מול אשתקד'!A:K,9,0)</f>
        <v>708690.31937941723</v>
      </c>
      <c r="E6" s="22">
        <f>VLOOKUP(A6,'תפוקה מצטברת מול אשתקד'!A:O,13,0)</f>
        <v>1647.3920000000001</v>
      </c>
    </row>
    <row r="7" spans="1:6" ht="15.6" x14ac:dyDescent="0.3">
      <c r="A7" s="26" t="s">
        <v>36</v>
      </c>
      <c r="B7" s="19">
        <f>IF(D7=0,0%,IF(E7=0,100%,D7/E7-1))</f>
        <v>1</v>
      </c>
      <c r="C7" s="20">
        <f>D7-E7</f>
        <v>330170.12099999998</v>
      </c>
      <c r="D7" s="21">
        <f>VLOOKUP('עולים יורדים'!A67,'תפוקה מצטברת מול אשתקד'!A:K,9,0)</f>
        <v>330170.12099999998</v>
      </c>
      <c r="E7" s="22">
        <f>VLOOKUP(A7,'תפוקה מצטברת מול אשתקד'!A:O,13,0)</f>
        <v>0</v>
      </c>
    </row>
    <row r="8" spans="1:6" ht="15.6" x14ac:dyDescent="0.3">
      <c r="A8" s="26" t="s">
        <v>19</v>
      </c>
      <c r="B8" s="19">
        <f>IF(D8=0,0%,IF(E8=0,100%,D8/E8-1))</f>
        <v>0</v>
      </c>
      <c r="C8" s="20">
        <f>D8-E8</f>
        <v>-79236.19772280952</v>
      </c>
      <c r="D8" s="21">
        <f>VLOOKUP('עולים יורדים'!A5,'תפוקה מצטברת מול אשתקד'!A:K,9,0)</f>
        <v>0</v>
      </c>
      <c r="E8" s="22">
        <f>VLOOKUP(A8,'תפוקה מצטברת מול אשתקד'!A:O,13,0)</f>
        <v>79236.19772280952</v>
      </c>
    </row>
    <row r="9" spans="1:6" ht="15.6" x14ac:dyDescent="0.3">
      <c r="A9" s="26" t="s">
        <v>32</v>
      </c>
      <c r="B9" s="19">
        <f>IF(D9=0,0%,IF(E9=0,100%,D9/E9-1))</f>
        <v>1</v>
      </c>
      <c r="C9" s="20">
        <f>D9-E9</f>
        <v>3967.905542000698</v>
      </c>
      <c r="D9" s="21">
        <f>VLOOKUP('עולים יורדים'!A4,'תפוקה מצטברת מול אשתקד'!A:K,9,0)</f>
        <v>3967.905542000698</v>
      </c>
      <c r="E9" s="22">
        <f>VLOOKUP(A9,'תפוקה מצטברת מול אשתקד'!A:O,13,0)</f>
        <v>0</v>
      </c>
    </row>
    <row r="10" spans="1:6" ht="15.6" x14ac:dyDescent="0.3">
      <c r="A10" s="26" t="s">
        <v>140</v>
      </c>
      <c r="B10" s="19">
        <f>IF(D10=0,0%,IF(E10=0,100%,D10/E10-1))</f>
        <v>0</v>
      </c>
      <c r="C10" s="20">
        <f>D10-E10</f>
        <v>0</v>
      </c>
      <c r="D10" s="21">
        <f>VLOOKUP('עולים יורדים'!A22,'תפוקה מצטברת מול אשתקד'!A:K,9,0)</f>
        <v>0</v>
      </c>
      <c r="E10" s="22">
        <f>VLOOKUP(A10,'תפוקה מצטברת מול אשתקד'!A:O,13,0)</f>
        <v>0</v>
      </c>
    </row>
    <row r="11" spans="1:6" ht="15.6" x14ac:dyDescent="0.3">
      <c r="A11" s="26" t="s">
        <v>38</v>
      </c>
      <c r="B11" s="19">
        <f>IF(D11=0,0%,IF(E11=0,100%,D11/E11-1))</f>
        <v>-0.20963697808786652</v>
      </c>
      <c r="C11" s="20">
        <f>D11-E11</f>
        <v>-230.76</v>
      </c>
      <c r="D11" s="21">
        <f>VLOOKUP('עולים יורדים'!A13,'תפוקה מצטברת מול אשתקד'!A:K,9,0)</f>
        <v>870</v>
      </c>
      <c r="E11" s="22">
        <f>VLOOKUP(A11,'תפוקה מצטברת מול אשתקד'!A:O,13,0)</f>
        <v>1100.76</v>
      </c>
    </row>
    <row r="12" spans="1:6" ht="15.6" x14ac:dyDescent="0.3">
      <c r="A12" s="26" t="s">
        <v>2</v>
      </c>
      <c r="B12" s="19">
        <f>IF(D12=0,0%,IF(E12=0,100%,D12/E12-1))</f>
        <v>34.352594301735259</v>
      </c>
      <c r="C12" s="20">
        <f>D12-E12</f>
        <v>168203.35077747543</v>
      </c>
      <c r="D12" s="21">
        <f>VLOOKUP('עולים יורדים'!A64,'תפוקה מצטברת מול אשתקד'!A:K,9,0)</f>
        <v>173099.73063455595</v>
      </c>
      <c r="E12" s="22">
        <f>VLOOKUP(A12,'תפוקה מצטברת מול אשתקד'!A:O,13,0)</f>
        <v>4896.3798570805156</v>
      </c>
    </row>
    <row r="13" spans="1:6" ht="15.6" x14ac:dyDescent="0.3">
      <c r="A13" s="26" t="s">
        <v>41</v>
      </c>
      <c r="B13" s="19">
        <f>IF(D13=0,0%,IF(E13=0,100%,D13/E13-1))</f>
        <v>-0.69353867320983942</v>
      </c>
      <c r="C13" s="20">
        <f>D13-E13</f>
        <v>7809.800950466939</v>
      </c>
      <c r="D13" s="21">
        <f>VLOOKUP('עולים יורדים'!A21,'תפוקה מצטברת מול אשתקד'!A:K,9,0)</f>
        <v>-3451</v>
      </c>
      <c r="E13" s="22">
        <f>VLOOKUP(A13,'תפוקה מצטברת מול אשתקד'!A:O,13,0)</f>
        <v>-11260.800950466939</v>
      </c>
    </row>
    <row r="14" spans="1:6" ht="15.6" x14ac:dyDescent="0.3">
      <c r="A14" s="26" t="s">
        <v>21</v>
      </c>
      <c r="B14" s="19">
        <f>IF(D14=0,0%,IF(E14=0,100%,D14/E14-1))</f>
        <v>35.549914779504867</v>
      </c>
      <c r="C14" s="20">
        <f>D14-E14</f>
        <v>61988.812999999995</v>
      </c>
      <c r="D14" s="21">
        <f>VLOOKUP('עולים יורדים'!A63,'תפוקה מצטברת מול אשתקד'!A:K,9,0)</f>
        <v>63732.524999999994</v>
      </c>
      <c r="E14" s="22">
        <f>VLOOKUP(A14,'תפוקה מצטברת מול אשתקד'!A:O,13,0)</f>
        <v>1743.712</v>
      </c>
    </row>
    <row r="15" spans="1:6" ht="15.6" x14ac:dyDescent="0.3">
      <c r="A15" s="26" t="s">
        <v>35</v>
      </c>
      <c r="B15" s="19">
        <f>IF(D15=0,0%,IF(E15=0,100%,D15/E15-1))</f>
        <v>0</v>
      </c>
      <c r="C15" s="20">
        <f>D15-E15</f>
        <v>-2463.41</v>
      </c>
      <c r="D15" s="21">
        <f>VLOOKUP('עולים יורדים'!A16,'תפוקה מצטברת מול אשתקד'!A:K,9,0)</f>
        <v>0</v>
      </c>
      <c r="E15" s="22">
        <f>VLOOKUP(A15,'תפוקה מצטברת מול אשתקד'!A:O,13,0)</f>
        <v>2463.41</v>
      </c>
    </row>
    <row r="16" spans="1:6" ht="15.6" x14ac:dyDescent="0.3">
      <c r="A16" s="26" t="s">
        <v>87</v>
      </c>
      <c r="B16" s="19">
        <f>IF(D16=0,0%,IF(E16=0,100%,D16/E16-1))</f>
        <v>0.64109939554616013</v>
      </c>
      <c r="C16" s="20">
        <f>D16-E16</f>
        <v>2219.8900000000003</v>
      </c>
      <c r="D16" s="21">
        <f>VLOOKUP('עולים יורדים'!A6,'תפוקה מצטברת מול אשתקד'!A:K,9,0)</f>
        <v>5682.52</v>
      </c>
      <c r="E16" s="22">
        <f>VLOOKUP(A16,'תפוקה מצטברת מול אשתקד'!A:O,13,0)</f>
        <v>3462.63</v>
      </c>
      <c r="F16" s="7"/>
    </row>
    <row r="17" spans="1:5" ht="15.6" x14ac:dyDescent="0.3">
      <c r="A17" s="27" t="s">
        <v>105</v>
      </c>
      <c r="B17" s="19">
        <f>IF(D17=0,0%,IF(E17=0,100%,D17/E17-1))</f>
        <v>1</v>
      </c>
      <c r="C17" s="20">
        <f>D17-E17</f>
        <v>50237.96</v>
      </c>
      <c r="D17" s="21">
        <f>VLOOKUP('עולים יורדים'!A8,'תפוקה מצטברת מול אשתקד'!A:K,9,0)</f>
        <v>50237.96</v>
      </c>
      <c r="E17" s="22">
        <f>VLOOKUP(A17,'תפוקה מצטברת מול אשתקד'!A:O,13,0)</f>
        <v>0</v>
      </c>
    </row>
    <row r="18" spans="1:5" ht="15.6" x14ac:dyDescent="0.3">
      <c r="A18" s="26" t="s">
        <v>85</v>
      </c>
      <c r="B18" s="19">
        <f>IF(D18=0,0%,IF(E18=0,100%,D18/E18-1))</f>
        <v>1</v>
      </c>
      <c r="C18" s="20">
        <f>D18-E18</f>
        <v>3936.1291768826632</v>
      </c>
      <c r="D18" s="21">
        <f>VLOOKUP('עולים יורדים'!A12,'תפוקה מצטברת מול אשתקד'!A:K,9,0)</f>
        <v>3936.1291768826632</v>
      </c>
      <c r="E18" s="22">
        <f>VLOOKUP(A18,'תפוקה מצטברת מול אשתקד'!A:O,13,0)</f>
        <v>0</v>
      </c>
    </row>
    <row r="19" spans="1:5" ht="15.6" x14ac:dyDescent="0.3">
      <c r="A19" s="26" t="s">
        <v>30</v>
      </c>
      <c r="B19" s="19">
        <f>IF(D19=0,0%,IF(E19=0,100%,D19/E19-1))</f>
        <v>108.6691692434992</v>
      </c>
      <c r="C19" s="20">
        <f>D19-E19</f>
        <v>62704.127227272686</v>
      </c>
      <c r="D19" s="21">
        <f>VLOOKUP('עולים יורדים'!A54,'תפוקה מצטברת מול אשתקד'!A:K,9,0)</f>
        <v>63281.145784272689</v>
      </c>
      <c r="E19" s="22">
        <f>VLOOKUP(A19,'תפוקה מצטברת מול אשתקד'!A:O,13,0)</f>
        <v>577.01855699999999</v>
      </c>
    </row>
    <row r="20" spans="1:5" ht="15.6" x14ac:dyDescent="0.3">
      <c r="A20" s="26" t="s">
        <v>97</v>
      </c>
      <c r="B20" s="19">
        <f>IF(D20=0,0%,IF(E20=0,100%,D20/E20-1))</f>
        <v>30.154335154370578</v>
      </c>
      <c r="C20" s="20">
        <f>D20-E20</f>
        <v>38087.036103430844</v>
      </c>
      <c r="D20" s="21">
        <f>VLOOKUP('עולים יורדים'!A17,'תפוקה מצטברת מול אשתקד'!A:K,9,0)</f>
        <v>39350.106103430844</v>
      </c>
      <c r="E20" s="22">
        <f>VLOOKUP(A20,'תפוקה מצטברת מול אשתקד'!A:O,13,0)</f>
        <v>1263.07</v>
      </c>
    </row>
    <row r="21" spans="1:5" ht="15.6" x14ac:dyDescent="0.3">
      <c r="A21" s="26" t="s">
        <v>27</v>
      </c>
      <c r="B21" s="19">
        <f>IF(D21=0,0%,IF(E21=0,100%,D21/E21-1))</f>
        <v>-13.171270987430439</v>
      </c>
      <c r="C21" s="20">
        <f>D21-E21</f>
        <v>71904.866000000009</v>
      </c>
      <c r="D21" s="21">
        <f>VLOOKUP('עולים יורדים'!A58,'תפוקה מצטברת מול אשתקד'!A:K,9,0)</f>
        <v>66445.646000000008</v>
      </c>
      <c r="E21" s="22">
        <f>VLOOKUP(A21,'תפוקה מצטברת מול אשתקד'!A:O,13,0)</f>
        <v>-5459.22</v>
      </c>
    </row>
    <row r="22" spans="1:5" ht="15.6" x14ac:dyDescent="0.3">
      <c r="A22" s="28" t="s">
        <v>23</v>
      </c>
      <c r="B22" s="19">
        <f>IF(D22=0,0%,IF(E22=0,100%,D22/E22-1))</f>
        <v>0</v>
      </c>
      <c r="C22" s="20">
        <f>D22-E22</f>
        <v>-7.44</v>
      </c>
      <c r="D22" s="21">
        <f>VLOOKUP('עולים יורדים'!A11,'תפוקה מצטברת מול אשתקד'!A:K,9,0)</f>
        <v>0</v>
      </c>
      <c r="E22" s="22">
        <f>VLOOKUP(A22,'תפוקה מצטברת מול אשתקד'!A:O,13,0)</f>
        <v>7.44</v>
      </c>
    </row>
    <row r="23" spans="1:5" ht="15.6" x14ac:dyDescent="0.3">
      <c r="A23" s="26" t="s">
        <v>39</v>
      </c>
      <c r="B23" s="19">
        <f>IF(D23=0,0%,IF(E23=0,100%,D23/E23-1))</f>
        <v>-0.99163785134718752</v>
      </c>
      <c r="C23" s="20">
        <f>D23-E23</f>
        <v>-1158.5899999999999</v>
      </c>
      <c r="D23" s="21">
        <f>VLOOKUP('עולים יורדים'!A14,'תפוקה מצטברת מול אשתקד'!A:K,9,0)</f>
        <v>9.77</v>
      </c>
      <c r="E23" s="22">
        <f>VLOOKUP(A23,'תפוקה מצטברת מול אשתקד'!A:O,13,0)</f>
        <v>1168.3599999999999</v>
      </c>
    </row>
    <row r="24" spans="1:5" ht="15.6" x14ac:dyDescent="0.3">
      <c r="A24" s="26" t="s">
        <v>77</v>
      </c>
      <c r="B24" s="19">
        <f>IF(D24=0,0%,IF(E24=0,100%,D24/E24-1))</f>
        <v>0</v>
      </c>
      <c r="C24" s="20">
        <f>D24-E24</f>
        <v>-6943.9695908687318</v>
      </c>
      <c r="D24" s="21">
        <f>VLOOKUP('עולים יורדים'!A15,'תפוקה מצטברת מול אשתקד'!A:K,9,0)</f>
        <v>0</v>
      </c>
      <c r="E24" s="22">
        <f>VLOOKUP(A24,'תפוקה מצטברת מול אשתקד'!A:O,13,0)</f>
        <v>6943.9695908687318</v>
      </c>
    </row>
    <row r="25" spans="1:5" ht="15.6" x14ac:dyDescent="0.3">
      <c r="A25" s="26" t="s">
        <v>84</v>
      </c>
      <c r="B25" s="19">
        <f>IF(D25=0,0%,IF(E25=0,100%,D25/E25-1))</f>
        <v>0</v>
      </c>
      <c r="C25" s="20">
        <f>D25-E25</f>
        <v>-16201.628564359629</v>
      </c>
      <c r="D25" s="21">
        <f>VLOOKUP('עולים יורדים'!A19,'תפוקה מצטברת מול אשתקד'!A:K,9,0)</f>
        <v>0</v>
      </c>
      <c r="E25" s="22">
        <f>VLOOKUP(A25,'תפוקה מצטברת מול אשתקד'!A:O,13,0)</f>
        <v>16201.628564359629</v>
      </c>
    </row>
    <row r="26" spans="1:5" ht="15.6" x14ac:dyDescent="0.3">
      <c r="A26" s="26" t="s">
        <v>88</v>
      </c>
      <c r="B26" s="19">
        <f>IF(D26=0,0%,IF(E26=0,100%,D26/E26-1))</f>
        <v>-3.5200368702331999</v>
      </c>
      <c r="C26" s="20">
        <f>D26-E26</f>
        <v>2320.3268634902079</v>
      </c>
      <c r="D26" s="21">
        <f>VLOOKUP('עולים יורדים'!A20,'תפוקה מצטברת מול אשתקד'!A:K,9,0)</f>
        <v>1661.15</v>
      </c>
      <c r="E26" s="22">
        <f>VLOOKUP(A26,'תפוקה מצטברת מול אשתקד'!A:O,13,0)</f>
        <v>-659.17686349020767</v>
      </c>
    </row>
    <row r="27" spans="1:5" ht="15.6" x14ac:dyDescent="0.3">
      <c r="A27" s="243" t="s">
        <v>28</v>
      </c>
      <c r="B27" s="19">
        <f>IF(D27=0,0%,IF(E27=0,100%,D27/E27-1))</f>
        <v>1</v>
      </c>
      <c r="C27" s="20">
        <f>D27-E27</f>
        <v>28126.379462432924</v>
      </c>
      <c r="D27" s="21">
        <f>VLOOKUP('עולים יורדים'!A25,'תפוקה מצטברת מול אשתקד'!A:K,9,0)</f>
        <v>28126.379462432924</v>
      </c>
      <c r="E27" s="22">
        <f>VLOOKUP(A27,'תפוקה מצטברת מול אשתקד'!A:O,13,0)</f>
        <v>0</v>
      </c>
    </row>
    <row r="28" spans="1:5" ht="15.6" x14ac:dyDescent="0.3">
      <c r="A28" s="26" t="s">
        <v>31</v>
      </c>
      <c r="B28" s="19">
        <f>IF(D28=0,0%,IF(E28=0,100%,D28/E28-1))</f>
        <v>1</v>
      </c>
      <c r="C28" s="20">
        <f>D28-E28</f>
        <v>22959.76182367104</v>
      </c>
      <c r="D28" s="21">
        <f>VLOOKUP('עולים יורדים'!A46,'תפוקה מצטברת מול אשתקד'!A:K,9,0)</f>
        <v>22959.76182367104</v>
      </c>
      <c r="E28" s="22">
        <f>VLOOKUP(A28,'תפוקה מצטברת מול אשתקד'!A:O,13,0)</f>
        <v>0</v>
      </c>
    </row>
    <row r="29" spans="1:5" ht="15.6" x14ac:dyDescent="0.3">
      <c r="A29" s="26" t="s">
        <v>34</v>
      </c>
      <c r="B29" s="19">
        <f>IF(D29=0,0%,IF(E29=0,100%,D29/E29-1))</f>
        <v>1</v>
      </c>
      <c r="C29" s="20">
        <f>D29-E29</f>
        <v>6731.5479999999998</v>
      </c>
      <c r="D29" s="21">
        <f>VLOOKUP('עולים יורדים'!A34,'תפוקה מצטברת מול אשתקד'!A:K,9,0)</f>
        <v>6731.5479999999998</v>
      </c>
      <c r="E29" s="22">
        <f>VLOOKUP(A29,'תפוקה מצטברת מול אשתקד'!A:O,13,0)</f>
        <v>0</v>
      </c>
    </row>
    <row r="30" spans="1:5" x14ac:dyDescent="0.3">
      <c r="A30" s="242" t="s">
        <v>141</v>
      </c>
      <c r="B30" s="19">
        <f>IF(D30=0,0%,IF(E30=0,100%,D30/E30-1))</f>
        <v>0</v>
      </c>
      <c r="C30" s="20">
        <f>D30-E30</f>
        <v>0</v>
      </c>
      <c r="D30" s="21">
        <f>VLOOKUP('עולים יורדים'!A27,'תפוקה מצטברת מול אשתקד'!A:K,9,0)</f>
        <v>0</v>
      </c>
      <c r="E30" s="22">
        <f>VLOOKUP(A30,'תפוקה מצטברת מול אשתקד'!A:O,13,0)</f>
        <v>0</v>
      </c>
    </row>
    <row r="31" spans="1:5" ht="15.6" x14ac:dyDescent="0.3">
      <c r="A31" s="30" t="s">
        <v>16</v>
      </c>
      <c r="B31" s="19">
        <f>IF(D31=0,0%,IF(E31=0,100%,D31/E31-1))</f>
        <v>1</v>
      </c>
      <c r="C31" s="20">
        <f>D31-E31</f>
        <v>1254.24</v>
      </c>
      <c r="D31" s="21">
        <f>VLOOKUP('עולים יורדים'!A29,'תפוקה מצטברת מול אשתקד'!A:K,9,0)</f>
        <v>1254.24</v>
      </c>
      <c r="E31" s="22">
        <f>VLOOKUP(A31,'תפוקה מצטברת מול אשתקד'!A:O,13,0)</f>
        <v>0</v>
      </c>
    </row>
    <row r="32" spans="1:5" ht="15.6" x14ac:dyDescent="0.3">
      <c r="A32" s="26" t="s">
        <v>139</v>
      </c>
      <c r="B32" s="19">
        <f>IF(D32=0,0%,IF(E32=0,100%,D32/E32-1))</f>
        <v>0</v>
      </c>
      <c r="C32" s="20">
        <f>D32-E32</f>
        <v>0</v>
      </c>
      <c r="D32" s="21">
        <f>VLOOKUP('עולים יורדים'!A32,'תפוקה מצטברת מול אשתקד'!A:K,9,0)</f>
        <v>0</v>
      </c>
      <c r="E32" s="22">
        <f>VLOOKUP(A32,'תפוקה מצטברת מול אשתקד'!A:O,13,0)</f>
        <v>0</v>
      </c>
    </row>
    <row r="33" spans="1:5" ht="14.4" x14ac:dyDescent="0.3">
      <c r="A33" s="117" t="s">
        <v>99</v>
      </c>
      <c r="B33" s="19">
        <f>IF(D33=0,0%,IF(E33=0,100%,D33/E33-1))</f>
        <v>1</v>
      </c>
      <c r="C33" s="20">
        <f>D33-E33</f>
        <v>5713.79</v>
      </c>
      <c r="D33" s="21">
        <f>VLOOKUP('עולים יורדים'!A33,'תפוקה מצטברת מול אשתקד'!A:K,9,0)</f>
        <v>5713.79</v>
      </c>
      <c r="E33" s="22">
        <f>VLOOKUP(A33,'תפוקה מצטברת מול אשתקד'!A:O,13,0)</f>
        <v>0</v>
      </c>
    </row>
    <row r="34" spans="1:5" ht="15.6" x14ac:dyDescent="0.3">
      <c r="A34" s="26" t="s">
        <v>24</v>
      </c>
      <c r="B34" s="19">
        <f>IF(D34=0,0%,IF(E34=0,100%,D34/E34-1))</f>
        <v>-15.700610247644475</v>
      </c>
      <c r="C34" s="20">
        <f>D34-E34</f>
        <v>7926.8770000000004</v>
      </c>
      <c r="D34" s="21">
        <f>VLOOKUP('עולים יורדים'!A51,'תפוקה מצטברת מול אשתקד'!A:K,9,0)</f>
        <v>7422</v>
      </c>
      <c r="E34" s="22">
        <f>VLOOKUP(A34,'תפוקה מצטברת מול אשתקד'!A:O,13,0)</f>
        <v>-504.87700000000001</v>
      </c>
    </row>
    <row r="35" spans="1:5" ht="15.6" x14ac:dyDescent="0.3">
      <c r="A35" s="26" t="s">
        <v>104</v>
      </c>
      <c r="B35" s="19">
        <f>IF(D35=0,0%,IF(E35=0,100%,D35/E35-1))</f>
        <v>0</v>
      </c>
      <c r="C35" s="20">
        <f>D35-E35</f>
        <v>0</v>
      </c>
      <c r="D35" s="21">
        <f>VLOOKUP('עולים יורדים'!A39,'תפוקה מצטברת מול אשתקד'!A:K,9,0)</f>
        <v>0</v>
      </c>
      <c r="E35" s="22">
        <f>VLOOKUP(A35,'תפוקה מצטברת מול אשתקד'!A:O,13,0)</f>
        <v>0</v>
      </c>
    </row>
    <row r="36" spans="1:5" ht="15.6" x14ac:dyDescent="0.3">
      <c r="A36" s="26" t="s">
        <v>98</v>
      </c>
      <c r="B36" s="19">
        <f>IF(D36=0,0%,IF(E36=0,100%,D36/E36-1))</f>
        <v>1</v>
      </c>
      <c r="C36" s="20">
        <f>D36-E36</f>
        <v>7378.1669999999995</v>
      </c>
      <c r="D36" s="21">
        <f>VLOOKUP('עולים יורדים'!A43,'תפוקה מצטברת מול אשתקד'!A:K,9,0)</f>
        <v>7378.1669999999995</v>
      </c>
      <c r="E36" s="22">
        <f>VLOOKUP(A36,'תפוקה מצטברת מול אשתקד'!A:O,13,0)</f>
        <v>0</v>
      </c>
    </row>
    <row r="37" spans="1:5" ht="15.6" x14ac:dyDescent="0.3">
      <c r="A37" s="30" t="s">
        <v>12</v>
      </c>
      <c r="B37" s="19">
        <f>IF(D37=0,0%,IF(E37=0,100%,D37/E37-1))</f>
        <v>1</v>
      </c>
      <c r="C37" s="20">
        <f>D37-E37</f>
        <v>3291.3599999999997</v>
      </c>
      <c r="D37" s="21">
        <f>VLOOKUP('עולים יורדים'!A41,'תפוקה מצטברת מול אשתקד'!A:K,9,0)</f>
        <v>3291.3599999999997</v>
      </c>
      <c r="E37" s="22">
        <f>VLOOKUP(A37,'תפוקה מצטברת מול אשתקד'!A:O,13,0)</f>
        <v>0</v>
      </c>
    </row>
    <row r="38" spans="1:5" ht="15.6" x14ac:dyDescent="0.3">
      <c r="A38" s="26" t="s">
        <v>29</v>
      </c>
      <c r="B38" s="19">
        <f>IF(D38=0,0%,IF(E38=0,100%,D38/E38-1))</f>
        <v>1</v>
      </c>
      <c r="C38" s="20">
        <f>D38-E38</f>
        <v>17688.96</v>
      </c>
      <c r="D38" s="21">
        <f>VLOOKUP('עולים יורדים'!A36,'תפוקה מצטברת מול אשתקד'!A:K,9,0)</f>
        <v>17688.96</v>
      </c>
      <c r="E38" s="22">
        <f>VLOOKUP(A38,'תפוקה מצטברת מול אשתקד'!A:O,13,0)</f>
        <v>0</v>
      </c>
    </row>
    <row r="39" spans="1:5" x14ac:dyDescent="0.3">
      <c r="A39" s="242" t="s">
        <v>130</v>
      </c>
      <c r="B39" s="19">
        <f>IF(D39=0,0%,IF(E39=0,100%,D39/E39-1))</f>
        <v>1</v>
      </c>
      <c r="C39" s="20">
        <f>D39-E39</f>
        <v>29617.5869692044</v>
      </c>
      <c r="D39" s="21">
        <f>VLOOKUP('עולים יורדים'!A55,'תפוקה מצטברת מול אשתקד'!A:K,9,0)</f>
        <v>29617.5869692044</v>
      </c>
      <c r="E39" s="22">
        <f>VLOOKUP(A39,'תפוקה מצטברת מול אשתקד'!A:O,13,0)</f>
        <v>0</v>
      </c>
    </row>
    <row r="40" spans="1:5" ht="15.6" x14ac:dyDescent="0.3">
      <c r="A40" s="26" t="s">
        <v>4</v>
      </c>
      <c r="B40" s="19">
        <f>IF(D40=0,0%,IF(E40=0,100%,D40/E40-1))</f>
        <v>16.237059017474447</v>
      </c>
      <c r="C40" s="20">
        <f>D40-E40</f>
        <v>2462.35</v>
      </c>
      <c r="D40" s="21">
        <f>VLOOKUP('עולים יורדים'!A38,'תפוקה מצטברת מול אשתקד'!A:K,9,0)</f>
        <v>2614</v>
      </c>
      <c r="E40" s="22">
        <f>VLOOKUP(A40,'תפוקה מצטברת מול אשתקד'!A:O,13,0)</f>
        <v>151.65</v>
      </c>
    </row>
    <row r="41" spans="1:5" ht="15.6" x14ac:dyDescent="0.3">
      <c r="A41" s="26" t="s">
        <v>7</v>
      </c>
      <c r="B41" s="19">
        <f>IF(D41=0,0%,IF(E41=0,100%,D41/E41-1))</f>
        <v>128.52960080803655</v>
      </c>
      <c r="C41" s="20">
        <f>D41-E41</f>
        <v>22239.476827814568</v>
      </c>
      <c r="D41" s="21">
        <f>VLOOKUP('עולים יורדים'!A57,'תפוקה מצטברת מול אשתקד'!A:K,9,0)</f>
        <v>22412.506827814566</v>
      </c>
      <c r="E41" s="22">
        <f>VLOOKUP(A41,'תפוקה מצטברת מול אשתקד'!A:O,13,0)</f>
        <v>173.03</v>
      </c>
    </row>
    <row r="42" spans="1:5" ht="15.6" x14ac:dyDescent="0.3">
      <c r="A42" s="26" t="s">
        <v>94</v>
      </c>
      <c r="B42" s="19">
        <f>IF(D42=0,0%,IF(E42=0,100%,D42/E42-1))</f>
        <v>54.221931106647553</v>
      </c>
      <c r="C42" s="20">
        <f>D42-E42</f>
        <v>47070.238675119552</v>
      </c>
      <c r="D42" s="21">
        <f>VLOOKUP('עולים יורדים'!A56,'תפוקה מצטברת מול אשתקד'!A:K,9,0)</f>
        <v>47938.342000000004</v>
      </c>
      <c r="E42" s="22">
        <f>VLOOKUP(A42,'תפוקה מצטברת מול אשתקד'!A:O,13,0)</f>
        <v>868.10332488045208</v>
      </c>
    </row>
    <row r="43" spans="1:5" ht="15.6" x14ac:dyDescent="0.3">
      <c r="A43" s="26" t="s">
        <v>91</v>
      </c>
      <c r="B43" s="19">
        <f>IF(D43=0,0%,IF(E43=0,100%,D43/E43-1))</f>
        <v>7.9016513294323438</v>
      </c>
      <c r="C43" s="20">
        <f>D43-E43</f>
        <v>75898.149035413677</v>
      </c>
      <c r="D43" s="21">
        <f>VLOOKUP('עולים יורדים'!A60,'תפוקה מצטברת מול אשתקד'!A:K,9,0)</f>
        <v>85503.501875104994</v>
      </c>
      <c r="E43" s="22">
        <f>VLOOKUP(A43,'תפוקה מצטברת מול אשתקד'!A:O,13,0)</f>
        <v>9605.3528396913225</v>
      </c>
    </row>
    <row r="44" spans="1:5" ht="15.6" x14ac:dyDescent="0.3">
      <c r="A44" s="26" t="s">
        <v>92</v>
      </c>
      <c r="B44" s="19">
        <f>IF(D44=0,0%,IF(E44=0,100%,D44/E44-1))</f>
        <v>-0.74336687594203021</v>
      </c>
      <c r="C44" s="20">
        <f>D44-E44</f>
        <v>-3398.1037575526952</v>
      </c>
      <c r="D44" s="21">
        <f>VLOOKUP('עולים יורדים'!A40,'תפוקה מצטברת מול אשתקד'!A:K,9,0)</f>
        <v>1173.1300000000001</v>
      </c>
      <c r="E44" s="22">
        <f>VLOOKUP(A44,'תפוקה מצטברת מול אשתקד'!A:O,13,0)</f>
        <v>4571.2337575526954</v>
      </c>
    </row>
    <row r="45" spans="1:5" ht="15.6" x14ac:dyDescent="0.3">
      <c r="A45" s="30" t="s">
        <v>33</v>
      </c>
      <c r="B45" s="19">
        <f>IF(D45=0,0%,IF(E45=0,100%,D45/E45-1))</f>
        <v>4.8931657260133408</v>
      </c>
      <c r="C45" s="20">
        <f>D45-E45</f>
        <v>23841.950000000004</v>
      </c>
      <c r="D45" s="21">
        <f>VLOOKUP('עולים יורדים'!A47,'תפוקה מצטברת מול אשתקד'!A:K,9,0)</f>
        <v>28714.450000000004</v>
      </c>
      <c r="E45" s="22">
        <f>VLOOKUP(A45,'תפוקה מצטברת מול אשתקד'!A:O,13,0)</f>
        <v>4872.5</v>
      </c>
    </row>
    <row r="46" spans="1:5" ht="15.6" x14ac:dyDescent="0.3">
      <c r="A46" s="27" t="s">
        <v>6</v>
      </c>
      <c r="B46" s="19">
        <f>IF(D46=0,0%,IF(E46=0,100%,D46/E46-1))</f>
        <v>1.1127082464379257</v>
      </c>
      <c r="C46" s="20">
        <f>D46-E46</f>
        <v>43108.093692038194</v>
      </c>
      <c r="D46" s="21">
        <f>VLOOKUP('עולים יורדים'!A59,'תפוקה מצטברת מול אשתקד'!A:K,9,0)</f>
        <v>81849.69</v>
      </c>
      <c r="E46" s="22">
        <f>VLOOKUP(A46,'תפוקה מצטברת מול אשתקד'!A:O,13,0)</f>
        <v>38741.596307961809</v>
      </c>
    </row>
    <row r="47" spans="1:5" ht="15.6" x14ac:dyDescent="0.3">
      <c r="A47" s="26" t="s">
        <v>9</v>
      </c>
      <c r="B47" s="19">
        <f>IF(D47=0,0%,IF(E47=0,100%,D47/E47-1))</f>
        <v>-0.73155255836015232</v>
      </c>
      <c r="C47" s="20">
        <f>D47-E47</f>
        <v>-11998.262268682574</v>
      </c>
      <c r="D47" s="21">
        <f>VLOOKUP('עולים יורדים'!A45,'תפוקה מצטברת מול אשתקד'!A:K,9,0)</f>
        <v>4402.8317218543043</v>
      </c>
      <c r="E47" s="22">
        <f>VLOOKUP(A47,'תפוקה מצטברת מול אשתקד'!A:O,13,0)</f>
        <v>16401.09399053688</v>
      </c>
    </row>
    <row r="48" spans="1:5" ht="15.6" x14ac:dyDescent="0.3">
      <c r="A48" s="26" t="s">
        <v>43</v>
      </c>
      <c r="B48" s="19">
        <f>IF(D48=0,0%,IF(E48=0,100%,D48/E48-1))</f>
        <v>-1.7618523548594722E-2</v>
      </c>
      <c r="C48" s="20">
        <f>D48-E48</f>
        <v>-388.69816183174771</v>
      </c>
      <c r="D48" s="21">
        <f>VLOOKUP('עולים יורדים'!A24,'תפוקה מצטברת מול אשתקד'!A:K,9,0)</f>
        <v>21673.205082197557</v>
      </c>
      <c r="E48" s="22">
        <f>VLOOKUP(A48,'תפוקה מצטברת מול אשתקד'!A:O,13,0)</f>
        <v>22061.903244029305</v>
      </c>
    </row>
    <row r="49" spans="1:5" ht="15.6" x14ac:dyDescent="0.3">
      <c r="A49" s="26" t="s">
        <v>96</v>
      </c>
      <c r="B49" s="19">
        <f>IF(D49=0,0%,IF(E49=0,100%,D49/E49-1))</f>
        <v>-0.12096486633117476</v>
      </c>
      <c r="C49" s="20">
        <f>D49-E49</f>
        <v>-2120.5959999999995</v>
      </c>
      <c r="D49" s="21">
        <f>VLOOKUP('עולים יורדים'!A53,'תפוקה מצטברת מול אשתקד'!A:K,9,0)</f>
        <v>15410.081</v>
      </c>
      <c r="E49" s="22">
        <f>VLOOKUP(A49,'תפוקה מצטברת מול אשתקד'!A:O,13,0)</f>
        <v>17530.677</v>
      </c>
    </row>
    <row r="50" spans="1:5" ht="15.6" x14ac:dyDescent="0.3">
      <c r="A50" s="26" t="s">
        <v>90</v>
      </c>
      <c r="B50" s="19">
        <f>IF(D50=0,0%,IF(E50=0,100%,D50/E50-1))</f>
        <v>1.2607168434449525</v>
      </c>
      <c r="C50" s="20">
        <f>D50-E50</f>
        <v>26980.954797640014</v>
      </c>
      <c r="D50" s="21">
        <f>VLOOKUP('עולים יורדים'!A35,'תפוקה מצטברת מול אשתקד'!A:K,9,0)</f>
        <v>48382.235297640014</v>
      </c>
      <c r="E50" s="22">
        <f>VLOOKUP(A50,'תפוקה מצטברת מול אשתקד'!A:O,13,0)</f>
        <v>21401.280500000001</v>
      </c>
    </row>
    <row r="51" spans="1:5" ht="15.6" x14ac:dyDescent="0.3">
      <c r="A51" s="30" t="s">
        <v>13</v>
      </c>
      <c r="B51" s="19">
        <f>IF(D51=0,0%,IF(E51=0,100%,D51/E51-1))</f>
        <v>-0.46934059867412559</v>
      </c>
      <c r="C51" s="20">
        <f>D51-E51</f>
        <v>-10543.158606032164</v>
      </c>
      <c r="D51" s="21">
        <f>VLOOKUP('עולים יורדים'!A62,'תפוקה מצטברת מול אשתקד'!A:K,9,0)</f>
        <v>11920.61</v>
      </c>
      <c r="E51" s="22">
        <f>VLOOKUP(A51,'תפוקה מצטברת מול אשתקד'!A:O,13,0)</f>
        <v>22463.768606032165</v>
      </c>
    </row>
    <row r="52" spans="1:5" ht="15.6" x14ac:dyDescent="0.3">
      <c r="A52" s="28" t="s">
        <v>42</v>
      </c>
      <c r="B52" s="19">
        <f>IF(D52=0,0%,IF(E52=0,100%,D52/E52-1))</f>
        <v>0</v>
      </c>
      <c r="C52" s="20">
        <f>D52-E52</f>
        <v>-88000.108627860362</v>
      </c>
      <c r="D52" s="21">
        <f>VLOOKUP('עולים יורדים'!A10,'תפוקה מצטברת מול אשתקד'!A:K,9,0)</f>
        <v>0</v>
      </c>
      <c r="E52" s="22">
        <f>VLOOKUP(A52,'תפוקה מצטברת מול אשתקד'!A:O,13,0)</f>
        <v>88000.108627860362</v>
      </c>
    </row>
    <row r="53" spans="1:5" ht="15.6" x14ac:dyDescent="0.3">
      <c r="A53" s="28" t="s">
        <v>81</v>
      </c>
      <c r="B53" s="19">
        <f>IF(D53=0,0%,IF(E53=0,100%,D53/E53-1))</f>
        <v>0</v>
      </c>
      <c r="C53" s="20">
        <f>D53-E53</f>
        <v>-22162.866539648523</v>
      </c>
      <c r="D53" s="21">
        <f>VLOOKUP('עולים יורדים'!A31,'תפוקה מצטברת מול אשתקד'!A:K,9,0)</f>
        <v>0</v>
      </c>
      <c r="E53" s="22">
        <f>VLOOKUP(A53,'תפוקה מצטברת מול אשתקד'!A:O,13,0)</f>
        <v>22162.866539648523</v>
      </c>
    </row>
    <row r="54" spans="1:5" ht="15.6" x14ac:dyDescent="0.3">
      <c r="A54" s="30" t="s">
        <v>17</v>
      </c>
      <c r="B54" s="19">
        <f>IF(D54=0,0%,IF(E54=0,100%,D54/E54-1))</f>
        <v>3.8491531577949845</v>
      </c>
      <c r="C54" s="20">
        <f>D54-E54</f>
        <v>145538.08768324711</v>
      </c>
      <c r="D54" s="21">
        <f>VLOOKUP('עולים יורדים'!A66,'תפוקה מצטברת מול אשתקד'!A:K,9,0)</f>
        <v>183348.50512234421</v>
      </c>
      <c r="E54" s="22">
        <f>VLOOKUP(A54,'תפוקה מצטברת מול אשתקד'!A:O,13,0)</f>
        <v>37810.417439097095</v>
      </c>
    </row>
    <row r="55" spans="1:5" ht="15.6" x14ac:dyDescent="0.3">
      <c r="A55" s="244" t="s">
        <v>95</v>
      </c>
      <c r="B55" s="19">
        <f>IF(D55=0,0%,IF(E55=0,100%,D55/E55-1))</f>
        <v>-0.43348023114927792</v>
      </c>
      <c r="C55" s="20">
        <f>D55-E55</f>
        <v>-13959.741785465136</v>
      </c>
      <c r="D55" s="21">
        <f>VLOOKUP('עולים יורדים'!A23,'תפוקה מצטברת מול אשתקד'!A:K,9,0)</f>
        <v>18244.129999999997</v>
      </c>
      <c r="E55" s="22">
        <f>VLOOKUP(A55,'תפוקה מצטברת מול אשתקד'!A:O,13,0)</f>
        <v>32203.871785465133</v>
      </c>
    </row>
    <row r="56" spans="1:5" ht="15.6" x14ac:dyDescent="0.3">
      <c r="A56" s="26" t="s">
        <v>100</v>
      </c>
      <c r="B56" s="19">
        <f>IF(D56=0,0%,IF(E56=0,100%,D56/E56-1))</f>
        <v>-0.91056152566241422</v>
      </c>
      <c r="C56" s="20">
        <f>D56-E56</f>
        <v>-31275.067007158217</v>
      </c>
      <c r="D56" s="21">
        <f>VLOOKUP('עולים יורדים'!A37,'תפוקה מצטברת מול אשתקד'!A:K,9,0)</f>
        <v>3071.9442883237321</v>
      </c>
      <c r="E56" s="22">
        <f>VLOOKUP(A56,'תפוקה מצטברת מול אשתקד'!A:O,13,0)</f>
        <v>34347.011295481949</v>
      </c>
    </row>
    <row r="57" spans="1:5" ht="15.6" x14ac:dyDescent="0.3">
      <c r="A57" s="26" t="s">
        <v>83</v>
      </c>
      <c r="B57" s="19">
        <f>IF(D57=0,0%,IF(E57=0,100%,D57/E57-1))</f>
        <v>1.4095094549634593</v>
      </c>
      <c r="C57" s="20">
        <f>D57-E57</f>
        <v>51179.078944285691</v>
      </c>
      <c r="D57" s="21">
        <f>VLOOKUP('עולים יורדים'!A48,'תפוקה מצטברת מול אשתקד'!A:K,9,0)</f>
        <v>87488.930406482861</v>
      </c>
      <c r="E57" s="22">
        <f>VLOOKUP(A57,'תפוקה מצטברת מול אשתקד'!A:O,13,0)</f>
        <v>36309.85146219717</v>
      </c>
    </row>
    <row r="58" spans="1:5" ht="15.6" x14ac:dyDescent="0.3">
      <c r="A58" s="26" t="s">
        <v>93</v>
      </c>
      <c r="B58" s="19">
        <f>IF(D58=0,0%,IF(E58=0,100%,D58/E58-1))</f>
        <v>0</v>
      </c>
      <c r="C58" s="20">
        <f>D58-E58</f>
        <v>-49082.807156000003</v>
      </c>
      <c r="D58" s="21">
        <f>VLOOKUP('עולים יורדים'!A28,'תפוקה מצטברת מול אשתקד'!A:K,9,0)</f>
        <v>0</v>
      </c>
      <c r="E58" s="22">
        <f>VLOOKUP(A58,'תפוקה מצטברת מול אשתקד'!A:O,13,0)</f>
        <v>49082.807156000003</v>
      </c>
    </row>
    <row r="59" spans="1:5" ht="15.6" x14ac:dyDescent="0.3">
      <c r="A59" s="30" t="s">
        <v>15</v>
      </c>
      <c r="B59" s="19">
        <f>IF(D59=0,0%,IF(E59=0,100%,D59/E59-1))</f>
        <v>0.51815761733953769</v>
      </c>
      <c r="C59" s="20">
        <f>D59-E59</f>
        <v>39139.519044000015</v>
      </c>
      <c r="D59" s="21">
        <f>VLOOKUP('עולים יורדים'!A65,'תפוקה מצטברת מול אשתקד'!A:K,9,0)</f>
        <v>114675.452</v>
      </c>
      <c r="E59" s="22">
        <f>VLOOKUP(A59,'תפוקה מצטברת מול אשתקד'!A:O,13,0)</f>
        <v>75535.93295599999</v>
      </c>
    </row>
    <row r="60" spans="1:5" ht="15.6" x14ac:dyDescent="0.3">
      <c r="A60" s="26" t="s">
        <v>20</v>
      </c>
      <c r="B60" s="19">
        <f>IF(D60=0,0%,IF(E60=0,100%,D60/E60-1))</f>
        <v>-0.90196881950250563</v>
      </c>
      <c r="C60" s="20">
        <f>D60-E60</f>
        <v>-51630.289073726351</v>
      </c>
      <c r="D60" s="21">
        <f>VLOOKUP('עולים יורדים'!A18,'תפוקה מצטברת מול אשתקד'!A:K,9,0)</f>
        <v>5611.4780000000001</v>
      </c>
      <c r="E60" s="22">
        <f>VLOOKUP(A60,'תפוקה מצטברת מול אשתקד'!A:O,13,0)</f>
        <v>57241.767073726354</v>
      </c>
    </row>
    <row r="61" spans="1:5" ht="15.6" x14ac:dyDescent="0.3">
      <c r="A61" s="26" t="s">
        <v>86</v>
      </c>
      <c r="B61" s="19">
        <f>IF(D61=0,0%,IF(E61=0,100%,D61/E61-1))</f>
        <v>0</v>
      </c>
      <c r="C61" s="20">
        <f>D61-E61</f>
        <v>-79501.715676791166</v>
      </c>
      <c r="D61" s="21">
        <f>VLOOKUP('עולים יורדים'!A42,'תפוקה מצטברת מול אשתקד'!A:K,9,0)</f>
        <v>0</v>
      </c>
      <c r="E61" s="22">
        <f>VLOOKUP(A61,'תפוקה מצטברת מול אשתקד'!A:O,13,0)</f>
        <v>79501.715676791166</v>
      </c>
    </row>
    <row r="62" spans="1:5" ht="15.6" x14ac:dyDescent="0.3">
      <c r="A62" s="26" t="s">
        <v>11</v>
      </c>
      <c r="B62" s="19">
        <f>IF(D62=0,0%,IF(E62=0,100%,D62/E62-1))</f>
        <v>1.1878726502014629</v>
      </c>
      <c r="C62" s="20">
        <f>D62-E62</f>
        <v>111353.99518884256</v>
      </c>
      <c r="D62" s="21">
        <f>VLOOKUP('עולים יורדים'!A52,'תפוקה מצטברת מול אשתקד'!A:K,9,0)</f>
        <v>205096.36325326172</v>
      </c>
      <c r="E62" s="22">
        <f>VLOOKUP(A62,'תפוקה מצטברת מול אשתקד'!A:O,13,0)</f>
        <v>93742.368064419163</v>
      </c>
    </row>
    <row r="63" spans="1:5" ht="15.6" x14ac:dyDescent="0.3">
      <c r="A63" s="26" t="s">
        <v>37</v>
      </c>
      <c r="B63" s="19">
        <f>IF(D63=0,0%,IF(E63=0,100%,D63/E63-1))</f>
        <v>-1.0149478788494812</v>
      </c>
      <c r="C63" s="20">
        <f>D63-E63</f>
        <v>-106150.80951682829</v>
      </c>
      <c r="D63" s="21">
        <f>VLOOKUP('עולים יורדים'!A50,'תפוקה מצטברת מול אשתקד'!A:K,9,0)</f>
        <v>-1563.3605168282938</v>
      </c>
      <c r="E63" s="22">
        <f>VLOOKUP(A63,'תפוקה מצטברת מול אשתקד'!A:O,13,0)</f>
        <v>104587.44899999999</v>
      </c>
    </row>
    <row r="64" spans="1:5" ht="14.4" x14ac:dyDescent="0.3">
      <c r="A64" s="118" t="s">
        <v>101</v>
      </c>
      <c r="B64" s="19">
        <f>IF(D64=0,0%,IF(E64=0,100%,D64/E64-1))</f>
        <v>-0.70413084205763798</v>
      </c>
      <c r="C64" s="20">
        <f>D64-E64</f>
        <v>-83817.863522637082</v>
      </c>
      <c r="D64" s="21">
        <f>VLOOKUP('עולים יורדים'!A49,'תפוקה מצטברת מול אשתקד'!A:K,9,0)</f>
        <v>35219.477999999996</v>
      </c>
      <c r="E64" s="22">
        <f>VLOOKUP(A64,'תפוקה מצטברת מול אשתקד'!A:O,13,0)</f>
        <v>119037.34152263707</v>
      </c>
    </row>
    <row r="65" spans="1:5" ht="15.6" x14ac:dyDescent="0.3">
      <c r="A65" s="26" t="s">
        <v>8</v>
      </c>
      <c r="B65" s="19">
        <f>IF(D65=0,0%,IF(E65=0,100%,D65/E65-1))</f>
        <v>-0.87560267704353545</v>
      </c>
      <c r="C65" s="20">
        <f>D65-E65</f>
        <v>-176003.30414517637</v>
      </c>
      <c r="D65" s="21">
        <f>VLOOKUP('עולים יורדים'!A61,'תפוקה מצטברת מול אשתקד'!A:K,9,0)</f>
        <v>25004.880000000001</v>
      </c>
      <c r="E65" s="22">
        <f>VLOOKUP(A65,'תפוקה מצטברת מול אשתקד'!A:O,13,0)</f>
        <v>201008.18414517638</v>
      </c>
    </row>
    <row r="66" spans="1:5" ht="15.6" x14ac:dyDescent="0.3">
      <c r="A66" s="30" t="s">
        <v>25</v>
      </c>
      <c r="B66" s="19">
        <f>IF(D66=0,0%,IF(E66=0,100%,D66/E66-1))</f>
        <v>0</v>
      </c>
      <c r="C66" s="20">
        <f>D66-E66</f>
        <v>-270588.35067883413</v>
      </c>
      <c r="D66" s="21">
        <f>VLOOKUP('עולים יורדים'!A9,'תפוקה מצטברת מול אשתקד'!A:K,9,0)</f>
        <v>0</v>
      </c>
      <c r="E66" s="22">
        <f>VLOOKUP(A66,'תפוקה מצטברת מול אשתקד'!A:O,13,0)</f>
        <v>270588.35067883413</v>
      </c>
    </row>
    <row r="67" spans="1:5" ht="15.6" x14ac:dyDescent="0.3">
      <c r="A67" s="245" t="s">
        <v>40</v>
      </c>
      <c r="B67" s="19">
        <f>IF(D67=0,0%,IF(E67=0,100%,D67/E67-1))</f>
        <v>-0.98846228078123188</v>
      </c>
      <c r="C67" s="20">
        <f>D67-E67</f>
        <v>-280396.6830382201</v>
      </c>
      <c r="D67" s="21">
        <f>VLOOKUP('עולים יורדים'!A26,'תפוקה מצטברת מול אשתקד'!A:K,9,0)</f>
        <v>3272.9</v>
      </c>
      <c r="E67" s="22">
        <f>VLOOKUP(A67,'תפוקה מצטברת מול אשתקד'!A:O,13,0)</f>
        <v>283669.58303822012</v>
      </c>
    </row>
    <row r="68" spans="1:5" ht="15.6" x14ac:dyDescent="0.3">
      <c r="A68" s="26" t="s">
        <v>5</v>
      </c>
      <c r="B68" s="19">
        <f>IF(D68=0,0%,IF(E68=0,100%,D68/E68-1))</f>
        <v>-1.0012885511613043</v>
      </c>
      <c r="C68" s="20">
        <f>D68-E68</f>
        <v>-371533.23892650672</v>
      </c>
      <c r="D68" s="21">
        <f>VLOOKUP('עולים יורדים'!A44,'תפוקה מצטברת מול אשתקד'!A:K,9,0)</f>
        <v>-478.12349989090097</v>
      </c>
      <c r="E68" s="22">
        <f>VLOOKUP(A68,'תפוקה מצטברת מול אשתקד'!A:O,13,0)</f>
        <v>371055.11542661581</v>
      </c>
    </row>
    <row r="69" spans="1:5" ht="15.6" x14ac:dyDescent="0.3">
      <c r="A69" s="26" t="s">
        <v>1</v>
      </c>
      <c r="B69" s="19">
        <f>IF(D69=0,0%,IF(E69=0,100%,D69/E69-1))</f>
        <v>-0.99658235677283746</v>
      </c>
      <c r="C69" s="20">
        <f>D69-E69</f>
        <v>-614691.31458210445</v>
      </c>
      <c r="D69" s="21">
        <f>VLOOKUP('עולים יורדים'!A30,'תפוקה מצטברת מול אשתקד'!A:K,9,0)</f>
        <v>2108</v>
      </c>
      <c r="E69" s="22">
        <f>VLOOKUP(A69,'תפוקה מצטברת מול אשתקד'!A:O,13,0)</f>
        <v>616799.31458210445</v>
      </c>
    </row>
  </sheetData>
  <autoFilter ref="A1:F69" xr:uid="{86B556E0-BEA5-4A33-8A86-06A0464561C3}"/>
  <sortState xmlns:xlrd2="http://schemas.microsoft.com/office/spreadsheetml/2017/richdata2" ref="A2:E71">
    <sortCondition ref="B1:B71"/>
  </sortState>
  <conditionalFormatting sqref="A1:A16">
    <cfRule type="duplicateValues" dxfId="281" priority="172"/>
    <cfRule type="duplicateValues" dxfId="280" priority="173"/>
  </conditionalFormatting>
  <conditionalFormatting sqref="A22">
    <cfRule type="duplicateValues" dxfId="279" priority="1"/>
    <cfRule type="duplicateValues" dxfId="278" priority="2"/>
  </conditionalFormatting>
  <conditionalFormatting sqref="A32">
    <cfRule type="duplicateValues" dxfId="277" priority="3"/>
    <cfRule type="duplicateValues" dxfId="276" priority="4"/>
  </conditionalFormatting>
  <conditionalFormatting sqref="A48">
    <cfRule type="duplicateValues" dxfId="275" priority="5"/>
    <cfRule type="duplicateValues" dxfId="274" priority="6"/>
  </conditionalFormatting>
  <conditionalFormatting sqref="A49:A54 A17:A21 A56:A61 A33:A47 A23:A26 A28:A31">
    <cfRule type="duplicateValues" dxfId="273" priority="15"/>
    <cfRule type="duplicateValues" dxfId="272" priority="16"/>
  </conditionalFormatting>
  <conditionalFormatting sqref="A68">
    <cfRule type="duplicateValues" dxfId="271" priority="9"/>
    <cfRule type="duplicateValues" dxfId="270" priority="10"/>
  </conditionalFormatting>
  <conditionalFormatting sqref="A69 A62:A67">
    <cfRule type="duplicateValues" dxfId="269" priority="13"/>
    <cfRule type="duplicateValues" dxfId="268" priority="14"/>
  </conditionalFormatting>
  <conditionalFormatting sqref="B2:B69">
    <cfRule type="cellIs" dxfId="267" priority="28" operator="lessThan">
      <formula>-0.0001</formula>
    </cfRule>
    <cfRule type="cellIs" dxfId="266" priority="29" operator="greaterThan">
      <formula>0.1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3476-94B3-4EB2-924E-A95904F321CF}">
  <sheetPr>
    <tabColor rgb="FFFFFF00"/>
  </sheetPr>
  <dimension ref="A1:K78"/>
  <sheetViews>
    <sheetView rightToLeft="1" workbookViewId="0">
      <selection activeCell="L10" sqref="L10"/>
    </sheetView>
  </sheetViews>
  <sheetFormatPr defaultColWidth="22.3984375" defaultRowHeight="14.4" x14ac:dyDescent="0.3"/>
  <cols>
    <col min="1" max="1" width="30" style="32" bestFit="1" customWidth="1"/>
    <col min="2" max="2" width="10.69921875" style="32" customWidth="1"/>
    <col min="3" max="3" width="11.69921875" style="32" customWidth="1"/>
    <col min="4" max="4" width="14.3984375" customWidth="1"/>
    <col min="5" max="5" width="14.69921875" customWidth="1"/>
    <col min="6" max="6" width="15.3984375" customWidth="1"/>
    <col min="7" max="7" width="19" customWidth="1"/>
    <col min="8" max="8" width="14.3984375" style="3" bestFit="1" customWidth="1"/>
    <col min="9" max="9" width="14.69921875" style="3" bestFit="1" customWidth="1"/>
    <col min="10" max="10" width="15.3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>
        <v>2975</v>
      </c>
      <c r="F3" s="14">
        <v>0</v>
      </c>
      <c r="G3" s="14"/>
      <c r="H3" s="96"/>
      <c r="I3" s="96">
        <v>2929</v>
      </c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116"/>
      <c r="I6" s="116"/>
      <c r="J6" s="116"/>
      <c r="K6" s="11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">
      <c r="A8" s="122" t="s">
        <v>3</v>
      </c>
      <c r="B8" s="121"/>
      <c r="C8" s="121"/>
      <c r="D8" s="176">
        <f>SUM(D3:D7)</f>
        <v>0</v>
      </c>
      <c r="E8" s="176">
        <f t="shared" ref="E8:K8" si="0">SUM(E3:E7)</f>
        <v>2975</v>
      </c>
      <c r="F8" s="176">
        <f t="shared" si="0"/>
        <v>0</v>
      </c>
      <c r="G8" s="176">
        <f t="shared" si="0"/>
        <v>0</v>
      </c>
      <c r="H8" s="176">
        <f t="shared" si="0"/>
        <v>0</v>
      </c>
      <c r="I8" s="176">
        <f t="shared" si="0"/>
        <v>2929</v>
      </c>
      <c r="J8" s="176">
        <f t="shared" si="0"/>
        <v>0</v>
      </c>
      <c r="K8" s="176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119"/>
      <c r="I9" s="119"/>
      <c r="J9" s="119"/>
      <c r="K9" s="119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140</v>
      </c>
      <c r="B20" s="26" t="s">
        <v>108</v>
      </c>
      <c r="C20" s="26" t="s">
        <v>106</v>
      </c>
      <c r="D20" s="15"/>
      <c r="E20" s="15"/>
      <c r="F20" s="15"/>
      <c r="G20" s="15"/>
      <c r="H20" s="116"/>
      <c r="I20" s="116"/>
      <c r="J20" s="116"/>
      <c r="K20" s="11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116"/>
      <c r="I21" s="116"/>
      <c r="J21" s="116"/>
      <c r="K21" s="116"/>
    </row>
    <row r="22" spans="1:11" ht="21.6" thickBot="1" x14ac:dyDescent="0.35">
      <c r="A22" s="122" t="s">
        <v>10</v>
      </c>
      <c r="B22" s="121"/>
      <c r="C22" s="121"/>
      <c r="D22" s="120">
        <f>SUM(D9:D21)</f>
        <v>0</v>
      </c>
      <c r="E22" s="120">
        <f t="shared" ref="E22:K22" si="1">SUM(E9:E21)</f>
        <v>0</v>
      </c>
      <c r="F22" s="120">
        <f t="shared" si="1"/>
        <v>0</v>
      </c>
      <c r="G22" s="120">
        <f>SUM(G9:G21)</f>
        <v>0</v>
      </c>
      <c r="H22" s="120">
        <f t="shared" si="1"/>
        <v>0</v>
      </c>
      <c r="I22" s="120">
        <f t="shared" si="1"/>
        <v>0</v>
      </c>
      <c r="J22" s="120">
        <f t="shared" si="1"/>
        <v>0</v>
      </c>
      <c r="K22" s="120">
        <f t="shared" si="1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119"/>
      <c r="I23" s="119"/>
      <c r="J23" s="119"/>
      <c r="K23" s="119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1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1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1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1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1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1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1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1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1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1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1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1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1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1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1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1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1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1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1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1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1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1" ht="15.6" x14ac:dyDescent="0.3">
      <c r="A54" s="26" t="s">
        <v>139</v>
      </c>
      <c r="B54" s="26" t="s">
        <v>108</v>
      </c>
      <c r="C54" s="27" t="s">
        <v>107</v>
      </c>
      <c r="D54" s="15"/>
      <c r="E54" s="15"/>
      <c r="F54" s="15"/>
      <c r="G54" s="15"/>
      <c r="H54" s="116"/>
      <c r="I54" s="116"/>
      <c r="J54" s="116"/>
      <c r="K54" s="116"/>
    </row>
    <row r="55" spans="1:11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116"/>
      <c r="I55" s="116"/>
      <c r="J55" s="116"/>
      <c r="K55" s="116"/>
    </row>
    <row r="56" spans="1:11" ht="21.6" thickBot="1" x14ac:dyDescent="0.35">
      <c r="A56" s="123" t="s">
        <v>116</v>
      </c>
      <c r="B56" s="121"/>
      <c r="C56" s="121"/>
      <c r="D56" s="120">
        <f t="shared" ref="D56:K56" ca="1" si="2">SUM(D22:D58)</f>
        <v>0</v>
      </c>
      <c r="E56" s="120">
        <f t="shared" ca="1" si="2"/>
        <v>0</v>
      </c>
      <c r="F56" s="120">
        <f t="shared" ca="1" si="2"/>
        <v>0</v>
      </c>
      <c r="G56" s="120">
        <f t="shared" ca="1" si="2"/>
        <v>0</v>
      </c>
      <c r="H56" s="120">
        <f t="shared" ca="1" si="2"/>
        <v>0</v>
      </c>
      <c r="I56" s="120">
        <f t="shared" ca="1" si="2"/>
        <v>0</v>
      </c>
      <c r="J56" s="120">
        <f t="shared" ca="1" si="2"/>
        <v>0</v>
      </c>
      <c r="K56" s="120">
        <f t="shared" ca="1" si="2"/>
        <v>0</v>
      </c>
    </row>
    <row r="57" spans="1:11" ht="15.6" x14ac:dyDescent="0.3">
      <c r="A57" s="30" t="s">
        <v>33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1" ht="15.6" x14ac:dyDescent="0.3">
      <c r="A58" s="26" t="s">
        <v>84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</row>
    <row r="59" spans="1:11" ht="15.6" x14ac:dyDescent="0.3">
      <c r="A59" s="26" t="s">
        <v>37</v>
      </c>
      <c r="B59" s="26" t="s">
        <v>115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</row>
    <row r="60" spans="1:11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1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1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1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1" ht="15.6" x14ac:dyDescent="0.3">
      <c r="A64" s="197" t="s">
        <v>141</v>
      </c>
      <c r="B64" s="26" t="s">
        <v>115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1" ht="15.75" customHeight="1" thickBot="1" x14ac:dyDescent="0.35">
      <c r="A65" s="117" t="s">
        <v>99</v>
      </c>
      <c r="B65" s="26" t="s">
        <v>115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1" ht="21.6" thickBot="1" x14ac:dyDescent="0.35">
      <c r="A66" s="123" t="s">
        <v>117</v>
      </c>
      <c r="B66" s="121"/>
      <c r="C66" s="121"/>
      <c r="D66" s="120">
        <f t="shared" ref="D66:K66" si="3">SUM(D23:D55)</f>
        <v>0</v>
      </c>
      <c r="E66" s="120">
        <f t="shared" si="3"/>
        <v>0</v>
      </c>
      <c r="F66" s="120">
        <f t="shared" si="3"/>
        <v>0</v>
      </c>
      <c r="G66" s="120">
        <f t="shared" si="3"/>
        <v>0</v>
      </c>
      <c r="H66" s="120">
        <f t="shared" si="3"/>
        <v>0</v>
      </c>
      <c r="I66" s="120">
        <f t="shared" si="3"/>
        <v>0</v>
      </c>
      <c r="J66" s="120">
        <f t="shared" si="3"/>
        <v>0</v>
      </c>
      <c r="K66" s="120">
        <f t="shared" si="3"/>
        <v>0</v>
      </c>
    </row>
    <row r="67" spans="1:11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119"/>
      <c r="I67" s="119"/>
      <c r="J67" s="119"/>
      <c r="K67" s="119"/>
    </row>
    <row r="68" spans="1:11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1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1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1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1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</row>
    <row r="73" spans="1:11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/>
      <c r="G73" s="14"/>
      <c r="H73" s="96"/>
      <c r="I73" s="96"/>
      <c r="J73" s="96"/>
      <c r="K73" s="96"/>
    </row>
    <row r="74" spans="1:11" ht="16.2" thickBot="1" x14ac:dyDescent="0.35">
      <c r="A74" s="28" t="s">
        <v>81</v>
      </c>
      <c r="B74" s="28" t="s">
        <v>56</v>
      </c>
      <c r="C74" s="28" t="s">
        <v>103</v>
      </c>
      <c r="D74" s="15"/>
      <c r="E74" s="15"/>
      <c r="F74" s="15"/>
      <c r="G74" s="15"/>
      <c r="H74" s="116"/>
      <c r="I74" s="116"/>
      <c r="J74" s="116"/>
      <c r="K74" s="116"/>
    </row>
    <row r="75" spans="1:11" ht="21.6" thickBot="1" x14ac:dyDescent="0.3">
      <c r="A75" s="122" t="s">
        <v>44</v>
      </c>
      <c r="B75" s="121"/>
      <c r="C75" s="121"/>
      <c r="D75" s="131">
        <f t="shared" ref="D75:K75" si="4">SUM(D67:D74)</f>
        <v>0</v>
      </c>
      <c r="E75" s="131">
        <f t="shared" si="4"/>
        <v>0</v>
      </c>
      <c r="F75" s="131">
        <f t="shared" si="4"/>
        <v>0</v>
      </c>
      <c r="G75" s="131">
        <f t="shared" si="4"/>
        <v>0</v>
      </c>
      <c r="H75" s="131">
        <f t="shared" si="4"/>
        <v>0</v>
      </c>
      <c r="I75" s="131">
        <f t="shared" si="4"/>
        <v>0</v>
      </c>
      <c r="J75" s="131">
        <f t="shared" si="4"/>
        <v>0</v>
      </c>
      <c r="K75" s="131">
        <f t="shared" si="4"/>
        <v>0</v>
      </c>
    </row>
    <row r="76" spans="1:11" ht="21.6" thickBot="1" x14ac:dyDescent="0.45">
      <c r="A76" s="122" t="s">
        <v>45</v>
      </c>
      <c r="B76" s="121"/>
      <c r="C76" s="121"/>
      <c r="D76" s="175">
        <f t="shared" ref="D76:K76" si="5">D75+D66+D22+D8</f>
        <v>0</v>
      </c>
      <c r="E76" s="175">
        <f t="shared" si="5"/>
        <v>2975</v>
      </c>
      <c r="F76" s="175">
        <f t="shared" si="5"/>
        <v>0</v>
      </c>
      <c r="G76" s="175">
        <f t="shared" si="5"/>
        <v>0</v>
      </c>
      <c r="H76" s="175">
        <f t="shared" si="5"/>
        <v>0</v>
      </c>
      <c r="I76" s="175">
        <f t="shared" si="5"/>
        <v>2929</v>
      </c>
      <c r="J76" s="132">
        <f t="shared" si="5"/>
        <v>0</v>
      </c>
      <c r="K76" s="132">
        <f t="shared" si="5"/>
        <v>0</v>
      </c>
    </row>
    <row r="77" spans="1:11" x14ac:dyDescent="0.3">
      <c r="H77" s="10"/>
      <c r="I77" s="10"/>
      <c r="J77" s="10"/>
    </row>
    <row r="78" spans="1:11" x14ac:dyDescent="0.3">
      <c r="F78" s="6"/>
    </row>
  </sheetData>
  <mergeCells count="2">
    <mergeCell ref="D1:G1"/>
    <mergeCell ref="H1:K1"/>
  </mergeCells>
  <conditionalFormatting sqref="A14">
    <cfRule type="duplicateValues" dxfId="265" priority="7"/>
    <cfRule type="duplicateValues" dxfId="264" priority="8"/>
  </conditionalFormatting>
  <conditionalFormatting sqref="A20">
    <cfRule type="duplicateValues" dxfId="263" priority="1"/>
    <cfRule type="duplicateValues" dxfId="262" priority="2"/>
  </conditionalFormatting>
  <conditionalFormatting sqref="A54">
    <cfRule type="duplicateValues" dxfId="261" priority="3"/>
    <cfRule type="duplicateValues" dxfId="260" priority="4"/>
  </conditionalFormatting>
  <conditionalFormatting sqref="A57">
    <cfRule type="duplicateValues" dxfId="259" priority="11"/>
    <cfRule type="duplicateValues" dxfId="258" priority="12"/>
  </conditionalFormatting>
  <conditionalFormatting sqref="A58:A60 A7 A23:A53 A62 A55">
    <cfRule type="duplicateValues" dxfId="257" priority="268"/>
    <cfRule type="duplicateValues" dxfId="256" priority="269"/>
  </conditionalFormatting>
  <conditionalFormatting sqref="A61">
    <cfRule type="duplicateValues" dxfId="255" priority="5"/>
    <cfRule type="duplicateValues" dxfId="254" priority="6"/>
  </conditionalFormatting>
  <conditionalFormatting sqref="A67:A74">
    <cfRule type="duplicateValues" dxfId="253" priority="15"/>
    <cfRule type="duplicateValues" dxfId="252" priority="16"/>
  </conditionalFormatting>
  <conditionalFormatting sqref="A75:A76 A1:A6 A8:A13 A15:A19 A56 A66 A21:A22">
    <cfRule type="duplicateValues" dxfId="251" priority="13"/>
    <cfRule type="duplicateValues" dxfId="250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8A06-4D4B-4B30-A1A2-FA16B619E891}">
  <sheetPr>
    <tabColor rgb="FFFFFF00"/>
  </sheetPr>
  <dimension ref="A1:M80"/>
  <sheetViews>
    <sheetView rightToLeft="1" zoomScaleNormal="100" workbookViewId="0">
      <pane ySplit="3" topLeftCell="A4" activePane="bottomLeft" state="frozen"/>
      <selection pane="bottomLeft" activeCell="L4" sqref="L4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8" width="16.8984375" style="3" customWidth="1"/>
    <col min="9" max="9" width="15.19921875" style="3" customWidth="1"/>
    <col min="10" max="10" width="16.8984375" style="3" customWidth="1"/>
    <col min="11" max="11" width="19" customWidth="1"/>
  </cols>
  <sheetData>
    <row r="1" spans="1:13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3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3" ht="15.6" x14ac:dyDescent="0.3">
      <c r="A3" s="26" t="s">
        <v>1</v>
      </c>
      <c r="B3" s="26" t="s">
        <v>108</v>
      </c>
      <c r="C3" s="26" t="s">
        <v>58</v>
      </c>
      <c r="D3" s="193">
        <f>5630328.74-D4-D6-D16-D51-D52-D70-D74</f>
        <v>4873527.58</v>
      </c>
      <c r="E3" s="193">
        <f>157169.59-1689-E4-E5-E6-E16-E51-E52-E55-E71-E74</f>
        <v>85523.040000000008</v>
      </c>
      <c r="F3" s="193">
        <f>3615817.45-182087-F4-F52</f>
        <v>2560331.7200000002</v>
      </c>
      <c r="G3" s="193">
        <f>50739267.28-G4-G6-G16-G51-G52-G70</f>
        <v>46095409.619999997</v>
      </c>
      <c r="H3" s="96">
        <v>1185490.0099999998</v>
      </c>
      <c r="I3" s="96">
        <v>170508.77000000005</v>
      </c>
      <c r="J3" s="96">
        <v>2073595.1999999997</v>
      </c>
      <c r="K3" s="96">
        <v>11121932.109999998</v>
      </c>
    </row>
    <row r="4" spans="1:13" ht="15.6" x14ac:dyDescent="0.3">
      <c r="A4" s="26" t="s">
        <v>2</v>
      </c>
      <c r="B4" s="26" t="s">
        <v>108</v>
      </c>
      <c r="C4" s="26" t="s">
        <v>58</v>
      </c>
      <c r="D4" s="193">
        <v>273653.15999999997</v>
      </c>
      <c r="E4" s="193">
        <v>6.36</v>
      </c>
      <c r="F4" s="193">
        <v>818984.87</v>
      </c>
      <c r="G4" s="193">
        <v>1943876.31</v>
      </c>
      <c r="H4" s="96">
        <v>269726.59999999998</v>
      </c>
      <c r="I4" s="96">
        <v>0</v>
      </c>
      <c r="J4" s="96">
        <v>3429021.2299999995</v>
      </c>
      <c r="K4" s="96">
        <v>2346987.5700000003</v>
      </c>
    </row>
    <row r="5" spans="1:13" ht="15.6" x14ac:dyDescent="0.3">
      <c r="A5" s="26" t="s">
        <v>104</v>
      </c>
      <c r="B5" s="26" t="s">
        <v>108</v>
      </c>
      <c r="C5" s="26" t="s">
        <v>58</v>
      </c>
      <c r="D5" s="193"/>
      <c r="E5" s="193">
        <v>3377.59</v>
      </c>
      <c r="F5" s="193"/>
      <c r="G5" s="193"/>
      <c r="H5" s="96"/>
      <c r="I5" s="96"/>
      <c r="J5" s="96"/>
      <c r="K5" s="96"/>
      <c r="M5" s="6"/>
    </row>
    <row r="6" spans="1:13" ht="15.6" x14ac:dyDescent="0.3">
      <c r="A6" s="28" t="s">
        <v>105</v>
      </c>
      <c r="B6" s="26" t="s">
        <v>108</v>
      </c>
      <c r="C6" s="28" t="s">
        <v>58</v>
      </c>
      <c r="D6" s="193">
        <v>113535.01</v>
      </c>
      <c r="E6" s="193">
        <v>1514.19</v>
      </c>
      <c r="F6" s="193"/>
      <c r="G6" s="193">
        <v>860814.44</v>
      </c>
      <c r="H6" s="96"/>
      <c r="I6" s="96"/>
      <c r="J6" s="96"/>
      <c r="K6" s="96"/>
    </row>
    <row r="7" spans="1:13" ht="16.2" thickBot="1" x14ac:dyDescent="0.35">
      <c r="A7" s="26" t="s">
        <v>34</v>
      </c>
      <c r="B7" s="26" t="s">
        <v>108</v>
      </c>
      <c r="C7" s="26" t="s">
        <v>58</v>
      </c>
      <c r="D7" s="193">
        <v>8288.5400000000009</v>
      </c>
      <c r="E7" s="193">
        <v>400.28</v>
      </c>
      <c r="F7" s="193">
        <v>9181.69</v>
      </c>
      <c r="G7" s="193">
        <v>53154.27</v>
      </c>
      <c r="H7" s="96">
        <v>39601.31</v>
      </c>
      <c r="I7" s="96">
        <v>0</v>
      </c>
      <c r="J7" s="96">
        <v>10363.5</v>
      </c>
      <c r="K7" s="96">
        <v>105525.07</v>
      </c>
    </row>
    <row r="8" spans="1:13" ht="21.6" thickBot="1" x14ac:dyDescent="0.45">
      <c r="A8" s="122" t="s">
        <v>3</v>
      </c>
      <c r="B8" s="121"/>
      <c r="C8" s="121"/>
      <c r="D8" s="174">
        <f>SUM(D3:D7)</f>
        <v>5269004.29</v>
      </c>
      <c r="E8" s="174">
        <f t="shared" ref="E8:G8" si="0">SUM(E3:E7)</f>
        <v>90821.46</v>
      </c>
      <c r="F8" s="174">
        <f t="shared" si="0"/>
        <v>3388498.2800000003</v>
      </c>
      <c r="G8" s="174">
        <f t="shared" si="0"/>
        <v>48953254.640000001</v>
      </c>
      <c r="H8" s="174">
        <f>SUM(H3:H7)</f>
        <v>1494817.92</v>
      </c>
      <c r="I8" s="174">
        <f t="shared" ref="I8:K8" si="1">SUM(I3:I7)</f>
        <v>170508.77000000005</v>
      </c>
      <c r="J8" s="174">
        <f t="shared" si="1"/>
        <v>5512979.9299999997</v>
      </c>
      <c r="K8" s="174">
        <f t="shared" si="1"/>
        <v>13574444.749999998</v>
      </c>
    </row>
    <row r="9" spans="1:13" ht="15.6" x14ac:dyDescent="0.3">
      <c r="A9" s="27" t="s">
        <v>4</v>
      </c>
      <c r="B9" s="26" t="s">
        <v>108</v>
      </c>
      <c r="C9" s="27" t="s">
        <v>106</v>
      </c>
      <c r="D9" s="18">
        <v>131.32</v>
      </c>
      <c r="E9" s="18">
        <v>27.63</v>
      </c>
      <c r="F9" s="18"/>
      <c r="G9" s="18"/>
      <c r="H9" s="96">
        <v>0</v>
      </c>
      <c r="I9" s="96">
        <v>81.66</v>
      </c>
      <c r="J9" s="96">
        <v>0</v>
      </c>
      <c r="K9" s="96">
        <v>0</v>
      </c>
    </row>
    <row r="10" spans="1:13" ht="15.6" x14ac:dyDescent="0.3">
      <c r="A10" s="26" t="s">
        <v>5</v>
      </c>
      <c r="B10" s="26" t="s">
        <v>108</v>
      </c>
      <c r="C10" s="26" t="s">
        <v>106</v>
      </c>
      <c r="D10" s="14">
        <v>1661.87</v>
      </c>
      <c r="E10" s="14">
        <v>39835.160000000003</v>
      </c>
      <c r="F10" s="14"/>
      <c r="G10" s="14"/>
      <c r="H10" s="96">
        <v>2325.31</v>
      </c>
      <c r="I10" s="96">
        <v>50936.74</v>
      </c>
      <c r="J10" s="96">
        <v>140.55000000000001</v>
      </c>
      <c r="K10" s="96">
        <v>28899.73</v>
      </c>
    </row>
    <row r="11" spans="1:13" ht="15.6" x14ac:dyDescent="0.3">
      <c r="A11" s="26" t="s">
        <v>6</v>
      </c>
      <c r="B11" s="26" t="s">
        <v>108</v>
      </c>
      <c r="C11" s="26" t="s">
        <v>106</v>
      </c>
      <c r="D11" s="14">
        <v>48738.16</v>
      </c>
      <c r="E11" s="14">
        <v>4038.15</v>
      </c>
      <c r="F11" s="14">
        <v>213682.08</v>
      </c>
      <c r="G11" s="14">
        <v>568183.63</v>
      </c>
      <c r="H11" s="96">
        <v>42540.17</v>
      </c>
      <c r="I11" s="96">
        <v>6057.9400000000005</v>
      </c>
      <c r="J11" s="96">
        <v>61272.49</v>
      </c>
      <c r="K11" s="96">
        <v>247734.74</v>
      </c>
    </row>
    <row r="12" spans="1:13" ht="15.6" x14ac:dyDescent="0.3">
      <c r="A12" s="26" t="s">
        <v>7</v>
      </c>
      <c r="B12" s="26" t="s">
        <v>108</v>
      </c>
      <c r="C12" s="26" t="s">
        <v>106</v>
      </c>
      <c r="D12" s="14">
        <v>157754.41</v>
      </c>
      <c r="E12" s="14">
        <v>4668.8599999999997</v>
      </c>
      <c r="F12" s="14"/>
      <c r="G12">
        <v>132140.6</v>
      </c>
      <c r="H12" s="96">
        <v>138.06</v>
      </c>
      <c r="I12" s="96">
        <v>173.03</v>
      </c>
      <c r="J12" s="96">
        <v>0</v>
      </c>
      <c r="K12" s="96">
        <v>0</v>
      </c>
    </row>
    <row r="13" spans="1:13" ht="15.6" x14ac:dyDescent="0.3">
      <c r="A13" s="26" t="s">
        <v>8</v>
      </c>
      <c r="B13" s="26" t="s">
        <v>108</v>
      </c>
      <c r="C13" s="26" t="s">
        <v>106</v>
      </c>
      <c r="D13" s="14"/>
      <c r="E13" s="14">
        <v>3163.8</v>
      </c>
      <c r="F13" s="14"/>
      <c r="G13" s="14"/>
      <c r="H13" s="96">
        <v>0</v>
      </c>
      <c r="I13" s="96">
        <v>8876.5400000000009</v>
      </c>
      <c r="J13" s="96">
        <v>796665.26</v>
      </c>
      <c r="K13" s="96">
        <v>109348.06</v>
      </c>
    </row>
    <row r="14" spans="1:13" ht="15.6" x14ac:dyDescent="0.3">
      <c r="A14" s="26" t="s">
        <v>9</v>
      </c>
      <c r="B14" s="26" t="s">
        <v>108</v>
      </c>
      <c r="C14" s="26" t="s">
        <v>106</v>
      </c>
      <c r="D14" s="193">
        <v>65562.539999999994</v>
      </c>
      <c r="E14" s="193">
        <v>445.58</v>
      </c>
      <c r="F14" s="193">
        <v>188236.98</v>
      </c>
      <c r="G14" s="193">
        <v>566067.81000000006</v>
      </c>
      <c r="H14" s="96">
        <v>211214.43</v>
      </c>
      <c r="I14" s="96">
        <v>999.12</v>
      </c>
      <c r="J14" s="96">
        <v>234943.83</v>
      </c>
      <c r="K14" s="96">
        <v>639390.55000000005</v>
      </c>
    </row>
    <row r="15" spans="1:13" ht="15.6" x14ac:dyDescent="0.3">
      <c r="A15" s="26" t="s">
        <v>31</v>
      </c>
      <c r="B15" s="26" t="s">
        <v>108</v>
      </c>
      <c r="C15" s="26" t="s">
        <v>106</v>
      </c>
      <c r="D15" s="193"/>
      <c r="E15" s="193"/>
      <c r="F15" s="193">
        <v>218691.22</v>
      </c>
      <c r="G15" s="193"/>
      <c r="H15" s="96">
        <v>38086.79</v>
      </c>
      <c r="I15" s="96">
        <v>0</v>
      </c>
      <c r="J15" s="96">
        <v>0</v>
      </c>
      <c r="K15" s="96">
        <v>0</v>
      </c>
    </row>
    <row r="16" spans="1:13" ht="15.6" x14ac:dyDescent="0.3">
      <c r="A16" s="26" t="s">
        <v>96</v>
      </c>
      <c r="B16" s="26" t="s">
        <v>108</v>
      </c>
      <c r="C16" s="26" t="s">
        <v>106</v>
      </c>
      <c r="D16" s="193">
        <v>17696.79</v>
      </c>
      <c r="E16" s="193">
        <v>30724.1</v>
      </c>
      <c r="F16" s="193"/>
      <c r="G16" s="193">
        <v>73591.56</v>
      </c>
      <c r="H16" s="96">
        <v>0</v>
      </c>
      <c r="I16" s="96">
        <v>8723.07</v>
      </c>
      <c r="J16" s="96">
        <v>0</v>
      </c>
      <c r="K16" s="96"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3">
        <v>370477.45</v>
      </c>
      <c r="E17" s="193">
        <v>19280.650000000001</v>
      </c>
      <c r="F17" s="193">
        <v>492063.8</v>
      </c>
      <c r="G17" s="193">
        <v>2903252.52</v>
      </c>
      <c r="H17" s="96">
        <v>295515.30999999994</v>
      </c>
      <c r="I17" s="96">
        <v>9594.7900000000009</v>
      </c>
      <c r="J17" s="96">
        <v>446388.8600000001</v>
      </c>
      <c r="K17" s="96">
        <v>1436525.08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3">
        <v>160856.57</v>
      </c>
      <c r="E18" s="193">
        <v>2943.86</v>
      </c>
      <c r="F18" s="193">
        <v>1198966.72</v>
      </c>
      <c r="G18" s="193">
        <v>308671.59000000003</v>
      </c>
      <c r="H18" s="96">
        <v>32406.39</v>
      </c>
      <c r="I18" s="96">
        <v>9861.9600000000009</v>
      </c>
      <c r="J18" s="96">
        <v>2109180.8600000003</v>
      </c>
      <c r="K18" s="96">
        <v>0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3">
        <v>470.84</v>
      </c>
      <c r="E19" s="193"/>
      <c r="F19" s="193"/>
      <c r="G19" s="193"/>
      <c r="H19" s="96">
        <v>454.2</v>
      </c>
      <c r="I19" s="96">
        <v>0</v>
      </c>
      <c r="J19" s="96">
        <v>0</v>
      </c>
      <c r="K19" s="96">
        <v>0</v>
      </c>
    </row>
    <row r="20" spans="1:11" ht="15.6" x14ac:dyDescent="0.3">
      <c r="A20" s="28" t="s">
        <v>140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>
        <v>0</v>
      </c>
      <c r="I21" s="96">
        <v>1100.76</v>
      </c>
      <c r="J21" s="96">
        <v>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823349.95000000007</v>
      </c>
      <c r="E22" s="174">
        <f t="shared" ref="E22:G22" si="2">SUM(E9:E21)</f>
        <v>105127.79</v>
      </c>
      <c r="F22" s="174">
        <f t="shared" si="2"/>
        <v>2311640.7999999998</v>
      </c>
      <c r="G22" s="174">
        <f t="shared" si="2"/>
        <v>4551907.71</v>
      </c>
      <c r="H22" s="174">
        <f>SUM(H9:H21)</f>
        <v>622680.6599999998</v>
      </c>
      <c r="I22" s="174">
        <f t="shared" ref="I22:K22" si="3">SUM(I9:I21)</f>
        <v>96405.610000000015</v>
      </c>
      <c r="J22" s="174">
        <f t="shared" si="3"/>
        <v>3648591.8500000006</v>
      </c>
      <c r="K22" s="174">
        <f t="shared" si="3"/>
        <v>2461898.16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>
        <v>8710.06</v>
      </c>
      <c r="E23" s="18">
        <v>73.61</v>
      </c>
      <c r="F23" s="18"/>
      <c r="G23" s="18"/>
      <c r="H23" s="96">
        <v>203808.52000000002</v>
      </c>
      <c r="I23" s="96">
        <v>18924.870000000003</v>
      </c>
      <c r="J23" s="96">
        <v>420984.73000000004</v>
      </c>
      <c r="K23" s="96">
        <v>1175955.3600000001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>
        <v>0</v>
      </c>
      <c r="J24" s="96">
        <v>0</v>
      </c>
      <c r="K24" s="96">
        <v>0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>
        <v>0</v>
      </c>
      <c r="I25" s="96">
        <v>2937.67</v>
      </c>
      <c r="J25" s="96">
        <v>0</v>
      </c>
      <c r="K25" s="96"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25521.67</v>
      </c>
      <c r="E27" s="14">
        <v>8134.69</v>
      </c>
      <c r="F27" s="14">
        <v>166629.03</v>
      </c>
      <c r="G27" s="14">
        <v>44652.98</v>
      </c>
      <c r="H27" s="96">
        <v>24961.66</v>
      </c>
      <c r="I27" s="96">
        <v>7533.8799999999983</v>
      </c>
      <c r="J27" s="96">
        <v>559147.50000000012</v>
      </c>
      <c r="K27" s="96">
        <v>354198.99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>
        <v>0</v>
      </c>
      <c r="I28" s="96">
        <v>0</v>
      </c>
      <c r="J28" s="96">
        <v>0</v>
      </c>
      <c r="K28" s="96">
        <v>0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>
        <v>10074.41</v>
      </c>
      <c r="E29" s="14">
        <v>3457.78</v>
      </c>
      <c r="F29" s="14"/>
      <c r="G29" s="14">
        <v>59103.61</v>
      </c>
      <c r="H29" s="96">
        <v>88033.720000000016</v>
      </c>
      <c r="I29" s="96">
        <v>1364.61</v>
      </c>
      <c r="J29" s="96">
        <v>0</v>
      </c>
      <c r="K29" s="96">
        <v>90028.47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>
        <v>289955.21000000002</v>
      </c>
      <c r="E30" s="14">
        <v>38790.959999999999</v>
      </c>
      <c r="F30" s="14">
        <v>394937.89</v>
      </c>
      <c r="G30" s="14">
        <v>841460.14</v>
      </c>
      <c r="H30" s="96">
        <v>861838.84999999974</v>
      </c>
      <c r="I30" s="96">
        <v>59071.590000000018</v>
      </c>
      <c r="J30" s="96">
        <v>553198.84</v>
      </c>
      <c r="K30" s="96">
        <v>4253303.7899999991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>
        <v>425157.62</v>
      </c>
      <c r="E31" s="14">
        <v>22748</v>
      </c>
      <c r="F31" s="14"/>
      <c r="G31" s="14">
        <v>3190616.67</v>
      </c>
      <c r="H31" s="96">
        <v>59205.249999999993</v>
      </c>
      <c r="I31" s="96">
        <v>6982.9000000000005</v>
      </c>
      <c r="J31" s="96">
        <v>22993.84</v>
      </c>
      <c r="K31" s="96">
        <v>65195.7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>
        <v>3534.26</v>
      </c>
      <c r="E32" s="14">
        <v>9.77</v>
      </c>
      <c r="F32" s="14"/>
      <c r="G32" s="14"/>
      <c r="H32" s="96">
        <v>0</v>
      </c>
      <c r="I32" s="96">
        <v>7.96</v>
      </c>
      <c r="J32" s="96">
        <v>0</v>
      </c>
      <c r="K32" s="96">
        <v>0</v>
      </c>
    </row>
    <row r="33" spans="1:11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>
        <v>1023.62</v>
      </c>
      <c r="I33" s="96">
        <v>3078.68</v>
      </c>
      <c r="J33" s="96">
        <v>0</v>
      </c>
      <c r="K33" s="96">
        <v>0</v>
      </c>
    </row>
    <row r="34" spans="1:11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7.44</v>
      </c>
      <c r="J34" s="96">
        <v>0</v>
      </c>
      <c r="K34" s="96">
        <v>0</v>
      </c>
    </row>
    <row r="35" spans="1:11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>
        <v>0</v>
      </c>
      <c r="K35" s="96">
        <v>0</v>
      </c>
    </row>
    <row r="36" spans="1:11" ht="15.6" x14ac:dyDescent="0.3">
      <c r="A36" s="30" t="s">
        <v>25</v>
      </c>
      <c r="B36" s="26" t="s">
        <v>56</v>
      </c>
      <c r="C36" s="26" t="s">
        <v>107</v>
      </c>
      <c r="D36" s="14"/>
      <c r="E36" s="14">
        <v>155.85</v>
      </c>
      <c r="F36" s="14">
        <v>11448.24</v>
      </c>
      <c r="G36" s="14"/>
      <c r="H36" s="96">
        <v>1276.6499999999999</v>
      </c>
      <c r="I36" s="96">
        <v>272.74</v>
      </c>
      <c r="J36" s="96">
        <v>27280.17</v>
      </c>
      <c r="K36" s="96">
        <v>0</v>
      </c>
    </row>
    <row r="37" spans="1:11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5374.1600000000008</v>
      </c>
      <c r="I37" s="96">
        <v>2882.47</v>
      </c>
      <c r="J37" s="96">
        <v>0</v>
      </c>
      <c r="K37" s="96">
        <v>0</v>
      </c>
    </row>
    <row r="38" spans="1:11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>
        <v>0</v>
      </c>
      <c r="K38" s="96">
        <v>0</v>
      </c>
    </row>
    <row r="39" spans="1:11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>
        <v>0</v>
      </c>
      <c r="K39" s="96">
        <v>0</v>
      </c>
    </row>
    <row r="40" spans="1:11" ht="15.6" x14ac:dyDescent="0.3">
      <c r="A40" s="26" t="s">
        <v>29</v>
      </c>
      <c r="B40" s="26" t="s">
        <v>56</v>
      </c>
      <c r="C40" s="26" t="s">
        <v>107</v>
      </c>
      <c r="D40" s="14">
        <v>104471.52</v>
      </c>
      <c r="E40" s="14">
        <v>2614</v>
      </c>
      <c r="F40" s="14">
        <v>238400.74</v>
      </c>
      <c r="G40" s="14">
        <v>230013.85</v>
      </c>
      <c r="H40" s="96">
        <v>7965.76</v>
      </c>
      <c r="I40" s="96">
        <v>0</v>
      </c>
      <c r="J40" s="96">
        <v>0</v>
      </c>
      <c r="K40" s="96">
        <v>0</v>
      </c>
    </row>
    <row r="41" spans="1:11" ht="15.6" x14ac:dyDescent="0.3">
      <c r="A41" s="26" t="s">
        <v>98</v>
      </c>
      <c r="B41" s="26" t="s">
        <v>55</v>
      </c>
      <c r="C41" s="26" t="s">
        <v>107</v>
      </c>
      <c r="D41" s="14">
        <v>30082.09</v>
      </c>
      <c r="E41" s="14">
        <v>17688.96</v>
      </c>
      <c r="F41" s="14"/>
      <c r="G41" s="14"/>
      <c r="H41" s="96"/>
      <c r="I41" s="96"/>
      <c r="J41" s="96"/>
      <c r="K41" s="96"/>
    </row>
    <row r="42" spans="1:11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125.97</v>
      </c>
      <c r="I42" s="96">
        <v>0</v>
      </c>
      <c r="J42" s="96">
        <v>0</v>
      </c>
      <c r="K42" s="96">
        <v>0</v>
      </c>
    </row>
    <row r="43" spans="1:11" ht="15.6" x14ac:dyDescent="0.3">
      <c r="A43" s="30" t="s">
        <v>95</v>
      </c>
      <c r="B43" s="26" t="s">
        <v>56</v>
      </c>
      <c r="C43" s="26" t="s">
        <v>107</v>
      </c>
      <c r="D43" s="14">
        <v>35069.050000000003</v>
      </c>
      <c r="E43" s="14"/>
      <c r="F43">
        <v>61402.18</v>
      </c>
      <c r="G43" s="14">
        <v>265381.77</v>
      </c>
      <c r="H43" s="96">
        <v>90902.22</v>
      </c>
      <c r="I43" s="96">
        <v>0</v>
      </c>
      <c r="J43" s="96">
        <v>0</v>
      </c>
      <c r="K43" s="96">
        <v>147726.12</v>
      </c>
    </row>
    <row r="44" spans="1:11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>
        <v>0</v>
      </c>
      <c r="I44" s="96">
        <v>0</v>
      </c>
      <c r="J44" s="96">
        <v>0</v>
      </c>
      <c r="K44" s="96">
        <v>0</v>
      </c>
    </row>
    <row r="45" spans="1:11" ht="15.6" x14ac:dyDescent="0.3">
      <c r="A45" s="26" t="s">
        <v>82</v>
      </c>
      <c r="B45" s="26" t="s">
        <v>56</v>
      </c>
      <c r="C45" s="26" t="s">
        <v>107</v>
      </c>
      <c r="D45" s="14"/>
      <c r="E45" s="14">
        <v>622.02</v>
      </c>
      <c r="F45" s="14"/>
      <c r="G45" s="14"/>
      <c r="H45" s="96">
        <v>0</v>
      </c>
      <c r="I45" s="96">
        <v>121.39</v>
      </c>
      <c r="J45" s="96">
        <v>0</v>
      </c>
      <c r="K45" s="96">
        <v>0</v>
      </c>
    </row>
    <row r="46" spans="1:11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0</v>
      </c>
      <c r="J46" s="96">
        <v>0</v>
      </c>
      <c r="K46" s="96">
        <v>0</v>
      </c>
    </row>
    <row r="47" spans="1:11" ht="15.6" x14ac:dyDescent="0.3">
      <c r="A47" s="26" t="s">
        <v>94</v>
      </c>
      <c r="B47" s="26" t="s">
        <v>55</v>
      </c>
      <c r="C47" s="26" t="s">
        <v>107</v>
      </c>
      <c r="D47" s="193"/>
      <c r="E47" s="193"/>
      <c r="F47" s="193"/>
      <c r="G47" s="193"/>
      <c r="H47" s="96">
        <v>0</v>
      </c>
      <c r="I47" s="96">
        <v>0</v>
      </c>
      <c r="J47" s="96">
        <v>0</v>
      </c>
      <c r="K47" s="96">
        <v>0</v>
      </c>
    </row>
    <row r="48" spans="1:11" ht="15.6" x14ac:dyDescent="0.3">
      <c r="A48" s="26" t="s">
        <v>85</v>
      </c>
      <c r="B48" s="26" t="s">
        <v>56</v>
      </c>
      <c r="C48" s="26" t="s">
        <v>107</v>
      </c>
      <c r="D48" s="193"/>
      <c r="E48" s="193"/>
      <c r="F48" s="193"/>
      <c r="G48" s="193"/>
      <c r="H48" s="96">
        <v>0</v>
      </c>
      <c r="I48" s="96">
        <v>0</v>
      </c>
      <c r="J48" s="96">
        <v>0</v>
      </c>
      <c r="K48" s="96">
        <v>0</v>
      </c>
    </row>
    <row r="49" spans="1:12" ht="15.6" x14ac:dyDescent="0.3">
      <c r="A49" s="26" t="s">
        <v>87</v>
      </c>
      <c r="B49" s="26" t="s">
        <v>56</v>
      </c>
      <c r="C49" s="26" t="s">
        <v>107</v>
      </c>
      <c r="D49" s="193"/>
      <c r="E49" s="193"/>
      <c r="F49" s="193"/>
      <c r="G49" s="193"/>
      <c r="H49" s="96">
        <v>14011.130000000001</v>
      </c>
      <c r="I49" s="96">
        <v>0</v>
      </c>
      <c r="J49" s="96">
        <v>0</v>
      </c>
      <c r="K49" s="96">
        <v>0</v>
      </c>
    </row>
    <row r="50" spans="1:12" ht="15.6" x14ac:dyDescent="0.3">
      <c r="A50" s="26" t="s">
        <v>97</v>
      </c>
      <c r="B50" s="26" t="s">
        <v>56</v>
      </c>
      <c r="C50" s="26" t="s">
        <v>107</v>
      </c>
      <c r="D50" s="193">
        <v>61292.34</v>
      </c>
      <c r="E50" s="193">
        <v>1661.15</v>
      </c>
      <c r="F50" s="193">
        <v>7486.44</v>
      </c>
      <c r="G50" s="193"/>
      <c r="H50" s="96">
        <v>19.05</v>
      </c>
      <c r="I50" s="96">
        <v>1263.07</v>
      </c>
      <c r="J50" s="96">
        <v>19012.27</v>
      </c>
      <c r="K50" s="96">
        <v>34335.81</v>
      </c>
    </row>
    <row r="51" spans="1:12" ht="15.6" x14ac:dyDescent="0.3">
      <c r="A51" s="26" t="s">
        <v>39</v>
      </c>
      <c r="B51" s="26" t="s">
        <v>56</v>
      </c>
      <c r="C51" s="26" t="s">
        <v>107</v>
      </c>
      <c r="D51" s="193">
        <v>104471.52</v>
      </c>
      <c r="E51" s="193">
        <v>14053.13</v>
      </c>
      <c r="F51" s="193"/>
      <c r="G51" s="193">
        <v>140806.85999999999</v>
      </c>
      <c r="H51" s="96">
        <v>113221.48</v>
      </c>
      <c r="I51" s="96">
        <v>0</v>
      </c>
      <c r="J51" s="96">
        <v>21991.18</v>
      </c>
      <c r="K51" s="96">
        <v>0</v>
      </c>
    </row>
    <row r="52" spans="1:12" ht="15.6" x14ac:dyDescent="0.3">
      <c r="A52" s="26" t="s">
        <v>91</v>
      </c>
      <c r="B52" s="26" t="s">
        <v>56</v>
      </c>
      <c r="C52" s="26" t="s">
        <v>107</v>
      </c>
      <c r="D52" s="193">
        <v>69126.91</v>
      </c>
      <c r="E52" s="251">
        <v>726.24</v>
      </c>
      <c r="F52" s="193">
        <v>54413.86</v>
      </c>
      <c r="G52" s="193">
        <v>123963.14</v>
      </c>
      <c r="H52" s="96">
        <v>56978.11</v>
      </c>
      <c r="I52" s="96">
        <v>6227.05</v>
      </c>
      <c r="J52" s="96">
        <v>146960.39000000001</v>
      </c>
      <c r="K52" s="96">
        <v>1353514.1300000001</v>
      </c>
    </row>
    <row r="53" spans="1:12" ht="15.6" x14ac:dyDescent="0.3">
      <c r="A53" s="26" t="s">
        <v>41</v>
      </c>
      <c r="B53" s="26" t="s">
        <v>56</v>
      </c>
      <c r="C53" s="26" t="s">
        <v>107</v>
      </c>
      <c r="D53" s="193"/>
      <c r="E53" s="193"/>
      <c r="F53" s="193"/>
      <c r="G53" s="193"/>
      <c r="H53" s="96">
        <v>0</v>
      </c>
      <c r="I53" s="96">
        <v>1040.0999999999999</v>
      </c>
      <c r="J53" s="96">
        <v>0</v>
      </c>
      <c r="K53" s="96">
        <v>0</v>
      </c>
    </row>
    <row r="54" spans="1:12" ht="15.6" x14ac:dyDescent="0.3">
      <c r="A54" s="26" t="s">
        <v>139</v>
      </c>
      <c r="B54" s="26" t="s">
        <v>108</v>
      </c>
      <c r="C54" s="27" t="s">
        <v>107</v>
      </c>
      <c r="D54" s="194"/>
      <c r="E54" s="194"/>
      <c r="F54" s="194"/>
      <c r="G54" s="194"/>
      <c r="H54" s="96"/>
      <c r="I54" s="96"/>
      <c r="J54" s="96"/>
      <c r="K54" s="96"/>
    </row>
    <row r="55" spans="1:12" ht="16.2" thickBot="1" x14ac:dyDescent="0.35">
      <c r="A55" s="28" t="s">
        <v>88</v>
      </c>
      <c r="B55" s="28" t="s">
        <v>56</v>
      </c>
      <c r="C55" s="28" t="s">
        <v>107</v>
      </c>
      <c r="D55" s="194"/>
      <c r="E55" s="194">
        <v>1769.9</v>
      </c>
      <c r="F55" s="194"/>
      <c r="G55" s="194"/>
      <c r="H55" s="96">
        <v>17529.32</v>
      </c>
      <c r="I55" s="96">
        <v>0</v>
      </c>
      <c r="J55" s="96">
        <v>0</v>
      </c>
      <c r="K55" s="96">
        <v>0</v>
      </c>
    </row>
    <row r="56" spans="1:12" ht="21.6" thickBot="1" x14ac:dyDescent="0.45">
      <c r="A56" s="123" t="s">
        <v>116</v>
      </c>
      <c r="B56" s="121"/>
      <c r="C56" s="121"/>
      <c r="D56" s="174">
        <f>SUM(D23:D55)</f>
        <v>1167466.6599999999</v>
      </c>
      <c r="E56" s="174">
        <f t="shared" ref="E56:G56" si="4">SUM(E23:E55)</f>
        <v>112506.06000000003</v>
      </c>
      <c r="F56" s="174">
        <f t="shared" si="4"/>
        <v>934718.38</v>
      </c>
      <c r="G56" s="174">
        <f t="shared" si="4"/>
        <v>4895999.0199999996</v>
      </c>
      <c r="H56" s="174">
        <f>SUM(H23:H55)</f>
        <v>1546275.4699999997</v>
      </c>
      <c r="I56" s="174">
        <f t="shared" ref="I56:K56" si="5">SUM(I23:I55)</f>
        <v>111716.42000000004</v>
      </c>
      <c r="J56" s="174">
        <f t="shared" si="5"/>
        <v>1771568.9200000004</v>
      </c>
      <c r="K56" s="174">
        <f t="shared" si="5"/>
        <v>7474258.3699999992</v>
      </c>
    </row>
    <row r="57" spans="1:12" ht="15.6" x14ac:dyDescent="0.3">
      <c r="A57" s="30" t="s">
        <v>33</v>
      </c>
      <c r="B57" s="26" t="s">
        <v>115</v>
      </c>
      <c r="C57" s="26" t="s">
        <v>107</v>
      </c>
      <c r="D57" s="14">
        <v>20219.080000000002</v>
      </c>
      <c r="E57" s="14">
        <v>1946.09</v>
      </c>
      <c r="F57" s="14">
        <v>886742.84</v>
      </c>
      <c r="G57" s="14"/>
      <c r="H57" s="96">
        <v>52106.58</v>
      </c>
      <c r="I57" s="96">
        <v>4872.5</v>
      </c>
      <c r="J57" s="96">
        <v>157959.88000000003</v>
      </c>
      <c r="K57" s="96">
        <v>116828.18</v>
      </c>
    </row>
    <row r="58" spans="1:12" ht="15.6" x14ac:dyDescent="0.3">
      <c r="A58" s="26" t="s">
        <v>84</v>
      </c>
      <c r="B58" s="26" t="s">
        <v>115</v>
      </c>
      <c r="C58" s="26" t="s">
        <v>107</v>
      </c>
      <c r="D58" s="14">
        <v>335207.83</v>
      </c>
      <c r="E58" s="14">
        <v>9443.19</v>
      </c>
      <c r="F58" s="14">
        <v>2261784.61</v>
      </c>
      <c r="G58" s="14">
        <v>1150383.01</v>
      </c>
      <c r="H58" s="96">
        <v>533742.60999999987</v>
      </c>
      <c r="I58" s="96">
        <v>1150.97</v>
      </c>
      <c r="J58" s="96">
        <v>723331.67000000016</v>
      </c>
      <c r="K58" s="96">
        <v>681791.47</v>
      </c>
    </row>
    <row r="59" spans="1:12" ht="15.6" x14ac:dyDescent="0.3">
      <c r="A59" s="26" t="s">
        <v>37</v>
      </c>
      <c r="B59" s="26" t="s">
        <v>115</v>
      </c>
      <c r="C59" s="26" t="s">
        <v>107</v>
      </c>
      <c r="D59" s="14">
        <v>20744.72</v>
      </c>
      <c r="E59" s="14">
        <v>7990.73</v>
      </c>
      <c r="F59" s="14"/>
      <c r="G59" s="14"/>
      <c r="H59" s="96">
        <v>5143.9299999999985</v>
      </c>
      <c r="I59" s="96">
        <v>512.82999999999993</v>
      </c>
      <c r="J59" s="96">
        <v>1018.11</v>
      </c>
      <c r="K59" s="96">
        <v>0</v>
      </c>
      <c r="L59" s="133"/>
    </row>
    <row r="60" spans="1:12" ht="15.6" x14ac:dyDescent="0.3">
      <c r="A60" s="26" t="s">
        <v>35</v>
      </c>
      <c r="B60" s="26" t="s">
        <v>115</v>
      </c>
      <c r="C60" s="26" t="s">
        <v>107</v>
      </c>
      <c r="D60" s="14">
        <v>17640.650000000001</v>
      </c>
      <c r="E60" s="14"/>
      <c r="F60" s="14"/>
      <c r="G60" s="14"/>
      <c r="H60" s="96">
        <v>51609.57</v>
      </c>
      <c r="I60" s="96">
        <v>2463.41</v>
      </c>
      <c r="J60" s="96">
        <v>137181.6</v>
      </c>
      <c r="K60" s="96">
        <v>0</v>
      </c>
      <c r="L60" s="133"/>
    </row>
    <row r="61" spans="1:12" ht="15.6" x14ac:dyDescent="0.3">
      <c r="A61" s="27" t="s">
        <v>86</v>
      </c>
      <c r="B61" s="27" t="s">
        <v>115</v>
      </c>
      <c r="C61" s="27" t="s">
        <v>107</v>
      </c>
      <c r="D61" s="14">
        <v>494879.99</v>
      </c>
      <c r="E61" s="14">
        <v>25004.880000000001</v>
      </c>
      <c r="F61" s="14">
        <v>1623730.47</v>
      </c>
      <c r="G61" s="14">
        <v>3344416.54</v>
      </c>
      <c r="H61" s="96">
        <v>111439.22</v>
      </c>
      <c r="I61" s="96">
        <v>2120.29</v>
      </c>
      <c r="J61" s="96">
        <v>766292.02</v>
      </c>
      <c r="K61" s="96">
        <v>0</v>
      </c>
      <c r="L61" s="133"/>
    </row>
    <row r="62" spans="1:12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>
        <v>0</v>
      </c>
      <c r="K62" s="96">
        <v>0</v>
      </c>
    </row>
    <row r="63" spans="1:12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2" ht="15.6" x14ac:dyDescent="0.3">
      <c r="A64" s="197" t="s">
        <v>141</v>
      </c>
      <c r="B64" s="26" t="s">
        <v>115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115</v>
      </c>
      <c r="C65" s="26" t="s">
        <v>107</v>
      </c>
      <c r="D65" s="14">
        <v>114189.31</v>
      </c>
      <c r="E65" s="14">
        <v>3399.79</v>
      </c>
      <c r="F65" s="14">
        <v>331210.87</v>
      </c>
      <c r="G65" s="14">
        <v>308081.57</v>
      </c>
      <c r="H65" s="96"/>
      <c r="I65" s="96"/>
      <c r="J65" s="96"/>
      <c r="K65" s="96"/>
    </row>
    <row r="66" spans="1:12" ht="21.6" thickBot="1" x14ac:dyDescent="0.45">
      <c r="A66" s="123" t="s">
        <v>117</v>
      </c>
      <c r="B66" s="121"/>
      <c r="C66" s="121"/>
      <c r="D66" s="174">
        <f>SUM(D57:D65)</f>
        <v>1002881.5800000001</v>
      </c>
      <c r="E66" s="174">
        <f t="shared" ref="E66:G66" si="6">SUM(E57:E65)</f>
        <v>47784.68</v>
      </c>
      <c r="F66" s="174">
        <f t="shared" si="6"/>
        <v>5103468.79</v>
      </c>
      <c r="G66" s="174">
        <f t="shared" si="6"/>
        <v>4802881.12</v>
      </c>
      <c r="H66" s="174">
        <f>SUM(H57:H65)</f>
        <v>754041.9099999998</v>
      </c>
      <c r="I66" s="174">
        <f t="shared" ref="I66:K66" si="7">SUM(I57:I65)</f>
        <v>11120</v>
      </c>
      <c r="J66" s="174">
        <f t="shared" si="7"/>
        <v>1785783.2800000003</v>
      </c>
      <c r="K66" s="174">
        <f t="shared" si="7"/>
        <v>798619.64999999991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5">
        <v>235589.26</v>
      </c>
      <c r="E67" s="195">
        <f>4437.21+1689</f>
        <v>6126.21</v>
      </c>
      <c r="F67" s="195">
        <v>2137540.71</v>
      </c>
      <c r="G67" s="195">
        <v>1541687.09</v>
      </c>
      <c r="H67" s="96">
        <v>93228.940000000017</v>
      </c>
      <c r="I67" s="96">
        <v>2584.3599999999997</v>
      </c>
      <c r="J67" s="96">
        <v>259827.46</v>
      </c>
      <c r="K67" s="96">
        <v>61396.75</v>
      </c>
      <c r="L67" s="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93">
        <v>1144121.6499999999</v>
      </c>
      <c r="E68" s="193">
        <v>107833.25</v>
      </c>
      <c r="F68" s="193">
        <v>1782599.74</v>
      </c>
      <c r="G68" s="193">
        <v>5410531.1299999999</v>
      </c>
      <c r="H68" s="96">
        <v>568868.32999999996</v>
      </c>
      <c r="I68" s="96">
        <v>19928.62</v>
      </c>
      <c r="J68" s="96">
        <v>1046200.0899999997</v>
      </c>
      <c r="K68" s="96">
        <v>3915609.9499999997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3"/>
      <c r="E69" s="193"/>
      <c r="F69" s="193"/>
      <c r="G69" s="193"/>
      <c r="H69" s="96">
        <v>53674.049999999996</v>
      </c>
      <c r="I69" s="96">
        <v>1748.43</v>
      </c>
      <c r="J69" s="96">
        <v>0</v>
      </c>
      <c r="K69" s="96">
        <v>257608.98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3">
        <v>83300.2</v>
      </c>
      <c r="E70" s="193"/>
      <c r="F70" s="193"/>
      <c r="G70" s="193">
        <v>1500805.35</v>
      </c>
      <c r="H70" s="96">
        <v>0</v>
      </c>
      <c r="I70" s="96">
        <v>0</v>
      </c>
      <c r="J70" s="96">
        <v>35963.440000000002</v>
      </c>
      <c r="K70" s="96">
        <v>0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3"/>
      <c r="E71" s="193">
        <v>11917.72</v>
      </c>
      <c r="F71" s="193"/>
      <c r="G71" s="193"/>
      <c r="H71" s="96">
        <v>0</v>
      </c>
      <c r="I71" s="96">
        <v>0</v>
      </c>
      <c r="J71" s="96">
        <v>0</v>
      </c>
      <c r="K71" s="96">
        <v>0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3">
        <v>344566.78</v>
      </c>
      <c r="E72" s="193">
        <v>25846.74</v>
      </c>
      <c r="F72" s="193">
        <v>3140440.96</v>
      </c>
      <c r="G72" s="193">
        <v>1243537.6200000001</v>
      </c>
      <c r="H72" s="96">
        <v>171686.88</v>
      </c>
      <c r="I72" s="96">
        <v>20966.919999999998</v>
      </c>
      <c r="J72" s="96">
        <v>2497670.31</v>
      </c>
      <c r="K72" s="96">
        <v>1474744.7999999998</v>
      </c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3">
        <v>922632.65</v>
      </c>
      <c r="E73" s="193">
        <v>25863.119999999999</v>
      </c>
      <c r="F73" s="193">
        <v>10504466.43</v>
      </c>
      <c r="G73" s="193">
        <v>10112242.59</v>
      </c>
      <c r="H73" s="96">
        <v>695385.05</v>
      </c>
      <c r="I73" s="96">
        <v>18881.53</v>
      </c>
      <c r="J73" s="96">
        <v>3904276.64</v>
      </c>
      <c r="K73" s="96">
        <v>4624694.57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3">
        <v>95017.57</v>
      </c>
      <c r="E74" s="193">
        <v>5868.32</v>
      </c>
      <c r="F74" s="193"/>
      <c r="G74" s="193"/>
      <c r="H74" s="96">
        <v>0</v>
      </c>
      <c r="I74" s="96">
        <v>1539.5800000000002</v>
      </c>
      <c r="J74" s="96">
        <v>0</v>
      </c>
      <c r="K74" s="96">
        <v>0</v>
      </c>
    </row>
    <row r="75" spans="1:12" ht="21.6" thickBot="1" x14ac:dyDescent="0.3">
      <c r="A75" s="177" t="s">
        <v>44</v>
      </c>
      <c r="B75" s="178"/>
      <c r="C75" s="178"/>
      <c r="D75" s="179">
        <f>SUM(D67:D74)</f>
        <v>2825228.11</v>
      </c>
      <c r="E75" s="179">
        <f t="shared" ref="E75:G75" si="8">SUM(E67:E74)</f>
        <v>183455.36000000002</v>
      </c>
      <c r="F75" s="179">
        <f t="shared" si="8"/>
        <v>17565047.84</v>
      </c>
      <c r="G75" s="179">
        <f t="shared" si="8"/>
        <v>19808803.780000001</v>
      </c>
      <c r="H75" s="179">
        <f>SUM(H67:H74)</f>
        <v>1582843.25</v>
      </c>
      <c r="I75" s="179">
        <f t="shared" ref="I75:K75" si="9">SUM(I67:I74)</f>
        <v>65649.440000000002</v>
      </c>
      <c r="J75" s="179">
        <f t="shared" si="9"/>
        <v>7743937.9399999995</v>
      </c>
      <c r="K75" s="179">
        <f t="shared" si="9"/>
        <v>10334055.050000001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11087930.59</v>
      </c>
      <c r="E76" s="131">
        <f t="shared" ref="E76:G76" si="10">E75+E66+E56+E22+E8</f>
        <v>539695.35</v>
      </c>
      <c r="F76" s="131">
        <f t="shared" si="10"/>
        <v>29303374.09</v>
      </c>
      <c r="G76" s="131">
        <f t="shared" si="10"/>
        <v>83012846.270000011</v>
      </c>
      <c r="H76" s="131">
        <f>H75+H66+H56+H22+H8</f>
        <v>6000659.209999999</v>
      </c>
      <c r="I76" s="131">
        <f t="shared" ref="I76:K76" si="11">I75+I66+I56+I22+I8</f>
        <v>455400.24000000011</v>
      </c>
      <c r="J76" s="131">
        <f t="shared" si="11"/>
        <v>20462861.919999998</v>
      </c>
      <c r="K76" s="131">
        <f t="shared" si="11"/>
        <v>34643275.979999997</v>
      </c>
    </row>
    <row r="78" spans="1:12" x14ac:dyDescent="0.3">
      <c r="D78" s="6"/>
      <c r="E78" s="6"/>
      <c r="F78" s="6"/>
      <c r="G78" s="6"/>
    </row>
    <row r="79" spans="1:12" x14ac:dyDescent="0.3">
      <c r="F79" s="6"/>
    </row>
    <row r="80" spans="1:12" x14ac:dyDescent="0.3">
      <c r="E80" s="9"/>
      <c r="F80" s="9"/>
    </row>
  </sheetData>
  <mergeCells count="2">
    <mergeCell ref="D1:G1"/>
    <mergeCell ref="H1:K1"/>
  </mergeCells>
  <conditionalFormatting sqref="A1">
    <cfRule type="duplicateValues" dxfId="249" priority="27"/>
    <cfRule type="duplicateValues" dxfId="248" priority="28"/>
  </conditionalFormatting>
  <conditionalFormatting sqref="A14">
    <cfRule type="duplicateValues" dxfId="247" priority="9"/>
    <cfRule type="duplicateValues" dxfId="246" priority="10"/>
  </conditionalFormatting>
  <conditionalFormatting sqref="A20">
    <cfRule type="duplicateValues" dxfId="245" priority="1"/>
    <cfRule type="duplicateValues" dxfId="244" priority="2"/>
  </conditionalFormatting>
  <conditionalFormatting sqref="A41">
    <cfRule type="duplicateValues" dxfId="243" priority="5"/>
    <cfRule type="duplicateValues" dxfId="242" priority="6"/>
  </conditionalFormatting>
  <conditionalFormatting sqref="A54">
    <cfRule type="duplicateValues" dxfId="241" priority="3"/>
    <cfRule type="duplicateValues" dxfId="240" priority="4"/>
  </conditionalFormatting>
  <conditionalFormatting sqref="A57">
    <cfRule type="duplicateValues" dxfId="239" priority="11"/>
    <cfRule type="duplicateValues" dxfId="238" priority="12"/>
  </conditionalFormatting>
  <conditionalFormatting sqref="A58:A60 A7 A23:A40 A62 A42:A53 A55">
    <cfRule type="duplicateValues" dxfId="237" priority="17"/>
    <cfRule type="duplicateValues" dxfId="236" priority="18"/>
  </conditionalFormatting>
  <conditionalFormatting sqref="A61">
    <cfRule type="duplicateValues" dxfId="235" priority="7"/>
    <cfRule type="duplicateValues" dxfId="234" priority="8"/>
  </conditionalFormatting>
  <conditionalFormatting sqref="A67:A74">
    <cfRule type="duplicateValues" dxfId="233" priority="15"/>
    <cfRule type="duplicateValues" dxfId="232" priority="16"/>
  </conditionalFormatting>
  <conditionalFormatting sqref="A75:A76 A2:A6 A8:A13 A15:A19 A56 A66 A21:A22">
    <cfRule type="duplicateValues" dxfId="231" priority="13"/>
    <cfRule type="duplicateValues" dxfId="230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A6CA-D251-4DF4-BDA3-15E6C5643ED5}">
  <sheetPr>
    <tabColor rgb="FFFFFF00"/>
  </sheetPr>
  <dimension ref="A1:L80"/>
  <sheetViews>
    <sheetView rightToLeft="1" zoomScaleNormal="100" workbookViewId="0">
      <pane ySplit="3" topLeftCell="A54" activePane="bottomLeft" state="frozen"/>
      <selection pane="bottomLeft" activeCell="M11" sqref="M11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8" width="16.8984375" style="3" customWidth="1"/>
    <col min="9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3">
        <f>324392.265895634-D4-D5-D6-D67-D69-D70</f>
        <v>271125.04800652509</v>
      </c>
      <c r="E3" s="193">
        <f>31763.8974514551-E4-E5-E6-E69-E70</f>
        <v>26405.325890220774</v>
      </c>
      <c r="F3" s="193">
        <f>-74158.5561001298-F4-F5-F6-F69-F70</f>
        <v>-86347.697956522097</v>
      </c>
      <c r="G3" s="193">
        <f>-2227620.94+78708-G6-G4</f>
        <v>-2110724.9300000002</v>
      </c>
      <c r="H3" s="96">
        <v>288225.17386884528</v>
      </c>
      <c r="I3" s="96">
        <v>-14037.695695895571</v>
      </c>
      <c r="J3" s="96">
        <v>21835.328290515252</v>
      </c>
      <c r="K3" s="96">
        <v>733479.65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3">
        <v>64743.786945898049</v>
      </c>
      <c r="E4" s="193">
        <v>3929.769176882663</v>
      </c>
      <c r="F4" s="193">
        <v>12189.141856392291</v>
      </c>
      <c r="G4" s="193">
        <v>-5103.53</v>
      </c>
      <c r="H4" s="96">
        <v>58268.302441429703</v>
      </c>
      <c r="I4" s="96">
        <v>3214.124857080516</v>
      </c>
      <c r="J4" s="96">
        <v>0</v>
      </c>
      <c r="K4" s="96">
        <v>566732.81000000006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3">
        <v>0</v>
      </c>
      <c r="E5" s="193">
        <v>1906.645297640014</v>
      </c>
      <c r="F5" s="193">
        <v>0</v>
      </c>
      <c r="G5" s="193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4">
        <v>-13928.13651011776</v>
      </c>
      <c r="E6" s="194">
        <v>3636.3541034308491</v>
      </c>
      <c r="F6" s="194">
        <v>0</v>
      </c>
      <c r="G6" s="194">
        <v>-33084.480000000003</v>
      </c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3"/>
      <c r="E7" s="193"/>
      <c r="F7" s="193"/>
      <c r="G7" s="193"/>
      <c r="H7" s="96">
        <v>0</v>
      </c>
      <c r="I7" s="96">
        <v>0</v>
      </c>
      <c r="J7" s="96">
        <v>0</v>
      </c>
      <c r="K7" s="96">
        <v>0</v>
      </c>
    </row>
    <row r="8" spans="1:11" ht="21.6" thickBot="1" x14ac:dyDescent="0.45">
      <c r="A8" s="122" t="s">
        <v>3</v>
      </c>
      <c r="B8" s="121"/>
      <c r="C8" s="121"/>
      <c r="D8" s="174">
        <f>SUM(D3:D7)</f>
        <v>321940.69844230538</v>
      </c>
      <c r="E8" s="174">
        <f t="shared" ref="E8:G8" si="0">SUM(E3:E7)</f>
        <v>35878.094468174299</v>
      </c>
      <c r="F8" s="174">
        <f t="shared" si="0"/>
        <v>-74158.556100129805</v>
      </c>
      <c r="G8" s="174">
        <f t="shared" si="0"/>
        <v>-2148912.94</v>
      </c>
      <c r="H8" s="174">
        <f>SUM(H3:H7)</f>
        <v>346493.47631027497</v>
      </c>
      <c r="I8" s="174">
        <f t="shared" ref="I8:K8" si="1">SUM(I3:I7)</f>
        <v>-10823.570838815054</v>
      </c>
      <c r="J8" s="174">
        <f t="shared" si="1"/>
        <v>21835.328290515252</v>
      </c>
      <c r="K8" s="174">
        <f t="shared" si="1"/>
        <v>1300212.46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>
        <v>42282.469712023361</v>
      </c>
      <c r="E9" s="18">
        <v>0</v>
      </c>
      <c r="F9" s="18">
        <v>0</v>
      </c>
      <c r="G9">
        <v>-11668.86</v>
      </c>
      <c r="H9" s="96">
        <v>2545.4761746532058</v>
      </c>
      <c r="I9" s="96">
        <v>0</v>
      </c>
      <c r="J9" s="96">
        <v>0</v>
      </c>
      <c r="K9" s="96">
        <v>0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4">
        <v>371256.89137367939</v>
      </c>
      <c r="E10" s="14">
        <v>301096.99337941722</v>
      </c>
      <c r="F10" s="14">
        <v>9044.7089316987749</v>
      </c>
      <c r="G10" s="14">
        <v>760898.77</v>
      </c>
      <c r="H10" s="96">
        <v>308395.49080670415</v>
      </c>
      <c r="I10" s="96">
        <v>20864.292838615827</v>
      </c>
      <c r="J10" s="96">
        <v>80503.906322480325</v>
      </c>
      <c r="K10" s="96">
        <v>98775.62999999999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4">
        <v>67747.018340344322</v>
      </c>
      <c r="E11" s="14">
        <v>3819.950823671039</v>
      </c>
      <c r="F11" s="14">
        <v>132212.00948263149</v>
      </c>
      <c r="G11" s="14">
        <v>-577961.23</v>
      </c>
      <c r="H11" s="96">
        <v>87402.199262312002</v>
      </c>
      <c r="I11" s="96">
        <v>6033.432615961814</v>
      </c>
      <c r="J11" s="96">
        <v>119539.8554098957</v>
      </c>
      <c r="K11" s="96">
        <v>-626925.55000000005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4">
        <v>470.5298013245033</v>
      </c>
      <c r="E12" s="14">
        <v>0</v>
      </c>
      <c r="F12" s="14">
        <v>0</v>
      </c>
      <c r="G12" s="14"/>
      <c r="H12" s="96">
        <v>0</v>
      </c>
      <c r="I12" s="96">
        <v>0</v>
      </c>
      <c r="J12" s="96">
        <v>0</v>
      </c>
      <c r="K12" s="96">
        <v>-233653.23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>
        <v>0</v>
      </c>
      <c r="I13" s="96">
        <v>-7488.0687728236126</v>
      </c>
      <c r="J13" s="96">
        <v>0</v>
      </c>
      <c r="K13" s="96"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4">
        <v>17096.618527650578</v>
      </c>
      <c r="E14" s="14">
        <v>0</v>
      </c>
      <c r="F14" s="14">
        <v>0</v>
      </c>
      <c r="G14" s="14">
        <v>-25575.66</v>
      </c>
      <c r="H14" s="96">
        <v>968.31353095861107</v>
      </c>
      <c r="I14" s="96">
        <v>6156.0839905368803</v>
      </c>
      <c r="J14" s="96">
        <v>-37034.224990839139</v>
      </c>
      <c r="K14" s="96">
        <v>-668175.81000000006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v>0</v>
      </c>
      <c r="I15" s="96">
        <v>0</v>
      </c>
      <c r="J15" s="96">
        <v>0</v>
      </c>
      <c r="K15" s="96"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>
        <v>0</v>
      </c>
      <c r="I16" s="96">
        <v>0</v>
      </c>
      <c r="J16" s="96">
        <v>0</v>
      </c>
      <c r="K16" s="96"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>
        <v>18286.082513860441</v>
      </c>
      <c r="E17" s="14">
        <v>57248.464253261707</v>
      </c>
      <c r="F17" s="14">
        <v>11599.187390542909</v>
      </c>
      <c r="G17" s="14">
        <v>-837449.34</v>
      </c>
      <c r="H17" s="96">
        <v>22054.8879626979</v>
      </c>
      <c r="I17" s="96">
        <v>18977.083623860352</v>
      </c>
      <c r="J17" s="96">
        <v>0</v>
      </c>
      <c r="K17" s="96">
        <v>561446.12999999989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>
        <v>87483.944564262012</v>
      </c>
      <c r="E18" s="14">
        <v>3616.9684064828648</v>
      </c>
      <c r="F18" s="14">
        <v>717436.91982077726</v>
      </c>
      <c r="G18" s="14">
        <v>-21879.154999999999</v>
      </c>
      <c r="H18" s="96">
        <v>102327.79388523121</v>
      </c>
      <c r="I18" s="96">
        <v>-9957.5170319706976</v>
      </c>
      <c r="J18" s="96">
        <v>70330.233145928491</v>
      </c>
      <c r="K18" s="96">
        <v>-2113877.0300000003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>
        <v>8188.2998248686517</v>
      </c>
      <c r="E19" s="14">
        <v>0</v>
      </c>
      <c r="F19" s="14">
        <v>0</v>
      </c>
      <c r="G19" s="14">
        <v>-190731.89499999999</v>
      </c>
      <c r="H19" s="96">
        <v>686.0330922190202</v>
      </c>
      <c r="I19" s="96">
        <v>0</v>
      </c>
      <c r="J19" s="96">
        <v>0</v>
      </c>
      <c r="K19" s="96">
        <v>0</v>
      </c>
    </row>
    <row r="20" spans="1:11" ht="15.6" x14ac:dyDescent="0.3">
      <c r="A20" s="28" t="s">
        <v>140</v>
      </c>
      <c r="B20" s="26" t="s">
        <v>108</v>
      </c>
      <c r="C20" s="26" t="s">
        <v>106</v>
      </c>
      <c r="D20" s="15">
        <v>29490.324082935349</v>
      </c>
      <c r="E20" s="15">
        <v>0</v>
      </c>
      <c r="F20" s="15">
        <v>0</v>
      </c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>
        <v>0</v>
      </c>
      <c r="I21" s="96">
        <v>0</v>
      </c>
      <c r="J21" s="96">
        <v>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642302.17874094867</v>
      </c>
      <c r="E22" s="174">
        <f t="shared" ref="E22:G22" si="2">SUM(E9:E21)</f>
        <v>365782.37686283287</v>
      </c>
      <c r="F22" s="174">
        <f t="shared" si="2"/>
        <v>870292.82562565047</v>
      </c>
      <c r="G22" s="174">
        <f t="shared" si="2"/>
        <v>-904367.37</v>
      </c>
      <c r="H22" s="174">
        <f>SUM(H9:H21)</f>
        <v>524380.19471477601</v>
      </c>
      <c r="I22" s="174">
        <f t="shared" ref="I22:K22" si="3">SUM(I9:I21)</f>
        <v>34585.307264180563</v>
      </c>
      <c r="J22" s="174">
        <f t="shared" si="3"/>
        <v>233339.76988746534</v>
      </c>
      <c r="K22" s="174">
        <f t="shared" si="3"/>
        <v>-2982409.8600000003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>
        <v>-10297.373329416951</v>
      </c>
      <c r="I23" s="96">
        <v>215.6469944191511</v>
      </c>
      <c r="J23" s="96">
        <v>0</v>
      </c>
      <c r="K23" s="96">
        <v>0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>
        <v>0</v>
      </c>
      <c r="E24" s="14">
        <v>3071.9442883237321</v>
      </c>
      <c r="F24" s="14">
        <v>0</v>
      </c>
      <c r="G24" s="14">
        <v>-11711.17</v>
      </c>
      <c r="H24" s="96">
        <v>13822.039358045189</v>
      </c>
      <c r="I24" s="96">
        <v>0</v>
      </c>
      <c r="J24" s="96">
        <v>0</v>
      </c>
      <c r="K24" s="96">
        <v>-747499.15000000014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>
        <v>13040.009862627679</v>
      </c>
      <c r="E25" s="14">
        <v>0</v>
      </c>
      <c r="F25" s="14">
        <v>0</v>
      </c>
      <c r="G25" s="14"/>
      <c r="H25" s="96">
        <v>35797.231060238119</v>
      </c>
      <c r="I25" s="96">
        <v>8995.3332160321661</v>
      </c>
      <c r="J25" s="96">
        <v>29947.162266599851</v>
      </c>
      <c r="K25" s="96">
        <v>-2249.4099999999962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16479.71978984238</v>
      </c>
      <c r="E27" s="14">
        <v>0</v>
      </c>
      <c r="F27" s="14">
        <v>0</v>
      </c>
      <c r="G27" s="14"/>
      <c r="H27" s="96">
        <v>0</v>
      </c>
      <c r="I27" s="96">
        <v>0</v>
      </c>
      <c r="J27" s="96">
        <v>0</v>
      </c>
      <c r="K27" s="96">
        <v>-1219.46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>
        <v>45989.427773021707</v>
      </c>
      <c r="E28" s="14">
        <v>63281.145784272689</v>
      </c>
      <c r="F28" s="14">
        <v>0</v>
      </c>
      <c r="G28" s="14">
        <v>190697.65</v>
      </c>
      <c r="H28" s="96">
        <v>-975.7265818154674</v>
      </c>
      <c r="I28" s="96">
        <v>1238.962679097089</v>
      </c>
      <c r="J28" s="96">
        <v>497.88533183596581</v>
      </c>
      <c r="K28" s="96">
        <v>0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>
        <v>0</v>
      </c>
      <c r="I29" s="96">
        <v>0</v>
      </c>
      <c r="J29" s="96">
        <v>0</v>
      </c>
      <c r="K29" s="96"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>
        <v>26728.16075468151</v>
      </c>
      <c r="E30" s="14">
        <v>0</v>
      </c>
      <c r="F30" s="14">
        <v>0</v>
      </c>
      <c r="G30" s="14">
        <v>83007.679999999993</v>
      </c>
      <c r="H30" s="96">
        <v>2688.1765180115281</v>
      </c>
      <c r="I30" s="96">
        <v>624.0436308095135</v>
      </c>
      <c r="J30" s="96">
        <v>0</v>
      </c>
      <c r="K30" s="96">
        <v>-482691.81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>
        <v>0</v>
      </c>
      <c r="E31" s="14">
        <v>18834.373875105</v>
      </c>
      <c r="F31" s="14">
        <v>0</v>
      </c>
      <c r="G31" s="14">
        <v>-1428034.06</v>
      </c>
      <c r="H31" s="96">
        <v>11088.197413537182</v>
      </c>
      <c r="I31" s="96">
        <v>762.62627372635689</v>
      </c>
      <c r="J31" s="96">
        <v>0</v>
      </c>
      <c r="K31" s="96">
        <v>-193883.53999999998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>
        <v>0</v>
      </c>
      <c r="J32" s="96">
        <v>0</v>
      </c>
      <c r="K32" s="96">
        <v>0</v>
      </c>
    </row>
    <row r="33" spans="1:11" ht="15.6" x14ac:dyDescent="0.3">
      <c r="A33" s="26" t="s">
        <v>22</v>
      </c>
      <c r="B33" s="26" t="s">
        <v>56</v>
      </c>
      <c r="C33" s="26" t="s">
        <v>107</v>
      </c>
      <c r="D33" s="14">
        <v>1430.7864342713151</v>
      </c>
      <c r="E33" s="14">
        <v>3967.905542000698</v>
      </c>
      <c r="F33" s="14">
        <v>14899.64635435012</v>
      </c>
      <c r="G33" s="14"/>
      <c r="H33" s="96">
        <v>36704.171752644543</v>
      </c>
      <c r="I33" s="96">
        <v>0</v>
      </c>
      <c r="J33" s="96">
        <v>24444.10894284333</v>
      </c>
      <c r="K33" s="96">
        <v>0</v>
      </c>
    </row>
    <row r="34" spans="1:11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>
        <v>0</v>
      </c>
      <c r="K34" s="96">
        <v>0</v>
      </c>
    </row>
    <row r="35" spans="1:11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>
        <v>0</v>
      </c>
      <c r="K35" s="96">
        <v>0</v>
      </c>
    </row>
    <row r="36" spans="1:11" ht="15.6" x14ac:dyDescent="0.3">
      <c r="A36" s="30" t="s">
        <v>25</v>
      </c>
      <c r="B36" s="26" t="s">
        <v>56</v>
      </c>
      <c r="C36" s="26" t="s">
        <v>107</v>
      </c>
      <c r="D36" s="14">
        <v>1307683.9353909728</v>
      </c>
      <c r="E36" s="14">
        <v>183192.65512234421</v>
      </c>
      <c r="F36" s="14">
        <v>1654595.69709025</v>
      </c>
      <c r="G36" s="14">
        <v>2903879.94</v>
      </c>
      <c r="H36" s="96">
        <v>1111356.9465113089</v>
      </c>
      <c r="I36" s="96">
        <v>270513.61067883414</v>
      </c>
      <c r="J36" s="96">
        <v>5183279.5720433658</v>
      </c>
      <c r="K36" s="96">
        <v>10912388.920000004</v>
      </c>
    </row>
    <row r="37" spans="1:11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>
        <v>0</v>
      </c>
      <c r="K37" s="96">
        <v>0</v>
      </c>
    </row>
    <row r="38" spans="1:11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>
        <v>0</v>
      </c>
      <c r="K38" s="96">
        <v>0</v>
      </c>
    </row>
    <row r="39" spans="1:11" ht="15.6" x14ac:dyDescent="0.3">
      <c r="A39" s="26" t="s">
        <v>28</v>
      </c>
      <c r="B39" s="26" t="s">
        <v>56</v>
      </c>
      <c r="C39" s="26" t="s">
        <v>107</v>
      </c>
      <c r="D39" s="14">
        <v>37915.581688366226</v>
      </c>
      <c r="E39" s="14">
        <v>0</v>
      </c>
      <c r="F39" s="14">
        <v>0</v>
      </c>
      <c r="G39" s="14"/>
      <c r="H39" s="96">
        <v>-26085.00031348933</v>
      </c>
      <c r="I39" s="96">
        <v>0</v>
      </c>
      <c r="J39" s="96">
        <v>0</v>
      </c>
      <c r="K39" s="96">
        <v>623322.27</v>
      </c>
    </row>
    <row r="40" spans="1:11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>
        <v>0</v>
      </c>
      <c r="I40" s="96">
        <v>0</v>
      </c>
      <c r="J40" s="96">
        <v>0</v>
      </c>
      <c r="K40" s="96">
        <v>0</v>
      </c>
    </row>
    <row r="41" spans="1:11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1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0</v>
      </c>
      <c r="I42" s="96">
        <v>0</v>
      </c>
      <c r="J42" s="96">
        <v>0</v>
      </c>
      <c r="K42" s="96">
        <v>0</v>
      </c>
    </row>
    <row r="43" spans="1:11" ht="15.6" x14ac:dyDescent="0.3">
      <c r="A43" s="30" t="s">
        <v>95</v>
      </c>
      <c r="B43" s="26" t="s">
        <v>56</v>
      </c>
      <c r="C43" s="26" t="s">
        <v>107</v>
      </c>
      <c r="D43" s="196">
        <v>167971.91280443771</v>
      </c>
      <c r="E43" s="14">
        <v>21476.5869692044</v>
      </c>
      <c r="F43" s="14">
        <v>276199.21570975613</v>
      </c>
      <c r="G43" s="14">
        <v>573706.26</v>
      </c>
      <c r="H43" s="96">
        <v>88305.934934832403</v>
      </c>
      <c r="I43" s="96">
        <v>27865.838763465134</v>
      </c>
      <c r="J43" s="96">
        <v>73508.182413266419</v>
      </c>
      <c r="K43" s="96">
        <v>1355094.31</v>
      </c>
    </row>
    <row r="44" spans="1:11" ht="15.6" x14ac:dyDescent="0.3">
      <c r="A44" s="26" t="s">
        <v>83</v>
      </c>
      <c r="B44" s="26" t="s">
        <v>56</v>
      </c>
      <c r="C44" s="26" t="s">
        <v>107</v>
      </c>
      <c r="D44" s="14">
        <v>0</v>
      </c>
      <c r="E44" s="14">
        <v>5241.4658278145689</v>
      </c>
      <c r="F44" s="14">
        <v>0</v>
      </c>
      <c r="G44" s="14"/>
      <c r="H44" s="96">
        <v>0</v>
      </c>
      <c r="I44" s="96">
        <v>119.271380197171</v>
      </c>
      <c r="J44" s="96">
        <v>0</v>
      </c>
      <c r="K44" s="96">
        <v>-8450.7199999999993</v>
      </c>
    </row>
    <row r="45" spans="1:11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>
        <v>-601281.25</v>
      </c>
      <c r="H45" s="96">
        <v>0</v>
      </c>
      <c r="I45" s="96">
        <v>0</v>
      </c>
      <c r="J45" s="96">
        <v>0</v>
      </c>
      <c r="K45" s="96">
        <v>-54719.83</v>
      </c>
    </row>
    <row r="46" spans="1:11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0</v>
      </c>
      <c r="J46" s="96">
        <v>0</v>
      </c>
      <c r="K46" s="96">
        <v>0</v>
      </c>
    </row>
    <row r="47" spans="1:11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>
        <v>0</v>
      </c>
      <c r="I47" s="96">
        <v>868.10332488045208</v>
      </c>
      <c r="J47" s="96">
        <v>0</v>
      </c>
      <c r="K47" s="96">
        <v>0</v>
      </c>
    </row>
    <row r="48" spans="1:11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>
        <v>0</v>
      </c>
      <c r="I48" s="96">
        <v>0</v>
      </c>
      <c r="J48" s="96">
        <v>0</v>
      </c>
      <c r="K48" s="96">
        <v>0</v>
      </c>
    </row>
    <row r="49" spans="1:12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>
        <v>0</v>
      </c>
      <c r="I49" s="96">
        <v>0</v>
      </c>
      <c r="J49" s="96">
        <v>0</v>
      </c>
      <c r="K49" s="96">
        <v>0</v>
      </c>
    </row>
    <row r="50" spans="1:12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>
        <v>0</v>
      </c>
      <c r="I50" s="96">
        <v>0</v>
      </c>
      <c r="J50" s="96">
        <v>34622.353916648477</v>
      </c>
      <c r="K50" s="96">
        <v>0</v>
      </c>
    </row>
    <row r="51" spans="1:12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>
        <v>0</v>
      </c>
      <c r="I51" s="96">
        <v>0</v>
      </c>
      <c r="J51" s="96">
        <v>0</v>
      </c>
      <c r="K51" s="96">
        <v>0</v>
      </c>
    </row>
    <row r="52" spans="1:12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>
        <v>0</v>
      </c>
      <c r="I52" s="96">
        <v>-1184.8981603086779</v>
      </c>
      <c r="J52" s="96">
        <v>0</v>
      </c>
      <c r="K52" s="96">
        <v>0</v>
      </c>
    </row>
    <row r="53" spans="1:12" ht="15.6" x14ac:dyDescent="0.3">
      <c r="A53" s="26" t="s">
        <v>139</v>
      </c>
      <c r="B53" s="26" t="s">
        <v>108</v>
      </c>
      <c r="C53" s="26" t="s">
        <v>107</v>
      </c>
      <c r="D53" s="193"/>
      <c r="E53" s="193"/>
      <c r="F53" s="193"/>
      <c r="G53" s="193">
        <v>-124868.53</v>
      </c>
      <c r="H53" s="96"/>
      <c r="I53" s="96"/>
      <c r="J53" s="96"/>
      <c r="K53" s="96"/>
    </row>
    <row r="54" spans="1:12" ht="15.6" x14ac:dyDescent="0.3">
      <c r="A54" s="26" t="s">
        <v>41</v>
      </c>
      <c r="B54" s="26" t="s">
        <v>56</v>
      </c>
      <c r="C54" s="26" t="s">
        <v>107</v>
      </c>
      <c r="D54" s="14"/>
      <c r="E54" s="14"/>
      <c r="F54" s="14"/>
      <c r="G54" s="14"/>
      <c r="H54" s="96">
        <v>0</v>
      </c>
      <c r="I54" s="96">
        <v>-12300.900950466939</v>
      </c>
      <c r="J54" s="96">
        <v>0</v>
      </c>
      <c r="K54" s="96">
        <v>0</v>
      </c>
    </row>
    <row r="55" spans="1:12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>
        <v>0</v>
      </c>
      <c r="I55" s="96">
        <v>-659.17686349020767</v>
      </c>
      <c r="J55" s="96">
        <v>0</v>
      </c>
      <c r="K55" s="96">
        <v>0</v>
      </c>
    </row>
    <row r="56" spans="1:12" ht="21.6" thickBot="1" x14ac:dyDescent="0.45">
      <c r="A56" s="123" t="s">
        <v>116</v>
      </c>
      <c r="B56" s="121"/>
      <c r="C56" s="121"/>
      <c r="D56" s="174">
        <f>SUM(D23:D55)</f>
        <v>1617239.5344982212</v>
      </c>
      <c r="E56" s="174">
        <f t="shared" ref="E56:G56" si="4">SUM(E23:E55)</f>
        <v>299066.07740906533</v>
      </c>
      <c r="F56" s="174">
        <f t="shared" si="4"/>
        <v>1945694.5591543561</v>
      </c>
      <c r="G56" s="174">
        <f t="shared" si="4"/>
        <v>1585396.5199999998</v>
      </c>
      <c r="H56" s="174">
        <f>SUM(H23:H55)</f>
        <v>1262404.5973238961</v>
      </c>
      <c r="I56" s="174">
        <f t="shared" ref="I56:K56" si="5">SUM(I23:I55)</f>
        <v>297058.46096719545</v>
      </c>
      <c r="J56" s="174">
        <f t="shared" si="5"/>
        <v>5346299.2649145601</v>
      </c>
      <c r="K56" s="174">
        <f t="shared" si="5"/>
        <v>11400091.580000004</v>
      </c>
    </row>
    <row r="57" spans="1:12" ht="15.6" x14ac:dyDescent="0.3">
      <c r="A57" s="30" t="s">
        <v>33</v>
      </c>
      <c r="B57" s="26" t="s">
        <v>115</v>
      </c>
      <c r="C57" s="26" t="s">
        <v>107</v>
      </c>
      <c r="D57" s="14">
        <v>0</v>
      </c>
      <c r="E57" s="14">
        <v>2456.7417218543042</v>
      </c>
      <c r="F57" s="14">
        <v>16499.93376873017</v>
      </c>
      <c r="G57" s="14"/>
      <c r="H57" s="96">
        <v>-8369.2698015783535</v>
      </c>
      <c r="I57" s="96">
        <v>0</v>
      </c>
      <c r="J57" s="96">
        <v>4589.9215230344435</v>
      </c>
      <c r="K57" s="96">
        <v>-131355.35</v>
      </c>
    </row>
    <row r="58" spans="1:12" ht="15.6" x14ac:dyDescent="0.3">
      <c r="A58" s="26" t="s">
        <v>84</v>
      </c>
      <c r="B58" s="26" t="s">
        <v>115</v>
      </c>
      <c r="C58" s="26" t="s">
        <v>107</v>
      </c>
      <c r="D58" s="14">
        <v>6362.4008926983051</v>
      </c>
      <c r="E58" s="14">
        <v>2348.3914624329191</v>
      </c>
      <c r="F58" s="14">
        <v>0</v>
      </c>
      <c r="G58" s="14">
        <v>11413.69</v>
      </c>
      <c r="H58" s="96">
        <v>-31485.837311811309</v>
      </c>
      <c r="I58" s="96">
        <v>2825.9857443596311</v>
      </c>
      <c r="J58" s="96">
        <v>-39354.297536527469</v>
      </c>
      <c r="K58" s="96">
        <v>-300121.19</v>
      </c>
    </row>
    <row r="59" spans="1:12" ht="15.6" x14ac:dyDescent="0.3">
      <c r="A59" s="26" t="s">
        <v>37</v>
      </c>
      <c r="B59" s="26" t="s">
        <v>115</v>
      </c>
      <c r="C59" s="26" t="s">
        <v>107</v>
      </c>
      <c r="D59" s="14"/>
      <c r="E59" s="14"/>
      <c r="F59" s="14"/>
      <c r="G59" s="14"/>
      <c r="H59" s="96">
        <v>0</v>
      </c>
      <c r="I59" s="96">
        <v>0</v>
      </c>
      <c r="J59" s="96">
        <v>0</v>
      </c>
      <c r="K59" s="96">
        <v>0</v>
      </c>
      <c r="L59" s="133"/>
    </row>
    <row r="60" spans="1:12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  <c r="L60" s="133"/>
    </row>
    <row r="61" spans="1:12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/>
      <c r="G61" s="14">
        <v>832283.14</v>
      </c>
      <c r="H61" s="96">
        <v>268435.01099971012</v>
      </c>
      <c r="I61" s="96">
        <v>59953.327760791159</v>
      </c>
      <c r="J61" s="96">
        <v>1199559.947563943</v>
      </c>
      <c r="K61" s="96">
        <v>3022706.59</v>
      </c>
      <c r="L61" s="133"/>
    </row>
    <row r="62" spans="1:12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>
        <v>0</v>
      </c>
      <c r="K62" s="96">
        <v>0</v>
      </c>
    </row>
    <row r="63" spans="1:12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2" ht="15.6" x14ac:dyDescent="0.3">
      <c r="A64" s="197" t="s">
        <v>141</v>
      </c>
      <c r="B64" s="26" t="s">
        <v>115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1" ht="16.2" thickBot="1" x14ac:dyDescent="0.35">
      <c r="A65" s="117" t="s">
        <v>99</v>
      </c>
      <c r="B65" s="26" t="s">
        <v>115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1" ht="21.6" thickBot="1" x14ac:dyDescent="0.45">
      <c r="A66" s="123" t="s">
        <v>117</v>
      </c>
      <c r="B66" s="121"/>
      <c r="C66" s="121"/>
      <c r="D66" s="174">
        <f>SUM(D57:D65)</f>
        <v>6362.4008926983051</v>
      </c>
      <c r="E66" s="174">
        <f t="shared" ref="E66:G66" si="6">SUM(E57:E65)</f>
        <v>4805.1331842872232</v>
      </c>
      <c r="F66" s="174">
        <f t="shared" si="6"/>
        <v>16499.93376873017</v>
      </c>
      <c r="G66" s="174">
        <f t="shared" si="6"/>
        <v>843696.83</v>
      </c>
      <c r="H66" s="174">
        <f>SUM(H57:H65)</f>
        <v>228579.90388632048</v>
      </c>
      <c r="I66" s="174">
        <f t="shared" ref="I66:K66" si="7">SUM(I57:I65)</f>
        <v>62779.313505150792</v>
      </c>
      <c r="J66" s="174">
        <f t="shared" si="7"/>
        <v>1164795.5715504501</v>
      </c>
      <c r="K66" s="174">
        <f t="shared" si="7"/>
        <v>2591230.0499999998</v>
      </c>
    </row>
    <row r="67" spans="1:11" ht="15.6" x14ac:dyDescent="0.3">
      <c r="A67" s="27" t="s">
        <v>77</v>
      </c>
      <c r="B67" s="26" t="s">
        <v>108</v>
      </c>
      <c r="C67" s="27" t="s">
        <v>102</v>
      </c>
      <c r="D67" s="195">
        <v>2451.5674533286369</v>
      </c>
      <c r="E67" s="195">
        <v>2479.9950821975549</v>
      </c>
      <c r="F67" s="195">
        <v>0</v>
      </c>
      <c r="G67" s="195"/>
      <c r="H67" s="96">
        <v>0</v>
      </c>
      <c r="I67" s="96">
        <v>-1116.8948091312691</v>
      </c>
      <c r="J67" s="96">
        <v>12239.79072809185</v>
      </c>
      <c r="K67" s="96">
        <v>0</v>
      </c>
    </row>
    <row r="68" spans="1:11" ht="15.6" x14ac:dyDescent="0.3">
      <c r="A68" s="30" t="s">
        <v>40</v>
      </c>
      <c r="B68" s="26" t="s">
        <v>56</v>
      </c>
      <c r="C68" s="26" t="s">
        <v>103</v>
      </c>
      <c r="D68" s="193">
        <v>13229.089375713909</v>
      </c>
      <c r="E68" s="193">
        <v>0</v>
      </c>
      <c r="F68" s="193">
        <v>0</v>
      </c>
      <c r="G68" s="193"/>
      <c r="H68" s="96">
        <v>78266.19857580887</v>
      </c>
      <c r="I68" s="96">
        <v>9494.3984242201423</v>
      </c>
      <c r="J68" s="96">
        <v>0</v>
      </c>
      <c r="K68" s="96">
        <v>-169146.29</v>
      </c>
    </row>
    <row r="69" spans="1:11" ht="15.6" x14ac:dyDescent="0.3">
      <c r="A69" s="26" t="s">
        <v>90</v>
      </c>
      <c r="B69" s="26" t="s">
        <v>108</v>
      </c>
      <c r="C69" s="26" t="s">
        <v>103</v>
      </c>
      <c r="D69" s="193">
        <v>0</v>
      </c>
      <c r="E69" s="193">
        <v>-3636.073516828294</v>
      </c>
      <c r="F69" s="193">
        <v>0</v>
      </c>
      <c r="G69" s="193"/>
      <c r="H69" s="96">
        <v>0</v>
      </c>
      <c r="I69" s="96">
        <v>0</v>
      </c>
      <c r="J69" s="96">
        <v>0</v>
      </c>
      <c r="K69" s="96">
        <v>0</v>
      </c>
    </row>
    <row r="70" spans="1:11" ht="15.6" x14ac:dyDescent="0.3">
      <c r="A70" s="26" t="s">
        <v>92</v>
      </c>
      <c r="B70" s="26" t="s">
        <v>56</v>
      </c>
      <c r="C70" s="26" t="s">
        <v>103</v>
      </c>
      <c r="D70" s="193">
        <v>0</v>
      </c>
      <c r="E70" s="193">
        <v>-478.12349989090097</v>
      </c>
      <c r="F70" s="193">
        <v>0</v>
      </c>
      <c r="G70" s="193"/>
      <c r="H70" s="96">
        <v>0</v>
      </c>
      <c r="I70" s="96">
        <v>2705.3563495526951</v>
      </c>
      <c r="J70" s="96">
        <v>0</v>
      </c>
      <c r="K70" s="96">
        <v>0</v>
      </c>
    </row>
    <row r="71" spans="1:11" ht="15.6" x14ac:dyDescent="0.3">
      <c r="A71" s="26" t="s">
        <v>93</v>
      </c>
      <c r="B71" s="26" t="s">
        <v>56</v>
      </c>
      <c r="C71" s="26" t="s">
        <v>103</v>
      </c>
      <c r="D71" s="193"/>
      <c r="E71" s="193"/>
      <c r="F71" s="193"/>
      <c r="G71" s="193"/>
      <c r="H71" s="96">
        <v>0</v>
      </c>
      <c r="I71" s="96">
        <v>0</v>
      </c>
      <c r="J71" s="96">
        <v>0</v>
      </c>
      <c r="K71" s="96">
        <v>0</v>
      </c>
    </row>
    <row r="72" spans="1:11" ht="15.6" x14ac:dyDescent="0.3">
      <c r="A72" s="26" t="s">
        <v>100</v>
      </c>
      <c r="B72" s="26" t="s">
        <v>56</v>
      </c>
      <c r="C72" s="26" t="s">
        <v>103</v>
      </c>
      <c r="D72" s="193">
        <v>5843.1923563299133</v>
      </c>
      <c r="E72" s="193">
        <v>0</v>
      </c>
      <c r="F72" s="193">
        <v>0</v>
      </c>
      <c r="G72" s="193">
        <f>6233.21-78708.25</f>
        <v>-72475.039999999994</v>
      </c>
      <c r="H72" s="96">
        <v>-8810.4068711274849</v>
      </c>
      <c r="I72" s="96">
        <v>84.616717481949991</v>
      </c>
      <c r="J72" s="96">
        <v>0</v>
      </c>
      <c r="K72" s="96"/>
    </row>
    <row r="73" spans="1:11" ht="15.6" x14ac:dyDescent="0.3">
      <c r="A73" s="118" t="s">
        <v>101</v>
      </c>
      <c r="B73" s="26" t="s">
        <v>56</v>
      </c>
      <c r="C73" s="26" t="s">
        <v>103</v>
      </c>
      <c r="D73" s="193">
        <v>21004.600915815427</v>
      </c>
      <c r="E73" s="193">
        <v>9620.4896345559609</v>
      </c>
      <c r="F73" s="193">
        <v>105547.2217162872</v>
      </c>
      <c r="G73" s="193"/>
      <c r="H73" s="96">
        <v>1788.8216190268381</v>
      </c>
      <c r="I73" s="96">
        <v>30704.406926637068</v>
      </c>
      <c r="J73" s="96">
        <v>0</v>
      </c>
      <c r="K73" s="96">
        <v>-1077.4100000000001</v>
      </c>
    </row>
    <row r="74" spans="1:11" ht="15.6" x14ac:dyDescent="0.3">
      <c r="A74" s="26" t="s">
        <v>81</v>
      </c>
      <c r="B74" s="26" t="s">
        <v>56</v>
      </c>
      <c r="C74" s="26" t="s">
        <v>103</v>
      </c>
      <c r="D74" s="193"/>
      <c r="E74" s="193"/>
      <c r="F74" s="193"/>
      <c r="G74" s="193"/>
      <c r="H74" s="96">
        <v>0</v>
      </c>
      <c r="I74" s="96">
        <v>1248.047539648521</v>
      </c>
      <c r="J74" s="96">
        <v>0</v>
      </c>
      <c r="K74" s="96">
        <v>0</v>
      </c>
    </row>
    <row r="75" spans="1:11" ht="21.6" thickBot="1" x14ac:dyDescent="0.3">
      <c r="A75" s="177" t="s">
        <v>44</v>
      </c>
      <c r="B75" s="178"/>
      <c r="C75" s="178"/>
      <c r="D75" s="179">
        <f>SUM(D67:D74)</f>
        <v>42528.450101187889</v>
      </c>
      <c r="E75" s="179">
        <f t="shared" ref="E75:G75" si="8">SUM(E67:E74)</f>
        <v>7986.2877000343206</v>
      </c>
      <c r="F75" s="179">
        <f t="shared" si="8"/>
        <v>105547.2217162872</v>
      </c>
      <c r="G75" s="179">
        <f t="shared" si="8"/>
        <v>-72475.039999999994</v>
      </c>
      <c r="H75" s="179">
        <f>SUM(H67:H74)</f>
        <v>71244.613323708225</v>
      </c>
      <c r="I75" s="179">
        <f t="shared" ref="I75:K75" si="9">SUM(I67:I74)</f>
        <v>43119.931148409109</v>
      </c>
      <c r="J75" s="179">
        <f t="shared" si="9"/>
        <v>12239.79072809185</v>
      </c>
      <c r="K75" s="179">
        <f t="shared" si="9"/>
        <v>-170223.7</v>
      </c>
    </row>
    <row r="76" spans="1:11" ht="21.6" thickBot="1" x14ac:dyDescent="0.3">
      <c r="A76" s="122" t="s">
        <v>45</v>
      </c>
      <c r="B76" s="121"/>
      <c r="C76" s="121"/>
      <c r="D76" s="131">
        <f>D75+D66+D56+D22+D8</f>
        <v>2630373.2626753617</v>
      </c>
      <c r="E76" s="131">
        <f t="shared" ref="E76:G76" si="10">E75+E66+E56+E22+E8</f>
        <v>713517.96962439409</v>
      </c>
      <c r="F76" s="131">
        <f t="shared" si="10"/>
        <v>2863875.9841648946</v>
      </c>
      <c r="G76" s="131">
        <f t="shared" si="10"/>
        <v>-696662.00000000047</v>
      </c>
      <c r="H76" s="131">
        <f>H75+H66+H56+H22+H8</f>
        <v>2433102.7855589758</v>
      </c>
      <c r="I76" s="131">
        <f t="shared" ref="I76:K76" si="11">I75+I66+I56+I22+I8</f>
        <v>426719.44204612082</v>
      </c>
      <c r="J76" s="131">
        <f t="shared" si="11"/>
        <v>6778509.7253710832</v>
      </c>
      <c r="K76" s="131">
        <f t="shared" si="11"/>
        <v>12138900.530000005</v>
      </c>
    </row>
    <row r="78" spans="1:11" x14ac:dyDescent="0.3">
      <c r="D78" s="6"/>
      <c r="E78" s="6"/>
      <c r="F78" s="6"/>
      <c r="G78" s="6"/>
    </row>
    <row r="80" spans="1:11" x14ac:dyDescent="0.3">
      <c r="G80" s="9"/>
    </row>
  </sheetData>
  <mergeCells count="2">
    <mergeCell ref="D1:G1"/>
    <mergeCell ref="H1:K1"/>
  </mergeCells>
  <conditionalFormatting sqref="A1">
    <cfRule type="duplicateValues" dxfId="229" priority="17"/>
    <cfRule type="duplicateValues" dxfId="228" priority="18"/>
  </conditionalFormatting>
  <conditionalFormatting sqref="A14">
    <cfRule type="duplicateValues" dxfId="227" priority="7"/>
    <cfRule type="duplicateValues" dxfId="226" priority="8"/>
  </conditionalFormatting>
  <conditionalFormatting sqref="A20">
    <cfRule type="duplicateValues" dxfId="225" priority="1"/>
    <cfRule type="duplicateValues" dxfId="224" priority="2"/>
  </conditionalFormatting>
  <conditionalFormatting sqref="A41">
    <cfRule type="duplicateValues" dxfId="223" priority="3"/>
    <cfRule type="duplicateValues" dxfId="222" priority="4"/>
  </conditionalFormatting>
  <conditionalFormatting sqref="A57">
    <cfRule type="duplicateValues" dxfId="221" priority="9"/>
    <cfRule type="duplicateValues" dxfId="220" priority="10"/>
  </conditionalFormatting>
  <conditionalFormatting sqref="A58:A60 A7 A23:A40 A62 A42:A55">
    <cfRule type="duplicateValues" dxfId="219" priority="15"/>
    <cfRule type="duplicateValues" dxfId="218" priority="16"/>
  </conditionalFormatting>
  <conditionalFormatting sqref="A61">
    <cfRule type="duplicateValues" dxfId="217" priority="5"/>
    <cfRule type="duplicateValues" dxfId="216" priority="6"/>
  </conditionalFormatting>
  <conditionalFormatting sqref="A67:A74">
    <cfRule type="duplicateValues" dxfId="215" priority="13"/>
    <cfRule type="duplicateValues" dxfId="214" priority="14"/>
  </conditionalFormatting>
  <conditionalFormatting sqref="A75:A76 A2:A6 A8:A13 A15:A19 A56 A66 A21:A22">
    <cfRule type="duplicateValues" dxfId="213" priority="11"/>
    <cfRule type="duplicateValues" dxfId="212" priority="1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2088-57B0-4CA1-9D21-345272FEC0C7}">
  <sheetPr>
    <tabColor rgb="FFFFFF00"/>
  </sheetPr>
  <dimension ref="A1:M78"/>
  <sheetViews>
    <sheetView rightToLeft="1" zoomScaleNormal="100" workbookViewId="0">
      <pane ySplit="3" topLeftCell="A4" activePane="bottomLeft" state="frozen"/>
      <selection pane="bottomLeft" activeCell="L1" sqref="L1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2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2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2" ht="15.6" x14ac:dyDescent="0.3">
      <c r="A3" s="26" t="s">
        <v>1</v>
      </c>
      <c r="B3" s="26" t="s">
        <v>108</v>
      </c>
      <c r="C3" s="26" t="s">
        <v>58</v>
      </c>
      <c r="D3" s="14"/>
      <c r="E3" s="14">
        <f>117599-323-670-E5-E6-E51-E71</f>
        <v>39753</v>
      </c>
      <c r="F3" s="14"/>
      <c r="G3" s="14"/>
      <c r="H3" s="96">
        <v>0</v>
      </c>
      <c r="I3" s="96">
        <v>193818.39999999997</v>
      </c>
      <c r="J3" s="96"/>
      <c r="K3" s="96"/>
    </row>
    <row r="4" spans="1:12" ht="15.6" x14ac:dyDescent="0.3">
      <c r="A4" s="26" t="s">
        <v>2</v>
      </c>
      <c r="B4" s="26" t="s">
        <v>108</v>
      </c>
      <c r="C4" s="26" t="s">
        <v>58</v>
      </c>
      <c r="D4" s="14"/>
      <c r="E4" s="193"/>
      <c r="F4" s="14"/>
      <c r="G4" s="14"/>
      <c r="H4" s="96">
        <v>0</v>
      </c>
      <c r="I4" s="96">
        <v>0</v>
      </c>
      <c r="J4" s="96"/>
      <c r="K4" s="96"/>
    </row>
    <row r="5" spans="1:12" ht="15.6" x14ac:dyDescent="0.3">
      <c r="A5" s="26" t="s">
        <v>104</v>
      </c>
      <c r="B5" s="26" t="s">
        <v>108</v>
      </c>
      <c r="C5" s="26" t="s">
        <v>58</v>
      </c>
      <c r="D5" s="14"/>
      <c r="E5" s="193">
        <f>36524+5501</f>
        <v>42025</v>
      </c>
      <c r="F5" s="14"/>
      <c r="G5" s="14"/>
      <c r="H5" s="96"/>
      <c r="I5" s="96"/>
      <c r="J5" s="96"/>
      <c r="K5" s="96"/>
      <c r="L5" s="133"/>
    </row>
    <row r="6" spans="1:12" ht="15.6" x14ac:dyDescent="0.3">
      <c r="A6" s="28" t="s">
        <v>105</v>
      </c>
      <c r="B6" s="26" t="s">
        <v>108</v>
      </c>
      <c r="C6" s="28" t="s">
        <v>58</v>
      </c>
      <c r="D6" s="15"/>
      <c r="E6" s="194">
        <f>13624+7282</f>
        <v>20906</v>
      </c>
      <c r="F6" s="15"/>
      <c r="G6" s="15"/>
      <c r="H6" s="96"/>
      <c r="I6" s="96"/>
      <c r="J6" s="96"/>
      <c r="K6" s="96"/>
    </row>
    <row r="7" spans="1:12" ht="16.2" thickBot="1" x14ac:dyDescent="0.35">
      <c r="A7" s="26" t="s">
        <v>34</v>
      </c>
      <c r="B7" s="26" t="s">
        <v>108</v>
      </c>
      <c r="C7" s="26" t="s">
        <v>58</v>
      </c>
      <c r="D7" s="14"/>
      <c r="E7" s="193">
        <v>853.96</v>
      </c>
      <c r="F7" s="14"/>
      <c r="G7" s="14"/>
      <c r="H7" s="96">
        <v>0</v>
      </c>
      <c r="I7" s="96">
        <v>0</v>
      </c>
      <c r="J7" s="96"/>
      <c r="K7" s="96"/>
    </row>
    <row r="8" spans="1:12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103537.96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193818.39999999997</v>
      </c>
      <c r="J8" s="174">
        <f t="shared" si="1"/>
        <v>0</v>
      </c>
      <c r="K8" s="174">
        <f t="shared" si="1"/>
        <v>0</v>
      </c>
    </row>
    <row r="9" spans="1:12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>
        <v>0</v>
      </c>
      <c r="I9" s="96">
        <v>0</v>
      </c>
      <c r="J9" s="96"/>
      <c r="K9" s="96"/>
    </row>
    <row r="10" spans="1:12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>
        <v>0</v>
      </c>
      <c r="I10" s="96">
        <v>0</v>
      </c>
      <c r="J10" s="96"/>
      <c r="K10" s="96"/>
    </row>
    <row r="11" spans="1:12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>
        <v>0</v>
      </c>
      <c r="I11" s="96">
        <v>14610.13</v>
      </c>
      <c r="J11" s="96"/>
      <c r="K11" s="96"/>
    </row>
    <row r="12" spans="1:12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>
        <v>0</v>
      </c>
      <c r="I12" s="96">
        <v>0</v>
      </c>
      <c r="J12" s="96"/>
      <c r="K12" s="96"/>
    </row>
    <row r="13" spans="1:12" ht="15.6" x14ac:dyDescent="0.3">
      <c r="A13" s="26" t="s">
        <v>8</v>
      </c>
      <c r="B13" s="26" t="s">
        <v>108</v>
      </c>
      <c r="C13" s="26" t="s">
        <v>106</v>
      </c>
      <c r="D13" s="14"/>
      <c r="E13" s="14">
        <v>35235</v>
      </c>
      <c r="F13" s="14"/>
      <c r="G13" s="14"/>
      <c r="H13" s="96">
        <v>0</v>
      </c>
      <c r="I13" s="96">
        <v>12739.300000000003</v>
      </c>
      <c r="J13" s="96"/>
      <c r="K13" s="96"/>
    </row>
    <row r="14" spans="1:12" ht="15.6" x14ac:dyDescent="0.3">
      <c r="A14" s="26" t="s">
        <v>9</v>
      </c>
      <c r="B14" s="26" t="s">
        <v>108</v>
      </c>
      <c r="C14" s="26" t="s">
        <v>106</v>
      </c>
      <c r="D14" s="14"/>
      <c r="E14" s="14">
        <v>7741</v>
      </c>
      <c r="F14" s="14"/>
      <c r="G14" s="14"/>
      <c r="H14" s="96">
        <v>0</v>
      </c>
      <c r="I14" s="96">
        <v>9245.89</v>
      </c>
      <c r="J14" s="96"/>
      <c r="K14" s="96"/>
    </row>
    <row r="15" spans="1:12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v>0</v>
      </c>
      <c r="I15" s="96">
        <v>0</v>
      </c>
      <c r="J15" s="96"/>
      <c r="K15" s="96"/>
    </row>
    <row r="16" spans="1:12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>
        <v>0</v>
      </c>
      <c r="I16" s="96">
        <v>0</v>
      </c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>
        <v>80227</v>
      </c>
      <c r="F17" s="14"/>
      <c r="G17" s="14"/>
      <c r="H17" s="96">
        <v>0</v>
      </c>
      <c r="I17" s="96">
        <v>42054.399999999994</v>
      </c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>
        <v>518</v>
      </c>
      <c r="E18" s="14">
        <v>14319</v>
      </c>
      <c r="F18" s="14"/>
      <c r="G18" s="14"/>
      <c r="H18" s="96">
        <v>528.51</v>
      </c>
      <c r="I18" s="96">
        <v>3557.4799999999996</v>
      </c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>
        <v>0</v>
      </c>
      <c r="I19" s="96">
        <v>0</v>
      </c>
      <c r="J19" s="96"/>
      <c r="K19" s="96"/>
    </row>
    <row r="20" spans="1:11" ht="15.6" x14ac:dyDescent="0.3">
      <c r="A20" s="28" t="s">
        <v>140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>
        <v>0</v>
      </c>
      <c r="I21" s="96">
        <v>0</v>
      </c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518</v>
      </c>
      <c r="E22" s="174">
        <f t="shared" ref="E22:G22" si="2">SUM(E9:E21)</f>
        <v>137522</v>
      </c>
      <c r="F22" s="174">
        <f t="shared" si="2"/>
        <v>0</v>
      </c>
      <c r="G22" s="174">
        <f t="shared" si="2"/>
        <v>0</v>
      </c>
      <c r="H22" s="174">
        <f>SUM(H9:H21)</f>
        <v>528.51</v>
      </c>
      <c r="I22" s="174">
        <f t="shared" ref="I22:K22" si="3">SUM(I9:I21)</f>
        <v>82207.199999999997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>
        <v>0</v>
      </c>
      <c r="I23" s="96">
        <v>0</v>
      </c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>
        <v>0</v>
      </c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>
        <v>0</v>
      </c>
      <c r="I25" s="96">
        <v>0</v>
      </c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>
        <v>0</v>
      </c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732</v>
      </c>
      <c r="E27" s="14">
        <v>18543</v>
      </c>
      <c r="F27" s="14"/>
      <c r="G27" s="14"/>
      <c r="H27" s="96">
        <v>450.22999999999996</v>
      </c>
      <c r="I27" s="96">
        <v>57958.18</v>
      </c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>
        <v>0</v>
      </c>
      <c r="I28" s="96">
        <v>0</v>
      </c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>
        <v>0</v>
      </c>
      <c r="I29" s="96">
        <v>0</v>
      </c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>
        <v>0</v>
      </c>
      <c r="I30" s="96">
        <v>0</v>
      </c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/>
      <c r="H31" s="96">
        <v>0</v>
      </c>
      <c r="I31" s="96">
        <v>0</v>
      </c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>
        <v>0</v>
      </c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>
        <v>0</v>
      </c>
      <c r="I33" s="96">
        <v>0</v>
      </c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>
        <v>0</v>
      </c>
      <c r="I36" s="96">
        <v>0</v>
      </c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>
        <v>0</v>
      </c>
      <c r="I40" s="96">
        <v>0</v>
      </c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0</v>
      </c>
      <c r="I42" s="96">
        <v>0</v>
      </c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>
        <v>0</v>
      </c>
      <c r="I43" s="96">
        <v>747.7</v>
      </c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>
        <v>0</v>
      </c>
      <c r="I44" s="96">
        <v>0</v>
      </c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93"/>
      <c r="F45" s="14"/>
      <c r="G45" s="14"/>
      <c r="H45" s="96">
        <v>0</v>
      </c>
      <c r="I45" s="96">
        <v>0</v>
      </c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93"/>
      <c r="F46" s="14"/>
      <c r="G46" s="14"/>
      <c r="H46" s="96">
        <v>0</v>
      </c>
      <c r="I46" s="96">
        <v>0</v>
      </c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93"/>
      <c r="F47" s="14"/>
      <c r="G47" s="14"/>
      <c r="H47" s="96">
        <v>0</v>
      </c>
      <c r="I47" s="96">
        <v>0</v>
      </c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93"/>
      <c r="F48" s="14"/>
      <c r="G48" s="14"/>
      <c r="H48" s="96">
        <v>0</v>
      </c>
      <c r="I48" s="96">
        <v>0</v>
      </c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93"/>
      <c r="F49" s="14"/>
      <c r="G49" s="14"/>
      <c r="H49" s="96">
        <v>0</v>
      </c>
      <c r="I49" s="96">
        <v>3462.63</v>
      </c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93"/>
      <c r="F50" s="14"/>
      <c r="G50" s="14"/>
      <c r="H50" s="96">
        <v>0</v>
      </c>
      <c r="I50" s="96">
        <v>0</v>
      </c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93">
        <v>4191</v>
      </c>
      <c r="F51" s="14"/>
      <c r="G51" s="14"/>
      <c r="H51" s="96">
        <v>0</v>
      </c>
      <c r="I51" s="96">
        <v>1168.3599999999999</v>
      </c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93"/>
      <c r="F52" s="14"/>
      <c r="G52" s="14"/>
      <c r="H52" s="96">
        <v>0</v>
      </c>
      <c r="I52" s="96">
        <v>0</v>
      </c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93"/>
      <c r="F53" s="14"/>
      <c r="G53" s="14"/>
      <c r="H53" s="96">
        <v>0</v>
      </c>
      <c r="I53" s="96">
        <v>0</v>
      </c>
      <c r="J53" s="96"/>
      <c r="K53" s="96"/>
    </row>
    <row r="54" spans="1:13" ht="15.6" x14ac:dyDescent="0.3">
      <c r="A54" s="26" t="s">
        <v>139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>
        <v>0</v>
      </c>
      <c r="I55" s="96">
        <v>0</v>
      </c>
      <c r="J55" s="96"/>
      <c r="K55" s="96"/>
    </row>
    <row r="56" spans="1:13" ht="21.6" thickBot="1" x14ac:dyDescent="0.45">
      <c r="A56" s="123" t="s">
        <v>116</v>
      </c>
      <c r="B56" s="121"/>
      <c r="C56" s="121"/>
      <c r="D56" s="174">
        <f>SUM(D23:D55)</f>
        <v>732</v>
      </c>
      <c r="E56" s="174">
        <f t="shared" ref="E56:G56" si="4">SUM(E23:E55)</f>
        <v>22734</v>
      </c>
      <c r="F56" s="174">
        <f t="shared" si="4"/>
        <v>0</v>
      </c>
      <c r="G56" s="174">
        <f t="shared" si="4"/>
        <v>0</v>
      </c>
      <c r="H56" s="174">
        <f>SUM(H23:H55)</f>
        <v>450.22999999999996</v>
      </c>
      <c r="I56" s="174">
        <f t="shared" ref="I56:K56" si="5">SUM(I23:I55)</f>
        <v>63336.869999999995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115</v>
      </c>
      <c r="C57" s="26" t="s">
        <v>107</v>
      </c>
      <c r="D57" s="14"/>
      <c r="E57" s="14"/>
      <c r="F57" s="14"/>
      <c r="G57" s="14"/>
      <c r="H57" s="96">
        <v>0</v>
      </c>
      <c r="I57" s="96">
        <v>0</v>
      </c>
      <c r="J57" s="96"/>
      <c r="K57" s="96"/>
    </row>
    <row r="58" spans="1:13" ht="15.6" x14ac:dyDescent="0.3">
      <c r="A58" s="26" t="s">
        <v>84</v>
      </c>
      <c r="B58" s="26" t="s">
        <v>115</v>
      </c>
      <c r="C58" s="26" t="s">
        <v>107</v>
      </c>
      <c r="D58" s="14"/>
      <c r="E58" s="14">
        <v>3208</v>
      </c>
      <c r="F58" s="14"/>
      <c r="G58" s="14"/>
      <c r="H58" s="96">
        <v>0</v>
      </c>
      <c r="I58" s="96">
        <v>7341.9499999999989</v>
      </c>
      <c r="J58" s="96"/>
      <c r="K58" s="96"/>
    </row>
    <row r="59" spans="1:13" ht="15.6" x14ac:dyDescent="0.3">
      <c r="A59" s="26" t="s">
        <v>37</v>
      </c>
      <c r="B59" s="26" t="s">
        <v>115</v>
      </c>
      <c r="C59" s="26" t="s">
        <v>107</v>
      </c>
      <c r="D59" s="14"/>
      <c r="E59" s="14"/>
      <c r="F59" s="14"/>
      <c r="G59" s="14"/>
      <c r="H59" s="96">
        <v>0</v>
      </c>
      <c r="I59" s="96">
        <v>0</v>
      </c>
      <c r="J59" s="96"/>
      <c r="K59" s="96"/>
      <c r="M59" s="133"/>
    </row>
    <row r="60" spans="1:13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/>
      <c r="K60" s="96"/>
      <c r="M60" s="133"/>
    </row>
    <row r="61" spans="1:13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/>
      <c r="G61" s="14"/>
      <c r="H61" s="96">
        <v>0</v>
      </c>
      <c r="I61" s="96">
        <v>0</v>
      </c>
      <c r="J61" s="96"/>
      <c r="K61" s="96"/>
      <c r="M61" s="133"/>
    </row>
    <row r="62" spans="1:13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/>
      <c r="K62" s="96"/>
    </row>
    <row r="63" spans="1:13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7" t="s">
        <v>141</v>
      </c>
      <c r="B64" s="26" t="s">
        <v>115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115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117</v>
      </c>
      <c r="B66" s="121"/>
      <c r="C66" s="121"/>
      <c r="D66" s="174">
        <f>SUM(D57:D65)</f>
        <v>0</v>
      </c>
      <c r="E66" s="174">
        <f t="shared" ref="E66:G66" si="6">SUM(E57:E65)</f>
        <v>3208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7341.9499999999989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95">
        <f>5927+323+670</f>
        <v>6920</v>
      </c>
      <c r="F67" s="18"/>
      <c r="G67" s="18"/>
      <c r="H67" s="96">
        <v>0</v>
      </c>
      <c r="I67" s="96">
        <v>6767.04</v>
      </c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93"/>
      <c r="F68" s="14"/>
      <c r="G68" s="14"/>
      <c r="H68" s="96">
        <v>0</v>
      </c>
      <c r="I68" s="96">
        <v>0</v>
      </c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93"/>
      <c r="F69" s="193"/>
      <c r="G69" s="14"/>
      <c r="H69" s="96">
        <v>0</v>
      </c>
      <c r="I69" s="96">
        <v>1949.85</v>
      </c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93"/>
      <c r="F70" s="193"/>
      <c r="G70" s="14"/>
      <c r="H70" s="96">
        <v>0</v>
      </c>
      <c r="I70" s="96">
        <v>0</v>
      </c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93">
        <v>9731</v>
      </c>
      <c r="F71" s="193"/>
      <c r="G71" s="14"/>
      <c r="H71" s="96">
        <v>0</v>
      </c>
      <c r="I71" s="96">
        <v>10324.480000000001</v>
      </c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93">
        <v>9414</v>
      </c>
      <c r="F72" s="193"/>
      <c r="G72" s="14"/>
      <c r="H72" s="96"/>
      <c r="I72" s="96">
        <v>4436.5200000000004</v>
      </c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93"/>
      <c r="F73" s="193"/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>
        <v>0</v>
      </c>
      <c r="I74" s="96">
        <v>0</v>
      </c>
      <c r="J74" s="96"/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26065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23477.890000000003</v>
      </c>
      <c r="J75" s="179">
        <f t="shared" si="9"/>
        <v>0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1250</v>
      </c>
      <c r="E76" s="131">
        <f t="shared" ref="E76:G76" si="10">E75+E66+E56+E22+E8</f>
        <v>293066.96000000002</v>
      </c>
      <c r="F76" s="131">
        <f t="shared" si="10"/>
        <v>0</v>
      </c>
      <c r="G76" s="131">
        <f t="shared" si="10"/>
        <v>0</v>
      </c>
      <c r="H76" s="131">
        <f>H75+H66+H56+H22+H8</f>
        <v>978.74</v>
      </c>
      <c r="I76" s="131">
        <f t="shared" ref="I76:K76" si="11">I75+I66+I56+I22+I8</f>
        <v>370182.30999999994</v>
      </c>
      <c r="J76" s="131">
        <f t="shared" si="11"/>
        <v>0</v>
      </c>
      <c r="K76" s="131">
        <f t="shared" si="11"/>
        <v>0</v>
      </c>
    </row>
    <row r="78" spans="1:12" x14ac:dyDescent="0.3">
      <c r="D78" s="6"/>
      <c r="E78" s="133"/>
    </row>
  </sheetData>
  <mergeCells count="2">
    <mergeCell ref="D1:G1"/>
    <mergeCell ref="H1:K1"/>
  </mergeCells>
  <conditionalFormatting sqref="A1">
    <cfRule type="duplicateValues" dxfId="211" priority="19"/>
    <cfRule type="duplicateValues" dxfId="210" priority="20"/>
  </conditionalFormatting>
  <conditionalFormatting sqref="A14">
    <cfRule type="duplicateValues" dxfId="209" priority="9"/>
    <cfRule type="duplicateValues" dxfId="208" priority="10"/>
  </conditionalFormatting>
  <conditionalFormatting sqref="A20">
    <cfRule type="duplicateValues" dxfId="207" priority="1"/>
    <cfRule type="duplicateValues" dxfId="206" priority="2"/>
  </conditionalFormatting>
  <conditionalFormatting sqref="A41">
    <cfRule type="duplicateValues" dxfId="205" priority="5"/>
    <cfRule type="duplicateValues" dxfId="204" priority="6"/>
  </conditionalFormatting>
  <conditionalFormatting sqref="A54">
    <cfRule type="duplicateValues" dxfId="203" priority="3"/>
    <cfRule type="duplicateValues" dxfId="202" priority="4"/>
  </conditionalFormatting>
  <conditionalFormatting sqref="A57">
    <cfRule type="duplicateValues" dxfId="201" priority="11"/>
    <cfRule type="duplicateValues" dxfId="200" priority="12"/>
  </conditionalFormatting>
  <conditionalFormatting sqref="A58:A60 A7 A23:A40 A62 A42:A53 A55">
    <cfRule type="duplicateValues" dxfId="199" priority="17"/>
    <cfRule type="duplicateValues" dxfId="198" priority="18"/>
  </conditionalFormatting>
  <conditionalFormatting sqref="A61">
    <cfRule type="duplicateValues" dxfId="197" priority="7"/>
    <cfRule type="duplicateValues" dxfId="196" priority="8"/>
  </conditionalFormatting>
  <conditionalFormatting sqref="A67:A74">
    <cfRule type="duplicateValues" dxfId="195" priority="15"/>
    <cfRule type="duplicateValues" dxfId="194" priority="16"/>
  </conditionalFormatting>
  <conditionalFormatting sqref="A75:A76 A2:A6 A8:A13 A15:A19 A56 A66 A21:A22">
    <cfRule type="duplicateValues" dxfId="193" priority="13"/>
    <cfRule type="duplicateValues" dxfId="192" priority="1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71D0-2B28-494D-BDF1-4E5175A67A8E}">
  <sheetPr>
    <tabColor rgb="FFFFFF00"/>
  </sheetPr>
  <dimension ref="A1:M82"/>
  <sheetViews>
    <sheetView rightToLeft="1" zoomScaleNormal="100" workbookViewId="0">
      <pane ySplit="3" topLeftCell="A56" activePane="bottomLeft" state="frozen"/>
      <selection pane="bottomLeft" activeCell="E80" sqref="E80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3">
        <f>153554-D4-D6-D16-D52-D53-D55-D71-D73-D74</f>
        <v>72948</v>
      </c>
      <c r="E3" s="193">
        <f>17392-E4-E6-E16-E52-E53-E55-E71-E73-E74</f>
        <v>1041</v>
      </c>
      <c r="F3" s="193">
        <f>251560-F4-F6-F16-F52-F53-F55-F71-F73-F74</f>
        <v>5304</v>
      </c>
      <c r="G3" s="193">
        <f>-2672791-G4-G6-G16-G52-G53-G55-G71-G73-G74</f>
        <v>-626730</v>
      </c>
      <c r="H3" s="96">
        <v>56562.012558000002</v>
      </c>
      <c r="I3" s="96">
        <v>15365.327628000006</v>
      </c>
      <c r="J3" s="96">
        <v>251545.72576200016</v>
      </c>
      <c r="K3" s="96">
        <v>8231.6918760000081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3"/>
      <c r="E4" s="193"/>
      <c r="F4" s="193">
        <v>71103</v>
      </c>
      <c r="G4" s="193"/>
      <c r="H4" s="96">
        <v>2998.6375619999994</v>
      </c>
      <c r="I4" s="96">
        <v>0</v>
      </c>
      <c r="J4" s="96">
        <v>0</v>
      </c>
      <c r="K4" s="96">
        <v>0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3"/>
      <c r="E5" s="193"/>
      <c r="F5" s="193"/>
      <c r="G5" s="193"/>
      <c r="H5" s="96"/>
      <c r="I5" s="96"/>
      <c r="J5" s="96"/>
      <c r="K5" s="96"/>
    </row>
    <row r="6" spans="1:11" ht="15.6" x14ac:dyDescent="0.25">
      <c r="A6" s="28" t="s">
        <v>105</v>
      </c>
      <c r="B6" s="26" t="s">
        <v>108</v>
      </c>
      <c r="C6" s="28" t="s">
        <v>58</v>
      </c>
      <c r="D6" s="248"/>
      <c r="E6" s="248">
        <v>0</v>
      </c>
      <c r="F6" s="248">
        <v>81261</v>
      </c>
      <c r="G6" s="248">
        <v>-838907</v>
      </c>
      <c r="H6" s="96"/>
      <c r="I6" s="96"/>
      <c r="J6" s="96"/>
      <c r="K6" s="96"/>
    </row>
    <row r="7" spans="1:11" ht="16.2" thickBot="1" x14ac:dyDescent="0.3">
      <c r="A7" s="26" t="s">
        <v>34</v>
      </c>
      <c r="B7" s="26" t="s">
        <v>108</v>
      </c>
      <c r="C7" s="26" t="s">
        <v>58</v>
      </c>
      <c r="D7" s="249"/>
      <c r="E7" s="249"/>
      <c r="F7" s="250"/>
      <c r="G7" s="250"/>
      <c r="H7" s="96">
        <v>0</v>
      </c>
      <c r="I7" s="96">
        <v>0</v>
      </c>
      <c r="J7" s="96">
        <v>0</v>
      </c>
      <c r="K7" s="96">
        <v>0</v>
      </c>
    </row>
    <row r="8" spans="1:11" ht="21.6" thickBot="1" x14ac:dyDescent="0.45">
      <c r="A8" s="122" t="s">
        <v>3</v>
      </c>
      <c r="B8" s="121"/>
      <c r="C8" s="121"/>
      <c r="D8" s="174">
        <f>SUM(D3:D7)</f>
        <v>72948</v>
      </c>
      <c r="E8" s="174">
        <f t="shared" ref="E8:G8" si="0">SUM(E3:E7)</f>
        <v>1041</v>
      </c>
      <c r="F8" s="174">
        <f t="shared" si="0"/>
        <v>157668</v>
      </c>
      <c r="G8" s="174">
        <f t="shared" si="0"/>
        <v>-1465637</v>
      </c>
      <c r="H8" s="174">
        <f>SUM(H3:H7)</f>
        <v>59560.650119999998</v>
      </c>
      <c r="I8" s="174">
        <f t="shared" ref="I8:K8" si="1">SUM(I3:I7)</f>
        <v>15365.327628000006</v>
      </c>
      <c r="J8" s="174">
        <f t="shared" si="1"/>
        <v>251545.72576200016</v>
      </c>
      <c r="K8" s="174">
        <f t="shared" si="1"/>
        <v>8231.6918760000081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95"/>
      <c r="E9" s="195"/>
      <c r="F9" s="195"/>
      <c r="G9" s="195"/>
      <c r="H9" s="96">
        <v>0</v>
      </c>
      <c r="I9" s="96">
        <v>0</v>
      </c>
      <c r="J9" s="96">
        <v>0</v>
      </c>
      <c r="K9" s="96">
        <v>0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93">
        <v>27472</v>
      </c>
      <c r="E10" s="193">
        <v>92712</v>
      </c>
      <c r="F10" s="193"/>
      <c r="G10" s="193">
        <v>151580</v>
      </c>
      <c r="H10" s="96">
        <v>0</v>
      </c>
      <c r="I10" s="96">
        <v>96302.124588000035</v>
      </c>
      <c r="J10" s="96">
        <v>0</v>
      </c>
      <c r="K10" s="96">
        <v>0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93"/>
      <c r="E11" s="193"/>
      <c r="F11" s="193"/>
      <c r="G11" s="193"/>
      <c r="H11" s="96">
        <v>0</v>
      </c>
      <c r="I11" s="96">
        <v>0</v>
      </c>
      <c r="J11" s="96">
        <v>0</v>
      </c>
      <c r="K11" s="96"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93">
        <v>0</v>
      </c>
      <c r="E12" s="193">
        <v>0</v>
      </c>
      <c r="F12" s="193">
        <v>126638</v>
      </c>
      <c r="G12" s="193">
        <v>-62877</v>
      </c>
      <c r="H12" s="96">
        <v>0</v>
      </c>
      <c r="I12" s="96">
        <v>0</v>
      </c>
      <c r="J12" s="96">
        <v>0</v>
      </c>
      <c r="K12" s="96"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93"/>
      <c r="E13" s="193"/>
      <c r="F13" s="193"/>
      <c r="G13" s="193"/>
      <c r="H13" s="96">
        <v>0</v>
      </c>
      <c r="I13" s="96">
        <v>14294.785596000003</v>
      </c>
      <c r="J13" s="96">
        <v>0</v>
      </c>
      <c r="K13" s="96"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93">
        <v>0</v>
      </c>
      <c r="E14" s="193">
        <v>0</v>
      </c>
      <c r="F14" s="193">
        <v>81495</v>
      </c>
      <c r="G14" s="193">
        <v>-377678</v>
      </c>
      <c r="H14" s="96">
        <v>0</v>
      </c>
      <c r="I14" s="96">
        <v>0</v>
      </c>
      <c r="J14" s="96">
        <v>15257.232083999999</v>
      </c>
      <c r="K14" s="96">
        <v>3255.682836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93"/>
      <c r="E15" s="193"/>
      <c r="F15" s="193"/>
      <c r="G15" s="193"/>
      <c r="H15" s="96">
        <v>0</v>
      </c>
      <c r="I15" s="96">
        <v>0</v>
      </c>
      <c r="J15" s="96">
        <v>0</v>
      </c>
      <c r="K15" s="96"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93">
        <v>39166</v>
      </c>
      <c r="E16" s="193">
        <v>1849</v>
      </c>
      <c r="F16" s="193"/>
      <c r="G16" s="193">
        <v>5051</v>
      </c>
      <c r="H16" s="96">
        <v>37530.289764000001</v>
      </c>
      <c r="I16" s="96">
        <v>0</v>
      </c>
      <c r="J16" s="96">
        <v>0</v>
      </c>
      <c r="K16" s="96">
        <v>1504.6450199999999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3">
        <v>12879</v>
      </c>
      <c r="E17" s="193">
        <v>4470</v>
      </c>
      <c r="F17" s="193">
        <v>0</v>
      </c>
      <c r="G17" s="193">
        <v>31824</v>
      </c>
      <c r="H17" s="96">
        <v>0</v>
      </c>
      <c r="I17" s="96">
        <v>5981.3873940000003</v>
      </c>
      <c r="J17" s="96">
        <v>40372.779635999999</v>
      </c>
      <c r="K17" s="96">
        <v>0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3"/>
      <c r="E18" s="193"/>
      <c r="F18" s="193"/>
      <c r="G18" s="193"/>
      <c r="H18" s="96">
        <v>0</v>
      </c>
      <c r="I18" s="96">
        <v>2146.3297780000003</v>
      </c>
      <c r="J18" s="96">
        <v>63233.211576000002</v>
      </c>
      <c r="K18" s="96">
        <v>0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3"/>
      <c r="E19" s="193"/>
      <c r="F19" s="193"/>
      <c r="G19" s="193"/>
      <c r="H19" s="96">
        <v>0</v>
      </c>
      <c r="I19" s="96">
        <v>577.01855699999999</v>
      </c>
      <c r="J19" s="96">
        <v>8946.1777920000004</v>
      </c>
      <c r="K19" s="96">
        <v>0</v>
      </c>
    </row>
    <row r="20" spans="1:11" ht="15.6" x14ac:dyDescent="0.3">
      <c r="A20" s="28" t="s">
        <v>140</v>
      </c>
      <c r="B20" s="26" t="s">
        <v>108</v>
      </c>
      <c r="C20" s="26" t="s">
        <v>106</v>
      </c>
      <c r="D20" s="194"/>
      <c r="E20" s="194"/>
      <c r="F20" s="194"/>
      <c r="G20" s="194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94"/>
      <c r="E21" s="194"/>
      <c r="F21" s="194"/>
      <c r="G21" s="194"/>
      <c r="H21" s="96">
        <v>0</v>
      </c>
      <c r="I21" s="96">
        <v>0</v>
      </c>
      <c r="J21" s="96">
        <v>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79517</v>
      </c>
      <c r="E22" s="174">
        <f t="shared" ref="E22:G22" si="2">SUM(E9:E21)</f>
        <v>99031</v>
      </c>
      <c r="F22" s="174">
        <f t="shared" si="2"/>
        <v>208133</v>
      </c>
      <c r="G22" s="174">
        <f t="shared" si="2"/>
        <v>-252100</v>
      </c>
      <c r="H22" s="174">
        <f>SUM(H9:H21)</f>
        <v>37530.289764000001</v>
      </c>
      <c r="I22" s="174">
        <f t="shared" ref="I22:K22" si="3">SUM(I9:I21)</f>
        <v>119301.64591300004</v>
      </c>
      <c r="J22" s="174">
        <f t="shared" si="3"/>
        <v>127809.401088</v>
      </c>
      <c r="K22" s="174">
        <f t="shared" si="3"/>
        <v>4760.3278559999999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95">
        <v>458431</v>
      </c>
      <c r="E23" s="195">
        <v>11127</v>
      </c>
      <c r="F23" s="195">
        <v>219087</v>
      </c>
      <c r="G23" s="195">
        <v>744865</v>
      </c>
      <c r="H23" s="96">
        <v>506616.90381600003</v>
      </c>
      <c r="I23" s="96">
        <v>74601.851070000004</v>
      </c>
      <c r="J23" s="96">
        <v>717546.80266799999</v>
      </c>
      <c r="K23" s="96">
        <v>1421484.973704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93"/>
      <c r="E24" s="193"/>
      <c r="F24" s="193"/>
      <c r="G24" s="193"/>
      <c r="H24" s="96">
        <v>0</v>
      </c>
      <c r="I24" s="96">
        <v>0</v>
      </c>
      <c r="J24" s="96">
        <v>0</v>
      </c>
      <c r="K24" s="96">
        <v>0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93"/>
      <c r="E25" s="193">
        <v>7422</v>
      </c>
      <c r="F25" s="193"/>
      <c r="G25" s="193"/>
      <c r="H25" s="96">
        <v>0</v>
      </c>
      <c r="I25" s="96">
        <v>10530.76539</v>
      </c>
      <c r="J25" s="96">
        <v>0</v>
      </c>
      <c r="K25" s="96"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93"/>
      <c r="E26" s="193"/>
      <c r="F26" s="193"/>
      <c r="G26" s="193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93"/>
      <c r="E27" s="193">
        <v>7912</v>
      </c>
      <c r="F27" s="193">
        <v>97686</v>
      </c>
      <c r="G27" s="193"/>
      <c r="H27" s="96">
        <v>0</v>
      </c>
      <c r="I27" s="96">
        <v>6639.2094059999999</v>
      </c>
      <c r="J27" s="96">
        <v>0</v>
      </c>
      <c r="K27" s="96">
        <v>0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93"/>
      <c r="E28" s="193"/>
      <c r="F28" s="193"/>
      <c r="G28" s="193"/>
      <c r="H28" s="96">
        <v>131006.050176</v>
      </c>
      <c r="I28" s="96">
        <v>5902.6766399999997</v>
      </c>
      <c r="J28" s="96">
        <v>12136.224006</v>
      </c>
      <c r="K28" s="96">
        <v>126230.08655399999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93"/>
      <c r="E29" s="193">
        <v>36819</v>
      </c>
      <c r="F29" s="193"/>
      <c r="G29" s="193"/>
      <c r="H29" s="96">
        <v>0</v>
      </c>
      <c r="I29" s="96">
        <v>25369.877214</v>
      </c>
      <c r="J29" s="96">
        <v>3630.6052679999998</v>
      </c>
      <c r="K29" s="96"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93">
        <v>0</v>
      </c>
      <c r="E30" s="193">
        <v>11447</v>
      </c>
      <c r="F30" s="193">
        <v>20374</v>
      </c>
      <c r="G30" s="193">
        <v>3108</v>
      </c>
      <c r="H30" s="96">
        <v>0</v>
      </c>
      <c r="I30" s="96">
        <v>17650.834091999997</v>
      </c>
      <c r="J30" s="96">
        <v>0</v>
      </c>
      <c r="K30" s="96">
        <v>0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93">
        <v>301856</v>
      </c>
      <c r="E31" s="193">
        <v>35175</v>
      </c>
      <c r="F31" s="193">
        <v>784201</v>
      </c>
      <c r="G31" s="193">
        <v>1071497</v>
      </c>
      <c r="H31" s="96">
        <v>506962.79439599998</v>
      </c>
      <c r="I31" s="96">
        <v>26429.623799999998</v>
      </c>
      <c r="J31" s="96">
        <v>1282569.7455719998</v>
      </c>
      <c r="K31" s="96">
        <v>607092.37812600005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93"/>
      <c r="E32" s="193"/>
      <c r="F32" s="193"/>
      <c r="G32" s="193"/>
      <c r="H32" s="96">
        <v>0</v>
      </c>
      <c r="I32" s="96">
        <v>0</v>
      </c>
      <c r="J32" s="96">
        <v>0</v>
      </c>
      <c r="K32" s="96">
        <v>0</v>
      </c>
    </row>
    <row r="33" spans="1:12" ht="15.6" x14ac:dyDescent="0.3">
      <c r="A33" s="26" t="s">
        <v>22</v>
      </c>
      <c r="B33" s="26" t="s">
        <v>56</v>
      </c>
      <c r="C33" s="26" t="s">
        <v>107</v>
      </c>
      <c r="D33" s="193"/>
      <c r="E33" s="193"/>
      <c r="F33" s="193"/>
      <c r="G33" s="193"/>
      <c r="H33" s="96">
        <v>0</v>
      </c>
      <c r="I33" s="96">
        <v>0</v>
      </c>
      <c r="J33" s="96">
        <v>0</v>
      </c>
      <c r="K33" s="96">
        <v>0</v>
      </c>
    </row>
    <row r="34" spans="1:12" ht="15.6" x14ac:dyDescent="0.3">
      <c r="A34" s="26" t="s">
        <v>23</v>
      </c>
      <c r="B34" s="26" t="s">
        <v>56</v>
      </c>
      <c r="C34" s="26" t="s">
        <v>107</v>
      </c>
      <c r="D34" s="193"/>
      <c r="E34" s="193"/>
      <c r="F34" s="193"/>
      <c r="G34" s="193"/>
      <c r="H34" s="96">
        <v>0</v>
      </c>
      <c r="I34" s="96">
        <v>0</v>
      </c>
      <c r="J34" s="96">
        <v>0</v>
      </c>
      <c r="K34" s="96">
        <v>0</v>
      </c>
    </row>
    <row r="35" spans="1:12" ht="15.6" x14ac:dyDescent="0.3">
      <c r="A35" s="26" t="s">
        <v>24</v>
      </c>
      <c r="B35" s="26" t="s">
        <v>56</v>
      </c>
      <c r="C35" s="26" t="s">
        <v>107</v>
      </c>
      <c r="D35" s="193"/>
      <c r="E35" s="193">
        <v>3630</v>
      </c>
      <c r="F35" s="193"/>
      <c r="G35" s="193"/>
      <c r="H35" s="96">
        <v>0</v>
      </c>
      <c r="I35" s="96">
        <v>0</v>
      </c>
      <c r="J35" s="96">
        <v>0</v>
      </c>
      <c r="K35" s="96">
        <v>0</v>
      </c>
    </row>
    <row r="36" spans="1:12" ht="15.6" x14ac:dyDescent="0.3">
      <c r="A36" s="30" t="s">
        <v>25</v>
      </c>
      <c r="B36" s="26" t="s">
        <v>56</v>
      </c>
      <c r="C36" s="26" t="s">
        <v>107</v>
      </c>
      <c r="D36" s="193"/>
      <c r="E36" s="193"/>
      <c r="F36" s="193"/>
      <c r="G36" s="193"/>
      <c r="H36" s="96">
        <v>0</v>
      </c>
      <c r="I36" s="96">
        <v>0</v>
      </c>
      <c r="J36" s="96">
        <v>0</v>
      </c>
      <c r="K36" s="96">
        <v>0</v>
      </c>
    </row>
    <row r="37" spans="1:12" ht="15.6" x14ac:dyDescent="0.3">
      <c r="A37" s="26" t="s">
        <v>26</v>
      </c>
      <c r="B37" s="26" t="s">
        <v>56</v>
      </c>
      <c r="C37" s="26" t="s">
        <v>107</v>
      </c>
      <c r="D37" s="193"/>
      <c r="E37" s="193"/>
      <c r="F37" s="193"/>
      <c r="G37" s="193"/>
      <c r="H37" s="96">
        <v>0</v>
      </c>
      <c r="I37" s="96">
        <v>0</v>
      </c>
      <c r="J37" s="96">
        <v>0</v>
      </c>
      <c r="K37" s="96">
        <v>0</v>
      </c>
    </row>
    <row r="38" spans="1:12" ht="15.6" x14ac:dyDescent="0.3">
      <c r="A38" s="26" t="s">
        <v>27</v>
      </c>
      <c r="B38" s="26" t="s">
        <v>56</v>
      </c>
      <c r="C38" s="26" t="s">
        <v>107</v>
      </c>
      <c r="D38" s="193"/>
      <c r="E38" s="193"/>
      <c r="F38" s="193"/>
      <c r="G38" s="193"/>
      <c r="H38" s="96">
        <v>36302.539182</v>
      </c>
      <c r="I38" s="96">
        <v>0</v>
      </c>
      <c r="J38" s="96">
        <v>0</v>
      </c>
      <c r="K38" s="96">
        <v>4002.3921479999999</v>
      </c>
    </row>
    <row r="39" spans="1:12" ht="15.6" x14ac:dyDescent="0.3">
      <c r="A39" s="26" t="s">
        <v>28</v>
      </c>
      <c r="B39" s="26" t="s">
        <v>56</v>
      </c>
      <c r="C39" s="26" t="s">
        <v>107</v>
      </c>
      <c r="D39" s="193"/>
      <c r="E39" s="193"/>
      <c r="F39" s="193"/>
      <c r="G39" s="193"/>
      <c r="H39" s="96">
        <v>0</v>
      </c>
      <c r="I39" s="96">
        <v>0</v>
      </c>
      <c r="J39" s="96">
        <v>0</v>
      </c>
      <c r="K39" s="96">
        <v>0</v>
      </c>
    </row>
    <row r="40" spans="1:12" ht="15.6" x14ac:dyDescent="0.3">
      <c r="A40" s="26" t="s">
        <v>29</v>
      </c>
      <c r="B40" s="26" t="s">
        <v>56</v>
      </c>
      <c r="C40" s="26" t="s">
        <v>107</v>
      </c>
      <c r="D40" s="193"/>
      <c r="E40" s="193"/>
      <c r="F40" s="193"/>
      <c r="G40" s="193"/>
      <c r="H40" s="96">
        <v>0</v>
      </c>
      <c r="I40" s="96">
        <v>0</v>
      </c>
      <c r="J40" s="96">
        <v>0</v>
      </c>
      <c r="K40" s="96">
        <v>0</v>
      </c>
    </row>
    <row r="41" spans="1:12" ht="15.6" x14ac:dyDescent="0.3">
      <c r="A41" s="26" t="s">
        <v>98</v>
      </c>
      <c r="B41" s="26" t="s">
        <v>55</v>
      </c>
      <c r="C41" s="26" t="s">
        <v>107</v>
      </c>
      <c r="D41" s="193"/>
      <c r="E41" s="193"/>
      <c r="F41" s="193"/>
      <c r="G41" s="193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93"/>
      <c r="E42" s="193"/>
      <c r="F42" s="193"/>
      <c r="G42" s="193"/>
      <c r="H42" s="96">
        <v>0</v>
      </c>
      <c r="I42" s="96">
        <v>0</v>
      </c>
      <c r="J42" s="96">
        <v>0</v>
      </c>
      <c r="K42" s="96">
        <v>0</v>
      </c>
    </row>
    <row r="43" spans="1:12" ht="15.6" x14ac:dyDescent="0.3">
      <c r="A43" s="30" t="s">
        <v>95</v>
      </c>
      <c r="B43" s="26" t="s">
        <v>56</v>
      </c>
      <c r="C43" s="26" t="s">
        <v>107</v>
      </c>
      <c r="D43" s="193"/>
      <c r="E43" s="193"/>
      <c r="F43" s="193"/>
      <c r="G43" s="193"/>
      <c r="H43" s="96">
        <v>64762.992822</v>
      </c>
      <c r="I43" s="96">
        <v>3590.3330219999998</v>
      </c>
      <c r="J43" s="96">
        <v>226213.43317800001</v>
      </c>
      <c r="K43" s="96">
        <v>28984.482768000002</v>
      </c>
    </row>
    <row r="44" spans="1:12" ht="15.6" x14ac:dyDescent="0.3">
      <c r="A44" s="26" t="s">
        <v>83</v>
      </c>
      <c r="B44" s="26" t="s">
        <v>56</v>
      </c>
      <c r="C44" s="26" t="s">
        <v>107</v>
      </c>
      <c r="D44" s="193"/>
      <c r="E44" s="193"/>
      <c r="F44" s="193"/>
      <c r="G44" s="193"/>
      <c r="H44" s="96">
        <v>94214.238899999997</v>
      </c>
      <c r="I44" s="96">
        <v>19988.570081999998</v>
      </c>
      <c r="J44" s="96">
        <v>0</v>
      </c>
      <c r="K44" s="96">
        <v>0</v>
      </c>
    </row>
    <row r="45" spans="1:12" ht="15.6" x14ac:dyDescent="0.3">
      <c r="A45" s="26" t="s">
        <v>82</v>
      </c>
      <c r="B45" s="26" t="s">
        <v>56</v>
      </c>
      <c r="C45" s="26" t="s">
        <v>107</v>
      </c>
      <c r="D45" s="193"/>
      <c r="E45" s="193"/>
      <c r="F45" s="193"/>
      <c r="G45" s="193"/>
      <c r="H45" s="96">
        <v>0</v>
      </c>
      <c r="I45" s="96">
        <v>0</v>
      </c>
      <c r="J45" s="96">
        <v>0</v>
      </c>
      <c r="K45" s="96">
        <v>0</v>
      </c>
    </row>
    <row r="46" spans="1:12" ht="15.6" x14ac:dyDescent="0.3">
      <c r="A46" s="26" t="s">
        <v>36</v>
      </c>
      <c r="B46" s="26" t="s">
        <v>55</v>
      </c>
      <c r="C46" s="26" t="s">
        <v>107</v>
      </c>
      <c r="D46" s="193"/>
      <c r="E46" s="193"/>
      <c r="F46" s="193"/>
      <c r="G46" s="193"/>
      <c r="H46" s="96">
        <v>0</v>
      </c>
      <c r="I46" s="96">
        <v>0</v>
      </c>
      <c r="J46" s="96">
        <v>0</v>
      </c>
      <c r="K46" s="96">
        <v>0</v>
      </c>
    </row>
    <row r="47" spans="1:12" ht="15.6" x14ac:dyDescent="0.3">
      <c r="A47" s="26" t="s">
        <v>94</v>
      </c>
      <c r="B47" s="26" t="s">
        <v>55</v>
      </c>
      <c r="C47" s="26" t="s">
        <v>107</v>
      </c>
      <c r="D47" s="193"/>
      <c r="E47" s="193"/>
      <c r="F47" s="193"/>
      <c r="G47" s="193"/>
      <c r="H47" s="96">
        <v>0</v>
      </c>
      <c r="I47" s="96">
        <v>0</v>
      </c>
      <c r="J47" s="96">
        <v>0</v>
      </c>
      <c r="K47" s="96">
        <v>0</v>
      </c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93"/>
      <c r="E48" s="193"/>
      <c r="F48" s="193"/>
      <c r="G48" s="193"/>
      <c r="H48" s="96">
        <v>0</v>
      </c>
      <c r="I48" s="96">
        <v>0</v>
      </c>
      <c r="J48" s="96">
        <v>0</v>
      </c>
      <c r="K48" s="96">
        <v>0</v>
      </c>
    </row>
    <row r="49" spans="1:13" ht="15.6" x14ac:dyDescent="0.3">
      <c r="A49" s="26" t="s">
        <v>87</v>
      </c>
      <c r="B49" s="26" t="s">
        <v>56</v>
      </c>
      <c r="C49" s="26" t="s">
        <v>107</v>
      </c>
      <c r="D49" s="193"/>
      <c r="E49" s="193"/>
      <c r="F49" s="193"/>
      <c r="G49" s="193"/>
      <c r="H49" s="96">
        <v>0</v>
      </c>
      <c r="I49" s="96">
        <v>0</v>
      </c>
      <c r="J49" s="96">
        <v>0</v>
      </c>
      <c r="K49" s="96">
        <v>0</v>
      </c>
    </row>
    <row r="50" spans="1:13" ht="15.6" x14ac:dyDescent="0.3">
      <c r="A50" s="26" t="s">
        <v>97</v>
      </c>
      <c r="B50" s="26" t="s">
        <v>56</v>
      </c>
      <c r="C50" s="26" t="s">
        <v>107</v>
      </c>
      <c r="D50" s="193"/>
      <c r="E50" s="193"/>
      <c r="F50" s="193"/>
      <c r="G50" s="193"/>
      <c r="H50" s="96">
        <v>0</v>
      </c>
      <c r="I50" s="96">
        <v>0</v>
      </c>
      <c r="J50" s="96">
        <v>0</v>
      </c>
      <c r="K50" s="96">
        <v>0</v>
      </c>
    </row>
    <row r="51" spans="1:13" ht="15.6" x14ac:dyDescent="0.3">
      <c r="A51" s="26" t="s">
        <v>39</v>
      </c>
      <c r="B51" s="26" t="s">
        <v>56</v>
      </c>
      <c r="C51" s="26" t="s">
        <v>107</v>
      </c>
      <c r="D51" s="193"/>
      <c r="E51" s="193"/>
      <c r="F51" s="193"/>
      <c r="G51" s="193"/>
      <c r="H51" s="96">
        <v>0</v>
      </c>
      <c r="I51" s="96">
        <v>0</v>
      </c>
      <c r="J51" s="96">
        <v>0</v>
      </c>
      <c r="K51" s="96">
        <v>0</v>
      </c>
    </row>
    <row r="52" spans="1:13" ht="15.6" x14ac:dyDescent="0.3">
      <c r="A52" s="26" t="s">
        <v>91</v>
      </c>
      <c r="B52" s="26" t="s">
        <v>56</v>
      </c>
      <c r="C52" s="26" t="s">
        <v>107</v>
      </c>
      <c r="D52" s="193">
        <v>29310</v>
      </c>
      <c r="E52" s="193">
        <v>5699</v>
      </c>
      <c r="F52" s="193">
        <v>38079</v>
      </c>
      <c r="G52" s="193">
        <v>81351</v>
      </c>
      <c r="H52" s="96">
        <v>19968.300977999999</v>
      </c>
      <c r="I52" s="96">
        <v>0</v>
      </c>
      <c r="J52" s="96">
        <v>81043.618686000002</v>
      </c>
      <c r="K52" s="96">
        <v>0</v>
      </c>
    </row>
    <row r="53" spans="1:13" ht="15.6" x14ac:dyDescent="0.3">
      <c r="A53" s="26" t="s">
        <v>41</v>
      </c>
      <c r="B53" s="26" t="s">
        <v>56</v>
      </c>
      <c r="C53" s="26" t="s">
        <v>107</v>
      </c>
      <c r="D53" s="193">
        <v>12130</v>
      </c>
      <c r="E53" s="193"/>
      <c r="F53" s="193"/>
      <c r="G53" s="193"/>
      <c r="H53" s="96">
        <v>0</v>
      </c>
      <c r="I53" s="96">
        <v>0</v>
      </c>
      <c r="J53" s="96">
        <v>0</v>
      </c>
      <c r="K53" s="96">
        <v>0</v>
      </c>
    </row>
    <row r="54" spans="1:13" ht="15.6" x14ac:dyDescent="0.3">
      <c r="A54" s="26" t="s">
        <v>139</v>
      </c>
      <c r="B54" s="26" t="s">
        <v>108</v>
      </c>
      <c r="C54" s="27" t="s">
        <v>107</v>
      </c>
      <c r="D54" s="194"/>
      <c r="E54" s="194"/>
      <c r="F54" s="194"/>
      <c r="G54" s="194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94"/>
      <c r="E55" s="194">
        <v>1503</v>
      </c>
      <c r="F55" s="194"/>
      <c r="G55" s="194">
        <v>-2038</v>
      </c>
      <c r="H55" s="96">
        <v>0</v>
      </c>
      <c r="I55" s="96">
        <v>0</v>
      </c>
      <c r="J55" s="96">
        <v>405.67603800000001</v>
      </c>
      <c r="K55" s="96">
        <v>4785.7622220000003</v>
      </c>
    </row>
    <row r="56" spans="1:13" ht="21.6" thickBot="1" x14ac:dyDescent="0.45">
      <c r="A56" s="123" t="s">
        <v>116</v>
      </c>
      <c r="B56" s="121"/>
      <c r="C56" s="121"/>
      <c r="D56" s="174">
        <f>SUM(D23:D55)</f>
        <v>801727</v>
      </c>
      <c r="E56" s="174">
        <f t="shared" ref="E56:G56" si="4">SUM(E23:E55)</f>
        <v>120734</v>
      </c>
      <c r="F56" s="174">
        <f t="shared" si="4"/>
        <v>1159427</v>
      </c>
      <c r="G56" s="174">
        <f t="shared" si="4"/>
        <v>1898783</v>
      </c>
      <c r="H56" s="174">
        <f>SUM(H23:H55)</f>
        <v>1359833.8202700003</v>
      </c>
      <c r="I56" s="174">
        <f t="shared" ref="I56:K56" si="5">SUM(I23:I55)</f>
        <v>190703.740716</v>
      </c>
      <c r="J56" s="174">
        <f t="shared" si="5"/>
        <v>2323546.1054159994</v>
      </c>
      <c r="K56" s="174">
        <f t="shared" si="5"/>
        <v>2192580.0755220004</v>
      </c>
    </row>
    <row r="57" spans="1:13" ht="15.6" x14ac:dyDescent="0.3">
      <c r="A57" s="30" t="s">
        <v>33</v>
      </c>
      <c r="B57" s="26" t="s">
        <v>115</v>
      </c>
      <c r="C57" s="26" t="s">
        <v>107</v>
      </c>
      <c r="D57" s="14"/>
      <c r="E57" s="14"/>
      <c r="F57" s="14"/>
      <c r="G57" s="14"/>
      <c r="H57" s="96">
        <v>0</v>
      </c>
      <c r="I57" s="96">
        <v>0</v>
      </c>
      <c r="J57" s="96">
        <v>0</v>
      </c>
      <c r="K57" s="96">
        <v>0</v>
      </c>
    </row>
    <row r="58" spans="1:13" ht="15.6" x14ac:dyDescent="0.3">
      <c r="A58" s="26" t="s">
        <v>84</v>
      </c>
      <c r="B58" s="26" t="s">
        <v>115</v>
      </c>
      <c r="C58" s="26" t="s">
        <v>107</v>
      </c>
      <c r="D58" s="14">
        <v>4353</v>
      </c>
      <c r="E58" s="14"/>
      <c r="F58" s="14">
        <v>47874</v>
      </c>
      <c r="G58" s="14"/>
      <c r="H58" s="96">
        <v>0</v>
      </c>
      <c r="I58" s="96">
        <v>1303.0738200000001</v>
      </c>
      <c r="J58" s="96">
        <v>12213.800921999999</v>
      </c>
      <c r="K58" s="96">
        <v>0</v>
      </c>
    </row>
    <row r="59" spans="1:13" ht="15.6" x14ac:dyDescent="0.3">
      <c r="A59" s="26" t="s">
        <v>37</v>
      </c>
      <c r="B59" s="26" t="s">
        <v>115</v>
      </c>
      <c r="C59" s="26" t="s">
        <v>107</v>
      </c>
      <c r="D59" s="14"/>
      <c r="E59" s="14"/>
      <c r="F59" s="14"/>
      <c r="G59" s="14"/>
      <c r="H59" s="96">
        <v>131263.59937800001</v>
      </c>
      <c r="I59" s="96">
        <v>0</v>
      </c>
      <c r="J59" s="96">
        <v>3047.728548</v>
      </c>
      <c r="K59" s="96">
        <v>59966.970066000002</v>
      </c>
      <c r="M59" s="133"/>
    </row>
    <row r="60" spans="1:13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  <c r="M60" s="133"/>
    </row>
    <row r="61" spans="1:13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/>
      <c r="G61" s="14"/>
      <c r="H61" s="96">
        <v>0</v>
      </c>
      <c r="I61" s="96">
        <v>17428.097916000002</v>
      </c>
      <c r="J61" s="96">
        <v>0</v>
      </c>
      <c r="K61" s="96">
        <v>4251.2065979999998</v>
      </c>
      <c r="M61" s="133"/>
    </row>
    <row r="62" spans="1:13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>
        <v>0</v>
      </c>
      <c r="K62" s="96">
        <v>0</v>
      </c>
    </row>
    <row r="63" spans="1:13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7" t="s">
        <v>141</v>
      </c>
      <c r="B64" s="26" t="s">
        <v>115</v>
      </c>
      <c r="C64" s="27" t="s">
        <v>107</v>
      </c>
      <c r="D64" s="15"/>
      <c r="E64" s="15"/>
      <c r="F64" s="15"/>
      <c r="G64" s="15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115</v>
      </c>
      <c r="C65" s="26" t="s">
        <v>107</v>
      </c>
      <c r="D65" s="194"/>
      <c r="E65" s="194">
        <v>2314</v>
      </c>
      <c r="F65" s="194">
        <v>174738</v>
      </c>
      <c r="G65" s="194"/>
      <c r="H65" s="96"/>
      <c r="I65" s="96"/>
      <c r="J65" s="96"/>
      <c r="K65" s="96"/>
    </row>
    <row r="66" spans="1:12" ht="21.6" thickBot="1" x14ac:dyDescent="0.45">
      <c r="A66" s="123" t="s">
        <v>117</v>
      </c>
      <c r="B66" s="121"/>
      <c r="C66" s="121"/>
      <c r="D66" s="174">
        <f>SUM(D57:D65)</f>
        <v>4353</v>
      </c>
      <c r="E66" s="174">
        <f>SUM(E57:E65)</f>
        <v>2314</v>
      </c>
      <c r="F66" s="174">
        <f>SUM(F57:F65)</f>
        <v>222612</v>
      </c>
      <c r="G66" s="174">
        <f>SUM(G57:G65)</f>
        <v>0</v>
      </c>
      <c r="H66" s="174">
        <f>SUM(H57:H65)</f>
        <v>131263.59937800001</v>
      </c>
      <c r="I66" s="174">
        <f t="shared" ref="I66:K66" si="6">SUM(I57:I65)</f>
        <v>18731.171736000004</v>
      </c>
      <c r="J66" s="174">
        <f t="shared" si="6"/>
        <v>15261.529469999998</v>
      </c>
      <c r="K66" s="174">
        <f t="shared" si="6"/>
        <v>64218.176663999999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5">
        <v>13464</v>
      </c>
      <c r="E67" s="195">
        <v>0</v>
      </c>
      <c r="F67" s="195"/>
      <c r="G67" s="195">
        <v>992</v>
      </c>
      <c r="H67" s="96">
        <v>0</v>
      </c>
      <c r="I67" s="96">
        <v>0</v>
      </c>
      <c r="J67" s="96">
        <v>1788208.6371239999</v>
      </c>
      <c r="K67" s="96">
        <v>57416.576459999997</v>
      </c>
    </row>
    <row r="68" spans="1:12" ht="15.6" x14ac:dyDescent="0.3">
      <c r="A68" s="30" t="s">
        <v>40</v>
      </c>
      <c r="B68" s="26" t="s">
        <v>56</v>
      </c>
      <c r="C68" s="26" t="s">
        <v>103</v>
      </c>
      <c r="D68" s="193">
        <v>169274</v>
      </c>
      <c r="E68" s="193">
        <v>78320</v>
      </c>
      <c r="F68" s="193">
        <v>221530</v>
      </c>
      <c r="G68" s="193">
        <v>-90726</v>
      </c>
      <c r="H68" s="96">
        <v>239188.529328</v>
      </c>
      <c r="I68" s="96">
        <v>237548.84261399999</v>
      </c>
      <c r="J68" s="96">
        <v>661408.95750600006</v>
      </c>
      <c r="K68" s="96">
        <v>426712.45636799996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3"/>
      <c r="E69" s="193"/>
      <c r="F69" s="193"/>
      <c r="G69" s="193"/>
      <c r="H69" s="96">
        <v>0</v>
      </c>
      <c r="I69" s="96">
        <v>3558.9915000000001</v>
      </c>
      <c r="J69" s="96">
        <v>0</v>
      </c>
      <c r="K69" s="96">
        <v>0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3"/>
      <c r="E70" s="193"/>
      <c r="F70" s="193"/>
      <c r="G70" s="193"/>
      <c r="H70" s="96">
        <v>0</v>
      </c>
      <c r="I70" s="96">
        <v>1865.8774080000003</v>
      </c>
      <c r="J70" s="96">
        <v>0</v>
      </c>
      <c r="K70" s="96">
        <v>0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3"/>
      <c r="E71" s="193">
        <v>5296</v>
      </c>
      <c r="F71" s="193"/>
      <c r="G71" s="193"/>
      <c r="H71" s="96">
        <v>9681.6187140000002</v>
      </c>
      <c r="I71" s="96">
        <v>21947.772155999999</v>
      </c>
      <c r="J71" s="96">
        <v>0</v>
      </c>
      <c r="K71" s="96">
        <v>0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3"/>
      <c r="E72" s="193">
        <v>3398</v>
      </c>
      <c r="F72" s="193">
        <v>13180</v>
      </c>
      <c r="G72" s="193"/>
      <c r="H72" s="96"/>
      <c r="I72" s="96">
        <v>1206.7815780000001</v>
      </c>
      <c r="J72" s="96">
        <v>77215.137690000003</v>
      </c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3">
        <v>0</v>
      </c>
      <c r="E73" s="193">
        <v>-6601</v>
      </c>
      <c r="F73" s="193">
        <v>55813</v>
      </c>
      <c r="G73" s="193">
        <v>-1291518</v>
      </c>
      <c r="H73" s="96"/>
      <c r="I73" s="96">
        <v>-2699.8222559999999</v>
      </c>
      <c r="J73" s="96">
        <v>15428.777574</v>
      </c>
      <c r="K73" s="96">
        <v>4413.4014239999997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3"/>
      <c r="E74" s="193">
        <v>8605</v>
      </c>
      <c r="F74" s="193"/>
      <c r="G74" s="193"/>
      <c r="H74" s="96">
        <v>0</v>
      </c>
      <c r="I74" s="96">
        <v>0</v>
      </c>
      <c r="J74" s="96">
        <v>0</v>
      </c>
      <c r="K74" s="96">
        <v>0</v>
      </c>
    </row>
    <row r="75" spans="1:12" ht="21.6" thickBot="1" x14ac:dyDescent="0.3">
      <c r="A75" s="177" t="s">
        <v>44</v>
      </c>
      <c r="B75" s="178"/>
      <c r="C75" s="178"/>
      <c r="D75" s="179">
        <f>SUM(D67:D74)</f>
        <v>182738</v>
      </c>
      <c r="E75" s="179">
        <f t="shared" ref="E75:G75" si="7">SUM(E67:E74)</f>
        <v>89018</v>
      </c>
      <c r="F75" s="179">
        <f t="shared" si="7"/>
        <v>290523</v>
      </c>
      <c r="G75" s="179">
        <f t="shared" si="7"/>
        <v>-1381252</v>
      </c>
      <c r="H75" s="179">
        <f>SUM(H67:H74)</f>
        <v>248870.14804200002</v>
      </c>
      <c r="I75" s="179">
        <f t="shared" ref="I75:K75" si="8">SUM(I67:I74)</f>
        <v>263428.44299999997</v>
      </c>
      <c r="J75" s="179">
        <f t="shared" si="8"/>
        <v>2542261.5098940004</v>
      </c>
      <c r="K75" s="179">
        <f t="shared" si="8"/>
        <v>488542.43425199995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1141283</v>
      </c>
      <c r="E76" s="131">
        <f t="shared" ref="E76:G76" si="9">E75+E66+E56+E22+E8</f>
        <v>312138</v>
      </c>
      <c r="F76" s="131">
        <f t="shared" si="9"/>
        <v>2038363</v>
      </c>
      <c r="G76" s="131">
        <f t="shared" si="9"/>
        <v>-1200206</v>
      </c>
      <c r="H76" s="131">
        <f>H75+H66+H56+H22+H8</f>
        <v>1837058.5075740004</v>
      </c>
      <c r="I76" s="131">
        <f t="shared" ref="I76:K76" si="10">I75+I66+I56+I22+I8</f>
        <v>607530.32899299997</v>
      </c>
      <c r="J76" s="131">
        <f t="shared" si="10"/>
        <v>5260424.2716300003</v>
      </c>
      <c r="K76" s="131">
        <f t="shared" si="10"/>
        <v>2758332.7061700001</v>
      </c>
    </row>
    <row r="77" spans="1:12" x14ac:dyDescent="0.3">
      <c r="H77" s="10"/>
      <c r="I77" s="10"/>
      <c r="J77" s="10"/>
    </row>
    <row r="78" spans="1:12" x14ac:dyDescent="0.3">
      <c r="D78" s="152"/>
      <c r="E78" s="152"/>
      <c r="F78" s="152"/>
      <c r="G78" s="152"/>
    </row>
    <row r="79" spans="1:12" x14ac:dyDescent="0.3">
      <c r="D79" s="6"/>
      <c r="E79" s="6"/>
      <c r="F79" s="6"/>
      <c r="G79" s="6"/>
    </row>
    <row r="80" spans="1:12" x14ac:dyDescent="0.3">
      <c r="D80" s="153"/>
      <c r="E80" s="153"/>
      <c r="F80" s="153"/>
      <c r="G80" s="153"/>
    </row>
    <row r="81" spans="4:7" x14ac:dyDescent="0.3">
      <c r="D81" s="153"/>
      <c r="E81" s="137"/>
      <c r="F81" s="137"/>
      <c r="G81" s="137"/>
    </row>
    <row r="82" spans="4:7" x14ac:dyDescent="0.3">
      <c r="D82" s="153"/>
      <c r="E82" s="153"/>
      <c r="F82" s="153"/>
      <c r="G82" s="153"/>
    </row>
  </sheetData>
  <mergeCells count="2">
    <mergeCell ref="D1:G1"/>
    <mergeCell ref="H1:K1"/>
  </mergeCells>
  <conditionalFormatting sqref="A1">
    <cfRule type="duplicateValues" dxfId="191" priority="19"/>
    <cfRule type="duplicateValues" dxfId="190" priority="20"/>
  </conditionalFormatting>
  <conditionalFormatting sqref="A14">
    <cfRule type="duplicateValues" dxfId="189" priority="9"/>
    <cfRule type="duplicateValues" dxfId="188" priority="10"/>
  </conditionalFormatting>
  <conditionalFormatting sqref="A20">
    <cfRule type="duplicateValues" dxfId="187" priority="1"/>
    <cfRule type="duplicateValues" dxfId="186" priority="2"/>
  </conditionalFormatting>
  <conditionalFormatting sqref="A41">
    <cfRule type="duplicateValues" dxfId="185" priority="5"/>
    <cfRule type="duplicateValues" dxfId="184" priority="6"/>
  </conditionalFormatting>
  <conditionalFormatting sqref="A54">
    <cfRule type="duplicateValues" dxfId="183" priority="3"/>
    <cfRule type="duplicateValues" dxfId="182" priority="4"/>
  </conditionalFormatting>
  <conditionalFormatting sqref="A57">
    <cfRule type="duplicateValues" dxfId="181" priority="11"/>
    <cfRule type="duplicateValues" dxfId="180" priority="12"/>
  </conditionalFormatting>
  <conditionalFormatting sqref="A58:A60 A7 A23:A40 A62 A42:A53 A55">
    <cfRule type="duplicateValues" dxfId="179" priority="17"/>
    <cfRule type="duplicateValues" dxfId="178" priority="18"/>
  </conditionalFormatting>
  <conditionalFormatting sqref="A61">
    <cfRule type="duplicateValues" dxfId="177" priority="7"/>
    <cfRule type="duplicateValues" dxfId="176" priority="8"/>
  </conditionalFormatting>
  <conditionalFormatting sqref="A67:A74">
    <cfRule type="duplicateValues" dxfId="175" priority="15"/>
    <cfRule type="duplicateValues" dxfId="174" priority="16"/>
  </conditionalFormatting>
  <conditionalFormatting sqref="A75:A76 A2:A6 A8:A13 A15:A19 A56 A66 A21:A22">
    <cfRule type="duplicateValues" dxfId="173" priority="13"/>
    <cfRule type="duplicateValues" dxfId="172" priority="14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FD32-F11B-4794-BC1B-20DC7255B5B1}">
  <sheetPr>
    <tabColor rgb="FFFFFF00"/>
  </sheetPr>
  <dimension ref="A1:M83"/>
  <sheetViews>
    <sheetView rightToLeft="1" zoomScaleNormal="100" workbookViewId="0">
      <pane ySplit="3" topLeftCell="A4" activePane="bottomLeft" state="frozen"/>
      <selection pane="bottomLeft" activeCell="L8" sqref="L8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3">
        <f>598254-D6-D52-D70-D16</f>
        <v>495702</v>
      </c>
      <c r="E3" s="193">
        <f>13832-E6</f>
        <v>6248</v>
      </c>
      <c r="F3" s="193">
        <f>4385378-282314-F4-F6-F69-F70</f>
        <v>3055670</v>
      </c>
      <c r="G3" s="193">
        <f>3183196-G16-G52-G70</f>
        <v>3083573</v>
      </c>
      <c r="H3" s="96">
        <f>VLOOKUP(A3,[1]הפניקס!$A:$E,2,0)</f>
        <v>99228.280505999996</v>
      </c>
      <c r="I3" s="96">
        <f>VLOOKUP(A3,[1]הפניקס!$A:$E,3,0)</f>
        <v>202959.45165</v>
      </c>
      <c r="J3" s="96">
        <f>VLOOKUP(A3,[1]הפניקס!$A:$E,4,0)</f>
        <v>706736.34000000032</v>
      </c>
      <c r="K3" s="96">
        <f>VLOOKUP(A3,[1]הפניקס!$A:$E,5,0)</f>
        <v>130051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3"/>
      <c r="E4" s="193"/>
      <c r="F4" s="193">
        <v>571595</v>
      </c>
      <c r="G4" s="193"/>
      <c r="H4" s="96">
        <f>VLOOKUP(A4,[1]הפניקס!$A:$E,2,0)</f>
        <v>0</v>
      </c>
      <c r="I4" s="96">
        <f>VLOOKUP(A4,[1]הפניקס!$A:$E,3,0)</f>
        <v>0</v>
      </c>
      <c r="J4" s="96">
        <f>VLOOKUP(A4,[1]הפניקס!$A:$E,4,0)</f>
        <v>927849.54999999981</v>
      </c>
      <c r="K4" s="96">
        <f>VLOOKUP(A4,[1]הפניקס!$A:$E,5,0)</f>
        <v>0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3"/>
      <c r="E5" s="193"/>
      <c r="F5" s="193"/>
      <c r="G5" s="193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4">
        <v>17943</v>
      </c>
      <c r="E6" s="194">
        <v>7584</v>
      </c>
      <c r="F6" s="194">
        <v>420298</v>
      </c>
      <c r="G6" s="194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3"/>
      <c r="E7" s="193"/>
      <c r="F7" s="193"/>
      <c r="G7" s="193"/>
      <c r="H7" s="96">
        <f>VLOOKUP(A7,[1]הפניקס!$A:$E,2,0)</f>
        <v>0</v>
      </c>
      <c r="I7" s="96">
        <f>VLOOKUP(A7,[1]הפניקס!$A:$E,3,0)</f>
        <v>0</v>
      </c>
      <c r="J7" s="96">
        <f>VLOOKUP(A7,[1]הפניקס!$A:$E,4,0)</f>
        <v>0</v>
      </c>
      <c r="K7" s="96">
        <f>VLOOKUP(A7,[1]הפניקס!$A:$E,5,0)</f>
        <v>0</v>
      </c>
    </row>
    <row r="8" spans="1:11" ht="21.6" thickBot="1" x14ac:dyDescent="0.45">
      <c r="A8" s="122" t="s">
        <v>3</v>
      </c>
      <c r="B8" s="121"/>
      <c r="C8" s="121"/>
      <c r="D8" s="174">
        <f>SUM(D3:D7)</f>
        <v>513645</v>
      </c>
      <c r="E8" s="174">
        <f t="shared" ref="E8:G8" si="0">SUM(E3:E7)</f>
        <v>13832</v>
      </c>
      <c r="F8" s="174">
        <f t="shared" si="0"/>
        <v>4047563</v>
      </c>
      <c r="G8" s="174">
        <f t="shared" si="0"/>
        <v>3083573</v>
      </c>
      <c r="H8" s="174">
        <f>SUM(H3:H7)</f>
        <v>99228.280505999996</v>
      </c>
      <c r="I8" s="174">
        <f t="shared" ref="I8:K8" si="1">SUM(I3:I7)</f>
        <v>202959.45165</v>
      </c>
      <c r="J8" s="174">
        <f t="shared" si="1"/>
        <v>1634585.8900000001</v>
      </c>
      <c r="K8" s="174">
        <f t="shared" si="1"/>
        <v>130051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95"/>
      <c r="E9" s="195"/>
      <c r="F9" s="195"/>
      <c r="G9" s="195"/>
      <c r="H9" s="96">
        <f>VLOOKUP(A9,[1]הפניקס!$A:$E,2,0)</f>
        <v>0</v>
      </c>
      <c r="I9" s="96">
        <f>VLOOKUP(A9,[1]הפניקס!$A:$E,3,0)</f>
        <v>0</v>
      </c>
      <c r="J9" s="96">
        <f>VLOOKUP(A9,[1]הפניקס!$A:$E,4,0)</f>
        <v>0</v>
      </c>
      <c r="K9" s="96">
        <f>VLOOKUP(A9,[1]הפניקס!$A:$E,5,0)</f>
        <v>0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93">
        <v>10721</v>
      </c>
      <c r="E10" s="193"/>
      <c r="F10" s="193"/>
      <c r="G10" s="193"/>
      <c r="H10" s="96">
        <f>VLOOKUP(A10,[1]הפניקס!$A:$E,2,0)</f>
        <v>0</v>
      </c>
      <c r="I10" s="96">
        <f>VLOOKUP(A10,[1]הפניקס!$A:$E,3,0)</f>
        <v>0</v>
      </c>
      <c r="J10" s="96">
        <f>VLOOKUP(A10,[1]הפניקס!$A:$E,4,0)</f>
        <v>0</v>
      </c>
      <c r="K10" s="96">
        <f>VLOOKUP(A10,[1]הפניקס!$A:$E,5,0)</f>
        <v>1639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93"/>
      <c r="E11" s="193"/>
      <c r="F11" s="193"/>
      <c r="G11" s="193">
        <v>2011</v>
      </c>
      <c r="H11" s="96">
        <f>VLOOKUP(A11,[1]הפניקס!$A:$E,2,0)</f>
        <v>0</v>
      </c>
      <c r="I11" s="96">
        <f>VLOOKUP(A11,[1]הפניקס!$A:$E,3,0)</f>
        <v>2269.8316920000002</v>
      </c>
      <c r="J11" s="96">
        <f>VLOOKUP(A11,[1]הפניקס!$A:$E,4,0)</f>
        <v>0</v>
      </c>
      <c r="K11" s="96">
        <f>VLOOKUP(A11,[1]הפניקס!$A:$E,5,0)</f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93"/>
      <c r="E12" s="193"/>
      <c r="F12" s="193">
        <v>234777</v>
      </c>
      <c r="G12" s="193"/>
      <c r="H12" s="96">
        <f>VLOOKUP(A12,[1]הפניקס!$A:$E,2,0)</f>
        <v>0</v>
      </c>
      <c r="I12" s="96">
        <f>VLOOKUP(A12,[1]הפניקס!$A:$E,3,0)</f>
        <v>0</v>
      </c>
      <c r="J12" s="96">
        <f>VLOOKUP(A12,[1]הפניקס!$A:$E,4,0)</f>
        <v>0</v>
      </c>
      <c r="K12" s="96">
        <f>VLOOKUP(A12,[1]הפניקס!$A:$E,5,0)</f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93">
        <v>4736</v>
      </c>
      <c r="E13" s="193">
        <v>14371</v>
      </c>
      <c r="F13" s="193"/>
      <c r="G13" s="193"/>
      <c r="H13" s="96">
        <f>VLOOKUP(A13,[1]הפניקס!$A:$E,2,0)</f>
        <v>0</v>
      </c>
      <c r="I13" s="96">
        <f>VLOOKUP(A13,[1]הפניקס!$A:$E,3,0)</f>
        <v>36077.591321999993</v>
      </c>
      <c r="J13" s="96">
        <f>VLOOKUP(A13,[1]הפניקס!$A:$E,4,0)</f>
        <v>179450.72</v>
      </c>
      <c r="K13" s="96">
        <f>VLOOKUP(A13,[1]הפניקס!$A:$E,5,0)</f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93"/>
      <c r="E14" s="193"/>
      <c r="F14" s="193"/>
      <c r="G14" s="193"/>
      <c r="H14" s="96">
        <f>VLOOKUP(A14,[1]הפניקס!$A:$E,2,0)</f>
        <v>0</v>
      </c>
      <c r="I14" s="96">
        <f>VLOOKUP(A14,[1]הפניקס!$A:$E,3,0)</f>
        <v>0</v>
      </c>
      <c r="J14" s="96">
        <f>VLOOKUP(A14,[1]הפניקס!$A:$E,4,0)</f>
        <v>0</v>
      </c>
      <c r="K14" s="96">
        <f>VLOOKUP(A14,[1]הפניקס!$A:$E,5,0)</f>
        <v>0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93"/>
      <c r="E15" s="193"/>
      <c r="F15" s="193"/>
      <c r="G15" s="193"/>
      <c r="H15" s="96">
        <f>VLOOKUP(A15,[1]הפניקס!$A:$E,2,0)</f>
        <v>0</v>
      </c>
      <c r="I15" s="96">
        <f>VLOOKUP(A15,[1]הפניקס!$A:$E,3,0)</f>
        <v>0</v>
      </c>
      <c r="J15" s="96">
        <f>VLOOKUP(A15,[1]הפניקס!$A:$E,4,0)</f>
        <v>0</v>
      </c>
      <c r="K15" s="96">
        <f>VLOOKUP(A15,[1]הפניקס!$A:$E,5,0)</f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93">
        <v>33913</v>
      </c>
      <c r="E16" s="193"/>
      <c r="F16" s="193"/>
      <c r="G16" s="193">
        <v>24906</v>
      </c>
      <c r="H16" s="96">
        <f>VLOOKUP(A16,[1]הפניקס!$A:$E,2,0)</f>
        <v>15418.209084</v>
      </c>
      <c r="I16" s="96">
        <f>VLOOKUP(A16,[1]הפניקס!$A:$E,3,0)</f>
        <v>0</v>
      </c>
      <c r="J16" s="96">
        <f>VLOOKUP(A16,[1]הפניקס!$A:$E,4,0)</f>
        <v>0</v>
      </c>
      <c r="K16" s="96">
        <f>VLOOKUP(A16,[1]הפניקס!$A:$E,5,0)</f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3">
        <v>21916</v>
      </c>
      <c r="E17" s="193">
        <v>2073</v>
      </c>
      <c r="F17" s="193"/>
      <c r="G17" s="193">
        <v>79670</v>
      </c>
      <c r="H17" s="96">
        <f>VLOOKUP(A17,[1]הפניקס!$A:$E,2,0)</f>
        <v>0</v>
      </c>
      <c r="I17" s="96">
        <f>VLOOKUP(A17,[1]הפניקס!$A:$E,3,0)</f>
        <v>1206.5576100000001</v>
      </c>
      <c r="J17" s="96">
        <f>VLOOKUP(A17,[1]הפניקס!$A:$E,4,0)</f>
        <v>565697.03</v>
      </c>
      <c r="K17" s="96">
        <f>VLOOKUP(A17,[1]הפניקס!$A:$E,5,0)</f>
        <v>208408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3">
        <v>96854</v>
      </c>
      <c r="E18" s="193">
        <v>22090</v>
      </c>
      <c r="F18" s="193">
        <v>2940203</v>
      </c>
      <c r="G18" s="193">
        <v>187289</v>
      </c>
      <c r="H18" s="96">
        <f>VLOOKUP(A18,[1]הפניקס!$A:$E,2,0)</f>
        <v>4772.1421680000003</v>
      </c>
      <c r="I18" s="96">
        <f>VLOOKUP(A18,[1]הפניקס!$A:$E,3,0)</f>
        <v>5427.7384980000006</v>
      </c>
      <c r="J18" s="96">
        <f>VLOOKUP(A18,[1]הפניקס!$A:$E,4,0)</f>
        <v>2817173.09</v>
      </c>
      <c r="K18" s="96">
        <f>VLOOKUP(A18,[1]הפניקס!$A:$E,5,0)</f>
        <v>2546514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3"/>
      <c r="E19" s="193"/>
      <c r="F19" s="193"/>
      <c r="G19" s="193"/>
      <c r="H19" s="96">
        <f>VLOOKUP(A19,[1]הפניקס!$A:$E,2,0)</f>
        <v>0</v>
      </c>
      <c r="I19" s="96">
        <f>VLOOKUP(A19,[1]הפניקס!$A:$E,3,0)</f>
        <v>0</v>
      </c>
      <c r="J19" s="96">
        <f>VLOOKUP(A19,[1]הפניקס!$A:$E,4,0)</f>
        <v>0</v>
      </c>
      <c r="K19" s="96">
        <f>VLOOKUP(A19,[1]הפניקס!$A:$E,5,0)</f>
        <v>0</v>
      </c>
    </row>
    <row r="20" spans="1:11" ht="15.6" x14ac:dyDescent="0.3">
      <c r="A20" s="28" t="s">
        <v>140</v>
      </c>
      <c r="B20" s="26" t="s">
        <v>108</v>
      </c>
      <c r="C20" s="26" t="s">
        <v>106</v>
      </c>
      <c r="D20" s="194"/>
      <c r="E20" s="194"/>
      <c r="F20" s="194"/>
      <c r="G20" s="194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94"/>
      <c r="E21" s="194"/>
      <c r="F21" s="194"/>
      <c r="G21" s="194"/>
      <c r="H21" s="96">
        <f>VLOOKUP(A21,[1]הפניקס!$A:$E,2,0)</f>
        <v>0</v>
      </c>
      <c r="I21" s="96">
        <f>VLOOKUP(A21,[1]הפניקס!$A:$E,3,0)</f>
        <v>0</v>
      </c>
      <c r="J21" s="96">
        <f>VLOOKUP(A21,[1]הפניקס!$A:$E,4,0)</f>
        <v>0</v>
      </c>
      <c r="K21" s="96">
        <f>VLOOKUP(A21,[1]הפניקס!$A:$E,5,0)</f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168140</v>
      </c>
      <c r="E22" s="174">
        <f t="shared" ref="E22:G22" si="2">SUM(E9:E21)</f>
        <v>38534</v>
      </c>
      <c r="F22" s="174">
        <f t="shared" si="2"/>
        <v>3174980</v>
      </c>
      <c r="G22" s="174">
        <f t="shared" si="2"/>
        <v>293876</v>
      </c>
      <c r="H22" s="174">
        <f>SUM(H9:H21)</f>
        <v>20190.351252</v>
      </c>
      <c r="I22" s="174">
        <f t="shared" ref="I22:K22" si="3">SUM(I9:I21)</f>
        <v>44981.719121999995</v>
      </c>
      <c r="J22" s="174">
        <f t="shared" si="3"/>
        <v>3562320.84</v>
      </c>
      <c r="K22" s="174">
        <f t="shared" si="3"/>
        <v>2756561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>
        <v>17511</v>
      </c>
      <c r="E23" s="18"/>
      <c r="F23" s="18"/>
      <c r="G23" s="18"/>
      <c r="H23" s="96">
        <f>VLOOKUP(A23,[1]הפניקס!$A:$E,2,0)</f>
        <v>0</v>
      </c>
      <c r="I23" s="96">
        <f>VLOOKUP(A23,[1]הפניקס!$A:$E,3,0)</f>
        <v>0</v>
      </c>
      <c r="J23" s="96">
        <f>VLOOKUP(A23,[1]הפניקס!$A:$E,4,0)</f>
        <v>0</v>
      </c>
      <c r="K23" s="96">
        <f>VLOOKUP(A23,[1]הפניקס!$A:$E,5,0)</f>
        <v>0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>
        <f>VLOOKUP(A24,[1]הפניקס!$A:$E,2,0)</f>
        <v>0</v>
      </c>
      <c r="I24" s="96">
        <f>VLOOKUP(A24,[1]הפניקס!$A:$E,3,0)</f>
        <v>0</v>
      </c>
      <c r="J24" s="96">
        <f>VLOOKUP(A24,[1]הפניקס!$A:$E,4,0)</f>
        <v>0</v>
      </c>
      <c r="K24" s="96">
        <f>VLOOKUP(A24,[1]הפניקס!$A:$E,5,0)</f>
        <v>0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>
        <f>VLOOKUP(A25,[1]הפניקס!$A:$E,2,0)</f>
        <v>0</v>
      </c>
      <c r="I25" s="96">
        <f>VLOOKUP(A25,[1]הפניקס!$A:$E,3,0)</f>
        <v>0</v>
      </c>
      <c r="J25" s="96">
        <f>VLOOKUP(A25,[1]הפניקס!$A:$E,4,0)</f>
        <v>0</v>
      </c>
      <c r="K25" s="96">
        <f>VLOOKUP(A25,[1]הפניקס!$A:$E,5,0)</f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f>VLOOKUP(A26,[1]הפניקס!$A:$E,2,0)</f>
        <v>0</v>
      </c>
      <c r="I26" s="96">
        <f>VLOOKUP(A26,[1]הפניקס!$A:$E,3,0)</f>
        <v>0</v>
      </c>
      <c r="J26" s="96">
        <f>VLOOKUP(A26,[1]הפניקס!$A:$E,4,0)</f>
        <v>0</v>
      </c>
      <c r="K26" s="96">
        <f>VLOOKUP(A26,[1]הפניקס!$A:$E,5,0)</f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817512</v>
      </c>
      <c r="E27" s="14">
        <v>47260</v>
      </c>
      <c r="F27" s="14">
        <v>165004</v>
      </c>
      <c r="G27" s="14">
        <v>1294682</v>
      </c>
      <c r="H27" s="96">
        <f>VLOOKUP(A27,[1]הפניקס!$A:$E,2,0)</f>
        <v>255184.58984999996</v>
      </c>
      <c r="I27" s="96">
        <f>VLOOKUP(A27,[1]הפניקס!$A:$E,3,0)</f>
        <v>3404.6635500000002</v>
      </c>
      <c r="J27" s="96">
        <f>VLOOKUP(A27,[1]הפניקס!$A:$E,4,0)</f>
        <v>0</v>
      </c>
      <c r="K27" s="96">
        <f>VLOOKUP(A27,[1]הפניקס!$A:$E,5,0)</f>
        <v>256014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>
        <v>100000</v>
      </c>
      <c r="G28" s="14">
        <v>206</v>
      </c>
      <c r="H28" s="96">
        <f>VLOOKUP(A28,[1]הפניקס!$A:$E,2,0)</f>
        <v>0</v>
      </c>
      <c r="I28" s="96">
        <f>VLOOKUP(A28,[1]הפניקס!$A:$E,3,0)</f>
        <v>28345.110120000005</v>
      </c>
      <c r="J28" s="96">
        <f>VLOOKUP(A28,[1]הפניקס!$A:$E,4,0)</f>
        <v>0</v>
      </c>
      <c r="K28" s="96">
        <f>VLOOKUP(A28,[1]הפניקס!$A:$E,5,0)</f>
        <v>0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>
        <f>VLOOKUP(A29,[1]הפניקס!$A:$E,2,0)</f>
        <v>0</v>
      </c>
      <c r="I29" s="96">
        <f>VLOOKUP(A29,[1]הפניקס!$A:$E,3,0)</f>
        <v>0</v>
      </c>
      <c r="J29" s="96">
        <f>VLOOKUP(A29,[1]הפניקס!$A:$E,4,0)</f>
        <v>0</v>
      </c>
      <c r="K29" s="96">
        <f>VLOOKUP(A29,[1]הפניקס!$A:$E,5,0)</f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>
        <f>VLOOKUP(A30,[1]הפניקס!$A:$E,2,0)</f>
        <v>0</v>
      </c>
      <c r="I30" s="96">
        <f>VLOOKUP(A30,[1]הפניקס!$A:$E,3,0)</f>
        <v>0</v>
      </c>
      <c r="J30" s="96">
        <f>VLOOKUP(A30,[1]הפניקס!$A:$E,4,0)</f>
        <v>0</v>
      </c>
      <c r="K30" s="96">
        <f>VLOOKUP(A30,[1]הפניקס!$A:$E,5,0)</f>
        <v>0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>
        <v>110917</v>
      </c>
      <c r="H31" s="96">
        <f>VLOOKUP(A31,[1]הפניקס!$A:$E,2,0)</f>
        <v>0</v>
      </c>
      <c r="I31" s="96">
        <f>VLOOKUP(A31,[1]הפניקס!$A:$E,3,0)</f>
        <v>0</v>
      </c>
      <c r="J31" s="96">
        <f>VLOOKUP(A31,[1]הפניקס!$A:$E,4,0)</f>
        <v>0</v>
      </c>
      <c r="K31" s="96">
        <f>VLOOKUP(A31,[1]הפניקס!$A:$E,5,0)</f>
        <v>0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>
        <f>VLOOKUP(A32,[1]הפניקס!$A:$E,2,0)</f>
        <v>0</v>
      </c>
      <c r="I32" s="96">
        <f>VLOOKUP(A32,[1]הפניקס!$A:$E,3,0)</f>
        <v>0</v>
      </c>
      <c r="J32" s="96">
        <f>VLOOKUP(A32,[1]הפניקס!$A:$E,4,0)</f>
        <v>0</v>
      </c>
      <c r="K32" s="96">
        <f>VLOOKUP(A32,[1]הפניקס!$A:$E,5,0)</f>
        <v>0</v>
      </c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>
        <f>VLOOKUP(A33,[1]הפניקס!$A:$E,2,0)</f>
        <v>0</v>
      </c>
      <c r="I33" s="96">
        <f>VLOOKUP(A33,[1]הפניקס!$A:$E,3,0)</f>
        <v>0</v>
      </c>
      <c r="J33" s="96">
        <f>VLOOKUP(A33,[1]הפניקס!$A:$E,4,0)</f>
        <v>0</v>
      </c>
      <c r="K33" s="96">
        <f>VLOOKUP(A33,[1]הפניקס!$A:$E,5,0)</f>
        <v>0</v>
      </c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f>VLOOKUP(A34,[1]הפניקס!$A:$E,2,0)</f>
        <v>0</v>
      </c>
      <c r="I34" s="96">
        <f>VLOOKUP(A34,[1]הפניקס!$A:$E,3,0)</f>
        <v>0</v>
      </c>
      <c r="J34" s="96">
        <f>VLOOKUP(A34,[1]הפניקס!$A:$E,4,0)</f>
        <v>0</v>
      </c>
      <c r="K34" s="96">
        <f>VLOOKUP(A34,[1]הפניקס!$A:$E,5,0)</f>
        <v>0</v>
      </c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f>VLOOKUP(A35,[1]הפניקס!$A:$E,2,0)</f>
        <v>0</v>
      </c>
      <c r="I35" s="96">
        <f>VLOOKUP(A35,[1]הפניקס!$A:$E,3,0)</f>
        <v>0</v>
      </c>
      <c r="J35" s="96">
        <f>VLOOKUP(A35,[1]הפניקס!$A:$E,4,0)</f>
        <v>0</v>
      </c>
      <c r="K35" s="96">
        <f>VLOOKUP(A35,[1]הפניקס!$A:$E,5,0)</f>
        <v>0</v>
      </c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>
        <f>VLOOKUP(A36,[1]הפניקס!$A:$E,2,0)</f>
        <v>0</v>
      </c>
      <c r="I36" s="96">
        <f>VLOOKUP(A36,[1]הפניקס!$A:$E,3,0)</f>
        <v>0</v>
      </c>
      <c r="J36" s="96">
        <f>VLOOKUP(A36,[1]הפניקס!$A:$E,4,0)</f>
        <v>0</v>
      </c>
      <c r="K36" s="96">
        <f>VLOOKUP(A36,[1]הפניקס!$A:$E,5,0)</f>
        <v>0</v>
      </c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f>VLOOKUP(A37,[1]הפניקס!$A:$E,2,0)</f>
        <v>0</v>
      </c>
      <c r="I37" s="96">
        <f>VLOOKUP(A37,[1]הפניקס!$A:$E,3,0)</f>
        <v>0</v>
      </c>
      <c r="J37" s="96">
        <f>VLOOKUP(A37,[1]הפניקס!$A:$E,4,0)</f>
        <v>0</v>
      </c>
      <c r="K37" s="96">
        <f>VLOOKUP(A37,[1]הפניקס!$A:$E,5,0)</f>
        <v>0</v>
      </c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f>VLOOKUP(A38,[1]הפניקס!$A:$E,2,0)</f>
        <v>0</v>
      </c>
      <c r="I38" s="96">
        <f>VLOOKUP(A38,[1]הפניקס!$A:$E,3,0)</f>
        <v>0</v>
      </c>
      <c r="J38" s="96">
        <f>VLOOKUP(A38,[1]הפניקס!$A:$E,4,0)</f>
        <v>0</v>
      </c>
      <c r="K38" s="96">
        <f>VLOOKUP(A38,[1]הפניקס!$A:$E,5,0)</f>
        <v>0</v>
      </c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>
        <f>VLOOKUP(A39,[1]הפניקס!$A:$E,2,0)</f>
        <v>0</v>
      </c>
      <c r="I39" s="96">
        <f>VLOOKUP(A39,[1]הפניקס!$A:$E,3,0)</f>
        <v>0</v>
      </c>
      <c r="J39" s="96">
        <f>VLOOKUP(A39,[1]הפניקס!$A:$E,4,0)</f>
        <v>0</v>
      </c>
      <c r="K39" s="96">
        <f>VLOOKUP(A39,[1]הפניקס!$A:$E,5,0)</f>
        <v>0</v>
      </c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>
        <f>VLOOKUP(A40,[1]הפניקס!$A:$E,2,0)</f>
        <v>0</v>
      </c>
      <c r="I40" s="96">
        <f>VLOOKUP(A40,[1]הפניקס!$A:$E,3,0)</f>
        <v>0</v>
      </c>
      <c r="J40" s="96">
        <f>VLOOKUP(A40,[1]הפניקס!$A:$E,4,0)</f>
        <v>0</v>
      </c>
      <c r="K40" s="96">
        <f>VLOOKUP(A40,[1]הפניקס!$A:$E,5,0)</f>
        <v>0</v>
      </c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f>VLOOKUP(A42,[1]הפניקס!$A:$E,2,0)</f>
        <v>0</v>
      </c>
      <c r="I42" s="96">
        <f>VLOOKUP(A42,[1]הפניקס!$A:$E,3,0)</f>
        <v>0</v>
      </c>
      <c r="J42" s="96">
        <f>VLOOKUP(A42,[1]הפניקס!$A:$E,4,0)</f>
        <v>0</v>
      </c>
      <c r="K42" s="96">
        <f>VLOOKUP(A42,[1]הפניקס!$A:$E,5,0)</f>
        <v>0</v>
      </c>
    </row>
    <row r="43" spans="1:12" ht="15.6" x14ac:dyDescent="0.3">
      <c r="A43" s="30" t="s">
        <v>95</v>
      </c>
      <c r="B43" s="26" t="s">
        <v>56</v>
      </c>
      <c r="C43" s="26" t="s">
        <v>107</v>
      </c>
      <c r="D43" s="193"/>
      <c r="E43" s="193">
        <v>8141</v>
      </c>
      <c r="F43" s="193"/>
      <c r="G43" s="193"/>
      <c r="H43" s="96">
        <f>VLOOKUP(A43,[1]הפניקס!$A:$E,2,0)</f>
        <v>0</v>
      </c>
      <c r="I43" s="96">
        <f>VLOOKUP(A43,[1]הפניקס!$A:$E,3,0)</f>
        <v>0</v>
      </c>
      <c r="J43" s="96">
        <f>VLOOKUP(A43,[1]הפניקס!$A:$E,4,0)</f>
        <v>0</v>
      </c>
      <c r="K43" s="96">
        <f>VLOOKUP(A43,[1]הפניקס!$A:$E,5,0)</f>
        <v>0</v>
      </c>
    </row>
    <row r="44" spans="1:12" ht="15.6" x14ac:dyDescent="0.3">
      <c r="A44" s="26" t="s">
        <v>83</v>
      </c>
      <c r="B44" s="26" t="s">
        <v>56</v>
      </c>
      <c r="C44" s="26" t="s">
        <v>107</v>
      </c>
      <c r="D44" s="193"/>
      <c r="E44" s="193"/>
      <c r="F44" s="193">
        <v>9374</v>
      </c>
      <c r="G44" s="193"/>
      <c r="H44" s="96">
        <f>VLOOKUP(A44,[1]הפניקס!$A:$E,2,0)</f>
        <v>0</v>
      </c>
      <c r="I44" s="96">
        <f>VLOOKUP(A44,[1]הפניקס!$A:$E,3,0)</f>
        <v>0</v>
      </c>
      <c r="J44" s="96">
        <f>VLOOKUP(A44,[1]הפניקס!$A:$E,4,0)</f>
        <v>30000</v>
      </c>
      <c r="K44" s="96">
        <f>VLOOKUP(A44,[1]הפניקס!$A:$E,5,0)</f>
        <v>0</v>
      </c>
    </row>
    <row r="45" spans="1:12" ht="15.6" x14ac:dyDescent="0.3">
      <c r="A45" s="26" t="s">
        <v>82</v>
      </c>
      <c r="B45" s="26" t="s">
        <v>56</v>
      </c>
      <c r="C45" s="26" t="s">
        <v>107</v>
      </c>
      <c r="D45" s="193"/>
      <c r="E45" s="193"/>
      <c r="F45" s="193"/>
      <c r="G45" s="193"/>
      <c r="H45" s="96">
        <f>VLOOKUP(A45,[1]הפניקס!$A:$E,2,0)</f>
        <v>0</v>
      </c>
      <c r="I45" s="96">
        <f>VLOOKUP(A45,[1]הפניקס!$A:$E,3,0)</f>
        <v>0</v>
      </c>
      <c r="J45" s="96">
        <f>VLOOKUP(A45,[1]הפניקס!$A:$E,4,0)</f>
        <v>0</v>
      </c>
      <c r="K45" s="96">
        <f>VLOOKUP(A45,[1]הפניקס!$A:$E,5,0)</f>
        <v>43</v>
      </c>
    </row>
    <row r="46" spans="1:12" ht="15.6" x14ac:dyDescent="0.3">
      <c r="A46" s="26" t="s">
        <v>36</v>
      </c>
      <c r="B46" s="26" t="s">
        <v>55</v>
      </c>
      <c r="C46" s="26" t="s">
        <v>107</v>
      </c>
      <c r="D46" s="193"/>
      <c r="E46" s="193"/>
      <c r="F46" s="193"/>
      <c r="G46" s="193"/>
      <c r="H46" s="96">
        <f>VLOOKUP(A46,[1]הפניקס!$A:$E,2,0)</f>
        <v>0</v>
      </c>
      <c r="I46" s="96">
        <f>VLOOKUP(A46,[1]הפניקס!$A:$E,3,0)</f>
        <v>0</v>
      </c>
      <c r="J46" s="96">
        <f>VLOOKUP(A46,[1]הפניקס!$A:$E,4,0)</f>
        <v>0</v>
      </c>
      <c r="K46" s="96">
        <f>VLOOKUP(A46,[1]הפניקס!$A:$E,5,0)</f>
        <v>0</v>
      </c>
    </row>
    <row r="47" spans="1:12" ht="15.6" x14ac:dyDescent="0.3">
      <c r="A47" s="26" t="s">
        <v>94</v>
      </c>
      <c r="B47" s="26" t="s">
        <v>55</v>
      </c>
      <c r="C47" s="26" t="s">
        <v>107</v>
      </c>
      <c r="D47" s="193"/>
      <c r="E47" s="193"/>
      <c r="F47" s="193"/>
      <c r="G47" s="193"/>
      <c r="H47" s="96">
        <f>VLOOKUP(A47,[1]הפניקס!$A:$E,2,0)</f>
        <v>0</v>
      </c>
      <c r="I47" s="96">
        <f>VLOOKUP(A47,[1]הפניקס!$A:$E,3,0)</f>
        <v>0</v>
      </c>
      <c r="J47" s="96">
        <f>VLOOKUP(A47,[1]הפניקס!$A:$E,4,0)</f>
        <v>0</v>
      </c>
      <c r="K47" s="96">
        <f>VLOOKUP(A47,[1]הפניקס!$A:$E,5,0)</f>
        <v>0</v>
      </c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93"/>
      <c r="E48" s="193"/>
      <c r="F48" s="193"/>
      <c r="G48" s="193"/>
      <c r="H48" s="96">
        <f>VLOOKUP(A48,[1]הפניקס!$A:$E,2,0)</f>
        <v>0</v>
      </c>
      <c r="I48" s="96">
        <f>VLOOKUP(A48,[1]הפניקס!$A:$E,3,0)</f>
        <v>0</v>
      </c>
      <c r="J48" s="96">
        <f>VLOOKUP(A48,[1]הפניקס!$A:$E,4,0)</f>
        <v>0</v>
      </c>
      <c r="K48" s="96">
        <f>VLOOKUP(A48,[1]הפניקס!$A:$E,5,0)</f>
        <v>0</v>
      </c>
    </row>
    <row r="49" spans="1:13" ht="15.6" x14ac:dyDescent="0.3">
      <c r="A49" s="26" t="s">
        <v>87</v>
      </c>
      <c r="B49" s="26" t="s">
        <v>56</v>
      </c>
      <c r="C49" s="26" t="s">
        <v>107</v>
      </c>
      <c r="D49" s="193"/>
      <c r="E49" s="193"/>
      <c r="F49" s="193">
        <v>79000</v>
      </c>
      <c r="G49" s="193"/>
      <c r="H49" s="96">
        <f>VLOOKUP(A49,[1]הפניקס!$A:$E,2,0)</f>
        <v>0</v>
      </c>
      <c r="I49" s="96">
        <f>VLOOKUP(A49,[1]הפניקס!$A:$E,3,0)</f>
        <v>0</v>
      </c>
      <c r="J49" s="96">
        <f>VLOOKUP(A49,[1]הפניקס!$A:$E,4,0)</f>
        <v>79000</v>
      </c>
      <c r="K49" s="96">
        <f>VLOOKUP(A49,[1]הפניקס!$A:$E,5,0)</f>
        <v>0</v>
      </c>
    </row>
    <row r="50" spans="1:13" ht="15.6" x14ac:dyDescent="0.3">
      <c r="A50" s="26" t="s">
        <v>97</v>
      </c>
      <c r="B50" s="26" t="s">
        <v>56</v>
      </c>
      <c r="C50" s="26" t="s">
        <v>107</v>
      </c>
      <c r="D50" s="193">
        <v>56635</v>
      </c>
      <c r="E50" s="193"/>
      <c r="F50" s="193">
        <v>1420035</v>
      </c>
      <c r="G50" s="193">
        <v>8253</v>
      </c>
      <c r="H50" s="96">
        <f>VLOOKUP(A50,[1]הפניקס!$A:$E,2,0)</f>
        <v>62713.251684000003</v>
      </c>
      <c r="I50" s="96">
        <f>VLOOKUP(A50,[1]הפניקס!$A:$E,3,0)</f>
        <v>0</v>
      </c>
      <c r="J50" s="96">
        <f>VLOOKUP(A50,[1]הפניקס!$A:$E,4,0)</f>
        <v>0</v>
      </c>
      <c r="K50" s="96">
        <f>VLOOKUP(A50,[1]הפניקס!$A:$E,5,0)</f>
        <v>918674</v>
      </c>
    </row>
    <row r="51" spans="1:13" ht="15.6" x14ac:dyDescent="0.3">
      <c r="A51" s="26" t="s">
        <v>39</v>
      </c>
      <c r="B51" s="26" t="s">
        <v>56</v>
      </c>
      <c r="C51" s="26" t="s">
        <v>107</v>
      </c>
      <c r="D51" s="193"/>
      <c r="E51" s="193"/>
      <c r="F51" s="193"/>
      <c r="G51" s="193"/>
      <c r="H51" s="96">
        <f>VLOOKUP(A51,[1]הפניקס!$A:$E,2,0)</f>
        <v>0</v>
      </c>
      <c r="I51" s="96">
        <f>VLOOKUP(A51,[1]הפניקס!$A:$E,3,0)</f>
        <v>0</v>
      </c>
      <c r="J51" s="96">
        <f>VLOOKUP(A51,[1]הפניקס!$A:$E,4,0)</f>
        <v>0</v>
      </c>
      <c r="K51" s="96">
        <f>VLOOKUP(A51,[1]הפניקס!$A:$E,5,0)</f>
        <v>0</v>
      </c>
    </row>
    <row r="52" spans="1:13" ht="15.6" x14ac:dyDescent="0.3">
      <c r="A52" s="26" t="s">
        <v>91</v>
      </c>
      <c r="B52" s="26" t="s">
        <v>56</v>
      </c>
      <c r="C52" s="26" t="s">
        <v>107</v>
      </c>
      <c r="D52" s="193">
        <v>21694</v>
      </c>
      <c r="E52" s="193"/>
      <c r="F52" s="193"/>
      <c r="G52" s="193">
        <v>58301</v>
      </c>
      <c r="H52" s="96">
        <f>VLOOKUP(A52,[1]הפניקס!$A:$E,2,0)</f>
        <v>9149.0088119999982</v>
      </c>
      <c r="I52" s="96">
        <f>VLOOKUP(A52,[1]הפניקס!$A:$E,3,0)</f>
        <v>0</v>
      </c>
      <c r="J52" s="96">
        <f>VLOOKUP(A52,[1]הפניקס!$A:$E,4,0)</f>
        <v>0</v>
      </c>
      <c r="K52" s="96">
        <f>VLOOKUP(A52,[1]הפניקס!$A:$E,5,0)</f>
        <v>55089</v>
      </c>
    </row>
    <row r="53" spans="1:13" ht="15.6" x14ac:dyDescent="0.3">
      <c r="A53" s="26" t="s">
        <v>41</v>
      </c>
      <c r="B53" s="26" t="s">
        <v>56</v>
      </c>
      <c r="C53" s="26" t="s">
        <v>107</v>
      </c>
      <c r="D53" s="193"/>
      <c r="E53" s="193"/>
      <c r="F53" s="193"/>
      <c r="G53" s="193"/>
      <c r="H53" s="96">
        <f>VLOOKUP(A53,[1]הפניקס!$A:$E,2,0)</f>
        <v>0</v>
      </c>
      <c r="I53" s="96">
        <f>VLOOKUP(A53,[1]הפניקס!$A:$E,3,0)</f>
        <v>0</v>
      </c>
      <c r="J53" s="96">
        <f>VLOOKUP(A53,[1]הפניקס!$A:$E,4,0)</f>
        <v>0</v>
      </c>
      <c r="K53" s="96">
        <f>VLOOKUP(A53,[1]הפניקס!$A:$E,5,0)</f>
        <v>0</v>
      </c>
    </row>
    <row r="54" spans="1:13" ht="15.6" x14ac:dyDescent="0.3">
      <c r="A54" s="26" t="s">
        <v>139</v>
      </c>
      <c r="B54" s="26" t="s">
        <v>108</v>
      </c>
      <c r="C54" s="27" t="s">
        <v>107</v>
      </c>
      <c r="D54" s="194"/>
      <c r="E54" s="194"/>
      <c r="F54" s="194"/>
      <c r="G54" s="194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>
        <f>VLOOKUP(A55,[1]הפניקס!$A:$E,2,0)</f>
        <v>0</v>
      </c>
      <c r="I55" s="96">
        <f>VLOOKUP(A55,[1]הפניקס!$A:$E,3,0)</f>
        <v>0</v>
      </c>
      <c r="J55" s="96">
        <f>VLOOKUP(A55,[1]הפניקס!$A:$E,4,0)</f>
        <v>0</v>
      </c>
      <c r="K55" s="96">
        <f>VLOOKUP(A55,[1]הפניקס!$A:$E,5,0)</f>
        <v>0</v>
      </c>
    </row>
    <row r="56" spans="1:13" ht="21.6" thickBot="1" x14ac:dyDescent="0.45">
      <c r="A56" s="123" t="s">
        <v>116</v>
      </c>
      <c r="B56" s="121"/>
      <c r="C56" s="121"/>
      <c r="D56" s="174">
        <f>SUM(D23:D55)</f>
        <v>913352</v>
      </c>
      <c r="E56" s="174">
        <f t="shared" ref="E56:G56" si="4">SUM(E23:E55)</f>
        <v>55401</v>
      </c>
      <c r="F56" s="174">
        <f t="shared" si="4"/>
        <v>1773413</v>
      </c>
      <c r="G56" s="174">
        <f t="shared" si="4"/>
        <v>1472359</v>
      </c>
      <c r="H56" s="174">
        <f>SUM(H23:H55)</f>
        <v>327046.85034599993</v>
      </c>
      <c r="I56" s="174">
        <f t="shared" ref="I56:K56" si="5">SUM(I23:I55)</f>
        <v>31749.773670000006</v>
      </c>
      <c r="J56" s="174">
        <f t="shared" si="5"/>
        <v>109000</v>
      </c>
      <c r="K56" s="174">
        <f t="shared" si="5"/>
        <v>1229820</v>
      </c>
    </row>
    <row r="57" spans="1:13" ht="15.6" x14ac:dyDescent="0.3">
      <c r="A57" s="30" t="s">
        <v>33</v>
      </c>
      <c r="B57" s="26" t="s">
        <v>115</v>
      </c>
      <c r="C57" s="26" t="s">
        <v>107</v>
      </c>
      <c r="D57" s="14"/>
      <c r="E57" s="14"/>
      <c r="F57" s="14"/>
      <c r="G57" s="14"/>
      <c r="H57" s="96">
        <f>VLOOKUP(A57,[1]הפניקס!$A:$E,2,0)</f>
        <v>0</v>
      </c>
      <c r="I57" s="96">
        <f>VLOOKUP(A57,[1]הפניקס!$A:$E,3,0)</f>
        <v>0</v>
      </c>
      <c r="J57" s="96">
        <f>VLOOKUP(A57,[1]הפניקס!$A:$E,4,0)</f>
        <v>0</v>
      </c>
      <c r="K57" s="96">
        <f>VLOOKUP(A57,[1]הפניקס!$A:$E,5,0)</f>
        <v>0</v>
      </c>
    </row>
    <row r="58" spans="1:13" ht="15.6" x14ac:dyDescent="0.3">
      <c r="A58" s="26" t="s">
        <v>84</v>
      </c>
      <c r="B58" s="26" t="s">
        <v>115</v>
      </c>
      <c r="C58" s="26" t="s">
        <v>107</v>
      </c>
      <c r="D58" s="14">
        <v>25723</v>
      </c>
      <c r="E58" s="14">
        <v>3666</v>
      </c>
      <c r="F58" s="14">
        <v>68850</v>
      </c>
      <c r="G58" s="14">
        <v>770</v>
      </c>
      <c r="H58" s="96">
        <f>VLOOKUP(A58,[1]הפניקס!$A:$E,2,0)</f>
        <v>0</v>
      </c>
      <c r="I58" s="96">
        <f>VLOOKUP(A58,[1]הפניקס!$A:$E,3,0)</f>
        <v>0</v>
      </c>
      <c r="J58" s="96">
        <f>VLOOKUP(A58,[1]הפניקס!$A:$E,4,0)</f>
        <v>0</v>
      </c>
      <c r="K58" s="96">
        <f>VLOOKUP(A58,[1]הפניקס!$A:$E,5,0)</f>
        <v>928</v>
      </c>
    </row>
    <row r="59" spans="1:13" ht="15.6" x14ac:dyDescent="0.3">
      <c r="A59" s="26" t="s">
        <v>37</v>
      </c>
      <c r="B59" s="26" t="s">
        <v>115</v>
      </c>
      <c r="C59" s="26" t="s">
        <v>107</v>
      </c>
      <c r="D59" s="14"/>
      <c r="E59" s="14"/>
      <c r="F59" s="14"/>
      <c r="G59" s="14"/>
      <c r="H59" s="96">
        <f>VLOOKUP(A59,[1]הפניקס!$A:$E,2,0)</f>
        <v>0</v>
      </c>
      <c r="I59" s="96">
        <f>VLOOKUP(A59,[1]הפניקס!$A:$E,3,0)</f>
        <v>0</v>
      </c>
      <c r="J59" s="96">
        <f>VLOOKUP(A59,[1]הפניקס!$A:$E,4,0)</f>
        <v>0</v>
      </c>
      <c r="K59" s="96">
        <f>VLOOKUP(A59,[1]הפניקס!$A:$E,5,0)</f>
        <v>0</v>
      </c>
      <c r="M59" s="133"/>
    </row>
    <row r="60" spans="1:13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>
        <f>VLOOKUP(A60,[1]הפניקס!$A:$E,2,0)</f>
        <v>0</v>
      </c>
      <c r="I60" s="96">
        <f>VLOOKUP(A60,[1]הפניקס!$A:$E,3,0)</f>
        <v>0</v>
      </c>
      <c r="J60" s="96">
        <f>VLOOKUP(A60,[1]הפניקס!$A:$E,4,0)</f>
        <v>0</v>
      </c>
      <c r="K60" s="96">
        <f>VLOOKUP(A60,[1]הפניקס!$A:$E,5,0)</f>
        <v>0</v>
      </c>
      <c r="M60" s="133"/>
    </row>
    <row r="61" spans="1:13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/>
      <c r="G61" s="14"/>
      <c r="H61" s="96">
        <f>VLOOKUP(A61,[1]הפניקס!$A:$E,2,0)</f>
        <v>0</v>
      </c>
      <c r="I61" s="96">
        <f>VLOOKUP(A61,[1]הפניקס!$A:$E,3,0)</f>
        <v>0</v>
      </c>
      <c r="J61" s="96">
        <f>VLOOKUP(A61,[1]הפניקס!$A:$E,4,0)</f>
        <v>24411.434153999999</v>
      </c>
      <c r="K61" s="96">
        <f>VLOOKUP(A61,[1]הפניקס!$A:$E,5,0)</f>
        <v>1937</v>
      </c>
      <c r="M61" s="133"/>
    </row>
    <row r="62" spans="1:13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>
        <f>VLOOKUP(A62,[1]הפניקס!$A:$E,2,0)</f>
        <v>0</v>
      </c>
      <c r="I62" s="96">
        <f>VLOOKUP(A62,[1]הפניקס!$A:$E,3,0)</f>
        <v>0</v>
      </c>
      <c r="J62" s="96">
        <f>VLOOKUP(A62,[1]הפניקס!$A:$E,4,0)</f>
        <v>0</v>
      </c>
      <c r="K62" s="96">
        <f>VLOOKUP(A62,[1]הפניקס!$A:$E,5,0)</f>
        <v>0</v>
      </c>
    </row>
    <row r="63" spans="1:13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7" t="s">
        <v>141</v>
      </c>
      <c r="B64" s="26" t="s">
        <v>115</v>
      </c>
      <c r="C64" s="27" t="s">
        <v>107</v>
      </c>
      <c r="D64" s="14"/>
      <c r="E64" s="14">
        <v>2108</v>
      </c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115</v>
      </c>
      <c r="C65" s="26" t="s">
        <v>107</v>
      </c>
      <c r="D65" s="14"/>
      <c r="E65" s="14"/>
      <c r="F65" s="14">
        <v>33500</v>
      </c>
      <c r="G65" s="14"/>
      <c r="H65" s="96"/>
      <c r="I65" s="96"/>
      <c r="J65" s="96"/>
      <c r="K65" s="96"/>
    </row>
    <row r="66" spans="1:12" ht="21.6" thickBot="1" x14ac:dyDescent="0.45">
      <c r="A66" s="123" t="s">
        <v>117</v>
      </c>
      <c r="B66" s="121"/>
      <c r="C66" s="121"/>
      <c r="D66" s="174">
        <f>SUM(D57:D65)</f>
        <v>25723</v>
      </c>
      <c r="E66" s="174">
        <f t="shared" ref="E66:G66" si="6">SUM(E57:E65)</f>
        <v>5774</v>
      </c>
      <c r="F66" s="174">
        <f t="shared" si="6"/>
        <v>102350</v>
      </c>
      <c r="G66" s="174">
        <f t="shared" si="6"/>
        <v>770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24411.434153999999</v>
      </c>
      <c r="K66" s="174">
        <f t="shared" si="7"/>
        <v>2865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5">
        <v>1364</v>
      </c>
      <c r="E67" s="195">
        <v>3897</v>
      </c>
      <c r="F67" s="195">
        <f>386802+282314</f>
        <v>669116</v>
      </c>
      <c r="G67" s="195"/>
      <c r="H67" s="96">
        <f>VLOOKUP(A67,[1]הפניקס!$A:$E,2,0)</f>
        <v>34874.421227999999</v>
      </c>
      <c r="I67" s="96">
        <f>VLOOKUP(A67,[1]הפניקס!$A:$E,3,0)</f>
        <v>340.15140000000002</v>
      </c>
      <c r="J67" s="96">
        <f>VLOOKUP(A67,[1]הפניקס!$A:$E,4,0)</f>
        <v>1367891.5299999998</v>
      </c>
      <c r="K67" s="96">
        <f>VLOOKUP(A67,[1]הפניקס!$A:$E,5,0)</f>
        <v>262685</v>
      </c>
      <c r="L67" s="133"/>
    </row>
    <row r="68" spans="1:12" ht="15.6" x14ac:dyDescent="0.3">
      <c r="A68" s="30" t="s">
        <v>40</v>
      </c>
      <c r="B68" s="26" t="s">
        <v>56</v>
      </c>
      <c r="C68" s="26" t="s">
        <v>103</v>
      </c>
      <c r="D68" s="193">
        <v>17892</v>
      </c>
      <c r="E68" s="193"/>
      <c r="F68" s="193">
        <v>5531</v>
      </c>
      <c r="G68" s="193">
        <v>293835</v>
      </c>
      <c r="H68" s="96">
        <f>VLOOKUP(A68,[1]הפניקס!$A:$E,2,0)</f>
        <v>0</v>
      </c>
      <c r="I68" s="96">
        <f>VLOOKUP(A68,[1]הפניקס!$A:$E,3,0)</f>
        <v>0</v>
      </c>
      <c r="J68" s="96">
        <f>VLOOKUP(A68,[1]הפניקס!$A:$E,4,0)</f>
        <v>0</v>
      </c>
      <c r="K68" s="96">
        <f>VLOOKUP(A68,[1]הפניקס!$A:$E,5,0)</f>
        <v>129995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3"/>
      <c r="E69" s="193"/>
      <c r="F69" s="193">
        <v>10532</v>
      </c>
      <c r="G69" s="193"/>
      <c r="H69" s="96">
        <f>VLOOKUP(A69,[1]הפניקס!$A:$E,2,0)</f>
        <v>0</v>
      </c>
      <c r="I69" s="96">
        <f>VLOOKUP(A69,[1]הפניקס!$A:$E,3,0)</f>
        <v>0</v>
      </c>
      <c r="J69" s="96">
        <f>VLOOKUP(A69,[1]הפניקס!$A:$E,4,0)</f>
        <v>77999.75</v>
      </c>
      <c r="K69" s="96">
        <f>VLOOKUP(A69,[1]הפניקס!$A:$E,5,0)</f>
        <v>0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3">
        <v>29002</v>
      </c>
      <c r="E70" s="193"/>
      <c r="F70" s="193">
        <v>44969</v>
      </c>
      <c r="G70" s="193">
        <v>16416</v>
      </c>
      <c r="H70" s="96">
        <f>VLOOKUP(A70,[1]הפניקס!$A:$E,2,0)</f>
        <v>0</v>
      </c>
      <c r="I70" s="96">
        <f>VLOOKUP(A70,[1]הפניקס!$A:$E,3,0)</f>
        <v>0</v>
      </c>
      <c r="J70" s="96">
        <f>VLOOKUP(A70,[1]הפניקס!$A:$E,4,0)</f>
        <v>0</v>
      </c>
      <c r="K70" s="96">
        <f>VLOOKUP(A70,[1]הפניקס!$A:$E,5,0)</f>
        <v>0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3"/>
      <c r="E71" s="193"/>
      <c r="F71" s="193"/>
      <c r="G71" s="193"/>
      <c r="H71" s="96">
        <f>VLOOKUP(A71,[1]הפניקס!$A:$E,2,0)</f>
        <v>0</v>
      </c>
      <c r="I71" s="96">
        <f>VLOOKUP(A71,[1]הפניקס!$A:$E,3,0)</f>
        <v>0</v>
      </c>
      <c r="J71" s="96">
        <f>VLOOKUP(A71,[1]הפניקס!$A:$E,4,0)</f>
        <v>0</v>
      </c>
      <c r="K71" s="96">
        <f>VLOOKUP(A71,[1]הפניקס!$A:$E,5,0)</f>
        <v>90372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3">
        <v>2310</v>
      </c>
      <c r="E72" s="193"/>
      <c r="F72" s="193">
        <v>8400</v>
      </c>
      <c r="G72" s="193"/>
      <c r="H72" s="96">
        <v>4968.898056</v>
      </c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3">
        <v>7788</v>
      </c>
      <c r="E73" s="193">
        <v>2291</v>
      </c>
      <c r="F73" s="193">
        <v>1633082</v>
      </c>
      <c r="G73" s="193"/>
      <c r="H73" s="96">
        <v>30711.653993999997</v>
      </c>
      <c r="I73" s="96">
        <v>6202.1498519999996</v>
      </c>
      <c r="J73" s="96">
        <v>149112.08000000002</v>
      </c>
      <c r="K73" s="96">
        <v>25523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3"/>
      <c r="E74" s="193"/>
      <c r="F74" s="193"/>
      <c r="G74" s="193"/>
      <c r="H74" s="96">
        <f>VLOOKUP(A74,[1]הפניקס!$A:$E,2,0)</f>
        <v>0</v>
      </c>
      <c r="I74" s="96">
        <f>VLOOKUP(A74,[1]הפניקס!$A:$E,3,0)</f>
        <v>0</v>
      </c>
      <c r="J74" s="96">
        <f>VLOOKUP(A74,[1]הפניקס!$A:$E,4,0)</f>
        <v>0</v>
      </c>
      <c r="K74" s="96">
        <f>VLOOKUP(A74,[1]הפניקס!$A:$E,5,0)</f>
        <v>0</v>
      </c>
    </row>
    <row r="75" spans="1:12" ht="21.6" thickBot="1" x14ac:dyDescent="0.3">
      <c r="A75" s="177" t="s">
        <v>44</v>
      </c>
      <c r="B75" s="178"/>
      <c r="C75" s="178"/>
      <c r="D75" s="179">
        <f>SUM(D67:D74)</f>
        <v>58356</v>
      </c>
      <c r="E75" s="179">
        <f t="shared" ref="E75:G75" si="8">SUM(E67:E74)</f>
        <v>6188</v>
      </c>
      <c r="F75" s="179">
        <f t="shared" si="8"/>
        <v>2371630</v>
      </c>
      <c r="G75" s="179">
        <f t="shared" si="8"/>
        <v>310251</v>
      </c>
      <c r="H75" s="179">
        <f>SUM(H67:H74)</f>
        <v>70554.97327799999</v>
      </c>
      <c r="I75" s="179">
        <f t="shared" ref="I75:K75" si="9">SUM(I67:I74)</f>
        <v>6542.3012519999993</v>
      </c>
      <c r="J75" s="179">
        <f t="shared" si="9"/>
        <v>1595003.3599999999</v>
      </c>
      <c r="K75" s="179">
        <f t="shared" si="9"/>
        <v>508575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1679216</v>
      </c>
      <c r="E76" s="131">
        <f t="shared" ref="E76:G76" si="10">E75+E66+E56+E22+E8</f>
        <v>119729</v>
      </c>
      <c r="F76" s="131">
        <f t="shared" si="10"/>
        <v>11469936</v>
      </c>
      <c r="G76" s="131">
        <f t="shared" si="10"/>
        <v>5160829</v>
      </c>
      <c r="H76" s="131">
        <f>H75+H66+H56+H22+H8</f>
        <v>517020.45538199996</v>
      </c>
      <c r="I76" s="131">
        <f t="shared" ref="I76:K76" si="11">I75+I66+I56+I22+I8</f>
        <v>286233.24569400004</v>
      </c>
      <c r="J76" s="131">
        <f t="shared" si="11"/>
        <v>6925321.524154</v>
      </c>
      <c r="K76" s="131">
        <f t="shared" si="11"/>
        <v>4627872</v>
      </c>
    </row>
    <row r="78" spans="1:12" x14ac:dyDescent="0.3">
      <c r="D78" s="6"/>
      <c r="E78" s="6"/>
      <c r="F78" s="6"/>
      <c r="G78" s="6"/>
    </row>
    <row r="80" spans="1:12" x14ac:dyDescent="0.3">
      <c r="G80" s="138"/>
    </row>
    <row r="83" spans="7:7" x14ac:dyDescent="0.3">
      <c r="G83" s="6"/>
    </row>
  </sheetData>
  <mergeCells count="2">
    <mergeCell ref="D1:G1"/>
    <mergeCell ref="H1:K1"/>
  </mergeCells>
  <conditionalFormatting sqref="A1">
    <cfRule type="duplicateValues" dxfId="171" priority="19"/>
    <cfRule type="duplicateValues" dxfId="170" priority="20"/>
  </conditionalFormatting>
  <conditionalFormatting sqref="A14">
    <cfRule type="duplicateValues" dxfId="169" priority="9"/>
    <cfRule type="duplicateValues" dxfId="168" priority="10"/>
  </conditionalFormatting>
  <conditionalFormatting sqref="A20">
    <cfRule type="duplicateValues" dxfId="167" priority="1"/>
    <cfRule type="duplicateValues" dxfId="166" priority="2"/>
  </conditionalFormatting>
  <conditionalFormatting sqref="A41">
    <cfRule type="duplicateValues" dxfId="165" priority="5"/>
    <cfRule type="duplicateValues" dxfId="164" priority="6"/>
  </conditionalFormatting>
  <conditionalFormatting sqref="A54">
    <cfRule type="duplicateValues" dxfId="163" priority="3"/>
    <cfRule type="duplicateValues" dxfId="162" priority="4"/>
  </conditionalFormatting>
  <conditionalFormatting sqref="A57">
    <cfRule type="duplicateValues" dxfId="161" priority="11"/>
    <cfRule type="duplicateValues" dxfId="160" priority="12"/>
  </conditionalFormatting>
  <conditionalFormatting sqref="A58:A60 A7 A23:A40 A62 A42:A53 A55">
    <cfRule type="duplicateValues" dxfId="159" priority="17"/>
    <cfRule type="duplicateValues" dxfId="158" priority="18"/>
  </conditionalFormatting>
  <conditionalFormatting sqref="A61">
    <cfRule type="duplicateValues" dxfId="157" priority="7"/>
    <cfRule type="duplicateValues" dxfId="156" priority="8"/>
  </conditionalFormatting>
  <conditionalFormatting sqref="A67:A74">
    <cfRule type="duplicateValues" dxfId="155" priority="15"/>
    <cfRule type="duplicateValues" dxfId="154" priority="16"/>
  </conditionalFormatting>
  <conditionalFormatting sqref="A75:A76 A2:A6 A8:A13 A15:A19 A56 A66 A21:A22">
    <cfRule type="duplicateValues" dxfId="153" priority="13"/>
    <cfRule type="duplicateValues" dxfId="152" priority="1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1864-30CD-4899-A197-CCB85FE84C05}">
  <sheetPr>
    <tabColor rgb="FFFFFF00"/>
  </sheetPr>
  <dimension ref="A1:M80"/>
  <sheetViews>
    <sheetView rightToLeft="1" zoomScaleNormal="100" workbookViewId="0">
      <pane ySplit="3" topLeftCell="A5" activePane="bottomLeft" state="frozen"/>
      <selection pane="bottomLeft" activeCell="M7" sqref="M7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3">
        <f>557817.84-D4-D5-D6-D16-D52-D69-D70-D71-D74</f>
        <v>376716</v>
      </c>
      <c r="E3" s="193">
        <f>99161.767-E4-E5-E6-E16-E52-E69-E70-E71-E74-E53</f>
        <v>45399.500000000007</v>
      </c>
      <c r="F3" s="193">
        <f>770804-F52-F67</f>
        <v>580620.31000000006</v>
      </c>
      <c r="G3" s="193">
        <f>-6188126.63-G4-G52-G65</f>
        <v>-6004215.5099999988</v>
      </c>
      <c r="H3" s="96">
        <v>1065797.1599999999</v>
      </c>
      <c r="I3" s="96">
        <v>44626.060999999972</v>
      </c>
      <c r="J3" s="96">
        <v>965149.23</v>
      </c>
      <c r="K3" s="96">
        <v>7349742.209999999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3">
        <v>52468.92</v>
      </c>
      <c r="E4" s="193">
        <v>0</v>
      </c>
      <c r="F4" s="193"/>
      <c r="G4" s="193">
        <v>-715667.9</v>
      </c>
      <c r="H4" s="96">
        <v>374026.44</v>
      </c>
      <c r="I4" s="96">
        <v>1682.2550000000001</v>
      </c>
      <c r="J4" s="96">
        <v>2297235.5700000003</v>
      </c>
      <c r="K4" s="96">
        <v>3371969.5100000007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3">
        <v>0</v>
      </c>
      <c r="E5" s="193">
        <v>1073</v>
      </c>
      <c r="F5" s="193"/>
      <c r="G5" s="193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4">
        <v>63744</v>
      </c>
      <c r="E6" s="194">
        <v>5709.5619999999999</v>
      </c>
      <c r="F6" s="194"/>
      <c r="G6" s="194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3">
        <v>11100</v>
      </c>
      <c r="E7" s="193">
        <v>0</v>
      </c>
      <c r="F7" s="193"/>
      <c r="G7" s="193"/>
      <c r="H7" s="96">
        <v>0</v>
      </c>
      <c r="I7" s="96">
        <v>0</v>
      </c>
      <c r="J7" s="96">
        <v>0</v>
      </c>
      <c r="K7" s="96">
        <v>0</v>
      </c>
    </row>
    <row r="8" spans="1:11" ht="22.5" customHeight="1" thickBot="1" x14ac:dyDescent="0.45">
      <c r="A8" s="122" t="s">
        <v>3</v>
      </c>
      <c r="B8" s="121"/>
      <c r="C8" s="121"/>
      <c r="D8" s="174">
        <f>SUM(D3:D7)</f>
        <v>504028.92</v>
      </c>
      <c r="E8" s="174">
        <f t="shared" ref="E8:G8" si="0">SUM(E3:E7)</f>
        <v>52182.062000000005</v>
      </c>
      <c r="F8" s="174">
        <f t="shared" si="0"/>
        <v>580620.31000000006</v>
      </c>
      <c r="G8" s="174">
        <f t="shared" si="0"/>
        <v>-6719883.4099999992</v>
      </c>
      <c r="H8" s="174">
        <f>SUM(H3:H7)</f>
        <v>1439823.5999999999</v>
      </c>
      <c r="I8" s="174">
        <f t="shared" ref="I8:K8" si="1">SUM(I3:I7)</f>
        <v>46308.31599999997</v>
      </c>
      <c r="J8" s="174">
        <f t="shared" si="1"/>
        <v>3262384.8000000003</v>
      </c>
      <c r="K8" s="174">
        <f t="shared" si="1"/>
        <v>10721711.719999999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95">
        <v>0</v>
      </c>
      <c r="E9" s="195">
        <v>1145.5</v>
      </c>
      <c r="F9" s="195"/>
      <c r="G9" s="195">
        <v>-208859.65</v>
      </c>
      <c r="H9" s="96">
        <v>0</v>
      </c>
      <c r="I9" s="96">
        <v>69.990000000000009</v>
      </c>
      <c r="J9" s="96">
        <v>0</v>
      </c>
      <c r="K9" s="96">
        <v>-652731.68000000005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93">
        <v>137110.91999999998</v>
      </c>
      <c r="E10" s="193">
        <v>275046.16599999997</v>
      </c>
      <c r="F10" s="193">
        <v>303367</v>
      </c>
      <c r="G10" s="193">
        <v>222945.21</v>
      </c>
      <c r="H10" s="96">
        <v>317168.76</v>
      </c>
      <c r="I10" s="96">
        <v>202951.95799999998</v>
      </c>
      <c r="J10" s="96">
        <v>84908.04</v>
      </c>
      <c r="K10" s="96">
        <v>433319.13000000006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93">
        <v>0</v>
      </c>
      <c r="E11" s="193">
        <v>15101.661</v>
      </c>
      <c r="F11" s="193"/>
      <c r="G11" s="193"/>
      <c r="H11" s="96">
        <v>0</v>
      </c>
      <c r="I11" s="96">
        <v>9770.2619999999988</v>
      </c>
      <c r="J11" s="96">
        <v>0</v>
      </c>
      <c r="K11" s="96"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93">
        <v>0</v>
      </c>
      <c r="E12" s="193">
        <v>-1377.5</v>
      </c>
      <c r="F12" s="193"/>
      <c r="G12" s="193"/>
      <c r="H12" s="96">
        <v>0</v>
      </c>
      <c r="I12" s="96">
        <v>0</v>
      </c>
      <c r="J12" s="96">
        <v>0</v>
      </c>
      <c r="K12" s="96"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93">
        <v>10740</v>
      </c>
      <c r="E13" s="193">
        <v>61905.652000000002</v>
      </c>
      <c r="F13" s="193"/>
      <c r="G13" s="193"/>
      <c r="H13" s="96">
        <v>0</v>
      </c>
      <c r="I13" s="96">
        <v>136508.03599999999</v>
      </c>
      <c r="J13" s="96">
        <v>369399.56</v>
      </c>
      <c r="K13" s="96">
        <v>53776.81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93">
        <v>86130.96</v>
      </c>
      <c r="E14" s="193">
        <v>20527.870000000003</v>
      </c>
      <c r="F14" s="193">
        <v>168500</v>
      </c>
      <c r="G14" s="193">
        <v>706151.35</v>
      </c>
      <c r="H14" s="96">
        <v>185507.52</v>
      </c>
      <c r="I14" s="96">
        <v>0</v>
      </c>
      <c r="J14" s="96">
        <v>66212</v>
      </c>
      <c r="K14" s="96">
        <v>3784313.4200000004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93"/>
      <c r="E15" s="193"/>
      <c r="F15" s="193"/>
      <c r="G15" s="193"/>
      <c r="H15" s="96">
        <v>0</v>
      </c>
      <c r="I15" s="96">
        <v>0</v>
      </c>
      <c r="J15" s="96">
        <v>0</v>
      </c>
      <c r="K15" s="96">
        <v>1145.165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93">
        <v>0</v>
      </c>
      <c r="E16" s="193">
        <v>2646.3780000000002</v>
      </c>
      <c r="F16" s="193"/>
      <c r="G16" s="193"/>
      <c r="H16" s="96">
        <v>0</v>
      </c>
      <c r="I16" s="96">
        <v>8807.607</v>
      </c>
      <c r="J16" s="96">
        <v>0</v>
      </c>
      <c r="K16" s="96"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3">
        <v>0</v>
      </c>
      <c r="E17" s="193">
        <v>41797.249000000003</v>
      </c>
      <c r="F17" s="193">
        <v>1000</v>
      </c>
      <c r="G17" s="193">
        <v>-1063959.48</v>
      </c>
      <c r="H17" s="96">
        <v>16415.759999999998</v>
      </c>
      <c r="I17" s="96">
        <v>10185.890000000001</v>
      </c>
      <c r="J17" s="96">
        <v>44000.800000000003</v>
      </c>
      <c r="K17" s="96">
        <v>190696.06999999998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3">
        <v>213669.36</v>
      </c>
      <c r="E18" s="193">
        <v>44519.101999999999</v>
      </c>
      <c r="F18" s="193">
        <v>443108</v>
      </c>
      <c r="G18" s="193">
        <v>2017308.5149999999</v>
      </c>
      <c r="H18" s="96">
        <v>413308.92</v>
      </c>
      <c r="I18" s="96">
        <v>11025.912</v>
      </c>
      <c r="J18" s="96">
        <v>756875.39</v>
      </c>
      <c r="K18" s="96">
        <v>4512151.58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3"/>
      <c r="E19" s="193"/>
      <c r="F19" s="193"/>
      <c r="G19" s="193">
        <v>-14201.174999999999</v>
      </c>
      <c r="H19" s="96">
        <v>0</v>
      </c>
      <c r="I19" s="96">
        <v>0</v>
      </c>
      <c r="J19" s="96">
        <v>1800</v>
      </c>
      <c r="K19" s="96">
        <v>0</v>
      </c>
    </row>
    <row r="20" spans="1:11" ht="15.6" x14ac:dyDescent="0.3">
      <c r="A20" s="28" t="s">
        <v>140</v>
      </c>
      <c r="B20" s="26" t="s">
        <v>108</v>
      </c>
      <c r="C20" s="26" t="s">
        <v>106</v>
      </c>
      <c r="D20" s="194"/>
      <c r="E20" s="194"/>
      <c r="F20" s="194"/>
      <c r="G20" s="194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94"/>
      <c r="E21" s="194"/>
      <c r="F21" s="194"/>
      <c r="G21" s="194"/>
      <c r="H21" s="96">
        <v>0</v>
      </c>
      <c r="I21" s="96">
        <v>0</v>
      </c>
      <c r="J21" s="96">
        <v>3200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447651.24</v>
      </c>
      <c r="E22" s="174">
        <f t="shared" ref="E22:G22" si="2">SUM(E9:E21)</f>
        <v>461312.07800000004</v>
      </c>
      <c r="F22" s="174">
        <f t="shared" si="2"/>
        <v>915975</v>
      </c>
      <c r="G22" s="174">
        <f t="shared" si="2"/>
        <v>1659384.7699999998</v>
      </c>
      <c r="H22" s="174">
        <v>932400.96</v>
      </c>
      <c r="I22" s="174">
        <v>379319.65499999997</v>
      </c>
      <c r="J22" s="174">
        <v>1326395.79</v>
      </c>
      <c r="K22" s="174">
        <v>8322670.495000001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>
        <v>1862683.93</v>
      </c>
      <c r="H23" s="96">
        <v>0</v>
      </c>
      <c r="I23" s="96">
        <v>0</v>
      </c>
      <c r="J23" s="96">
        <v>0</v>
      </c>
      <c r="K23" s="96">
        <v>0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>
        <v>0</v>
      </c>
      <c r="J24" s="96">
        <v>0</v>
      </c>
      <c r="K24" s="96">
        <v>0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>
        <v>0</v>
      </c>
      <c r="I25" s="96">
        <v>0</v>
      </c>
      <c r="J25" s="96">
        <v>0</v>
      </c>
      <c r="K25" s="96"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>
        <v>-1795.59</v>
      </c>
      <c r="H27" s="96">
        <v>11248.2</v>
      </c>
      <c r="I27" s="96">
        <v>0</v>
      </c>
      <c r="J27" s="96">
        <v>0</v>
      </c>
      <c r="K27" s="96">
        <v>0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>
        <v>0</v>
      </c>
      <c r="I28" s="96">
        <v>2323.6680000000001</v>
      </c>
      <c r="J28" s="96">
        <v>0</v>
      </c>
      <c r="K28" s="96">
        <v>0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>
        <v>0</v>
      </c>
      <c r="E29" s="14">
        <v>3432.777</v>
      </c>
      <c r="F29" s="14">
        <v>144064.6</v>
      </c>
      <c r="G29" s="14"/>
      <c r="H29" s="96">
        <v>0</v>
      </c>
      <c r="I29" s="96">
        <v>10168.003999999999</v>
      </c>
      <c r="J29" s="96">
        <v>115731.21</v>
      </c>
      <c r="K29" s="96"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>
        <v>0</v>
      </c>
      <c r="I30" s="96">
        <v>1889.73</v>
      </c>
      <c r="J30" s="96">
        <v>0</v>
      </c>
      <c r="K30" s="96">
        <v>0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>
        <v>0</v>
      </c>
      <c r="E31" s="14">
        <v>7990.1279999999997</v>
      </c>
      <c r="F31" s="14">
        <v>122699</v>
      </c>
      <c r="G31" s="14">
        <v>-1280104.43</v>
      </c>
      <c r="H31" s="96">
        <v>153330.23999999999</v>
      </c>
      <c r="I31" s="96">
        <v>23066.616999999998</v>
      </c>
      <c r="J31" s="96">
        <v>86574.44</v>
      </c>
      <c r="K31" s="96">
        <v>2167577.7999999998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>
        <v>1735.752</v>
      </c>
      <c r="J32" s="96">
        <v>0</v>
      </c>
      <c r="K32" s="96">
        <v>0</v>
      </c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>
        <v>0</v>
      </c>
      <c r="I33" s="96">
        <v>0</v>
      </c>
      <c r="J33" s="96">
        <v>0</v>
      </c>
      <c r="K33" s="96">
        <v>0</v>
      </c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>
        <v>0</v>
      </c>
      <c r="K34" s="96">
        <v>0</v>
      </c>
    </row>
    <row r="35" spans="1:12" ht="15.6" x14ac:dyDescent="0.3">
      <c r="A35" s="26" t="s">
        <v>24</v>
      </c>
      <c r="B35" s="26" t="s">
        <v>56</v>
      </c>
      <c r="C35" s="26" t="s">
        <v>107</v>
      </c>
      <c r="D35" s="14">
        <v>0</v>
      </c>
      <c r="E35" s="14">
        <v>3101.5479999999998</v>
      </c>
      <c r="F35" s="14"/>
      <c r="G35" s="14"/>
      <c r="H35" s="96">
        <v>0</v>
      </c>
      <c r="I35" s="96">
        <v>-504.87700000000001</v>
      </c>
      <c r="J35" s="96">
        <v>0</v>
      </c>
      <c r="K35" s="96">
        <v>0</v>
      </c>
    </row>
    <row r="36" spans="1:12" ht="15.6" x14ac:dyDescent="0.3">
      <c r="A36" s="30" t="s">
        <v>25</v>
      </c>
      <c r="B36" s="26" t="s">
        <v>56</v>
      </c>
      <c r="C36" s="26" t="s">
        <v>107</v>
      </c>
      <c r="D36" s="14">
        <v>57240.959999999999</v>
      </c>
      <c r="E36" s="14">
        <v>0</v>
      </c>
      <c r="F36" s="14"/>
      <c r="G36" s="14">
        <v>-103331.13</v>
      </c>
      <c r="H36" s="96">
        <v>0</v>
      </c>
      <c r="I36" s="96">
        <v>0</v>
      </c>
      <c r="J36" s="96">
        <v>0</v>
      </c>
      <c r="K36" s="96">
        <v>-240512.81999999998</v>
      </c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>
        <v>0</v>
      </c>
      <c r="K37" s="96">
        <v>0</v>
      </c>
    </row>
    <row r="38" spans="1:12" ht="15.6" x14ac:dyDescent="0.3">
      <c r="A38" s="26" t="s">
        <v>27</v>
      </c>
      <c r="B38" s="26" t="s">
        <v>56</v>
      </c>
      <c r="C38" s="26" t="s">
        <v>107</v>
      </c>
      <c r="D38" s="14">
        <v>44755.199999999997</v>
      </c>
      <c r="E38" s="14">
        <v>-3451</v>
      </c>
      <c r="F38" s="14">
        <v>22102.44</v>
      </c>
      <c r="G38" s="14">
        <v>-580576.23</v>
      </c>
      <c r="H38" s="96">
        <v>0</v>
      </c>
      <c r="I38" s="96">
        <v>-5459.22</v>
      </c>
      <c r="J38" s="96">
        <v>0</v>
      </c>
      <c r="K38" s="96">
        <v>21456.27</v>
      </c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>
        <v>0</v>
      </c>
      <c r="K39" s="96">
        <v>0</v>
      </c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>
        <v>0</v>
      </c>
      <c r="I40" s="96">
        <v>0</v>
      </c>
      <c r="J40" s="96">
        <v>0</v>
      </c>
      <c r="K40" s="96">
        <v>0</v>
      </c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0</v>
      </c>
      <c r="I42" s="96">
        <v>0</v>
      </c>
      <c r="J42" s="96">
        <v>0</v>
      </c>
      <c r="K42" s="96">
        <v>0</v>
      </c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>
        <v>-1203.1199999999999</v>
      </c>
      <c r="H43" s="96">
        <v>0</v>
      </c>
      <c r="I43" s="96">
        <v>0</v>
      </c>
      <c r="J43" s="96">
        <v>0</v>
      </c>
      <c r="K43" s="96">
        <v>0</v>
      </c>
    </row>
    <row r="44" spans="1:12" ht="15.6" x14ac:dyDescent="0.3">
      <c r="A44" s="26" t="s">
        <v>83</v>
      </c>
      <c r="B44" s="26" t="s">
        <v>56</v>
      </c>
      <c r="C44" s="26" t="s">
        <v>107</v>
      </c>
      <c r="D44" s="14">
        <v>9990</v>
      </c>
      <c r="E44" s="14">
        <v>17171.040999999997</v>
      </c>
      <c r="F44" s="14"/>
      <c r="G44" s="14"/>
      <c r="H44" s="96">
        <v>42388.92</v>
      </c>
      <c r="I44" s="96">
        <v>16202.009999999998</v>
      </c>
      <c r="J44" s="96">
        <v>8000</v>
      </c>
      <c r="K44" s="96">
        <v>85019.91</v>
      </c>
    </row>
    <row r="45" spans="1:12" ht="15.6" x14ac:dyDescent="0.3">
      <c r="A45" s="26" t="s">
        <v>82</v>
      </c>
      <c r="B45" s="26" t="s">
        <v>56</v>
      </c>
      <c r="C45" s="26" t="s">
        <v>107</v>
      </c>
      <c r="D45" s="14">
        <v>5141.88</v>
      </c>
      <c r="E45" s="14">
        <v>5060.5</v>
      </c>
      <c r="F45" s="14">
        <v>495701</v>
      </c>
      <c r="G45" s="14">
        <v>732722.41</v>
      </c>
      <c r="H45" s="96">
        <v>0</v>
      </c>
      <c r="I45" s="96">
        <v>1526.002</v>
      </c>
      <c r="J45" s="96">
        <v>7200</v>
      </c>
      <c r="K45" s="96">
        <v>2999462.9299999997</v>
      </c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0</v>
      </c>
      <c r="J46" s="96">
        <v>0</v>
      </c>
      <c r="K46" s="96">
        <v>0</v>
      </c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>
        <v>0</v>
      </c>
      <c r="I47" s="96">
        <v>0</v>
      </c>
      <c r="J47" s="96">
        <v>0</v>
      </c>
      <c r="K47" s="96">
        <v>-115261.94</v>
      </c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>
        <v>0</v>
      </c>
      <c r="E48" s="14">
        <v>5611.4780000000001</v>
      </c>
      <c r="F48" s="14"/>
      <c r="G48" s="14"/>
      <c r="H48" s="96">
        <v>0</v>
      </c>
      <c r="I48" s="96">
        <v>0</v>
      </c>
      <c r="J48" s="96">
        <v>0</v>
      </c>
      <c r="K48" s="96">
        <v>0</v>
      </c>
    </row>
    <row r="49" spans="1:13" ht="15.6" x14ac:dyDescent="0.3">
      <c r="A49" s="26" t="s">
        <v>87</v>
      </c>
      <c r="B49" s="26" t="s">
        <v>56</v>
      </c>
      <c r="C49" s="26" t="s">
        <v>107</v>
      </c>
      <c r="D49" s="193">
        <v>3349.2</v>
      </c>
      <c r="E49" s="193">
        <v>0</v>
      </c>
      <c r="F49" s="193">
        <v>920476</v>
      </c>
      <c r="G49" s="193">
        <v>955923.42</v>
      </c>
      <c r="H49" s="96">
        <v>0</v>
      </c>
      <c r="I49" s="96">
        <v>0</v>
      </c>
      <c r="J49" s="96">
        <v>168890</v>
      </c>
      <c r="K49" s="96">
        <v>0</v>
      </c>
    </row>
    <row r="50" spans="1:13" ht="15.6" x14ac:dyDescent="0.3">
      <c r="A50" s="26" t="s">
        <v>97</v>
      </c>
      <c r="B50" s="26" t="s">
        <v>56</v>
      </c>
      <c r="C50" s="26" t="s">
        <v>107</v>
      </c>
      <c r="D50" s="193"/>
      <c r="E50" s="193"/>
      <c r="F50" s="193"/>
      <c r="G50" s="193"/>
      <c r="H50" s="96">
        <v>0</v>
      </c>
      <c r="I50" s="96">
        <v>0</v>
      </c>
      <c r="J50" s="96">
        <v>0</v>
      </c>
      <c r="K50" s="96">
        <v>0</v>
      </c>
    </row>
    <row r="51" spans="1:13" ht="15.6" x14ac:dyDescent="0.3">
      <c r="A51" s="26" t="s">
        <v>39</v>
      </c>
      <c r="B51" s="26" t="s">
        <v>56</v>
      </c>
      <c r="C51" s="26" t="s">
        <v>107</v>
      </c>
      <c r="D51" s="193"/>
      <c r="E51" s="193"/>
      <c r="F51" s="193"/>
      <c r="G51" s="193"/>
      <c r="H51" s="96">
        <v>0</v>
      </c>
      <c r="I51" s="96">
        <v>0</v>
      </c>
      <c r="J51" s="96">
        <v>0</v>
      </c>
      <c r="K51" s="96">
        <v>0</v>
      </c>
    </row>
    <row r="52" spans="1:13" ht="15.6" x14ac:dyDescent="0.3">
      <c r="A52" s="26" t="s">
        <v>91</v>
      </c>
      <c r="B52" s="26" t="s">
        <v>56</v>
      </c>
      <c r="C52" s="26" t="s">
        <v>107</v>
      </c>
      <c r="D52" s="193">
        <v>54528</v>
      </c>
      <c r="E52" s="193">
        <v>952.92700000000002</v>
      </c>
      <c r="F52" s="193">
        <v>3500</v>
      </c>
      <c r="G52" s="193">
        <v>329702.56</v>
      </c>
      <c r="H52" s="96">
        <v>0</v>
      </c>
      <c r="I52" s="96">
        <v>4563.201</v>
      </c>
      <c r="J52" s="96">
        <v>102000.44</v>
      </c>
      <c r="K52" s="96">
        <v>0</v>
      </c>
    </row>
    <row r="53" spans="1:13" ht="15.6" x14ac:dyDescent="0.3">
      <c r="A53" s="26" t="s">
        <v>41</v>
      </c>
      <c r="B53" s="26" t="s">
        <v>56</v>
      </c>
      <c r="C53" s="26" t="s">
        <v>107</v>
      </c>
      <c r="D53" s="193"/>
      <c r="E53" s="193">
        <v>870</v>
      </c>
      <c r="F53" s="193"/>
      <c r="G53" s="193"/>
      <c r="H53" s="96">
        <v>28684.560000000001</v>
      </c>
      <c r="I53" s="96">
        <v>0</v>
      </c>
      <c r="J53" s="96">
        <v>0</v>
      </c>
      <c r="K53" s="96">
        <v>0</v>
      </c>
    </row>
    <row r="54" spans="1:13" ht="15.6" x14ac:dyDescent="0.3">
      <c r="A54" s="26" t="s">
        <v>139</v>
      </c>
      <c r="B54" s="26" t="s">
        <v>108</v>
      </c>
      <c r="C54" s="27" t="s">
        <v>107</v>
      </c>
      <c r="D54" s="194"/>
      <c r="E54" s="194"/>
      <c r="F54" s="194"/>
      <c r="G54" s="194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>
        <v>0</v>
      </c>
      <c r="I55" s="96">
        <v>0</v>
      </c>
      <c r="J55" s="96">
        <v>0</v>
      </c>
      <c r="K55" s="96">
        <v>0</v>
      </c>
    </row>
    <row r="56" spans="1:13" ht="21.6" thickBot="1" x14ac:dyDescent="0.45">
      <c r="A56" s="123" t="s">
        <v>116</v>
      </c>
      <c r="B56" s="121"/>
      <c r="C56" s="121"/>
      <c r="D56" s="174">
        <f>SUM(D23:D55)</f>
        <v>175005.24</v>
      </c>
      <c r="E56" s="174">
        <f t="shared" ref="E56:G56" si="3">SUM(E23:E55)</f>
        <v>40739.398999999998</v>
      </c>
      <c r="F56" s="174">
        <f t="shared" si="3"/>
        <v>1708543.04</v>
      </c>
      <c r="G56" s="174">
        <f t="shared" si="3"/>
        <v>1914021.82</v>
      </c>
      <c r="H56" s="174">
        <f>SUM(H23:H55)</f>
        <v>235651.91999999998</v>
      </c>
      <c r="I56" s="174">
        <f t="shared" ref="I56:K56" si="4">SUM(I23:I55)</f>
        <v>55510.886999999995</v>
      </c>
      <c r="J56" s="174">
        <f t="shared" si="4"/>
        <v>488396.09</v>
      </c>
      <c r="K56" s="174">
        <f t="shared" si="4"/>
        <v>4917742.1499999994</v>
      </c>
    </row>
    <row r="57" spans="1:13" ht="15.6" x14ac:dyDescent="0.3">
      <c r="A57" s="30" t="s">
        <v>33</v>
      </c>
      <c r="B57" s="26" t="s">
        <v>115</v>
      </c>
      <c r="C57" s="26" t="s">
        <v>107</v>
      </c>
      <c r="D57" s="14"/>
      <c r="E57" s="14"/>
      <c r="F57" s="14"/>
      <c r="G57" s="14"/>
      <c r="H57" s="96">
        <v>0</v>
      </c>
      <c r="I57" s="96">
        <v>0</v>
      </c>
      <c r="J57" s="96">
        <v>0</v>
      </c>
      <c r="K57" s="96">
        <v>-816.38</v>
      </c>
    </row>
    <row r="58" spans="1:13" ht="15.6" x14ac:dyDescent="0.3">
      <c r="A58" s="26" t="s">
        <v>84</v>
      </c>
      <c r="B58" s="26" t="s">
        <v>115</v>
      </c>
      <c r="C58" s="26" t="s">
        <v>107</v>
      </c>
      <c r="D58" s="14">
        <v>0</v>
      </c>
      <c r="E58" s="14">
        <v>9262.7980000000007</v>
      </c>
      <c r="F58" s="14">
        <v>254370.27</v>
      </c>
      <c r="G58" s="14">
        <v>68346.13</v>
      </c>
      <c r="H58" s="96">
        <v>76375.8</v>
      </c>
      <c r="I58" s="96">
        <v>3579.6489999999999</v>
      </c>
      <c r="J58" s="96">
        <v>185234.41</v>
      </c>
      <c r="K58" s="96">
        <v>446773.29</v>
      </c>
    </row>
    <row r="59" spans="1:13" ht="15.6" x14ac:dyDescent="0.3">
      <c r="A59" s="26" t="s">
        <v>37</v>
      </c>
      <c r="B59" s="26" t="s">
        <v>115</v>
      </c>
      <c r="C59" s="26" t="s">
        <v>107</v>
      </c>
      <c r="D59" s="14">
        <v>742359.36</v>
      </c>
      <c r="E59" s="14">
        <v>55741.794999999998</v>
      </c>
      <c r="F59" s="14">
        <v>1016341</v>
      </c>
      <c r="G59" s="14">
        <v>389732.45</v>
      </c>
      <c r="H59" s="96">
        <v>665285.39999999991</v>
      </c>
      <c r="I59" s="96">
        <v>104074.61899999999</v>
      </c>
      <c r="J59" s="96">
        <v>966876.43</v>
      </c>
      <c r="K59" s="96">
        <v>-378267.1799999997</v>
      </c>
      <c r="M59" s="133"/>
    </row>
    <row r="60" spans="1:13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  <c r="M60" s="133"/>
    </row>
    <row r="61" spans="1:13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/>
      <c r="G61" s="14">
        <v>-285711.37</v>
      </c>
      <c r="H61" s="96">
        <v>0</v>
      </c>
      <c r="I61" s="96">
        <v>0</v>
      </c>
      <c r="J61" s="96">
        <v>0</v>
      </c>
      <c r="K61" s="96">
        <v>247418.72</v>
      </c>
      <c r="M61" s="133"/>
    </row>
    <row r="62" spans="1:13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>
        <v>0</v>
      </c>
      <c r="K62" s="96">
        <v>0</v>
      </c>
    </row>
    <row r="63" spans="1:13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7" t="s">
        <v>141</v>
      </c>
      <c r="B64" s="26" t="s">
        <v>115</v>
      </c>
      <c r="C64" s="27" t="s">
        <v>107</v>
      </c>
      <c r="D64" s="14"/>
      <c r="E64" s="14"/>
      <c r="F64" s="14"/>
      <c r="G64" s="14">
        <v>439063.23</v>
      </c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115</v>
      </c>
      <c r="C65" s="26" t="s">
        <v>107</v>
      </c>
      <c r="D65" s="14"/>
      <c r="E65" s="14"/>
      <c r="F65" s="14">
        <v>5000</v>
      </c>
      <c r="G65" s="193">
        <v>202054.22</v>
      </c>
      <c r="H65" s="96"/>
      <c r="I65" s="96"/>
      <c r="J65" s="96"/>
      <c r="K65" s="96"/>
    </row>
    <row r="66" spans="1:12" ht="21.6" thickBot="1" x14ac:dyDescent="0.45">
      <c r="A66" s="123" t="s">
        <v>117</v>
      </c>
      <c r="B66" s="121"/>
      <c r="C66" s="121"/>
      <c r="D66" s="174">
        <f>SUM(D57:D65)</f>
        <v>742359.36</v>
      </c>
      <c r="E66" s="174">
        <f t="shared" ref="E66:G66" si="5">SUM(E57:E65)</f>
        <v>65004.593000000001</v>
      </c>
      <c r="F66" s="174">
        <f t="shared" si="5"/>
        <v>1275711.27</v>
      </c>
      <c r="G66" s="174">
        <f t="shared" si="5"/>
        <v>813484.65999999992</v>
      </c>
      <c r="H66" s="174">
        <f>SUM(H57:H65)</f>
        <v>741661.2</v>
      </c>
      <c r="I66" s="174">
        <f t="shared" ref="I66:K66" si="6">SUM(I57:I65)</f>
        <v>107654.268</v>
      </c>
      <c r="J66" s="174">
        <f t="shared" si="6"/>
        <v>1152110.8400000001</v>
      </c>
      <c r="K66" s="174">
        <f t="shared" si="6"/>
        <v>315108.4500000003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5"/>
      <c r="E67" s="195"/>
      <c r="F67" s="195">
        <v>186683.69</v>
      </c>
      <c r="G67" s="195">
        <v>2332078.87</v>
      </c>
      <c r="H67" s="96">
        <v>33995.519999999997</v>
      </c>
      <c r="I67" s="96">
        <v>-1774.6869999999999</v>
      </c>
      <c r="J67" s="96">
        <v>20737.400000000001</v>
      </c>
      <c r="K67" s="96">
        <v>363496.36999999994</v>
      </c>
    </row>
    <row r="68" spans="1:12" ht="15.6" x14ac:dyDescent="0.3">
      <c r="A68" s="30" t="s">
        <v>40</v>
      </c>
      <c r="B68" s="26" t="s">
        <v>56</v>
      </c>
      <c r="C68" s="26" t="s">
        <v>103</v>
      </c>
      <c r="D68" s="193">
        <v>243532.08</v>
      </c>
      <c r="E68" s="193">
        <v>137425.87099999998</v>
      </c>
      <c r="F68" s="193">
        <v>1179500</v>
      </c>
      <c r="G68" s="193">
        <v>1319376.06</v>
      </c>
      <c r="H68" s="96">
        <v>228346.44</v>
      </c>
      <c r="I68" s="96">
        <v>15815.722</v>
      </c>
      <c r="J68" s="96">
        <v>308255.52</v>
      </c>
      <c r="K68" s="96">
        <v>3474396.62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3">
        <v>0</v>
      </c>
      <c r="E69" s="193">
        <v>2072.7130000000002</v>
      </c>
      <c r="F69" s="193"/>
      <c r="G69" s="193"/>
      <c r="H69" s="96">
        <v>0</v>
      </c>
      <c r="I69" s="96">
        <v>14144.009</v>
      </c>
      <c r="J69" s="96">
        <v>0</v>
      </c>
      <c r="K69" s="96">
        <v>0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3">
        <v>10360.92</v>
      </c>
      <c r="E70" s="193">
        <v>0</v>
      </c>
      <c r="F70" s="193"/>
      <c r="G70" s="193"/>
      <c r="H70" s="96">
        <v>15534.12</v>
      </c>
      <c r="I70" s="96">
        <v>0</v>
      </c>
      <c r="J70" s="96">
        <v>0</v>
      </c>
      <c r="K70" s="96">
        <v>87970.5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3">
        <v>0</v>
      </c>
      <c r="E71" s="193">
        <v>39500.925999999999</v>
      </c>
      <c r="F71" s="193"/>
      <c r="G71" s="193"/>
      <c r="H71" s="96">
        <v>0</v>
      </c>
      <c r="I71" s="96">
        <v>16810.555</v>
      </c>
      <c r="J71" s="96">
        <v>0</v>
      </c>
      <c r="K71" s="96">
        <v>0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3">
        <v>58920</v>
      </c>
      <c r="E72" s="193">
        <v>9279.601999999999</v>
      </c>
      <c r="F72" s="193">
        <v>151735.57</v>
      </c>
      <c r="G72" s="193">
        <v>664106.34</v>
      </c>
      <c r="H72" s="96">
        <v>216195.6</v>
      </c>
      <c r="I72" s="96">
        <v>7652.1730000000007</v>
      </c>
      <c r="J72" s="96">
        <v>527180.78</v>
      </c>
      <c r="K72" s="96">
        <v>1214417.1500000001</v>
      </c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3">
        <v>553902.12</v>
      </c>
      <c r="E73" s="193">
        <v>141566.12099999998</v>
      </c>
      <c r="F73" s="193">
        <v>5076486</v>
      </c>
      <c r="G73" s="193">
        <v>6611504.3700000001</v>
      </c>
      <c r="H73" s="96">
        <v>354873.48</v>
      </c>
      <c r="I73" s="96">
        <v>65949.077000000005</v>
      </c>
      <c r="J73" s="96">
        <v>1614036.456</v>
      </c>
      <c r="K73" s="96">
        <v>5197455.4399999985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3">
        <v>0</v>
      </c>
      <c r="E74" s="193">
        <v>936.76099999999997</v>
      </c>
      <c r="F74" s="193"/>
      <c r="G74" s="193"/>
      <c r="H74" s="96">
        <v>0</v>
      </c>
      <c r="I74" s="96">
        <v>19375.239000000001</v>
      </c>
      <c r="J74" s="96">
        <v>0</v>
      </c>
      <c r="K74" s="96">
        <v>0</v>
      </c>
    </row>
    <row r="75" spans="1:12" ht="21.6" thickBot="1" x14ac:dyDescent="0.3">
      <c r="A75" s="177" t="s">
        <v>44</v>
      </c>
      <c r="B75" s="178"/>
      <c r="C75" s="178"/>
      <c r="D75" s="179">
        <f>SUM(D67:D74)</f>
        <v>866715.12</v>
      </c>
      <c r="E75" s="179">
        <f t="shared" ref="E75:G75" si="7">SUM(E67:E74)</f>
        <v>330781.99399999995</v>
      </c>
      <c r="F75" s="179">
        <f t="shared" si="7"/>
        <v>6594405.2599999998</v>
      </c>
      <c r="G75" s="179">
        <f t="shared" si="7"/>
        <v>10927065.640000001</v>
      </c>
      <c r="H75" s="179">
        <f>SUM(H67:H74)</f>
        <v>848945.16</v>
      </c>
      <c r="I75" s="179">
        <f t="shared" ref="I75:K75" si="8">SUM(I67:I74)</f>
        <v>137972.08800000002</v>
      </c>
      <c r="J75" s="179">
        <f t="shared" si="8"/>
        <v>2470210.156</v>
      </c>
      <c r="K75" s="179">
        <f t="shared" si="8"/>
        <v>10337736.079999998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2735759.88</v>
      </c>
      <c r="E76" s="131">
        <f t="shared" ref="E76:G76" si="9">E75+E66+E56+E22+E8</f>
        <v>950020.12600000005</v>
      </c>
      <c r="F76" s="131">
        <f t="shared" si="9"/>
        <v>11075254.880000001</v>
      </c>
      <c r="G76" s="131">
        <f t="shared" si="9"/>
        <v>8594073.4800000004</v>
      </c>
      <c r="H76" s="131">
        <f>H75+H66+H56+H22+H8</f>
        <v>4198482.84</v>
      </c>
      <c r="I76" s="131">
        <f t="shared" ref="I76:K76" si="10">I75+I66+I56+I22+I8</f>
        <v>726765.21400000004</v>
      </c>
      <c r="J76" s="131">
        <f t="shared" si="10"/>
        <v>8699497.6760000009</v>
      </c>
      <c r="K76" s="131">
        <f t="shared" si="10"/>
        <v>34614968.894999996</v>
      </c>
    </row>
    <row r="78" spans="1:12" x14ac:dyDescent="0.3">
      <c r="D78" s="6"/>
      <c r="E78" s="6"/>
      <c r="F78" s="133"/>
      <c r="G78" s="6"/>
    </row>
    <row r="80" spans="1:12" x14ac:dyDescent="0.3">
      <c r="E80" s="9"/>
      <c r="F80" s="9"/>
    </row>
  </sheetData>
  <mergeCells count="2">
    <mergeCell ref="D1:G1"/>
    <mergeCell ref="H1:K1"/>
  </mergeCells>
  <conditionalFormatting sqref="A1">
    <cfRule type="duplicateValues" dxfId="151" priority="19"/>
    <cfRule type="duplicateValues" dxfId="150" priority="20"/>
  </conditionalFormatting>
  <conditionalFormatting sqref="A14">
    <cfRule type="duplicateValues" dxfId="149" priority="9"/>
    <cfRule type="duplicateValues" dxfId="148" priority="10"/>
  </conditionalFormatting>
  <conditionalFormatting sqref="A20">
    <cfRule type="duplicateValues" dxfId="147" priority="1"/>
    <cfRule type="duplicateValues" dxfId="146" priority="2"/>
  </conditionalFormatting>
  <conditionalFormatting sqref="A41">
    <cfRule type="duplicateValues" dxfId="145" priority="5"/>
    <cfRule type="duplicateValues" dxfId="144" priority="6"/>
  </conditionalFormatting>
  <conditionalFormatting sqref="A54">
    <cfRule type="duplicateValues" dxfId="143" priority="3"/>
    <cfRule type="duplicateValues" dxfId="142" priority="4"/>
  </conditionalFormatting>
  <conditionalFormatting sqref="A57">
    <cfRule type="duplicateValues" dxfId="141" priority="11"/>
    <cfRule type="duplicateValues" dxfId="140" priority="12"/>
  </conditionalFormatting>
  <conditionalFormatting sqref="A58:A60 A7 A23:A40 A62 A42:A53 A55">
    <cfRule type="duplicateValues" dxfId="139" priority="17"/>
    <cfRule type="duplicateValues" dxfId="138" priority="18"/>
  </conditionalFormatting>
  <conditionalFormatting sqref="A61">
    <cfRule type="duplicateValues" dxfId="137" priority="7"/>
    <cfRule type="duplicateValues" dxfId="136" priority="8"/>
  </conditionalFormatting>
  <conditionalFormatting sqref="A67:A74">
    <cfRule type="duplicateValues" dxfId="135" priority="15"/>
    <cfRule type="duplicateValues" dxfId="134" priority="16"/>
  </conditionalFormatting>
  <conditionalFormatting sqref="A75:A76 A2:A6 A8:A13 A15:A19 A56 A66 A21:A22">
    <cfRule type="duplicateValues" dxfId="133" priority="13"/>
    <cfRule type="duplicateValues" dxfId="132" priority="14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E8AC-DFB4-481F-BF31-12F2118B912A}">
  <sheetPr>
    <tabColor rgb="FFFFFF00"/>
  </sheetPr>
  <dimension ref="A1:M82"/>
  <sheetViews>
    <sheetView rightToLeft="1" workbookViewId="0">
      <pane ySplit="3" topLeftCell="A56" activePane="bottomLeft" state="frozen"/>
      <selection pane="bottomLeft" activeCell="L9" sqref="L9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3"/>
      <c r="E3" s="193"/>
      <c r="F3" s="247">
        <f>123925-F4</f>
        <v>98925</v>
      </c>
      <c r="G3" s="193"/>
      <c r="H3" s="96"/>
      <c r="I3" s="96"/>
      <c r="J3" s="96">
        <v>56025.340000000026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93"/>
      <c r="E4" s="193"/>
      <c r="F4" s="193">
        <v>25000</v>
      </c>
      <c r="G4" s="193"/>
      <c r="H4" s="96"/>
      <c r="I4" s="96"/>
      <c r="J4" s="96">
        <v>149399.24</v>
      </c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93"/>
      <c r="E5" s="193"/>
      <c r="F5" s="193"/>
      <c r="G5" s="193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4"/>
      <c r="E6" s="194"/>
      <c r="F6" s="194"/>
      <c r="G6" s="194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3"/>
      <c r="E7" s="193"/>
      <c r="F7" s="193"/>
      <c r="G7" s="193"/>
      <c r="H7" s="96"/>
      <c r="I7" s="96"/>
      <c r="J7" s="96">
        <v>0</v>
      </c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123925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205424.58000000002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>
        <v>0</v>
      </c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>
        <v>0</v>
      </c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98">
        <v>161700</v>
      </c>
      <c r="G11" s="14"/>
      <c r="H11" s="96"/>
      <c r="I11" s="96"/>
      <c r="J11" s="96">
        <v>79000</v>
      </c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>
        <v>0</v>
      </c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>
        <v>0</v>
      </c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>
        <v>0</v>
      </c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>
        <v>0</v>
      </c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>
        <v>0</v>
      </c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98">
        <v>613905.92999999993</v>
      </c>
      <c r="G17" s="14"/>
      <c r="H17" s="96"/>
      <c r="I17" s="96"/>
      <c r="J17" s="96">
        <v>1648505.3</v>
      </c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98">
        <v>248463.53000000003</v>
      </c>
      <c r="G18" s="14"/>
      <c r="H18" s="96"/>
      <c r="I18" s="96"/>
      <c r="J18" s="96">
        <v>318852.25</v>
      </c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>
        <v>0</v>
      </c>
      <c r="K19" s="96"/>
    </row>
    <row r="20" spans="1:11" ht="15.6" x14ac:dyDescent="0.3">
      <c r="A20" s="28" t="s">
        <v>140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>
        <v>0</v>
      </c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1024069.46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2046357.55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>
        <v>0</v>
      </c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>
        <v>0</v>
      </c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>
        <v>0</v>
      </c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>
        <v>0</v>
      </c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>
        <v>0</v>
      </c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>
        <v>0</v>
      </c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>
        <v>0</v>
      </c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>
        <v>0</v>
      </c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98">
        <v>130880.8</v>
      </c>
      <c r="G31" s="14"/>
      <c r="H31" s="96"/>
      <c r="I31" s="96"/>
      <c r="J31" s="96">
        <v>0</v>
      </c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>
        <v>0</v>
      </c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>
        <v>0</v>
      </c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>
        <v>0</v>
      </c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>
        <v>0</v>
      </c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>
        <v>0</v>
      </c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>
        <v>0</v>
      </c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>
        <v>0</v>
      </c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>
        <v>0</v>
      </c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>
        <v>0</v>
      </c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>
        <v>0</v>
      </c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>
        <v>0</v>
      </c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>
        <v>0</v>
      </c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>
        <v>0</v>
      </c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>
        <v>0</v>
      </c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>
        <v>0</v>
      </c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>
        <v>0</v>
      </c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>
        <v>0</v>
      </c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>
        <v>0</v>
      </c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>
        <v>0</v>
      </c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>
        <v>0</v>
      </c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>
        <v>0</v>
      </c>
      <c r="K53" s="96"/>
    </row>
    <row r="54" spans="1:13" ht="15.6" x14ac:dyDescent="0.3">
      <c r="A54" s="26" t="s">
        <v>139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>
        <v>0</v>
      </c>
      <c r="K55" s="96"/>
    </row>
    <row r="56" spans="1:13" ht="21.6" thickBot="1" x14ac:dyDescent="0.45">
      <c r="A56" s="123" t="s">
        <v>116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130880.8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>
        <v>0</v>
      </c>
      <c r="K57" s="96"/>
    </row>
    <row r="58" spans="1:13" ht="15.6" x14ac:dyDescent="0.3">
      <c r="A58" s="26" t="s">
        <v>84</v>
      </c>
      <c r="B58" s="26" t="s">
        <v>115</v>
      </c>
      <c r="C58" s="26" t="s">
        <v>107</v>
      </c>
      <c r="D58" s="14"/>
      <c r="E58" s="14"/>
      <c r="F58" s="198">
        <v>164023.62</v>
      </c>
      <c r="G58" s="14"/>
      <c r="H58" s="96"/>
      <c r="I58" s="96"/>
      <c r="J58" s="96">
        <v>0</v>
      </c>
      <c r="K58" s="96"/>
    </row>
    <row r="59" spans="1:13" ht="15.6" x14ac:dyDescent="0.3">
      <c r="A59" s="26" t="s">
        <v>37</v>
      </c>
      <c r="B59" s="26" t="s">
        <v>115</v>
      </c>
      <c r="C59" s="26" t="s">
        <v>107</v>
      </c>
      <c r="D59" s="14"/>
      <c r="E59" s="14"/>
      <c r="F59" s="14"/>
      <c r="G59" s="14"/>
      <c r="H59" s="96"/>
      <c r="I59" s="96"/>
      <c r="J59" s="96">
        <v>30000</v>
      </c>
      <c r="K59" s="96"/>
      <c r="M59" s="133"/>
    </row>
    <row r="60" spans="1:13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>
        <v>0</v>
      </c>
      <c r="K60" s="96"/>
      <c r="M60" s="133"/>
    </row>
    <row r="61" spans="1:13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/>
      <c r="G61" s="14"/>
      <c r="H61" s="96"/>
      <c r="I61" s="96"/>
      <c r="J61" s="96">
        <v>559461.71</v>
      </c>
      <c r="K61" s="96"/>
      <c r="M61" s="133"/>
    </row>
    <row r="62" spans="1:13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>
        <v>0</v>
      </c>
      <c r="K62" s="96"/>
    </row>
    <row r="63" spans="1:13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7" t="s">
        <v>141</v>
      </c>
      <c r="B64" s="26" t="s">
        <v>115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115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117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164023.62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589461.71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/>
      <c r="I67" s="96"/>
      <c r="J67" s="96">
        <v>0</v>
      </c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>
        <v>12055.51</v>
      </c>
      <c r="G68" s="14"/>
      <c r="H68" s="96"/>
      <c r="I68" s="96"/>
      <c r="J68" s="96">
        <v>0</v>
      </c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>
        <v>0</v>
      </c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>
        <v>0</v>
      </c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98">
        <v>26000</v>
      </c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>
        <v>0</v>
      </c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38055.51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0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1480954.39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2841243.84</v>
      </c>
      <c r="K76" s="131">
        <f t="shared" si="11"/>
        <v>0</v>
      </c>
    </row>
    <row r="78" spans="1:12" x14ac:dyDescent="0.3">
      <c r="F78" s="6"/>
    </row>
    <row r="80" spans="1:12" x14ac:dyDescent="0.3">
      <c r="F80" s="133"/>
    </row>
    <row r="81" spans="6:6" x14ac:dyDescent="0.3">
      <c r="F81" s="133"/>
    </row>
    <row r="82" spans="6:6" x14ac:dyDescent="0.3">
      <c r="F82" s="133"/>
    </row>
  </sheetData>
  <mergeCells count="2">
    <mergeCell ref="D1:G1"/>
    <mergeCell ref="H1:K1"/>
  </mergeCells>
  <conditionalFormatting sqref="A1">
    <cfRule type="duplicateValues" dxfId="131" priority="19"/>
    <cfRule type="duplicateValues" dxfId="130" priority="20"/>
  </conditionalFormatting>
  <conditionalFormatting sqref="A14">
    <cfRule type="duplicateValues" dxfId="129" priority="9"/>
    <cfRule type="duplicateValues" dxfId="128" priority="10"/>
  </conditionalFormatting>
  <conditionalFormatting sqref="A20">
    <cfRule type="duplicateValues" dxfId="127" priority="1"/>
    <cfRule type="duplicateValues" dxfId="126" priority="2"/>
  </conditionalFormatting>
  <conditionalFormatting sqref="A41">
    <cfRule type="duplicateValues" dxfId="125" priority="5"/>
    <cfRule type="duplicateValues" dxfId="124" priority="6"/>
  </conditionalFormatting>
  <conditionalFormatting sqref="A54">
    <cfRule type="duplicateValues" dxfId="123" priority="3"/>
    <cfRule type="duplicateValues" dxfId="122" priority="4"/>
  </conditionalFormatting>
  <conditionalFormatting sqref="A57">
    <cfRule type="duplicateValues" dxfId="121" priority="11"/>
    <cfRule type="duplicateValues" dxfId="120" priority="12"/>
  </conditionalFormatting>
  <conditionalFormatting sqref="A58:A60 A7 A23:A40 A62 A42:A53 A55">
    <cfRule type="duplicateValues" dxfId="119" priority="17"/>
    <cfRule type="duplicateValues" dxfId="118" priority="18"/>
  </conditionalFormatting>
  <conditionalFormatting sqref="A61">
    <cfRule type="duplicateValues" dxfId="117" priority="7"/>
    <cfRule type="duplicateValues" dxfId="116" priority="8"/>
  </conditionalFormatting>
  <conditionalFormatting sqref="A67:A74">
    <cfRule type="duplicateValues" dxfId="115" priority="15"/>
    <cfRule type="duplicateValues" dxfId="114" priority="16"/>
  </conditionalFormatting>
  <conditionalFormatting sqref="A75:A76 A2:A6 A8:A13 A15:A19 A56 A66 A21:A22">
    <cfRule type="duplicateValues" dxfId="113" priority="13"/>
    <cfRule type="duplicateValues" dxfId="112" priority="14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42E4-EDC3-4912-B68F-202C63AD69E3}">
  <sheetPr>
    <tabColor rgb="FFFFFF00"/>
  </sheetPr>
  <dimension ref="A1:M79"/>
  <sheetViews>
    <sheetView rightToLeft="1" zoomScaleNormal="100" workbookViewId="0">
      <pane ySplit="3" topLeftCell="A4" activePane="bottomLeft" state="frozen"/>
      <selection pane="bottomLeft" activeCell="F78" sqref="F78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>
        <v>5000</v>
      </c>
      <c r="G3" s="14"/>
      <c r="H3" s="96">
        <v>0</v>
      </c>
      <c r="I3" s="96"/>
      <c r="J3" s="96">
        <v>6350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>
        <v>0</v>
      </c>
      <c r="I4" s="96"/>
      <c r="J4" s="96">
        <v>0</v>
      </c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>
        <v>0</v>
      </c>
      <c r="I7" s="96"/>
      <c r="J7" s="96">
        <v>0</v>
      </c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5000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6350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>
        <v>0</v>
      </c>
      <c r="I9" s="96"/>
      <c r="J9" s="96">
        <v>0</v>
      </c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>
        <v>0</v>
      </c>
      <c r="I10" s="96"/>
      <c r="J10" s="96">
        <v>0</v>
      </c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>
        <v>0</v>
      </c>
      <c r="I11" s="96"/>
      <c r="J11" s="96">
        <v>0</v>
      </c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>
        <v>0</v>
      </c>
      <c r="I12" s="96"/>
      <c r="J12" s="96">
        <v>0</v>
      </c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>
        <v>0</v>
      </c>
      <c r="I13" s="96"/>
      <c r="J13" s="96">
        <v>0</v>
      </c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>
        <v>0</v>
      </c>
      <c r="I14" s="96"/>
      <c r="J14" s="96">
        <v>0</v>
      </c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v>0</v>
      </c>
      <c r="I15" s="96"/>
      <c r="J15" s="96">
        <v>0</v>
      </c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>
        <v>0</v>
      </c>
      <c r="I16" s="96"/>
      <c r="J16" s="96">
        <v>0</v>
      </c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>
        <v>137626</v>
      </c>
      <c r="G17" s="14"/>
      <c r="H17" s="96">
        <v>0</v>
      </c>
      <c r="I17" s="96"/>
      <c r="J17" s="96">
        <v>70500</v>
      </c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>
        <v>35750</v>
      </c>
      <c r="G18" s="14"/>
      <c r="H18" s="96">
        <v>0</v>
      </c>
      <c r="I18" s="96"/>
      <c r="J18" s="96">
        <v>11000</v>
      </c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>
        <v>0</v>
      </c>
      <c r="I19" s="96"/>
      <c r="J19" s="96">
        <v>0</v>
      </c>
      <c r="K19" s="96"/>
    </row>
    <row r="20" spans="1:11" ht="15.6" x14ac:dyDescent="0.3">
      <c r="A20" s="28" t="s">
        <v>140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>
        <v>0</v>
      </c>
      <c r="I21" s="96"/>
      <c r="J21" s="96">
        <v>0</v>
      </c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173376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81500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>
        <v>0</v>
      </c>
      <c r="I23" s="96"/>
      <c r="J23" s="96">
        <v>0</v>
      </c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/>
      <c r="J24" s="96">
        <v>0</v>
      </c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>
        <v>0</v>
      </c>
      <c r="I25" s="96"/>
      <c r="J25" s="96">
        <v>0</v>
      </c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/>
      <c r="J26" s="96">
        <v>0</v>
      </c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>
        <v>0</v>
      </c>
      <c r="I27" s="96"/>
      <c r="J27" s="96">
        <v>0</v>
      </c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>
        <v>0</v>
      </c>
      <c r="I28" s="96"/>
      <c r="J28" s="96">
        <v>0</v>
      </c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>
        <v>0</v>
      </c>
      <c r="I29" s="96"/>
      <c r="J29" s="96">
        <v>0</v>
      </c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>
        <v>0</v>
      </c>
      <c r="I30" s="96"/>
      <c r="J30" s="96">
        <v>0</v>
      </c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>
        <v>1000</v>
      </c>
      <c r="G31" s="14"/>
      <c r="H31" s="96">
        <v>2400</v>
      </c>
      <c r="I31" s="96"/>
      <c r="J31" s="96">
        <v>1000</v>
      </c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/>
      <c r="J32" s="96">
        <v>0</v>
      </c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>
        <v>0</v>
      </c>
      <c r="I33" s="96"/>
      <c r="J33" s="96">
        <v>0</v>
      </c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/>
      <c r="J34" s="96">
        <v>0</v>
      </c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/>
      <c r="J35" s="96">
        <v>0</v>
      </c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>
        <v>0</v>
      </c>
      <c r="I36" s="96"/>
      <c r="J36" s="96">
        <v>0</v>
      </c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/>
      <c r="J37" s="96">
        <v>0</v>
      </c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/>
      <c r="J38" s="96">
        <v>0</v>
      </c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/>
      <c r="J39" s="96">
        <v>0</v>
      </c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>
        <v>0</v>
      </c>
      <c r="I40" s="96"/>
      <c r="J40" s="96">
        <v>0</v>
      </c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0</v>
      </c>
      <c r="I42" s="96"/>
      <c r="J42" s="96">
        <v>0</v>
      </c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>
        <v>0</v>
      </c>
      <c r="I43" s="96"/>
      <c r="J43" s="96">
        <v>0</v>
      </c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>
        <v>0</v>
      </c>
      <c r="I44" s="96"/>
      <c r="J44" s="96">
        <v>0</v>
      </c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>
        <v>0</v>
      </c>
      <c r="I45" s="96"/>
      <c r="J45" s="96">
        <v>0</v>
      </c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/>
      <c r="J46" s="96">
        <v>0</v>
      </c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>
        <v>0</v>
      </c>
      <c r="I47" s="96"/>
      <c r="J47" s="96">
        <v>0</v>
      </c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>
        <v>0</v>
      </c>
      <c r="I48" s="96"/>
      <c r="J48" s="96">
        <v>0</v>
      </c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>
        <v>0</v>
      </c>
      <c r="I49" s="96"/>
      <c r="J49" s="96">
        <v>0</v>
      </c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>
        <v>0</v>
      </c>
      <c r="I50" s="96"/>
      <c r="J50" s="96">
        <v>0</v>
      </c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>
        <v>0</v>
      </c>
      <c r="I51" s="96"/>
      <c r="J51" s="96">
        <v>0</v>
      </c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>
        <v>0</v>
      </c>
      <c r="I52" s="96"/>
      <c r="J52" s="96">
        <v>0</v>
      </c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>
        <v>0</v>
      </c>
      <c r="I53" s="96"/>
      <c r="J53" s="96">
        <v>0</v>
      </c>
      <c r="K53" s="96"/>
    </row>
    <row r="54" spans="1:13" ht="15.6" x14ac:dyDescent="0.3">
      <c r="A54" s="26" t="s">
        <v>139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>
        <v>0</v>
      </c>
      <c r="I55" s="96"/>
      <c r="J55" s="96">
        <v>0</v>
      </c>
      <c r="K55" s="96"/>
    </row>
    <row r="56" spans="1:13" ht="21.6" thickBot="1" x14ac:dyDescent="0.45">
      <c r="A56" s="123" t="s">
        <v>116</v>
      </c>
      <c r="B56" s="121"/>
      <c r="C56" s="121"/>
      <c r="D56" s="174">
        <f t="shared" ref="D56:K56" si="4">SUM(D23:D55)</f>
        <v>0</v>
      </c>
      <c r="E56" s="174">
        <f t="shared" si="4"/>
        <v>0</v>
      </c>
      <c r="F56" s="174">
        <f t="shared" si="4"/>
        <v>1000</v>
      </c>
      <c r="G56" s="174">
        <f t="shared" si="4"/>
        <v>0</v>
      </c>
      <c r="H56" s="174">
        <f t="shared" si="4"/>
        <v>2400</v>
      </c>
      <c r="I56" s="174">
        <f t="shared" si="4"/>
        <v>0</v>
      </c>
      <c r="J56" s="174">
        <f t="shared" si="4"/>
        <v>1000</v>
      </c>
      <c r="K56" s="174">
        <f t="shared" si="4"/>
        <v>0</v>
      </c>
    </row>
    <row r="57" spans="1:13" ht="15.6" x14ac:dyDescent="0.3">
      <c r="A57" s="30" t="s">
        <v>33</v>
      </c>
      <c r="B57" s="26" t="s">
        <v>115</v>
      </c>
      <c r="C57" s="26" t="s">
        <v>107</v>
      </c>
      <c r="D57" s="14"/>
      <c r="E57" s="14"/>
      <c r="F57" s="14"/>
      <c r="G57" s="14"/>
      <c r="H57" s="96">
        <v>0</v>
      </c>
      <c r="I57" s="96"/>
      <c r="J57" s="96">
        <v>0</v>
      </c>
      <c r="K57" s="96"/>
    </row>
    <row r="58" spans="1:13" ht="15.6" x14ac:dyDescent="0.3">
      <c r="A58" s="26" t="s">
        <v>84</v>
      </c>
      <c r="B58" s="26" t="s">
        <v>115</v>
      </c>
      <c r="C58" s="26" t="s">
        <v>107</v>
      </c>
      <c r="D58" s="14"/>
      <c r="E58" s="14"/>
      <c r="F58" s="14"/>
      <c r="G58" s="14"/>
      <c r="H58" s="96">
        <v>0</v>
      </c>
      <c r="I58" s="96"/>
      <c r="J58" s="96">
        <v>0</v>
      </c>
      <c r="K58" s="96"/>
    </row>
    <row r="59" spans="1:13" ht="15.6" x14ac:dyDescent="0.3">
      <c r="A59" s="26" t="s">
        <v>37</v>
      </c>
      <c r="B59" s="26" t="s">
        <v>115</v>
      </c>
      <c r="C59" s="26" t="s">
        <v>107</v>
      </c>
      <c r="D59" s="14"/>
      <c r="E59" s="14"/>
      <c r="F59" s="14">
        <v>2000</v>
      </c>
      <c r="G59" s="14"/>
      <c r="H59" s="96">
        <v>0</v>
      </c>
      <c r="I59" s="96"/>
      <c r="J59" s="96">
        <v>1250</v>
      </c>
      <c r="K59" s="96"/>
      <c r="M59" s="133"/>
    </row>
    <row r="60" spans="1:13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>
        <v>0</v>
      </c>
      <c r="I60" s="96"/>
      <c r="J60" s="96">
        <v>0</v>
      </c>
      <c r="K60" s="96"/>
      <c r="M60" s="133"/>
    </row>
    <row r="61" spans="1:13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/>
      <c r="G61" s="14"/>
      <c r="H61" s="96">
        <v>0</v>
      </c>
      <c r="I61" s="96"/>
      <c r="J61" s="96">
        <v>0</v>
      </c>
      <c r="K61" s="96"/>
      <c r="M61" s="133"/>
    </row>
    <row r="62" spans="1:13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>
        <v>0</v>
      </c>
      <c r="K62" s="96"/>
    </row>
    <row r="63" spans="1:13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7" t="s">
        <v>141</v>
      </c>
      <c r="B64" s="26" t="s">
        <v>115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115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117</v>
      </c>
      <c r="B66" s="121"/>
      <c r="C66" s="121"/>
      <c r="D66" s="174">
        <f>SUM(D57:D65)</f>
        <v>0</v>
      </c>
      <c r="E66" s="174">
        <f t="shared" ref="E66:G66" si="5">SUM(E57:E65)</f>
        <v>0</v>
      </c>
      <c r="F66" s="174">
        <f t="shared" si="5"/>
        <v>2000</v>
      </c>
      <c r="G66" s="174">
        <f t="shared" si="5"/>
        <v>0</v>
      </c>
      <c r="H66" s="174">
        <f>SUM(H57:H65)</f>
        <v>0</v>
      </c>
      <c r="I66" s="174">
        <f t="shared" ref="I66:K66" si="6">SUM(I57:I65)</f>
        <v>0</v>
      </c>
      <c r="J66" s="174">
        <f t="shared" si="6"/>
        <v>1250</v>
      </c>
      <c r="K66" s="174">
        <f t="shared" si="6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>
        <v>0</v>
      </c>
      <c r="I67" s="96"/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/>
      <c r="G68" s="14"/>
      <c r="H68" s="96">
        <v>0</v>
      </c>
      <c r="I68" s="96"/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>
        <v>0</v>
      </c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>
        <v>0</v>
      </c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>
        <v>24947</v>
      </c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>
        <v>0</v>
      </c>
      <c r="I74" s="96"/>
      <c r="J74" s="96"/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7">SUM(E67:E74)</f>
        <v>0</v>
      </c>
      <c r="F75" s="179">
        <f t="shared" si="7"/>
        <v>24947</v>
      </c>
      <c r="G75" s="179">
        <f t="shared" si="7"/>
        <v>0</v>
      </c>
      <c r="H75" s="179">
        <f>SUM(H67:H74)</f>
        <v>0</v>
      </c>
      <c r="I75" s="179">
        <f t="shared" ref="I75:K75" si="8">SUM(I67:I74)</f>
        <v>0</v>
      </c>
      <c r="J75" s="179">
        <f t="shared" si="8"/>
        <v>0</v>
      </c>
      <c r="K75" s="179">
        <f t="shared" si="8"/>
        <v>0</v>
      </c>
    </row>
    <row r="76" spans="1:12" ht="21.6" thickBot="1" x14ac:dyDescent="0.3">
      <c r="A76" s="122" t="s">
        <v>45</v>
      </c>
      <c r="B76" s="121"/>
      <c r="C76" s="121"/>
      <c r="D76" s="131">
        <f t="shared" ref="D76:K76" si="9">D75+D66+D56+D22+D8</f>
        <v>0</v>
      </c>
      <c r="E76" s="131">
        <f t="shared" si="9"/>
        <v>0</v>
      </c>
      <c r="F76" s="131">
        <f t="shared" si="9"/>
        <v>206323</v>
      </c>
      <c r="G76" s="131">
        <f t="shared" si="9"/>
        <v>0</v>
      </c>
      <c r="H76" s="131">
        <f t="shared" si="9"/>
        <v>2400</v>
      </c>
      <c r="I76" s="131">
        <f t="shared" si="9"/>
        <v>0</v>
      </c>
      <c r="J76" s="131">
        <f t="shared" si="9"/>
        <v>90100</v>
      </c>
      <c r="K76" s="131">
        <f t="shared" si="9"/>
        <v>0</v>
      </c>
    </row>
    <row r="78" spans="1:12" x14ac:dyDescent="0.3">
      <c r="F78" s="133"/>
    </row>
    <row r="79" spans="1:12" x14ac:dyDescent="0.3">
      <c r="F79" s="6"/>
    </row>
  </sheetData>
  <mergeCells count="2">
    <mergeCell ref="D1:G1"/>
    <mergeCell ref="H1:K1"/>
  </mergeCells>
  <conditionalFormatting sqref="A1">
    <cfRule type="duplicateValues" dxfId="111" priority="19"/>
    <cfRule type="duplicateValues" dxfId="110" priority="20"/>
  </conditionalFormatting>
  <conditionalFormatting sqref="A14">
    <cfRule type="duplicateValues" dxfId="109" priority="9"/>
    <cfRule type="duplicateValues" dxfId="108" priority="10"/>
  </conditionalFormatting>
  <conditionalFormatting sqref="A20">
    <cfRule type="duplicateValues" dxfId="107" priority="1"/>
    <cfRule type="duplicateValues" dxfId="106" priority="2"/>
  </conditionalFormatting>
  <conditionalFormatting sqref="A41">
    <cfRule type="duplicateValues" dxfId="105" priority="5"/>
    <cfRule type="duplicateValues" dxfId="104" priority="6"/>
  </conditionalFormatting>
  <conditionalFormatting sqref="A54">
    <cfRule type="duplicateValues" dxfId="103" priority="3"/>
    <cfRule type="duplicateValues" dxfId="102" priority="4"/>
  </conditionalFormatting>
  <conditionalFormatting sqref="A57">
    <cfRule type="duplicateValues" dxfId="101" priority="11"/>
    <cfRule type="duplicateValues" dxfId="100" priority="12"/>
  </conditionalFormatting>
  <conditionalFormatting sqref="A58:A60 A7 A23:A40 A62 A42:A53 A55">
    <cfRule type="duplicateValues" dxfId="99" priority="17"/>
    <cfRule type="duplicateValues" dxfId="98" priority="18"/>
  </conditionalFormatting>
  <conditionalFormatting sqref="A61">
    <cfRule type="duplicateValues" dxfId="97" priority="7"/>
    <cfRule type="duplicateValues" dxfId="96" priority="8"/>
  </conditionalFormatting>
  <conditionalFormatting sqref="A67:A74">
    <cfRule type="duplicateValues" dxfId="95" priority="15"/>
    <cfRule type="duplicateValues" dxfId="94" priority="16"/>
  </conditionalFormatting>
  <conditionalFormatting sqref="A75:A76 A2:A6 A8:A13 A15:A19 A56 A66 A21:A22">
    <cfRule type="duplicateValues" dxfId="93" priority="13"/>
    <cfRule type="duplicateValues" dxfId="92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526D-BE69-4CEF-9B1E-B00AE498E64D}">
  <sheetPr>
    <tabColor rgb="FFFFFF00"/>
  </sheetPr>
  <dimension ref="A1:M78"/>
  <sheetViews>
    <sheetView rightToLeft="1" workbookViewId="0">
      <selection activeCell="I83" sqref="I83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>
        <v>3070</v>
      </c>
      <c r="F3" s="14"/>
      <c r="G3" s="14"/>
      <c r="H3" s="96"/>
      <c r="I3" s="96">
        <v>630</v>
      </c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3070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630</v>
      </c>
      <c r="J8" s="174">
        <f t="shared" si="1"/>
        <v>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140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0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>
        <v>720</v>
      </c>
      <c r="F23" s="18"/>
      <c r="G23" s="18"/>
      <c r="H23" s="96"/>
      <c r="I23" s="96"/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>
        <v>756</v>
      </c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>
        <v>-198</v>
      </c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139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/>
      <c r="K55" s="96"/>
    </row>
    <row r="56" spans="1:13" ht="21.6" thickBot="1" x14ac:dyDescent="0.45">
      <c r="A56" s="123" t="s">
        <v>116</v>
      </c>
      <c r="B56" s="121"/>
      <c r="C56" s="121"/>
      <c r="D56" s="174">
        <f>SUM(D23:D55)</f>
        <v>0</v>
      </c>
      <c r="E56" s="174">
        <f t="shared" ref="E56:G56" si="4">SUM(E23:E55)</f>
        <v>1476</v>
      </c>
      <c r="F56" s="174">
        <f t="shared" si="4"/>
        <v>0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-198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115</v>
      </c>
      <c r="C58" s="26" t="s">
        <v>107</v>
      </c>
      <c r="D58" s="14"/>
      <c r="E58" s="14">
        <v>198</v>
      </c>
      <c r="F58" s="14"/>
      <c r="G58" s="14"/>
      <c r="H58" s="96"/>
      <c r="I58" s="96"/>
      <c r="J58" s="96"/>
      <c r="K58" s="96"/>
    </row>
    <row r="59" spans="1:13" ht="15.6" x14ac:dyDescent="0.3">
      <c r="A59" s="26" t="s">
        <v>37</v>
      </c>
      <c r="B59" s="26" t="s">
        <v>115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  <c r="M61" s="133"/>
    </row>
    <row r="62" spans="1:13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7" t="s">
        <v>141</v>
      </c>
      <c r="B64" s="26" t="s">
        <v>115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115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117</v>
      </c>
      <c r="B66" s="121"/>
      <c r="C66" s="121"/>
      <c r="D66" s="174">
        <f>SUM(D57:D65)</f>
        <v>0</v>
      </c>
      <c r="E66" s="174">
        <f t="shared" ref="E66:G66" si="6">SUM(E57:E65)</f>
        <v>198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>
        <v>2250</v>
      </c>
      <c r="F67" s="18"/>
      <c r="G67" s="18"/>
      <c r="H67" s="96"/>
      <c r="I67" s="96">
        <v>144</v>
      </c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>
        <v>6591</v>
      </c>
      <c r="F68" s="14"/>
      <c r="G68" s="14"/>
      <c r="H68" s="96"/>
      <c r="I68" s="96">
        <v>882</v>
      </c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>
        <v>360</v>
      </c>
      <c r="F73" s="14"/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9201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1026</v>
      </c>
      <c r="J75" s="179">
        <f t="shared" si="9"/>
        <v>0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13945</v>
      </c>
      <c r="F76" s="131">
        <f t="shared" si="10"/>
        <v>0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1458</v>
      </c>
      <c r="J76" s="131">
        <f t="shared" si="11"/>
        <v>0</v>
      </c>
      <c r="K76" s="131">
        <f t="shared" si="11"/>
        <v>0</v>
      </c>
    </row>
    <row r="78" spans="1:12" x14ac:dyDescent="0.3">
      <c r="E78" s="6"/>
    </row>
  </sheetData>
  <mergeCells count="2">
    <mergeCell ref="D1:G1"/>
    <mergeCell ref="H1:K1"/>
  </mergeCells>
  <conditionalFormatting sqref="A1">
    <cfRule type="duplicateValues" dxfId="91" priority="19"/>
    <cfRule type="duplicateValues" dxfId="90" priority="20"/>
  </conditionalFormatting>
  <conditionalFormatting sqref="A14">
    <cfRule type="duplicateValues" dxfId="89" priority="9"/>
    <cfRule type="duplicateValues" dxfId="88" priority="10"/>
  </conditionalFormatting>
  <conditionalFormatting sqref="A20">
    <cfRule type="duplicateValues" dxfId="87" priority="1"/>
    <cfRule type="duplicateValues" dxfId="86" priority="2"/>
  </conditionalFormatting>
  <conditionalFormatting sqref="A41">
    <cfRule type="duplicateValues" dxfId="85" priority="5"/>
    <cfRule type="duplicateValues" dxfId="84" priority="6"/>
  </conditionalFormatting>
  <conditionalFormatting sqref="A54">
    <cfRule type="duplicateValues" dxfId="83" priority="3"/>
    <cfRule type="duplicateValues" dxfId="82" priority="4"/>
  </conditionalFormatting>
  <conditionalFormatting sqref="A57">
    <cfRule type="duplicateValues" dxfId="81" priority="11"/>
    <cfRule type="duplicateValues" dxfId="80" priority="12"/>
  </conditionalFormatting>
  <conditionalFormatting sqref="A58:A60 A7 A23:A40 A62 A42:A53 A55">
    <cfRule type="duplicateValues" dxfId="79" priority="17"/>
    <cfRule type="duplicateValues" dxfId="78" priority="18"/>
  </conditionalFormatting>
  <conditionalFormatting sqref="A61">
    <cfRule type="duplicateValues" dxfId="77" priority="7"/>
    <cfRule type="duplicateValues" dxfId="76" priority="8"/>
  </conditionalFormatting>
  <conditionalFormatting sqref="A67:A74">
    <cfRule type="duplicateValues" dxfId="75" priority="15"/>
    <cfRule type="duplicateValues" dxfId="74" priority="16"/>
  </conditionalFormatting>
  <conditionalFormatting sqref="A75:A76 A2:A6 A8:A13 A15:A19 A56 A66 A21:A22">
    <cfRule type="duplicateValues" dxfId="73" priority="13"/>
    <cfRule type="duplicateValues" dxfId="72" priority="14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A15B-8C4D-479C-BAB3-74D7E7AAE8D7}">
  <sheetPr>
    <tabColor rgb="FFFFFF00"/>
  </sheetPr>
  <dimension ref="A1:M82"/>
  <sheetViews>
    <sheetView rightToLeft="1" workbookViewId="0">
      <selection activeCell="E78" sqref="E78:L78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7.0976562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3"/>
      <c r="E3" s="193"/>
      <c r="F3" s="193">
        <f>8213727.39-F4-41008</f>
        <v>7559574.2399999993</v>
      </c>
      <c r="G3" s="193"/>
      <c r="H3" s="96"/>
      <c r="I3" s="96"/>
      <c r="J3" s="96">
        <f>6386778.2-J67-J4</f>
        <v>5049389.8900000006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93"/>
      <c r="E4" s="193"/>
      <c r="F4" s="193">
        <v>613145.15</v>
      </c>
      <c r="G4" s="193"/>
      <c r="H4" s="96"/>
      <c r="I4" s="96"/>
      <c r="J4" s="96">
        <v>176895.51</v>
      </c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93"/>
      <c r="E5" s="193"/>
      <c r="F5" s="193"/>
      <c r="G5" s="193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4"/>
      <c r="E6" s="194"/>
      <c r="F6" s="194"/>
      <c r="G6" s="194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3"/>
      <c r="E7" s="193"/>
      <c r="F7" s="193"/>
      <c r="G7" s="193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8172719.3899999997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5226285.4000000004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>
        <v>734983.78</v>
      </c>
      <c r="G14" s="14"/>
      <c r="H14" s="96"/>
      <c r="I14" s="96"/>
      <c r="J14" s="96">
        <v>816533.31</v>
      </c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>
        <v>1529446.43</v>
      </c>
      <c r="G17" s="14"/>
      <c r="H17" s="96"/>
      <c r="I17" s="96"/>
      <c r="J17" s="96">
        <v>2326940.7799999998</v>
      </c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>
        <v>525641.31000000006</v>
      </c>
      <c r="G18" s="14"/>
      <c r="H18" s="96"/>
      <c r="I18" s="96"/>
      <c r="J18" s="96">
        <v>2647103.96</v>
      </c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140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2790071.52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5790578.0499999998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>
        <v>782311.24</v>
      </c>
      <c r="G31" s="14"/>
      <c r="H31" s="96"/>
      <c r="I31" s="96"/>
      <c r="J31" s="96">
        <v>514505.67</v>
      </c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139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/>
      <c r="K55" s="96"/>
    </row>
    <row r="56" spans="1:13" ht="21.6" thickBot="1" x14ac:dyDescent="0.45">
      <c r="A56" s="123" t="s">
        <v>116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782311.24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514505.67</v>
      </c>
      <c r="K56" s="174">
        <f t="shared" si="5"/>
        <v>0</v>
      </c>
    </row>
    <row r="57" spans="1:13" ht="15.6" x14ac:dyDescent="0.3">
      <c r="A57" s="30" t="s">
        <v>33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115</v>
      </c>
      <c r="C58" s="26" t="s">
        <v>107</v>
      </c>
      <c r="D58" s="14"/>
      <c r="E58" s="14"/>
      <c r="F58" s="14">
        <v>264118.71000000002</v>
      </c>
      <c r="G58" s="14"/>
      <c r="H58" s="96"/>
      <c r="I58" s="96"/>
      <c r="J58" s="96">
        <v>23734.95</v>
      </c>
      <c r="K58" s="96"/>
    </row>
    <row r="59" spans="1:13" ht="15.6" x14ac:dyDescent="0.3">
      <c r="A59" s="26" t="s">
        <v>37</v>
      </c>
      <c r="B59" s="26" t="s">
        <v>115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>
        <v>1186529.04</v>
      </c>
      <c r="G61" s="14"/>
      <c r="H61" s="96"/>
      <c r="I61" s="96"/>
      <c r="J61" s="96">
        <v>2473949.63</v>
      </c>
      <c r="K61" s="96"/>
      <c r="M61" s="133"/>
    </row>
    <row r="62" spans="1:13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7" t="s">
        <v>141</v>
      </c>
      <c r="B64" s="26" t="s">
        <v>115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115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117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1450647.75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2497684.58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>
        <f>666670.28+41008</f>
        <v>707678.28</v>
      </c>
      <c r="G67" s="18"/>
      <c r="H67" s="96"/>
      <c r="I67" s="96"/>
      <c r="J67" s="96">
        <v>1160492.8</v>
      </c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>
        <v>42140.2</v>
      </c>
      <c r="G68" s="14"/>
      <c r="H68" s="96"/>
      <c r="I68" s="96"/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>
        <v>48815.25</v>
      </c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>
        <v>159844.63</v>
      </c>
      <c r="G73" s="14"/>
      <c r="H73" s="96"/>
      <c r="I73" s="96"/>
      <c r="J73" s="96">
        <v>3453064.51</v>
      </c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958478.36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4613557.3099999996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14154228.259999998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18642611.009999998</v>
      </c>
      <c r="K76" s="131">
        <f t="shared" si="11"/>
        <v>0</v>
      </c>
    </row>
    <row r="77" spans="1:12" x14ac:dyDescent="0.3">
      <c r="H77" s="10"/>
      <c r="I77" s="10"/>
      <c r="J77" s="10"/>
    </row>
    <row r="78" spans="1:12" x14ac:dyDescent="0.3">
      <c r="D78" s="152"/>
      <c r="E78" s="152"/>
      <c r="F78" s="152"/>
      <c r="G78" s="152"/>
      <c r="J78" s="5"/>
    </row>
    <row r="79" spans="1:12" x14ac:dyDescent="0.3">
      <c r="D79" s="137"/>
      <c r="E79" s="137"/>
      <c r="F79" s="181"/>
      <c r="G79" s="137"/>
      <c r="J79" s="5"/>
    </row>
    <row r="80" spans="1:12" x14ac:dyDescent="0.3">
      <c r="D80" s="153"/>
      <c r="E80" s="153"/>
      <c r="F80" s="153"/>
      <c r="G80" s="153"/>
    </row>
    <row r="81" spans="4:10" x14ac:dyDescent="0.3">
      <c r="D81" s="153"/>
      <c r="E81" s="137"/>
      <c r="F81" s="137"/>
      <c r="G81" s="137"/>
      <c r="J81" s="10"/>
    </row>
    <row r="82" spans="4:10" x14ac:dyDescent="0.3">
      <c r="D82" s="153"/>
      <c r="E82" s="153"/>
      <c r="F82" s="153"/>
      <c r="G82" s="153"/>
    </row>
  </sheetData>
  <mergeCells count="2">
    <mergeCell ref="D1:G1"/>
    <mergeCell ref="H1:K1"/>
  </mergeCells>
  <conditionalFormatting sqref="A1">
    <cfRule type="duplicateValues" dxfId="71" priority="19"/>
    <cfRule type="duplicateValues" dxfId="70" priority="20"/>
  </conditionalFormatting>
  <conditionalFormatting sqref="A14">
    <cfRule type="duplicateValues" dxfId="69" priority="9"/>
    <cfRule type="duplicateValues" dxfId="68" priority="10"/>
  </conditionalFormatting>
  <conditionalFormatting sqref="A20">
    <cfRule type="duplicateValues" dxfId="67" priority="1"/>
    <cfRule type="duplicateValues" dxfId="66" priority="2"/>
  </conditionalFormatting>
  <conditionalFormatting sqref="A41">
    <cfRule type="duplicateValues" dxfId="65" priority="5"/>
    <cfRule type="duplicateValues" dxfId="64" priority="6"/>
  </conditionalFormatting>
  <conditionalFormatting sqref="A54">
    <cfRule type="duplicateValues" dxfId="63" priority="3"/>
    <cfRule type="duplicateValues" dxfId="62" priority="4"/>
  </conditionalFormatting>
  <conditionalFormatting sqref="A57">
    <cfRule type="duplicateValues" dxfId="61" priority="11"/>
    <cfRule type="duplicateValues" dxfId="60" priority="12"/>
  </conditionalFormatting>
  <conditionalFormatting sqref="A58:A60 A7 A23:A40 A62 A42:A53 A55">
    <cfRule type="duplicateValues" dxfId="59" priority="17"/>
    <cfRule type="duplicateValues" dxfId="58" priority="18"/>
  </conditionalFormatting>
  <conditionalFormatting sqref="A61">
    <cfRule type="duplicateValues" dxfId="57" priority="7"/>
    <cfRule type="duplicateValues" dxfId="56" priority="8"/>
  </conditionalFormatting>
  <conditionalFormatting sqref="A67:A74">
    <cfRule type="duplicateValues" dxfId="55" priority="15"/>
    <cfRule type="duplicateValues" dxfId="54" priority="16"/>
  </conditionalFormatting>
  <conditionalFormatting sqref="A75:A76 A2:A6 A8:A13 A15:A19 A56 A66 A21:A22">
    <cfRule type="duplicateValues" dxfId="53" priority="13"/>
    <cfRule type="duplicateValues" dxfId="52" priority="14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5C06-AA81-4FF9-BC64-3A1C59A7D754}">
  <sheetPr>
    <tabColor rgb="FFFFFF00"/>
  </sheetPr>
  <dimension ref="A1:M76"/>
  <sheetViews>
    <sheetView rightToLeft="1" topLeftCell="A47" workbookViewId="0">
      <selection activeCell="D76" sqref="D76:K76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34">
        <v>2025</v>
      </c>
      <c r="E1" s="234"/>
      <c r="F1" s="234"/>
      <c r="G1" s="234"/>
      <c r="H1" s="235">
        <v>2024</v>
      </c>
      <c r="I1" s="235"/>
      <c r="J1" s="235"/>
      <c r="K1" s="235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/>
      <c r="G3" s="14"/>
      <c r="H3" s="96"/>
      <c r="I3" s="96"/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140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0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139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/>
      <c r="K55" s="96"/>
    </row>
    <row r="56" spans="1:13" ht="21.6" thickBot="1" x14ac:dyDescent="0.45">
      <c r="A56" s="123" t="s">
        <v>116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0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</row>
    <row r="59" spans="1:13" ht="15.6" x14ac:dyDescent="0.3">
      <c r="A59" s="26" t="s">
        <v>37</v>
      </c>
      <c r="B59" s="26" t="s">
        <v>115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  <c r="M61" s="133"/>
    </row>
    <row r="62" spans="1:13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7" t="s">
        <v>141</v>
      </c>
      <c r="B64" s="26" t="s">
        <v>115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115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117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/>
      <c r="I67" s="96"/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/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0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0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0</v>
      </c>
      <c r="K76" s="131">
        <f t="shared" si="11"/>
        <v>0</v>
      </c>
    </row>
  </sheetData>
  <mergeCells count="2">
    <mergeCell ref="D1:G1"/>
    <mergeCell ref="H1:K1"/>
  </mergeCells>
  <conditionalFormatting sqref="A1">
    <cfRule type="duplicateValues" dxfId="51" priority="19"/>
    <cfRule type="duplicateValues" dxfId="50" priority="20"/>
  </conditionalFormatting>
  <conditionalFormatting sqref="A14">
    <cfRule type="duplicateValues" dxfId="49" priority="9"/>
    <cfRule type="duplicateValues" dxfId="48" priority="10"/>
  </conditionalFormatting>
  <conditionalFormatting sqref="A20">
    <cfRule type="duplicateValues" dxfId="47" priority="1"/>
    <cfRule type="duplicateValues" dxfId="46" priority="2"/>
  </conditionalFormatting>
  <conditionalFormatting sqref="A41">
    <cfRule type="duplicateValues" dxfId="45" priority="5"/>
    <cfRule type="duplicateValues" dxfId="44" priority="6"/>
  </conditionalFormatting>
  <conditionalFormatting sqref="A54">
    <cfRule type="duplicateValues" dxfId="43" priority="3"/>
    <cfRule type="duplicateValues" dxfId="42" priority="4"/>
  </conditionalFormatting>
  <conditionalFormatting sqref="A57">
    <cfRule type="duplicateValues" dxfId="41" priority="11"/>
    <cfRule type="duplicateValues" dxfId="40" priority="12"/>
  </conditionalFormatting>
  <conditionalFormatting sqref="A58:A60 A7 A23:A40 A62 A42:A53 A55">
    <cfRule type="duplicateValues" dxfId="39" priority="17"/>
    <cfRule type="duplicateValues" dxfId="38" priority="18"/>
  </conditionalFormatting>
  <conditionalFormatting sqref="A61">
    <cfRule type="duplicateValues" dxfId="37" priority="7"/>
    <cfRule type="duplicateValues" dxfId="36" priority="8"/>
  </conditionalFormatting>
  <conditionalFormatting sqref="A67:A74">
    <cfRule type="duplicateValues" dxfId="35" priority="15"/>
    <cfRule type="duplicateValues" dxfId="34" priority="16"/>
  </conditionalFormatting>
  <conditionalFormatting sqref="A75:A76 A2:A6 A8:A13 A15:A19 A56 A66 A21:A22">
    <cfRule type="duplicateValues" dxfId="33" priority="13"/>
    <cfRule type="duplicateValues" dxfId="32" priority="14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96A7-850F-4ED5-BFFE-F950115F0DB8}">
  <sheetPr>
    <tabColor rgb="FFFFFF00"/>
  </sheetPr>
  <dimension ref="A1:M82"/>
  <sheetViews>
    <sheetView rightToLeft="1" topLeftCell="A56" workbookViewId="0">
      <selection activeCell="F80" sqref="F80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customWidth="1"/>
    <col min="10" max="10" width="16.8984375" style="3" customWidth="1"/>
    <col min="11" max="11" width="19" customWidth="1"/>
    <col min="12" max="12" width="30.09765625" customWidth="1"/>
  </cols>
  <sheetData>
    <row r="1" spans="1:11" ht="21" x14ac:dyDescent="0.25">
      <c r="A1" s="26"/>
      <c r="B1" s="26"/>
      <c r="C1" s="26"/>
      <c r="D1" s="236">
        <v>2025</v>
      </c>
      <c r="E1" s="237"/>
      <c r="F1" s="237"/>
      <c r="G1" s="238"/>
      <c r="H1" s="239">
        <v>2024</v>
      </c>
      <c r="I1" s="240"/>
      <c r="J1" s="240"/>
      <c r="K1" s="241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/>
      <c r="G3" s="14"/>
      <c r="H3" s="96"/>
      <c r="I3" s="96"/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140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0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139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/>
      <c r="K55" s="96"/>
    </row>
    <row r="56" spans="1:13" ht="21.6" thickBot="1" x14ac:dyDescent="0.45">
      <c r="A56" s="123" t="s">
        <v>116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0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</row>
    <row r="59" spans="1:13" ht="15.6" x14ac:dyDescent="0.3">
      <c r="A59" s="26" t="s">
        <v>37</v>
      </c>
      <c r="B59" s="26" t="s">
        <v>115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  <c r="M61" s="133"/>
    </row>
    <row r="62" spans="1:13" ht="15.6" x14ac:dyDescent="0.3">
      <c r="A62" s="30" t="s">
        <v>16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15.6" x14ac:dyDescent="0.3">
      <c r="A63" s="192" t="s">
        <v>130</v>
      </c>
      <c r="B63" s="26" t="s">
        <v>115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7" t="s">
        <v>141</v>
      </c>
      <c r="B64" s="26" t="s">
        <v>115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115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117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/>
      <c r="I67" s="96"/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/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0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0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0</v>
      </c>
      <c r="K76" s="131">
        <f t="shared" si="11"/>
        <v>0</v>
      </c>
    </row>
    <row r="77" spans="1:12" x14ac:dyDescent="0.3">
      <c r="H77" s="10"/>
      <c r="I77" s="10"/>
      <c r="J77" s="10"/>
    </row>
    <row r="78" spans="1:12" x14ac:dyDescent="0.3">
      <c r="D78" s="152"/>
      <c r="E78" s="152"/>
      <c r="F78" s="152"/>
      <c r="G78" s="152"/>
    </row>
    <row r="79" spans="1:12" x14ac:dyDescent="0.3">
      <c r="D79" s="137"/>
      <c r="E79" s="137"/>
      <c r="F79" s="137"/>
      <c r="G79" s="137"/>
    </row>
    <row r="80" spans="1:12" x14ac:dyDescent="0.3">
      <c r="D80" s="153"/>
      <c r="E80" s="153"/>
      <c r="F80" s="153"/>
      <c r="G80" s="153"/>
    </row>
    <row r="81" spans="4:7" x14ac:dyDescent="0.3">
      <c r="D81" s="153"/>
      <c r="E81" s="137"/>
      <c r="F81" s="137"/>
      <c r="G81" s="137"/>
    </row>
    <row r="82" spans="4:7" x14ac:dyDescent="0.3">
      <c r="D82" s="153"/>
      <c r="E82" s="153"/>
      <c r="F82" s="153"/>
      <c r="G82" s="153"/>
    </row>
  </sheetData>
  <mergeCells count="2">
    <mergeCell ref="D1:G1"/>
    <mergeCell ref="H1:K1"/>
  </mergeCells>
  <conditionalFormatting sqref="A1">
    <cfRule type="duplicateValues" dxfId="31" priority="19"/>
    <cfRule type="duplicateValues" dxfId="30" priority="20"/>
  </conditionalFormatting>
  <conditionalFormatting sqref="A14">
    <cfRule type="duplicateValues" dxfId="29" priority="17"/>
    <cfRule type="duplicateValues" dxfId="28" priority="17"/>
  </conditionalFormatting>
  <conditionalFormatting sqref="A20">
    <cfRule type="duplicateValues" dxfId="27" priority="1"/>
    <cfRule type="duplicateValues" dxfId="26" priority="2"/>
  </conditionalFormatting>
  <conditionalFormatting sqref="A41">
    <cfRule type="duplicateValues" dxfId="25" priority="5"/>
    <cfRule type="duplicateValues" dxfId="24" priority="6"/>
  </conditionalFormatting>
  <conditionalFormatting sqref="A54">
    <cfRule type="duplicateValues" dxfId="23" priority="3"/>
    <cfRule type="duplicateValues" dxfId="22" priority="4"/>
  </conditionalFormatting>
  <conditionalFormatting sqref="A57">
    <cfRule type="duplicateValues" dxfId="21" priority="15"/>
    <cfRule type="duplicateValues" dxfId="20" priority="15"/>
  </conditionalFormatting>
  <conditionalFormatting sqref="A58:A60 A7 A23:A40 A62 A42:A53 A55">
    <cfRule type="duplicateValues" dxfId="19" priority="18"/>
    <cfRule type="duplicateValues" dxfId="18" priority="21"/>
  </conditionalFormatting>
  <conditionalFormatting sqref="A61">
    <cfRule type="duplicateValues" dxfId="17" priority="11"/>
    <cfRule type="duplicateValues" dxfId="16" priority="11"/>
  </conditionalFormatting>
  <conditionalFormatting sqref="A67:A74">
    <cfRule type="duplicateValues" dxfId="15" priority="16"/>
    <cfRule type="duplicateValues" dxfId="14" priority="22"/>
  </conditionalFormatting>
  <conditionalFormatting sqref="A75:A76 A2:A6 A8:A13 A15:A19 A56 A66 A21:A22">
    <cfRule type="duplicateValues" dxfId="13" priority="13"/>
    <cfRule type="duplicateValues" dxfId="12" priority="14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19</vt:i4>
      </vt:variant>
    </vt:vector>
  </HeadingPairs>
  <TitlesOfParts>
    <vt:vector size="19" baseType="lpstr">
      <vt:lpstr>דוח הנהלה</vt:lpstr>
      <vt:lpstr>תפוקה מצטברת מול אשתקד</vt:lpstr>
      <vt:lpstr>תפוקה חודשית מול אשתקד</vt:lpstr>
      <vt:lpstr>תפוקה מצטברת מול יעד מצטבר</vt:lpstr>
      <vt:lpstr>תפוקה מול יעד חודשי</vt:lpstr>
      <vt:lpstr>עולים יורדים</vt:lpstr>
      <vt:lpstr>הכשרה</vt:lpstr>
      <vt:lpstr>מגדל</vt:lpstr>
      <vt:lpstr>מנורה</vt:lpstr>
      <vt:lpstr>איילון</vt:lpstr>
      <vt:lpstr>הראל</vt:lpstr>
      <vt:lpstr>הפניקס</vt:lpstr>
      <vt:lpstr>כלל</vt:lpstr>
      <vt:lpstr>מור</vt:lpstr>
      <vt:lpstr>אלטשולר שחם</vt:lpstr>
      <vt:lpstr>מדיהו </vt:lpstr>
      <vt:lpstr>אנליסט </vt:lpstr>
      <vt:lpstr>מיטב דש</vt:lpstr>
      <vt:lpstr>אינפניטי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גלית ואלצר | גל אלמגור ביטוח</cp:lastModifiedBy>
  <cp:lastPrinted>2024-04-20T19:16:09Z</cp:lastPrinted>
  <dcterms:created xsi:type="dcterms:W3CDTF">2023-08-01T07:26:23Z</dcterms:created>
  <dcterms:modified xsi:type="dcterms:W3CDTF">2025-08-05T18:15:04Z</dcterms:modified>
</cp:coreProperties>
</file>