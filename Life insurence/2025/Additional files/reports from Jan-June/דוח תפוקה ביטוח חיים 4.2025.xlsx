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האחסון שלי\מאגר מידע של גל אלמגור\דוחות תפוקה\דוחות תפוקה ביטוח חיים\2025\04.2025\"/>
    </mc:Choice>
  </mc:AlternateContent>
  <xr:revisionPtr revIDLastSave="0" documentId="13_ncr:1_{B298280F-0E5A-409B-BFC6-10553DDE1C24}" xr6:coauthVersionLast="47" xr6:coauthVersionMax="47" xr10:uidLastSave="{00000000-0000-0000-0000-000000000000}"/>
  <bookViews>
    <workbookView xWindow="22932" yWindow="-108" windowWidth="23256" windowHeight="12456" tabRatio="906" xr2:uid="{EAA44E19-442B-426F-BCE2-2F28622BB0FA}"/>
  </bookViews>
  <sheets>
    <sheet name="דוח הנהלה" sheetId="11" r:id="rId1"/>
    <sheet name="תפוקה מצטברת מול אשתקד" sheetId="12" r:id="rId2"/>
    <sheet name="תפוקה מצטברת מול יעד מצטבר" sheetId="13" r:id="rId3"/>
    <sheet name="תפוקה מול יעד חודשי" sheetId="14" r:id="rId4"/>
    <sheet name="עולים יורדים" sheetId="10" r:id="rId5"/>
    <sheet name="הכשרה" sheetId="1" r:id="rId6"/>
    <sheet name="מגדל" sheetId="3" r:id="rId7"/>
    <sheet name="מנורה" sheetId="2" r:id="rId8"/>
    <sheet name="איילון" sheetId="4" r:id="rId9"/>
    <sheet name="הראל" sheetId="5" r:id="rId10"/>
    <sheet name="הפניקס" sheetId="6" r:id="rId11"/>
    <sheet name="כלל" sheetId="7" r:id="rId12"/>
    <sheet name="מור" sheetId="8" r:id="rId13"/>
    <sheet name="אלטשולר שחם" sheetId="9" r:id="rId14"/>
    <sheet name="מדיהו " sheetId="17" r:id="rId15"/>
    <sheet name="אנליסט " sheetId="15" r:id="rId16"/>
    <sheet name="מיטב דש" sheetId="16" r:id="rId17"/>
    <sheet name="אינפניטי" sheetId="18" r:id="rId18"/>
  </sheets>
  <externalReferences>
    <externalReference r:id="rId19"/>
    <externalReference r:id="rId20"/>
  </externalReferences>
  <definedNames>
    <definedName name="_xlnm._FilterDatabase" localSheetId="8" hidden="1">איילון!$A$2:$N$73</definedName>
    <definedName name="_xlnm._FilterDatabase" localSheetId="17" hidden="1">אינפניטי!$A$2:$K$73</definedName>
    <definedName name="_xlnm._FilterDatabase" localSheetId="13" hidden="1">'אלטשולר שחם'!$A$2:$K$73</definedName>
    <definedName name="_xlnm._FilterDatabase" localSheetId="15" hidden="1">'אנליסט '!$A$2:$K$73</definedName>
    <definedName name="_xlnm._FilterDatabase" localSheetId="5" hidden="1">הכשרה!$A$2:$K$73</definedName>
    <definedName name="_xlnm._FilterDatabase" localSheetId="10" hidden="1">הפניקס!$A$2:$K$73</definedName>
    <definedName name="_xlnm._FilterDatabase" localSheetId="9" hidden="1">הראל!$A$2:$P$73</definedName>
    <definedName name="_xlnm._FilterDatabase" localSheetId="11" hidden="1">כלל!$A$2:$L$73</definedName>
    <definedName name="_xlnm._FilterDatabase" localSheetId="6" hidden="1">מגדל!$A$2:$L$73</definedName>
    <definedName name="_xlnm._FilterDatabase" localSheetId="14" hidden="1">'מדיהו '!$A$2:$K$73</definedName>
    <definedName name="_xlnm._FilterDatabase" localSheetId="12" hidden="1">מור!$A$2:$O$73</definedName>
    <definedName name="_xlnm._FilterDatabase" localSheetId="16" hidden="1">'מיטב דש'!$A$2:$K$73</definedName>
    <definedName name="_xlnm._FilterDatabase" localSheetId="7" hidden="1">מנורה!$A$2:$L$73</definedName>
    <definedName name="_xlnm._FilterDatabase" localSheetId="4" hidden="1">'עולים יורדים'!$A$1:$F$66</definedName>
    <definedName name="_xlnm._FilterDatabase" localSheetId="3" hidden="1">'תפוקה מול יעד חודשי'!$A$2:$O$73</definedName>
    <definedName name="_xlnm._FilterDatabase" localSheetId="1" hidden="1">'תפוקה מצטברת מול אשתקד'!$A$2:$R$73</definedName>
    <definedName name="_xlnm._FilterDatabase" localSheetId="2" hidden="1">'תפוקה מצטברת מול יעד מצטבר'!$A$2:$P$73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0" l="1"/>
  <c r="D51" i="10"/>
  <c r="D52" i="10"/>
  <c r="G60" i="14"/>
  <c r="F60" i="14"/>
  <c r="E60" i="14"/>
  <c r="D60" i="14"/>
  <c r="O61" i="12"/>
  <c r="N61" i="12"/>
  <c r="M61" i="12"/>
  <c r="L61" i="12"/>
  <c r="K61" i="12"/>
  <c r="G61" i="12" s="1"/>
  <c r="J61" i="12"/>
  <c r="F61" i="12" s="1"/>
  <c r="I61" i="12"/>
  <c r="E61" i="12" s="1"/>
  <c r="H61" i="12"/>
  <c r="D61" i="12" s="1"/>
  <c r="K72" i="13"/>
  <c r="K63" i="13"/>
  <c r="K54" i="13"/>
  <c r="K21" i="13"/>
  <c r="K8" i="13"/>
  <c r="J8" i="13"/>
  <c r="J54" i="13"/>
  <c r="J63" i="13"/>
  <c r="J72" i="13"/>
  <c r="S20" i="11"/>
  <c r="U18" i="11"/>
  <c r="T20" i="11"/>
  <c r="T18" i="11"/>
  <c r="S18" i="11"/>
  <c r="R20" i="11"/>
  <c r="R18" i="11"/>
  <c r="U20" i="11"/>
  <c r="L61" i="13" l="1"/>
  <c r="D61" i="13" s="1"/>
  <c r="M61" i="13"/>
  <c r="E61" i="13" s="1"/>
  <c r="N61" i="13"/>
  <c r="F61" i="13" s="1"/>
  <c r="O61" i="13"/>
  <c r="G61" i="13" s="1"/>
  <c r="C51" i="10"/>
  <c r="B51" i="10"/>
  <c r="K73" i="13"/>
  <c r="U17" i="11"/>
  <c r="U19" i="11"/>
  <c r="T17" i="11"/>
  <c r="T19" i="11"/>
  <c r="S17" i="11"/>
  <c r="S19" i="11"/>
  <c r="R17" i="11"/>
  <c r="R19" i="11"/>
  <c r="L63" i="14"/>
  <c r="M63" i="14"/>
  <c r="N63" i="14"/>
  <c r="O63" i="14"/>
  <c r="L54" i="14"/>
  <c r="M54" i="14"/>
  <c r="N54" i="14"/>
  <c r="O54" i="14"/>
  <c r="L21" i="14"/>
  <c r="M21" i="14"/>
  <c r="N21" i="14"/>
  <c r="O21" i="14"/>
  <c r="L8" i="14"/>
  <c r="M8" i="14"/>
  <c r="N8" i="14"/>
  <c r="O8" i="14"/>
  <c r="O71" i="14"/>
  <c r="O70" i="14"/>
  <c r="O69" i="14"/>
  <c r="O68" i="14"/>
  <c r="O67" i="14"/>
  <c r="O66" i="14"/>
  <c r="O65" i="14"/>
  <c r="O64" i="14"/>
  <c r="N71" i="14"/>
  <c r="N70" i="14"/>
  <c r="N69" i="14"/>
  <c r="N68" i="14"/>
  <c r="N67" i="14"/>
  <c r="N66" i="14"/>
  <c r="N65" i="14"/>
  <c r="N64" i="14"/>
  <c r="M71" i="14"/>
  <c r="M70" i="14"/>
  <c r="M69" i="14"/>
  <c r="M68" i="14"/>
  <c r="M67" i="14"/>
  <c r="M66" i="14"/>
  <c r="M65" i="14"/>
  <c r="M64" i="14"/>
  <c r="L71" i="14"/>
  <c r="L70" i="14"/>
  <c r="L69" i="14"/>
  <c r="L68" i="14"/>
  <c r="L67" i="14"/>
  <c r="L66" i="14"/>
  <c r="L65" i="14"/>
  <c r="L64" i="14"/>
  <c r="R21" i="11" l="1"/>
  <c r="S21" i="11"/>
  <c r="U21" i="11"/>
  <c r="T21" i="11"/>
  <c r="N72" i="14"/>
  <c r="O72" i="14"/>
  <c r="M72" i="14"/>
  <c r="L72" i="14"/>
  <c r="H72" i="13" l="1"/>
  <c r="I72" i="13"/>
  <c r="H63" i="13"/>
  <c r="I63" i="13"/>
  <c r="I54" i="13"/>
  <c r="H54" i="13"/>
  <c r="J21" i="13"/>
  <c r="I21" i="13"/>
  <c r="H21" i="13"/>
  <c r="I8" i="13"/>
  <c r="H8" i="13"/>
  <c r="H73" i="13" l="1"/>
  <c r="D21" i="10" l="1"/>
  <c r="D44" i="10"/>
  <c r="D35" i="10"/>
  <c r="D20" i="10"/>
  <c r="D3" i="10"/>
  <c r="D63" i="10"/>
  <c r="D16" i="10"/>
  <c r="D11" i="10"/>
  <c r="D12" i="10"/>
  <c r="D60" i="10"/>
  <c r="D66" i="10"/>
  <c r="D10" i="10"/>
  <c r="D58" i="10"/>
  <c r="D31" i="10"/>
  <c r="D61" i="10"/>
  <c r="D28" i="10"/>
  <c r="D29" i="10"/>
  <c r="D15" i="10"/>
  <c r="D5" i="10"/>
  <c r="D62" i="10"/>
  <c r="D33" i="10"/>
  <c r="D42" i="10"/>
  <c r="D18" i="10"/>
  <c r="D45" i="10"/>
  <c r="D47" i="10"/>
  <c r="D14" i="10"/>
  <c r="D34" i="10"/>
  <c r="D43" i="10"/>
  <c r="D23" i="10"/>
  <c r="D49" i="10"/>
  <c r="D7" i="10"/>
  <c r="D24" i="10"/>
  <c r="D41" i="10"/>
  <c r="D46" i="10"/>
  <c r="D38" i="10"/>
  <c r="D19" i="10"/>
  <c r="D56" i="10"/>
  <c r="D25" i="10"/>
  <c r="D6" i="10"/>
  <c r="D36" i="10"/>
  <c r="D8" i="10"/>
  <c r="D22" i="10"/>
  <c r="D26" i="10"/>
  <c r="D57" i="10"/>
  <c r="D50" i="10"/>
  <c r="D32" i="10"/>
  <c r="D30" i="10"/>
  <c r="D37" i="10"/>
  <c r="D40" i="10"/>
  <c r="D53" i="10"/>
  <c r="D17" i="10"/>
  <c r="D64" i="10"/>
  <c r="D4" i="10"/>
  <c r="D39" i="10"/>
  <c r="D65" i="10"/>
  <c r="D9" i="10"/>
  <c r="D13" i="10"/>
  <c r="F3" i="8"/>
  <c r="G3" i="3"/>
  <c r="F3" i="3"/>
  <c r="E3" i="3"/>
  <c r="D3" i="3" l="1"/>
  <c r="J3" i="15" l="1"/>
  <c r="F3" i="15"/>
  <c r="G3" i="7"/>
  <c r="F3" i="7"/>
  <c r="E3" i="7"/>
  <c r="D3" i="7"/>
  <c r="E70" i="7"/>
  <c r="D2" i="10" s="1"/>
  <c r="G3" i="2"/>
  <c r="G69" i="2"/>
  <c r="G18" i="2"/>
  <c r="G3" i="5"/>
  <c r="F3" i="5"/>
  <c r="E3" i="5"/>
  <c r="D3" i="5"/>
  <c r="G70" i="5"/>
  <c r="I3" i="17" l="1"/>
  <c r="G3" i="6"/>
  <c r="F3" i="6"/>
  <c r="F64" i="6"/>
  <c r="E3" i="6"/>
  <c r="D3" i="6"/>
  <c r="E6" i="4"/>
  <c r="D55" i="10" s="1"/>
  <c r="E5" i="4"/>
  <c r="D27" i="10" s="1"/>
  <c r="E64" i="4"/>
  <c r="D48" i="10" s="1"/>
  <c r="F3" i="2"/>
  <c r="E3" i="2"/>
  <c r="D3" i="2"/>
  <c r="E3" i="4" l="1"/>
  <c r="D59" i="10"/>
  <c r="O52" i="12"/>
  <c r="J72" i="9"/>
  <c r="J63" i="9"/>
  <c r="J54" i="9"/>
  <c r="J21" i="9"/>
  <c r="J63" i="8"/>
  <c r="J54" i="8"/>
  <c r="J21" i="8"/>
  <c r="K63" i="7"/>
  <c r="K54" i="7"/>
  <c r="K21" i="7"/>
  <c r="J63" i="7"/>
  <c r="J54" i="7"/>
  <c r="J21" i="7"/>
  <c r="J8" i="7"/>
  <c r="I63" i="7"/>
  <c r="I54" i="7"/>
  <c r="I21" i="7"/>
  <c r="H63" i="7"/>
  <c r="H54" i="7"/>
  <c r="H21" i="7"/>
  <c r="K72" i="6"/>
  <c r="K63" i="6"/>
  <c r="K54" i="6"/>
  <c r="K21" i="6"/>
  <c r="K8" i="6"/>
  <c r="J72" i="6"/>
  <c r="J63" i="6"/>
  <c r="J54" i="6"/>
  <c r="J21" i="6"/>
  <c r="I72" i="6"/>
  <c r="I63" i="6"/>
  <c r="I54" i="6"/>
  <c r="I21" i="6"/>
  <c r="H72" i="6"/>
  <c r="H63" i="6"/>
  <c r="H54" i="6"/>
  <c r="H21" i="6"/>
  <c r="K72" i="5"/>
  <c r="K63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O53" i="12" s="1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8" i="5"/>
  <c r="J72" i="5"/>
  <c r="J63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I72" i="5"/>
  <c r="I63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39" i="5"/>
  <c r="I38" i="5"/>
  <c r="I37" i="5"/>
  <c r="E52" i="10" s="1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H72" i="5"/>
  <c r="H63" i="5"/>
  <c r="H52" i="5"/>
  <c r="H53" i="5"/>
  <c r="H51" i="5"/>
  <c r="H50" i="5"/>
  <c r="H49" i="5"/>
  <c r="H48" i="5"/>
  <c r="H47" i="5"/>
  <c r="H46" i="5"/>
  <c r="H45" i="5"/>
  <c r="H44" i="5"/>
  <c r="H43" i="5"/>
  <c r="H42" i="5"/>
  <c r="H41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I63" i="4"/>
  <c r="I54" i="4"/>
  <c r="I21" i="4"/>
  <c r="H63" i="4"/>
  <c r="H54" i="4"/>
  <c r="H21" i="4"/>
  <c r="K63" i="2"/>
  <c r="K54" i="2"/>
  <c r="K21" i="2"/>
  <c r="J63" i="2"/>
  <c r="J54" i="2"/>
  <c r="J21" i="2"/>
  <c r="I63" i="2"/>
  <c r="I54" i="2"/>
  <c r="I21" i="2"/>
  <c r="H63" i="2"/>
  <c r="H54" i="2"/>
  <c r="H21" i="2"/>
  <c r="K72" i="18"/>
  <c r="J72" i="18"/>
  <c r="I72" i="18"/>
  <c r="H72" i="18"/>
  <c r="G72" i="18"/>
  <c r="F72" i="18"/>
  <c r="E72" i="18"/>
  <c r="D72" i="18"/>
  <c r="D73" i="18" s="1"/>
  <c r="K63" i="18"/>
  <c r="J63" i="18"/>
  <c r="I63" i="18"/>
  <c r="H63" i="18"/>
  <c r="G63" i="18"/>
  <c r="F63" i="18"/>
  <c r="E63" i="18"/>
  <c r="D63" i="18"/>
  <c r="K54" i="18"/>
  <c r="J54" i="18"/>
  <c r="I54" i="18"/>
  <c r="H54" i="18"/>
  <c r="G54" i="18"/>
  <c r="F54" i="18"/>
  <c r="E54" i="18"/>
  <c r="D54" i="18"/>
  <c r="K21" i="18"/>
  <c r="J21" i="18"/>
  <c r="I21" i="18"/>
  <c r="H21" i="18"/>
  <c r="G21" i="18"/>
  <c r="F21" i="18"/>
  <c r="E21" i="18"/>
  <c r="D21" i="18"/>
  <c r="K8" i="18"/>
  <c r="J8" i="18"/>
  <c r="I8" i="18"/>
  <c r="H8" i="18"/>
  <c r="G8" i="18"/>
  <c r="F8" i="18"/>
  <c r="E8" i="18"/>
  <c r="D8" i="18"/>
  <c r="K72" i="16"/>
  <c r="J72" i="16"/>
  <c r="I72" i="16"/>
  <c r="H72" i="16"/>
  <c r="G72" i="16"/>
  <c r="F72" i="16"/>
  <c r="E72" i="16"/>
  <c r="D72" i="16"/>
  <c r="D73" i="16" s="1"/>
  <c r="K63" i="16"/>
  <c r="J63" i="16"/>
  <c r="I63" i="16"/>
  <c r="H63" i="16"/>
  <c r="G63" i="16"/>
  <c r="F63" i="16"/>
  <c r="E63" i="16"/>
  <c r="D63" i="16"/>
  <c r="K54" i="16"/>
  <c r="J54" i="16"/>
  <c r="I54" i="16"/>
  <c r="H54" i="16"/>
  <c r="G54" i="16"/>
  <c r="F54" i="16"/>
  <c r="E54" i="16"/>
  <c r="D54" i="16"/>
  <c r="K21" i="16"/>
  <c r="J21" i="16"/>
  <c r="I21" i="16"/>
  <c r="H21" i="16"/>
  <c r="G21" i="16"/>
  <c r="F21" i="16"/>
  <c r="E21" i="16"/>
  <c r="D21" i="16"/>
  <c r="K8" i="16"/>
  <c r="J8" i="16"/>
  <c r="I8" i="16"/>
  <c r="H8" i="16"/>
  <c r="G8" i="16"/>
  <c r="F8" i="16"/>
  <c r="E8" i="16"/>
  <c r="D8" i="16"/>
  <c r="K72" i="15"/>
  <c r="J72" i="15"/>
  <c r="I72" i="15"/>
  <c r="H72" i="15"/>
  <c r="G72" i="15"/>
  <c r="F72" i="15"/>
  <c r="E72" i="15"/>
  <c r="D72" i="15"/>
  <c r="K63" i="15"/>
  <c r="J63" i="15"/>
  <c r="I63" i="15"/>
  <c r="H63" i="15"/>
  <c r="G63" i="15"/>
  <c r="F63" i="15"/>
  <c r="E63" i="15"/>
  <c r="D63" i="15"/>
  <c r="K54" i="15"/>
  <c r="J54" i="15"/>
  <c r="I54" i="15"/>
  <c r="H54" i="15"/>
  <c r="G54" i="15"/>
  <c r="F54" i="15"/>
  <c r="E54" i="15"/>
  <c r="D54" i="15"/>
  <c r="K21" i="15"/>
  <c r="J21" i="15"/>
  <c r="I21" i="15"/>
  <c r="H21" i="15"/>
  <c r="G21" i="15"/>
  <c r="F21" i="15"/>
  <c r="E21" i="15"/>
  <c r="D21" i="15"/>
  <c r="K8" i="15"/>
  <c r="J8" i="15"/>
  <c r="I8" i="15"/>
  <c r="H8" i="15"/>
  <c r="G8" i="15"/>
  <c r="F8" i="15"/>
  <c r="E8" i="15"/>
  <c r="D8" i="15"/>
  <c r="K72" i="17"/>
  <c r="J72" i="17"/>
  <c r="I72" i="17"/>
  <c r="H72" i="17"/>
  <c r="G72" i="17"/>
  <c r="F72" i="17"/>
  <c r="E72" i="17"/>
  <c r="D72" i="17"/>
  <c r="K63" i="17"/>
  <c r="J63" i="17"/>
  <c r="I63" i="17"/>
  <c r="H63" i="17"/>
  <c r="G63" i="17"/>
  <c r="F63" i="17"/>
  <c r="E63" i="17"/>
  <c r="D63" i="17"/>
  <c r="K54" i="17"/>
  <c r="J54" i="17"/>
  <c r="I54" i="17"/>
  <c r="H54" i="17"/>
  <c r="G54" i="17"/>
  <c r="F54" i="17"/>
  <c r="E54" i="17"/>
  <c r="D54" i="17"/>
  <c r="K21" i="17"/>
  <c r="J21" i="17"/>
  <c r="I21" i="17"/>
  <c r="H21" i="17"/>
  <c r="G21" i="17"/>
  <c r="F21" i="17"/>
  <c r="E21" i="17"/>
  <c r="D21" i="17"/>
  <c r="K8" i="17"/>
  <c r="J8" i="17"/>
  <c r="I8" i="17"/>
  <c r="H8" i="17"/>
  <c r="G8" i="17"/>
  <c r="F8" i="17"/>
  <c r="E8" i="17"/>
  <c r="D8" i="17"/>
  <c r="K72" i="9"/>
  <c r="I72" i="9"/>
  <c r="H72" i="9"/>
  <c r="G72" i="9"/>
  <c r="G73" i="9" s="1"/>
  <c r="F72" i="9"/>
  <c r="E72" i="9"/>
  <c r="D72" i="9"/>
  <c r="K63" i="9"/>
  <c r="I63" i="9"/>
  <c r="H63" i="9"/>
  <c r="G63" i="9"/>
  <c r="F63" i="9"/>
  <c r="E63" i="9"/>
  <c r="D63" i="9"/>
  <c r="K54" i="9"/>
  <c r="I54" i="9"/>
  <c r="H54" i="9"/>
  <c r="G54" i="9"/>
  <c r="F54" i="9"/>
  <c r="E54" i="9"/>
  <c r="D54" i="9"/>
  <c r="K21" i="9"/>
  <c r="I21" i="9"/>
  <c r="H21" i="9"/>
  <c r="G21" i="9"/>
  <c r="F21" i="9"/>
  <c r="E21" i="9"/>
  <c r="D21" i="9"/>
  <c r="K8" i="9"/>
  <c r="I8" i="9"/>
  <c r="H8" i="9"/>
  <c r="G8" i="9"/>
  <c r="F8" i="9"/>
  <c r="E8" i="9"/>
  <c r="D8" i="9"/>
  <c r="K72" i="8"/>
  <c r="I72" i="8"/>
  <c r="I73" i="8" s="1"/>
  <c r="H72" i="8"/>
  <c r="G72" i="8"/>
  <c r="F72" i="8"/>
  <c r="E72" i="8"/>
  <c r="D72" i="8"/>
  <c r="K63" i="8"/>
  <c r="I63" i="8"/>
  <c r="H63" i="8"/>
  <c r="G63" i="8"/>
  <c r="F63" i="8"/>
  <c r="E63" i="8"/>
  <c r="D63" i="8"/>
  <c r="K54" i="8"/>
  <c r="I54" i="8"/>
  <c r="H54" i="8"/>
  <c r="G54" i="8"/>
  <c r="F54" i="8"/>
  <c r="E54" i="8"/>
  <c r="D54" i="8"/>
  <c r="K21" i="8"/>
  <c r="I21" i="8"/>
  <c r="H21" i="8"/>
  <c r="G21" i="8"/>
  <c r="F21" i="8"/>
  <c r="E21" i="8"/>
  <c r="D21" i="8"/>
  <c r="K8" i="8"/>
  <c r="I8" i="8"/>
  <c r="H8" i="8"/>
  <c r="G8" i="8"/>
  <c r="F8" i="8"/>
  <c r="E8" i="8"/>
  <c r="D8" i="8"/>
  <c r="G72" i="7"/>
  <c r="F72" i="7"/>
  <c r="E72" i="7"/>
  <c r="D72" i="7"/>
  <c r="G63" i="7"/>
  <c r="F63" i="7"/>
  <c r="E63" i="7"/>
  <c r="D63" i="7"/>
  <c r="G54" i="7"/>
  <c r="F54" i="7"/>
  <c r="E54" i="7"/>
  <c r="D54" i="7"/>
  <c r="G21" i="7"/>
  <c r="F21" i="7"/>
  <c r="E21" i="7"/>
  <c r="D21" i="7"/>
  <c r="G8" i="7"/>
  <c r="F8" i="7"/>
  <c r="E8" i="7"/>
  <c r="D8" i="7"/>
  <c r="G72" i="6"/>
  <c r="F72" i="6"/>
  <c r="E72" i="6"/>
  <c r="D72" i="6"/>
  <c r="G63" i="6"/>
  <c r="F63" i="6"/>
  <c r="E63" i="6"/>
  <c r="D63" i="6"/>
  <c r="G54" i="6"/>
  <c r="F54" i="6"/>
  <c r="E54" i="6"/>
  <c r="D54" i="6"/>
  <c r="G21" i="6"/>
  <c r="F21" i="6"/>
  <c r="E21" i="6"/>
  <c r="D21" i="6"/>
  <c r="G8" i="6"/>
  <c r="F8" i="6"/>
  <c r="E8" i="6"/>
  <c r="D8" i="6"/>
  <c r="G72" i="5"/>
  <c r="F72" i="5"/>
  <c r="E72" i="5"/>
  <c r="D72" i="5"/>
  <c r="G63" i="5"/>
  <c r="F63" i="5"/>
  <c r="E63" i="5"/>
  <c r="D63" i="5"/>
  <c r="G54" i="5"/>
  <c r="F54" i="5"/>
  <c r="E54" i="5"/>
  <c r="D54" i="5"/>
  <c r="G21" i="5"/>
  <c r="F21" i="5"/>
  <c r="E21" i="5"/>
  <c r="D21" i="5"/>
  <c r="G8" i="5"/>
  <c r="F8" i="5"/>
  <c r="E8" i="5"/>
  <c r="D8" i="5"/>
  <c r="K72" i="4"/>
  <c r="J72" i="4"/>
  <c r="G72" i="4"/>
  <c r="F72" i="4"/>
  <c r="E72" i="4"/>
  <c r="D72" i="4"/>
  <c r="K63" i="4"/>
  <c r="J63" i="4"/>
  <c r="G63" i="4"/>
  <c r="F63" i="4"/>
  <c r="E63" i="4"/>
  <c r="D63" i="4"/>
  <c r="K54" i="4"/>
  <c r="J54" i="4"/>
  <c r="G54" i="4"/>
  <c r="F54" i="4"/>
  <c r="E54" i="4"/>
  <c r="D54" i="4"/>
  <c r="K21" i="4"/>
  <c r="J21" i="4"/>
  <c r="G21" i="4"/>
  <c r="F21" i="4"/>
  <c r="E21" i="4"/>
  <c r="D21" i="4"/>
  <c r="K8" i="4"/>
  <c r="J8" i="4"/>
  <c r="G8" i="4"/>
  <c r="F8" i="4"/>
  <c r="E8" i="4"/>
  <c r="D8" i="4"/>
  <c r="G72" i="2"/>
  <c r="F72" i="2"/>
  <c r="E72" i="2"/>
  <c r="D72" i="2"/>
  <c r="G63" i="2"/>
  <c r="F63" i="2"/>
  <c r="E63" i="2"/>
  <c r="D63" i="2"/>
  <c r="G54" i="2"/>
  <c r="F54" i="2"/>
  <c r="E54" i="2"/>
  <c r="D54" i="2"/>
  <c r="G21" i="2"/>
  <c r="F21" i="2"/>
  <c r="E21" i="2"/>
  <c r="D21" i="2"/>
  <c r="G8" i="2"/>
  <c r="F8" i="2"/>
  <c r="E8" i="2"/>
  <c r="D8" i="2"/>
  <c r="E73" i="18" l="1"/>
  <c r="C40" i="11" s="1"/>
  <c r="G73" i="18"/>
  <c r="H73" i="18"/>
  <c r="I73" i="18"/>
  <c r="J73" i="18"/>
  <c r="K73" i="18"/>
  <c r="F73" i="18"/>
  <c r="D40" i="11" s="1"/>
  <c r="E73" i="16"/>
  <c r="C39" i="11" s="1"/>
  <c r="F73" i="16"/>
  <c r="D39" i="11" s="1"/>
  <c r="G73" i="16"/>
  <c r="I73" i="16"/>
  <c r="H73" i="16"/>
  <c r="J73" i="16"/>
  <c r="K73" i="16"/>
  <c r="E73" i="15"/>
  <c r="C38" i="11" s="1"/>
  <c r="G73" i="15"/>
  <c r="H73" i="15"/>
  <c r="I73" i="15"/>
  <c r="K73" i="15"/>
  <c r="D73" i="15"/>
  <c r="G73" i="17"/>
  <c r="J73" i="17"/>
  <c r="H73" i="17"/>
  <c r="K73" i="17"/>
  <c r="D73" i="17"/>
  <c r="F73" i="17"/>
  <c r="D37" i="11" s="1"/>
  <c r="H73" i="9"/>
  <c r="I73" i="9"/>
  <c r="K73" i="9"/>
  <c r="D73" i="9"/>
  <c r="E73" i="9"/>
  <c r="C31" i="11" s="1"/>
  <c r="K73" i="8"/>
  <c r="D73" i="8"/>
  <c r="E73" i="8"/>
  <c r="C32" i="11" s="1"/>
  <c r="G73" i="8"/>
  <c r="H73" i="8"/>
  <c r="C52" i="10"/>
  <c r="B52" i="10"/>
  <c r="G73" i="4"/>
  <c r="F73" i="4"/>
  <c r="D35" i="11" s="1"/>
  <c r="F73" i="8"/>
  <c r="D32" i="11" s="1"/>
  <c r="J73" i="15"/>
  <c r="J78" i="15" s="1"/>
  <c r="F73" i="15"/>
  <c r="G73" i="7"/>
  <c r="F73" i="7"/>
  <c r="D30" i="11" s="1"/>
  <c r="D73" i="7"/>
  <c r="E73" i="7"/>
  <c r="C30" i="11" s="1"/>
  <c r="F73" i="9"/>
  <c r="D31" i="11" s="1"/>
  <c r="G73" i="2"/>
  <c r="E73" i="5"/>
  <c r="C33" i="11" s="1"/>
  <c r="G73" i="5"/>
  <c r="D73" i="5"/>
  <c r="F73" i="5"/>
  <c r="D33" i="11" s="1"/>
  <c r="E73" i="17"/>
  <c r="C37" i="11" s="1"/>
  <c r="I73" i="17"/>
  <c r="G73" i="6"/>
  <c r="F73" i="6"/>
  <c r="D34" i="11" s="1"/>
  <c r="E73" i="6"/>
  <c r="C34" i="11" s="1"/>
  <c r="D73" i="6"/>
  <c r="E73" i="4"/>
  <c r="C35" i="11" s="1"/>
  <c r="D73" i="4"/>
  <c r="E73" i="2"/>
  <c r="C28" i="11" s="1"/>
  <c r="F73" i="2"/>
  <c r="D28" i="11" s="1"/>
  <c r="D73" i="2"/>
  <c r="K54" i="5"/>
  <c r="K73" i="5" s="1"/>
  <c r="H54" i="5"/>
  <c r="J54" i="5"/>
  <c r="I54" i="5"/>
  <c r="I73" i="5" s="1"/>
  <c r="J8" i="9"/>
  <c r="J73" i="9" s="1"/>
  <c r="J72" i="8"/>
  <c r="J8" i="8"/>
  <c r="K72" i="7"/>
  <c r="J72" i="7"/>
  <c r="J73" i="7" s="1"/>
  <c r="I72" i="7"/>
  <c r="H72" i="7"/>
  <c r="K8" i="7"/>
  <c r="I8" i="7"/>
  <c r="H8" i="7"/>
  <c r="K73" i="6"/>
  <c r="J8" i="6"/>
  <c r="J73" i="6" s="1"/>
  <c r="I8" i="6"/>
  <c r="I73" i="6" s="1"/>
  <c r="H8" i="6"/>
  <c r="H73" i="6" s="1"/>
  <c r="J8" i="5"/>
  <c r="I8" i="5"/>
  <c r="H8" i="5"/>
  <c r="J73" i="4"/>
  <c r="K73" i="4"/>
  <c r="H72" i="4"/>
  <c r="I72" i="4"/>
  <c r="I8" i="4"/>
  <c r="H8" i="4"/>
  <c r="K72" i="2"/>
  <c r="I72" i="2"/>
  <c r="J72" i="2"/>
  <c r="H72" i="2"/>
  <c r="K8" i="2"/>
  <c r="J8" i="2"/>
  <c r="I8" i="2"/>
  <c r="H8" i="2"/>
  <c r="J72" i="3"/>
  <c r="K72" i="3"/>
  <c r="I72" i="3"/>
  <c r="H72" i="3"/>
  <c r="K63" i="3"/>
  <c r="I63" i="3"/>
  <c r="J63" i="3"/>
  <c r="H63" i="3"/>
  <c r="H54" i="3"/>
  <c r="J54" i="3"/>
  <c r="K54" i="3"/>
  <c r="I54" i="3"/>
  <c r="I21" i="3"/>
  <c r="J21" i="3"/>
  <c r="K21" i="3"/>
  <c r="K8" i="3"/>
  <c r="H21" i="3"/>
  <c r="J8" i="3"/>
  <c r="I8" i="3"/>
  <c r="H8" i="3"/>
  <c r="H38" i="11" l="1"/>
  <c r="D38" i="11"/>
  <c r="G77" i="6"/>
  <c r="H73" i="5"/>
  <c r="J73" i="5"/>
  <c r="J73" i="8"/>
  <c r="I73" i="7"/>
  <c r="K73" i="7"/>
  <c r="I30" i="11" s="1"/>
  <c r="H73" i="7"/>
  <c r="I73" i="4"/>
  <c r="H73" i="4"/>
  <c r="H73" i="2"/>
  <c r="I73" i="2"/>
  <c r="J73" i="2"/>
  <c r="K73" i="2"/>
  <c r="J73" i="3" l="1"/>
  <c r="K73" i="3"/>
  <c r="I73" i="3"/>
  <c r="H73" i="3"/>
  <c r="E72" i="3" l="1"/>
  <c r="F72" i="3"/>
  <c r="G72" i="3"/>
  <c r="D72" i="3"/>
  <c r="E63" i="3"/>
  <c r="F63" i="3"/>
  <c r="G63" i="3"/>
  <c r="D63" i="3"/>
  <c r="E54" i="3"/>
  <c r="F54" i="3"/>
  <c r="G54" i="3"/>
  <c r="D54" i="3"/>
  <c r="E21" i="3"/>
  <c r="F21" i="3"/>
  <c r="G21" i="3"/>
  <c r="D21" i="3"/>
  <c r="E8" i="3"/>
  <c r="F8" i="3"/>
  <c r="G8" i="3"/>
  <c r="D8" i="3"/>
  <c r="G73" i="3" l="1"/>
  <c r="D73" i="3"/>
  <c r="F73" i="3"/>
  <c r="D29" i="11" s="1"/>
  <c r="E73" i="3"/>
  <c r="B40" i="11"/>
  <c r="E39" i="11"/>
  <c r="B38" i="11"/>
  <c r="D54" i="10"/>
  <c r="I8" i="14"/>
  <c r="J8" i="14"/>
  <c r="K8" i="14"/>
  <c r="H8" i="14"/>
  <c r="E77" i="3" l="1"/>
  <c r="C29" i="11"/>
  <c r="I21" i="14"/>
  <c r="I72" i="14"/>
  <c r="H63" i="14"/>
  <c r="J21" i="14"/>
  <c r="K54" i="14"/>
  <c r="K63" i="14"/>
  <c r="J54" i="14"/>
  <c r="J63" i="14"/>
  <c r="I63" i="14"/>
  <c r="J72" i="14"/>
  <c r="H21" i="14"/>
  <c r="H54" i="14" s="1"/>
  <c r="K21" i="14"/>
  <c r="H72" i="14"/>
  <c r="I54" i="14"/>
  <c r="K72" i="14"/>
  <c r="E35" i="11"/>
  <c r="K4" i="12"/>
  <c r="O4" i="13" s="1"/>
  <c r="K5" i="12"/>
  <c r="O5" i="13" s="1"/>
  <c r="K6" i="12"/>
  <c r="O6" i="13" s="1"/>
  <c r="K7" i="12"/>
  <c r="O7" i="13" s="1"/>
  <c r="K9" i="12"/>
  <c r="O9" i="13" s="1"/>
  <c r="K10" i="12"/>
  <c r="O10" i="13" s="1"/>
  <c r="K11" i="12"/>
  <c r="O11" i="13" s="1"/>
  <c r="K12" i="12"/>
  <c r="O12" i="13" s="1"/>
  <c r="K13" i="12"/>
  <c r="O13" i="13" s="1"/>
  <c r="K14" i="12"/>
  <c r="O14" i="13" s="1"/>
  <c r="K15" i="12"/>
  <c r="K16" i="12"/>
  <c r="O16" i="13" s="1"/>
  <c r="K17" i="12"/>
  <c r="O17" i="13" s="1"/>
  <c r="K18" i="12"/>
  <c r="O18" i="13" s="1"/>
  <c r="K19" i="12"/>
  <c r="O19" i="13" s="1"/>
  <c r="K20" i="12"/>
  <c r="K22" i="12"/>
  <c r="O22" i="13" s="1"/>
  <c r="K23" i="12"/>
  <c r="O23" i="13" s="1"/>
  <c r="K24" i="12"/>
  <c r="K25" i="12"/>
  <c r="O26" i="13" s="1"/>
  <c r="K26" i="12"/>
  <c r="O27" i="13" s="1"/>
  <c r="K27" i="12"/>
  <c r="O28" i="13" s="1"/>
  <c r="K28" i="12"/>
  <c r="O29" i="13" s="1"/>
  <c r="K29" i="12"/>
  <c r="O30" i="13" s="1"/>
  <c r="K30" i="12"/>
  <c r="K31" i="12"/>
  <c r="K32" i="12"/>
  <c r="K33" i="12"/>
  <c r="K34" i="12"/>
  <c r="O35" i="13" s="1"/>
  <c r="K35" i="12"/>
  <c r="K36" i="12"/>
  <c r="O37" i="13" s="1"/>
  <c r="K37" i="12"/>
  <c r="K38" i="12"/>
  <c r="O39" i="13" s="1"/>
  <c r="K39" i="12"/>
  <c r="O42" i="13" s="1"/>
  <c r="K40" i="12"/>
  <c r="K41" i="12"/>
  <c r="O44" i="13" s="1"/>
  <c r="K42" i="12"/>
  <c r="K43" i="12"/>
  <c r="O48" i="13" s="1"/>
  <c r="K44" i="12"/>
  <c r="K45" i="12"/>
  <c r="O50" i="13" s="1"/>
  <c r="K46" i="12"/>
  <c r="O51" i="13" s="1"/>
  <c r="K47" i="12"/>
  <c r="K48" i="12"/>
  <c r="O53" i="13" s="1"/>
  <c r="K49" i="12"/>
  <c r="K50" i="12"/>
  <c r="K51" i="12"/>
  <c r="K52" i="12"/>
  <c r="K53" i="12"/>
  <c r="K55" i="12"/>
  <c r="K56" i="12"/>
  <c r="O58" i="13" s="1"/>
  <c r="K57" i="12"/>
  <c r="O55" i="13" s="1"/>
  <c r="K58" i="12"/>
  <c r="K59" i="12"/>
  <c r="O59" i="13" s="1"/>
  <c r="K60" i="12"/>
  <c r="O60" i="13" s="1"/>
  <c r="K62" i="12"/>
  <c r="K64" i="12"/>
  <c r="O64" i="13" s="1"/>
  <c r="K65" i="12"/>
  <c r="O65" i="13" s="1"/>
  <c r="K66" i="12"/>
  <c r="K67" i="12"/>
  <c r="O67" i="13" s="1"/>
  <c r="K68" i="12"/>
  <c r="K69" i="12"/>
  <c r="O69" i="13" s="1"/>
  <c r="K70" i="12"/>
  <c r="O70" i="13" s="1"/>
  <c r="K71" i="12"/>
  <c r="K3" i="12"/>
  <c r="O3" i="13" s="1"/>
  <c r="O8" i="13" s="1"/>
  <c r="I45" i="12"/>
  <c r="M50" i="13" s="1"/>
  <c r="J4" i="12"/>
  <c r="N4" i="13" s="1"/>
  <c r="J5" i="12"/>
  <c r="N5" i="13" s="1"/>
  <c r="J6" i="12"/>
  <c r="N6" i="13" s="1"/>
  <c r="J7" i="12"/>
  <c r="N7" i="13" s="1"/>
  <c r="J9" i="12"/>
  <c r="N9" i="13" s="1"/>
  <c r="J10" i="12"/>
  <c r="N10" i="13" s="1"/>
  <c r="J11" i="12"/>
  <c r="N11" i="13" s="1"/>
  <c r="J12" i="12"/>
  <c r="N12" i="13" s="1"/>
  <c r="J13" i="12"/>
  <c r="N13" i="13" s="1"/>
  <c r="J14" i="12"/>
  <c r="N14" i="13" s="1"/>
  <c r="J15" i="12"/>
  <c r="N15" i="13" s="1"/>
  <c r="J16" i="12"/>
  <c r="N16" i="13" s="1"/>
  <c r="J17" i="12"/>
  <c r="N17" i="13" s="1"/>
  <c r="J18" i="12"/>
  <c r="N18" i="13" s="1"/>
  <c r="J19" i="12"/>
  <c r="N19" i="13" s="1"/>
  <c r="J20" i="12"/>
  <c r="N20" i="13" s="1"/>
  <c r="J23" i="12"/>
  <c r="N23" i="13" s="1"/>
  <c r="J24" i="12"/>
  <c r="N24" i="13" s="1"/>
  <c r="J25" i="12"/>
  <c r="N26" i="13" s="1"/>
  <c r="J26" i="12"/>
  <c r="N27" i="13" s="1"/>
  <c r="J27" i="12"/>
  <c r="N28" i="13" s="1"/>
  <c r="J28" i="12"/>
  <c r="N29" i="13" s="1"/>
  <c r="J29" i="12"/>
  <c r="N30" i="13" s="1"/>
  <c r="J30" i="12"/>
  <c r="N31" i="13" s="1"/>
  <c r="J31" i="12"/>
  <c r="N32" i="13" s="1"/>
  <c r="J32" i="12"/>
  <c r="N33" i="13" s="1"/>
  <c r="J33" i="12"/>
  <c r="N34" i="13" s="1"/>
  <c r="J34" i="12"/>
  <c r="N35" i="13" s="1"/>
  <c r="J35" i="12"/>
  <c r="N36" i="13" s="1"/>
  <c r="J36" i="12"/>
  <c r="N37" i="13" s="1"/>
  <c r="J37" i="12"/>
  <c r="N38" i="13" s="1"/>
  <c r="J38" i="12"/>
  <c r="N39" i="13" s="1"/>
  <c r="J39" i="12"/>
  <c r="N42" i="13" s="1"/>
  <c r="J40" i="12"/>
  <c r="N43" i="13" s="1"/>
  <c r="J41" i="12"/>
  <c r="N44" i="13" s="1"/>
  <c r="J42" i="12"/>
  <c r="N47" i="13" s="1"/>
  <c r="J43" i="12"/>
  <c r="N48" i="13" s="1"/>
  <c r="J44" i="12"/>
  <c r="N49" i="13" s="1"/>
  <c r="J45" i="12"/>
  <c r="N50" i="13" s="1"/>
  <c r="J46" i="12"/>
  <c r="N51" i="13" s="1"/>
  <c r="J47" i="12"/>
  <c r="N52" i="13" s="1"/>
  <c r="J48" i="12"/>
  <c r="N53" i="13" s="1"/>
  <c r="J49" i="12"/>
  <c r="J50" i="12"/>
  <c r="N45" i="13" s="1"/>
  <c r="J51" i="12"/>
  <c r="N46" i="13" s="1"/>
  <c r="J52" i="12"/>
  <c r="N40" i="13" s="1"/>
  <c r="J53" i="12"/>
  <c r="N41" i="13" s="1"/>
  <c r="J55" i="12"/>
  <c r="N57" i="13" s="1"/>
  <c r="J56" i="12"/>
  <c r="N58" i="13" s="1"/>
  <c r="J57" i="12"/>
  <c r="N55" i="13" s="1"/>
  <c r="J58" i="12"/>
  <c r="N56" i="13" s="1"/>
  <c r="J59" i="12"/>
  <c r="N59" i="13" s="1"/>
  <c r="J60" i="12"/>
  <c r="N60" i="13" s="1"/>
  <c r="J62" i="12"/>
  <c r="N62" i="13" s="1"/>
  <c r="J64" i="12"/>
  <c r="N64" i="13" s="1"/>
  <c r="J65" i="12"/>
  <c r="N65" i="13" s="1"/>
  <c r="J66" i="12"/>
  <c r="N66" i="13" s="1"/>
  <c r="J67" i="12"/>
  <c r="N67" i="13" s="1"/>
  <c r="J68" i="12"/>
  <c r="N68" i="13" s="1"/>
  <c r="J69" i="12"/>
  <c r="N69" i="13" s="1"/>
  <c r="J70" i="12"/>
  <c r="N70" i="13" s="1"/>
  <c r="J71" i="12"/>
  <c r="N71" i="13" s="1"/>
  <c r="J3" i="12"/>
  <c r="N3" i="13" s="1"/>
  <c r="I4" i="12"/>
  <c r="M4" i="13" s="1"/>
  <c r="I5" i="12"/>
  <c r="M5" i="13" s="1"/>
  <c r="I6" i="12"/>
  <c r="M6" i="13" s="1"/>
  <c r="I7" i="12"/>
  <c r="M7" i="13" s="1"/>
  <c r="I9" i="12"/>
  <c r="M9" i="13" s="1"/>
  <c r="I10" i="12"/>
  <c r="M10" i="13" s="1"/>
  <c r="I11" i="12"/>
  <c r="M11" i="13" s="1"/>
  <c r="I12" i="12"/>
  <c r="M12" i="13" s="1"/>
  <c r="I13" i="12"/>
  <c r="M13" i="13" s="1"/>
  <c r="I14" i="12"/>
  <c r="M14" i="13" s="1"/>
  <c r="I15" i="12"/>
  <c r="M15" i="13" s="1"/>
  <c r="I16" i="12"/>
  <c r="M16" i="13" s="1"/>
  <c r="I17" i="12"/>
  <c r="M17" i="13" s="1"/>
  <c r="I18" i="12"/>
  <c r="M18" i="13" s="1"/>
  <c r="I19" i="12"/>
  <c r="M19" i="13" s="1"/>
  <c r="I20" i="12"/>
  <c r="M20" i="13" s="1"/>
  <c r="I22" i="12"/>
  <c r="M22" i="13" s="1"/>
  <c r="I23" i="12"/>
  <c r="M23" i="13" s="1"/>
  <c r="I24" i="12"/>
  <c r="M24" i="13" s="1"/>
  <c r="I25" i="12"/>
  <c r="M26" i="13" s="1"/>
  <c r="I26" i="12"/>
  <c r="M27" i="13" s="1"/>
  <c r="I27" i="12"/>
  <c r="M28" i="13" s="1"/>
  <c r="I28" i="12"/>
  <c r="M29" i="13" s="1"/>
  <c r="I29" i="12"/>
  <c r="M30" i="13" s="1"/>
  <c r="I30" i="12"/>
  <c r="M31" i="13" s="1"/>
  <c r="I31" i="12"/>
  <c r="M32" i="13" s="1"/>
  <c r="I32" i="12"/>
  <c r="M33" i="13" s="1"/>
  <c r="I33" i="12"/>
  <c r="M34" i="13" s="1"/>
  <c r="I34" i="12"/>
  <c r="M35" i="13" s="1"/>
  <c r="I35" i="12"/>
  <c r="M36" i="13" s="1"/>
  <c r="I36" i="12"/>
  <c r="M37" i="13" s="1"/>
  <c r="I37" i="12"/>
  <c r="M38" i="13" s="1"/>
  <c r="I38" i="12"/>
  <c r="M39" i="13" s="1"/>
  <c r="I39" i="12"/>
  <c r="M42" i="13" s="1"/>
  <c r="I40" i="12"/>
  <c r="M43" i="13" s="1"/>
  <c r="I41" i="12"/>
  <c r="M44" i="13" s="1"/>
  <c r="I42" i="12"/>
  <c r="M47" i="13" s="1"/>
  <c r="I43" i="12"/>
  <c r="M48" i="13" s="1"/>
  <c r="I44" i="12"/>
  <c r="M49" i="13" s="1"/>
  <c r="I46" i="12"/>
  <c r="M51" i="13" s="1"/>
  <c r="I47" i="12"/>
  <c r="M52" i="13" s="1"/>
  <c r="I48" i="12"/>
  <c r="M53" i="13" s="1"/>
  <c r="I49" i="12"/>
  <c r="I50" i="12"/>
  <c r="M45" i="13" s="1"/>
  <c r="I51" i="12"/>
  <c r="M46" i="13" s="1"/>
  <c r="I52" i="12"/>
  <c r="M40" i="13" s="1"/>
  <c r="I53" i="12"/>
  <c r="M41" i="13" s="1"/>
  <c r="I55" i="12"/>
  <c r="M57" i="13" s="1"/>
  <c r="I56" i="12"/>
  <c r="M58" i="13" s="1"/>
  <c r="I57" i="12"/>
  <c r="M55" i="13" s="1"/>
  <c r="I58" i="12"/>
  <c r="M56" i="13" s="1"/>
  <c r="I59" i="12"/>
  <c r="M59" i="13" s="1"/>
  <c r="I60" i="12"/>
  <c r="M60" i="13" s="1"/>
  <c r="I62" i="12"/>
  <c r="M62" i="13" s="1"/>
  <c r="I64" i="12"/>
  <c r="M64" i="13" s="1"/>
  <c r="I65" i="12"/>
  <c r="M65" i="13" s="1"/>
  <c r="I66" i="12"/>
  <c r="M66" i="13" s="1"/>
  <c r="I67" i="12"/>
  <c r="M67" i="13" s="1"/>
  <c r="I68" i="12"/>
  <c r="M68" i="13" s="1"/>
  <c r="I69" i="12"/>
  <c r="M69" i="13" s="1"/>
  <c r="I70" i="12"/>
  <c r="M70" i="13" s="1"/>
  <c r="I71" i="12"/>
  <c r="M71" i="13" s="1"/>
  <c r="I3" i="12"/>
  <c r="M3" i="13" s="1"/>
  <c r="H4" i="12"/>
  <c r="L4" i="13" s="1"/>
  <c r="H5" i="12"/>
  <c r="L5" i="13" s="1"/>
  <c r="H6" i="12"/>
  <c r="L6" i="13" s="1"/>
  <c r="H7" i="12"/>
  <c r="L7" i="13" s="1"/>
  <c r="H9" i="12"/>
  <c r="L9" i="13" s="1"/>
  <c r="H10" i="12"/>
  <c r="L10" i="13" s="1"/>
  <c r="H11" i="12"/>
  <c r="L11" i="13" s="1"/>
  <c r="H12" i="12"/>
  <c r="L12" i="13" s="1"/>
  <c r="H13" i="12"/>
  <c r="L13" i="13" s="1"/>
  <c r="H14" i="12"/>
  <c r="L14" i="13" s="1"/>
  <c r="H15" i="12"/>
  <c r="L15" i="13" s="1"/>
  <c r="H16" i="12"/>
  <c r="L16" i="13" s="1"/>
  <c r="H17" i="12"/>
  <c r="L17" i="13" s="1"/>
  <c r="H18" i="12"/>
  <c r="L18" i="13" s="1"/>
  <c r="H19" i="12"/>
  <c r="L19" i="13" s="1"/>
  <c r="H20" i="12"/>
  <c r="L20" i="13" s="1"/>
  <c r="H22" i="12"/>
  <c r="L22" i="13" s="1"/>
  <c r="H23" i="12"/>
  <c r="L23" i="13" s="1"/>
  <c r="H24" i="12"/>
  <c r="L24" i="13" s="1"/>
  <c r="H25" i="12"/>
  <c r="L26" i="13" s="1"/>
  <c r="H26" i="12"/>
  <c r="L27" i="13" s="1"/>
  <c r="H27" i="12"/>
  <c r="L28" i="13" s="1"/>
  <c r="H28" i="12"/>
  <c r="L29" i="13" s="1"/>
  <c r="H29" i="12"/>
  <c r="L30" i="13" s="1"/>
  <c r="H30" i="12"/>
  <c r="L31" i="13" s="1"/>
  <c r="H31" i="12"/>
  <c r="L32" i="13" s="1"/>
  <c r="H32" i="12"/>
  <c r="L33" i="13" s="1"/>
  <c r="H33" i="12"/>
  <c r="L34" i="13" s="1"/>
  <c r="H34" i="12"/>
  <c r="L35" i="13" s="1"/>
  <c r="H35" i="12"/>
  <c r="L36" i="13" s="1"/>
  <c r="H36" i="12"/>
  <c r="L37" i="13" s="1"/>
  <c r="H37" i="12"/>
  <c r="L38" i="13" s="1"/>
  <c r="H38" i="12"/>
  <c r="L39" i="13" s="1"/>
  <c r="H39" i="12"/>
  <c r="L42" i="13" s="1"/>
  <c r="H40" i="12"/>
  <c r="L43" i="13" s="1"/>
  <c r="H41" i="12"/>
  <c r="L44" i="13" s="1"/>
  <c r="H42" i="12"/>
  <c r="L47" i="13" s="1"/>
  <c r="H43" i="12"/>
  <c r="L48" i="13" s="1"/>
  <c r="H44" i="12"/>
  <c r="L49" i="13" s="1"/>
  <c r="H45" i="12"/>
  <c r="L50" i="13" s="1"/>
  <c r="H46" i="12"/>
  <c r="L51" i="13" s="1"/>
  <c r="H47" i="12"/>
  <c r="L52" i="13" s="1"/>
  <c r="H48" i="12"/>
  <c r="L53" i="13" s="1"/>
  <c r="H49" i="12"/>
  <c r="H50" i="12"/>
  <c r="L45" i="13" s="1"/>
  <c r="H51" i="12"/>
  <c r="L46" i="13" s="1"/>
  <c r="H52" i="12"/>
  <c r="L40" i="13" s="1"/>
  <c r="H53" i="12"/>
  <c r="L41" i="13" s="1"/>
  <c r="H55" i="12"/>
  <c r="L57" i="13" s="1"/>
  <c r="H56" i="12"/>
  <c r="L58" i="13" s="1"/>
  <c r="H57" i="12"/>
  <c r="L55" i="13" s="1"/>
  <c r="H58" i="12"/>
  <c r="L56" i="13" s="1"/>
  <c r="H59" i="12"/>
  <c r="L59" i="13" s="1"/>
  <c r="H60" i="12"/>
  <c r="L60" i="13" s="1"/>
  <c r="H62" i="12"/>
  <c r="L62" i="13" s="1"/>
  <c r="H64" i="12"/>
  <c r="L64" i="13" s="1"/>
  <c r="H65" i="12"/>
  <c r="L65" i="13" s="1"/>
  <c r="H66" i="12"/>
  <c r="L66" i="13" s="1"/>
  <c r="H67" i="12"/>
  <c r="L67" i="13" s="1"/>
  <c r="H68" i="12"/>
  <c r="L68" i="13" s="1"/>
  <c r="H69" i="12"/>
  <c r="L69" i="13" s="1"/>
  <c r="H70" i="12"/>
  <c r="L70" i="13" s="1"/>
  <c r="H71" i="12"/>
  <c r="L71" i="13" s="1"/>
  <c r="H3" i="12"/>
  <c r="L3" i="13" s="1"/>
  <c r="M8" i="13" l="1"/>
  <c r="N8" i="13"/>
  <c r="N72" i="13"/>
  <c r="G53" i="12"/>
  <c r="O41" i="13"/>
  <c r="G37" i="12"/>
  <c r="O38" i="13"/>
  <c r="G20" i="12"/>
  <c r="O20" i="13"/>
  <c r="M72" i="13"/>
  <c r="G71" i="12"/>
  <c r="O71" i="13"/>
  <c r="G62" i="12"/>
  <c r="O62" i="13"/>
  <c r="G52" i="12"/>
  <c r="O40" i="13"/>
  <c r="O49" i="13"/>
  <c r="G44" i="12"/>
  <c r="N21" i="13"/>
  <c r="O46" i="13"/>
  <c r="G51" i="12"/>
  <c r="O36" i="13"/>
  <c r="G35" i="12"/>
  <c r="L72" i="13"/>
  <c r="M21" i="13"/>
  <c r="G50" i="12"/>
  <c r="O45" i="13"/>
  <c r="G42" i="12"/>
  <c r="O47" i="13"/>
  <c r="L21" i="13"/>
  <c r="D18" i="11"/>
  <c r="L18" i="11" s="1"/>
  <c r="N25" i="13"/>
  <c r="O68" i="13"/>
  <c r="G68" i="12"/>
  <c r="G58" i="12"/>
  <c r="O56" i="13"/>
  <c r="E18" i="11"/>
  <c r="O25" i="13"/>
  <c r="G49" i="12"/>
  <c r="O34" i="13"/>
  <c r="G33" i="12"/>
  <c r="B18" i="11"/>
  <c r="L25" i="13"/>
  <c r="L54" i="13" s="1"/>
  <c r="C18" i="11"/>
  <c r="M25" i="13"/>
  <c r="M54" i="13" s="1"/>
  <c r="N63" i="13"/>
  <c r="O43" i="13"/>
  <c r="G40" i="12"/>
  <c r="O33" i="13"/>
  <c r="G32" i="12"/>
  <c r="G24" i="12"/>
  <c r="O24" i="13"/>
  <c r="G15" i="12"/>
  <c r="O15" i="13"/>
  <c r="L8" i="13"/>
  <c r="L63" i="13"/>
  <c r="M63" i="13"/>
  <c r="O66" i="13"/>
  <c r="G66" i="12"/>
  <c r="G47" i="12"/>
  <c r="O52" i="13"/>
  <c r="O32" i="13"/>
  <c r="G31" i="12"/>
  <c r="G55" i="12"/>
  <c r="O57" i="13"/>
  <c r="G30" i="12"/>
  <c r="O31" i="13"/>
  <c r="H21" i="12"/>
  <c r="I54" i="12"/>
  <c r="C17" i="11"/>
  <c r="K17" i="11" s="1"/>
  <c r="J63" i="12"/>
  <c r="D20" i="11"/>
  <c r="K63" i="12"/>
  <c r="E20" i="11"/>
  <c r="E17" i="11"/>
  <c r="M17" i="11" s="1"/>
  <c r="K54" i="12"/>
  <c r="H63" i="12"/>
  <c r="B20" i="11"/>
  <c r="J20" i="11" s="1"/>
  <c r="H54" i="12"/>
  <c r="B17" i="11"/>
  <c r="J17" i="11" s="1"/>
  <c r="I63" i="12"/>
  <c r="C20" i="11"/>
  <c r="J8" i="12"/>
  <c r="D19" i="11"/>
  <c r="L19" i="11" s="1"/>
  <c r="J72" i="12"/>
  <c r="K8" i="12"/>
  <c r="E19" i="11"/>
  <c r="M19" i="11" s="1"/>
  <c r="K72" i="12"/>
  <c r="H8" i="12"/>
  <c r="B6" i="11" s="1"/>
  <c r="B19" i="11"/>
  <c r="J19" i="11" s="1"/>
  <c r="H72" i="12"/>
  <c r="C19" i="11"/>
  <c r="K19" i="11" s="1"/>
  <c r="I8" i="12"/>
  <c r="I72" i="12"/>
  <c r="J21" i="12"/>
  <c r="I21" i="12"/>
  <c r="K21" i="12"/>
  <c r="J73" i="14"/>
  <c r="I73" i="14"/>
  <c r="B37" i="11"/>
  <c r="E37" i="11"/>
  <c r="K73" i="14"/>
  <c r="H73" i="14"/>
  <c r="F55" i="12"/>
  <c r="E55" i="12"/>
  <c r="O21" i="13" l="1"/>
  <c r="O72" i="13"/>
  <c r="O63" i="13"/>
  <c r="O54" i="13"/>
  <c r="M18" i="11"/>
  <c r="K18" i="11"/>
  <c r="L73" i="13"/>
  <c r="J18" i="11"/>
  <c r="O73" i="14"/>
  <c r="K73" i="12"/>
  <c r="M73" i="14"/>
  <c r="L73" i="14"/>
  <c r="I73" i="12"/>
  <c r="B21" i="11"/>
  <c r="C21" i="11"/>
  <c r="D21" i="1" l="1"/>
  <c r="E8" i="1"/>
  <c r="F8" i="1"/>
  <c r="G8" i="1"/>
  <c r="H8" i="1"/>
  <c r="I8" i="1"/>
  <c r="J8" i="1"/>
  <c r="K8" i="1"/>
  <c r="D8" i="1"/>
  <c r="B30" i="11" l="1"/>
  <c r="E30" i="11"/>
  <c r="E21" i="11" l="1"/>
  <c r="B29" i="11"/>
  <c r="E29" i="11" l="1"/>
  <c r="E32" i="11"/>
  <c r="L42" i="12" l="1"/>
  <c r="L67" i="12"/>
  <c r="L68" i="12"/>
  <c r="L70" i="12"/>
  <c r="L71" i="12"/>
  <c r="C8" i="11"/>
  <c r="D8" i="11"/>
  <c r="E34" i="11" l="1"/>
  <c r="J22" i="12"/>
  <c r="N22" i="13" s="1"/>
  <c r="N54" i="13" s="1"/>
  <c r="E33" i="11"/>
  <c r="L52" i="12"/>
  <c r="L18" i="12"/>
  <c r="L9" i="12"/>
  <c r="L3" i="12"/>
  <c r="O60" i="12"/>
  <c r="G60" i="12" s="1"/>
  <c r="O55" i="12"/>
  <c r="O58" i="12"/>
  <c r="O46" i="12"/>
  <c r="G46" i="12" s="1"/>
  <c r="O43" i="12"/>
  <c r="G43" i="12" s="1"/>
  <c r="O50" i="12"/>
  <c r="O39" i="12"/>
  <c r="G39" i="12" s="1"/>
  <c r="O38" i="12"/>
  <c r="G38" i="12" s="1"/>
  <c r="O35" i="12"/>
  <c r="O32" i="12"/>
  <c r="O29" i="12"/>
  <c r="G29" i="12" s="1"/>
  <c r="O26" i="12"/>
  <c r="G26" i="12" s="1"/>
  <c r="O24" i="12"/>
  <c r="O20" i="12"/>
  <c r="O17" i="12"/>
  <c r="G17" i="12" s="1"/>
  <c r="O14" i="12"/>
  <c r="O11" i="12"/>
  <c r="O7" i="12"/>
  <c r="O4" i="12"/>
  <c r="L57" i="12"/>
  <c r="E19" i="10"/>
  <c r="M59" i="12"/>
  <c r="E40" i="10"/>
  <c r="M52" i="12"/>
  <c r="E7" i="10"/>
  <c r="M49" i="12"/>
  <c r="L56" i="12"/>
  <c r="L36" i="12"/>
  <c r="L15" i="12"/>
  <c r="L5" i="12"/>
  <c r="O66" i="12"/>
  <c r="N69" i="12"/>
  <c r="N60" i="12"/>
  <c r="N58" i="12"/>
  <c r="N43" i="12"/>
  <c r="N39" i="12"/>
  <c r="N38" i="12"/>
  <c r="N35" i="12"/>
  <c r="N32" i="12"/>
  <c r="N29" i="12"/>
  <c r="N26" i="12"/>
  <c r="N24" i="12"/>
  <c r="N20" i="12"/>
  <c r="N17" i="12"/>
  <c r="N14" i="12"/>
  <c r="N11" i="12"/>
  <c r="N7" i="12"/>
  <c r="N4" i="12"/>
  <c r="L45" i="12"/>
  <c r="E37" i="10"/>
  <c r="M67" i="12"/>
  <c r="M44" i="12"/>
  <c r="E17" i="10"/>
  <c r="E48" i="10"/>
  <c r="M33" i="12"/>
  <c r="E23" i="10"/>
  <c r="M18" i="12"/>
  <c r="L59" i="12"/>
  <c r="L33" i="12"/>
  <c r="L12" i="12"/>
  <c r="O69" i="12"/>
  <c r="G69" i="12" s="1"/>
  <c r="E28" i="10"/>
  <c r="M3" i="12"/>
  <c r="N66" i="12"/>
  <c r="N55" i="12"/>
  <c r="N46" i="12"/>
  <c r="N50" i="12"/>
  <c r="N3" i="12"/>
  <c r="E34" i="10"/>
  <c r="M69" i="12"/>
  <c r="E32" i="10"/>
  <c r="M66" i="12"/>
  <c r="E30" i="10"/>
  <c r="M60" i="12"/>
  <c r="E16" i="10"/>
  <c r="M55" i="12"/>
  <c r="M58" i="12"/>
  <c r="E44" i="10"/>
  <c r="E57" i="10"/>
  <c r="M46" i="12"/>
  <c r="E6" i="10"/>
  <c r="M43" i="12"/>
  <c r="E64" i="10"/>
  <c r="M50" i="12"/>
  <c r="E22" i="10"/>
  <c r="M39" i="12"/>
  <c r="E33" i="10"/>
  <c r="M38" i="12"/>
  <c r="M35" i="12"/>
  <c r="E3" i="10"/>
  <c r="E11" i="10"/>
  <c r="M32" i="12"/>
  <c r="E18" i="10"/>
  <c r="M29" i="12"/>
  <c r="E63" i="10"/>
  <c r="M26" i="12"/>
  <c r="E59" i="10"/>
  <c r="M24" i="12"/>
  <c r="E13" i="10"/>
  <c r="M20" i="12"/>
  <c r="M17" i="12"/>
  <c r="E10" i="10"/>
  <c r="E42" i="10"/>
  <c r="M14" i="12"/>
  <c r="E56" i="10"/>
  <c r="M11" i="12"/>
  <c r="E31" i="10"/>
  <c r="M7" i="12"/>
  <c r="E61" i="10"/>
  <c r="M4" i="12"/>
  <c r="L62" i="12"/>
  <c r="E39" i="10"/>
  <c r="M56" i="12"/>
  <c r="E45" i="10"/>
  <c r="M40" i="12"/>
  <c r="E2" i="10"/>
  <c r="M27" i="12"/>
  <c r="E43" i="10"/>
  <c r="M15" i="12"/>
  <c r="E36" i="10"/>
  <c r="M5" i="12"/>
  <c r="L44" i="12"/>
  <c r="L27" i="12"/>
  <c r="L69" i="12"/>
  <c r="L66" i="12"/>
  <c r="L60" i="12"/>
  <c r="L55" i="12"/>
  <c r="L58" i="12"/>
  <c r="L46" i="12"/>
  <c r="L43" i="12"/>
  <c r="L50" i="12"/>
  <c r="L39" i="12"/>
  <c r="L38" i="12"/>
  <c r="L35" i="12"/>
  <c r="L32" i="12"/>
  <c r="L29" i="12"/>
  <c r="L26" i="12"/>
  <c r="L24" i="12"/>
  <c r="L20" i="12"/>
  <c r="L17" i="12"/>
  <c r="L14" i="12"/>
  <c r="L11" i="12"/>
  <c r="L7" i="12"/>
  <c r="L4" i="12"/>
  <c r="L51" i="12"/>
  <c r="L22" i="12"/>
  <c r="O71" i="12"/>
  <c r="O62" i="12"/>
  <c r="O57" i="12"/>
  <c r="G57" i="12" s="1"/>
  <c r="O48" i="12"/>
  <c r="G48" i="12" s="1"/>
  <c r="O45" i="12"/>
  <c r="G45" i="12" s="1"/>
  <c r="O42" i="12"/>
  <c r="O41" i="12"/>
  <c r="G41" i="12" s="1"/>
  <c r="O37" i="12"/>
  <c r="O34" i="12"/>
  <c r="G34" i="12" s="1"/>
  <c r="O31" i="12"/>
  <c r="O28" i="12"/>
  <c r="G28" i="12" s="1"/>
  <c r="O25" i="12"/>
  <c r="G25" i="12" s="1"/>
  <c r="O23" i="12"/>
  <c r="G23" i="12" s="1"/>
  <c r="O19" i="12"/>
  <c r="G19" i="12" s="1"/>
  <c r="O16" i="12"/>
  <c r="G16" i="12" s="1"/>
  <c r="O13" i="12"/>
  <c r="O10" i="12"/>
  <c r="O6" i="12"/>
  <c r="E15" i="10"/>
  <c r="M64" i="12"/>
  <c r="E53" i="10"/>
  <c r="M51" i="12"/>
  <c r="M30" i="12"/>
  <c r="E60" i="10"/>
  <c r="M12" i="12"/>
  <c r="E54" i="10"/>
  <c r="L64" i="12"/>
  <c r="L40" i="12"/>
  <c r="L49" i="12"/>
  <c r="O3" i="12"/>
  <c r="O68" i="12"/>
  <c r="N71" i="12"/>
  <c r="N65" i="12"/>
  <c r="N62" i="12"/>
  <c r="N48" i="12"/>
  <c r="N42" i="12"/>
  <c r="N41" i="12"/>
  <c r="N53" i="12"/>
  <c r="N37" i="12"/>
  <c r="N34" i="12"/>
  <c r="N31" i="12"/>
  <c r="N28" i="12"/>
  <c r="N25" i="12"/>
  <c r="N23" i="12"/>
  <c r="N19" i="12"/>
  <c r="N16" i="12"/>
  <c r="N13" i="12"/>
  <c r="N10" i="12"/>
  <c r="N6" i="12"/>
  <c r="L65" i="12"/>
  <c r="M70" i="12"/>
  <c r="E46" i="10"/>
  <c r="E21" i="10"/>
  <c r="M47" i="12"/>
  <c r="E55" i="10"/>
  <c r="M36" i="12"/>
  <c r="E49" i="10"/>
  <c r="M22" i="12"/>
  <c r="E35" i="10"/>
  <c r="M9" i="12"/>
  <c r="L47" i="12"/>
  <c r="L30" i="12"/>
  <c r="O65" i="12"/>
  <c r="G65" i="12" s="1"/>
  <c r="N68" i="12"/>
  <c r="N57" i="12"/>
  <c r="N45" i="12"/>
  <c r="E29" i="10"/>
  <c r="M71" i="12"/>
  <c r="E26" i="10"/>
  <c r="M68" i="12"/>
  <c r="E25" i="10"/>
  <c r="M65" i="12"/>
  <c r="E27" i="10"/>
  <c r="M62" i="12"/>
  <c r="M57" i="12"/>
  <c r="E47" i="10"/>
  <c r="E20" i="10"/>
  <c r="M48" i="12"/>
  <c r="E14" i="10"/>
  <c r="M45" i="12"/>
  <c r="E12" i="10"/>
  <c r="M42" i="12"/>
  <c r="E65" i="10"/>
  <c r="M41" i="12"/>
  <c r="E4" i="10"/>
  <c r="M53" i="12"/>
  <c r="M37" i="12"/>
  <c r="E24" i="10"/>
  <c r="E9" i="10"/>
  <c r="M34" i="12"/>
  <c r="E66" i="10"/>
  <c r="M31" i="12"/>
  <c r="E5" i="10"/>
  <c r="M28" i="12"/>
  <c r="E62" i="10"/>
  <c r="M25" i="12"/>
  <c r="E38" i="10"/>
  <c r="M23" i="12"/>
  <c r="M19" i="12"/>
  <c r="E50" i="10"/>
  <c r="M16" i="12"/>
  <c r="E58" i="10"/>
  <c r="M13" i="12"/>
  <c r="E41" i="10"/>
  <c r="M10" i="12"/>
  <c r="E8" i="10"/>
  <c r="M6" i="12"/>
  <c r="L41" i="12"/>
  <c r="L53" i="12"/>
  <c r="L37" i="12"/>
  <c r="L34" i="12"/>
  <c r="L31" i="12"/>
  <c r="L28" i="12"/>
  <c r="L25" i="12"/>
  <c r="L23" i="12"/>
  <c r="L19" i="12"/>
  <c r="L16" i="12"/>
  <c r="L13" i="12"/>
  <c r="L10" i="12"/>
  <c r="L6" i="12"/>
  <c r="O70" i="12"/>
  <c r="G70" i="12" s="1"/>
  <c r="O67" i="12"/>
  <c r="G67" i="12" s="1"/>
  <c r="O64" i="12"/>
  <c r="G64" i="12" s="1"/>
  <c r="O56" i="12"/>
  <c r="G56" i="12" s="1"/>
  <c r="O59" i="12"/>
  <c r="G59" i="12" s="1"/>
  <c r="O47" i="12"/>
  <c r="O44" i="12"/>
  <c r="O51" i="12"/>
  <c r="O40" i="12"/>
  <c r="O36" i="12"/>
  <c r="G36" i="12" s="1"/>
  <c r="O33" i="12"/>
  <c r="O30" i="12"/>
  <c r="O27" i="12"/>
  <c r="G27" i="12" s="1"/>
  <c r="O49" i="12"/>
  <c r="O22" i="12"/>
  <c r="G22" i="12" s="1"/>
  <c r="O18" i="12"/>
  <c r="G18" i="12" s="1"/>
  <c r="O15" i="12"/>
  <c r="O12" i="12"/>
  <c r="O9" i="12"/>
  <c r="O5" i="12"/>
  <c r="L48" i="12"/>
  <c r="N70" i="12"/>
  <c r="N67" i="12"/>
  <c r="N64" i="12"/>
  <c r="N56" i="12"/>
  <c r="N59" i="12"/>
  <c r="N47" i="12"/>
  <c r="N44" i="12"/>
  <c r="N51" i="12"/>
  <c r="N40" i="12"/>
  <c r="N52" i="12"/>
  <c r="N36" i="12"/>
  <c r="N33" i="12"/>
  <c r="N30" i="12"/>
  <c r="N27" i="12"/>
  <c r="N49" i="12"/>
  <c r="N22" i="12"/>
  <c r="N18" i="12"/>
  <c r="N15" i="12"/>
  <c r="N12" i="12"/>
  <c r="N9" i="12"/>
  <c r="N5" i="12"/>
  <c r="Q18" i="11" l="1"/>
  <c r="I18" i="11" s="1"/>
  <c r="P18" i="11"/>
  <c r="N18" i="11"/>
  <c r="F18" i="11" s="1"/>
  <c r="O18" i="11"/>
  <c r="G18" i="11" s="1"/>
  <c r="C32" i="10"/>
  <c r="B32" i="10"/>
  <c r="C56" i="10"/>
  <c r="B56" i="10"/>
  <c r="C42" i="10"/>
  <c r="B42" i="10"/>
  <c r="C26" i="10"/>
  <c r="B26" i="10"/>
  <c r="C43" i="10"/>
  <c r="B43" i="10"/>
  <c r="C10" i="10"/>
  <c r="B10" i="10"/>
  <c r="C44" i="10"/>
  <c r="B44" i="10"/>
  <c r="C65" i="10"/>
  <c r="B65" i="10"/>
  <c r="C18" i="10"/>
  <c r="B18" i="10"/>
  <c r="C22" i="10"/>
  <c r="B22" i="10"/>
  <c r="C64" i="10"/>
  <c r="B64" i="10"/>
  <c r="C38" i="10"/>
  <c r="B38" i="10"/>
  <c r="C24" i="10"/>
  <c r="B24" i="10"/>
  <c r="C45" i="10"/>
  <c r="B45" i="10"/>
  <c r="C8" i="10"/>
  <c r="B8" i="10"/>
  <c r="C14" i="10"/>
  <c r="B14" i="10"/>
  <c r="C6" i="10"/>
  <c r="B6" i="10"/>
  <c r="C7" i="10"/>
  <c r="B7" i="10"/>
  <c r="C58" i="10"/>
  <c r="B58" i="10"/>
  <c r="C62" i="10"/>
  <c r="B62" i="10"/>
  <c r="C25" i="10"/>
  <c r="B25" i="10"/>
  <c r="C55" i="10"/>
  <c r="B55" i="10"/>
  <c r="C59" i="10"/>
  <c r="B59" i="10"/>
  <c r="C30" i="10"/>
  <c r="B30" i="10"/>
  <c r="C36" i="10"/>
  <c r="B36" i="10"/>
  <c r="C39" i="10"/>
  <c r="B39" i="10"/>
  <c r="C23" i="10"/>
  <c r="B23" i="10"/>
  <c r="C20" i="10"/>
  <c r="B20" i="10"/>
  <c r="C53" i="10"/>
  <c r="B53" i="10"/>
  <c r="C63" i="10"/>
  <c r="B63" i="10"/>
  <c r="C33" i="10"/>
  <c r="B33" i="10"/>
  <c r="C57" i="10"/>
  <c r="B57" i="10"/>
  <c r="C40" i="10"/>
  <c r="B40" i="10"/>
  <c r="C21" i="10"/>
  <c r="B21" i="10"/>
  <c r="C46" i="10"/>
  <c r="B46" i="10"/>
  <c r="C28" i="10"/>
  <c r="B28" i="10"/>
  <c r="C48" i="10"/>
  <c r="B48" i="10"/>
  <c r="C47" i="10"/>
  <c r="B47" i="10"/>
  <c r="C29" i="10"/>
  <c r="B29" i="10"/>
  <c r="C15" i="10"/>
  <c r="B15" i="10"/>
  <c r="C34" i="10"/>
  <c r="B34" i="10"/>
  <c r="C17" i="10"/>
  <c r="B17" i="10"/>
  <c r="C19" i="10"/>
  <c r="B19" i="10"/>
  <c r="C5" i="10"/>
  <c r="B5" i="10"/>
  <c r="C61" i="10"/>
  <c r="B61" i="10"/>
  <c r="C54" i="10"/>
  <c r="B54" i="10"/>
  <c r="C2" i="10"/>
  <c r="B2" i="10"/>
  <c r="C50" i="10"/>
  <c r="B50" i="10"/>
  <c r="C66" i="10"/>
  <c r="B66" i="10"/>
  <c r="C41" i="10"/>
  <c r="B41" i="10"/>
  <c r="C9" i="10"/>
  <c r="B9" i="10"/>
  <c r="C27" i="10"/>
  <c r="B27" i="10"/>
  <c r="C31" i="10"/>
  <c r="B31" i="10"/>
  <c r="C13" i="10"/>
  <c r="B13" i="10"/>
  <c r="C11" i="10"/>
  <c r="B11" i="10"/>
  <c r="C16" i="10"/>
  <c r="B16" i="10"/>
  <c r="C4" i="10"/>
  <c r="B4" i="10"/>
  <c r="C35" i="10"/>
  <c r="B35" i="10"/>
  <c r="C12" i="10"/>
  <c r="B12" i="10"/>
  <c r="C49" i="10"/>
  <c r="B49" i="10"/>
  <c r="C60" i="10"/>
  <c r="B60" i="10"/>
  <c r="C3" i="10"/>
  <c r="B3" i="10"/>
  <c r="C37" i="10"/>
  <c r="B37" i="10"/>
  <c r="J54" i="12"/>
  <c r="J73" i="12" s="1"/>
  <c r="D17" i="11"/>
  <c r="O21" i="12"/>
  <c r="G21" i="12" s="1"/>
  <c r="L72" i="12"/>
  <c r="N63" i="12"/>
  <c r="P20" i="11"/>
  <c r="H20" i="11" s="1"/>
  <c r="Q19" i="11"/>
  <c r="O8" i="12"/>
  <c r="N8" i="12"/>
  <c r="P19" i="11"/>
  <c r="M63" i="12"/>
  <c r="O20" i="11"/>
  <c r="M72" i="12"/>
  <c r="L21" i="12"/>
  <c r="N21" i="12"/>
  <c r="O72" i="12"/>
  <c r="G72" i="12" s="1"/>
  <c r="L63" i="12"/>
  <c r="N20" i="11"/>
  <c r="F20" i="11" s="1"/>
  <c r="N72" i="12"/>
  <c r="M21" i="12"/>
  <c r="M8" i="12"/>
  <c r="O19" i="11"/>
  <c r="L8" i="12"/>
  <c r="N19" i="11"/>
  <c r="N54" i="12"/>
  <c r="P17" i="11"/>
  <c r="N17" i="11"/>
  <c r="L54" i="12"/>
  <c r="Q20" i="11"/>
  <c r="I20" i="11" s="1"/>
  <c r="O63" i="12"/>
  <c r="G63" i="12" s="1"/>
  <c r="O54" i="12"/>
  <c r="G54" i="12" s="1"/>
  <c r="Q17" i="11"/>
  <c r="O17" i="11"/>
  <c r="M54" i="12"/>
  <c r="N73" i="14"/>
  <c r="D55" i="12"/>
  <c r="B34" i="11"/>
  <c r="B33" i="11"/>
  <c r="B35" i="11"/>
  <c r="D10" i="11"/>
  <c r="C10" i="11"/>
  <c r="B10" i="11"/>
  <c r="D7" i="11"/>
  <c r="C7" i="11"/>
  <c r="D6" i="11"/>
  <c r="C6" i="11"/>
  <c r="E28" i="11"/>
  <c r="B28" i="11"/>
  <c r="K20" i="11"/>
  <c r="L20" i="11"/>
  <c r="M20" i="11"/>
  <c r="F10" i="11"/>
  <c r="G10" i="11"/>
  <c r="H10" i="11"/>
  <c r="D21" i="11" l="1"/>
  <c r="L17" i="11"/>
  <c r="E38" i="11"/>
  <c r="L73" i="12"/>
  <c r="M73" i="12"/>
  <c r="P21" i="11"/>
  <c r="O21" i="11"/>
  <c r="N73" i="12"/>
  <c r="Q21" i="11"/>
  <c r="O73" i="12"/>
  <c r="G73" i="12" s="1"/>
  <c r="N21" i="11"/>
  <c r="E31" i="11"/>
  <c r="B31" i="11"/>
  <c r="H73" i="12"/>
  <c r="B39" i="11"/>
  <c r="B32" i="11"/>
  <c r="I73" i="13" l="1"/>
  <c r="J73" i="13" l="1"/>
  <c r="E40" i="11" l="1"/>
  <c r="G37" i="11" l="1"/>
  <c r="J72" i="1" l="1"/>
  <c r="H72" i="1"/>
  <c r="F72" i="1"/>
  <c r="D72" i="1"/>
  <c r="E72" i="1"/>
  <c r="G72" i="1"/>
  <c r="I72" i="1"/>
  <c r="K72" i="1"/>
  <c r="E63" i="1"/>
  <c r="F63" i="1"/>
  <c r="G63" i="1"/>
  <c r="H63" i="1"/>
  <c r="I63" i="1"/>
  <c r="J63" i="1"/>
  <c r="K63" i="1"/>
  <c r="D63" i="1"/>
  <c r="G21" i="1"/>
  <c r="E21" i="1"/>
  <c r="F21" i="1"/>
  <c r="H21" i="1"/>
  <c r="I21" i="1"/>
  <c r="J21" i="1"/>
  <c r="K21" i="1"/>
  <c r="G5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2" i="14"/>
  <c r="G23" i="14"/>
  <c r="G24" i="14"/>
  <c r="G25" i="14"/>
  <c r="G26" i="14"/>
  <c r="G62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7" i="14"/>
  <c r="G57" i="14"/>
  <c r="G58" i="14"/>
  <c r="G43" i="14"/>
  <c r="G44" i="14"/>
  <c r="G61" i="14"/>
  <c r="G45" i="14"/>
  <c r="G46" i="14"/>
  <c r="G56" i="14"/>
  <c r="G47" i="14"/>
  <c r="G48" i="14"/>
  <c r="G49" i="14"/>
  <c r="G50" i="14"/>
  <c r="G51" i="14"/>
  <c r="G52" i="14"/>
  <c r="G59" i="14"/>
  <c r="G53" i="14"/>
  <c r="G64" i="14"/>
  <c r="G65" i="14"/>
  <c r="G66" i="14"/>
  <c r="G67" i="14"/>
  <c r="G68" i="14"/>
  <c r="G69" i="14"/>
  <c r="G70" i="14"/>
  <c r="G55" i="14"/>
  <c r="G71" i="14"/>
  <c r="F5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2" i="14"/>
  <c r="F23" i="14"/>
  <c r="F24" i="14"/>
  <c r="F25" i="14"/>
  <c r="F26" i="14"/>
  <c r="F62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7" i="14"/>
  <c r="F57" i="14"/>
  <c r="F58" i="14"/>
  <c r="F43" i="14"/>
  <c r="F44" i="14"/>
  <c r="F61" i="14"/>
  <c r="F45" i="14"/>
  <c r="F46" i="14"/>
  <c r="F56" i="14"/>
  <c r="F47" i="14"/>
  <c r="F48" i="14"/>
  <c r="F49" i="14"/>
  <c r="F50" i="14"/>
  <c r="F51" i="14"/>
  <c r="F52" i="14"/>
  <c r="F59" i="14"/>
  <c r="F53" i="14"/>
  <c r="F64" i="14"/>
  <c r="F65" i="14"/>
  <c r="F66" i="14"/>
  <c r="F67" i="14"/>
  <c r="F68" i="14"/>
  <c r="F69" i="14"/>
  <c r="F70" i="14"/>
  <c r="F55" i="14"/>
  <c r="F71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2" i="14"/>
  <c r="E23" i="14"/>
  <c r="E24" i="14"/>
  <c r="E25" i="14"/>
  <c r="E26" i="14"/>
  <c r="E62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7" i="14"/>
  <c r="E57" i="14"/>
  <c r="E58" i="14"/>
  <c r="E43" i="14"/>
  <c r="E44" i="14"/>
  <c r="E61" i="14"/>
  <c r="E45" i="14"/>
  <c r="E46" i="14"/>
  <c r="E56" i="14"/>
  <c r="E47" i="14"/>
  <c r="E48" i="14"/>
  <c r="E49" i="14"/>
  <c r="E50" i="14"/>
  <c r="E51" i="14"/>
  <c r="E52" i="14"/>
  <c r="E59" i="14"/>
  <c r="E53" i="14"/>
  <c r="E64" i="14"/>
  <c r="E65" i="14"/>
  <c r="E66" i="14"/>
  <c r="E67" i="14"/>
  <c r="E68" i="14"/>
  <c r="E69" i="14"/>
  <c r="E70" i="14"/>
  <c r="E55" i="14"/>
  <c r="E71" i="14"/>
  <c r="D5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2" i="14"/>
  <c r="D23" i="14"/>
  <c r="D24" i="14"/>
  <c r="D25" i="14"/>
  <c r="D26" i="14"/>
  <c r="D62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7" i="14"/>
  <c r="D57" i="14"/>
  <c r="D58" i="14"/>
  <c r="D43" i="14"/>
  <c r="D44" i="14"/>
  <c r="D61" i="14"/>
  <c r="D45" i="14"/>
  <c r="D46" i="14"/>
  <c r="D56" i="14"/>
  <c r="D47" i="14"/>
  <c r="D48" i="14"/>
  <c r="D49" i="14"/>
  <c r="D50" i="14"/>
  <c r="D51" i="14"/>
  <c r="D52" i="14"/>
  <c r="D59" i="14"/>
  <c r="D53" i="14"/>
  <c r="D64" i="14"/>
  <c r="D65" i="14"/>
  <c r="D66" i="14"/>
  <c r="D67" i="14"/>
  <c r="D68" i="14"/>
  <c r="D69" i="14"/>
  <c r="D70" i="14"/>
  <c r="D55" i="14"/>
  <c r="D71" i="14"/>
  <c r="E36" i="13"/>
  <c r="E37" i="13"/>
  <c r="E38" i="13"/>
  <c r="E39" i="13"/>
  <c r="E40" i="13"/>
  <c r="E41" i="13"/>
  <c r="E42" i="13"/>
  <c r="E43" i="13"/>
  <c r="E44" i="13"/>
  <c r="E47" i="13"/>
  <c r="E48" i="13"/>
  <c r="E16" i="13"/>
  <c r="E17" i="13"/>
  <c r="E19" i="13"/>
  <c r="E20" i="13"/>
  <c r="E6" i="13"/>
  <c r="F65" i="12"/>
  <c r="F66" i="12"/>
  <c r="F67" i="12"/>
  <c r="F68" i="12"/>
  <c r="F69" i="12"/>
  <c r="F70" i="12"/>
  <c r="F58" i="12"/>
  <c r="F23" i="12"/>
  <c r="D23" i="13" s="1"/>
  <c r="F24" i="12"/>
  <c r="D24" i="13" s="1"/>
  <c r="F49" i="12"/>
  <c r="D25" i="13" s="1"/>
  <c r="F25" i="12"/>
  <c r="D26" i="13" s="1"/>
  <c r="F62" i="12"/>
  <c r="D62" i="13" s="1"/>
  <c r="F26" i="12"/>
  <c r="D27" i="13" s="1"/>
  <c r="F27" i="12"/>
  <c r="D28" i="13" s="1"/>
  <c r="F28" i="12"/>
  <c r="D29" i="13" s="1"/>
  <c r="F29" i="12"/>
  <c r="D30" i="13" s="1"/>
  <c r="F30" i="12"/>
  <c r="D31" i="13" s="1"/>
  <c r="F31" i="12"/>
  <c r="D32" i="13" s="1"/>
  <c r="F32" i="12"/>
  <c r="D33" i="13" s="1"/>
  <c r="F33" i="12"/>
  <c r="D34" i="13" s="1"/>
  <c r="F34" i="12"/>
  <c r="D35" i="13" s="1"/>
  <c r="F35" i="12"/>
  <c r="D36" i="13" s="1"/>
  <c r="F36" i="12"/>
  <c r="D37" i="13" s="1"/>
  <c r="F37" i="12"/>
  <c r="D38" i="13" s="1"/>
  <c r="F38" i="12"/>
  <c r="D39" i="13" s="1"/>
  <c r="F52" i="12"/>
  <c r="D40" i="13" s="1"/>
  <c r="F53" i="12"/>
  <c r="D41" i="13" s="1"/>
  <c r="F39" i="12"/>
  <c r="D42" i="13" s="1"/>
  <c r="F7" i="12"/>
  <c r="D7" i="13" s="1"/>
  <c r="D57" i="13"/>
  <c r="F56" i="12"/>
  <c r="D58" i="13" s="1"/>
  <c r="F40" i="12"/>
  <c r="D43" i="13" s="1"/>
  <c r="F41" i="12"/>
  <c r="D44" i="13" s="1"/>
  <c r="F60" i="12"/>
  <c r="D60" i="13" s="1"/>
  <c r="F50" i="12"/>
  <c r="D45" i="13" s="1"/>
  <c r="F51" i="12"/>
  <c r="D46" i="13" s="1"/>
  <c r="F57" i="12"/>
  <c r="D55" i="13" s="1"/>
  <c r="F42" i="12"/>
  <c r="D47" i="13" s="1"/>
  <c r="F43" i="12"/>
  <c r="D48" i="13" s="1"/>
  <c r="F44" i="12"/>
  <c r="D49" i="13" s="1"/>
  <c r="F45" i="12"/>
  <c r="D50" i="13" s="1"/>
  <c r="F46" i="12"/>
  <c r="D51" i="13" s="1"/>
  <c r="F47" i="12"/>
  <c r="D52" i="13" s="1"/>
  <c r="F59" i="12"/>
  <c r="D59" i="13" s="1"/>
  <c r="F48" i="12"/>
  <c r="D53" i="13" s="1"/>
  <c r="F10" i="12"/>
  <c r="D10" i="13" s="1"/>
  <c r="F11" i="12"/>
  <c r="D11" i="13" s="1"/>
  <c r="F12" i="12"/>
  <c r="D12" i="13" s="1"/>
  <c r="F14" i="12"/>
  <c r="D14" i="13" s="1"/>
  <c r="F15" i="12"/>
  <c r="D15" i="13" s="1"/>
  <c r="F16" i="12"/>
  <c r="D16" i="13" s="1"/>
  <c r="F17" i="12"/>
  <c r="D17" i="13" s="1"/>
  <c r="F18" i="12"/>
  <c r="D18" i="13" s="1"/>
  <c r="F19" i="12"/>
  <c r="D19" i="13" s="1"/>
  <c r="F20" i="12"/>
  <c r="D20" i="13" s="1"/>
  <c r="F4" i="12"/>
  <c r="D4" i="13" s="1"/>
  <c r="F5" i="12"/>
  <c r="D5" i="13" s="1"/>
  <c r="F6" i="12"/>
  <c r="D6" i="13" s="1"/>
  <c r="E65" i="12"/>
  <c r="E66" i="12"/>
  <c r="E67" i="12"/>
  <c r="E68" i="12"/>
  <c r="E69" i="12"/>
  <c r="E70" i="12"/>
  <c r="E37" i="12"/>
  <c r="E56" i="12"/>
  <c r="E18" i="12"/>
  <c r="E19" i="12"/>
  <c r="D65" i="12"/>
  <c r="D66" i="12"/>
  <c r="D67" i="12"/>
  <c r="D68" i="12"/>
  <c r="D69" i="12"/>
  <c r="D70" i="12"/>
  <c r="D58" i="12"/>
  <c r="F23" i="13"/>
  <c r="F25" i="13"/>
  <c r="F26" i="13"/>
  <c r="F62" i="13"/>
  <c r="F28" i="13"/>
  <c r="F29" i="13"/>
  <c r="D30" i="12"/>
  <c r="F32" i="13"/>
  <c r="F33" i="13"/>
  <c r="F35" i="13"/>
  <c r="F36" i="13"/>
  <c r="F39" i="13"/>
  <c r="F40" i="13"/>
  <c r="F7" i="13"/>
  <c r="F57" i="13"/>
  <c r="D40" i="12"/>
  <c r="F44" i="13"/>
  <c r="F60" i="13"/>
  <c r="F49" i="13"/>
  <c r="F50" i="13"/>
  <c r="F11" i="13"/>
  <c r="F13" i="13"/>
  <c r="D19" i="12"/>
  <c r="F64" i="12"/>
  <c r="F22" i="12"/>
  <c r="F9" i="12"/>
  <c r="E64" i="12"/>
  <c r="E22" i="12"/>
  <c r="E9" i="12"/>
  <c r="D64" i="12"/>
  <c r="D22" i="12"/>
  <c r="D9" i="12"/>
  <c r="E8" i="11" l="1"/>
  <c r="G73" i="1"/>
  <c r="E36" i="11" s="1"/>
  <c r="E41" i="11" s="1"/>
  <c r="D63" i="14"/>
  <c r="I73" i="1"/>
  <c r="H73" i="1"/>
  <c r="J73" i="1"/>
  <c r="D73" i="1"/>
  <c r="B36" i="11" s="1"/>
  <c r="B41" i="11" s="1"/>
  <c r="K73" i="1"/>
  <c r="F72" i="14"/>
  <c r="E63" i="14"/>
  <c r="F63" i="14"/>
  <c r="E72" i="14"/>
  <c r="D21" i="14"/>
  <c r="G21" i="14"/>
  <c r="F21" i="14"/>
  <c r="F73" i="1"/>
  <c r="D36" i="11" s="1"/>
  <c r="D41" i="11" s="1"/>
  <c r="E73" i="1"/>
  <c r="C36" i="11" s="1"/>
  <c r="C41" i="11" s="1"/>
  <c r="G63" i="14"/>
  <c r="G72" i="14"/>
  <c r="E21" i="14"/>
  <c r="F8" i="14"/>
  <c r="E8" i="14"/>
  <c r="D8" i="14"/>
  <c r="D72" i="14"/>
  <c r="E4" i="12"/>
  <c r="E6" i="12"/>
  <c r="E35" i="13"/>
  <c r="B8" i="11"/>
  <c r="E52" i="12"/>
  <c r="E45" i="12"/>
  <c r="E31" i="12"/>
  <c r="D38" i="12"/>
  <c r="D11" i="12"/>
  <c r="E41" i="12"/>
  <c r="E43" i="12"/>
  <c r="D32" i="12"/>
  <c r="E49" i="12"/>
  <c r="E44" i="12"/>
  <c r="E11" i="12"/>
  <c r="D25" i="12"/>
  <c r="E40" i="12"/>
  <c r="D49" i="12"/>
  <c r="E10" i="12"/>
  <c r="E24" i="12"/>
  <c r="D60" i="12"/>
  <c r="D13" i="12"/>
  <c r="E7" i="12"/>
  <c r="D31" i="12"/>
  <c r="D35" i="12"/>
  <c r="E12" i="12"/>
  <c r="E32" i="12"/>
  <c r="D44" i="12"/>
  <c r="D52" i="12"/>
  <c r="D45" i="12"/>
  <c r="D62" i="12"/>
  <c r="D41" i="12"/>
  <c r="E30" i="12"/>
  <c r="E14" i="12"/>
  <c r="D34" i="12"/>
  <c r="E57" i="12"/>
  <c r="D27" i="12"/>
  <c r="D28" i="12"/>
  <c r="E34" i="12"/>
  <c r="D4" i="12"/>
  <c r="F4" i="13"/>
  <c r="D17" i="12"/>
  <c r="F17" i="13"/>
  <c r="E59" i="12"/>
  <c r="D6" i="12"/>
  <c r="F6" i="13"/>
  <c r="D51" i="12"/>
  <c r="F46" i="13"/>
  <c r="E47" i="12"/>
  <c r="D5" i="12"/>
  <c r="F5" i="13"/>
  <c r="D50" i="12"/>
  <c r="F45" i="13"/>
  <c r="D33" i="12"/>
  <c r="F34" i="13"/>
  <c r="E53" i="12"/>
  <c r="E26" i="12"/>
  <c r="D20" i="12"/>
  <c r="F20" i="13"/>
  <c r="E38" i="12"/>
  <c r="D16" i="12"/>
  <c r="F16" i="13"/>
  <c r="D59" i="12"/>
  <c r="F59" i="13"/>
  <c r="D57" i="12"/>
  <c r="F55" i="13"/>
  <c r="E16" i="12"/>
  <c r="D15" i="12"/>
  <c r="F15" i="13"/>
  <c r="D47" i="12"/>
  <c r="F52" i="13"/>
  <c r="D39" i="12"/>
  <c r="F42" i="13"/>
  <c r="D71" i="12"/>
  <c r="F71" i="13"/>
  <c r="E15" i="12"/>
  <c r="E51" i="12"/>
  <c r="E39" i="12"/>
  <c r="E27" i="12"/>
  <c r="D14" i="12"/>
  <c r="F14" i="13"/>
  <c r="D46" i="12"/>
  <c r="F51" i="13"/>
  <c r="D53" i="12"/>
  <c r="F41" i="13"/>
  <c r="D26" i="12"/>
  <c r="F27" i="13"/>
  <c r="E50" i="12"/>
  <c r="E33" i="12"/>
  <c r="D7" i="12"/>
  <c r="E35" i="12"/>
  <c r="D12" i="12"/>
  <c r="F12" i="13"/>
  <c r="E20" i="12"/>
  <c r="E25" i="12"/>
  <c r="E46" i="12"/>
  <c r="D23" i="12"/>
  <c r="D18" i="12"/>
  <c r="F18" i="13"/>
  <c r="D10" i="12"/>
  <c r="F10" i="13"/>
  <c r="F48" i="13"/>
  <c r="D43" i="12"/>
  <c r="D56" i="12"/>
  <c r="F58" i="13"/>
  <c r="D37" i="12"/>
  <c r="F38" i="13"/>
  <c r="D42" i="12"/>
  <c r="F47" i="13"/>
  <c r="D36" i="12"/>
  <c r="F37" i="13"/>
  <c r="D29" i="12"/>
  <c r="F30" i="13"/>
  <c r="D24" i="12"/>
  <c r="F24" i="13"/>
  <c r="E17" i="12"/>
  <c r="E48" i="12"/>
  <c r="E42" i="12"/>
  <c r="E36" i="12"/>
  <c r="E29" i="12"/>
  <c r="D48" i="12"/>
  <c r="F53" i="13"/>
  <c r="E28" i="12"/>
  <c r="E23" i="12"/>
  <c r="F43" i="13"/>
  <c r="F19" i="13"/>
  <c r="F31" i="13"/>
  <c r="G44" i="13" l="1"/>
  <c r="G60" i="13"/>
  <c r="E60" i="13"/>
  <c r="G46" i="13"/>
  <c r="E46" i="13"/>
  <c r="G49" i="13"/>
  <c r="E49" i="13"/>
  <c r="G52" i="13"/>
  <c r="E52" i="13"/>
  <c r="G25" i="13"/>
  <c r="E25" i="13"/>
  <c r="G62" i="13"/>
  <c r="E62" i="13"/>
  <c r="G41" i="13"/>
  <c r="G23" i="13"/>
  <c r="E23" i="13"/>
  <c r="G38" i="13"/>
  <c r="G53" i="13"/>
  <c r="E53" i="13"/>
  <c r="G36" i="13"/>
  <c r="G5" i="12"/>
  <c r="E5" i="13" s="1"/>
  <c r="G28" i="13"/>
  <c r="E28" i="13"/>
  <c r="G12" i="13"/>
  <c r="G12" i="12"/>
  <c r="E12" i="13" s="1"/>
  <c r="G34" i="13"/>
  <c r="E34" i="13"/>
  <c r="G37" i="13"/>
  <c r="G15" i="13"/>
  <c r="E15" i="13"/>
  <c r="G48" i="13"/>
  <c r="G32" i="13"/>
  <c r="E32" i="13"/>
  <c r="G33" i="13"/>
  <c r="E33" i="13"/>
  <c r="G47" i="13"/>
  <c r="G20" i="13"/>
  <c r="G40" i="13"/>
  <c r="G7" i="13"/>
  <c r="G7" i="12"/>
  <c r="E7" i="13" s="1"/>
  <c r="G16" i="13"/>
  <c r="B7" i="11"/>
  <c r="G14" i="13"/>
  <c r="G14" i="12"/>
  <c r="E14" i="13" s="1"/>
  <c r="F31" i="11"/>
  <c r="H31" i="11"/>
  <c r="F73" i="14"/>
  <c r="H32" i="11"/>
  <c r="F34" i="11"/>
  <c r="G34" i="11"/>
  <c r="H34" i="11"/>
  <c r="I34" i="11"/>
  <c r="F33" i="11"/>
  <c r="I33" i="11"/>
  <c r="H33" i="11"/>
  <c r="G33" i="11"/>
  <c r="G35" i="11"/>
  <c r="G29" i="11"/>
  <c r="H29" i="11"/>
  <c r="I29" i="11"/>
  <c r="F29" i="11"/>
  <c r="G36" i="11"/>
  <c r="D73" i="14"/>
  <c r="E73" i="14"/>
  <c r="G30" i="11"/>
  <c r="F30" i="11"/>
  <c r="H30" i="11"/>
  <c r="I28" i="11"/>
  <c r="E5" i="12" l="1"/>
  <c r="G5" i="13"/>
  <c r="G56" i="13" l="1"/>
  <c r="F67" i="13"/>
  <c r="D67" i="13"/>
  <c r="E56" i="13"/>
  <c r="E67" i="13"/>
  <c r="E9" i="13" l="1"/>
  <c r="F9" i="13"/>
  <c r="F65" i="13"/>
  <c r="F69" i="13"/>
  <c r="F66" i="13"/>
  <c r="E65" i="13"/>
  <c r="E69" i="13"/>
  <c r="E66" i="13"/>
  <c r="G66" i="13"/>
  <c r="F68" i="13"/>
  <c r="E70" i="13"/>
  <c r="G68" i="13"/>
  <c r="E68" i="13"/>
  <c r="D68" i="13"/>
  <c r="F70" i="13"/>
  <c r="D69" i="13"/>
  <c r="F56" i="13"/>
  <c r="D70" i="13"/>
  <c r="D56" i="13"/>
  <c r="D66" i="13"/>
  <c r="D65" i="13"/>
  <c r="F71" i="12"/>
  <c r="D71" i="13" s="1"/>
  <c r="F21" i="13" l="1"/>
  <c r="L7" i="11" s="1"/>
  <c r="E22" i="13"/>
  <c r="E63" i="13"/>
  <c r="K8" i="11" s="1"/>
  <c r="F64" i="13"/>
  <c r="D64" i="13"/>
  <c r="D22" i="13"/>
  <c r="D63" i="13"/>
  <c r="J8" i="11" s="1"/>
  <c r="D9" i="13"/>
  <c r="F13" i="12"/>
  <c r="D13" i="13" s="1"/>
  <c r="G64" i="13"/>
  <c r="F22" i="13"/>
  <c r="F63" i="13"/>
  <c r="L8" i="11" s="1"/>
  <c r="E64" i="13"/>
  <c r="F63" i="12"/>
  <c r="D63" i="12"/>
  <c r="F72" i="13" l="1"/>
  <c r="L9" i="11" s="1"/>
  <c r="D72" i="13"/>
  <c r="J9" i="11" s="1"/>
  <c r="D21" i="13" l="1"/>
  <c r="J7" i="11" s="1"/>
  <c r="D72" i="12" l="1"/>
  <c r="I9" i="11"/>
  <c r="E71" i="12"/>
  <c r="I17" i="11" l="1"/>
  <c r="E71" i="13"/>
  <c r="F8" i="11"/>
  <c r="E72" i="13" l="1"/>
  <c r="K9" i="11" s="1"/>
  <c r="F21" i="12" l="1"/>
  <c r="H7" i="11" s="1"/>
  <c r="F72" i="12"/>
  <c r="H8" i="11" s="1"/>
  <c r="H17" i="11" l="1"/>
  <c r="E72" i="12"/>
  <c r="G8" i="11" s="1"/>
  <c r="G13" i="12"/>
  <c r="E13" i="12"/>
  <c r="D21" i="12" l="1"/>
  <c r="E13" i="13"/>
  <c r="G13" i="13"/>
  <c r="E21" i="12"/>
  <c r="G7" i="11" s="1"/>
  <c r="F7" i="11" l="1"/>
  <c r="E21" i="13"/>
  <c r="K7" i="11" s="1"/>
  <c r="F17" i="11" l="1"/>
  <c r="I11" i="11" l="1"/>
  <c r="E18" i="13"/>
  <c r="I19" i="11" l="1"/>
  <c r="M21" i="11"/>
  <c r="E58" i="13" l="1"/>
  <c r="F28" i="11" l="1"/>
  <c r="E8" i="12"/>
  <c r="H28" i="11"/>
  <c r="D3" i="12"/>
  <c r="E3" i="12"/>
  <c r="G28" i="11"/>
  <c r="G6" i="11" l="1"/>
  <c r="D8" i="12"/>
  <c r="G8" i="12" s="1"/>
  <c r="M73" i="13"/>
  <c r="N73" i="13"/>
  <c r="F3" i="13"/>
  <c r="D3" i="13"/>
  <c r="F8" i="12"/>
  <c r="E3" i="13"/>
  <c r="H19" i="11"/>
  <c r="G19" i="11"/>
  <c r="F19" i="11"/>
  <c r="H6" i="11" l="1"/>
  <c r="F6" i="11"/>
  <c r="L21" i="11"/>
  <c r="E8" i="13"/>
  <c r="K6" i="11" s="1"/>
  <c r="E73" i="13"/>
  <c r="F21" i="11"/>
  <c r="I21" i="11"/>
  <c r="J21" i="11"/>
  <c r="K21" i="11"/>
  <c r="D73" i="13"/>
  <c r="D8" i="13"/>
  <c r="J6" i="11" s="1"/>
  <c r="F73" i="13"/>
  <c r="F8" i="13"/>
  <c r="L6" i="11" s="1"/>
  <c r="G20" i="11" l="1"/>
  <c r="L11" i="11"/>
  <c r="L10" i="11"/>
  <c r="K11" i="11"/>
  <c r="K10" i="11"/>
  <c r="J11" i="11"/>
  <c r="J10" i="11"/>
  <c r="G17" i="11"/>
  <c r="G21" i="11"/>
  <c r="H21" i="11" l="1"/>
  <c r="E54" i="13"/>
  <c r="F54" i="13"/>
  <c r="D54" i="13"/>
  <c r="E29" i="13"/>
  <c r="E11" i="13"/>
  <c r="E26" i="13"/>
  <c r="E45" i="13"/>
  <c r="E4" i="13"/>
  <c r="E27" i="13"/>
  <c r="E55" i="13"/>
  <c r="E59" i="13"/>
  <c r="E30" i="13"/>
  <c r="E10" i="13"/>
  <c r="E31" i="13"/>
  <c r="E50" i="13"/>
  <c r="E24" i="13"/>
  <c r="E57" i="13"/>
  <c r="E51" i="13"/>
  <c r="G4" i="12"/>
  <c r="G4" i="13"/>
  <c r="I7" i="11"/>
  <c r="G22" i="13"/>
  <c r="G11" i="13"/>
  <c r="G18" i="13"/>
  <c r="G24" i="13"/>
  <c r="E7" i="11"/>
  <c r="E6" i="11"/>
  <c r="G10" i="13"/>
  <c r="G9" i="13"/>
  <c r="G17" i="13"/>
  <c r="G31" i="13"/>
  <c r="G30" i="13"/>
  <c r="G9" i="12"/>
  <c r="G27" i="13"/>
  <c r="G29" i="13"/>
  <c r="G26" i="13"/>
  <c r="G19" i="13"/>
  <c r="G3" i="13"/>
  <c r="G10" i="12"/>
  <c r="G6" i="13"/>
  <c r="G6" i="12"/>
  <c r="F3" i="12"/>
  <c r="G11" i="12"/>
  <c r="G8" i="13" l="1"/>
  <c r="M6" i="11" s="1"/>
  <c r="G21" i="13"/>
  <c r="M7" i="11" s="1"/>
  <c r="G69" i="13"/>
  <c r="G59" i="13"/>
  <c r="G43" i="13"/>
  <c r="G45" i="13"/>
  <c r="G70" i="13"/>
  <c r="G67" i="13"/>
  <c r="E10" i="11"/>
  <c r="G71" i="13"/>
  <c r="E62" i="12"/>
  <c r="E58" i="12"/>
  <c r="I8" i="11"/>
  <c r="G58" i="13"/>
  <c r="G35" i="13"/>
  <c r="G39" i="13"/>
  <c r="G57" i="13"/>
  <c r="G50" i="13"/>
  <c r="G42" i="13"/>
  <c r="G51" i="13"/>
  <c r="G55" i="13"/>
  <c r="G63" i="13" l="1"/>
  <c r="M8" i="11" s="1"/>
  <c r="G54" i="13"/>
  <c r="G65" i="13"/>
  <c r="G72" i="13" l="1"/>
  <c r="M9" i="11" s="1"/>
  <c r="O73" i="13"/>
  <c r="G73" i="13" s="1"/>
  <c r="M10" i="11" l="1"/>
  <c r="M11" i="11"/>
  <c r="I6" i="11"/>
  <c r="G3" i="12"/>
  <c r="E60" i="12"/>
  <c r="E63" i="12"/>
  <c r="F3" i="14"/>
  <c r="D3" i="14"/>
  <c r="G73" i="14"/>
  <c r="G3" i="14"/>
  <c r="G8" i="14"/>
  <c r="D4" i="14"/>
  <c r="E4" i="14"/>
  <c r="F6" i="14"/>
  <c r="F4" i="14"/>
  <c r="G6" i="14"/>
  <c r="G4" i="14"/>
  <c r="E3" i="14"/>
  <c r="D6" i="14"/>
  <c r="E6" i="14"/>
  <c r="E5" i="14"/>
  <c r="F54" i="14"/>
  <c r="D54" i="14"/>
  <c r="G54" i="14"/>
  <c r="E54" i="14"/>
  <c r="B9" i="11"/>
  <c r="B11" i="11" s="1"/>
  <c r="C9" i="11"/>
  <c r="C11" i="11" s="1"/>
  <c r="E54" i="12"/>
  <c r="F41" i="11"/>
  <c r="D54" i="12"/>
  <c r="E9" i="11"/>
  <c r="E11" i="11" s="1"/>
  <c r="F54" i="12"/>
  <c r="I10" i="11"/>
  <c r="G41" i="11"/>
  <c r="D9" i="11"/>
  <c r="D11" i="11" s="1"/>
  <c r="H41" i="11" l="1"/>
  <c r="E73" i="12"/>
  <c r="G9" i="11" s="1"/>
  <c r="F73" i="12"/>
  <c r="H9" i="11" s="1"/>
  <c r="D73" i="12"/>
  <c r="F9" i="11" s="1"/>
  <c r="I41" i="11"/>
  <c r="F11" i="11" l="1"/>
  <c r="H11" i="11"/>
  <c r="G11" i="11"/>
  <c r="J54" i="1"/>
  <c r="E54" i="1"/>
  <c r="K54" i="1"/>
  <c r="D54" i="1"/>
  <c r="F54" i="1"/>
  <c r="I54" i="1"/>
  <c r="G54" i="1"/>
  <c r="H5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DE70FAC4-5D4A-4550-9363-9A6705AF1B45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ABFF131A-A5FC-4912-B84D-A623E3EEB569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538E3F34-02D8-4E7F-97AC-0EC08D7D1F7C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5C147B12-0587-4B8E-970A-B95BD3162191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2395E305-BF6C-4B52-9901-1B09344B6512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D1D3763A-2161-4023-B2FB-1A72305B71BB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A7C4D062-8ED6-43CA-8ABE-61348659C5F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31310878-D6A7-4822-B46D-E45F1861F1F1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51DE37DE-2546-4B4C-9A56-DDFAC3359FFE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F323CFE7-32B2-4883-AC2B-AA67D884736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F5F05712-678B-4119-B843-FE482EF76673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671FFC84-F612-4D5B-A10A-9F0EB4591E68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B90452A7-CABE-41B2-A125-AC06459CD211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42F7A70D-CEC3-40D0-8158-71AA2A23C988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F7F7E8A9-41ED-47E5-AB60-C5C602CC3EB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EB23B82C-72D1-4EAB-8DEA-72991C763CB1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11DBD998-4083-4858-90B0-0A9EDE922409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A96307E7-B628-48A1-A91F-0616AD44F46C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5ADF620E-192E-4011-A4E0-FC0E7D3C1A2A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E85726D9-5065-4092-A3DC-7DF66F72F2C8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52B5F777-03C5-4409-962B-6D6F4BF27DC0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41C58739-D703-4F09-9A8D-6AD1409370F5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EF1EDC6E-8562-4FA1-8728-0BABFBB444C8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7570AB68-5418-483C-B77F-0C3BF1961B2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F41C31AB-9218-462F-A408-4DCF4B45DC4F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68D7684E-A10E-425B-A695-0678E37E003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9359A930-6CE4-4B2E-8984-713875891A35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461ED2F0-50AA-4142-8B46-465C52B4154E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A1C0BA16-E3BE-4125-9229-068EA198EB30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71171EC7-5F9F-4D27-AAD2-38F1D5E3BE7A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490DB86A-0FC7-430B-B942-1ADA65002823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DD42FC93-3584-4359-995C-7DE306B16A55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sharedStrings.xml><?xml version="1.0" encoding="utf-8"?>
<sst xmlns="http://schemas.openxmlformats.org/spreadsheetml/2006/main" count="3585" uniqueCount="137">
  <si>
    <t>שם סוכן</t>
  </si>
  <si>
    <t>גל אלמגור סוכ</t>
  </si>
  <si>
    <t>דניאלה אביב</t>
  </si>
  <si>
    <t>סה"כ ישיר</t>
  </si>
  <si>
    <t>בראשית סוכנות לביטוח</t>
  </si>
  <si>
    <t>גל אלמגור דאוד סוכ' לב</t>
  </si>
  <si>
    <t>גל אלמגור -וייס סוכנות</t>
  </si>
  <si>
    <t>גל אלמגור דרום סוכ ל</t>
  </si>
  <si>
    <t>משה שטרן גל אלמגור</t>
  </si>
  <si>
    <t>מקסימום סוכנות לבטוח פ</t>
  </si>
  <si>
    <t>סה"כ חברות בנות</t>
  </si>
  <si>
    <t>מועלם אלפרד</t>
  </si>
  <si>
    <t>גרניק בנימין</t>
  </si>
  <si>
    <t>סאוסן שלבי</t>
  </si>
  <si>
    <t>דורי כדורי דאי</t>
  </si>
  <si>
    <t>סברא סמיר</t>
  </si>
  <si>
    <t>מחמוד פארס</t>
  </si>
  <si>
    <t>ריזק חלבי</t>
  </si>
  <si>
    <t>שלבי מיסון</t>
  </si>
  <si>
    <t>בחוס יוסף</t>
  </si>
  <si>
    <t>קליין סיון</t>
  </si>
  <si>
    <t>צקותאי אורי</t>
  </si>
  <si>
    <t>סמיר בלאן</t>
  </si>
  <si>
    <t>רן בסין</t>
  </si>
  <si>
    <t>אלקרינאוי ראוף</t>
  </si>
  <si>
    <t>דאי גדי</t>
  </si>
  <si>
    <t>מילאד אבו שקארה</t>
  </si>
  <si>
    <t>דראושה אדהם</t>
  </si>
  <si>
    <t>בדארנה עומר</t>
  </si>
  <si>
    <t>לוי חיים</t>
  </si>
  <si>
    <t>גולדר אבי</t>
  </si>
  <si>
    <t>א.ד. אבידן ביטוחים בע"מ</t>
  </si>
  <si>
    <t>מטאנס זוהיר</t>
  </si>
  <si>
    <t>סטולרז אסף</t>
  </si>
  <si>
    <t>דני פחימה</t>
  </si>
  <si>
    <t>עאטף עדווי</t>
  </si>
  <si>
    <t>מכלול סוכנות לביטוח</t>
  </si>
  <si>
    <t>גול זאב</t>
  </si>
  <si>
    <t>בדר צבי</t>
  </si>
  <si>
    <t>יונתן מנחם</t>
  </si>
  <si>
    <t>שלי מזרחי</t>
  </si>
  <si>
    <t>יהונתן שיוביץ</t>
  </si>
  <si>
    <t>אלרם סוכנות לביטוח</t>
  </si>
  <si>
    <t>רכס אורן</t>
  </si>
  <si>
    <t>סה"כ פרימיום</t>
  </si>
  <si>
    <t>סה"כ כולל</t>
  </si>
  <si>
    <t>פנסיוני</t>
  </si>
  <si>
    <t xml:space="preserve">סיכונים </t>
  </si>
  <si>
    <t>פיננסים</t>
  </si>
  <si>
    <t>ניודי פנסיה</t>
  </si>
  <si>
    <t>סיכונים</t>
  </si>
  <si>
    <t xml:space="preserve">פיננסים </t>
  </si>
  <si>
    <t>שינוי מול אשתקד %</t>
  </si>
  <si>
    <t xml:space="preserve">מפקח </t>
  </si>
  <si>
    <t>מפקח</t>
  </si>
  <si>
    <t>לא מפוקחים</t>
  </si>
  <si>
    <t xml:space="preserve">ערן גירוני </t>
  </si>
  <si>
    <t xml:space="preserve">קבוצה </t>
  </si>
  <si>
    <t xml:space="preserve">ישירים </t>
  </si>
  <si>
    <t>חברות בת</t>
  </si>
  <si>
    <t xml:space="preserve">סוכני פרימיום </t>
  </si>
  <si>
    <t xml:space="preserve">סה"כ מכירות </t>
  </si>
  <si>
    <t>השגת יעדים%</t>
  </si>
  <si>
    <t>מנורה</t>
  </si>
  <si>
    <t>מגדל</t>
  </si>
  <si>
    <t>כלל</t>
  </si>
  <si>
    <t>אלטשולר שחם</t>
  </si>
  <si>
    <t>מור</t>
  </si>
  <si>
    <t>הראל</t>
  </si>
  <si>
    <t>הפניקס</t>
  </si>
  <si>
    <t>איילון</t>
  </si>
  <si>
    <t xml:space="preserve">הכשרה </t>
  </si>
  <si>
    <t>סה"כ</t>
  </si>
  <si>
    <t>השגת יעדים מצטבר %</t>
  </si>
  <si>
    <t>שינוי %</t>
  </si>
  <si>
    <t>עליה/ירידה</t>
  </si>
  <si>
    <t>יעדים מצטבר</t>
  </si>
  <si>
    <t>אריאל בר-חיים</t>
  </si>
  <si>
    <r>
      <t xml:space="preserve">תפוקה </t>
    </r>
    <r>
      <rPr>
        <b/>
        <i/>
        <sz val="11"/>
        <color rgb="FFFF0000"/>
        <rFont val="Calibri"/>
        <family val="2"/>
      </rPr>
      <t>מצטברת</t>
    </r>
    <r>
      <rPr>
        <b/>
        <i/>
        <sz val="11"/>
        <color theme="1"/>
        <rFont val="Calibri"/>
        <family val="2"/>
      </rPr>
      <t xml:space="preserve"> לפי קבוצות</t>
    </r>
  </si>
  <si>
    <r>
      <t xml:space="preserve">תפוקה </t>
    </r>
    <r>
      <rPr>
        <b/>
        <sz val="12"/>
        <color rgb="FFFF0000"/>
        <rFont val="Calibri"/>
        <family val="2"/>
      </rPr>
      <t>מצטברת</t>
    </r>
    <r>
      <rPr>
        <b/>
        <sz val="12"/>
        <color theme="1"/>
        <rFont val="Calibri"/>
        <family val="2"/>
        <charset val="177"/>
      </rPr>
      <t xml:space="preserve"> לפי מפקחים</t>
    </r>
  </si>
  <si>
    <r>
      <t xml:space="preserve">תפוקה </t>
    </r>
    <r>
      <rPr>
        <b/>
        <sz val="12"/>
        <color rgb="FFFF0000"/>
        <rFont val="Calibri"/>
        <family val="2"/>
      </rPr>
      <t>מצטברת</t>
    </r>
    <r>
      <rPr>
        <b/>
        <sz val="12"/>
        <color theme="1"/>
        <rFont val="Calibri"/>
        <family val="2"/>
        <charset val="177"/>
      </rPr>
      <t xml:space="preserve"> לפי חברות</t>
    </r>
  </si>
  <si>
    <t>נור אבו ראס</t>
  </si>
  <si>
    <t>לילי שרון</t>
  </si>
  <si>
    <t>אחמד עלי אחמד</t>
  </si>
  <si>
    <t>שירלי בוכריס</t>
  </si>
  <si>
    <t>עבוד כיתי</t>
  </si>
  <si>
    <t>אביב מור יוסף</t>
  </si>
  <si>
    <t>יעקב ישראל שטרן</t>
  </si>
  <si>
    <t>סיון פיינרו</t>
  </si>
  <si>
    <t xml:space="preserve">ניודי פנסיה </t>
  </si>
  <si>
    <t>חנה כצנלסון</t>
  </si>
  <si>
    <t>ינאי חיים בוני</t>
  </si>
  <si>
    <t xml:space="preserve">מיכאל וקסלר </t>
  </si>
  <si>
    <t xml:space="preserve">שני לוי </t>
  </si>
  <si>
    <t>דורון ענק הביטוח</t>
  </si>
  <si>
    <t>דאי דניאל</t>
  </si>
  <si>
    <t xml:space="preserve">גל אלמגור -ראם </t>
  </si>
  <si>
    <t xml:space="preserve">ניר יבלונקה </t>
  </si>
  <si>
    <t xml:space="preserve">אבו חיט ניזאם </t>
  </si>
  <si>
    <t>אילנית כהן</t>
  </si>
  <si>
    <t>נעם הלשטוק</t>
  </si>
  <si>
    <t>אורטל / לנג ביג סוכנות לביטוח פנסיוני</t>
  </si>
  <si>
    <t>פרמיום</t>
  </si>
  <si>
    <t xml:space="preserve">פרמיום </t>
  </si>
  <si>
    <t xml:space="preserve">רותי </t>
  </si>
  <si>
    <t xml:space="preserve">אילנית </t>
  </si>
  <si>
    <t xml:space="preserve">שותפים </t>
  </si>
  <si>
    <t xml:space="preserve">סוכנים </t>
  </si>
  <si>
    <t>יוסי אביב</t>
  </si>
  <si>
    <t>מחלקה</t>
  </si>
  <si>
    <t xml:space="preserve">מדיהו </t>
  </si>
  <si>
    <t xml:space="preserve">אנליסט </t>
  </si>
  <si>
    <t>מיטב דש</t>
  </si>
  <si>
    <t>אינפניטי</t>
  </si>
  <si>
    <t>0%0</t>
  </si>
  <si>
    <t>איתי אדן</t>
  </si>
  <si>
    <t>סוכנים ערן</t>
  </si>
  <si>
    <t>סוכנים איתי</t>
  </si>
  <si>
    <t>תפוקה מצטברת - 2025</t>
  </si>
  <si>
    <t xml:space="preserve">תפוקה מצטברת - 2024 </t>
  </si>
  <si>
    <t xml:space="preserve">סוכנים איתי </t>
  </si>
  <si>
    <t>בס"ד</t>
  </si>
  <si>
    <t>תפוקה מצטברת 03/2024</t>
  </si>
  <si>
    <t>תפוקה מצטברת  04/2025</t>
  </si>
  <si>
    <t>תפוקה מצטברת 04/2025</t>
  </si>
  <si>
    <t>תפוקה מצטברת 04/2024</t>
  </si>
  <si>
    <t>יעד מצטבר 04/2025</t>
  </si>
  <si>
    <t>יעד חודשי 04/2025</t>
  </si>
  <si>
    <t>תפוקה חודשית 04/2025</t>
  </si>
  <si>
    <t>עולים בולטים</t>
  </si>
  <si>
    <t>סוכן</t>
  </si>
  <si>
    <t>שינוי % מול תקופה חופפת אשתקד</t>
  </si>
  <si>
    <t>עליה מול תקופה חופפת אשתקד</t>
  </si>
  <si>
    <t>יורדים בולטים</t>
  </si>
  <si>
    <t>ירידה מול תקופה חופפת אשתקד</t>
  </si>
  <si>
    <t>תפוקה מצטברת - 2024</t>
  </si>
  <si>
    <t>גל אלמגור קפיטל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</si>
</sst>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0" x14ac:knownFonts="1">
    <font>
      <sz val="11"/>
      <color theme="1"/>
      <name val="Arial"/>
      <family val="2"/>
      <charset val="177"/>
      <scheme val="minor"/>
    </font>
    <font>
      <sz val="12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6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rgb="FF333333"/>
      <name val="Calibri"/>
      <family val="2"/>
    </font>
    <font>
      <b/>
      <sz val="14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FF0000"/>
      <name val="Calibri"/>
      <family val="2"/>
    </font>
    <font>
      <b/>
      <sz val="12"/>
      <color theme="1"/>
      <name val="Calibri"/>
      <family val="2"/>
      <charset val="177"/>
    </font>
    <font>
      <sz val="10"/>
      <name val="Arial"/>
      <family val="2"/>
    </font>
    <font>
      <b/>
      <sz val="12"/>
      <color rgb="FFFF0000"/>
      <name val="Calibri"/>
      <family val="2"/>
    </font>
    <font>
      <sz val="11"/>
      <color theme="1"/>
      <name val="Calibri"/>
      <family val="2"/>
      <charset val="177"/>
    </font>
    <font>
      <b/>
      <sz val="11"/>
      <color theme="1"/>
      <name val="Calibri"/>
      <family val="2"/>
      <charset val="177"/>
    </font>
    <font>
      <b/>
      <sz val="18"/>
      <color theme="1"/>
      <name val="Calibri"/>
      <family val="2"/>
      <charset val="177"/>
    </font>
    <font>
      <b/>
      <sz val="16"/>
      <color theme="1"/>
      <name val="Calibri"/>
      <family val="2"/>
      <charset val="177"/>
    </font>
    <font>
      <sz val="1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Arial"/>
      <family val="2"/>
      <scheme val="minor"/>
    </font>
    <font>
      <sz val="11"/>
      <color theme="1"/>
      <name val="Arial"/>
      <family val="2"/>
      <charset val="177"/>
    </font>
    <font>
      <b/>
      <sz val="12"/>
      <name val="Calibri"/>
      <family val="2"/>
    </font>
    <font>
      <sz val="11"/>
      <name val="Calibri"/>
      <family val="2"/>
    </font>
    <font>
      <sz val="12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F95DF"/>
        <bgColor indexed="64"/>
      </patternFill>
    </fill>
    <fill>
      <patternFill patternType="solid">
        <fgColor rgb="FFE1CCF0"/>
        <bgColor indexed="64"/>
      </patternFill>
    </fill>
    <fill>
      <patternFill patternType="solid">
        <fgColor rgb="FFE9D9AB"/>
        <bgColor indexed="64"/>
      </patternFill>
    </fill>
    <fill>
      <patternFill patternType="solid">
        <fgColor rgb="FFF0E5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  <xf numFmtId="43" fontId="26" fillId="0" borderId="1">
      <alignment horizontal="right"/>
    </xf>
  </cellStyleXfs>
  <cellXfs count="24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/>
    <xf numFmtId="164" fontId="0" fillId="0" borderId="0" xfId="1" applyNumberFormat="1" applyFont="1" applyAlignment="1">
      <alignment readingOrder="1"/>
    </xf>
    <xf numFmtId="164" fontId="1" fillId="0" borderId="0" xfId="1" applyNumberFormat="1" applyFont="1" applyAlignment="1">
      <alignment readingOrder="1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 readingOrder="2"/>
    </xf>
    <xf numFmtId="164" fontId="5" fillId="6" borderId="1" xfId="1" applyNumberFormat="1" applyFont="1" applyFill="1" applyBorder="1" applyAlignment="1">
      <alignment horizontal="center" vertical="center"/>
    </xf>
    <xf numFmtId="164" fontId="7" fillId="15" borderId="1" xfId="1" applyNumberFormat="1" applyFont="1" applyFill="1" applyBorder="1" applyAlignment="1">
      <alignment horizontal="center" vertical="center" wrapText="1" readingOrder="2"/>
    </xf>
    <xf numFmtId="164" fontId="5" fillId="12" borderId="1" xfId="1" applyNumberFormat="1" applyFont="1" applyFill="1" applyBorder="1" applyAlignment="1">
      <alignment horizontal="center"/>
    </xf>
    <xf numFmtId="164" fontId="5" fillId="12" borderId="2" xfId="1" applyNumberFormat="1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 vertical="center" wrapText="1" readingOrder="2"/>
    </xf>
    <xf numFmtId="0" fontId="6" fillId="15" borderId="12" xfId="0" applyFont="1" applyFill="1" applyBorder="1" applyAlignment="1">
      <alignment horizontal="center" vertical="center" wrapText="1" readingOrder="2"/>
    </xf>
    <xf numFmtId="164" fontId="5" fillId="12" borderId="10" xfId="1" applyNumberFormat="1" applyFont="1" applyFill="1" applyBorder="1" applyAlignment="1">
      <alignment horizontal="center"/>
    </xf>
    <xf numFmtId="9" fontId="5" fillId="0" borderId="1" xfId="2" applyFont="1" applyBorder="1" applyAlignment="1">
      <alignment horizontal="center" vertical="center"/>
    </xf>
    <xf numFmtId="164" fontId="5" fillId="6" borderId="1" xfId="1" applyNumberFormat="1" applyFont="1" applyFill="1" applyBorder="1" applyAlignment="1">
      <alignment readingOrder="1"/>
    </xf>
    <xf numFmtId="164" fontId="5" fillId="10" borderId="1" xfId="1" applyNumberFormat="1" applyFont="1" applyFill="1" applyBorder="1" applyAlignment="1">
      <alignment readingOrder="1"/>
    </xf>
    <xf numFmtId="164" fontId="5" fillId="9" borderId="1" xfId="1" applyNumberFormat="1" applyFont="1" applyFill="1" applyBorder="1" applyAlignment="1">
      <alignment readingOrder="1"/>
    </xf>
    <xf numFmtId="0" fontId="8" fillId="2" borderId="1" xfId="0" applyFont="1" applyFill="1" applyBorder="1" applyAlignment="1">
      <alignment horizontal="center" vertical="center" wrapText="1" readingOrder="2"/>
    </xf>
    <xf numFmtId="164" fontId="10" fillId="7" borderId="1" xfId="1" applyNumberFormat="1" applyFont="1" applyFill="1" applyBorder="1" applyAlignment="1">
      <alignment horizontal="center" vertical="center"/>
    </xf>
    <xf numFmtId="164" fontId="8" fillId="14" borderId="1" xfId="1" applyNumberFormat="1" applyFont="1" applyFill="1" applyBorder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 wrapText="1" readingOrder="2"/>
    </xf>
    <xf numFmtId="0" fontId="9" fillId="0" borderId="10" xfId="0" applyFont="1" applyBorder="1" applyAlignment="1">
      <alignment horizontal="center" vertical="center" wrapText="1" readingOrder="2"/>
    </xf>
    <xf numFmtId="0" fontId="9" fillId="0" borderId="2" xfId="0" applyFont="1" applyBorder="1" applyAlignment="1">
      <alignment horizontal="center" vertical="center" wrapText="1" readingOrder="2"/>
    </xf>
    <xf numFmtId="164" fontId="8" fillId="5" borderId="1" xfId="1" applyNumberFormat="1" applyFont="1" applyFill="1" applyBorder="1" applyAlignment="1">
      <alignment horizontal="center" vertical="center" wrapText="1" readingOrder="2"/>
    </xf>
    <xf numFmtId="0" fontId="11" fillId="0" borderId="1" xfId="0" applyFont="1" applyBorder="1" applyAlignment="1">
      <alignment horizontal="center" vertical="center" wrapText="1" readingOrder="2"/>
    </xf>
    <xf numFmtId="164" fontId="5" fillId="0" borderId="0" xfId="1" applyNumberFormat="1" applyFont="1"/>
    <xf numFmtId="0" fontId="5" fillId="0" borderId="0" xfId="0" applyFont="1"/>
    <xf numFmtId="9" fontId="12" fillId="12" borderId="0" xfId="2" applyFont="1" applyFill="1" applyBorder="1" applyAlignment="1">
      <alignment horizontal="center" vertical="center" wrapText="1" readingOrder="2"/>
    </xf>
    <xf numFmtId="164" fontId="12" fillId="12" borderId="0" xfId="1" applyNumberFormat="1" applyFont="1" applyFill="1" applyBorder="1" applyAlignment="1">
      <alignment horizontal="center" vertical="center" wrapText="1" readingOrder="2"/>
    </xf>
    <xf numFmtId="164" fontId="3" fillId="0" borderId="0" xfId="1" applyNumberFormat="1" applyFont="1" applyAlignment="1">
      <alignment horizontal="center" vertical="center"/>
    </xf>
    <xf numFmtId="164" fontId="8" fillId="18" borderId="10" xfId="1" applyNumberFormat="1" applyFont="1" applyFill="1" applyBorder="1" applyAlignment="1">
      <alignment horizontal="center" vertical="center" wrapText="1" readingOrder="2"/>
    </xf>
    <xf numFmtId="164" fontId="8" fillId="9" borderId="10" xfId="1" applyNumberFormat="1" applyFont="1" applyFill="1" applyBorder="1" applyAlignment="1">
      <alignment horizontal="center" vertical="center" wrapText="1" readingOrder="2"/>
    </xf>
    <xf numFmtId="9" fontId="12" fillId="11" borderId="13" xfId="2" applyFont="1" applyFill="1" applyBorder="1" applyAlignment="1">
      <alignment horizontal="center" vertical="center" wrapText="1" readingOrder="1"/>
    </xf>
    <xf numFmtId="9" fontId="12" fillId="11" borderId="14" xfId="2" applyFont="1" applyFill="1" applyBorder="1" applyAlignment="1">
      <alignment horizontal="center" vertical="center" wrapText="1" readingOrder="1"/>
    </xf>
    <xf numFmtId="9" fontId="5" fillId="0" borderId="2" xfId="2" applyFont="1" applyBorder="1" applyAlignment="1">
      <alignment horizontal="center" vertical="center" readingOrder="1"/>
    </xf>
    <xf numFmtId="9" fontId="5" fillId="0" borderId="10" xfId="2" applyFont="1" applyBorder="1" applyAlignment="1">
      <alignment horizontal="center" vertical="center" readingOrder="1"/>
    </xf>
    <xf numFmtId="9" fontId="5" fillId="0" borderId="1" xfId="2" applyFont="1" applyBorder="1" applyAlignment="1">
      <alignment horizontal="center" vertical="center" readingOrder="1"/>
    </xf>
    <xf numFmtId="164" fontId="5" fillId="0" borderId="1" xfId="1" applyNumberFormat="1" applyFont="1" applyBorder="1" applyAlignment="1">
      <alignment horizontal="center" vertical="center" readingOrder="1"/>
    </xf>
    <xf numFmtId="9" fontId="5" fillId="0" borderId="6" xfId="2" applyFont="1" applyBorder="1" applyAlignment="1">
      <alignment horizontal="center" vertical="center" readingOrder="1"/>
    </xf>
    <xf numFmtId="164" fontId="5" fillId="0" borderId="0" xfId="1" applyNumberFormat="1" applyFont="1" applyAlignment="1">
      <alignment horizontal="center" vertical="center"/>
    </xf>
    <xf numFmtId="164" fontId="5" fillId="0" borderId="9" xfId="1" applyNumberFormat="1" applyFont="1" applyBorder="1" applyAlignment="1">
      <alignment horizontal="center" vertical="center" readingOrder="1"/>
    </xf>
    <xf numFmtId="164" fontId="5" fillId="0" borderId="5" xfId="1" applyNumberFormat="1" applyFont="1" applyBorder="1" applyAlignment="1">
      <alignment horizontal="center" vertical="center" readingOrder="1"/>
    </xf>
    <xf numFmtId="0" fontId="13" fillId="0" borderId="0" xfId="0" applyFont="1" applyAlignment="1">
      <alignment readingOrder="1"/>
    </xf>
    <xf numFmtId="0" fontId="5" fillId="0" borderId="0" xfId="0" applyFont="1" applyAlignment="1">
      <alignment readingOrder="1"/>
    </xf>
    <xf numFmtId="0" fontId="15" fillId="0" borderId="3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center" vertical="center" wrapText="1" readingOrder="1"/>
    </xf>
    <xf numFmtId="0" fontId="18" fillId="0" borderId="0" xfId="0" applyFont="1" applyAlignment="1">
      <alignment readingOrder="1"/>
    </xf>
    <xf numFmtId="0" fontId="5" fillId="12" borderId="0" xfId="0" applyFont="1" applyFill="1" applyAlignment="1">
      <alignment readingOrder="1"/>
    </xf>
    <xf numFmtId="0" fontId="8" fillId="0" borderId="0" xfId="0" applyFont="1" applyAlignment="1">
      <alignment horizontal="center" vertical="center" readingOrder="1"/>
    </xf>
    <xf numFmtId="164" fontId="10" fillId="0" borderId="24" xfId="1" applyNumberFormat="1" applyFont="1" applyBorder="1" applyAlignment="1">
      <alignment horizontal="center" vertical="center"/>
    </xf>
    <xf numFmtId="164" fontId="10" fillId="0" borderId="25" xfId="1" applyNumberFormat="1" applyFont="1" applyBorder="1" applyAlignment="1">
      <alignment horizontal="center" vertical="center"/>
    </xf>
    <xf numFmtId="0" fontId="8" fillId="15" borderId="14" xfId="0" applyFont="1" applyFill="1" applyBorder="1" applyAlignment="1">
      <alignment horizontal="center" vertical="center" wrapText="1" readingOrder="2"/>
    </xf>
    <xf numFmtId="164" fontId="5" fillId="10" borderId="1" xfId="1" applyNumberFormat="1" applyFont="1" applyFill="1" applyBorder="1" applyAlignment="1">
      <alignment horizontal="center" vertical="center"/>
    </xf>
    <xf numFmtId="164" fontId="5" fillId="10" borderId="2" xfId="1" applyNumberFormat="1" applyFont="1" applyFill="1" applyBorder="1" applyAlignment="1">
      <alignment horizontal="center" vertical="center"/>
    </xf>
    <xf numFmtId="164" fontId="8" fillId="5" borderId="1" xfId="1" applyNumberFormat="1" applyFont="1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10" borderId="1" xfId="1" applyNumberFormat="1" applyFont="1" applyFill="1" applyBorder="1" applyAlignment="1">
      <alignment horizontal="center" vertical="center"/>
    </xf>
    <xf numFmtId="164" fontId="7" fillId="15" borderId="12" xfId="1" applyNumberFormat="1" applyFont="1" applyFill="1" applyBorder="1" applyAlignment="1">
      <alignment horizontal="center" vertical="center" wrapText="1" readingOrder="2"/>
    </xf>
    <xf numFmtId="0" fontId="19" fillId="0" borderId="0" xfId="0" applyFont="1" applyAlignment="1">
      <alignment readingOrder="1"/>
    </xf>
    <xf numFmtId="164" fontId="18" fillId="0" borderId="5" xfId="1" applyNumberFormat="1" applyFont="1" applyBorder="1"/>
    <xf numFmtId="164" fontId="18" fillId="0" borderId="0" xfId="1" applyNumberFormat="1" applyFont="1"/>
    <xf numFmtId="9" fontId="19" fillId="22" borderId="4" xfId="2" applyFont="1" applyFill="1" applyBorder="1" applyAlignment="1">
      <alignment horizontal="center" vertical="center"/>
    </xf>
    <xf numFmtId="164" fontId="6" fillId="11" borderId="15" xfId="1" applyNumberFormat="1" applyFont="1" applyFill="1" applyBorder="1" applyAlignment="1">
      <alignment horizontal="center" vertical="center" wrapText="1" readingOrder="2"/>
    </xf>
    <xf numFmtId="164" fontId="8" fillId="18" borderId="9" xfId="1" applyNumberFormat="1" applyFont="1" applyFill="1" applyBorder="1" applyAlignment="1">
      <alignment horizontal="center" vertical="center" wrapText="1" readingOrder="2"/>
    </xf>
    <xf numFmtId="164" fontId="8" fillId="9" borderId="11" xfId="1" applyNumberFormat="1" applyFont="1" applyFill="1" applyBorder="1" applyAlignment="1">
      <alignment horizontal="center" vertical="center" wrapText="1" readingOrder="2"/>
    </xf>
    <xf numFmtId="164" fontId="12" fillId="11" borderId="12" xfId="1" applyNumberFormat="1" applyFont="1" applyFill="1" applyBorder="1" applyAlignment="1">
      <alignment horizontal="center" vertical="center" wrapText="1" readingOrder="1"/>
    </xf>
    <xf numFmtId="9" fontId="5" fillId="0" borderId="8" xfId="2" applyFont="1" applyBorder="1" applyAlignment="1">
      <alignment horizontal="center" vertical="center" readingOrder="1"/>
    </xf>
    <xf numFmtId="164" fontId="8" fillId="9" borderId="3" xfId="1" applyNumberFormat="1" applyFont="1" applyFill="1" applyBorder="1" applyAlignment="1">
      <alignment horizontal="center" vertical="center" wrapText="1" readingOrder="2"/>
    </xf>
    <xf numFmtId="164" fontId="0" fillId="0" borderId="0" xfId="1" applyNumberFormat="1" applyFont="1" applyBorder="1" applyAlignment="1">
      <alignment horizontal="center" vertical="center"/>
    </xf>
    <xf numFmtId="164" fontId="8" fillId="9" borderId="36" xfId="1" applyNumberFormat="1" applyFont="1" applyFill="1" applyBorder="1" applyAlignment="1">
      <alignment horizontal="center" vertical="center" wrapText="1" readingOrder="2"/>
    </xf>
    <xf numFmtId="9" fontId="5" fillId="0" borderId="5" xfId="2" applyFont="1" applyBorder="1" applyAlignment="1">
      <alignment horizontal="center" vertical="center" readingOrder="1"/>
    </xf>
    <xf numFmtId="9" fontId="5" fillId="0" borderId="7" xfId="2" applyFont="1" applyBorder="1" applyAlignment="1">
      <alignment horizontal="center" vertical="center" readingOrder="1"/>
    </xf>
    <xf numFmtId="164" fontId="8" fillId="18" borderId="32" xfId="1" applyNumberFormat="1" applyFont="1" applyFill="1" applyBorder="1" applyAlignment="1">
      <alignment horizontal="center" vertical="center" wrapText="1" readingOrder="2"/>
    </xf>
    <xf numFmtId="164" fontId="8" fillId="9" borderId="9" xfId="1" applyNumberFormat="1" applyFont="1" applyFill="1" applyBorder="1" applyAlignment="1">
      <alignment horizontal="center" vertical="center" wrapText="1" readingOrder="2"/>
    </xf>
    <xf numFmtId="9" fontId="12" fillId="11" borderId="12" xfId="2" applyFont="1" applyFill="1" applyBorder="1" applyAlignment="1">
      <alignment horizontal="center" vertical="center" wrapText="1" readingOrder="1"/>
    </xf>
    <xf numFmtId="10" fontId="6" fillId="11" borderId="26" xfId="1" applyNumberFormat="1" applyFont="1" applyFill="1" applyBorder="1" applyAlignment="1">
      <alignment horizontal="center" vertical="center" wrapText="1" readingOrder="1"/>
    </xf>
    <xf numFmtId="10" fontId="12" fillId="11" borderId="27" xfId="1" applyNumberFormat="1" applyFont="1" applyFill="1" applyBorder="1" applyAlignment="1">
      <alignment horizontal="center" vertical="center" wrapText="1" readingOrder="1"/>
    </xf>
    <xf numFmtId="10" fontId="12" fillId="11" borderId="28" xfId="1" applyNumberFormat="1" applyFont="1" applyFill="1" applyBorder="1" applyAlignment="1">
      <alignment horizontal="center" vertical="center" wrapText="1" readingOrder="1"/>
    </xf>
    <xf numFmtId="164" fontId="8" fillId="16" borderId="33" xfId="1" applyNumberFormat="1" applyFont="1" applyFill="1" applyBorder="1" applyAlignment="1">
      <alignment horizontal="center" vertical="center"/>
    </xf>
    <xf numFmtId="164" fontId="8" fillId="16" borderId="34" xfId="1" applyNumberFormat="1" applyFont="1" applyFill="1" applyBorder="1" applyAlignment="1">
      <alignment horizontal="center" vertical="center"/>
    </xf>
    <xf numFmtId="164" fontId="8" fillId="16" borderId="35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7" fillId="15" borderId="12" xfId="1" applyNumberFormat="1" applyFont="1" applyFill="1" applyBorder="1" applyAlignment="1">
      <alignment horizontal="center" vertical="center" wrapText="1" readingOrder="1"/>
    </xf>
    <xf numFmtId="43" fontId="0" fillId="0" borderId="0" xfId="0" applyNumberFormat="1" applyAlignment="1">
      <alignment horizontal="center" vertical="center"/>
    </xf>
    <xf numFmtId="9" fontId="7" fillId="8" borderId="2" xfId="2" applyFont="1" applyFill="1" applyBorder="1" applyAlignment="1">
      <alignment vertical="center" wrapText="1"/>
    </xf>
    <xf numFmtId="9" fontId="7" fillId="14" borderId="2" xfId="2" applyFont="1" applyFill="1" applyBorder="1" applyAlignment="1">
      <alignment vertical="center" wrapText="1"/>
    </xf>
    <xf numFmtId="9" fontId="7" fillId="5" borderId="2" xfId="2" applyFont="1" applyFill="1" applyBorder="1" applyAlignment="1">
      <alignment vertical="center"/>
    </xf>
    <xf numFmtId="9" fontId="6" fillId="7" borderId="2" xfId="2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center" wrapText="1" readingOrder="1"/>
    </xf>
    <xf numFmtId="164" fontId="5" fillId="6" borderId="1" xfId="1" applyNumberFormat="1" applyFont="1" applyFill="1" applyBorder="1" applyAlignment="1">
      <alignment horizontal="center" vertical="center" readingOrder="1"/>
    </xf>
    <xf numFmtId="43" fontId="0" fillId="0" borderId="0" xfId="0" applyNumberFormat="1"/>
    <xf numFmtId="0" fontId="22" fillId="0" borderId="0" xfId="0" applyFont="1"/>
    <xf numFmtId="0" fontId="8" fillId="15" borderId="19" xfId="0" applyFont="1" applyFill="1" applyBorder="1" applyAlignment="1">
      <alignment horizontal="center" vertical="center" wrapText="1" readingOrder="2"/>
    </xf>
    <xf numFmtId="0" fontId="6" fillId="7" borderId="1" xfId="0" applyFont="1" applyFill="1" applyBorder="1" applyAlignment="1">
      <alignment horizontal="center" vertical="center"/>
    </xf>
    <xf numFmtId="9" fontId="5" fillId="0" borderId="2" xfId="2" applyFont="1" applyBorder="1" applyAlignment="1">
      <alignment horizontal="center" vertical="center"/>
    </xf>
    <xf numFmtId="0" fontId="8" fillId="15" borderId="28" xfId="0" applyFont="1" applyFill="1" applyBorder="1" applyAlignment="1">
      <alignment horizontal="center" vertical="center" wrapText="1" readingOrder="2"/>
    </xf>
    <xf numFmtId="9" fontId="5" fillId="0" borderId="10" xfId="2" applyFont="1" applyBorder="1" applyAlignment="1">
      <alignment horizontal="center" vertical="center"/>
    </xf>
    <xf numFmtId="0" fontId="6" fillId="15" borderId="40" xfId="0" applyFont="1" applyFill="1" applyBorder="1" applyAlignment="1">
      <alignment horizontal="center" vertical="center" wrapText="1" readingOrder="2"/>
    </xf>
    <xf numFmtId="0" fontId="8" fillId="15" borderId="41" xfId="0" applyFont="1" applyFill="1" applyBorder="1" applyAlignment="1">
      <alignment horizontal="center" vertical="center" wrapText="1" readingOrder="2"/>
    </xf>
    <xf numFmtId="9" fontId="0" fillId="0" borderId="0" xfId="2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 wrapText="1" readingOrder="2"/>
    </xf>
    <xf numFmtId="164" fontId="6" fillId="15" borderId="26" xfId="1" applyNumberFormat="1" applyFont="1" applyFill="1" applyBorder="1" applyAlignment="1">
      <alignment horizontal="center" vertical="center"/>
    </xf>
    <xf numFmtId="164" fontId="5" fillId="0" borderId="0" xfId="1" applyNumberFormat="1" applyFont="1" applyBorder="1" applyAlignment="1">
      <alignment horizontal="center" vertical="center"/>
    </xf>
    <xf numFmtId="164" fontId="6" fillId="0" borderId="0" xfId="1" applyNumberFormat="1" applyFont="1" applyFill="1" applyBorder="1" applyAlignment="1">
      <alignment vertical="center"/>
    </xf>
    <xf numFmtId="164" fontId="8" fillId="16" borderId="42" xfId="1" applyNumberFormat="1" applyFont="1" applyFill="1" applyBorder="1" applyAlignment="1">
      <alignment horizontal="center" vertical="center"/>
    </xf>
    <xf numFmtId="164" fontId="8" fillId="16" borderId="43" xfId="1" applyNumberFormat="1" applyFont="1" applyFill="1" applyBorder="1" applyAlignment="1">
      <alignment horizontal="center" vertical="center"/>
    </xf>
    <xf numFmtId="9" fontId="12" fillId="11" borderId="27" xfId="2" applyFont="1" applyFill="1" applyBorder="1" applyAlignment="1">
      <alignment horizontal="center" vertical="center" wrapText="1" readingOrder="1"/>
    </xf>
    <xf numFmtId="9" fontId="12" fillId="11" borderId="45" xfId="2" applyFont="1" applyFill="1" applyBorder="1" applyAlignment="1">
      <alignment horizontal="center" vertical="center" wrapText="1" readingOrder="1"/>
    </xf>
    <xf numFmtId="164" fontId="5" fillId="0" borderId="0" xfId="1" applyNumberFormat="1" applyFont="1" applyFill="1" applyAlignment="1">
      <alignment horizontal="center" vertical="center"/>
    </xf>
    <xf numFmtId="164" fontId="5" fillId="6" borderId="2" xfId="1" applyNumberFormat="1" applyFont="1" applyFill="1" applyBorder="1" applyAlignment="1">
      <alignment horizontal="center" vertical="center" readingOrder="1"/>
    </xf>
    <xf numFmtId="0" fontId="5" fillId="0" borderId="1" xfId="0" applyFont="1" applyBorder="1" applyAlignment="1">
      <alignment horizontal="center" vertical="center" wrapText="1" readingOrder="2"/>
    </xf>
    <xf numFmtId="0" fontId="22" fillId="0" borderId="1" xfId="0" applyFont="1" applyBorder="1"/>
    <xf numFmtId="164" fontId="5" fillId="6" borderId="10" xfId="1" applyNumberFormat="1" applyFont="1" applyFill="1" applyBorder="1" applyAlignment="1">
      <alignment horizontal="center" vertical="center" readingOrder="1"/>
    </xf>
    <xf numFmtId="164" fontId="5" fillId="15" borderId="3" xfId="1" applyNumberFormat="1" applyFont="1" applyFill="1" applyBorder="1" applyAlignment="1">
      <alignment horizontal="center"/>
    </xf>
    <xf numFmtId="0" fontId="8" fillId="15" borderId="3" xfId="0" applyFont="1" applyFill="1" applyBorder="1" applyAlignment="1">
      <alignment horizontal="center" vertical="center" wrapText="1" readingOrder="2"/>
    </xf>
    <xf numFmtId="0" fontId="6" fillId="15" borderId="3" xfId="0" applyFont="1" applyFill="1" applyBorder="1" applyAlignment="1">
      <alignment horizontal="center" vertical="center" wrapText="1" readingOrder="2"/>
    </xf>
    <xf numFmtId="164" fontId="6" fillId="15" borderId="3" xfId="1" applyNumberFormat="1" applyFont="1" applyFill="1" applyBorder="1" applyAlignment="1">
      <alignment horizontal="center" vertical="center"/>
    </xf>
    <xf numFmtId="164" fontId="6" fillId="15" borderId="3" xfId="1" applyNumberFormat="1" applyFont="1" applyFill="1" applyBorder="1" applyAlignment="1">
      <alignment horizontal="center" vertical="center" wrapText="1" readingOrder="2"/>
    </xf>
    <xf numFmtId="0" fontId="15" fillId="0" borderId="4" xfId="0" applyFont="1" applyBorder="1" applyAlignment="1">
      <alignment horizontal="center" vertical="center" wrapText="1" readingOrder="1"/>
    </xf>
    <xf numFmtId="9" fontId="5" fillId="15" borderId="3" xfId="2" applyFont="1" applyFill="1" applyBorder="1" applyAlignment="1">
      <alignment horizontal="center" vertical="center"/>
    </xf>
    <xf numFmtId="9" fontId="0" fillId="15" borderId="1" xfId="2" applyFont="1" applyFill="1" applyBorder="1" applyAlignment="1">
      <alignment horizontal="center" vertical="center"/>
    </xf>
    <xf numFmtId="164" fontId="8" fillId="15" borderId="28" xfId="0" applyNumberFormat="1" applyFont="1" applyFill="1" applyBorder="1" applyAlignment="1">
      <alignment horizontal="center" vertical="center" wrapText="1" readingOrder="2"/>
    </xf>
    <xf numFmtId="164" fontId="8" fillId="15" borderId="14" xfId="0" applyNumberFormat="1" applyFont="1" applyFill="1" applyBorder="1" applyAlignment="1">
      <alignment horizontal="center" vertical="center" wrapText="1" readingOrder="2"/>
    </xf>
    <xf numFmtId="164" fontId="8" fillId="15" borderId="41" xfId="0" applyNumberFormat="1" applyFont="1" applyFill="1" applyBorder="1" applyAlignment="1">
      <alignment horizontal="center" vertical="center" wrapText="1" readingOrder="2"/>
    </xf>
    <xf numFmtId="164" fontId="6" fillId="15" borderId="3" xfId="1" applyNumberFormat="1" applyFont="1" applyFill="1" applyBorder="1" applyAlignment="1">
      <alignment horizontal="center" vertical="center" wrapText="1" readingOrder="1"/>
    </xf>
    <xf numFmtId="164" fontId="0" fillId="15" borderId="3" xfId="0" applyNumberFormat="1" applyFill="1" applyBorder="1"/>
    <xf numFmtId="3" fontId="0" fillId="0" borderId="0" xfId="0" applyNumberFormat="1"/>
    <xf numFmtId="9" fontId="19" fillId="22" borderId="38" xfId="2" applyFont="1" applyFill="1" applyBorder="1" applyAlignment="1">
      <alignment horizontal="center" vertical="center"/>
    </xf>
    <xf numFmtId="9" fontId="19" fillId="22" borderId="21" xfId="2" applyFont="1" applyFill="1" applyBorder="1" applyAlignment="1">
      <alignment horizontal="center" vertical="center"/>
    </xf>
    <xf numFmtId="9" fontId="12" fillId="11" borderId="28" xfId="2" applyFont="1" applyFill="1" applyBorder="1" applyAlignment="1">
      <alignment horizontal="center" vertical="center" wrapText="1" readingOrder="1"/>
    </xf>
    <xf numFmtId="0" fontId="0" fillId="12" borderId="0" xfId="0" applyFill="1"/>
    <xf numFmtId="43" fontId="0" fillId="0" borderId="0" xfId="1" applyFont="1"/>
    <xf numFmtId="164" fontId="6" fillId="11" borderId="44" xfId="1" applyNumberFormat="1" applyFont="1" applyFill="1" applyBorder="1" applyAlignment="1">
      <alignment horizontal="center" vertical="center" wrapText="1" readingOrder="2"/>
    </xf>
    <xf numFmtId="164" fontId="12" fillId="11" borderId="26" xfId="1" applyNumberFormat="1" applyFont="1" applyFill="1" applyBorder="1" applyAlignment="1">
      <alignment horizontal="center" vertical="center" wrapText="1" readingOrder="1"/>
    </xf>
    <xf numFmtId="164" fontId="12" fillId="11" borderId="27" xfId="1" applyNumberFormat="1" applyFont="1" applyFill="1" applyBorder="1" applyAlignment="1">
      <alignment horizontal="center" vertical="center" wrapText="1" readingOrder="1"/>
    </xf>
    <xf numFmtId="164" fontId="12" fillId="11" borderId="45" xfId="1" applyNumberFormat="1" applyFont="1" applyFill="1" applyBorder="1" applyAlignment="1">
      <alignment horizontal="center" vertical="center" wrapText="1" readingOrder="1"/>
    </xf>
    <xf numFmtId="9" fontId="12" fillId="11" borderId="46" xfId="2" applyFont="1" applyFill="1" applyBorder="1" applyAlignment="1">
      <alignment horizontal="center" vertical="center" wrapText="1" readingOrder="1"/>
    </xf>
    <xf numFmtId="164" fontId="10" fillId="0" borderId="1" xfId="1" applyNumberFormat="1" applyFont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0" fontId="8" fillId="15" borderId="31" xfId="0" applyFont="1" applyFill="1" applyBorder="1" applyAlignment="1">
      <alignment horizontal="center" vertical="center" wrapText="1" readingOrder="2"/>
    </xf>
    <xf numFmtId="9" fontId="0" fillId="0" borderId="13" xfId="2" applyFont="1" applyBorder="1" applyAlignment="1">
      <alignment horizontal="center" vertical="center"/>
    </xf>
    <xf numFmtId="164" fontId="8" fillId="15" borderId="31" xfId="0" applyNumberFormat="1" applyFont="1" applyFill="1" applyBorder="1" applyAlignment="1">
      <alignment horizontal="center" vertical="center" wrapText="1" readingOrder="2"/>
    </xf>
    <xf numFmtId="164" fontId="6" fillId="15" borderId="12" xfId="1" applyNumberFormat="1" applyFont="1" applyFill="1" applyBorder="1" applyAlignment="1">
      <alignment horizontal="center" vertical="center"/>
    </xf>
    <xf numFmtId="9" fontId="0" fillId="15" borderId="13" xfId="2" applyFont="1" applyFill="1" applyBorder="1" applyAlignment="1">
      <alignment horizontal="center" vertical="center"/>
    </xf>
    <xf numFmtId="164" fontId="0" fillId="12" borderId="0" xfId="1" applyNumberFormat="1" applyFont="1" applyFill="1" applyBorder="1"/>
    <xf numFmtId="164" fontId="0" fillId="12" borderId="0" xfId="0" applyNumberFormat="1" applyFill="1"/>
    <xf numFmtId="164" fontId="5" fillId="0" borderId="47" xfId="1" applyNumberFormat="1" applyFont="1" applyBorder="1" applyAlignment="1">
      <alignment horizontal="center" vertical="center" readingOrder="1"/>
    </xf>
    <xf numFmtId="164" fontId="5" fillId="0" borderId="40" xfId="1" applyNumberFormat="1" applyFont="1" applyBorder="1" applyAlignment="1">
      <alignment horizontal="center" vertical="center" readingOrder="1"/>
    </xf>
    <xf numFmtId="9" fontId="12" fillId="11" borderId="26" xfId="2" applyFont="1" applyFill="1" applyBorder="1" applyAlignment="1">
      <alignment horizontal="center" vertical="center" wrapText="1" readingOrder="1"/>
    </xf>
    <xf numFmtId="164" fontId="21" fillId="3" borderId="46" xfId="1" applyNumberFormat="1" applyFont="1" applyFill="1" applyBorder="1" applyAlignment="1">
      <alignment horizontal="center" vertical="center" wrapText="1" readingOrder="2"/>
    </xf>
    <xf numFmtId="164" fontId="10" fillId="0" borderId="29" xfId="1" applyNumberFormat="1" applyFont="1" applyBorder="1" applyAlignment="1">
      <alignment horizontal="center" vertical="center"/>
    </xf>
    <xf numFmtId="164" fontId="8" fillId="18" borderId="48" xfId="1" applyNumberFormat="1" applyFont="1" applyFill="1" applyBorder="1" applyAlignment="1">
      <alignment horizontal="center" vertical="center" wrapText="1" readingOrder="2"/>
    </xf>
    <xf numFmtId="164" fontId="5" fillId="0" borderId="6" xfId="1" applyNumberFormat="1" applyFont="1" applyBorder="1" applyAlignment="1">
      <alignment horizontal="center" vertical="center" readingOrder="1"/>
    </xf>
    <xf numFmtId="164" fontId="5" fillId="0" borderId="41" xfId="1" applyNumberFormat="1" applyFont="1" applyBorder="1" applyAlignment="1">
      <alignment horizontal="center" vertical="center" readingOrder="1"/>
    </xf>
    <xf numFmtId="10" fontId="6" fillId="11" borderId="46" xfId="1" applyNumberFormat="1" applyFont="1" applyFill="1" applyBorder="1" applyAlignment="1">
      <alignment horizontal="center" vertical="center" wrapText="1" readingOrder="1"/>
    </xf>
    <xf numFmtId="164" fontId="10" fillId="0" borderId="37" xfId="1" applyNumberFormat="1" applyFont="1" applyBorder="1" applyAlignment="1">
      <alignment horizontal="center" vertical="center"/>
    </xf>
    <xf numFmtId="10" fontId="6" fillId="11" borderId="3" xfId="1" applyNumberFormat="1" applyFont="1" applyFill="1" applyBorder="1" applyAlignment="1">
      <alignment horizontal="center" vertical="center" wrapText="1" readingOrder="1"/>
    </xf>
    <xf numFmtId="10" fontId="6" fillId="11" borderId="12" xfId="1" applyNumberFormat="1" applyFont="1" applyFill="1" applyBorder="1" applyAlignment="1">
      <alignment horizontal="center" vertical="center" wrapText="1" readingOrder="1"/>
    </xf>
    <xf numFmtId="0" fontId="8" fillId="15" borderId="1" xfId="0" applyFont="1" applyFill="1" applyBorder="1" applyAlignment="1">
      <alignment horizontal="center" vertical="center" wrapText="1" readingOrder="2"/>
    </xf>
    <xf numFmtId="0" fontId="8" fillId="0" borderId="39" xfId="0" applyFont="1" applyBorder="1" applyAlignment="1">
      <alignment horizontal="center" vertical="center" wrapText="1" readingOrder="2"/>
    </xf>
    <xf numFmtId="164" fontId="6" fillId="11" borderId="46" xfId="1" applyNumberFormat="1" applyFont="1" applyFill="1" applyBorder="1" applyAlignment="1">
      <alignment horizontal="center" vertical="center" wrapText="1" readingOrder="2"/>
    </xf>
    <xf numFmtId="164" fontId="21" fillId="3" borderId="12" xfId="1" applyNumberFormat="1" applyFont="1" applyFill="1" applyBorder="1" applyAlignment="1">
      <alignment horizontal="center" vertical="center" wrapText="1" readingOrder="2"/>
    </xf>
    <xf numFmtId="9" fontId="19" fillId="20" borderId="9" xfId="2" applyFont="1" applyFill="1" applyBorder="1" applyAlignment="1">
      <alignment horizontal="center" vertical="center"/>
    </xf>
    <xf numFmtId="9" fontId="19" fillId="20" borderId="10" xfId="2" applyFont="1" applyFill="1" applyBorder="1" applyAlignment="1">
      <alignment horizontal="center" vertical="center"/>
    </xf>
    <xf numFmtId="9" fontId="19" fillId="20" borderId="11" xfId="2" applyFont="1" applyFill="1" applyBorder="1" applyAlignment="1">
      <alignment horizontal="center" vertical="center"/>
    </xf>
    <xf numFmtId="164" fontId="8" fillId="15" borderId="28" xfId="1" applyNumberFormat="1" applyFont="1" applyFill="1" applyBorder="1" applyAlignment="1">
      <alignment horizontal="center" vertical="center" wrapText="1" readingOrder="2"/>
    </xf>
    <xf numFmtId="164" fontId="6" fillId="15" borderId="3" xfId="1" applyNumberFormat="1" applyFont="1" applyFill="1" applyBorder="1" applyAlignment="1">
      <alignment horizontal="center"/>
    </xf>
    <xf numFmtId="164" fontId="25" fillId="15" borderId="3" xfId="0" applyNumberFormat="1" applyFont="1" applyFill="1" applyBorder="1"/>
    <xf numFmtId="164" fontId="12" fillId="15" borderId="3" xfId="1" applyNumberFormat="1" applyFont="1" applyFill="1" applyBorder="1" applyAlignment="1">
      <alignment horizontal="center"/>
    </xf>
    <xf numFmtId="0" fontId="6" fillId="15" borderId="46" xfId="0" applyFont="1" applyFill="1" applyBorder="1" applyAlignment="1">
      <alignment horizontal="center" vertical="center" wrapText="1" readingOrder="2"/>
    </xf>
    <xf numFmtId="0" fontId="8" fillId="15" borderId="46" xfId="0" applyFont="1" applyFill="1" applyBorder="1" applyAlignment="1">
      <alignment horizontal="center" vertical="center" wrapText="1" readingOrder="2"/>
    </xf>
    <xf numFmtId="164" fontId="6" fillId="15" borderId="46" xfId="1" applyNumberFormat="1" applyFont="1" applyFill="1" applyBorder="1" applyAlignment="1">
      <alignment horizontal="center" vertical="center" wrapText="1" readingOrder="1"/>
    </xf>
    <xf numFmtId="164" fontId="8" fillId="16" borderId="49" xfId="1" applyNumberFormat="1" applyFont="1" applyFill="1" applyBorder="1" applyAlignment="1">
      <alignment horizontal="center" vertical="center"/>
    </xf>
    <xf numFmtId="164" fontId="5" fillId="23" borderId="2" xfId="1" applyNumberFormat="1" applyFont="1" applyFill="1" applyBorder="1" applyAlignment="1">
      <alignment horizontal="center"/>
    </xf>
    <xf numFmtId="164" fontId="5" fillId="23" borderId="10" xfId="1" applyNumberFormat="1" applyFont="1" applyFill="1" applyBorder="1" applyAlignment="1">
      <alignment horizontal="center"/>
    </xf>
    <xf numFmtId="164" fontId="5" fillId="23" borderId="1" xfId="1" applyNumberFormat="1" applyFont="1" applyFill="1" applyBorder="1" applyAlignment="1">
      <alignment horizontal="center"/>
    </xf>
    <xf numFmtId="164" fontId="5" fillId="7" borderId="1" xfId="1" applyNumberFormat="1" applyFont="1" applyFill="1" applyBorder="1" applyAlignment="1">
      <alignment horizontal="center"/>
    </xf>
    <xf numFmtId="164" fontId="5" fillId="7" borderId="2" xfId="1" applyNumberFormat="1" applyFont="1" applyFill="1" applyBorder="1" applyAlignment="1">
      <alignment horizontal="center"/>
    </xf>
    <xf numFmtId="4" fontId="0" fillId="12" borderId="0" xfId="0" applyNumberFormat="1" applyFill="1"/>
    <xf numFmtId="164" fontId="5" fillId="15" borderId="1" xfId="1" applyNumberFormat="1" applyFont="1" applyFill="1" applyBorder="1" applyAlignment="1">
      <alignment horizontal="center"/>
    </xf>
    <xf numFmtId="164" fontId="5" fillId="15" borderId="1" xfId="1" applyNumberFormat="1" applyFont="1" applyFill="1" applyBorder="1" applyAlignment="1">
      <alignment horizontal="center" vertical="center" readingOrder="1"/>
    </xf>
    <xf numFmtId="164" fontId="5" fillId="15" borderId="2" xfId="1" applyNumberFormat="1" applyFont="1" applyFill="1" applyBorder="1" applyAlignment="1">
      <alignment horizontal="center"/>
    </xf>
    <xf numFmtId="164" fontId="5" fillId="24" borderId="1" xfId="1" applyNumberFormat="1" applyFont="1" applyFill="1" applyBorder="1" applyAlignment="1">
      <alignment horizontal="center"/>
    </xf>
    <xf numFmtId="0" fontId="5" fillId="0" borderId="1" xfId="2" applyNumberFormat="1" applyFont="1" applyBorder="1" applyAlignment="1">
      <alignment horizontal="center" vertical="center" readingOrder="1"/>
    </xf>
    <xf numFmtId="0" fontId="15" fillId="6" borderId="4" xfId="0" applyFont="1" applyFill="1" applyBorder="1" applyAlignment="1">
      <alignment horizontal="center" vertical="center" wrapText="1" readingOrder="1"/>
    </xf>
    <xf numFmtId="9" fontId="27" fillId="11" borderId="4" xfId="2" applyFont="1" applyFill="1" applyBorder="1" applyAlignment="1">
      <alignment horizontal="center" vertical="center"/>
    </xf>
    <xf numFmtId="9" fontId="27" fillId="11" borderId="4" xfId="2" applyFont="1" applyFill="1" applyBorder="1" applyAlignment="1">
      <alignment horizontal="center" vertical="center" wrapText="1"/>
    </xf>
    <xf numFmtId="0" fontId="0" fillId="0" borderId="1" xfId="0" applyBorder="1"/>
    <xf numFmtId="164" fontId="28" fillId="0" borderId="1" xfId="1" applyNumberFormat="1" applyFont="1" applyBorder="1" applyAlignment="1">
      <alignment horizontal="center" vertical="center" wrapText="1" readingOrder="1"/>
    </xf>
    <xf numFmtId="164" fontId="5" fillId="0" borderId="1" xfId="1" applyNumberFormat="1" applyFont="1" applyBorder="1" applyAlignment="1">
      <alignment horizontal="center" vertical="center" wrapText="1" readingOrder="1"/>
    </xf>
    <xf numFmtId="0" fontId="15" fillId="25" borderId="4" xfId="0" applyFont="1" applyFill="1" applyBorder="1" applyAlignment="1">
      <alignment horizontal="center" vertical="center" wrapText="1" readingOrder="1"/>
    </xf>
    <xf numFmtId="9" fontId="27" fillId="16" borderId="3" xfId="2" applyFont="1" applyFill="1" applyBorder="1" applyAlignment="1">
      <alignment horizontal="center" vertical="center"/>
    </xf>
    <xf numFmtId="9" fontId="27" fillId="16" borderId="3" xfId="2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 readingOrder="2"/>
    </xf>
    <xf numFmtId="164" fontId="6" fillId="17" borderId="18" xfId="1" applyNumberFormat="1" applyFont="1" applyFill="1" applyBorder="1" applyAlignment="1">
      <alignment horizontal="center" vertical="center" wrapText="1" readingOrder="2"/>
    </xf>
    <xf numFmtId="164" fontId="6" fillId="17" borderId="30" xfId="1" applyNumberFormat="1" applyFont="1" applyFill="1" applyBorder="1" applyAlignment="1">
      <alignment horizontal="center" vertical="center" wrapText="1" readingOrder="2"/>
    </xf>
    <xf numFmtId="164" fontId="6" fillId="4" borderId="15" xfId="1" applyNumberFormat="1" applyFont="1" applyFill="1" applyBorder="1" applyAlignment="1">
      <alignment horizontal="center" vertical="center" wrapText="1" readingOrder="2"/>
    </xf>
    <xf numFmtId="164" fontId="6" fillId="4" borderId="16" xfId="1" applyNumberFormat="1" applyFont="1" applyFill="1" applyBorder="1" applyAlignment="1">
      <alignment horizontal="center" vertical="center" wrapText="1" readingOrder="2"/>
    </xf>
    <xf numFmtId="164" fontId="6" fillId="4" borderId="17" xfId="1" applyNumberFormat="1" applyFont="1" applyFill="1" applyBorder="1" applyAlignment="1">
      <alignment horizontal="center" vertical="center" wrapText="1" readingOrder="2"/>
    </xf>
    <xf numFmtId="164" fontId="6" fillId="17" borderId="21" xfId="1" applyNumberFormat="1" applyFont="1" applyFill="1" applyBorder="1" applyAlignment="1">
      <alignment horizontal="center" vertical="center" wrapText="1" readingOrder="2"/>
    </xf>
    <xf numFmtId="164" fontId="6" fillId="17" borderId="22" xfId="1" applyNumberFormat="1" applyFont="1" applyFill="1" applyBorder="1" applyAlignment="1">
      <alignment horizontal="center" vertical="center" wrapText="1" readingOrder="2"/>
    </xf>
    <xf numFmtId="164" fontId="6" fillId="13" borderId="15" xfId="1" applyNumberFormat="1" applyFont="1" applyFill="1" applyBorder="1" applyAlignment="1">
      <alignment horizontal="center" vertical="center" wrapText="1" readingOrder="2"/>
    </xf>
    <xf numFmtId="164" fontId="6" fillId="13" borderId="16" xfId="1" applyNumberFormat="1" applyFont="1" applyFill="1" applyBorder="1" applyAlignment="1">
      <alignment horizontal="center" vertical="center" wrapText="1" readingOrder="2"/>
    </xf>
    <xf numFmtId="164" fontId="6" fillId="13" borderId="17" xfId="1" applyNumberFormat="1" applyFont="1" applyFill="1" applyBorder="1" applyAlignment="1">
      <alignment horizontal="center" vertical="center" wrapText="1" readingOrder="2"/>
    </xf>
    <xf numFmtId="0" fontId="21" fillId="21" borderId="15" xfId="0" applyFont="1" applyFill="1" applyBorder="1" applyAlignment="1">
      <alignment horizontal="center" vertical="center"/>
    </xf>
    <xf numFmtId="0" fontId="21" fillId="21" borderId="16" xfId="0" applyFont="1" applyFill="1" applyBorder="1" applyAlignment="1">
      <alignment horizontal="center" vertical="center"/>
    </xf>
    <xf numFmtId="0" fontId="21" fillId="21" borderId="17" xfId="0" applyFont="1" applyFill="1" applyBorder="1" applyAlignment="1">
      <alignment horizontal="center" vertical="center"/>
    </xf>
    <xf numFmtId="164" fontId="6" fillId="7" borderId="15" xfId="1" applyNumberFormat="1" applyFont="1" applyFill="1" applyBorder="1" applyAlignment="1">
      <alignment horizontal="center" vertical="center"/>
    </xf>
    <xf numFmtId="164" fontId="6" fillId="7" borderId="16" xfId="1" applyNumberFormat="1" applyFont="1" applyFill="1" applyBorder="1" applyAlignment="1">
      <alignment horizontal="center" vertical="center"/>
    </xf>
    <xf numFmtId="164" fontId="6" fillId="7" borderId="17" xfId="1" applyNumberFormat="1" applyFont="1" applyFill="1" applyBorder="1" applyAlignment="1">
      <alignment horizontal="center" vertical="center"/>
    </xf>
    <xf numFmtId="0" fontId="20" fillId="19" borderId="15" xfId="1" applyNumberFormat="1" applyFont="1" applyFill="1" applyBorder="1" applyAlignment="1">
      <alignment horizontal="center" vertical="center"/>
    </xf>
    <xf numFmtId="0" fontId="20" fillId="19" borderId="16" xfId="1" applyNumberFormat="1" applyFont="1" applyFill="1" applyBorder="1" applyAlignment="1">
      <alignment horizontal="center" vertical="center"/>
    </xf>
    <xf numFmtId="0" fontId="20" fillId="19" borderId="17" xfId="1" applyNumberFormat="1" applyFont="1" applyFill="1" applyBorder="1" applyAlignment="1">
      <alignment horizontal="center" vertical="center"/>
    </xf>
    <xf numFmtId="0" fontId="6" fillId="14" borderId="29" xfId="0" applyFont="1" applyFill="1" applyBorder="1" applyAlignment="1">
      <alignment horizontal="center" vertical="center" wrapText="1" readingOrder="2"/>
    </xf>
    <xf numFmtId="0" fontId="6" fillId="14" borderId="23" xfId="0" applyFont="1" applyFill="1" applyBorder="1" applyAlignment="1">
      <alignment horizontal="center" vertical="center" wrapText="1" readingOrder="2"/>
    </xf>
    <xf numFmtId="0" fontId="6" fillId="14" borderId="20" xfId="0" applyFont="1" applyFill="1" applyBorder="1" applyAlignment="1">
      <alignment horizontal="center" vertical="center" wrapText="1" readingOrder="2"/>
    </xf>
    <xf numFmtId="0" fontId="6" fillId="7" borderId="1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 wrapText="1" readingOrder="2"/>
    </xf>
    <xf numFmtId="0" fontId="6" fillId="5" borderId="32" xfId="0" applyFont="1" applyFill="1" applyBorder="1" applyAlignment="1">
      <alignment horizontal="center" vertical="center" wrapText="1" readingOrder="2"/>
    </xf>
    <xf numFmtId="0" fontId="6" fillId="14" borderId="1" xfId="0" applyFont="1" applyFill="1" applyBorder="1" applyAlignment="1">
      <alignment horizontal="center" vertical="center" wrapText="1" readingOrder="2"/>
    </xf>
    <xf numFmtId="0" fontId="6" fillId="7" borderId="29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5" borderId="29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 readingOrder="2"/>
    </xf>
    <xf numFmtId="0" fontId="6" fillId="5" borderId="1" xfId="0" applyFont="1" applyFill="1" applyBorder="1" applyAlignment="1">
      <alignment horizontal="center" vertical="center" wrapText="1" readingOrder="1"/>
    </xf>
    <xf numFmtId="0" fontId="7" fillId="15" borderId="29" xfId="0" applyFont="1" applyFill="1" applyBorder="1" applyAlignment="1">
      <alignment horizontal="center" vertical="center" wrapText="1" readingOrder="2"/>
    </xf>
    <xf numFmtId="0" fontId="7" fillId="15" borderId="23" xfId="0" applyFont="1" applyFill="1" applyBorder="1" applyAlignment="1">
      <alignment horizontal="center" vertical="center" wrapText="1" readingOrder="2"/>
    </xf>
    <xf numFmtId="0" fontId="7" fillId="15" borderId="20" xfId="0" applyFont="1" applyFill="1" applyBorder="1" applyAlignment="1">
      <alignment horizontal="center" vertical="center" wrapText="1" readingOrder="2"/>
    </xf>
    <xf numFmtId="0" fontId="6" fillId="5" borderId="29" xfId="0" applyFont="1" applyFill="1" applyBorder="1" applyAlignment="1">
      <alignment horizontal="center" vertical="center" wrapText="1" readingOrder="1"/>
    </xf>
    <xf numFmtId="0" fontId="6" fillId="5" borderId="23" xfId="0" applyFont="1" applyFill="1" applyBorder="1" applyAlignment="1">
      <alignment horizontal="center" vertical="center" wrapText="1" readingOrder="1"/>
    </xf>
    <xf numFmtId="0" fontId="6" fillId="5" borderId="20" xfId="0" applyFont="1" applyFill="1" applyBorder="1" applyAlignment="1">
      <alignment horizontal="center" vertical="center" wrapText="1" readingOrder="1"/>
    </xf>
    <xf numFmtId="164" fontId="0" fillId="0" borderId="0" xfId="1" applyNumberFormat="1" applyFont="1" applyAlignment="1">
      <alignment horizontal="center"/>
    </xf>
    <xf numFmtId="0" fontId="29" fillId="0" borderId="5" xfId="0" applyFont="1" applyBorder="1" applyAlignment="1">
      <alignment horizontal="center" vertical="center" wrapText="1" readingOrder="2"/>
    </xf>
  </cellXfs>
  <cellStyles count="6">
    <cellStyle name="Comma" xfId="1" builtinId="3"/>
    <cellStyle name="Comma 2" xfId="4" xr:uid="{377724DF-F3ED-4A03-9CB5-B1A6F9C7100E}"/>
    <cellStyle name="I5_מכירות רמת מוצר" xfId="5" xr:uid="{BBD41D58-753D-4D0D-8D5A-635AE4450D8F}"/>
    <cellStyle name="Normal" xfId="0" builtinId="0"/>
    <cellStyle name="Normal 2" xfId="3" xr:uid="{A0DA3FFA-5124-4BA7-9D1F-4FF45B9A273A}"/>
    <cellStyle name="Percent" xfId="2" builtinId="5"/>
  </cellStyles>
  <dxfs count="2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E68EA"/>
      <color rgb="FFBF95DF"/>
      <color rgb="FFEE92C7"/>
      <color rgb="FFD0ECE5"/>
      <color rgb="FFE1CCF0"/>
      <color rgb="FFF0E5C6"/>
      <color rgb="FFE9D9AB"/>
      <color rgb="FFF9DBEC"/>
      <color rgb="FFEEDC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&#1492;&#1488;&#1495;&#1505;&#1493;&#1503;%20&#1513;&#1500;&#1497;\&#1502;&#1488;&#1490;&#1512;%20&#1502;&#1497;&#1491;&#1506;%20&#1513;&#1500;%20&#1490;&#1500;%20&#1488;&#1500;&#1502;&#1490;&#1493;&#1512;\&#1491;&#1493;&#1495;&#1493;&#1514;%20&#1514;&#1508;&#1493;&#1511;&#1492;\&#1491;&#1493;&#1495;&#1493;&#1514;%20&#1514;&#1508;&#1493;&#1511;&#1492;%20&#1489;&#1497;&#1496;&#1493;&#1495;%20&#1495;&#1497;&#1497;&#1501;\2025\&#1490;&#1497;&#1500;&#1497;&#1493;&#1503;%20&#1506;&#1494;&#1512;-&#1514;&#1508;&#1493;&#1511;&#1492;%20&#1495;&#1493;&#1491;&#1513;&#1497;.xlsx" TargetMode="External"/><Relationship Id="rId1" Type="http://schemas.openxmlformats.org/officeDocument/2006/relationships/externalLinkPath" Target="/&#1492;&#1488;&#1495;&#1505;&#1493;&#1503;%20&#1513;&#1500;&#1497;/&#1502;&#1488;&#1490;&#1512;%20&#1502;&#1497;&#1491;&#1506;%20&#1513;&#1500;%20&#1490;&#1500;%20&#1488;&#1500;&#1502;&#1490;&#1493;&#1512;/&#1491;&#1493;&#1495;&#1493;&#1514;%20&#1514;&#1508;&#1493;&#1511;&#1492;/&#1491;&#1493;&#1495;&#1493;&#1514;%20&#1514;&#1508;&#1493;&#1511;&#1492;%20&#1489;&#1497;&#1496;&#1493;&#1495;%20&#1495;&#1497;&#1497;&#1501;/2025/&#1490;&#1497;&#1500;&#1497;&#1493;&#1503;%20&#1506;&#1494;&#1512;-&#1514;&#1508;&#1493;&#1511;&#1492;%20&#1495;&#1493;&#1491;&#1513;&#1497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&#1492;&#1488;&#1495;&#1505;&#1493;&#1503;%20&#1513;&#1500;&#1497;\&#1502;&#1488;&#1490;&#1512;%20&#1502;&#1497;&#1491;&#1506;%20&#1513;&#1500;%20&#1490;&#1500;%20&#1488;&#1500;&#1502;&#1490;&#1493;&#1512;\&#1491;&#1493;&#1495;&#1493;&#1514;%20&#1514;&#1508;&#1493;&#1511;&#1492;\&#1491;&#1493;&#1495;&#1493;&#1514;%20&#1514;&#1508;&#1493;&#1511;&#1492;%20&#1489;&#1497;&#1496;&#1493;&#1495;%20&#1495;&#1497;&#1497;&#1501;\2024\4.2024\&#1491;&#1493;&#1495;%20&#1495;&#1497;&#1497;&#1501;%204.2024.xlsx" TargetMode="External"/><Relationship Id="rId1" Type="http://schemas.openxmlformats.org/officeDocument/2006/relationships/externalLinkPath" Target="/&#1492;&#1488;&#1495;&#1505;&#1493;&#1503;%20&#1513;&#1500;&#1497;/&#1502;&#1488;&#1490;&#1512;%20&#1502;&#1497;&#1491;&#1506;%20&#1513;&#1500;%20&#1490;&#1500;%20&#1488;&#1500;&#1502;&#1490;&#1493;&#1512;/&#1491;&#1493;&#1495;&#1493;&#1514;%20&#1514;&#1508;&#1493;&#1511;&#1492;/&#1491;&#1493;&#1495;&#1493;&#1514;%20&#1514;&#1508;&#1493;&#1511;&#1492;%20&#1489;&#1497;&#1496;&#1493;&#1495;%20&#1495;&#1497;&#1497;&#1501;/2024/4.2024/&#1491;&#1493;&#1495;%20&#1495;&#1497;&#1497;&#1501;%204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גיליון1"/>
    </sheetNames>
    <sheetDataSet>
      <sheetData sheetId="0">
        <row r="1">
          <cell r="A1"/>
          <cell r="B1"/>
          <cell r="C1" t="str">
            <v>תפוקה מצטברת 3/2025</v>
          </cell>
          <cell r="D1"/>
          <cell r="E1"/>
          <cell r="F1"/>
          <cell r="G1" t="str">
            <v>תפוקה מצטברת 4/2025</v>
          </cell>
          <cell r="H1"/>
          <cell r="I1"/>
          <cell r="J1"/>
          <cell r="K1" t="str">
            <v>תפוקה חודשית</v>
          </cell>
          <cell r="L1"/>
          <cell r="M1"/>
          <cell r="N1"/>
        </row>
        <row r="2">
          <cell r="A2" t="str">
            <v>שם סוכן</v>
          </cell>
          <cell r="B2" t="str">
            <v xml:space="preserve">מפקח </v>
          </cell>
          <cell r="C2" t="str">
            <v>פנסיוני</v>
          </cell>
          <cell r="D2" t="str">
            <v>סיכונים</v>
          </cell>
          <cell r="E2" t="str">
            <v>פיננסים</v>
          </cell>
          <cell r="F2" t="str">
            <v xml:space="preserve">ניוד  פנסיה </v>
          </cell>
          <cell r="G2" t="str">
            <v>פנסיוני</v>
          </cell>
          <cell r="H2" t="str">
            <v>סיכונים</v>
          </cell>
          <cell r="I2" t="str">
            <v>פיננסים</v>
          </cell>
          <cell r="J2" t="str">
            <v xml:space="preserve">ניוד פנסיה </v>
          </cell>
          <cell r="K2" t="str">
            <v>פנסיוני</v>
          </cell>
          <cell r="L2" t="str">
            <v>סיכונים</v>
          </cell>
          <cell r="M2" t="str">
            <v>פיננסים</v>
          </cell>
          <cell r="N2" t="str">
            <v xml:space="preserve">ניוד פנסיה </v>
          </cell>
        </row>
        <row r="3">
          <cell r="A3" t="str">
            <v>גל אלמגור סוכ</v>
          </cell>
          <cell r="B3" t="str">
            <v>לא מפוקחים</v>
          </cell>
          <cell r="C3">
            <v>3317918.6340000927</v>
          </cell>
          <cell r="D3">
            <v>100278.14790896403</v>
          </cell>
          <cell r="E3">
            <v>4164289.515761489</v>
          </cell>
          <cell r="F3">
            <v>28065870.440000001</v>
          </cell>
          <cell r="G3">
            <v>4440627.2052386012</v>
          </cell>
          <cell r="H3">
            <v>172558.27203402924</v>
          </cell>
          <cell r="I3">
            <v>11317307.032343477</v>
          </cell>
          <cell r="J3">
            <v>29172903.349999998</v>
          </cell>
          <cell r="K3">
            <v>1122708.5712385084</v>
          </cell>
          <cell r="L3">
            <v>72280.124125065209</v>
          </cell>
          <cell r="M3">
            <v>7153017.516581988</v>
          </cell>
          <cell r="N3">
            <v>1107032.9099999964</v>
          </cell>
        </row>
        <row r="4">
          <cell r="A4" t="str">
            <v xml:space="preserve">רותי </v>
          </cell>
          <cell r="B4"/>
          <cell r="C4">
            <v>0</v>
          </cell>
          <cell r="D4">
            <v>13852.84</v>
          </cell>
          <cell r="E4">
            <v>0</v>
          </cell>
          <cell r="F4">
            <v>0</v>
          </cell>
          <cell r="G4">
            <v>0</v>
          </cell>
          <cell r="H4">
            <v>40962.665297640015</v>
          </cell>
          <cell r="I4">
            <v>0</v>
          </cell>
          <cell r="J4">
            <v>0</v>
          </cell>
          <cell r="K4">
            <v>0</v>
          </cell>
          <cell r="L4">
            <v>27109.825297640014</v>
          </cell>
          <cell r="M4">
            <v>0</v>
          </cell>
          <cell r="N4">
            <v>0</v>
          </cell>
        </row>
        <row r="5">
          <cell r="A5" t="str">
            <v xml:space="preserve">אילנית </v>
          </cell>
          <cell r="B5"/>
          <cell r="C5">
            <v>142337.57</v>
          </cell>
          <cell r="D5">
            <v>23610.608075</v>
          </cell>
          <cell r="E5">
            <v>356203.28</v>
          </cell>
          <cell r="F5">
            <v>961961.72</v>
          </cell>
          <cell r="G5">
            <v>191253.87324164482</v>
          </cell>
          <cell r="H5">
            <v>31027.561324071801</v>
          </cell>
          <cell r="I5">
            <v>453181.28</v>
          </cell>
          <cell r="J5">
            <v>131217.27000000005</v>
          </cell>
          <cell r="K5">
            <v>48916.303241644811</v>
          </cell>
          <cell r="L5">
            <v>7416.9532490718011</v>
          </cell>
          <cell r="M5">
            <v>96978</v>
          </cell>
          <cell r="N5">
            <v>-830744.45</v>
          </cell>
        </row>
        <row r="6">
          <cell r="A6" t="str">
            <v>דניאלה אביב</v>
          </cell>
          <cell r="B6" t="str">
            <v>לא מפוקחים</v>
          </cell>
          <cell r="C6">
            <v>458278.87729999999</v>
          </cell>
          <cell r="D6">
            <v>6.26</v>
          </cell>
          <cell r="E6">
            <v>669133.35999999987</v>
          </cell>
          <cell r="F6">
            <v>700927.22</v>
          </cell>
          <cell r="G6">
            <v>320033.34356586303</v>
          </cell>
          <cell r="H6">
            <v>3936.059176882663</v>
          </cell>
          <cell r="I6">
            <v>1974048.9655563922</v>
          </cell>
          <cell r="J6">
            <v>1195708.6299999999</v>
          </cell>
          <cell r="K6">
            <v>-138245.53373413696</v>
          </cell>
          <cell r="L6">
            <v>3929.7991768826628</v>
          </cell>
          <cell r="M6">
            <v>1304915.6055563923</v>
          </cell>
          <cell r="N6">
            <v>494781.40999999992</v>
          </cell>
        </row>
        <row r="7">
          <cell r="A7" t="str">
            <v>סה"כ ישיר</v>
          </cell>
          <cell r="B7"/>
          <cell r="C7">
            <v>3918535.0813000924</v>
          </cell>
          <cell r="D7">
            <v>137747.85598396405</v>
          </cell>
          <cell r="E7">
            <v>5189626.1557614896</v>
          </cell>
          <cell r="F7">
            <v>29728759.379999999</v>
          </cell>
          <cell r="G7">
            <v>4951914.4220461082</v>
          </cell>
          <cell r="H7">
            <v>248484.55783262374</v>
          </cell>
          <cell r="I7">
            <v>13744537.277899869</v>
          </cell>
          <cell r="J7">
            <v>30499829.249999996</v>
          </cell>
          <cell r="K7">
            <v>1033379.3407460162</v>
          </cell>
          <cell r="L7">
            <v>110736.70184865968</v>
          </cell>
          <cell r="M7">
            <v>8554911.122138381</v>
          </cell>
          <cell r="N7">
            <v>771069.86999999639</v>
          </cell>
        </row>
        <row r="8">
          <cell r="A8" t="str">
            <v>בראשית סוכנות לביטוח</v>
          </cell>
          <cell r="B8" t="str">
            <v>לא מפוקחים</v>
          </cell>
          <cell r="C8">
            <v>23864.622039450507</v>
          </cell>
          <cell r="D8">
            <v>27.2</v>
          </cell>
          <cell r="E8">
            <v>0</v>
          </cell>
          <cell r="F8">
            <v>21750.46</v>
          </cell>
          <cell r="G8">
            <v>24918.939624457689</v>
          </cell>
          <cell r="H8">
            <v>1160.585</v>
          </cell>
          <cell r="I8">
            <v>0</v>
          </cell>
          <cell r="J8">
            <v>-191018.59999999998</v>
          </cell>
          <cell r="K8">
            <v>1054.3175850071821</v>
          </cell>
          <cell r="L8">
            <v>1133.385</v>
          </cell>
          <cell r="M8">
            <v>0</v>
          </cell>
          <cell r="N8">
            <v>-212769.05999999997</v>
          </cell>
        </row>
        <row r="9">
          <cell r="A9" t="str">
            <v>גל אלמגור דאוד סוכ' לב</v>
          </cell>
          <cell r="B9" t="str">
            <v>לא מפוקחים</v>
          </cell>
          <cell r="C9">
            <v>330786.9088493759</v>
          </cell>
          <cell r="D9">
            <v>707704.81570667308</v>
          </cell>
          <cell r="E9">
            <v>334104.02892914071</v>
          </cell>
          <cell r="F9">
            <v>715887.96</v>
          </cell>
          <cell r="G9">
            <v>505830.12110324984</v>
          </cell>
          <cell r="H9">
            <v>556306.61095248756</v>
          </cell>
          <cell r="I9">
            <v>309711.70893169875</v>
          </cell>
          <cell r="J9">
            <v>1110431.1200000001</v>
          </cell>
          <cell r="K9">
            <v>175043.21225387393</v>
          </cell>
          <cell r="L9">
            <v>-151398.20475418551</v>
          </cell>
          <cell r="M9">
            <v>-24392.319997441955</v>
          </cell>
          <cell r="N9">
            <v>394543.16000000015</v>
          </cell>
        </row>
        <row r="10">
          <cell r="A10" t="str">
            <v>גל אלמגור -וייס סוכנות</v>
          </cell>
          <cell r="B10" t="str">
            <v>לא מפוקחים</v>
          </cell>
          <cell r="C10">
            <v>89918.422765292082</v>
          </cell>
          <cell r="D10">
            <v>11694.069550132986</v>
          </cell>
          <cell r="E10">
            <v>207483.2699757159</v>
          </cell>
          <cell r="F10">
            <v>413586.85</v>
          </cell>
          <cell r="G10">
            <v>82268.134592533461</v>
          </cell>
          <cell r="H10">
            <v>20488.797833533667</v>
          </cell>
          <cell r="I10">
            <v>561287.05948263151</v>
          </cell>
          <cell r="J10">
            <v>-13840.25</v>
          </cell>
          <cell r="K10">
            <v>-7650.2881727586209</v>
          </cell>
          <cell r="L10">
            <v>8794.7282834006801</v>
          </cell>
          <cell r="M10">
            <v>353803.78950691561</v>
          </cell>
          <cell r="N10">
            <v>-427427.1</v>
          </cell>
        </row>
        <row r="11">
          <cell r="A11" t="str">
            <v>גל אלמגור דרום סוכ ל</v>
          </cell>
          <cell r="B11" t="str">
            <v xml:space="preserve">ערן גירוני </v>
          </cell>
          <cell r="C11">
            <v>0</v>
          </cell>
          <cell r="D11">
            <v>60.12</v>
          </cell>
          <cell r="E11">
            <v>0</v>
          </cell>
          <cell r="F11">
            <v>0</v>
          </cell>
          <cell r="G11">
            <v>94573.23</v>
          </cell>
          <cell r="H11">
            <v>4178.46</v>
          </cell>
          <cell r="I11">
            <v>153225.85999999999</v>
          </cell>
          <cell r="J11">
            <v>-62204</v>
          </cell>
          <cell r="K11">
            <v>94573.23</v>
          </cell>
          <cell r="L11">
            <v>4118.34</v>
          </cell>
          <cell r="M11">
            <v>153225.85999999999</v>
          </cell>
          <cell r="N11">
            <v>-62204</v>
          </cell>
        </row>
        <row r="12">
          <cell r="A12" t="str">
            <v>משה שטרן גל אלמגור</v>
          </cell>
          <cell r="B12" t="str">
            <v>לא מפוקחים</v>
          </cell>
          <cell r="C12">
            <v>0</v>
          </cell>
          <cell r="D12">
            <v>79254.024238269747</v>
          </cell>
          <cell r="E12">
            <v>0</v>
          </cell>
          <cell r="F12">
            <v>0</v>
          </cell>
          <cell r="G12">
            <v>15877.417884999999</v>
          </cell>
          <cell r="H12">
            <v>65772.065719999999</v>
          </cell>
          <cell r="I12">
            <v>0</v>
          </cell>
          <cell r="J12">
            <v>0</v>
          </cell>
          <cell r="K12">
            <v>15877.417884999999</v>
          </cell>
          <cell r="L12">
            <v>-13481.958518269748</v>
          </cell>
          <cell r="M12">
            <v>0</v>
          </cell>
          <cell r="N12">
            <v>0</v>
          </cell>
        </row>
        <row r="13">
          <cell r="A13" t="str">
            <v>מקסימום סוכנות לבטוח פ</v>
          </cell>
          <cell r="B13" t="str">
            <v>לא מפוקחים</v>
          </cell>
          <cell r="C13">
            <v>144808.28617118704</v>
          </cell>
          <cell r="D13">
            <v>4459.4399999999996</v>
          </cell>
          <cell r="E13">
            <v>323290.59999999998</v>
          </cell>
          <cell r="F13">
            <v>974439.39999999991</v>
          </cell>
          <cell r="G13">
            <v>163882.10852765059</v>
          </cell>
          <cell r="H13">
            <v>26753.887999999999</v>
          </cell>
          <cell r="I13">
            <v>1166092.3799999999</v>
          </cell>
          <cell r="J13">
            <v>689437.29</v>
          </cell>
          <cell r="K13">
            <v>19073.822356463555</v>
          </cell>
          <cell r="L13">
            <v>22294.448</v>
          </cell>
          <cell r="M13">
            <v>842801.77999999991</v>
          </cell>
          <cell r="N13">
            <v>-285002.10999999987</v>
          </cell>
        </row>
        <row r="14">
          <cell r="A14" t="str">
            <v>סה"כ חברות בנות</v>
          </cell>
          <cell r="B14"/>
          <cell r="C14">
            <v>589378.23982530553</v>
          </cell>
          <cell r="D14">
            <v>803199.66949507571</v>
          </cell>
          <cell r="E14">
            <v>864877.89890485664</v>
          </cell>
          <cell r="F14">
            <v>2125664.67</v>
          </cell>
          <cell r="G14">
            <v>887349.95173289161</v>
          </cell>
          <cell r="H14">
            <v>674660.40750602109</v>
          </cell>
          <cell r="I14">
            <v>2190317.00841433</v>
          </cell>
          <cell r="J14">
            <v>1532805.56</v>
          </cell>
          <cell r="K14">
            <v>297971.71190758608</v>
          </cell>
          <cell r="L14">
            <v>-128539.26198905459</v>
          </cell>
          <cell r="M14">
            <v>1325439.1095094737</v>
          </cell>
          <cell r="N14">
            <v>-592859.10999999964</v>
          </cell>
        </row>
        <row r="15">
          <cell r="A15" t="str">
            <v>מועלם אלפרד</v>
          </cell>
          <cell r="B15" t="str">
            <v xml:space="preserve">ערן גירוני </v>
          </cell>
          <cell r="C15">
            <v>0</v>
          </cell>
          <cell r="D15">
            <v>36221.85</v>
          </cell>
          <cell r="E15">
            <v>62037</v>
          </cell>
          <cell r="F15">
            <v>682684</v>
          </cell>
          <cell r="G15">
            <v>499408.66227999999</v>
          </cell>
          <cell r="H15">
            <v>8735.7000000000007</v>
          </cell>
          <cell r="I15">
            <v>191577</v>
          </cell>
          <cell r="J15">
            <v>2339856.33</v>
          </cell>
          <cell r="K15">
            <v>499408.66227999999</v>
          </cell>
          <cell r="L15">
            <v>-27486.149999999998</v>
          </cell>
          <cell r="M15">
            <v>129540</v>
          </cell>
          <cell r="N15">
            <v>1657172.33</v>
          </cell>
        </row>
        <row r="16">
          <cell r="A16" t="str">
            <v>גרניק בנימין</v>
          </cell>
          <cell r="B16" t="str">
            <v xml:space="preserve">ערן גירוני </v>
          </cell>
          <cell r="C16">
            <v>0</v>
          </cell>
          <cell r="D16">
            <v>3024.2761872980191</v>
          </cell>
          <cell r="E16">
            <v>0</v>
          </cell>
          <cell r="F16">
            <v>0</v>
          </cell>
          <cell r="G16">
            <v>0</v>
          </cell>
          <cell r="H16">
            <v>3071.9442883237321</v>
          </cell>
          <cell r="I16">
            <v>0</v>
          </cell>
          <cell r="J16">
            <v>-11711.17</v>
          </cell>
          <cell r="K16">
            <v>0</v>
          </cell>
          <cell r="L16">
            <v>47.668101025712986</v>
          </cell>
          <cell r="M16">
            <v>0</v>
          </cell>
          <cell r="N16">
            <v>-11711.17</v>
          </cell>
        </row>
        <row r="17">
          <cell r="A17" t="str">
            <v>סאוסן שלבי</v>
          </cell>
          <cell r="B17" t="str">
            <v xml:space="preserve">ערן גירוני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13040.009862627679</v>
          </cell>
          <cell r="H17">
            <v>8307.0820000000003</v>
          </cell>
          <cell r="I17">
            <v>0</v>
          </cell>
          <cell r="J17">
            <v>0</v>
          </cell>
          <cell r="K17">
            <v>13040.009862627679</v>
          </cell>
          <cell r="L17">
            <v>8307.0820000000003</v>
          </cell>
          <cell r="M17">
            <v>0</v>
          </cell>
          <cell r="N17">
            <v>0</v>
          </cell>
        </row>
        <row r="18">
          <cell r="A18" t="str">
            <v>דורי כדורי דאי</v>
          </cell>
          <cell r="B18" t="str">
            <v xml:space="preserve">ערן גירוני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 t="str">
            <v>סברא סמיר</v>
          </cell>
          <cell r="B19" t="str">
            <v xml:space="preserve">ערן גירוני </v>
          </cell>
          <cell r="C19">
            <v>0</v>
          </cell>
          <cell r="D19">
            <v>16807.39</v>
          </cell>
          <cell r="E19">
            <v>177476.4</v>
          </cell>
          <cell r="F19">
            <v>43960.09</v>
          </cell>
          <cell r="G19">
            <v>747768.75388984242</v>
          </cell>
          <cell r="H19">
            <v>76160.239349999989</v>
          </cell>
          <cell r="I19">
            <v>339729.20337999996</v>
          </cell>
          <cell r="J19">
            <v>584234.07000000007</v>
          </cell>
          <cell r="K19">
            <v>747768.75388984242</v>
          </cell>
          <cell r="L19">
            <v>59352.849349999989</v>
          </cell>
          <cell r="M19">
            <v>162252.80337999997</v>
          </cell>
          <cell r="N19">
            <v>540273.9800000001</v>
          </cell>
        </row>
        <row r="20">
          <cell r="A20" t="str">
            <v>מחמוד פארס</v>
          </cell>
          <cell r="B20" t="str">
            <v xml:space="preserve">ערן גירוני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ריזק חלבי</v>
          </cell>
          <cell r="B21" t="str">
            <v xml:space="preserve">ערן גירוני </v>
          </cell>
          <cell r="C21">
            <v>128883.79872137136</v>
          </cell>
          <cell r="D21">
            <v>24288.48942938738</v>
          </cell>
          <cell r="E21">
            <v>0</v>
          </cell>
          <cell r="F21">
            <v>0</v>
          </cell>
          <cell r="G21">
            <v>45989.4277730217</v>
          </cell>
          <cell r="H21">
            <v>57228.708656426817</v>
          </cell>
          <cell r="I21">
            <v>100000</v>
          </cell>
          <cell r="J21">
            <v>179929</v>
          </cell>
          <cell r="K21">
            <v>-82894.370948349664</v>
          </cell>
          <cell r="L21">
            <v>32940.219227039437</v>
          </cell>
          <cell r="M21">
            <v>100000</v>
          </cell>
          <cell r="N21">
            <v>179929</v>
          </cell>
        </row>
        <row r="22">
          <cell r="A22" t="str">
            <v>שלבי מיסון</v>
          </cell>
          <cell r="B22" t="str">
            <v xml:space="preserve">ערן גירוני </v>
          </cell>
          <cell r="C22">
            <v>9463.43</v>
          </cell>
          <cell r="D22">
            <v>6783.65</v>
          </cell>
          <cell r="E22">
            <v>117384.43000000001</v>
          </cell>
          <cell r="F22">
            <v>0</v>
          </cell>
          <cell r="G22">
            <v>10001.049999999999</v>
          </cell>
          <cell r="H22">
            <v>39846.83</v>
          </cell>
          <cell r="I22">
            <v>134075.56999999998</v>
          </cell>
          <cell r="J22">
            <v>58471.81</v>
          </cell>
          <cell r="K22">
            <v>537.61999999999898</v>
          </cell>
          <cell r="L22">
            <v>33063.18</v>
          </cell>
          <cell r="M22">
            <v>16691.13999999997</v>
          </cell>
          <cell r="N22">
            <v>58471.81</v>
          </cell>
        </row>
        <row r="23">
          <cell r="A23" t="str">
            <v>בחוס יוסף</v>
          </cell>
          <cell r="B23" t="str">
            <v xml:space="preserve">ערן גירוני </v>
          </cell>
          <cell r="C23">
            <v>153665.81343262611</v>
          </cell>
          <cell r="D23">
            <v>41042.639999999999</v>
          </cell>
          <cell r="E23">
            <v>525347.42000000004</v>
          </cell>
          <cell r="F23">
            <v>516863.03</v>
          </cell>
          <cell r="G23">
            <v>235235.0607546815</v>
          </cell>
          <cell r="H23">
            <v>48644.27</v>
          </cell>
          <cell r="I23">
            <v>676652.68</v>
          </cell>
          <cell r="J23">
            <v>764422.89999999991</v>
          </cell>
          <cell r="K23">
            <v>81569.247322055395</v>
          </cell>
          <cell r="L23">
            <v>7601.6299999999974</v>
          </cell>
          <cell r="M23">
            <v>151305.26</v>
          </cell>
          <cell r="N23">
            <v>247559.86999999988</v>
          </cell>
        </row>
        <row r="24">
          <cell r="A24" t="str">
            <v>קליין סיון</v>
          </cell>
          <cell r="B24" t="str">
            <v xml:space="preserve">ערן גירוני </v>
          </cell>
          <cell r="C24">
            <v>228423.17</v>
          </cell>
          <cell r="D24">
            <v>49007.702560910067</v>
          </cell>
          <cell r="E24">
            <v>312634.13</v>
          </cell>
          <cell r="F24">
            <v>1924533.17</v>
          </cell>
          <cell r="G24">
            <v>539433.38</v>
          </cell>
          <cell r="H24">
            <v>69480.127175558126</v>
          </cell>
          <cell r="I24">
            <v>1668386.13</v>
          </cell>
          <cell r="J24">
            <v>1959928.61</v>
          </cell>
          <cell r="K24">
            <v>311010.20999999996</v>
          </cell>
          <cell r="L24">
            <v>20472.424614648058</v>
          </cell>
          <cell r="M24">
            <v>1355752</v>
          </cell>
          <cell r="N24">
            <v>35395.440000000177</v>
          </cell>
        </row>
        <row r="25">
          <cell r="A25" t="str">
            <v>צקותאי אורי</v>
          </cell>
          <cell r="B25" t="str">
            <v xml:space="preserve">ערן גירוני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4522.07</v>
          </cell>
          <cell r="H25">
            <v>9.66</v>
          </cell>
          <cell r="I25">
            <v>0</v>
          </cell>
          <cell r="J25">
            <v>0</v>
          </cell>
          <cell r="K25">
            <v>4522.07</v>
          </cell>
          <cell r="L25">
            <v>9.66</v>
          </cell>
          <cell r="M25">
            <v>0</v>
          </cell>
          <cell r="N25">
            <v>0</v>
          </cell>
        </row>
        <row r="26">
          <cell r="A26" t="str">
            <v>סמיר בלאן</v>
          </cell>
          <cell r="B26" t="str">
            <v xml:space="preserve">ערן גירוני </v>
          </cell>
          <cell r="C26">
            <v>-140464.6333817339</v>
          </cell>
          <cell r="D26">
            <v>0</v>
          </cell>
          <cell r="E26">
            <v>14668.444945403309</v>
          </cell>
          <cell r="F26">
            <v>0</v>
          </cell>
          <cell r="G26">
            <v>1430.7864342713151</v>
          </cell>
          <cell r="H26">
            <v>0</v>
          </cell>
          <cell r="I26">
            <v>14899.64635435012</v>
          </cell>
          <cell r="J26">
            <v>0</v>
          </cell>
          <cell r="K26">
            <v>141895.41981600522</v>
          </cell>
          <cell r="L26">
            <v>0</v>
          </cell>
          <cell r="M26">
            <v>231.20140894681026</v>
          </cell>
          <cell r="N26">
            <v>0</v>
          </cell>
        </row>
        <row r="27">
          <cell r="A27" t="str">
            <v>רן בסין</v>
          </cell>
          <cell r="B27" t="str">
            <v xml:space="preserve">ערן גירוני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 t="str">
            <v>אלקרינאוי ראוף</v>
          </cell>
          <cell r="B28" t="str">
            <v xml:space="preserve">ערן גירוני </v>
          </cell>
          <cell r="C28">
            <v>0</v>
          </cell>
          <cell r="D28">
            <v>6627.3099999999995</v>
          </cell>
          <cell r="E28">
            <v>0</v>
          </cell>
          <cell r="F28">
            <v>0</v>
          </cell>
          <cell r="G28">
            <v>0</v>
          </cell>
          <cell r="H28">
            <v>6659.3960000000006</v>
          </cell>
          <cell r="I28">
            <v>0</v>
          </cell>
          <cell r="J28">
            <v>0</v>
          </cell>
          <cell r="K28">
            <v>0</v>
          </cell>
          <cell r="L28">
            <v>32.08600000000115</v>
          </cell>
          <cell r="M28">
            <v>0</v>
          </cell>
          <cell r="N28">
            <v>0</v>
          </cell>
        </row>
        <row r="29">
          <cell r="A29" t="str">
            <v>דאי גדי</v>
          </cell>
          <cell r="B29" t="str">
            <v xml:space="preserve">ערן גירוני </v>
          </cell>
          <cell r="C29">
            <v>586471.9114600824</v>
          </cell>
          <cell r="D29">
            <v>125245.87339761376</v>
          </cell>
          <cell r="E29">
            <v>1127772.91782764</v>
          </cell>
          <cell r="F29">
            <v>0</v>
          </cell>
          <cell r="G29">
            <v>1229711.7687286562</v>
          </cell>
          <cell r="H29">
            <v>156547.90301581498</v>
          </cell>
          <cell r="I29">
            <v>1563109.428176187</v>
          </cell>
          <cell r="J29">
            <v>2747649.87</v>
          </cell>
          <cell r="K29">
            <v>643239.85726857383</v>
          </cell>
          <cell r="L29">
            <v>31302.029618201224</v>
          </cell>
          <cell r="M29">
            <v>435336.51034854702</v>
          </cell>
          <cell r="N29">
            <v>2747649.87</v>
          </cell>
        </row>
        <row r="30">
          <cell r="A30" t="str">
            <v>מילאד אבו שקארה</v>
          </cell>
          <cell r="B30" t="str">
            <v xml:space="preserve">ערן גירוני 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 t="str">
            <v>דראושה אדהם</v>
          </cell>
          <cell r="B31" t="str">
            <v xml:space="preserve">ערן גירוני </v>
          </cell>
          <cell r="C31">
            <v>18288</v>
          </cell>
          <cell r="D31">
            <v>13000</v>
          </cell>
          <cell r="E31">
            <v>0</v>
          </cell>
          <cell r="F31">
            <v>0</v>
          </cell>
          <cell r="G31">
            <v>0</v>
          </cell>
          <cell r="H31">
            <v>-745.94</v>
          </cell>
          <cell r="I31">
            <v>21102.44</v>
          </cell>
          <cell r="J31">
            <v>-580576.23</v>
          </cell>
          <cell r="K31">
            <v>-18288</v>
          </cell>
          <cell r="L31">
            <v>-13745.94</v>
          </cell>
          <cell r="M31">
            <v>21102.44</v>
          </cell>
          <cell r="N31">
            <v>-580576.23</v>
          </cell>
        </row>
        <row r="32">
          <cell r="A32" t="str">
            <v>בדארנה עומר</v>
          </cell>
          <cell r="B32" t="str">
            <v xml:space="preserve">ערן גירוני 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 t="str">
            <v>לוי חיים</v>
          </cell>
          <cell r="B33" t="str">
            <v xml:space="preserve">ערן גירוני </v>
          </cell>
          <cell r="C33">
            <v>6829.2</v>
          </cell>
          <cell r="D33">
            <v>1921.6</v>
          </cell>
          <cell r="E33">
            <v>245532.54</v>
          </cell>
          <cell r="F33">
            <v>226444.66</v>
          </cell>
          <cell r="G33">
            <v>7357.82</v>
          </cell>
          <cell r="H33">
            <v>2586.0700000000002</v>
          </cell>
          <cell r="I33">
            <v>245375.98</v>
          </cell>
          <cell r="J33">
            <v>227555.07</v>
          </cell>
          <cell r="K33">
            <v>528.61999999999989</v>
          </cell>
          <cell r="L33">
            <v>664.47000000000025</v>
          </cell>
          <cell r="M33">
            <v>-156.55999999999767</v>
          </cell>
          <cell r="N33">
            <v>1110.4100000000035</v>
          </cell>
        </row>
        <row r="34">
          <cell r="A34" t="str">
            <v>גולדר אבי</v>
          </cell>
          <cell r="B34" t="str">
            <v>לא מפוקחים</v>
          </cell>
          <cell r="C34">
            <v>463.53</v>
          </cell>
          <cell r="D34">
            <v>0</v>
          </cell>
          <cell r="E34">
            <v>0</v>
          </cell>
          <cell r="F34">
            <v>0</v>
          </cell>
          <cell r="G34">
            <v>8654.0998248686519</v>
          </cell>
          <cell r="H34">
            <v>0</v>
          </cell>
          <cell r="I34">
            <v>0</v>
          </cell>
          <cell r="J34">
            <v>-190731.89499999999</v>
          </cell>
          <cell r="K34">
            <v>8190.5698248686522</v>
          </cell>
          <cell r="L34">
            <v>0</v>
          </cell>
          <cell r="M34">
            <v>0</v>
          </cell>
          <cell r="N34">
            <v>-190731.89499999999</v>
          </cell>
        </row>
        <row r="35">
          <cell r="A35" t="str">
            <v>א.ד. אבידן ביטוחים בע"מ</v>
          </cell>
          <cell r="B35" t="str">
            <v>לא מפוקחים</v>
          </cell>
          <cell r="C35">
            <v>0</v>
          </cell>
          <cell r="D35">
            <v>0</v>
          </cell>
          <cell r="E35">
            <v>242599.48</v>
          </cell>
          <cell r="F35">
            <v>0</v>
          </cell>
          <cell r="G35">
            <v>0</v>
          </cell>
          <cell r="H35">
            <v>0</v>
          </cell>
          <cell r="I35">
            <v>302145.53000000003</v>
          </cell>
          <cell r="J35">
            <v>0</v>
          </cell>
          <cell r="K35">
            <v>0</v>
          </cell>
          <cell r="L35">
            <v>0</v>
          </cell>
          <cell r="M35">
            <v>59546.050000000017</v>
          </cell>
          <cell r="N35">
            <v>0</v>
          </cell>
        </row>
        <row r="36">
          <cell r="A36" t="str">
            <v>מטאנס זוהיר</v>
          </cell>
          <cell r="B36" t="str">
            <v>לא מפוקחים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 t="str">
            <v>סטולרז אסף</v>
          </cell>
          <cell r="B37" t="str">
            <v>לא מפוקחים</v>
          </cell>
          <cell r="C37">
            <v>7010.28</v>
          </cell>
          <cell r="D37">
            <v>517.66</v>
          </cell>
          <cell r="E37">
            <v>649237.27</v>
          </cell>
          <cell r="F37">
            <v>0</v>
          </cell>
          <cell r="G37">
            <v>21137</v>
          </cell>
          <cell r="H37">
            <v>1737.99</v>
          </cell>
          <cell r="I37">
            <v>965734.04732049035</v>
          </cell>
          <cell r="J37">
            <v>0</v>
          </cell>
          <cell r="K37">
            <v>14126.720000000001</v>
          </cell>
          <cell r="L37">
            <v>1220.33</v>
          </cell>
          <cell r="M37">
            <v>316496.77732049034</v>
          </cell>
          <cell r="N37">
            <v>0</v>
          </cell>
        </row>
        <row r="38">
          <cell r="A38" t="str">
            <v>דאי דניאל</v>
          </cell>
          <cell r="B38" t="str">
            <v>לא מפוקחים</v>
          </cell>
          <cell r="C38">
            <v>132702.14208850669</v>
          </cell>
          <cell r="D38">
            <v>23453.743697830389</v>
          </cell>
          <cell r="E38">
            <v>192128.50240829031</v>
          </cell>
          <cell r="F38">
            <v>64936.57</v>
          </cell>
          <cell r="G38">
            <v>200471.46837361451</v>
          </cell>
          <cell r="H38">
            <v>20622.99152261945</v>
          </cell>
          <cell r="I38">
            <v>216871.58326689361</v>
          </cell>
          <cell r="J38">
            <v>637757.88</v>
          </cell>
          <cell r="K38">
            <v>67769.326285107818</v>
          </cell>
          <cell r="L38">
            <v>-2830.7521752109387</v>
          </cell>
          <cell r="M38">
            <v>24743.080858603294</v>
          </cell>
          <cell r="N38">
            <v>572821.31000000006</v>
          </cell>
        </row>
        <row r="39">
          <cell r="A39" t="str">
            <v xml:space="preserve">אבו חיט ניזאם </v>
          </cell>
          <cell r="B39" t="str">
            <v>לא מפוקחים</v>
          </cell>
          <cell r="C39">
            <v>19539.78</v>
          </cell>
          <cell r="D39">
            <v>7028.15</v>
          </cell>
          <cell r="E39">
            <v>0</v>
          </cell>
          <cell r="F39">
            <v>0</v>
          </cell>
          <cell r="G39">
            <v>24383.77</v>
          </cell>
          <cell r="H39">
            <v>8908.84</v>
          </cell>
          <cell r="I39">
            <v>0</v>
          </cell>
          <cell r="J39">
            <v>0</v>
          </cell>
          <cell r="K39">
            <v>4843.9900000000016</v>
          </cell>
          <cell r="L39">
            <v>1880.6900000000005</v>
          </cell>
          <cell r="M39">
            <v>0</v>
          </cell>
          <cell r="N39">
            <v>0</v>
          </cell>
        </row>
        <row r="40">
          <cell r="A40" t="str">
            <v>דני פחימה</v>
          </cell>
          <cell r="B40" t="str">
            <v>לא מפוקחים</v>
          </cell>
          <cell r="C40">
            <v>8159.95</v>
          </cell>
          <cell r="D40">
            <v>394.07</v>
          </cell>
          <cell r="E40">
            <v>12039.21</v>
          </cell>
          <cell r="F40">
            <v>52329.46</v>
          </cell>
          <cell r="G40">
            <v>19299.96</v>
          </cell>
          <cell r="H40">
            <v>1236.72</v>
          </cell>
          <cell r="I40">
            <v>12098.25</v>
          </cell>
          <cell r="J40">
            <v>52586.07</v>
          </cell>
          <cell r="K40">
            <v>11140.009999999998</v>
          </cell>
          <cell r="L40">
            <v>842.65000000000009</v>
          </cell>
          <cell r="M40">
            <v>59.040000000000873</v>
          </cell>
          <cell r="N40">
            <v>256.61000000000058</v>
          </cell>
        </row>
        <row r="41">
          <cell r="A41" t="str">
            <v>עאטף עדווי</v>
          </cell>
          <cell r="B41" t="str">
            <v>לא מפוקחים</v>
          </cell>
          <cell r="C41">
            <v>12555.71</v>
          </cell>
          <cell r="D41">
            <v>0</v>
          </cell>
          <cell r="E41">
            <v>0</v>
          </cell>
          <cell r="F41">
            <v>0</v>
          </cell>
          <cell r="G41">
            <v>17510.71</v>
          </cell>
          <cell r="H41">
            <v>0</v>
          </cell>
          <cell r="I41">
            <v>0</v>
          </cell>
          <cell r="J41">
            <v>0</v>
          </cell>
          <cell r="K41">
            <v>4955</v>
          </cell>
          <cell r="L41">
            <v>0</v>
          </cell>
          <cell r="M41">
            <v>0</v>
          </cell>
          <cell r="N41">
            <v>0</v>
          </cell>
        </row>
        <row r="42">
          <cell r="A42" t="str">
            <v>מכלול סוכנות לביטוח</v>
          </cell>
          <cell r="B42" t="str">
            <v>לא מפוקחים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 t="str">
            <v>דורון ענק הביטוח</v>
          </cell>
          <cell r="B43" t="str">
            <v>לא מפוקחים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 t="str">
            <v>גול זאב</v>
          </cell>
          <cell r="B44" t="str">
            <v>לא מפוקחים</v>
          </cell>
          <cell r="C44">
            <v>523947.8</v>
          </cell>
          <cell r="D44">
            <v>36838.880000000005</v>
          </cell>
          <cell r="E44">
            <v>785168.55</v>
          </cell>
          <cell r="F44">
            <v>1579690.68</v>
          </cell>
          <cell r="G44">
            <v>654100.03</v>
          </cell>
          <cell r="H44">
            <v>45572.920000000006</v>
          </cell>
          <cell r="I44">
            <v>951356</v>
          </cell>
          <cell r="J44">
            <v>356638.4</v>
          </cell>
          <cell r="K44">
            <v>130152.23000000004</v>
          </cell>
          <cell r="L44">
            <v>8734.0400000000009</v>
          </cell>
          <cell r="M44">
            <v>166187.44999999995</v>
          </cell>
          <cell r="N44">
            <v>-1223052.2799999998</v>
          </cell>
        </row>
        <row r="45">
          <cell r="A45" t="str">
            <v>עבוד כיתי</v>
          </cell>
          <cell r="B45" t="str">
            <v>לא מפוקחים</v>
          </cell>
          <cell r="C45">
            <v>0</v>
          </cell>
          <cell r="D45">
            <v>2928.26</v>
          </cell>
          <cell r="E45">
            <v>0</v>
          </cell>
          <cell r="F45">
            <v>0</v>
          </cell>
          <cell r="G45">
            <v>0</v>
          </cell>
          <cell r="H45">
            <v>5551.4950000000008</v>
          </cell>
          <cell r="I45">
            <v>0</v>
          </cell>
          <cell r="J45">
            <v>0</v>
          </cell>
          <cell r="K45">
            <v>0</v>
          </cell>
          <cell r="L45">
            <v>2623.2350000000006</v>
          </cell>
          <cell r="M45">
            <v>0</v>
          </cell>
          <cell r="N45">
            <v>0</v>
          </cell>
        </row>
        <row r="46">
          <cell r="A46" t="str">
            <v>יעקב ישראל שטרן</v>
          </cell>
          <cell r="B46" t="str">
            <v>לא מפוקחים</v>
          </cell>
          <cell r="C46">
            <v>16066</v>
          </cell>
          <cell r="D46">
            <v>0</v>
          </cell>
          <cell r="E46">
            <v>1652120.28</v>
          </cell>
          <cell r="F46">
            <v>955923.4</v>
          </cell>
          <cell r="G46">
            <v>3349.2</v>
          </cell>
          <cell r="H46">
            <v>0</v>
          </cell>
          <cell r="I46">
            <v>989845</v>
          </cell>
          <cell r="J46">
            <v>955923.42</v>
          </cell>
          <cell r="K46">
            <v>-12716.8</v>
          </cell>
          <cell r="L46">
            <v>0</v>
          </cell>
          <cell r="M46">
            <v>-662275.28</v>
          </cell>
          <cell r="N46">
            <v>2.0000000018626451E-2</v>
          </cell>
        </row>
        <row r="47">
          <cell r="A47" t="str">
            <v>בדר צבי</v>
          </cell>
          <cell r="B47" t="str">
            <v>לא מפוקחים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 t="str">
            <v>יתר הסוכנים</v>
          </cell>
          <cell r="B48"/>
          <cell r="C48">
            <v>1712005.8823208527</v>
          </cell>
          <cell r="D48">
            <v>395131.54527303966</v>
          </cell>
          <cell r="E48">
            <v>6116146.5751813333</v>
          </cell>
          <cell r="F48">
            <v>6047365.0600000005</v>
          </cell>
          <cell r="G48">
            <v>4282805.0279215835</v>
          </cell>
          <cell r="H48">
            <v>560162.94700874307</v>
          </cell>
          <cell r="I48">
            <v>8392958.4884979222</v>
          </cell>
          <cell r="J48">
            <v>10081934.135000004</v>
          </cell>
          <cell r="K48">
            <v>2570799.1456007324</v>
          </cell>
          <cell r="L48">
            <v>165031.40173570352</v>
          </cell>
          <cell r="M48">
            <v>2276811.913316587</v>
          </cell>
          <cell r="N48">
            <v>4034569.075000002</v>
          </cell>
        </row>
        <row r="49">
          <cell r="A49" t="str">
            <v>אביב מור יוסף</v>
          </cell>
          <cell r="B49" t="str">
            <v>לא מפוקחים</v>
          </cell>
          <cell r="C49">
            <v>423804.42079462006</v>
          </cell>
          <cell r="D49">
            <v>48321.067022134339</v>
          </cell>
          <cell r="E49">
            <v>499793.06383233529</v>
          </cell>
          <cell r="F49">
            <v>1697926.64</v>
          </cell>
          <cell r="G49">
            <v>625811.61404246534</v>
          </cell>
          <cell r="H49">
            <v>75556.247642103335</v>
          </cell>
          <cell r="I49">
            <v>2496236.0446107788</v>
          </cell>
          <cell r="J49">
            <v>3381087.04</v>
          </cell>
          <cell r="K49">
            <v>202007.19324784528</v>
          </cell>
          <cell r="L49">
            <v>27235.180619968996</v>
          </cell>
          <cell r="M49">
            <v>1996442.9807784436</v>
          </cell>
          <cell r="N49">
            <v>1683160.4000000001</v>
          </cell>
        </row>
        <row r="50">
          <cell r="A50" t="str">
            <v>אריאל בר-חיים</v>
          </cell>
          <cell r="B50" t="str">
            <v>לא מפוקחים</v>
          </cell>
          <cell r="C50">
            <v>528014.27</v>
          </cell>
          <cell r="D50">
            <v>23536.066799887594</v>
          </cell>
          <cell r="E50">
            <v>730477.98</v>
          </cell>
          <cell r="F50">
            <v>2822560.13</v>
          </cell>
          <cell r="G50">
            <v>228031.30791832862</v>
          </cell>
          <cell r="H50">
            <v>13050.965017197555</v>
          </cell>
          <cell r="I50">
            <v>2852729.61</v>
          </cell>
          <cell r="J50">
            <v>3561206.67</v>
          </cell>
          <cell r="K50">
            <v>-299982.9620816714</v>
          </cell>
          <cell r="L50">
            <v>-10485.101782690039</v>
          </cell>
          <cell r="M50">
            <v>2122251.63</v>
          </cell>
          <cell r="N50">
            <v>738646.54</v>
          </cell>
        </row>
        <row r="51">
          <cell r="A51" t="str">
            <v>יונתן מנחם</v>
          </cell>
          <cell r="B51" t="str">
            <v xml:space="preserve">ערן גירוני </v>
          </cell>
          <cell r="C51">
            <v>6829.2</v>
          </cell>
          <cell r="D51">
            <v>8390.9</v>
          </cell>
          <cell r="E51">
            <v>0</v>
          </cell>
          <cell r="F51">
            <v>138621.92000000001</v>
          </cell>
          <cell r="G51">
            <v>7357.82</v>
          </cell>
          <cell r="H51">
            <v>9703.9</v>
          </cell>
          <cell r="I51">
            <v>0</v>
          </cell>
          <cell r="J51">
            <v>139301.68</v>
          </cell>
          <cell r="K51">
            <v>528.61999999999989</v>
          </cell>
          <cell r="L51">
            <v>1313</v>
          </cell>
          <cell r="M51">
            <v>0</v>
          </cell>
          <cell r="N51">
            <v>679.75999999998021</v>
          </cell>
        </row>
        <row r="52">
          <cell r="A52" t="str">
            <v>שלי מזרחי</v>
          </cell>
          <cell r="B52" t="str">
            <v xml:space="preserve">ערן גירוני </v>
          </cell>
          <cell r="C52">
            <v>691872.65533172817</v>
          </cell>
          <cell r="D52">
            <v>150227.51999999999</v>
          </cell>
          <cell r="E52">
            <v>1796858.55</v>
          </cell>
          <cell r="F52">
            <v>3456313.5504999999</v>
          </cell>
          <cell r="G52">
            <v>1071276.1393757139</v>
          </cell>
          <cell r="H52">
            <v>281003.29200000002</v>
          </cell>
          <cell r="I52">
            <v>3241546.19</v>
          </cell>
          <cell r="J52">
            <v>4837697.1500000004</v>
          </cell>
          <cell r="K52">
            <v>379403.48404398572</v>
          </cell>
          <cell r="L52">
            <v>130775.77200000003</v>
          </cell>
          <cell r="M52">
            <v>1444687.64</v>
          </cell>
          <cell r="N52">
            <v>1381383.5995000005</v>
          </cell>
        </row>
        <row r="53">
          <cell r="A53" t="str">
            <v>חנה כצנלסון</v>
          </cell>
          <cell r="B53" t="str">
            <v>לא מפוקחים</v>
          </cell>
          <cell r="C53">
            <v>0</v>
          </cell>
          <cell r="D53">
            <v>2040.55</v>
          </cell>
          <cell r="E53">
            <v>500</v>
          </cell>
          <cell r="F53">
            <v>0</v>
          </cell>
          <cell r="G53">
            <v>0</v>
          </cell>
          <cell r="H53">
            <v>-1585.5195168282939</v>
          </cell>
          <cell r="I53">
            <v>2500</v>
          </cell>
          <cell r="J53">
            <v>0</v>
          </cell>
          <cell r="K53">
            <v>0</v>
          </cell>
          <cell r="L53">
            <v>-3626.0695168282937</v>
          </cell>
          <cell r="M53">
            <v>2000</v>
          </cell>
          <cell r="N53">
            <v>0</v>
          </cell>
        </row>
        <row r="54">
          <cell r="A54" t="str">
            <v>ינאי חיים בוני</v>
          </cell>
          <cell r="B54" t="str">
            <v xml:space="preserve">ערן גירוני </v>
          </cell>
          <cell r="C54">
            <v>113635.51475</v>
          </cell>
          <cell r="D54">
            <v>6715.4000000000005</v>
          </cell>
          <cell r="E54">
            <v>89037.08</v>
          </cell>
          <cell r="F54">
            <v>470173.58</v>
          </cell>
          <cell r="G54">
            <v>172018.52611999999</v>
          </cell>
          <cell r="H54">
            <v>6581.741</v>
          </cell>
          <cell r="I54">
            <v>124311.49</v>
          </cell>
          <cell r="J54">
            <v>591122.58000000007</v>
          </cell>
          <cell r="K54">
            <v>58383.011369999993</v>
          </cell>
          <cell r="L54">
            <v>-133.65900000000056</v>
          </cell>
          <cell r="M54">
            <v>35274.410000000003</v>
          </cell>
          <cell r="N54">
            <v>120949.00000000006</v>
          </cell>
        </row>
        <row r="55">
          <cell r="A55" t="str">
            <v xml:space="preserve">מיכאל וקסלר </v>
          </cell>
          <cell r="B55" t="str">
            <v xml:space="preserve">ערן גירוני </v>
          </cell>
          <cell r="C55">
            <v>90192.960000000006</v>
          </cell>
          <cell r="D55">
            <v>0</v>
          </cell>
          <cell r="E55">
            <v>3000</v>
          </cell>
          <cell r="F55">
            <v>1407547.56</v>
          </cell>
          <cell r="G55">
            <v>79345.11</v>
          </cell>
          <cell r="H55">
            <v>-478.12349989090097</v>
          </cell>
          <cell r="I55">
            <v>30968.63</v>
          </cell>
          <cell r="J55">
            <v>1414449.72</v>
          </cell>
          <cell r="K55">
            <v>-10847.850000000006</v>
          </cell>
          <cell r="L55">
            <v>-478.12349989090097</v>
          </cell>
          <cell r="M55">
            <v>27968.63</v>
          </cell>
          <cell r="N55">
            <v>6902.1599999999162</v>
          </cell>
        </row>
        <row r="56">
          <cell r="A56" t="str">
            <v xml:space="preserve">שני לוי </v>
          </cell>
          <cell r="B56" t="str">
            <v xml:space="preserve">ערן גירוני </v>
          </cell>
          <cell r="C56">
            <v>0</v>
          </cell>
          <cell r="D56">
            <v>44127.98</v>
          </cell>
          <cell r="E56">
            <v>0</v>
          </cell>
          <cell r="F56">
            <v>0</v>
          </cell>
          <cell r="G56">
            <v>0</v>
          </cell>
          <cell r="H56">
            <v>56243.750999999997</v>
          </cell>
          <cell r="I56">
            <v>0</v>
          </cell>
          <cell r="J56">
            <v>0</v>
          </cell>
          <cell r="K56">
            <v>0</v>
          </cell>
          <cell r="L56">
            <v>12115.770999999993</v>
          </cell>
          <cell r="M56">
            <v>0</v>
          </cell>
          <cell r="N56">
            <v>0</v>
          </cell>
        </row>
        <row r="57">
          <cell r="A57" t="str">
            <v xml:space="preserve">גל אלמגור -ראם </v>
          </cell>
          <cell r="B57" t="str">
            <v xml:space="preserve">ערן גירוני </v>
          </cell>
          <cell r="C57">
            <v>23351.458979999999</v>
          </cell>
          <cell r="D57">
            <v>17415.29</v>
          </cell>
          <cell r="E57">
            <v>6017.28</v>
          </cell>
          <cell r="F57">
            <v>0</v>
          </cell>
          <cell r="G57">
            <v>59862.025599999994</v>
          </cell>
          <cell r="H57">
            <v>31196.361000000001</v>
          </cell>
          <cell r="I57">
            <v>6046.79</v>
          </cell>
          <cell r="J57">
            <v>4997</v>
          </cell>
          <cell r="K57">
            <v>36510.566619999998</v>
          </cell>
          <cell r="L57">
            <v>13781.071</v>
          </cell>
          <cell r="M57">
            <v>29.510000000000218</v>
          </cell>
          <cell r="N57">
            <v>4997</v>
          </cell>
        </row>
        <row r="58">
          <cell r="A58" t="str">
            <v>נעם הלשטוק</v>
          </cell>
          <cell r="B58" t="str">
            <v xml:space="preserve">ערן גירוני </v>
          </cell>
          <cell r="C58">
            <v>84489.272130111</v>
          </cell>
          <cell r="D58">
            <v>29133.8815</v>
          </cell>
          <cell r="E58">
            <v>1927276.03</v>
          </cell>
          <cell r="F58">
            <v>831239.58000000007</v>
          </cell>
          <cell r="G58">
            <v>233637.24110632992</v>
          </cell>
          <cell r="H58">
            <v>40461.976999999999</v>
          </cell>
          <cell r="I58">
            <v>2451654.6599999997</v>
          </cell>
          <cell r="J58">
            <v>1304963.2799999998</v>
          </cell>
          <cell r="K58">
            <v>149147.96897621892</v>
          </cell>
          <cell r="L58">
            <v>11328.095499999999</v>
          </cell>
          <cell r="M58">
            <v>524378.62999999966</v>
          </cell>
          <cell r="N58">
            <v>473723.69999999972</v>
          </cell>
        </row>
        <row r="59">
          <cell r="A59" t="str">
            <v>נור אבו ראס</v>
          </cell>
          <cell r="B59" t="str">
            <v xml:space="preserve">ערן גירוני </v>
          </cell>
          <cell r="C59">
            <v>68149.33</v>
          </cell>
          <cell r="D59">
            <v>920.62</v>
          </cell>
          <cell r="E59">
            <v>0</v>
          </cell>
          <cell r="F59">
            <v>0</v>
          </cell>
          <cell r="G59">
            <v>83965.37</v>
          </cell>
          <cell r="H59">
            <v>16091.217000000001</v>
          </cell>
          <cell r="I59">
            <v>0</v>
          </cell>
          <cell r="J59">
            <v>0</v>
          </cell>
          <cell r="K59">
            <v>15816.039999999994</v>
          </cell>
          <cell r="L59">
            <v>15170.597</v>
          </cell>
          <cell r="M59">
            <v>0</v>
          </cell>
          <cell r="N59">
            <v>0</v>
          </cell>
        </row>
        <row r="60">
          <cell r="A60" t="str">
            <v>יהונתן שיוביץ</v>
          </cell>
          <cell r="B60" t="str">
            <v xml:space="preserve">ערן גירוני </v>
          </cell>
          <cell r="C60">
            <v>0</v>
          </cell>
          <cell r="D60">
            <v>864</v>
          </cell>
          <cell r="E60">
            <v>0</v>
          </cell>
          <cell r="F60">
            <v>0</v>
          </cell>
          <cell r="G60">
            <v>12059</v>
          </cell>
          <cell r="H60">
            <v>860.7</v>
          </cell>
          <cell r="I60">
            <v>0</v>
          </cell>
          <cell r="J60">
            <v>0</v>
          </cell>
          <cell r="K60">
            <v>12059</v>
          </cell>
          <cell r="L60">
            <v>-3.2999999999999545</v>
          </cell>
          <cell r="M60">
            <v>0</v>
          </cell>
          <cell r="N60">
            <v>0</v>
          </cell>
        </row>
        <row r="61">
          <cell r="A61" t="str">
            <v>אחמד עלי אחמד</v>
          </cell>
          <cell r="B61" t="str">
            <v xml:space="preserve">ערן גירוני </v>
          </cell>
          <cell r="C61">
            <v>9910.7683459522432</v>
          </cell>
          <cell r="D61">
            <v>8626.68</v>
          </cell>
          <cell r="E61">
            <v>9373.58</v>
          </cell>
          <cell r="F61">
            <v>0</v>
          </cell>
          <cell r="G61">
            <v>9990</v>
          </cell>
          <cell r="H61">
            <v>8703.1039999999994</v>
          </cell>
          <cell r="I61">
            <v>9373.58</v>
          </cell>
          <cell r="J61">
            <v>0</v>
          </cell>
          <cell r="K61">
            <v>79.23165404775682</v>
          </cell>
          <cell r="L61">
            <v>76.423999999999069</v>
          </cell>
          <cell r="M61">
            <v>0</v>
          </cell>
          <cell r="N61">
            <v>0</v>
          </cell>
        </row>
        <row r="62">
          <cell r="A62" t="str">
            <v>שירלי בוכריס</v>
          </cell>
          <cell r="B62" t="str">
            <v xml:space="preserve">ערן גירוני </v>
          </cell>
          <cell r="C62">
            <v>206172.93584008454</v>
          </cell>
          <cell r="D62">
            <v>16727.793349165018</v>
          </cell>
          <cell r="E62">
            <v>2053306.48</v>
          </cell>
          <cell r="F62">
            <v>189827.81</v>
          </cell>
          <cell r="G62">
            <v>271565.94340116292</v>
          </cell>
          <cell r="H62">
            <v>24529.066942432921</v>
          </cell>
          <cell r="I62">
            <v>2591006.1300000004</v>
          </cell>
          <cell r="J62">
            <v>567524.67999999993</v>
          </cell>
          <cell r="K62">
            <v>65393.007561078382</v>
          </cell>
          <cell r="L62">
            <v>7801.2735932679025</v>
          </cell>
          <cell r="M62">
            <v>537699.65000000037</v>
          </cell>
          <cell r="N62">
            <v>377696.86999999994</v>
          </cell>
        </row>
        <row r="63">
          <cell r="A63" t="str">
            <v>סיון פיינרו</v>
          </cell>
          <cell r="B63" t="str">
            <v xml:space="preserve">ערן גירוני 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3237.9700000000003</v>
          </cell>
          <cell r="I63">
            <v>0</v>
          </cell>
          <cell r="J63">
            <v>-2016</v>
          </cell>
          <cell r="K63">
            <v>0</v>
          </cell>
          <cell r="L63">
            <v>3237.9700000000003</v>
          </cell>
          <cell r="M63">
            <v>0</v>
          </cell>
          <cell r="N63">
            <v>-2016</v>
          </cell>
        </row>
        <row r="64">
          <cell r="A64" t="str">
            <v>אורטל / לנג ביג סוכנות לביטוח פנסיוני</v>
          </cell>
          <cell r="B64" t="str">
            <v xml:space="preserve">ערן גירוני </v>
          </cell>
          <cell r="C64">
            <v>2009721.9761392632</v>
          </cell>
          <cell r="D64">
            <v>152726.76654047705</v>
          </cell>
          <cell r="E64">
            <v>11274581.949999999</v>
          </cell>
          <cell r="F64">
            <v>14257932.789999999</v>
          </cell>
          <cell r="G64">
            <v>1362407.3607558154</v>
          </cell>
          <cell r="H64">
            <v>148152.1548011463</v>
          </cell>
          <cell r="I64">
            <v>13662888.801716287</v>
          </cell>
          <cell r="J64">
            <v>14640466.6</v>
          </cell>
          <cell r="K64">
            <v>-647314.61538344785</v>
          </cell>
          <cell r="L64">
            <v>-4574.6117393307504</v>
          </cell>
          <cell r="M64">
            <v>2388306.8517162874</v>
          </cell>
          <cell r="N64">
            <v>382533.81000000052</v>
          </cell>
        </row>
        <row r="65">
          <cell r="A65" t="str">
            <v>לילי שרון</v>
          </cell>
          <cell r="B65" t="str">
            <v xml:space="preserve">ערן גירוני </v>
          </cell>
          <cell r="C65">
            <v>30120</v>
          </cell>
          <cell r="D65">
            <v>2050.91</v>
          </cell>
          <cell r="E65">
            <v>22849.46</v>
          </cell>
          <cell r="F65">
            <v>504342.85</v>
          </cell>
          <cell r="G65">
            <v>5141.88</v>
          </cell>
          <cell r="H65">
            <v>5678.72</v>
          </cell>
          <cell r="I65">
            <v>483034.5</v>
          </cell>
          <cell r="J65">
            <v>124339.83999999997</v>
          </cell>
          <cell r="K65">
            <v>-24978.12</v>
          </cell>
          <cell r="L65">
            <v>3627.8100000000004</v>
          </cell>
          <cell r="M65">
            <v>460185.04</v>
          </cell>
          <cell r="N65">
            <v>-380003.01</v>
          </cell>
        </row>
        <row r="66">
          <cell r="A66" t="str">
            <v>אלרם סוכנות לביטוח</v>
          </cell>
          <cell r="B66" t="str">
            <v>לא מפוקחים</v>
          </cell>
          <cell r="C66">
            <v>266069.47098446789</v>
          </cell>
          <cell r="D66">
            <v>109974.97585653765</v>
          </cell>
          <cell r="E66">
            <v>622086.64</v>
          </cell>
          <cell r="F66">
            <v>1807591.47</v>
          </cell>
          <cell r="G66">
            <v>360831.8584938604</v>
          </cell>
          <cell r="H66">
            <v>167703.37819079566</v>
          </cell>
          <cell r="I66">
            <v>2578832.9046584936</v>
          </cell>
          <cell r="J66">
            <v>801357.41999999993</v>
          </cell>
          <cell r="K66">
            <v>94762.387509392516</v>
          </cell>
          <cell r="L66">
            <v>57728.402334258004</v>
          </cell>
          <cell r="M66">
            <v>1956746.2646584935</v>
          </cell>
          <cell r="N66">
            <v>-1006234.05</v>
          </cell>
        </row>
        <row r="67">
          <cell r="A67" t="str">
            <v>אילנית כהן</v>
          </cell>
          <cell r="B67" t="str">
            <v>לא מפוקחים</v>
          </cell>
          <cell r="C67">
            <v>60771.46</v>
          </cell>
          <cell r="D67">
            <v>13966.09</v>
          </cell>
          <cell r="E67">
            <v>87525.32</v>
          </cell>
          <cell r="F67">
            <v>37269.35</v>
          </cell>
          <cell r="G67">
            <v>114623.21</v>
          </cell>
          <cell r="H67">
            <v>14275.74</v>
          </cell>
          <cell r="I67">
            <v>506701.43</v>
          </cell>
          <cell r="J67">
            <v>36091.74</v>
          </cell>
          <cell r="K67">
            <v>53851.750000000007</v>
          </cell>
          <cell r="L67">
            <v>309.64999999999964</v>
          </cell>
          <cell r="M67">
            <v>419176.11</v>
          </cell>
          <cell r="N67">
            <v>-1177.6100000000006</v>
          </cell>
        </row>
        <row r="68">
          <cell r="A68" t="str">
            <v xml:space="preserve">ניר יבלונקה </v>
          </cell>
          <cell r="B68" t="str">
            <v>לא מפוקחים</v>
          </cell>
          <cell r="C68">
            <v>259400.70800000001</v>
          </cell>
          <cell r="D68">
            <v>1437.39</v>
          </cell>
          <cell r="E68">
            <v>564579.56000000006</v>
          </cell>
          <cell r="F68">
            <v>0</v>
          </cell>
          <cell r="G68">
            <v>117900.19016</v>
          </cell>
          <cell r="H68">
            <v>1591.99</v>
          </cell>
          <cell r="I68">
            <v>925379.02999999991</v>
          </cell>
          <cell r="J68">
            <v>0</v>
          </cell>
          <cell r="K68">
            <v>-141500.51784000001</v>
          </cell>
          <cell r="L68">
            <v>154.59999999999991</v>
          </cell>
          <cell r="M68">
            <v>360799.46999999986</v>
          </cell>
          <cell r="N68">
            <v>0</v>
          </cell>
        </row>
        <row r="69">
          <cell r="A69" t="str">
            <v>רכס אורן</v>
          </cell>
          <cell r="B69" t="str">
            <v>לא מפוקחים</v>
          </cell>
          <cell r="C69">
            <v>2073439.2666675742</v>
          </cell>
          <cell r="D69">
            <v>96718.235219461043</v>
          </cell>
          <cell r="E69">
            <v>1149166.3979614892</v>
          </cell>
          <cell r="F69">
            <v>2937549.33</v>
          </cell>
          <cell r="G69">
            <v>413205.87033278984</v>
          </cell>
          <cell r="H69">
            <v>99780.886455340951</v>
          </cell>
          <cell r="I69">
            <v>4086513.8768207771</v>
          </cell>
          <cell r="J69">
            <v>2219560.44</v>
          </cell>
          <cell r="K69">
            <v>-1660233.3963347843</v>
          </cell>
          <cell r="L69">
            <v>3062.6512358799082</v>
          </cell>
          <cell r="M69">
            <v>2937347.4788592877</v>
          </cell>
          <cell r="N69">
            <v>-717988.89000000013</v>
          </cell>
        </row>
        <row r="70">
          <cell r="A70" t="str">
            <v>סה"כ פרימיום</v>
          </cell>
          <cell r="B70"/>
          <cell r="C70">
            <v>6945945.667963801</v>
          </cell>
          <cell r="D70">
            <v>733922.11628766265</v>
          </cell>
          <cell r="E70">
            <v>20836429.371793825</v>
          </cell>
          <cell r="F70">
            <v>30558896.560500003</v>
          </cell>
          <cell r="G70">
            <v>5229030.4673064658</v>
          </cell>
          <cell r="H70">
            <v>1002339.5190322974</v>
          </cell>
          <cell r="I70">
            <v>36049723.667806335</v>
          </cell>
          <cell r="J70">
            <v>33622149.839999996</v>
          </cell>
          <cell r="K70">
            <v>-1716915.2006573349</v>
          </cell>
          <cell r="L70">
            <v>268417.40274463483</v>
          </cell>
          <cell r="M70">
            <v>15213294.29601251</v>
          </cell>
          <cell r="N70">
            <v>3063253.279500002</v>
          </cell>
        </row>
        <row r="71">
          <cell r="A71" t="str">
            <v>סה"כ כולל</v>
          </cell>
          <cell r="B71"/>
          <cell r="C71">
            <v>13165864.871410051</v>
          </cell>
          <cell r="D71">
            <v>2070001.187039742</v>
          </cell>
          <cell r="E71">
            <v>33007080.001641504</v>
          </cell>
          <cell r="F71">
            <v>68460685.67050001</v>
          </cell>
          <cell r="G71">
            <v>15351099.869007047</v>
          </cell>
          <cell r="H71">
            <v>2485647.4313796852</v>
          </cell>
          <cell r="I71">
            <v>60377536.442618459</v>
          </cell>
          <cell r="J71">
            <v>75736718.784999996</v>
          </cell>
          <cell r="K71">
            <v>2185234.9975969996</v>
          </cell>
          <cell r="L71">
            <v>415646.2443399434</v>
          </cell>
          <cell r="M71">
            <v>27370456.440976955</v>
          </cell>
          <cell r="N71">
            <v>7276033.1145000011</v>
          </cell>
        </row>
        <row r="72">
          <cell r="A72"/>
          <cell r="B72"/>
          <cell r="C72"/>
          <cell r="F72"/>
          <cell r="K72"/>
          <cell r="M72"/>
        </row>
        <row r="73">
          <cell r="A73"/>
          <cell r="B73"/>
          <cell r="C73"/>
          <cell r="F73"/>
          <cell r="K73"/>
          <cell r="L73"/>
          <cell r="M73"/>
          <cell r="N73"/>
        </row>
        <row r="74">
          <cell r="A74"/>
          <cell r="B74"/>
          <cell r="C74"/>
          <cell r="F74"/>
          <cell r="K74"/>
          <cell r="N74"/>
        </row>
        <row r="75">
          <cell r="A75"/>
          <cell r="B75"/>
          <cell r="C75"/>
          <cell r="F75"/>
          <cell r="K75"/>
          <cell r="M75"/>
        </row>
        <row r="76">
          <cell r="A76"/>
          <cell r="B76"/>
          <cell r="C76"/>
          <cell r="F76"/>
          <cell r="K76"/>
          <cell r="M76"/>
        </row>
        <row r="77">
          <cell r="A77"/>
          <cell r="B77"/>
          <cell r="C77"/>
          <cell r="F77"/>
          <cell r="K77"/>
          <cell r="M77"/>
        </row>
        <row r="78">
          <cell r="A78"/>
          <cell r="B78"/>
          <cell r="C78"/>
          <cell r="F78"/>
          <cell r="K78"/>
          <cell r="M78"/>
        </row>
        <row r="79">
          <cell r="A79"/>
          <cell r="B79"/>
          <cell r="C79"/>
          <cell r="F79"/>
          <cell r="K79"/>
          <cell r="M79"/>
        </row>
        <row r="80">
          <cell r="A80"/>
          <cell r="B80"/>
          <cell r="C80"/>
          <cell r="F80"/>
          <cell r="K80"/>
          <cell r="M80"/>
        </row>
        <row r="81">
          <cell r="A81"/>
          <cell r="B81"/>
          <cell r="C81"/>
          <cell r="F81"/>
          <cell r="K81"/>
          <cell r="M81"/>
        </row>
        <row r="82">
          <cell r="A82"/>
          <cell r="B82"/>
          <cell r="C82"/>
          <cell r="F82"/>
          <cell r="K82"/>
          <cell r="M82"/>
        </row>
        <row r="83">
          <cell r="A83"/>
          <cell r="B83"/>
          <cell r="C83"/>
          <cell r="F83"/>
          <cell r="K83"/>
          <cell r="M83"/>
        </row>
        <row r="84">
          <cell r="A84"/>
          <cell r="B84"/>
          <cell r="C84"/>
          <cell r="F84"/>
          <cell r="K84"/>
          <cell r="M84"/>
        </row>
        <row r="85">
          <cell r="A85"/>
          <cell r="B85"/>
          <cell r="C85"/>
          <cell r="F85"/>
          <cell r="K85"/>
          <cell r="M85"/>
        </row>
        <row r="86">
          <cell r="A86"/>
          <cell r="B86"/>
          <cell r="C86"/>
          <cell r="F86"/>
          <cell r="K86"/>
          <cell r="M86"/>
        </row>
        <row r="87">
          <cell r="A87"/>
          <cell r="B87"/>
          <cell r="C87"/>
          <cell r="F87"/>
          <cell r="K87"/>
          <cell r="M87"/>
        </row>
        <row r="88">
          <cell r="A88"/>
          <cell r="B88"/>
          <cell r="C88"/>
          <cell r="F88"/>
          <cell r="K88"/>
          <cell r="M88"/>
        </row>
        <row r="89">
          <cell r="A89"/>
          <cell r="B89"/>
          <cell r="C89"/>
          <cell r="F89"/>
          <cell r="K89"/>
          <cell r="M89"/>
        </row>
        <row r="90">
          <cell r="A90"/>
          <cell r="B90"/>
          <cell r="C90"/>
          <cell r="F90"/>
          <cell r="K90"/>
          <cell r="M90"/>
        </row>
        <row r="91">
          <cell r="A91"/>
          <cell r="B91"/>
          <cell r="C91"/>
          <cell r="F91"/>
          <cell r="K91"/>
          <cell r="M91"/>
        </row>
        <row r="92">
          <cell r="A92"/>
          <cell r="B92"/>
          <cell r="C92"/>
          <cell r="F92"/>
          <cell r="K92"/>
          <cell r="M92"/>
        </row>
        <row r="93">
          <cell r="A93"/>
          <cell r="B93"/>
          <cell r="C93"/>
          <cell r="F93"/>
          <cell r="K93"/>
          <cell r="M93"/>
        </row>
        <row r="94">
          <cell r="A94"/>
          <cell r="B94"/>
          <cell r="C94"/>
          <cell r="F94"/>
          <cell r="K94"/>
          <cell r="M94"/>
        </row>
        <row r="95">
          <cell r="A95"/>
          <cell r="B95"/>
          <cell r="C95"/>
          <cell r="F95"/>
          <cell r="K95"/>
          <cell r="M95"/>
        </row>
        <row r="96">
          <cell r="A96"/>
          <cell r="B96"/>
          <cell r="C96"/>
          <cell r="F96"/>
          <cell r="K96"/>
          <cell r="M96"/>
        </row>
        <row r="97">
          <cell r="A97"/>
          <cell r="B97"/>
          <cell r="C97"/>
          <cell r="F97"/>
          <cell r="K97"/>
          <cell r="M97"/>
        </row>
        <row r="98">
          <cell r="A98"/>
          <cell r="B98"/>
          <cell r="C98"/>
          <cell r="F98"/>
          <cell r="K98"/>
          <cell r="M98"/>
        </row>
        <row r="99">
          <cell r="A99"/>
          <cell r="B99"/>
          <cell r="C99"/>
          <cell r="F99"/>
          <cell r="K99"/>
          <cell r="M99"/>
        </row>
        <row r="100">
          <cell r="A100"/>
          <cell r="B100"/>
          <cell r="C100"/>
          <cell r="F100"/>
          <cell r="K100"/>
          <cell r="M100"/>
        </row>
        <row r="101">
          <cell r="A101"/>
          <cell r="B101"/>
          <cell r="C101"/>
          <cell r="F101"/>
          <cell r="K101"/>
          <cell r="M101"/>
        </row>
        <row r="102">
          <cell r="A102"/>
          <cell r="B102"/>
          <cell r="C102"/>
          <cell r="F102"/>
          <cell r="K102"/>
          <cell r="M102"/>
        </row>
        <row r="103">
          <cell r="A103"/>
          <cell r="B103"/>
          <cell r="C103"/>
          <cell r="F103"/>
          <cell r="K103"/>
          <cell r="M103"/>
        </row>
        <row r="104">
          <cell r="A104"/>
          <cell r="B104"/>
          <cell r="C104"/>
          <cell r="F104"/>
          <cell r="K104"/>
          <cell r="M104"/>
        </row>
        <row r="105">
          <cell r="A105"/>
          <cell r="B105"/>
          <cell r="C105"/>
          <cell r="F105"/>
          <cell r="K105"/>
          <cell r="M105"/>
        </row>
        <row r="106">
          <cell r="A106"/>
          <cell r="B106"/>
          <cell r="C106"/>
          <cell r="F106"/>
          <cell r="K106"/>
          <cell r="M106"/>
        </row>
        <row r="107">
          <cell r="A107"/>
          <cell r="B107"/>
          <cell r="C107"/>
          <cell r="F107"/>
          <cell r="K107"/>
          <cell r="M107"/>
        </row>
        <row r="108">
          <cell r="A108"/>
          <cell r="B108"/>
          <cell r="C108"/>
          <cell r="F108"/>
          <cell r="K108"/>
          <cell r="M108"/>
        </row>
        <row r="109">
          <cell r="A109"/>
          <cell r="B109"/>
          <cell r="C109"/>
          <cell r="F109"/>
          <cell r="K109"/>
          <cell r="M109"/>
        </row>
        <row r="110">
          <cell r="A110"/>
          <cell r="B110"/>
          <cell r="C110"/>
          <cell r="F110"/>
          <cell r="K110"/>
          <cell r="M110"/>
        </row>
        <row r="111">
          <cell r="A111"/>
          <cell r="B111"/>
          <cell r="C111"/>
          <cell r="F111"/>
          <cell r="K111"/>
          <cell r="M111"/>
        </row>
        <row r="112">
          <cell r="A112"/>
          <cell r="B112"/>
          <cell r="C112"/>
          <cell r="F112"/>
          <cell r="K112"/>
          <cell r="M112"/>
        </row>
        <row r="113">
          <cell r="A113"/>
          <cell r="B113"/>
          <cell r="C113"/>
          <cell r="F113"/>
          <cell r="K113"/>
          <cell r="M113"/>
        </row>
        <row r="114">
          <cell r="A114"/>
          <cell r="B114"/>
          <cell r="C114"/>
          <cell r="F114"/>
          <cell r="K114"/>
          <cell r="M114"/>
        </row>
        <row r="115">
          <cell r="A115"/>
          <cell r="B115"/>
          <cell r="C115"/>
          <cell r="F115"/>
          <cell r="K115"/>
          <cell r="M115"/>
        </row>
        <row r="116">
          <cell r="A116"/>
          <cell r="B116"/>
          <cell r="C116"/>
          <cell r="F116"/>
          <cell r="K116"/>
          <cell r="M116"/>
        </row>
        <row r="117">
          <cell r="A117"/>
          <cell r="B117"/>
          <cell r="C117"/>
          <cell r="F117"/>
          <cell r="K117"/>
          <cell r="M117"/>
        </row>
        <row r="118">
          <cell r="A118"/>
          <cell r="B118"/>
          <cell r="C118"/>
          <cell r="F118"/>
          <cell r="K118"/>
          <cell r="M118"/>
        </row>
        <row r="119">
          <cell r="A119"/>
          <cell r="B119"/>
          <cell r="C119"/>
          <cell r="F119"/>
          <cell r="K119"/>
          <cell r="M119"/>
        </row>
        <row r="120">
          <cell r="A120"/>
          <cell r="B120"/>
          <cell r="C120"/>
          <cell r="F120"/>
          <cell r="K120"/>
          <cell r="M120"/>
        </row>
        <row r="121">
          <cell r="A121"/>
          <cell r="B121"/>
          <cell r="C121"/>
          <cell r="F121"/>
          <cell r="K121"/>
          <cell r="M121"/>
        </row>
        <row r="122">
          <cell r="A122"/>
          <cell r="B122"/>
          <cell r="C122"/>
          <cell r="F122"/>
          <cell r="K122"/>
          <cell r="M122"/>
        </row>
        <row r="123">
          <cell r="A123"/>
          <cell r="B123"/>
          <cell r="C123"/>
          <cell r="F123"/>
          <cell r="K123"/>
          <cell r="M123"/>
        </row>
        <row r="124">
          <cell r="A124"/>
          <cell r="B124"/>
          <cell r="C124"/>
          <cell r="F124"/>
          <cell r="K124"/>
          <cell r="M124"/>
        </row>
        <row r="125">
          <cell r="A125"/>
          <cell r="B125"/>
          <cell r="C125"/>
          <cell r="F125"/>
          <cell r="K125"/>
          <cell r="M125"/>
        </row>
        <row r="126">
          <cell r="A126"/>
          <cell r="B126"/>
          <cell r="C126"/>
          <cell r="F126"/>
          <cell r="K126"/>
          <cell r="M126"/>
        </row>
        <row r="127">
          <cell r="A127"/>
          <cell r="B127"/>
          <cell r="C127"/>
          <cell r="F127"/>
          <cell r="K127"/>
          <cell r="M127"/>
        </row>
        <row r="128">
          <cell r="A128"/>
          <cell r="B128"/>
          <cell r="C128"/>
          <cell r="F128"/>
          <cell r="K128"/>
          <cell r="M128"/>
        </row>
        <row r="129">
          <cell r="A129"/>
          <cell r="B129"/>
          <cell r="C129"/>
          <cell r="F129"/>
          <cell r="K129"/>
          <cell r="M129"/>
        </row>
        <row r="130">
          <cell r="A130"/>
          <cell r="B130"/>
          <cell r="C130"/>
          <cell r="F130"/>
          <cell r="K130"/>
          <cell r="M130"/>
        </row>
        <row r="131">
          <cell r="A131"/>
          <cell r="B131"/>
          <cell r="C131"/>
          <cell r="F131"/>
          <cell r="K131"/>
          <cell r="M131"/>
        </row>
        <row r="132">
          <cell r="A132"/>
          <cell r="B132"/>
          <cell r="C132"/>
          <cell r="F132"/>
          <cell r="K132"/>
          <cell r="M132"/>
        </row>
        <row r="133">
          <cell r="A133"/>
          <cell r="B133"/>
          <cell r="C133"/>
          <cell r="F133"/>
          <cell r="K133"/>
          <cell r="M133"/>
        </row>
        <row r="134">
          <cell r="A134"/>
          <cell r="B134"/>
          <cell r="C134"/>
          <cell r="F134"/>
          <cell r="K134"/>
          <cell r="M134"/>
        </row>
        <row r="135">
          <cell r="A135"/>
          <cell r="B135"/>
          <cell r="C135"/>
          <cell r="F135"/>
          <cell r="K135"/>
          <cell r="M135"/>
        </row>
        <row r="136">
          <cell r="A136"/>
          <cell r="B136"/>
          <cell r="C136"/>
          <cell r="F136"/>
          <cell r="K136"/>
          <cell r="M136"/>
        </row>
        <row r="137">
          <cell r="A137"/>
          <cell r="B137"/>
          <cell r="C137"/>
          <cell r="F137"/>
          <cell r="K137"/>
          <cell r="M137"/>
        </row>
        <row r="138">
          <cell r="A138"/>
          <cell r="B138"/>
          <cell r="C138"/>
          <cell r="F138"/>
          <cell r="K138"/>
          <cell r="M138"/>
        </row>
        <row r="139">
          <cell r="A139"/>
          <cell r="B139"/>
          <cell r="C139"/>
          <cell r="F139"/>
          <cell r="K139"/>
          <cell r="M139"/>
        </row>
        <row r="140">
          <cell r="A140"/>
          <cell r="B140"/>
          <cell r="C140"/>
          <cell r="F140"/>
          <cell r="K140"/>
          <cell r="M140"/>
        </row>
        <row r="141">
          <cell r="A141"/>
          <cell r="B141"/>
          <cell r="C141"/>
          <cell r="F141"/>
          <cell r="K141"/>
          <cell r="M141"/>
        </row>
        <row r="142">
          <cell r="A142"/>
          <cell r="B142"/>
          <cell r="C142"/>
          <cell r="F142"/>
          <cell r="K142"/>
          <cell r="M142"/>
        </row>
        <row r="143">
          <cell r="A143"/>
          <cell r="B143"/>
          <cell r="C143"/>
          <cell r="F143"/>
          <cell r="K143"/>
          <cell r="M143"/>
        </row>
        <row r="144">
          <cell r="A144"/>
          <cell r="B144"/>
          <cell r="C144"/>
          <cell r="F144"/>
          <cell r="K144"/>
          <cell r="M144"/>
        </row>
        <row r="145">
          <cell r="A145"/>
          <cell r="B145"/>
          <cell r="C145"/>
          <cell r="F145"/>
          <cell r="K145"/>
          <cell r="M145"/>
        </row>
        <row r="146">
          <cell r="A146"/>
          <cell r="B146"/>
          <cell r="C146"/>
          <cell r="F146"/>
          <cell r="K146"/>
          <cell r="M146"/>
        </row>
        <row r="147">
          <cell r="A147"/>
          <cell r="B147"/>
          <cell r="C147"/>
          <cell r="F147"/>
          <cell r="K147"/>
          <cell r="M147"/>
        </row>
        <row r="148">
          <cell r="A148"/>
          <cell r="B148"/>
          <cell r="C148"/>
          <cell r="F148"/>
          <cell r="K148"/>
          <cell r="M148"/>
        </row>
        <row r="149">
          <cell r="A149"/>
          <cell r="B149"/>
          <cell r="C149"/>
          <cell r="F149"/>
          <cell r="K149"/>
          <cell r="M149"/>
        </row>
        <row r="150">
          <cell r="A150"/>
          <cell r="B150"/>
          <cell r="C150"/>
          <cell r="F150"/>
          <cell r="K150"/>
          <cell r="M150"/>
        </row>
        <row r="151">
          <cell r="A151"/>
          <cell r="B151"/>
          <cell r="C151"/>
          <cell r="F151"/>
          <cell r="K151"/>
          <cell r="M151"/>
        </row>
        <row r="152">
          <cell r="A152"/>
          <cell r="B152"/>
          <cell r="C152"/>
          <cell r="F152"/>
          <cell r="K152"/>
          <cell r="M152"/>
        </row>
        <row r="153">
          <cell r="A153"/>
          <cell r="B153"/>
          <cell r="C153"/>
          <cell r="F153"/>
          <cell r="K153"/>
          <cell r="M153"/>
        </row>
        <row r="154">
          <cell r="A154"/>
          <cell r="B154"/>
          <cell r="C154"/>
          <cell r="F154"/>
          <cell r="K154"/>
          <cell r="M154"/>
        </row>
        <row r="155">
          <cell r="A155"/>
          <cell r="B155"/>
          <cell r="C155"/>
          <cell r="F155"/>
          <cell r="K155"/>
          <cell r="M155"/>
        </row>
        <row r="156">
          <cell r="A156"/>
          <cell r="B156"/>
          <cell r="C156"/>
          <cell r="F156"/>
          <cell r="K156"/>
          <cell r="M156"/>
        </row>
        <row r="157">
          <cell r="A157"/>
          <cell r="B157"/>
          <cell r="C157"/>
          <cell r="F157"/>
          <cell r="K157"/>
          <cell r="M157"/>
        </row>
        <row r="158">
          <cell r="A158"/>
          <cell r="B158"/>
          <cell r="C158"/>
          <cell r="F158"/>
          <cell r="K158"/>
          <cell r="M158"/>
        </row>
        <row r="159">
          <cell r="A159"/>
          <cell r="B159"/>
          <cell r="C159"/>
          <cell r="F159"/>
          <cell r="K159"/>
          <cell r="M159"/>
        </row>
        <row r="160">
          <cell r="A160"/>
          <cell r="B160"/>
          <cell r="C160"/>
          <cell r="F160"/>
          <cell r="K160"/>
          <cell r="M160"/>
        </row>
        <row r="161">
          <cell r="A161"/>
          <cell r="B161"/>
          <cell r="C161"/>
          <cell r="F161"/>
          <cell r="K161"/>
          <cell r="M161"/>
        </row>
        <row r="162">
          <cell r="A162"/>
          <cell r="B162"/>
          <cell r="C162"/>
          <cell r="F162"/>
          <cell r="K162"/>
          <cell r="M162"/>
        </row>
        <row r="163">
          <cell r="A163"/>
          <cell r="B163"/>
          <cell r="C163"/>
          <cell r="F163"/>
          <cell r="K163"/>
          <cell r="M163"/>
        </row>
        <row r="164">
          <cell r="A164"/>
          <cell r="B164"/>
          <cell r="C164"/>
          <cell r="F164"/>
          <cell r="K164"/>
          <cell r="M164"/>
        </row>
        <row r="165">
          <cell r="A165"/>
          <cell r="B165"/>
          <cell r="C165"/>
          <cell r="F165"/>
          <cell r="K165"/>
          <cell r="M165"/>
        </row>
        <row r="166">
          <cell r="A166"/>
          <cell r="B166"/>
          <cell r="C166"/>
          <cell r="F166"/>
          <cell r="K166"/>
          <cell r="M166"/>
        </row>
        <row r="167">
          <cell r="A167"/>
          <cell r="B167"/>
          <cell r="C167"/>
          <cell r="F167"/>
          <cell r="K167"/>
          <cell r="M167"/>
        </row>
        <row r="168">
          <cell r="A168"/>
          <cell r="B168"/>
          <cell r="C168"/>
          <cell r="F168"/>
          <cell r="K168"/>
          <cell r="M168"/>
        </row>
        <row r="169">
          <cell r="A169"/>
          <cell r="B169"/>
          <cell r="C169"/>
          <cell r="F169"/>
          <cell r="K169"/>
          <cell r="M169"/>
        </row>
        <row r="170">
          <cell r="A170"/>
          <cell r="B170"/>
          <cell r="C170"/>
          <cell r="F170"/>
          <cell r="K170"/>
          <cell r="M170"/>
        </row>
        <row r="171">
          <cell r="A171"/>
          <cell r="B171"/>
          <cell r="C171"/>
          <cell r="F171"/>
          <cell r="K171"/>
          <cell r="M171"/>
        </row>
        <row r="172">
          <cell r="A172"/>
          <cell r="B172"/>
          <cell r="C172"/>
          <cell r="F172"/>
          <cell r="K172"/>
          <cell r="M172"/>
        </row>
        <row r="173">
          <cell r="A173"/>
          <cell r="B173"/>
          <cell r="C173"/>
          <cell r="F173"/>
          <cell r="K173"/>
          <cell r="M173"/>
        </row>
        <row r="174">
          <cell r="A174"/>
          <cell r="B174"/>
          <cell r="C174"/>
          <cell r="F174"/>
          <cell r="K174"/>
          <cell r="M174"/>
        </row>
        <row r="175">
          <cell r="A175"/>
          <cell r="B175"/>
          <cell r="C175"/>
          <cell r="F175"/>
          <cell r="K175"/>
          <cell r="M175"/>
        </row>
        <row r="176">
          <cell r="A176"/>
          <cell r="B176"/>
          <cell r="C176"/>
          <cell r="F176"/>
          <cell r="K176"/>
          <cell r="M176"/>
        </row>
        <row r="177">
          <cell r="A177"/>
          <cell r="B177"/>
          <cell r="C177"/>
          <cell r="F177"/>
          <cell r="K177"/>
          <cell r="M177"/>
        </row>
        <row r="178">
          <cell r="A178"/>
          <cell r="B178"/>
          <cell r="C178"/>
          <cell r="F178"/>
          <cell r="K178"/>
          <cell r="M178"/>
        </row>
        <row r="179">
          <cell r="A179"/>
          <cell r="B179"/>
          <cell r="C179"/>
          <cell r="F179"/>
          <cell r="K179"/>
          <cell r="M179"/>
        </row>
        <row r="180">
          <cell r="A180"/>
          <cell r="B180"/>
          <cell r="C180"/>
          <cell r="F180"/>
          <cell r="K180"/>
          <cell r="M180"/>
        </row>
        <row r="181">
          <cell r="A181"/>
          <cell r="B181"/>
          <cell r="C181"/>
          <cell r="F181"/>
          <cell r="K181"/>
          <cell r="M181"/>
        </row>
        <row r="182">
          <cell r="A182"/>
          <cell r="B182"/>
          <cell r="C182"/>
          <cell r="F182"/>
          <cell r="K182"/>
          <cell r="M182"/>
        </row>
        <row r="183">
          <cell r="A183"/>
          <cell r="B183"/>
          <cell r="C183"/>
          <cell r="F183"/>
          <cell r="K183"/>
          <cell r="M183"/>
        </row>
        <row r="184">
          <cell r="A184"/>
          <cell r="B184"/>
          <cell r="C184"/>
          <cell r="F184"/>
          <cell r="K184"/>
          <cell r="M184"/>
        </row>
        <row r="185">
          <cell r="A185"/>
          <cell r="B185"/>
          <cell r="C185"/>
          <cell r="F185"/>
          <cell r="K185"/>
          <cell r="M185"/>
        </row>
        <row r="186">
          <cell r="A186"/>
          <cell r="B186"/>
          <cell r="C186"/>
          <cell r="F186"/>
          <cell r="K186"/>
          <cell r="M186"/>
        </row>
        <row r="187">
          <cell r="A187"/>
          <cell r="B187"/>
          <cell r="C187"/>
          <cell r="F187"/>
          <cell r="K187"/>
          <cell r="M187"/>
        </row>
        <row r="188">
          <cell r="A188"/>
          <cell r="B188"/>
          <cell r="C188"/>
          <cell r="F188"/>
          <cell r="K188"/>
          <cell r="M188"/>
        </row>
        <row r="189">
          <cell r="A189"/>
          <cell r="B189"/>
          <cell r="C189"/>
          <cell r="F189"/>
          <cell r="K189"/>
          <cell r="M189"/>
        </row>
        <row r="190">
          <cell r="A190"/>
          <cell r="B190"/>
          <cell r="C190"/>
          <cell r="F190"/>
          <cell r="K190"/>
          <cell r="M190"/>
        </row>
        <row r="191">
          <cell r="A191"/>
          <cell r="B191"/>
          <cell r="C191"/>
          <cell r="F191"/>
          <cell r="K191"/>
          <cell r="M191"/>
        </row>
        <row r="192">
          <cell r="A192"/>
          <cell r="B192"/>
          <cell r="C192"/>
          <cell r="F192"/>
          <cell r="K192"/>
          <cell r="M192"/>
        </row>
        <row r="193">
          <cell r="A193"/>
          <cell r="B193"/>
          <cell r="C193"/>
          <cell r="F193"/>
          <cell r="K193"/>
          <cell r="M193"/>
        </row>
        <row r="194">
          <cell r="A194"/>
          <cell r="B194"/>
          <cell r="C194"/>
          <cell r="F194"/>
          <cell r="K194"/>
          <cell r="M194"/>
        </row>
        <row r="195">
          <cell r="A195"/>
          <cell r="B195"/>
          <cell r="C195"/>
          <cell r="F195"/>
          <cell r="K195"/>
          <cell r="M195"/>
        </row>
        <row r="196">
          <cell r="A196"/>
          <cell r="B196"/>
          <cell r="C196"/>
          <cell r="F196"/>
          <cell r="K196"/>
          <cell r="M196"/>
        </row>
        <row r="197">
          <cell r="A197"/>
          <cell r="B197"/>
          <cell r="C197"/>
          <cell r="F197"/>
          <cell r="K197"/>
          <cell r="M197"/>
        </row>
        <row r="198">
          <cell r="A198"/>
          <cell r="B198"/>
          <cell r="C198"/>
          <cell r="F198"/>
          <cell r="K198"/>
          <cell r="M198"/>
        </row>
        <row r="199">
          <cell r="A199"/>
          <cell r="B199"/>
          <cell r="C199"/>
          <cell r="F199"/>
          <cell r="K199"/>
          <cell r="M199"/>
        </row>
        <row r="200">
          <cell r="A200"/>
          <cell r="B200"/>
          <cell r="C200"/>
          <cell r="F200"/>
          <cell r="K200"/>
          <cell r="M200"/>
        </row>
        <row r="201">
          <cell r="A201"/>
          <cell r="B201"/>
          <cell r="C201"/>
          <cell r="F201"/>
          <cell r="K201"/>
          <cell r="M201"/>
        </row>
        <row r="202">
          <cell r="A202"/>
          <cell r="B202"/>
          <cell r="C202"/>
          <cell r="F202"/>
          <cell r="K202"/>
          <cell r="M202"/>
        </row>
        <row r="203">
          <cell r="A203"/>
          <cell r="B203"/>
          <cell r="C203"/>
          <cell r="F203"/>
          <cell r="K203"/>
          <cell r="M203"/>
        </row>
        <row r="204">
          <cell r="A204"/>
          <cell r="B204"/>
          <cell r="C204"/>
          <cell r="F204"/>
          <cell r="K204"/>
          <cell r="M204"/>
        </row>
        <row r="205">
          <cell r="A205"/>
          <cell r="B205"/>
          <cell r="C205"/>
          <cell r="F205"/>
          <cell r="K205"/>
          <cell r="M205"/>
        </row>
        <row r="206">
          <cell r="A206"/>
          <cell r="B206"/>
          <cell r="C206"/>
          <cell r="F206"/>
          <cell r="K206"/>
          <cell r="M206"/>
        </row>
        <row r="207">
          <cell r="A207"/>
          <cell r="B207"/>
          <cell r="C207"/>
          <cell r="F207"/>
          <cell r="K207"/>
          <cell r="M207"/>
        </row>
        <row r="208">
          <cell r="A208"/>
          <cell r="B208"/>
          <cell r="C208"/>
          <cell r="F208"/>
          <cell r="K208"/>
          <cell r="M208"/>
        </row>
        <row r="209">
          <cell r="A209"/>
          <cell r="B209"/>
          <cell r="C209"/>
          <cell r="F209"/>
          <cell r="K209"/>
          <cell r="M209"/>
        </row>
        <row r="210">
          <cell r="A210"/>
          <cell r="B210"/>
          <cell r="C210"/>
          <cell r="F210"/>
          <cell r="K210"/>
          <cell r="M210"/>
        </row>
        <row r="211">
          <cell r="A211"/>
          <cell r="B211"/>
          <cell r="C211"/>
          <cell r="F211"/>
          <cell r="K211"/>
          <cell r="M211"/>
        </row>
        <row r="212">
          <cell r="A212"/>
          <cell r="B212"/>
          <cell r="C212"/>
          <cell r="F212"/>
          <cell r="K212"/>
          <cell r="M212"/>
        </row>
        <row r="213">
          <cell r="A213"/>
          <cell r="B213"/>
          <cell r="C213"/>
          <cell r="F213"/>
          <cell r="K213"/>
          <cell r="M213"/>
        </row>
        <row r="214">
          <cell r="A214"/>
          <cell r="B214"/>
          <cell r="C214"/>
          <cell r="F214"/>
          <cell r="K214"/>
          <cell r="M214"/>
        </row>
        <row r="215">
          <cell r="A215"/>
          <cell r="B215"/>
          <cell r="C215"/>
          <cell r="F215"/>
          <cell r="K215"/>
          <cell r="M215"/>
        </row>
        <row r="216">
          <cell r="A216"/>
          <cell r="B216"/>
          <cell r="C216"/>
          <cell r="F216"/>
          <cell r="K216"/>
          <cell r="M216"/>
        </row>
        <row r="217">
          <cell r="A217"/>
          <cell r="B217"/>
          <cell r="C217"/>
          <cell r="F217"/>
          <cell r="K217"/>
          <cell r="M217"/>
        </row>
        <row r="218">
          <cell r="A218"/>
          <cell r="B218"/>
          <cell r="C218"/>
          <cell r="F218"/>
          <cell r="K218"/>
          <cell r="M218"/>
        </row>
        <row r="219">
          <cell r="A219"/>
          <cell r="B219"/>
          <cell r="C219"/>
          <cell r="F219"/>
          <cell r="K219"/>
          <cell r="M219"/>
        </row>
        <row r="220">
          <cell r="A220"/>
          <cell r="B220"/>
          <cell r="C220"/>
          <cell r="F220"/>
          <cell r="K220"/>
          <cell r="M220"/>
        </row>
        <row r="221">
          <cell r="A221"/>
          <cell r="B221"/>
          <cell r="C221"/>
          <cell r="F221"/>
          <cell r="K221"/>
          <cell r="M221"/>
        </row>
        <row r="222">
          <cell r="A222"/>
          <cell r="B222"/>
          <cell r="C222"/>
          <cell r="F222"/>
          <cell r="K222"/>
          <cell r="M222"/>
        </row>
        <row r="223">
          <cell r="A223"/>
          <cell r="B223"/>
          <cell r="C223"/>
          <cell r="F223"/>
          <cell r="K223"/>
          <cell r="M223"/>
        </row>
        <row r="224">
          <cell r="A224"/>
          <cell r="B224"/>
          <cell r="C224"/>
          <cell r="F224"/>
          <cell r="K224"/>
          <cell r="M224"/>
        </row>
        <row r="225">
          <cell r="A225"/>
          <cell r="B225"/>
          <cell r="C225"/>
          <cell r="F225"/>
          <cell r="K225"/>
          <cell r="M225"/>
        </row>
        <row r="226">
          <cell r="A226"/>
          <cell r="B226"/>
          <cell r="C226"/>
          <cell r="F226"/>
          <cell r="K226"/>
          <cell r="M226"/>
        </row>
        <row r="227">
          <cell r="A227"/>
          <cell r="B227"/>
          <cell r="C227"/>
          <cell r="F227"/>
          <cell r="K227"/>
          <cell r="M227"/>
        </row>
        <row r="228">
          <cell r="A228"/>
          <cell r="B228"/>
          <cell r="C228"/>
          <cell r="F228"/>
          <cell r="K228"/>
          <cell r="M228"/>
        </row>
        <row r="229">
          <cell r="A229"/>
          <cell r="B229"/>
          <cell r="C229"/>
          <cell r="F229"/>
          <cell r="K229"/>
          <cell r="M229"/>
        </row>
        <row r="230">
          <cell r="A230"/>
          <cell r="B230"/>
          <cell r="C230"/>
          <cell r="F230"/>
          <cell r="K230"/>
          <cell r="M230"/>
        </row>
        <row r="231">
          <cell r="A231"/>
          <cell r="B231"/>
          <cell r="C231"/>
          <cell r="F231"/>
          <cell r="K231"/>
          <cell r="M231"/>
        </row>
        <row r="232">
          <cell r="A232"/>
          <cell r="B232"/>
          <cell r="C232"/>
          <cell r="F232"/>
          <cell r="K232"/>
          <cell r="M232"/>
        </row>
        <row r="233">
          <cell r="A233"/>
          <cell r="B233"/>
          <cell r="C233"/>
          <cell r="F233"/>
          <cell r="K233"/>
          <cell r="M233"/>
        </row>
        <row r="234">
          <cell r="A234"/>
          <cell r="B234"/>
          <cell r="C234"/>
          <cell r="F234"/>
          <cell r="K234"/>
          <cell r="M234"/>
        </row>
        <row r="235">
          <cell r="A235"/>
          <cell r="B235"/>
          <cell r="C235"/>
          <cell r="F235"/>
          <cell r="K235"/>
          <cell r="M235"/>
        </row>
        <row r="236">
          <cell r="A236"/>
          <cell r="B236"/>
          <cell r="C236"/>
          <cell r="F236"/>
          <cell r="K236"/>
          <cell r="M236"/>
        </row>
        <row r="237">
          <cell r="A237"/>
          <cell r="B237"/>
          <cell r="C237"/>
          <cell r="F237"/>
          <cell r="K237"/>
          <cell r="M237"/>
        </row>
        <row r="238">
          <cell r="A238"/>
          <cell r="B238"/>
          <cell r="C238"/>
          <cell r="F238"/>
          <cell r="K238"/>
          <cell r="M238"/>
        </row>
        <row r="239">
          <cell r="A239"/>
          <cell r="B239"/>
          <cell r="C239"/>
          <cell r="F239"/>
          <cell r="K239"/>
          <cell r="M239"/>
        </row>
        <row r="240">
          <cell r="A240"/>
          <cell r="B240"/>
          <cell r="C240"/>
          <cell r="F240"/>
          <cell r="K240"/>
          <cell r="M240"/>
        </row>
        <row r="241">
          <cell r="A241"/>
          <cell r="B241"/>
          <cell r="C241"/>
          <cell r="F241"/>
          <cell r="K241"/>
          <cell r="M241"/>
        </row>
        <row r="242">
          <cell r="A242"/>
          <cell r="B242"/>
          <cell r="C242"/>
          <cell r="F242"/>
          <cell r="K242"/>
          <cell r="M242"/>
        </row>
        <row r="243">
          <cell r="A243"/>
          <cell r="B243"/>
          <cell r="C243"/>
          <cell r="F243"/>
          <cell r="K243"/>
          <cell r="M243"/>
        </row>
        <row r="244">
          <cell r="A244"/>
          <cell r="B244"/>
          <cell r="C244"/>
          <cell r="F244"/>
          <cell r="K244"/>
          <cell r="M244"/>
        </row>
        <row r="245">
          <cell r="A245"/>
          <cell r="B245"/>
          <cell r="C245"/>
          <cell r="F245"/>
          <cell r="K245"/>
          <cell r="M245"/>
        </row>
        <row r="246">
          <cell r="A246"/>
          <cell r="B246"/>
          <cell r="C246"/>
          <cell r="F246"/>
          <cell r="K246"/>
          <cell r="M246"/>
        </row>
        <row r="247">
          <cell r="A247"/>
          <cell r="B247"/>
          <cell r="C247"/>
          <cell r="F247"/>
          <cell r="K247"/>
          <cell r="M247"/>
        </row>
        <row r="248">
          <cell r="A248"/>
          <cell r="B248"/>
          <cell r="C248"/>
          <cell r="F248"/>
          <cell r="K248"/>
          <cell r="M248"/>
        </row>
        <row r="249">
          <cell r="A249"/>
          <cell r="B249"/>
          <cell r="C249"/>
          <cell r="F249"/>
          <cell r="K249"/>
          <cell r="M249"/>
        </row>
        <row r="250">
          <cell r="A250"/>
          <cell r="B250"/>
          <cell r="C250"/>
          <cell r="F250"/>
          <cell r="K250"/>
          <cell r="M250"/>
        </row>
        <row r="251">
          <cell r="A251"/>
          <cell r="B251"/>
          <cell r="C251"/>
          <cell r="F251"/>
          <cell r="K251"/>
          <cell r="M251"/>
        </row>
        <row r="252">
          <cell r="A252"/>
          <cell r="B252"/>
          <cell r="C252"/>
          <cell r="F252"/>
          <cell r="K252"/>
          <cell r="M252"/>
        </row>
        <row r="253">
          <cell r="A253"/>
          <cell r="B253"/>
          <cell r="C253"/>
          <cell r="F253"/>
          <cell r="K253"/>
          <cell r="M253"/>
        </row>
        <row r="254">
          <cell r="A254"/>
          <cell r="B254"/>
          <cell r="C254"/>
          <cell r="F254"/>
          <cell r="K254"/>
          <cell r="M254"/>
        </row>
        <row r="255">
          <cell r="A255"/>
          <cell r="B255"/>
          <cell r="C255"/>
          <cell r="F255"/>
          <cell r="K255"/>
          <cell r="M255"/>
        </row>
        <row r="256">
          <cell r="A256"/>
          <cell r="B256"/>
          <cell r="C256"/>
          <cell r="F256"/>
          <cell r="K256"/>
          <cell r="M256"/>
        </row>
        <row r="257">
          <cell r="A257"/>
          <cell r="B257"/>
          <cell r="C257"/>
          <cell r="F257"/>
          <cell r="K257"/>
          <cell r="M257"/>
        </row>
        <row r="258">
          <cell r="A258"/>
          <cell r="B258"/>
          <cell r="C258"/>
          <cell r="F258"/>
          <cell r="K258"/>
          <cell r="M258"/>
        </row>
        <row r="259">
          <cell r="A259"/>
          <cell r="B259"/>
          <cell r="C259"/>
          <cell r="F259"/>
          <cell r="K259"/>
          <cell r="M259"/>
        </row>
        <row r="260">
          <cell r="A260"/>
          <cell r="B260"/>
          <cell r="C260"/>
          <cell r="F260"/>
          <cell r="K260"/>
          <cell r="M260"/>
        </row>
        <row r="261">
          <cell r="A261"/>
          <cell r="B261"/>
          <cell r="C261"/>
          <cell r="F261"/>
          <cell r="K261"/>
          <cell r="M261"/>
        </row>
        <row r="262">
          <cell r="A262"/>
          <cell r="B262"/>
          <cell r="C262"/>
          <cell r="F262"/>
          <cell r="K262"/>
          <cell r="M262"/>
        </row>
        <row r="263">
          <cell r="A263"/>
          <cell r="B263"/>
          <cell r="C263"/>
          <cell r="F263"/>
          <cell r="K263"/>
          <cell r="M263"/>
        </row>
        <row r="264">
          <cell r="A264"/>
          <cell r="B264"/>
          <cell r="C264"/>
          <cell r="F264"/>
          <cell r="K264"/>
          <cell r="M264"/>
        </row>
        <row r="265">
          <cell r="A265"/>
          <cell r="B265"/>
          <cell r="C265"/>
          <cell r="F265"/>
          <cell r="K265"/>
          <cell r="M265"/>
        </row>
        <row r="266">
          <cell r="A266"/>
          <cell r="B266"/>
          <cell r="C266"/>
          <cell r="F266"/>
          <cell r="K266"/>
          <cell r="M266"/>
        </row>
        <row r="267">
          <cell r="A267"/>
          <cell r="B267"/>
          <cell r="C267"/>
          <cell r="F267"/>
          <cell r="K267"/>
          <cell r="M267"/>
        </row>
        <row r="268">
          <cell r="A268"/>
          <cell r="B268"/>
          <cell r="C268"/>
          <cell r="F268"/>
          <cell r="K268"/>
          <cell r="M268"/>
        </row>
        <row r="269">
          <cell r="A269"/>
          <cell r="B269"/>
          <cell r="C269"/>
          <cell r="F269"/>
          <cell r="K269"/>
          <cell r="M269"/>
        </row>
        <row r="270">
          <cell r="A270"/>
          <cell r="B270"/>
          <cell r="C270"/>
          <cell r="F270"/>
          <cell r="K270"/>
          <cell r="M270"/>
        </row>
        <row r="271">
          <cell r="A271"/>
          <cell r="B271"/>
          <cell r="C271"/>
          <cell r="F271"/>
          <cell r="K271"/>
          <cell r="M271"/>
        </row>
        <row r="272">
          <cell r="A272"/>
          <cell r="B272"/>
          <cell r="C272"/>
          <cell r="F272"/>
          <cell r="K272"/>
          <cell r="M272"/>
        </row>
        <row r="273">
          <cell r="A273"/>
          <cell r="B273"/>
          <cell r="C273"/>
          <cell r="F273"/>
          <cell r="K273"/>
          <cell r="M273"/>
        </row>
        <row r="274">
          <cell r="A274"/>
          <cell r="B274"/>
          <cell r="C274"/>
          <cell r="F274"/>
          <cell r="K274"/>
          <cell r="M274"/>
        </row>
        <row r="275">
          <cell r="A275"/>
          <cell r="B275"/>
          <cell r="C275"/>
          <cell r="F275"/>
          <cell r="K275"/>
          <cell r="M275"/>
        </row>
        <row r="276">
          <cell r="A276"/>
          <cell r="B276"/>
          <cell r="C276"/>
          <cell r="F276"/>
          <cell r="K276"/>
          <cell r="M276"/>
        </row>
        <row r="277">
          <cell r="A277"/>
          <cell r="B277"/>
          <cell r="C277"/>
          <cell r="F277"/>
          <cell r="K277"/>
          <cell r="M277"/>
        </row>
        <row r="278">
          <cell r="A278"/>
          <cell r="B278"/>
          <cell r="C278"/>
          <cell r="F278"/>
          <cell r="K278"/>
          <cell r="M278"/>
        </row>
        <row r="279">
          <cell r="A279"/>
          <cell r="B279"/>
          <cell r="C279"/>
          <cell r="F279"/>
          <cell r="K279"/>
          <cell r="M279"/>
        </row>
        <row r="280">
          <cell r="A280"/>
          <cell r="B280"/>
          <cell r="C280"/>
          <cell r="F280"/>
          <cell r="K280"/>
          <cell r="M280"/>
        </row>
        <row r="281">
          <cell r="A281"/>
          <cell r="B281"/>
          <cell r="C281"/>
          <cell r="F281"/>
          <cell r="K281"/>
          <cell r="M281"/>
        </row>
        <row r="282">
          <cell r="A282"/>
          <cell r="B282"/>
          <cell r="C282"/>
          <cell r="F282"/>
          <cell r="K282"/>
          <cell r="M282"/>
        </row>
        <row r="283">
          <cell r="A283"/>
          <cell r="B283"/>
          <cell r="C283"/>
          <cell r="F283"/>
          <cell r="K283"/>
          <cell r="M283"/>
        </row>
        <row r="284">
          <cell r="A284"/>
          <cell r="B284"/>
          <cell r="C284"/>
          <cell r="F284"/>
          <cell r="K284"/>
          <cell r="M284"/>
        </row>
        <row r="285">
          <cell r="A285"/>
          <cell r="B285"/>
          <cell r="C285"/>
          <cell r="F285"/>
          <cell r="K285"/>
          <cell r="M285"/>
        </row>
        <row r="286">
          <cell r="A286"/>
          <cell r="B286"/>
          <cell r="C286"/>
          <cell r="F286"/>
          <cell r="K286"/>
          <cell r="M286"/>
        </row>
        <row r="287">
          <cell r="A287"/>
          <cell r="B287"/>
          <cell r="C287"/>
          <cell r="F287"/>
          <cell r="K287"/>
          <cell r="M287"/>
        </row>
        <row r="288">
          <cell r="A288"/>
          <cell r="B288"/>
          <cell r="C288"/>
          <cell r="F288"/>
          <cell r="K288"/>
          <cell r="M288"/>
        </row>
        <row r="289">
          <cell r="A289"/>
          <cell r="B289"/>
          <cell r="C289"/>
          <cell r="F289"/>
          <cell r="K289"/>
          <cell r="M289"/>
        </row>
        <row r="290">
          <cell r="A290"/>
          <cell r="B290"/>
          <cell r="C290"/>
          <cell r="F290"/>
          <cell r="K290"/>
          <cell r="M290"/>
        </row>
        <row r="291">
          <cell r="A291"/>
          <cell r="B291"/>
          <cell r="C291"/>
          <cell r="F291"/>
          <cell r="K291"/>
          <cell r="M291"/>
        </row>
        <row r="292">
          <cell r="A292"/>
          <cell r="B292"/>
          <cell r="C292"/>
          <cell r="F292"/>
          <cell r="K292"/>
          <cell r="M292"/>
        </row>
        <row r="293">
          <cell r="A293"/>
          <cell r="B293"/>
          <cell r="C293"/>
          <cell r="F293"/>
          <cell r="K293"/>
          <cell r="M293"/>
        </row>
        <row r="294">
          <cell r="A294"/>
          <cell r="B294"/>
          <cell r="C294"/>
          <cell r="F294"/>
          <cell r="K294"/>
          <cell r="M294"/>
        </row>
        <row r="295">
          <cell r="A295"/>
          <cell r="B295"/>
          <cell r="C295"/>
          <cell r="F295"/>
          <cell r="K295"/>
          <cell r="M295"/>
        </row>
        <row r="296">
          <cell r="A296"/>
          <cell r="B296"/>
          <cell r="C296"/>
          <cell r="F296"/>
          <cell r="K296"/>
          <cell r="M296"/>
        </row>
        <row r="297">
          <cell r="A297"/>
          <cell r="B297"/>
          <cell r="C297"/>
          <cell r="F297"/>
          <cell r="K297"/>
          <cell r="M297"/>
        </row>
        <row r="298">
          <cell r="A298"/>
          <cell r="B298"/>
          <cell r="C298"/>
          <cell r="F298"/>
          <cell r="K298"/>
          <cell r="M298"/>
        </row>
        <row r="299">
          <cell r="A299"/>
          <cell r="B299"/>
          <cell r="C299"/>
          <cell r="F299"/>
          <cell r="K299"/>
          <cell r="M299"/>
        </row>
        <row r="300">
          <cell r="A300"/>
          <cell r="B300"/>
          <cell r="C300"/>
          <cell r="F300"/>
          <cell r="K300"/>
          <cell r="M300"/>
        </row>
        <row r="301">
          <cell r="A301"/>
          <cell r="B301"/>
          <cell r="C301"/>
          <cell r="F301"/>
          <cell r="K301"/>
          <cell r="M301"/>
        </row>
        <row r="302">
          <cell r="A302"/>
          <cell r="B302"/>
          <cell r="C302"/>
          <cell r="F302"/>
          <cell r="K302"/>
          <cell r="M302"/>
        </row>
        <row r="303">
          <cell r="A303"/>
          <cell r="B303"/>
          <cell r="C303"/>
          <cell r="F303"/>
          <cell r="K303"/>
          <cell r="M303"/>
        </row>
        <row r="304">
          <cell r="A304"/>
          <cell r="B304"/>
          <cell r="C304"/>
          <cell r="F304"/>
          <cell r="K304"/>
          <cell r="M304"/>
        </row>
        <row r="305">
          <cell r="A305"/>
          <cell r="B305"/>
          <cell r="C305"/>
          <cell r="F305"/>
          <cell r="K305"/>
          <cell r="M305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דוח הנהלה"/>
      <sheetName val="תפוקה מצטברת מול אשתקד"/>
      <sheetName val="תפוקה מצטברת מול יעד מצטבר"/>
      <sheetName val="תפוקה מול יעד חודשי"/>
      <sheetName val="עולים יורדים"/>
      <sheetName val="הכשרה"/>
      <sheetName val="מגדל"/>
      <sheetName val="מנורה"/>
      <sheetName val="איילון"/>
      <sheetName val="הראל"/>
      <sheetName val="הפניקס"/>
      <sheetName val="כלל"/>
      <sheetName val="מור"/>
      <sheetName val="אלטשולר שח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/>
          <cell r="B1">
            <v>2024</v>
          </cell>
          <cell r="C1"/>
          <cell r="D1"/>
          <cell r="E1"/>
        </row>
        <row r="2">
          <cell r="A2" t="str">
            <v>שם סוכן</v>
          </cell>
          <cell r="B2" t="str">
            <v>פנסיוני</v>
          </cell>
          <cell r="C2" t="str">
            <v xml:space="preserve">סיכונים </v>
          </cell>
          <cell r="D2" t="str">
            <v>פיננסים</v>
          </cell>
          <cell r="E2" t="str">
            <v>ניודי פנסיה</v>
          </cell>
        </row>
        <row r="3">
          <cell r="A3" t="str">
            <v>גל אלמגור סוכ</v>
          </cell>
          <cell r="B3">
            <v>56402.157280000007</v>
          </cell>
          <cell r="C3">
            <v>2691.7628400000031</v>
          </cell>
          <cell r="D3">
            <v>234473.18828000026</v>
          </cell>
          <cell r="E3">
            <v>8162.3005600000006</v>
          </cell>
        </row>
        <row r="4">
          <cell r="A4" t="str">
            <v>דניאלה אביב</v>
          </cell>
          <cell r="B4">
            <v>2931.1090000000004</v>
          </cell>
          <cell r="C4"/>
          <cell r="D4"/>
          <cell r="E4"/>
        </row>
        <row r="5">
          <cell r="A5" t="str">
            <v>סה"כ ישיר</v>
          </cell>
          <cell r="B5">
            <v>59333.266280000011</v>
          </cell>
          <cell r="C5">
            <v>2691.7628400000031</v>
          </cell>
          <cell r="D5">
            <v>234473.18828000026</v>
          </cell>
          <cell r="E5">
            <v>8162.3005600000006</v>
          </cell>
        </row>
        <row r="6">
          <cell r="A6" t="str">
            <v>בראשית סוכנות לביטוח</v>
          </cell>
          <cell r="B6"/>
          <cell r="C6"/>
          <cell r="D6"/>
          <cell r="E6"/>
        </row>
        <row r="7">
          <cell r="A7" t="str">
            <v>גל אלמגור דאוד סוכ' לב</v>
          </cell>
          <cell r="B7"/>
          <cell r="C7">
            <v>72642.964840000001</v>
          </cell>
          <cell r="D7"/>
          <cell r="E7"/>
        </row>
        <row r="8">
          <cell r="A8" t="str">
            <v>גל אלמגור -וייס סוכנות</v>
          </cell>
          <cell r="B8"/>
          <cell r="C8"/>
          <cell r="D8"/>
          <cell r="E8"/>
        </row>
        <row r="9">
          <cell r="A9" t="str">
            <v>גל אלמגור דרום סוכ ל</v>
          </cell>
          <cell r="B9"/>
          <cell r="C9"/>
          <cell r="D9"/>
          <cell r="E9"/>
        </row>
        <row r="10">
          <cell r="A10" t="str">
            <v>משה שטרן גל אלמגור</v>
          </cell>
          <cell r="B10"/>
          <cell r="C10">
            <v>14174.283759999998</v>
          </cell>
          <cell r="D10"/>
          <cell r="E10"/>
        </row>
        <row r="11">
          <cell r="A11" t="str">
            <v>מקסימום סוכנות לבטוח פ</v>
          </cell>
          <cell r="B11"/>
          <cell r="C11"/>
          <cell r="D11">
            <v>15128.617039999999</v>
          </cell>
          <cell r="E11"/>
        </row>
        <row r="12">
          <cell r="A12" t="str">
            <v>סה"כ חברות בנות</v>
          </cell>
          <cell r="B12">
            <v>0</v>
          </cell>
          <cell r="C12">
            <v>86817.248599999992</v>
          </cell>
          <cell r="D12">
            <v>15128.617039999999</v>
          </cell>
          <cell r="E12">
            <v>0</v>
          </cell>
        </row>
        <row r="13">
          <cell r="A13" t="str">
            <v>מועלם אלפרד</v>
          </cell>
          <cell r="B13">
            <v>530599.96244000003</v>
          </cell>
          <cell r="C13">
            <v>73184.673480000041</v>
          </cell>
          <cell r="D13">
            <v>286473.08147999999</v>
          </cell>
          <cell r="E13">
            <v>1189406.6533599999</v>
          </cell>
        </row>
        <row r="14">
          <cell r="A14" t="str">
            <v>יעקובסון רומן</v>
          </cell>
          <cell r="B14"/>
          <cell r="C14"/>
          <cell r="D14"/>
          <cell r="E14"/>
        </row>
        <row r="15">
          <cell r="A15" t="str">
            <v>רוקח מזל מלי</v>
          </cell>
          <cell r="B15"/>
          <cell r="C15"/>
          <cell r="D15"/>
          <cell r="E15"/>
        </row>
        <row r="16">
          <cell r="A16" t="str">
            <v>גרניק בנימין</v>
          </cell>
          <cell r="B16"/>
          <cell r="C16"/>
          <cell r="D16"/>
          <cell r="E16"/>
        </row>
        <row r="17">
          <cell r="A17" t="str">
            <v>סאוסן שלבי</v>
          </cell>
          <cell r="B17"/>
          <cell r="C17">
            <v>2055.5724799999998</v>
          </cell>
          <cell r="D17"/>
          <cell r="E17"/>
        </row>
        <row r="18">
          <cell r="A18" t="str">
            <v>יוספוביץ טלי</v>
          </cell>
          <cell r="B18"/>
          <cell r="C18"/>
          <cell r="D18"/>
          <cell r="E18"/>
        </row>
        <row r="19">
          <cell r="A19" t="str">
            <v>דורי כדורי דאי</v>
          </cell>
          <cell r="B19"/>
          <cell r="C19"/>
          <cell r="D19"/>
          <cell r="E19"/>
        </row>
        <row r="20">
          <cell r="A20" t="str">
            <v>סברא סמיר</v>
          </cell>
          <cell r="B20"/>
          <cell r="C20">
            <v>6583.2423600000002</v>
          </cell>
          <cell r="D20"/>
          <cell r="E20"/>
        </row>
        <row r="21">
          <cell r="A21" t="str">
            <v>מחמוד פארס</v>
          </cell>
          <cell r="B21"/>
          <cell r="C21"/>
          <cell r="D21"/>
          <cell r="E21"/>
        </row>
        <row r="22">
          <cell r="A22" t="str">
            <v>ריזק חלבי</v>
          </cell>
          <cell r="B22">
            <v>80050.471000000005</v>
          </cell>
          <cell r="C22">
            <v>2479.8840799999998</v>
          </cell>
          <cell r="D22">
            <v>6033.9135999999999</v>
          </cell>
          <cell r="E22">
            <v>120904.80748000002</v>
          </cell>
        </row>
        <row r="23">
          <cell r="A23" t="str">
            <v>שלבי מיסון</v>
          </cell>
          <cell r="B23"/>
          <cell r="C23">
            <v>24239.324119999997</v>
          </cell>
          <cell r="D23"/>
          <cell r="E23"/>
        </row>
        <row r="24">
          <cell r="A24" t="str">
            <v>בחוס יוסף</v>
          </cell>
          <cell r="B24"/>
          <cell r="C24">
            <v>10122.156559999999</v>
          </cell>
          <cell r="D24"/>
          <cell r="E24"/>
        </row>
        <row r="25">
          <cell r="A25" t="str">
            <v>חוסאם עוז אלדין</v>
          </cell>
          <cell r="B25"/>
          <cell r="C25"/>
          <cell r="D25"/>
          <cell r="E25"/>
        </row>
        <row r="26">
          <cell r="A26" t="str">
            <v>קליין סיון</v>
          </cell>
          <cell r="B26">
            <v>304001.77260000003</v>
          </cell>
          <cell r="C26">
            <v>22351.491439999998</v>
          </cell>
          <cell r="D26">
            <v>1097492.26624</v>
          </cell>
          <cell r="E26">
            <v>547518.21116000006</v>
          </cell>
        </row>
        <row r="27">
          <cell r="A27" t="str">
            <v>דורון ענק הביטוח</v>
          </cell>
          <cell r="B27"/>
          <cell r="C27"/>
          <cell r="D27"/>
          <cell r="E27"/>
        </row>
        <row r="28">
          <cell r="A28" t="str">
            <v>צקותאי אורי</v>
          </cell>
          <cell r="B28"/>
          <cell r="C28"/>
          <cell r="D28"/>
          <cell r="E28"/>
        </row>
        <row r="29">
          <cell r="A29" t="str">
            <v>סמיר בלאן</v>
          </cell>
          <cell r="B29"/>
          <cell r="C29"/>
          <cell r="D29"/>
          <cell r="E29"/>
        </row>
        <row r="30">
          <cell r="A30" t="str">
            <v>רפלוביץ מרינה</v>
          </cell>
          <cell r="B30">
            <v>0</v>
          </cell>
          <cell r="C30">
            <v>5470.3162000000002</v>
          </cell>
          <cell r="D30"/>
          <cell r="E30"/>
        </row>
        <row r="31">
          <cell r="A31" t="str">
            <v>רן בסין</v>
          </cell>
          <cell r="B31"/>
          <cell r="C31"/>
          <cell r="D31"/>
          <cell r="E31"/>
        </row>
        <row r="32">
          <cell r="A32" t="str">
            <v>אלקרינאוי ראוף</v>
          </cell>
          <cell r="B32"/>
          <cell r="C32"/>
          <cell r="D32"/>
          <cell r="E32"/>
        </row>
        <row r="33">
          <cell r="A33" t="str">
            <v>דאי גדי</v>
          </cell>
          <cell r="B33"/>
          <cell r="C33"/>
          <cell r="D33"/>
          <cell r="E33"/>
        </row>
        <row r="34">
          <cell r="A34" t="str">
            <v>מילאד אבו שקארה</v>
          </cell>
          <cell r="B34"/>
          <cell r="C34"/>
          <cell r="D34"/>
          <cell r="E34"/>
        </row>
        <row r="35">
          <cell r="A35" t="str">
            <v>דראושה אדהם</v>
          </cell>
          <cell r="B35">
            <v>36199.942200000005</v>
          </cell>
          <cell r="C35"/>
          <cell r="D35"/>
          <cell r="E35">
            <v>3968.6528800000001</v>
          </cell>
        </row>
        <row r="36">
          <cell r="A36" t="str">
            <v>בדארנה עומר</v>
          </cell>
          <cell r="B36"/>
          <cell r="C36"/>
          <cell r="D36"/>
          <cell r="E36"/>
        </row>
        <row r="37">
          <cell r="A37" t="str">
            <v>וסים חאטר</v>
          </cell>
          <cell r="B37"/>
          <cell r="C37"/>
          <cell r="D37"/>
          <cell r="E37"/>
        </row>
        <row r="38">
          <cell r="A38" t="str">
            <v>ערן שמילוביץ</v>
          </cell>
          <cell r="B38"/>
          <cell r="C38"/>
          <cell r="D38"/>
          <cell r="E38"/>
        </row>
        <row r="39">
          <cell r="A39" t="str">
            <v>לוי חיים</v>
          </cell>
          <cell r="B39"/>
          <cell r="C39"/>
          <cell r="D39"/>
          <cell r="E39"/>
        </row>
        <row r="40">
          <cell r="A40" t="str">
            <v>סה"כ סוכנים ערן</v>
          </cell>
          <cell r="B40">
            <v>950852.14824000013</v>
          </cell>
          <cell r="C40">
            <v>146486.66072000004</v>
          </cell>
          <cell r="D40">
            <v>1389999.26132</v>
          </cell>
          <cell r="E40">
            <v>1861798.3248799997</v>
          </cell>
        </row>
        <row r="41">
          <cell r="A41" t="str">
            <v>טל אופטובסקי</v>
          </cell>
          <cell r="B41"/>
          <cell r="C41"/>
          <cell r="D41"/>
          <cell r="E41"/>
        </row>
        <row r="42">
          <cell r="A42" t="str">
            <v>גולדר אבי</v>
          </cell>
          <cell r="B42"/>
          <cell r="C42"/>
          <cell r="D42">
            <v>8870.7635200000004</v>
          </cell>
          <cell r="E42"/>
        </row>
        <row r="43">
          <cell r="A43" t="str">
            <v>א.ד. אבידן ביטוחים בע"מ</v>
          </cell>
          <cell r="B43"/>
          <cell r="C43"/>
          <cell r="D43"/>
          <cell r="E43"/>
        </row>
        <row r="44">
          <cell r="A44" t="str">
            <v>אטיאס סיון</v>
          </cell>
          <cell r="B44"/>
          <cell r="C44"/>
          <cell r="D44"/>
          <cell r="E44"/>
        </row>
        <row r="45">
          <cell r="A45" t="str">
            <v>מטאנס זוהיר</v>
          </cell>
          <cell r="B45"/>
          <cell r="C45"/>
          <cell r="D45"/>
          <cell r="E45"/>
        </row>
        <row r="46">
          <cell r="A46" t="str">
            <v>סטולרז אסף</v>
          </cell>
          <cell r="B46"/>
          <cell r="C46"/>
          <cell r="D46"/>
          <cell r="E46"/>
        </row>
        <row r="47">
          <cell r="A47" t="str">
            <v>דאי דניאל</v>
          </cell>
          <cell r="B47">
            <v>58437.4372</v>
          </cell>
          <cell r="C47">
            <v>0</v>
          </cell>
          <cell r="D47">
            <v>174307.19139999998</v>
          </cell>
          <cell r="E47"/>
        </row>
        <row r="48">
          <cell r="A48" t="str">
            <v>גולן זכריה</v>
          </cell>
          <cell r="B48"/>
          <cell r="C48"/>
          <cell r="D48"/>
          <cell r="E48"/>
        </row>
        <row r="49">
          <cell r="A49" t="str">
            <v>חיים דנינו</v>
          </cell>
          <cell r="B49"/>
          <cell r="C49"/>
          <cell r="D49"/>
          <cell r="E49"/>
        </row>
        <row r="50">
          <cell r="A50" t="str">
            <v>לירון דדון</v>
          </cell>
          <cell r="B50"/>
          <cell r="C50"/>
          <cell r="D50"/>
          <cell r="E50"/>
        </row>
        <row r="51">
          <cell r="A51" t="str">
            <v>דני פחימה</v>
          </cell>
          <cell r="B51"/>
          <cell r="C51"/>
          <cell r="D51"/>
          <cell r="E51"/>
        </row>
        <row r="52">
          <cell r="A52" t="str">
            <v>עאטף עדווי</v>
          </cell>
          <cell r="B52"/>
          <cell r="C52"/>
          <cell r="D52"/>
          <cell r="E52"/>
        </row>
        <row r="53">
          <cell r="A53" t="str">
            <v>דר סוכנות לביטוח</v>
          </cell>
          <cell r="B53"/>
          <cell r="C53"/>
          <cell r="D53"/>
          <cell r="E53"/>
        </row>
        <row r="54">
          <cell r="A54" t="str">
            <v>מכלול סוכנות לביטוח</v>
          </cell>
          <cell r="B54"/>
          <cell r="C54"/>
          <cell r="D54"/>
          <cell r="E54"/>
        </row>
        <row r="55">
          <cell r="A55" t="str">
            <v>גול זאב</v>
          </cell>
          <cell r="B55">
            <v>118996.1548</v>
          </cell>
          <cell r="C55">
            <v>0</v>
          </cell>
          <cell r="D55">
            <v>3022.0368800000001</v>
          </cell>
          <cell r="E55">
            <v>59461.461960000001</v>
          </cell>
        </row>
        <row r="56">
          <cell r="A56" t="str">
            <v>עבוד כיתי</v>
          </cell>
          <cell r="B56"/>
          <cell r="C56"/>
          <cell r="D56"/>
          <cell r="E56"/>
        </row>
        <row r="57">
          <cell r="A57" t="str">
            <v>יעקב ישראל שטרן</v>
          </cell>
          <cell r="B57"/>
          <cell r="C57"/>
          <cell r="D57"/>
          <cell r="E57"/>
        </row>
        <row r="58">
          <cell r="A58" t="str">
            <v xml:space="preserve">ניר יבלונקה </v>
          </cell>
          <cell r="B58"/>
          <cell r="C58"/>
          <cell r="D58"/>
          <cell r="E58"/>
        </row>
        <row r="59">
          <cell r="A59" t="str">
            <v>בדר צבי</v>
          </cell>
          <cell r="B59"/>
          <cell r="C59"/>
          <cell r="D59"/>
          <cell r="E59"/>
        </row>
        <row r="60">
          <cell r="A60" t="str">
            <v>סוכנים לא מפוקחים</v>
          </cell>
          <cell r="B60">
            <v>177433.592</v>
          </cell>
          <cell r="C60">
            <v>0</v>
          </cell>
          <cell r="D60">
            <v>186199.99179999999</v>
          </cell>
          <cell r="E60">
            <v>59461.461960000001</v>
          </cell>
        </row>
        <row r="61">
          <cell r="A61" t="str">
            <v>גלידר אנה</v>
          </cell>
          <cell r="B61"/>
          <cell r="C61"/>
          <cell r="D61"/>
          <cell r="E61"/>
        </row>
        <row r="62">
          <cell r="A62" t="str">
            <v>אביב מור יוסף</v>
          </cell>
          <cell r="B62"/>
          <cell r="C62">
            <v>3895.6440800000005</v>
          </cell>
          <cell r="D62"/>
          <cell r="E62">
            <v>4215.3698800000002</v>
          </cell>
        </row>
        <row r="63">
          <cell r="A63" t="str">
            <v>אריאל בר-חיים</v>
          </cell>
          <cell r="B63"/>
          <cell r="C63">
            <v>0</v>
          </cell>
          <cell r="D63">
            <v>1768642.3856399998</v>
          </cell>
          <cell r="E63"/>
        </row>
        <row r="64">
          <cell r="A64" t="str">
            <v>יונתן מנחם</v>
          </cell>
          <cell r="B64"/>
          <cell r="C64"/>
          <cell r="D64"/>
          <cell r="E64"/>
        </row>
        <row r="65">
          <cell r="A65" t="str">
            <v>שלי מזרחי</v>
          </cell>
          <cell r="B65">
            <v>159292.77900000001</v>
          </cell>
          <cell r="C65">
            <v>176474.17808000001</v>
          </cell>
          <cell r="D65">
            <v>447352.76088000002</v>
          </cell>
          <cell r="E65">
            <v>278051.93280000001</v>
          </cell>
        </row>
        <row r="66">
          <cell r="A66" t="str">
            <v xml:space="preserve">אריאל דוברושין </v>
          </cell>
          <cell r="B66"/>
          <cell r="C66"/>
          <cell r="D66"/>
          <cell r="E66"/>
        </row>
        <row r="67">
          <cell r="A67" t="str">
            <v>חנה כצנלסון</v>
          </cell>
          <cell r="B67"/>
          <cell r="C67">
            <v>3528.99</v>
          </cell>
          <cell r="D67"/>
          <cell r="E67"/>
        </row>
        <row r="68">
          <cell r="A68" t="str">
            <v>ינאי חיים בוני</v>
          </cell>
          <cell r="B68">
            <v>20113.008319999997</v>
          </cell>
          <cell r="C68"/>
          <cell r="D68">
            <v>63360.437239999999</v>
          </cell>
          <cell r="E68"/>
        </row>
        <row r="69">
          <cell r="A69" t="str">
            <v xml:space="preserve">מיכאל וקסלר </v>
          </cell>
          <cell r="B69"/>
          <cell r="C69">
            <v>1850.1484799999998</v>
          </cell>
          <cell r="D69"/>
          <cell r="E69"/>
        </row>
        <row r="70">
          <cell r="A70" t="str">
            <v xml:space="preserve">שני לוי </v>
          </cell>
          <cell r="B70"/>
          <cell r="C70">
            <v>20553.76772</v>
          </cell>
          <cell r="D70"/>
          <cell r="E70"/>
        </row>
        <row r="71">
          <cell r="A71" t="str">
            <v>אורטל לנג</v>
          </cell>
          <cell r="B71"/>
          <cell r="C71">
            <v>-2677.0633600000001</v>
          </cell>
          <cell r="D71">
            <v>17653.888720000003</v>
          </cell>
          <cell r="E71">
            <v>4376.1974399999999</v>
          </cell>
        </row>
        <row r="72">
          <cell r="A72" t="str">
            <v>נעם זילברמן</v>
          </cell>
          <cell r="B72"/>
          <cell r="C72">
            <v>1050.8131599999999</v>
          </cell>
          <cell r="D72">
            <v>42564.227559999999</v>
          </cell>
          <cell r="E72"/>
        </row>
        <row r="73">
          <cell r="A73" t="str">
            <v xml:space="preserve">גל אלמגור -ראם </v>
          </cell>
          <cell r="B73">
            <v>36622.324480000003</v>
          </cell>
          <cell r="C73"/>
          <cell r="D73"/>
          <cell r="E73"/>
        </row>
        <row r="74">
          <cell r="A74" t="str">
            <v>נור אבו ראס</v>
          </cell>
          <cell r="B74"/>
          <cell r="C74"/>
          <cell r="D74"/>
          <cell r="E74"/>
        </row>
        <row r="75">
          <cell r="A75" t="str">
            <v>יהונתן שיוביץ</v>
          </cell>
          <cell r="B75"/>
          <cell r="C75"/>
          <cell r="D75"/>
          <cell r="E75"/>
        </row>
        <row r="76">
          <cell r="A76" t="str">
            <v>רפאל גלעד</v>
          </cell>
          <cell r="B76"/>
          <cell r="C76"/>
          <cell r="D76"/>
          <cell r="E76"/>
        </row>
        <row r="77">
          <cell r="A77" t="str">
            <v>אחמד עלי אחמד</v>
          </cell>
          <cell r="B77">
            <v>34212.270680000001</v>
          </cell>
          <cell r="C77">
            <v>19820.070919999998</v>
          </cell>
          <cell r="D77"/>
          <cell r="E77"/>
        </row>
        <row r="78">
          <cell r="A78" t="str">
            <v>סיון פיינרו</v>
          </cell>
          <cell r="B78"/>
          <cell r="C78">
            <v>0</v>
          </cell>
          <cell r="D78">
            <v>402.25628</v>
          </cell>
          <cell r="E78">
            <v>4745.41932</v>
          </cell>
        </row>
        <row r="79">
          <cell r="A79" t="str">
            <v>לילי שרון</v>
          </cell>
          <cell r="B79"/>
          <cell r="C79"/>
          <cell r="D79"/>
          <cell r="E79"/>
        </row>
        <row r="80">
          <cell r="A80" t="str">
            <v>שירלי בוכריס</v>
          </cell>
          <cell r="B80"/>
          <cell r="C80">
            <v>1292.0892000000001</v>
          </cell>
          <cell r="D80">
            <v>9690.3081200000015</v>
          </cell>
          <cell r="E80"/>
        </row>
        <row r="81">
          <cell r="A81" t="str">
            <v>אלרם סוכנות לביטוח</v>
          </cell>
          <cell r="B81"/>
          <cell r="C81">
            <v>5930.9656400000003</v>
          </cell>
          <cell r="D81">
            <v>35333.483200000002</v>
          </cell>
          <cell r="E81"/>
        </row>
        <row r="82">
          <cell r="A82" t="str">
            <v>רכס אורן</v>
          </cell>
          <cell r="B82"/>
          <cell r="C82">
            <v>-205.39624000000001</v>
          </cell>
          <cell r="D82">
            <v>60119.582040000001</v>
          </cell>
          <cell r="E82"/>
        </row>
        <row r="83">
          <cell r="A83" t="str">
            <v>סה"כ פרימיום</v>
          </cell>
          <cell r="B83">
            <v>250240.38248000003</v>
          </cell>
          <cell r="C83">
            <v>231514.20767999999</v>
          </cell>
          <cell r="D83">
            <v>2445119.32968</v>
          </cell>
          <cell r="E83">
            <v>291388.91944000003</v>
          </cell>
        </row>
        <row r="84">
          <cell r="A84" t="str">
            <v>סה"כ כולל</v>
          </cell>
          <cell r="B84">
            <v>1437859.3890000002</v>
          </cell>
          <cell r="C84">
            <v>467509.87984000001</v>
          </cell>
          <cell r="D84">
            <v>4270920.3881200003</v>
          </cell>
          <cell r="E84">
            <v>2220811.0068399995</v>
          </cell>
        </row>
        <row r="86">
          <cell r="B86"/>
          <cell r="C86"/>
          <cell r="D86"/>
          <cell r="E86"/>
        </row>
      </sheetData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1F58-CA45-44F1-9046-68576443EBCE}">
  <sheetPr>
    <tabColor theme="4" tint="0.39997558519241921"/>
  </sheetPr>
  <dimension ref="A1:U42"/>
  <sheetViews>
    <sheetView showGridLines="0" rightToLeft="1" tabSelected="1" workbookViewId="0">
      <selection activeCell="C3" sqref="C3"/>
    </sheetView>
  </sheetViews>
  <sheetFormatPr defaultColWidth="8.625" defaultRowHeight="15" x14ac:dyDescent="0.25"/>
  <cols>
    <col min="1" max="1" width="13.375" style="45" bestFit="1" customWidth="1"/>
    <col min="2" max="2" width="13.5" style="45" customWidth="1"/>
    <col min="3" max="3" width="12.125" style="45" customWidth="1"/>
    <col min="4" max="4" width="13.5" style="45" customWidth="1"/>
    <col min="5" max="5" width="19.25" style="45" customWidth="1"/>
    <col min="6" max="6" width="7.375" style="45" bestFit="1" customWidth="1"/>
    <col min="7" max="7" width="7" style="45" bestFit="1" customWidth="1"/>
    <col min="8" max="8" width="7.25" style="45" bestFit="1" customWidth="1"/>
    <col min="9" max="13" width="10.75" style="45" bestFit="1" customWidth="1"/>
    <col min="14" max="14" width="15" style="31" hidden="1" customWidth="1"/>
    <col min="15" max="15" width="13.625" style="31" hidden="1" customWidth="1"/>
    <col min="16" max="17" width="15" style="31" hidden="1" customWidth="1"/>
    <col min="18" max="18" width="16.125" style="31" bestFit="1" customWidth="1"/>
    <col min="19" max="19" width="27.75" style="31" bestFit="1" customWidth="1"/>
    <col min="20" max="20" width="25.625" style="31" bestFit="1" customWidth="1"/>
    <col min="21" max="21" width="18.625" style="31" bestFit="1" customWidth="1"/>
    <col min="22" max="25" width="8.625" customWidth="1"/>
  </cols>
  <sheetData>
    <row r="1" spans="1:21" x14ac:dyDescent="0.25">
      <c r="A1" s="45" t="s">
        <v>121</v>
      </c>
    </row>
    <row r="2" spans="1:21" ht="15.75" thickBot="1" x14ac:dyDescent="0.3">
      <c r="J2" s="115"/>
      <c r="R2" s="32"/>
    </row>
    <row r="3" spans="1:21" ht="46.5" thickBot="1" x14ac:dyDescent="0.3">
      <c r="A3" s="51" t="s">
        <v>78</v>
      </c>
      <c r="K3" s="109"/>
      <c r="L3" s="110"/>
      <c r="M3" s="109"/>
    </row>
    <row r="4" spans="1:21" ht="31.9" customHeight="1" thickBot="1" x14ac:dyDescent="0.3">
      <c r="A4" s="202" t="s">
        <v>57</v>
      </c>
      <c r="B4" s="204" t="s">
        <v>123</v>
      </c>
      <c r="C4" s="205"/>
      <c r="D4" s="205"/>
      <c r="E4" s="206"/>
      <c r="F4" s="209" t="s">
        <v>52</v>
      </c>
      <c r="G4" s="210"/>
      <c r="H4" s="210"/>
      <c r="I4" s="211"/>
      <c r="J4" s="215" t="s">
        <v>73</v>
      </c>
      <c r="K4" s="216"/>
      <c r="L4" s="216"/>
      <c r="M4" s="217"/>
    </row>
    <row r="5" spans="1:21" ht="16.5" thickBot="1" x14ac:dyDescent="0.3">
      <c r="A5" s="203"/>
      <c r="B5" s="69" t="s">
        <v>46</v>
      </c>
      <c r="C5" s="36" t="s">
        <v>47</v>
      </c>
      <c r="D5" s="36" t="s">
        <v>48</v>
      </c>
      <c r="E5" s="159" t="s">
        <v>49</v>
      </c>
      <c r="F5" s="79" t="s">
        <v>46</v>
      </c>
      <c r="G5" s="37" t="s">
        <v>50</v>
      </c>
      <c r="H5" s="75" t="s">
        <v>51</v>
      </c>
      <c r="I5" s="70" t="s">
        <v>89</v>
      </c>
      <c r="J5" s="84" t="s">
        <v>46</v>
      </c>
      <c r="K5" s="85" t="s">
        <v>50</v>
      </c>
      <c r="L5" s="85" t="s">
        <v>51</v>
      </c>
      <c r="M5" s="86" t="s">
        <v>49</v>
      </c>
    </row>
    <row r="6" spans="1:21" x14ac:dyDescent="0.25">
      <c r="A6" s="55" t="s">
        <v>58</v>
      </c>
      <c r="B6" s="47">
        <f>'תפוקה מצטברת מול אשתקד'!H8</f>
        <v>4971214.3820461081</v>
      </c>
      <c r="C6" s="43">
        <f>'תפוקה מצטברת מול אשתקד'!I8</f>
        <v>249721.27783262375</v>
      </c>
      <c r="D6" s="43">
        <f>'תפוקה מצטברת מול אשתקד'!J8</f>
        <v>13756635.527899869</v>
      </c>
      <c r="E6" s="160">
        <f>'תפוקה מצטברת מול אשתקד'!K8</f>
        <v>30552415.319999997</v>
      </c>
      <c r="F6" s="76">
        <f>'תפוקה מצטברת מול אשתקד'!D8</f>
        <v>0.6120235187323273</v>
      </c>
      <c r="G6" s="42">
        <f>'תפוקה מצטברת מול אשתקד'!E8</f>
        <v>-0.50690168832064864</v>
      </c>
      <c r="H6" s="42">
        <f>'תפוקה מצטברת מול אשתקד'!F8</f>
        <v>6.2359066722603718E-3</v>
      </c>
      <c r="I6" s="44">
        <f>'תפוקה מצטברת מול אשתקד'!G8</f>
        <v>0.78430941255511</v>
      </c>
      <c r="J6" s="76">
        <f>'תפוקה מצטברת מול יעד מצטבר'!D8</f>
        <v>-0.23046216996190272</v>
      </c>
      <c r="K6" s="42">
        <f>'תפוקה מצטברת מול יעד מצטבר'!E8</f>
        <v>-0.60987146097074874</v>
      </c>
      <c r="L6" s="42">
        <f>'תפוקה מצטברת מול יעד מצטבר'!F8</f>
        <v>-0.44538640832527543</v>
      </c>
      <c r="M6" s="44">
        <f>'תפוקה מצטברת מול יעד מצטבר'!G8</f>
        <v>-0.20924462768848517</v>
      </c>
    </row>
    <row r="7" spans="1:21" x14ac:dyDescent="0.25">
      <c r="A7" s="56" t="s">
        <v>59</v>
      </c>
      <c r="B7" s="47">
        <f>'תפוקה מצטברת מול אשתקד'!H21</f>
        <v>1729903.8059844105</v>
      </c>
      <c r="C7" s="43">
        <f>'תפוקה מצטברת מול אשתקד'!I21</f>
        <v>973341.03315215767</v>
      </c>
      <c r="D7" s="43">
        <f>'תפוקה מצטברת מול אשתקד'!J21</f>
        <v>9163856.1098936014</v>
      </c>
      <c r="E7" s="160">
        <f>'תפוקה מצטברת מול אשתקד'!K21</f>
        <v>4367988.5250000004</v>
      </c>
      <c r="F7" s="76">
        <f>'תפוקה מצטברת מול אשתקד'!D21</f>
        <v>3.7733244497619722E-2</v>
      </c>
      <c r="G7" s="42">
        <f>'תפוקה מצטברת מול אשתקד'!E21</f>
        <v>1.2129241500624444</v>
      </c>
      <c r="H7" s="42">
        <f>'תפוקה מצטברת מול אשתקד'!F21</f>
        <v>-0.28322923097729003</v>
      </c>
      <c r="I7" s="44">
        <f>'תפוקה מצטברת מול אשתקד'!G21</f>
        <v>-0.29396915898700193</v>
      </c>
      <c r="J7" s="76">
        <f>'תפוקה מצטברת מול יעד מצטבר'!D21</f>
        <v>-0.31336675161371341</v>
      </c>
      <c r="K7" s="42">
        <f>'תפוקה מצטברת מול יעד מצטבר'!E21</f>
        <v>-2.9957112664782182E-2</v>
      </c>
      <c r="L7" s="42">
        <f>'תפוקה מצטברת מול יעד מצטבר'!F21</f>
        <v>-0.44582389272535061</v>
      </c>
      <c r="M7" s="44">
        <f>'תפוקה מצטברת מול יעד מצטבר'!G21</f>
        <v>-0.54964547633776673</v>
      </c>
    </row>
    <row r="8" spans="1:21" x14ac:dyDescent="0.25">
      <c r="A8" s="56" t="s">
        <v>60</v>
      </c>
      <c r="B8" s="47">
        <f>'תפוקה מצטברת מול אשתקד'!H72</f>
        <v>3058662.529156188</v>
      </c>
      <c r="C8" s="43">
        <f>'תפוקה מצטברת מול אשתקד'!I72</f>
        <v>552939.7138016246</v>
      </c>
      <c r="D8" s="43">
        <f>'תפוקה מצטברת מול אשתקד'!J72</f>
        <v>22242287.891716287</v>
      </c>
      <c r="E8" s="160">
        <f>'תפוקה מצטברת מול אשתקד'!K72</f>
        <v>25758783.420000002</v>
      </c>
      <c r="F8" s="76">
        <f>'תפוקה מצטברת מול אשתקד'!D72</f>
        <v>0.35810555592664395</v>
      </c>
      <c r="G8" s="42">
        <f>'תפוקה מצטברת מול אשתקד'!E72</f>
        <v>0.53136469753736382</v>
      </c>
      <c r="H8" s="42">
        <f>'תפוקה מצטברת מול אשתקד'!F72</f>
        <v>0.34324168620445694</v>
      </c>
      <c r="I8" s="44">
        <f>'תפוקה מצטברת מול אשתקד'!G63</f>
        <v>1.2282084507326121</v>
      </c>
      <c r="J8" s="76">
        <f>'תפוקה מצטברת מול יעד מצטבר'!D63</f>
        <v>-0.30554484787207581</v>
      </c>
      <c r="K8" s="42">
        <f>'תפוקה מצטברת מול יעד מצטבר'!E63</f>
        <v>-0.58280355959812069</v>
      </c>
      <c r="L8" s="42">
        <f>'תפוקה מצטברת מול יעד מצטבר'!F63</f>
        <v>2.6939246914310822E-2</v>
      </c>
      <c r="M8" s="44">
        <f>'תפוקה מצטברת מול יעד מצטבר'!G63</f>
        <v>-0.31739907861635219</v>
      </c>
    </row>
    <row r="9" spans="1:21" x14ac:dyDescent="0.25">
      <c r="A9" s="158" t="s">
        <v>116</v>
      </c>
      <c r="B9" s="47">
        <f>'תפוקה מצטברת מול אשתקד'!H54</f>
        <v>3886570.6443767152</v>
      </c>
      <c r="C9" s="43">
        <f>'תפוקה מצטברת מול אשתקד'!I54</f>
        <v>547973.44200874295</v>
      </c>
      <c r="D9" s="43">
        <f>'תפוקה מצטברת מול אשתקד'!J54</f>
        <v>7703723.2611774318</v>
      </c>
      <c r="E9" s="160">
        <f>'תפוקה מצטברת מול אשתקד'!K54</f>
        <v>10716189.660000002</v>
      </c>
      <c r="F9" s="76">
        <f>'תפוקה מצטברת מול אשתקד'!D73</f>
        <v>0.24915819338197021</v>
      </c>
      <c r="G9" s="42">
        <f>'תפוקה מצטברת מול אשתקד'!E73</f>
        <v>0.22273910347530301</v>
      </c>
      <c r="H9" s="42">
        <f>'תפוקה מצטברת מול אשתקד'!F73</f>
        <v>4.0234620632261464E-2</v>
      </c>
      <c r="I9" s="44">
        <f>'תפוקה מצטברת מול אשתקד'!G72</f>
        <v>0.66958989646048317</v>
      </c>
      <c r="J9" s="76">
        <f>'תפוקה מצטברת מול יעד מצטבר'!D72</f>
        <v>8.8453268266676544E-2</v>
      </c>
      <c r="K9" s="42">
        <f>'תפוקה מצטברת מול יעד מצטבר'!E72</f>
        <v>0.14149404170442725</v>
      </c>
      <c r="L9" s="42">
        <f>'תפוקה מצטברת מול יעד מצטבר'!F72</f>
        <v>0.41301619285409363</v>
      </c>
      <c r="M9" s="44">
        <f>'תפוקה מצטברת מול יעד מצטבר'!G72</f>
        <v>2.1641587337853774</v>
      </c>
    </row>
    <row r="10" spans="1:21" ht="15.75" thickBot="1" x14ac:dyDescent="0.3">
      <c r="A10" s="163" t="s">
        <v>117</v>
      </c>
      <c r="B10" s="155">
        <f>'תפוקה מצטברת מול אשתקד'!H63</f>
        <v>1704748.5074436283</v>
      </c>
      <c r="C10" s="154">
        <f>'תפוקה מצטברת מול אשתקד'!I63</f>
        <v>161671.96458453624</v>
      </c>
      <c r="D10" s="154">
        <f>'תפוקה מצטברת מול אשתקד'!J63</f>
        <v>7511033.6519312691</v>
      </c>
      <c r="E10" s="161">
        <f>'תפוקה מצטברת מול אשתקד'!K63</f>
        <v>4341341.8600000003</v>
      </c>
      <c r="F10" s="77">
        <f>'תפוקה מצטברת מול אשתקד'!D74</f>
        <v>0</v>
      </c>
      <c r="G10" s="40">
        <f>'תפוקה מצטברת מול אשתקד'!E74</f>
        <v>0</v>
      </c>
      <c r="H10" s="40">
        <f>'תפוקה מצטברת מול אשתקד'!F74</f>
        <v>0</v>
      </c>
      <c r="I10" s="72">
        <f>'תפוקה מצטברת מול אשתקד'!G73</f>
        <v>0.26116741390306242</v>
      </c>
      <c r="J10" s="77">
        <f>'תפוקה מצטברת מול יעד מצטבר'!D73</f>
        <v>-0.13666439634067251</v>
      </c>
      <c r="K10" s="40">
        <f>'תפוקה מצטברת מול יעד מצטבר'!E73</f>
        <v>-0.2258672291148579</v>
      </c>
      <c r="L10" s="40">
        <f>'תפוקה מצטברת מול יעד מצטבר'!F73</f>
        <v>-0.16358384669300885</v>
      </c>
      <c r="M10" s="72">
        <f>'תפוקה מצטברת מול יעד מצטבר'!G73</f>
        <v>7.8161078962278419E-2</v>
      </c>
    </row>
    <row r="11" spans="1:21" ht="42.75" thickBot="1" x14ac:dyDescent="0.3">
      <c r="A11" s="68" t="s">
        <v>61</v>
      </c>
      <c r="B11" s="71">
        <f>SUM(B6:B10)</f>
        <v>15351099.869007051</v>
      </c>
      <c r="C11" s="71">
        <f t="shared" ref="C11:E11" si="0">SUM(C6:C10)</f>
        <v>2485647.4313796856</v>
      </c>
      <c r="D11" s="71">
        <f t="shared" si="0"/>
        <v>60377536.442618459</v>
      </c>
      <c r="E11" s="71">
        <f t="shared" si="0"/>
        <v>75736718.784999996</v>
      </c>
      <c r="F11" s="80">
        <f>'תפוקה מצטברת מול אשתקד'!D73</f>
        <v>0.24915819338197021</v>
      </c>
      <c r="G11" s="38">
        <f>'תפוקה מצטברת מול אשתקד'!E73</f>
        <v>0.22273910347530301</v>
      </c>
      <c r="H11" s="39">
        <f>'תפוקה מצטברת מול אשתקד'!F73</f>
        <v>4.0234620632261464E-2</v>
      </c>
      <c r="I11" s="164">
        <f>'תפוקה מצטברת מול יעד מצטבר'!D72</f>
        <v>8.8453268266676544E-2</v>
      </c>
      <c r="J11" s="165">
        <f>'תפוקה מצטברת מול יעד מצטבר'!D73</f>
        <v>-0.13666439634067251</v>
      </c>
      <c r="K11" s="165">
        <f>'תפוקה מצטברת מול יעד מצטבר'!E73</f>
        <v>-0.2258672291148579</v>
      </c>
      <c r="L11" s="165">
        <f>'תפוקה מצטברת מול יעד מצטבר'!F73</f>
        <v>-0.16358384669300885</v>
      </c>
      <c r="M11" s="164">
        <f>'תפוקה מצטברת מול יעד מצטבר'!G73</f>
        <v>7.8161078962278419E-2</v>
      </c>
    </row>
    <row r="12" spans="1:21" ht="18.75" x14ac:dyDescent="0.25">
      <c r="A12" s="34"/>
      <c r="B12" s="34"/>
      <c r="C12" s="34"/>
      <c r="D12" s="34"/>
      <c r="E12" s="34"/>
      <c r="F12" s="33"/>
      <c r="G12" s="33"/>
      <c r="H12" s="33"/>
      <c r="I12" s="33"/>
      <c r="J12" s="33"/>
      <c r="K12" s="33"/>
      <c r="L12" s="33"/>
      <c r="M12" s="33"/>
    </row>
    <row r="13" spans="1:21" ht="19.5" thickBot="1" x14ac:dyDescent="0.3">
      <c r="A13" s="34"/>
      <c r="B13" s="34"/>
      <c r="C13" s="34"/>
      <c r="D13" s="34"/>
      <c r="E13" s="34"/>
      <c r="F13" s="33"/>
      <c r="G13" s="33"/>
      <c r="H13" s="33"/>
      <c r="I13" s="33"/>
      <c r="J13" s="33"/>
      <c r="K13" s="33"/>
      <c r="L13" s="33"/>
      <c r="M13" s="33"/>
    </row>
    <row r="14" spans="1:21" ht="32.25" thickBot="1" x14ac:dyDescent="0.3">
      <c r="A14" s="50" t="s">
        <v>79</v>
      </c>
      <c r="B14" s="52"/>
      <c r="C14" s="52"/>
      <c r="D14"/>
      <c r="E14"/>
      <c r="F14"/>
      <c r="G14"/>
      <c r="H14" s="53"/>
      <c r="I14" s="53"/>
      <c r="J14" s="53"/>
      <c r="K14" s="54"/>
      <c r="L14" s="54"/>
      <c r="M14" s="48"/>
      <c r="N14" s="64"/>
      <c r="O14" s="52"/>
      <c r="P14"/>
      <c r="Q14"/>
      <c r="R14"/>
      <c r="S14"/>
      <c r="T14"/>
      <c r="U14"/>
    </row>
    <row r="15" spans="1:21" ht="24" customHeight="1" thickBot="1" x14ac:dyDescent="0.25">
      <c r="A15" s="207" t="s">
        <v>54</v>
      </c>
      <c r="B15" s="204" t="s">
        <v>123</v>
      </c>
      <c r="C15" s="205"/>
      <c r="D15" s="205"/>
      <c r="E15" s="206"/>
      <c r="F15" s="209" t="s">
        <v>52</v>
      </c>
      <c r="G15" s="210"/>
      <c r="H15" s="210"/>
      <c r="I15" s="211"/>
      <c r="J15" s="215" t="s">
        <v>73</v>
      </c>
      <c r="K15" s="216"/>
      <c r="L15" s="216"/>
      <c r="M15" s="217"/>
      <c r="N15" s="218" t="s">
        <v>122</v>
      </c>
      <c r="O15" s="219"/>
      <c r="P15" s="219"/>
      <c r="Q15" s="220"/>
      <c r="R15" s="212" t="s">
        <v>76</v>
      </c>
      <c r="S15" s="213"/>
      <c r="T15" s="213"/>
      <c r="U15" s="214"/>
    </row>
    <row r="16" spans="1:21" ht="16.5" customHeight="1" thickBot="1" x14ac:dyDescent="0.25">
      <c r="A16" s="208"/>
      <c r="B16" s="69" t="s">
        <v>46</v>
      </c>
      <c r="C16" s="36" t="s">
        <v>47</v>
      </c>
      <c r="D16" s="36" t="s">
        <v>48</v>
      </c>
      <c r="E16" s="159" t="s">
        <v>49</v>
      </c>
      <c r="F16" s="79" t="s">
        <v>46</v>
      </c>
      <c r="G16" s="37" t="s">
        <v>50</v>
      </c>
      <c r="H16" s="75" t="s">
        <v>51</v>
      </c>
      <c r="I16" s="70" t="s">
        <v>89</v>
      </c>
      <c r="J16" s="111" t="s">
        <v>46</v>
      </c>
      <c r="K16" s="112" t="s">
        <v>50</v>
      </c>
      <c r="L16" s="112" t="s">
        <v>51</v>
      </c>
      <c r="M16" s="180" t="s">
        <v>49</v>
      </c>
      <c r="N16" s="170" t="s">
        <v>46</v>
      </c>
      <c r="O16" s="171" t="s">
        <v>50</v>
      </c>
      <c r="P16" s="171" t="s">
        <v>48</v>
      </c>
      <c r="Q16" s="172" t="s">
        <v>89</v>
      </c>
      <c r="R16" s="67" t="s">
        <v>46</v>
      </c>
      <c r="S16" s="67" t="s">
        <v>50</v>
      </c>
      <c r="T16" s="134" t="s">
        <v>48</v>
      </c>
      <c r="U16" s="135" t="s">
        <v>89</v>
      </c>
    </row>
    <row r="17" spans="1:21" ht="21.75" customHeight="1" x14ac:dyDescent="0.25">
      <c r="A17" s="167" t="s">
        <v>56</v>
      </c>
      <c r="B17" s="47">
        <f>SUMIF('תפוקה מצטברת מול אשתקד'!B:B,'דוח הנהלה'!A17,'תפוקה מצטברת מול אשתקד'!H:H)</f>
        <v>6692818.0956145739</v>
      </c>
      <c r="C17" s="47">
        <f>SUMIF('תפוקה מצטברת מול אשתקד'!B:B,'דוח הנהלה'!A17,'תפוקה מצטברת מול אשתקד'!I:I)</f>
        <v>1080538.8703099983</v>
      </c>
      <c r="D17" s="47">
        <f>SUMIF('תפוקה מצטברת מול אשתקד'!B:B,'דוח הנהלה'!A17,'תפוקה מצטברת מול אשתקד'!J:J)</f>
        <v>27090781.542893719</v>
      </c>
      <c r="E17" s="47">
        <f>SUMIF('תפוקה מצטברת מול אשתקד'!B:B,'דוח הנהלה'!A17,'תפוקה מצטברת מול אשתקד'!K:K)</f>
        <v>32913766.410000004</v>
      </c>
      <c r="F17" s="76">
        <f>(B17-N17)/N17</f>
        <v>0.14121564707914305</v>
      </c>
      <c r="G17" s="42">
        <f>(C17-O17)/O17</f>
        <v>0.1366576976593068</v>
      </c>
      <c r="H17" s="42">
        <f>(D17-P17)/P17</f>
        <v>0.31432637547999109</v>
      </c>
      <c r="I17" s="44">
        <f>(E17-Q17)/Q17</f>
        <v>-2.1687342607883946E-2</v>
      </c>
      <c r="J17" s="76">
        <f>(B17-R17)/R17</f>
        <v>0.13538624973316493</v>
      </c>
      <c r="K17" s="42">
        <f>(C17-S17)/S17</f>
        <v>-1.1726357000440585E-2</v>
      </c>
      <c r="L17" s="42">
        <f>(D17-T17)/T17</f>
        <v>0.35224026868791647</v>
      </c>
      <c r="M17" s="44">
        <f>(E17-U17)/U17</f>
        <v>1.4126435919426488</v>
      </c>
      <c r="N17" s="65">
        <f>SUMIF('תפוקה מצטברת מול אשתקד'!B:B,'דוח הנהלה'!A17,'תפוקה מצטברת מול אשתקד'!L:L)</f>
        <v>5864639.2666840367</v>
      </c>
      <c r="O17" s="65">
        <f>SUMIF('תפוקה מצטברת מול אשתקד'!B:B,'דוח הנהלה'!A17,'תפוקה מצטברת מול אשתקד'!M:M)</f>
        <v>950628.20806574158</v>
      </c>
      <c r="P17" s="65">
        <f>SUMIF('תפוקה מצטברת מול אשתקד'!B:B,'דוח הנהלה'!A17,'תפוקה מצטברת מול אשתקד'!N:N)</f>
        <v>20611913.485339731</v>
      </c>
      <c r="Q17" s="65">
        <f>SUMIF('תפוקה מצטברת מול אשתקד'!B:B,'דוח הנהלה'!A17,'תפוקה מצטברת מול אשתקד'!O:O)</f>
        <v>33643402.404440001</v>
      </c>
      <c r="R17" s="65">
        <f>SUMIF('תפוקה מצטברת מול יעד מצטבר'!B:B,'דוח הנהלה'!A17,'תפוקה מצטברת מול יעד מצטבר'!H:K)</f>
        <v>5894750</v>
      </c>
      <c r="S17" s="65">
        <f>SUMIF('תפוקה מצטברת מול יעד מצטבר'!B:B,'דוח הנהלה'!A17,'תפוקה מצטברת מול יעד מצטבר'!I:I)</f>
        <v>1093360</v>
      </c>
      <c r="T17" s="65">
        <f>SUMIF('תפוקה מצטברת מול יעד מצטבר'!B:B,'דוח הנהלה'!A17,'תפוקה מצטברת מול יעד מצטבר'!J:J)</f>
        <v>20034000</v>
      </c>
      <c r="U17" s="65">
        <f>SUMIF('תפוקה מצטברת מול יעד מצטבר'!B:B,'דוח הנהלה'!A17,'תפוקה מצטברת מול יעד מצטבר'!K:K)</f>
        <v>13642200</v>
      </c>
    </row>
    <row r="18" spans="1:21" ht="15.75" x14ac:dyDescent="0.25">
      <c r="A18" s="167" t="s">
        <v>55</v>
      </c>
      <c r="B18" s="47">
        <f>SUMIF('תפוקה מצטברת מול אשתקד'!B:B,'דוח הנהלה'!A18,'תפוקה מצטברת מול אשתקד'!H:H)</f>
        <v>24383.77</v>
      </c>
      <c r="C18" s="47">
        <f>SUMIF('תפוקה מצטברת מול אשתקד'!B:B,'דוח הנהלה'!A18,'תפוקה מצטברת מול אשתקד'!I:I)</f>
        <v>8908.84</v>
      </c>
      <c r="D18" s="47">
        <f>SUMIF('תפוקה מצטברת מול אשתקד'!B:B,'דוח הנהלה'!A18,'תפוקה מצטברת מול אשתקד'!J:J)</f>
        <v>0</v>
      </c>
      <c r="E18" s="47">
        <f>SUMIF('תפוקה מצטברת מול אשתקד'!B:B,'דוח הנהלה'!A18,'תפוקה מצטברת מול אשתקד'!K:K)</f>
        <v>0</v>
      </c>
      <c r="F18" s="76">
        <f t="shared" ref="F18:F19" si="1">(B18-N18)/N18</f>
        <v>194.21071171243295</v>
      </c>
      <c r="G18" s="42">
        <f>(C18-O18)/O18</f>
        <v>9.2624189363942939</v>
      </c>
      <c r="H18" s="191">
        <v>0</v>
      </c>
      <c r="I18" s="44">
        <f>(E18-Q18)/Q18</f>
        <v>-1</v>
      </c>
      <c r="J18" s="76">
        <f t="shared" ref="J18:M21" si="2">(B18-R18)/R18</f>
        <v>-0.81127113003095974</v>
      </c>
      <c r="K18" s="42">
        <f t="shared" si="2"/>
        <v>-0.74251907514450866</v>
      </c>
      <c r="L18" s="42">
        <f t="shared" si="2"/>
        <v>-1</v>
      </c>
      <c r="M18" s="44">
        <f t="shared" si="2"/>
        <v>-1</v>
      </c>
      <c r="N18" s="65">
        <f>SUMIF('תפוקה מצטברת מול אשתקד'!B:B,'דוח הנהלה'!A18,'תפוקה מצטברת מול אשתקד'!L:L)</f>
        <v>124.91</v>
      </c>
      <c r="O18" s="65">
        <f>SUMIF('תפוקה מצטברת מול אשתקד'!B:B,'דוח הנהלה'!A18,'תפוקה מצטברת מול אשתקד'!M:M)</f>
        <v>868.10332488045208</v>
      </c>
      <c r="P18" s="65">
        <f>SUMIF('תפוקה מצטברת מול אשתקד'!B:B,'דוח הנהלה'!A18,'תפוקה מצטברת מול אשתקד'!N:N)</f>
        <v>0</v>
      </c>
      <c r="Q18" s="65">
        <f>SUMIF('תפוקה מצטברת מול אשתקד'!B:B,'דוח הנהלה'!A18,'תפוקה מצטברת מול אשתקד'!O:O)</f>
        <v>-18603.099999999999</v>
      </c>
      <c r="R18" s="65">
        <f>SUMIF('תפוקה מצטברת מול יעד מצטבר'!B:B,'דוח הנהלה'!A18,'תפוקה מצטברת מול יעד מצטבר'!H:H)</f>
        <v>129200</v>
      </c>
      <c r="S18" s="65">
        <f>SUMIF('תפוקה מצטברת מול יעד מצטבר'!B:B,'דוח הנהלה'!A18,'תפוקה מצטברת מול יעד מצטבר'!I:I)</f>
        <v>34600</v>
      </c>
      <c r="T18" s="65">
        <f>SUMIF('תפוקה מצטברת מול יעד מצטבר'!B:B,'דוח הנהלה'!A18,'תפוקה מצטברת מול יעד מצטבר'!J:J)</f>
        <v>318000</v>
      </c>
      <c r="U18" s="65">
        <f>SUMIF('תפוקה מצטברת מול יעד מצטבר'!B:B,'דוח הנהלה'!A18,'תפוקה מצטברת מול יעד מצטבר'!K:K)</f>
        <v>318000</v>
      </c>
    </row>
    <row r="19" spans="1:21" ht="15.75" x14ac:dyDescent="0.25">
      <c r="A19" s="167" t="s">
        <v>108</v>
      </c>
      <c r="B19" s="47">
        <f>SUMIF('תפוקה מצטברת מול אשתקד'!B:B,'דוח הנהלה'!A19,'תפוקה מצטברת מול אשתקד'!H:H)</f>
        <v>6929149.4959488483</v>
      </c>
      <c r="C19" s="47">
        <f>SUMIF('תפוקה מצטברת מול אשתקד'!B:B,'דוח הנהלה'!A19,'תפוקה מצטברת מול אשתקד'!I:I)</f>
        <v>1234527.7564851511</v>
      </c>
      <c r="D19" s="47">
        <f>SUMIF('תפוקה מצטברת מול אשתקד'!B:B,'דוח הנהלה'!A19,'תפוקה מצטברת מול אשתקד'!J:J)</f>
        <v>25775721.24779347</v>
      </c>
      <c r="E19" s="47">
        <f>SUMIF('תפוקה מצטברת מול אשתקד'!B:B,'דוח הנהלה'!A19,'תפוקה מצטברת מול אשתקד'!K:K)</f>
        <v>38481610.514999993</v>
      </c>
      <c r="F19" s="76">
        <f t="shared" si="1"/>
        <v>0.38940087569709259</v>
      </c>
      <c r="G19" s="42">
        <f>(C19-O19)/O19</f>
        <v>0.28289676018621046</v>
      </c>
      <c r="H19" s="42">
        <f>(D19-P19)/P19</f>
        <v>-0.16458955912779177</v>
      </c>
      <c r="I19" s="44">
        <f>(E19-Q19)/Q19</f>
        <v>0.57197969516894798</v>
      </c>
      <c r="J19" s="76">
        <f t="shared" si="2"/>
        <v>-0.25512238820639316</v>
      </c>
      <c r="K19" s="42">
        <f t="shared" si="2"/>
        <v>-0.27183687832655956</v>
      </c>
      <c r="L19" s="42">
        <f t="shared" si="2"/>
        <v>-0.42103052004057795</v>
      </c>
      <c r="M19" s="44">
        <f t="shared" si="2"/>
        <v>-0.2292270457276771</v>
      </c>
      <c r="N19" s="65">
        <f>SUMIF('תפוקה מצטברת מול אשתקד'!B:B,'דוח הנהלה'!A19,'תפוקה מצטברת מול אשתקד'!L:L)</f>
        <v>4987149.221762469</v>
      </c>
      <c r="O19" s="65">
        <f>SUMIF('תפוקה מצטברת מול אשתקד'!B:B,'דוח הנהלה'!A19,'תפוקה מצטברת מול אשתקד'!M:M)</f>
        <v>962297.04119446164</v>
      </c>
      <c r="P19" s="65">
        <f>SUMIF('תפוקה מצטברת מול אשתקד'!B:B,'דוח הנהלה'!A19,'תפוקה מצטברת מול אשתקד'!N:N)</f>
        <v>30853961.103098486</v>
      </c>
      <c r="Q19" s="65">
        <f>SUMIF('תפוקה מצטברת מול אשתקד'!B:B,'דוח הנהלה'!A19,'תפוקה מצטברת מול אשתקד'!O:O)</f>
        <v>24479712.195560005</v>
      </c>
      <c r="R19" s="65">
        <f>SUMIF('תפוקה מצטברת מול יעד מצטבר'!B:B,'דוח הנהלה'!A19,'תפוקה מצטברת מול יעד מצטבר'!H:H)</f>
        <v>9302400</v>
      </c>
      <c r="S19" s="65">
        <f>SUMIF('תפוקה מצטברת מול יעד מצטבר'!B:B,'דוח הנהלה'!A19,'תפוקה מצטברת מול יעד מצטבר'!I:I)</f>
        <v>1695400.0000000002</v>
      </c>
      <c r="T19" s="65">
        <f>SUMIF('תפוקה מצטברת מול יעד מצטבר'!B:B,'דוח הנהלה'!A19,'תפוקה מצטברת מול יעד מצטבר'!J:J)</f>
        <v>44520000</v>
      </c>
      <c r="U19" s="65">
        <f>SUMIF('תפוקה מצטברת מול יעד מצטבר'!B:B,'דוח הנהלה'!A19,'תפוקה מצטברת מול יעד מצטבר'!K:K)</f>
        <v>49926000</v>
      </c>
    </row>
    <row r="20" spans="1:21" ht="16.5" thickBot="1" x14ac:dyDescent="0.3">
      <c r="A20" s="167" t="s">
        <v>115</v>
      </c>
      <c r="B20" s="47">
        <f>SUMIF('תפוקה מצטברת מול אשתקד'!B:B,'דוח הנהלה'!A20,'תפוקה מצטברת מול אשתקד'!H:H)</f>
        <v>1704748.5074436283</v>
      </c>
      <c r="C20" s="47">
        <f>SUMIF('תפוקה מצטברת מול אשתקד'!B:B,'דוח הנהלה'!A20,'תפוקה מצטברת מול אשתקד'!I:I)</f>
        <v>161671.96458453624</v>
      </c>
      <c r="D20" s="47">
        <f>SUMIF('תפוקה מצטברת מול אשתקד'!B:B,'דוח הנהלה'!A20,'תפוקה מצטברת מול אשתקד'!J:J)</f>
        <v>7511033.6519312691</v>
      </c>
      <c r="E20" s="47">
        <f>SUMIF('תפוקה מצטברת מול אשתקד'!B:B,'דוח הנהלה'!A20,'תפוקה מצטברת מול אשתקד'!K:K)</f>
        <v>4341341.8600000003</v>
      </c>
      <c r="F20" s="76">
        <f t="shared" ref="F20" si="3">(B20-N20)/N20</f>
        <v>0.18612441756071463</v>
      </c>
      <c r="G20" s="42">
        <f>(C20-O20)/O20</f>
        <v>0.3579205783919534</v>
      </c>
      <c r="H20" s="42">
        <f>(D20-P20)/P20</f>
        <v>0.14212719794009143</v>
      </c>
      <c r="I20" s="44">
        <f>(E20-Q20)/Q20</f>
        <v>1.2282084507326119</v>
      </c>
      <c r="J20" s="76">
        <f t="shared" si="2"/>
        <v>-0.30554484787207581</v>
      </c>
      <c r="K20" s="42">
        <f t="shared" si="2"/>
        <v>-0.5828035595981208</v>
      </c>
      <c r="L20" s="42">
        <f t="shared" si="2"/>
        <v>2.6939246914310787E-2</v>
      </c>
      <c r="M20" s="44">
        <f t="shared" si="2"/>
        <v>-0.31739907861635214</v>
      </c>
      <c r="N20" s="65">
        <f>SUMIF('תפוקה מצטברת מול אשתקד'!B:B,'דוח הנהלה'!A20,'תפוקה מצטברת מול אשתקד'!L:L)</f>
        <v>1437242.5710192132</v>
      </c>
      <c r="O20" s="65">
        <f>SUMIF('תפוקה מצטברת מול אשתקד'!B:B,'דוח הנהלה'!A20,'תפוקה מצטברת מול אשתקד'!M:M)</f>
        <v>119058.48335842132</v>
      </c>
      <c r="P20" s="65">
        <f>SUMIF('תפוקה מצטברת מול אשתקד'!B:B,'דוח הנהלה'!A20,'תפוקה מצטברת מול אשתקד'!N:N)</f>
        <v>6576354.7750880625</v>
      </c>
      <c r="Q20" s="65">
        <f>SUMIF('תפוקה מצטברת מול אשתקד'!B:B,'דוח הנהלה'!A20,'תפוקה מצטברת מול אשתקד'!O:O)</f>
        <v>1948355.3518400004</v>
      </c>
      <c r="R20" s="65">
        <f>SUMIF('תפוקה מצטברת מול יעד מצטבר'!B:B,'דוח הנהלה'!A20,'תפוקה מצטברת מול יעד מצטבר'!H:H)</f>
        <v>2454800</v>
      </c>
      <c r="S20" s="65">
        <f>SUMIF('תפוקה מצטברת מול יעד מצטבר'!B:B,'דוח הנהלה'!A20,'תפוקה מצטברת מול יעד מצטבר'!I:I)</f>
        <v>387520</v>
      </c>
      <c r="T20" s="65">
        <f>SUMIF('תפוקה מצטברת מול יעד מצטבר'!B:B,'דוח הנהלה'!A20,'תפוקה מצטברת מול יעד מצטבר'!J:J)</f>
        <v>7314000</v>
      </c>
      <c r="U20" s="65">
        <f>SUMIF('תפוקה מצטברת מול יעד מצטבר'!B:B,'דוח הנהלה'!A20,'תפוקה מצטברת מול יעד מצטבר'!K:K)</f>
        <v>6360000</v>
      </c>
    </row>
    <row r="21" spans="1:21" ht="21.75" thickBot="1" x14ac:dyDescent="0.25">
      <c r="A21" s="168"/>
      <c r="B21" s="71">
        <f>SUM(B17:B20)</f>
        <v>15351099.869007051</v>
      </c>
      <c r="C21" s="71">
        <f>SUM(C17:C20)</f>
        <v>2485647.4313796856</v>
      </c>
      <c r="D21" s="71">
        <f>SUM(D17:D20)</f>
        <v>60377536.442618459</v>
      </c>
      <c r="E21" s="71">
        <f>SUM(E17:E20)</f>
        <v>75736718.784999996</v>
      </c>
      <c r="F21" s="156">
        <f>(B21-N21)/N21</f>
        <v>0.24915819338197007</v>
      </c>
      <c r="G21" s="113">
        <f>(C21-O21)/O21</f>
        <v>0.22273910347530321</v>
      </c>
      <c r="H21" s="114">
        <f>(D21-P21)/P21</f>
        <v>4.0234620632261388E-2</v>
      </c>
      <c r="I21" s="162">
        <f>(B21-R21)/R21</f>
        <v>-0.13666439634067251</v>
      </c>
      <c r="J21" s="81">
        <f t="shared" si="2"/>
        <v>-0.13666439634067251</v>
      </c>
      <c r="K21" s="82">
        <f t="shared" si="2"/>
        <v>-0.22586722911485771</v>
      </c>
      <c r="L21" s="83">
        <f t="shared" si="2"/>
        <v>-0.16358384669300891</v>
      </c>
      <c r="M21" s="136">
        <f t="shared" si="2"/>
        <v>7.8161078962278335E-2</v>
      </c>
      <c r="N21" s="169">
        <f>SUM(N17:N20)</f>
        <v>12289155.96946572</v>
      </c>
      <c r="O21" s="169">
        <f>SUM(O17:O20)</f>
        <v>2032851.8359435052</v>
      </c>
      <c r="P21" s="169">
        <f>SUM(P17:P20)</f>
        <v>58042229.363526277</v>
      </c>
      <c r="Q21" s="169">
        <f>SUM(Q17:Q20)</f>
        <v>60052866.851839997</v>
      </c>
      <c r="R21" s="157">
        <f t="shared" ref="R21:T21" si="4">SUM(R17:R20)</f>
        <v>17781150</v>
      </c>
      <c r="S21" s="157">
        <f t="shared" si="4"/>
        <v>3210880</v>
      </c>
      <c r="T21" s="157">
        <f t="shared" si="4"/>
        <v>72186000</v>
      </c>
      <c r="U21" s="157">
        <f>SUM(U17:U20)</f>
        <v>70246200</v>
      </c>
    </row>
    <row r="22" spans="1:21" x14ac:dyDescent="0.25">
      <c r="N22" s="66"/>
      <c r="O22" s="66"/>
      <c r="P22" s="66"/>
      <c r="Q22" s="66"/>
      <c r="R22" s="66"/>
      <c r="S22" s="66"/>
      <c r="T22" s="66"/>
      <c r="U22" s="66"/>
    </row>
    <row r="23" spans="1:21" x14ac:dyDescent="0.25">
      <c r="N23" s="66"/>
      <c r="O23" s="66"/>
      <c r="P23" s="66"/>
      <c r="Q23" s="66"/>
      <c r="R23" s="66"/>
      <c r="S23" s="66"/>
      <c r="T23" s="66"/>
      <c r="U23" s="66"/>
    </row>
    <row r="24" spans="1:21" ht="15.75" thickBot="1" x14ac:dyDescent="0.3">
      <c r="N24" s="66"/>
      <c r="O24" s="66"/>
      <c r="P24" s="66"/>
      <c r="Q24" s="66"/>
      <c r="R24" s="66"/>
      <c r="S24" s="66"/>
      <c r="T24" s="66"/>
      <c r="U24" s="66"/>
    </row>
    <row r="25" spans="1:21" ht="32.25" thickBot="1" x14ac:dyDescent="0.3">
      <c r="A25" s="125" t="s">
        <v>80</v>
      </c>
      <c r="B25" s="52"/>
      <c r="C25" s="52"/>
      <c r="D25"/>
      <c r="E25"/>
      <c r="F25"/>
      <c r="G25"/>
      <c r="H25" s="53"/>
      <c r="I25" s="53"/>
      <c r="J25" s="53"/>
      <c r="K25" s="54"/>
      <c r="L25" s="54"/>
      <c r="M25" s="48"/>
      <c r="N25" s="48"/>
      <c r="O25" s="49"/>
      <c r="P25"/>
      <c r="Q25"/>
      <c r="R25" s="192" t="s">
        <v>129</v>
      </c>
      <c r="S25" s="48"/>
      <c r="T25" s="48"/>
      <c r="U25" s="49"/>
    </row>
    <row r="26" spans="1:21" ht="21.6" customHeight="1" thickBot="1" x14ac:dyDescent="0.3">
      <c r="A26" s="202" t="s">
        <v>57</v>
      </c>
      <c r="B26" s="204" t="s">
        <v>123</v>
      </c>
      <c r="C26" s="205"/>
      <c r="D26" s="205"/>
      <c r="E26" s="206"/>
      <c r="F26" s="209" t="s">
        <v>52</v>
      </c>
      <c r="G26" s="210"/>
      <c r="H26" s="210"/>
      <c r="I26" s="211"/>
      <c r="R26" s="193" t="s">
        <v>130</v>
      </c>
      <c r="S26" s="194" t="s">
        <v>131</v>
      </c>
      <c r="T26" s="194" t="s">
        <v>132</v>
      </c>
      <c r="U26" s="194" t="s">
        <v>135</v>
      </c>
    </row>
    <row r="27" spans="1:21" ht="16.5" thickBot="1" x14ac:dyDescent="0.3">
      <c r="A27" s="203"/>
      <c r="B27" s="69" t="s">
        <v>46</v>
      </c>
      <c r="C27" s="36" t="s">
        <v>47</v>
      </c>
      <c r="D27" s="36" t="s">
        <v>48</v>
      </c>
      <c r="E27" s="78" t="s">
        <v>49</v>
      </c>
      <c r="F27" s="73" t="s">
        <v>46</v>
      </c>
      <c r="G27" s="73" t="s">
        <v>50</v>
      </c>
      <c r="H27" s="73" t="s">
        <v>51</v>
      </c>
      <c r="I27" s="73" t="s">
        <v>49</v>
      </c>
      <c r="R27" s="195" t="s">
        <v>18</v>
      </c>
      <c r="S27" s="19">
        <v>1.1373230222692525</v>
      </c>
      <c r="T27" s="20">
        <v>78835.466000475804</v>
      </c>
      <c r="U27" s="21">
        <v>148152.1548011463</v>
      </c>
    </row>
    <row r="28" spans="1:21" x14ac:dyDescent="0.25">
      <c r="A28" s="55" t="s">
        <v>63</v>
      </c>
      <c r="B28" s="46">
        <f>מנורה!D73</f>
        <v>2617873.1383070499</v>
      </c>
      <c r="C28" s="46">
        <f>מנורה!E73</f>
        <v>616397.56226968544</v>
      </c>
      <c r="D28" s="46">
        <f>מנורה!F73</f>
        <v>2852204.6682384587</v>
      </c>
      <c r="E28" s="46">
        <f>מנורה!G73</f>
        <v>1849352.3650000002</v>
      </c>
      <c r="F28" s="41">
        <f>מנורה!D73/מנורה!H73-1</f>
        <v>0.29224757521622546</v>
      </c>
      <c r="G28" s="41">
        <f>מנורה!E73/מנורה!I73-1</f>
        <v>0.79163243237367165</v>
      </c>
      <c r="H28" s="41">
        <f>מנורה!F73/מנורה!J73-1</f>
        <v>-0.54792040232631822</v>
      </c>
      <c r="I28" s="41">
        <f>מנורה!G73/מנורה!K73-1</f>
        <v>-0.76027044230992469</v>
      </c>
      <c r="R28" s="196" t="s">
        <v>19</v>
      </c>
      <c r="S28" s="19">
        <v>2.4472946956146755</v>
      </c>
      <c r="T28" s="20">
        <v>70836.193510385347</v>
      </c>
      <c r="U28" s="21">
        <v>99780.886455340951</v>
      </c>
    </row>
    <row r="29" spans="1:21" x14ac:dyDescent="0.25">
      <c r="A29" s="56" t="s">
        <v>64</v>
      </c>
      <c r="B29" s="47">
        <f>מגדל!D73</f>
        <v>7895532.8300000001</v>
      </c>
      <c r="C29" s="47">
        <f>מגדל!E73</f>
        <v>462425.51</v>
      </c>
      <c r="D29" s="47">
        <f>מגדל!F73</f>
        <v>26405808.489999998</v>
      </c>
      <c r="E29" s="47">
        <f>מגדל!G73</f>
        <v>62528137.869999997</v>
      </c>
      <c r="F29" s="42">
        <f>מגדל!D73/מגדל!H73-1</f>
        <v>0.66330596484697746</v>
      </c>
      <c r="G29" s="42">
        <f>מגדל!E73/מגדל!I73-1</f>
        <v>0.4049664769610819</v>
      </c>
      <c r="H29" s="42">
        <f>מגדל!F73/מגדל!J73-1</f>
        <v>0.65838478292869462</v>
      </c>
      <c r="I29" s="41">
        <f>מגדל!G73/מגדל!K73-1</f>
        <v>2.2262939777874919</v>
      </c>
      <c r="R29" s="197" t="s">
        <v>35</v>
      </c>
      <c r="S29" s="19">
        <v>1.4313468170478707</v>
      </c>
      <c r="T29" s="20">
        <v>98727.871687605686</v>
      </c>
      <c r="U29" s="21">
        <v>167703.37819079566</v>
      </c>
    </row>
    <row r="30" spans="1:21" x14ac:dyDescent="0.25">
      <c r="A30" s="56" t="s">
        <v>65</v>
      </c>
      <c r="B30" s="47">
        <f>כלל!D73</f>
        <v>2378264.64</v>
      </c>
      <c r="C30" s="47">
        <f>כלל!E73</f>
        <v>830227.72600000002</v>
      </c>
      <c r="D30" s="47">
        <f>כלל!F73</f>
        <v>7758921.9500000011</v>
      </c>
      <c r="E30" s="47">
        <f>כלל!G73</f>
        <v>8637709.5499999989</v>
      </c>
      <c r="F30" s="42">
        <f>כלל!D73/כלל!H73-1</f>
        <v>-0.35629390227199276</v>
      </c>
      <c r="G30" s="42">
        <f>כלל!E73/כלל!I73-1</f>
        <v>1.7793654812715016</v>
      </c>
      <c r="H30" s="42">
        <f>כלל!F73/כלל!J73-1</f>
        <v>6.4033313192653818E-2</v>
      </c>
      <c r="I30" s="41">
        <f>כלל!G73/כלל!K73-1</f>
        <v>-0.68277304203737754</v>
      </c>
      <c r="R30" s="196" t="s">
        <v>29</v>
      </c>
      <c r="S30" s="19">
        <v>0.43313709034702752</v>
      </c>
      <c r="T30" s="20">
        <v>84927.638182432303</v>
      </c>
      <c r="U30" s="21">
        <v>281003.29200000002</v>
      </c>
    </row>
    <row r="31" spans="1:21" x14ac:dyDescent="0.25">
      <c r="A31" s="56" t="s">
        <v>66</v>
      </c>
      <c r="B31" s="47">
        <f>'אלטשולר שחם'!D73</f>
        <v>0</v>
      </c>
      <c r="C31" s="47">
        <f>'אלטשולר שחם'!E73</f>
        <v>0</v>
      </c>
      <c r="D31" s="47">
        <f>'אלטשולר שחם'!F73</f>
        <v>206323</v>
      </c>
      <c r="E31" s="47">
        <f>'אלטשולר שחם'!G73</f>
        <v>0</v>
      </c>
      <c r="F31" s="42" t="e">
        <f>'אלטשולר שחם'!D73/'אלטשולר שחם'!H73-1</f>
        <v>#DIV/0!</v>
      </c>
      <c r="G31" s="42">
        <v>0</v>
      </c>
      <c r="H31" s="42">
        <f>'אלטשולר שחם'!F73/'אלטשולר שחם'!J73-1</f>
        <v>1.3674469305794608</v>
      </c>
      <c r="I31" s="41">
        <v>0</v>
      </c>
      <c r="R31" s="197" t="s">
        <v>12</v>
      </c>
      <c r="S31" s="19">
        <v>1.8176875422753187</v>
      </c>
      <c r="T31" s="20">
        <v>358872.86338256969</v>
      </c>
      <c r="U31" s="21">
        <v>556306.61095248756</v>
      </c>
    </row>
    <row r="32" spans="1:21" x14ac:dyDescent="0.25">
      <c r="A32" s="56" t="s">
        <v>67</v>
      </c>
      <c r="B32" s="47">
        <f>מור!D73</f>
        <v>0</v>
      </c>
      <c r="C32" s="47">
        <f>מור!E73</f>
        <v>0</v>
      </c>
      <c r="D32" s="47">
        <f>מור!F73</f>
        <v>1268094.08</v>
      </c>
      <c r="E32" s="47">
        <f>מור!G73</f>
        <v>0</v>
      </c>
      <c r="F32" s="42">
        <v>0</v>
      </c>
      <c r="G32" s="42">
        <v>0</v>
      </c>
      <c r="H32" s="42">
        <f>מור!F73/מור!J73-1</f>
        <v>-0.5666120299991726</v>
      </c>
      <c r="I32" s="41">
        <v>0</v>
      </c>
      <c r="R32"/>
      <c r="S32"/>
      <c r="T32"/>
      <c r="U32"/>
    </row>
    <row r="33" spans="1:21" x14ac:dyDescent="0.25">
      <c r="A33" s="56" t="s">
        <v>68</v>
      </c>
      <c r="B33" s="47">
        <f>הראל!D73</f>
        <v>1045368</v>
      </c>
      <c r="C33" s="47">
        <f>הראל!E73</f>
        <v>235759</v>
      </c>
      <c r="D33" s="47">
        <f>הראל!F73</f>
        <v>1742433</v>
      </c>
      <c r="E33" s="47">
        <f>הראל!G73</f>
        <v>-1187375</v>
      </c>
      <c r="F33" s="42">
        <f>הראל!D73/הראל!H73-1</f>
        <v>-0.27296924303075931</v>
      </c>
      <c r="G33" s="42">
        <f>הראל!E73/הראל!I73-1</f>
        <v>-0.48974283037005761</v>
      </c>
      <c r="H33" s="42">
        <f>הראל!F73/הראל!J73-1</f>
        <v>-0.59202400380799536</v>
      </c>
      <c r="I33" s="41">
        <f>הראל!G73/הראל!K73-1</f>
        <v>-1.5346582830970026</v>
      </c>
      <c r="U33" s="32"/>
    </row>
    <row r="34" spans="1:21" x14ac:dyDescent="0.25">
      <c r="A34" s="56" t="s">
        <v>69</v>
      </c>
      <c r="B34" s="47">
        <f>הפניקס!D73</f>
        <v>1412831.2607</v>
      </c>
      <c r="C34" s="47">
        <f>הפניקס!E73</f>
        <v>132415.92310999997</v>
      </c>
      <c r="D34" s="47">
        <f>הפניקס!F73</f>
        <v>8650364.1543800011</v>
      </c>
      <c r="E34" s="47">
        <f>הפניקס!G73</f>
        <v>3908894</v>
      </c>
      <c r="F34" s="42">
        <f>הפניקס!D73/הפניקס!H73-1</f>
        <v>2.68930369469218</v>
      </c>
      <c r="G34" s="42">
        <f>הפניקס!E73/הפניקס!I73-1</f>
        <v>-0.52404770286858249</v>
      </c>
      <c r="H34" s="42">
        <f>הפניקס!F73/הפניקס!J73-1</f>
        <v>0.68190542387804642</v>
      </c>
      <c r="I34" s="41">
        <f>הפניקס!G73/הפניקס!K73-1</f>
        <v>0.11423736949614804</v>
      </c>
      <c r="U34" s="32"/>
    </row>
    <row r="35" spans="1:21" ht="15.75" thickBot="1" x14ac:dyDescent="0.3">
      <c r="A35" s="56" t="s">
        <v>70</v>
      </c>
      <c r="B35" s="47">
        <f>איילון!D73</f>
        <v>1230</v>
      </c>
      <c r="C35" s="47">
        <f>איילון!E73</f>
        <v>195412.71000000002</v>
      </c>
      <c r="D35" s="47">
        <f>איילון!F73</f>
        <v>0</v>
      </c>
      <c r="E35" s="47">
        <f>איילון!G73</f>
        <v>0</v>
      </c>
      <c r="F35" s="42">
        <v>1</v>
      </c>
      <c r="G35" s="42">
        <f>איילון!E73/איילון!I73-1</f>
        <v>-0.38303974165380317</v>
      </c>
      <c r="H35" s="42">
        <v>0</v>
      </c>
      <c r="I35" s="41">
        <v>0</v>
      </c>
      <c r="U35" s="32"/>
    </row>
    <row r="36" spans="1:21" ht="16.5" thickBot="1" x14ac:dyDescent="0.3">
      <c r="A36" s="144" t="s">
        <v>71</v>
      </c>
      <c r="B36" s="43">
        <f>הכשרה!D73</f>
        <v>0</v>
      </c>
      <c r="C36" s="43">
        <f>הכשרה!E73</f>
        <v>1952</v>
      </c>
      <c r="D36" s="43">
        <f>הכשרה!F73</f>
        <v>0</v>
      </c>
      <c r="E36" s="43">
        <f>הכשרה!G73</f>
        <v>0</v>
      </c>
      <c r="F36" s="42">
        <v>0</v>
      </c>
      <c r="G36" s="42">
        <f>הכשרה!E73/הכשרה!I73-1</f>
        <v>-0.35385633896060908</v>
      </c>
      <c r="H36" s="42">
        <v>1</v>
      </c>
      <c r="I36" s="42">
        <v>0</v>
      </c>
      <c r="R36" s="198" t="s">
        <v>133</v>
      </c>
      <c r="S36" s="48"/>
      <c r="T36" s="48"/>
      <c r="U36" s="49"/>
    </row>
    <row r="37" spans="1:21" ht="32.25" thickBot="1" x14ac:dyDescent="0.3">
      <c r="A37" s="144" t="s">
        <v>110</v>
      </c>
      <c r="B37" s="43">
        <f>'מדיהו '!D73</f>
        <v>0</v>
      </c>
      <c r="C37" s="43">
        <f>'מדיהו '!E73</f>
        <v>11057</v>
      </c>
      <c r="D37" s="43">
        <f>'מדיהו '!F73</f>
        <v>0</v>
      </c>
      <c r="E37" s="45">
        <f>'מדיהו '!G73</f>
        <v>0</v>
      </c>
      <c r="F37" s="42">
        <v>0</v>
      </c>
      <c r="G37" s="42">
        <f>'מדיהו '!E73/'מדיהו '!I73-1</f>
        <v>10.590146750524109</v>
      </c>
      <c r="H37" s="42" t="s">
        <v>114</v>
      </c>
      <c r="I37" s="42">
        <v>0</v>
      </c>
      <c r="R37" s="199" t="s">
        <v>130</v>
      </c>
      <c r="S37" s="200" t="s">
        <v>131</v>
      </c>
      <c r="T37" s="200" t="s">
        <v>134</v>
      </c>
      <c r="U37" s="200" t="s">
        <v>135</v>
      </c>
    </row>
    <row r="38" spans="1:21" ht="15.75" x14ac:dyDescent="0.25">
      <c r="A38" s="144" t="s">
        <v>111</v>
      </c>
      <c r="B38" s="43">
        <f>'אנליסט '!D73</f>
        <v>0</v>
      </c>
      <c r="C38" s="43">
        <f>'אנליסט '!E73</f>
        <v>0</v>
      </c>
      <c r="D38" s="43">
        <f>'אנליסט '!F73</f>
        <v>11493387.1</v>
      </c>
      <c r="E38" s="43">
        <f>'אנליסט '!G73</f>
        <v>0</v>
      </c>
      <c r="F38" s="42">
        <v>0</v>
      </c>
      <c r="G38" s="42">
        <v>0</v>
      </c>
      <c r="H38" s="42">
        <f>'אנליסט '!F73/'אנליסט '!J73-1</f>
        <v>-0.28573859256495437</v>
      </c>
      <c r="I38" s="42">
        <v>0</v>
      </c>
      <c r="R38" s="26" t="s">
        <v>87</v>
      </c>
      <c r="S38" s="19">
        <v>-0.71824315643726244</v>
      </c>
      <c r="T38" s="20">
        <v>-22185.600919999997</v>
      </c>
      <c r="U38" s="21">
        <v>8703.1039999999994</v>
      </c>
    </row>
    <row r="39" spans="1:21" ht="15.75" x14ac:dyDescent="0.25">
      <c r="A39" s="144" t="s">
        <v>112</v>
      </c>
      <c r="B39" s="43">
        <f>'מיטב דש'!D73</f>
        <v>0</v>
      </c>
      <c r="C39" s="43">
        <f>'מיטב דש'!E73</f>
        <v>0</v>
      </c>
      <c r="D39" s="43">
        <f>'מיטב דש'!F73</f>
        <v>0</v>
      </c>
      <c r="E39" s="43">
        <f>'מיטב דש'!G73</f>
        <v>0</v>
      </c>
      <c r="F39" s="42">
        <v>0</v>
      </c>
      <c r="G39" s="42">
        <v>0</v>
      </c>
      <c r="H39" s="42">
        <v>0</v>
      </c>
      <c r="I39" s="42">
        <v>0</v>
      </c>
      <c r="R39" s="30" t="s">
        <v>95</v>
      </c>
      <c r="S39" s="19">
        <v>-0.90399964708047587</v>
      </c>
      <c r="T39" s="20">
        <v>-82260.840474419194</v>
      </c>
      <c r="U39" s="21">
        <v>8735.7000000000007</v>
      </c>
    </row>
    <row r="40" spans="1:21" ht="15.75" x14ac:dyDescent="0.25">
      <c r="A40" s="144" t="s">
        <v>113</v>
      </c>
      <c r="B40" s="43">
        <f>אינפניטי!D73</f>
        <v>0</v>
      </c>
      <c r="C40" s="43">
        <f>אינפניטי!E73</f>
        <v>0</v>
      </c>
      <c r="D40" s="43">
        <f>אינפניטי!F73</f>
        <v>0</v>
      </c>
      <c r="E40" s="43">
        <f>אינפניטי!G73</f>
        <v>0</v>
      </c>
      <c r="F40" s="42">
        <v>0</v>
      </c>
      <c r="G40" s="42">
        <v>0</v>
      </c>
      <c r="H40" s="42">
        <v>0</v>
      </c>
      <c r="I40" s="42">
        <v>0</v>
      </c>
      <c r="R40" s="26" t="s">
        <v>94</v>
      </c>
      <c r="S40" s="19">
        <v>-0.28801211062924792</v>
      </c>
      <c r="T40" s="20">
        <v>-26606.002365018561</v>
      </c>
      <c r="U40" s="21">
        <v>65772.065719999999</v>
      </c>
    </row>
    <row r="41" spans="1:21" ht="21.75" thickBot="1" x14ac:dyDescent="0.3">
      <c r="A41" s="139" t="s">
        <v>72</v>
      </c>
      <c r="B41" s="140">
        <f>SUM(B28:B40)</f>
        <v>15351099.869007051</v>
      </c>
      <c r="C41" s="141">
        <f>SUM(C28:C40)</f>
        <v>2485647.4313796852</v>
      </c>
      <c r="D41" s="141">
        <f>SUM(D28:D40)</f>
        <v>60377536.442618459</v>
      </c>
      <c r="E41" s="142">
        <f>SUM(E28:E40)</f>
        <v>75736718.784999996</v>
      </c>
      <c r="F41" s="143">
        <f>('תפוקה מצטברת מול אשתקד'!H73-'תפוקה מצטברת מול אשתקד'!L73)/'תפוקה מצטברת מול אשתקד'!L73</f>
        <v>0.24915819338197023</v>
      </c>
      <c r="G41" s="143">
        <f>('תפוקה מצטברת מול אשתקד'!I73-'תפוקה מצטברת מול אשתקד'!M73)/'תפוקה מצטברת מול אשתקד'!M73</f>
        <v>0.22273910347530296</v>
      </c>
      <c r="H41" s="143">
        <f>('תפוקה מצטברת מול אשתקד'!J73-'תפוקה מצטברת מול אשתקד'!N73)/'תפוקה מצטברת מול אשתקד'!N73</f>
        <v>4.0234620632261388E-2</v>
      </c>
      <c r="I41" s="143">
        <f>('תפוקה מצטברת מול אשתקד'!K73-'תפוקה מצטברת מול אשתקד'!O73)/'תפוקה מצטברת מול אשתקד'!O73</f>
        <v>0.26116741390306236</v>
      </c>
      <c r="R41" s="30" t="s">
        <v>13</v>
      </c>
      <c r="S41" s="19">
        <v>-0.65726719178254744</v>
      </c>
      <c r="T41" s="20">
        <v>-327175.87179208873</v>
      </c>
      <c r="U41" s="21">
        <v>170606.27203402924</v>
      </c>
    </row>
    <row r="42" spans="1:21" ht="15.75" x14ac:dyDescent="0.25">
      <c r="R42" s="30" t="s">
        <v>17</v>
      </c>
      <c r="S42" s="19">
        <v>-0.30420570882766584</v>
      </c>
      <c r="T42" s="20">
        <v>-68443.743224986451</v>
      </c>
      <c r="U42" s="21">
        <v>156547.90301581498</v>
      </c>
    </row>
  </sheetData>
  <mergeCells count="13">
    <mergeCell ref="A4:A5"/>
    <mergeCell ref="B4:E4"/>
    <mergeCell ref="R15:U15"/>
    <mergeCell ref="J4:M4"/>
    <mergeCell ref="F4:I4"/>
    <mergeCell ref="J15:M15"/>
    <mergeCell ref="N15:Q15"/>
    <mergeCell ref="A26:A27"/>
    <mergeCell ref="B26:E26"/>
    <mergeCell ref="A15:A16"/>
    <mergeCell ref="B15:E15"/>
    <mergeCell ref="F15:I15"/>
    <mergeCell ref="F26:I26"/>
  </mergeCells>
  <conditionalFormatting sqref="F28:I40">
    <cfRule type="cellIs" dxfId="283" priority="19" operator="lessThan">
      <formula>-0.0001</formula>
    </cfRule>
    <cfRule type="cellIs" dxfId="282" priority="20" operator="greaterThan">
      <formula>0.1</formula>
    </cfRule>
  </conditionalFormatting>
  <conditionalFormatting sqref="F6:M10">
    <cfRule type="cellIs" dxfId="281" priority="45" operator="lessThan">
      <formula>-0.0001</formula>
    </cfRule>
    <cfRule type="cellIs" dxfId="280" priority="46" operator="greaterThan">
      <formula>0.1</formula>
    </cfRule>
  </conditionalFormatting>
  <conditionalFormatting sqref="F17:M20">
    <cfRule type="cellIs" dxfId="279" priority="17" operator="lessThan">
      <formula>-0.0001</formula>
    </cfRule>
    <cfRule type="cellIs" dxfId="278" priority="18" operator="greaterThan">
      <formula>0.1</formula>
    </cfRule>
  </conditionalFormatting>
  <conditionalFormatting sqref="P5:P10">
    <cfRule type="cellIs" dxfId="277" priority="29" operator="lessThan">
      <formula>-0.0001</formula>
    </cfRule>
    <cfRule type="cellIs" dxfId="276" priority="30" operator="greaterThan">
      <formula>0.1</formula>
    </cfRule>
  </conditionalFormatting>
  <conditionalFormatting sqref="R38">
    <cfRule type="duplicateValues" dxfId="275" priority="7"/>
    <cfRule type="duplicateValues" dxfId="274" priority="8"/>
  </conditionalFormatting>
  <conditionalFormatting sqref="R39:R40">
    <cfRule type="duplicateValues" dxfId="273" priority="3"/>
    <cfRule type="duplicateValues" dxfId="272" priority="4"/>
  </conditionalFormatting>
  <conditionalFormatting sqref="R41:R42">
    <cfRule type="duplicateValues" dxfId="271" priority="1"/>
    <cfRule type="duplicateValues" dxfId="270" priority="2"/>
  </conditionalFormatting>
  <conditionalFormatting sqref="S27:S31">
    <cfRule type="cellIs" dxfId="269" priority="9" operator="lessThan">
      <formula>-0.0001</formula>
    </cfRule>
    <cfRule type="cellIs" dxfId="268" priority="10" operator="greaterThan">
      <formula>0.1</formula>
    </cfRule>
  </conditionalFormatting>
  <conditionalFormatting sqref="S38:S42">
    <cfRule type="cellIs" dxfId="267" priority="5" operator="lessThan">
      <formula>-0.0001</formula>
    </cfRule>
    <cfRule type="cellIs" dxfId="266" priority="6" operator="greaterThan">
      <formula>0.1</formula>
    </cfRule>
  </conditionalFormatting>
  <conditionalFormatting sqref="U8:U13">
    <cfRule type="cellIs" dxfId="265" priority="21" operator="lessThan">
      <formula>-0.0001</formula>
    </cfRule>
    <cfRule type="cellIs" dxfId="264" priority="22" operator="greaterThan">
      <formula>0.1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721E-4C57-46C7-85BA-332EA5413B68}">
  <sheetPr>
    <tabColor theme="4" tint="0.39997558519241921"/>
  </sheetPr>
  <dimension ref="A1:R79"/>
  <sheetViews>
    <sheetView rightToLeft="1" topLeftCell="A51" workbookViewId="0">
      <selection activeCell="A61" sqref="A61:C61"/>
    </sheetView>
  </sheetViews>
  <sheetFormatPr defaultColWidth="27.75" defaultRowHeight="15.75" customHeight="1" x14ac:dyDescent="0.2"/>
  <cols>
    <col min="1" max="1" width="27.625" style="94" bestFit="1" customWidth="1"/>
    <col min="2" max="2" width="10.125" style="4" bestFit="1" customWidth="1"/>
    <col min="3" max="3" width="10.375" style="4" bestFit="1" customWidth="1"/>
    <col min="4" max="4" width="10.75" style="3" bestFit="1" customWidth="1"/>
    <col min="5" max="5" width="11" style="3" bestFit="1" customWidth="1"/>
    <col min="6" max="6" width="11.75" style="3" bestFit="1" customWidth="1"/>
    <col min="7" max="7" width="13.625" style="3" bestFit="1" customWidth="1"/>
    <col min="8" max="8" width="14.75" style="3" bestFit="1" customWidth="1"/>
    <col min="9" max="9" width="13.625" style="3" bestFit="1" customWidth="1"/>
    <col min="10" max="10" width="15" style="3" bestFit="1" customWidth="1"/>
    <col min="11" max="11" width="16.125" style="3" bestFit="1" customWidth="1"/>
    <col min="12" max="12" width="15" style="3" bestFit="1" customWidth="1"/>
    <col min="13" max="13" width="13.625" style="3" bestFit="1" customWidth="1"/>
    <col min="14" max="15" width="16.375" style="3" bestFit="1" customWidth="1"/>
    <col min="16" max="16384" width="27.75" style="3"/>
  </cols>
  <sheetData>
    <row r="1" spans="1:16" ht="15.75" customHeight="1" x14ac:dyDescent="0.2">
      <c r="A1" s="26"/>
      <c r="B1" s="26"/>
      <c r="C1" s="26"/>
      <c r="D1" s="224" t="s">
        <v>52</v>
      </c>
      <c r="E1" s="224"/>
      <c r="F1" s="224"/>
      <c r="G1" s="100"/>
      <c r="H1" s="221" t="s">
        <v>124</v>
      </c>
      <c r="I1" s="222"/>
      <c r="J1" s="222"/>
      <c r="K1" s="223"/>
      <c r="L1" s="225" t="s">
        <v>125</v>
      </c>
      <c r="M1" s="226"/>
      <c r="N1" s="226"/>
      <c r="O1" s="226"/>
    </row>
    <row r="2" spans="1:16" ht="15.75" customHeight="1" x14ac:dyDescent="0.2">
      <c r="A2" s="11" t="s">
        <v>0</v>
      </c>
      <c r="B2" s="23" t="s">
        <v>53</v>
      </c>
      <c r="C2" s="23" t="s">
        <v>109</v>
      </c>
      <c r="D2" s="24" t="s">
        <v>46</v>
      </c>
      <c r="E2" s="24" t="s">
        <v>50</v>
      </c>
      <c r="F2" s="24" t="s">
        <v>51</v>
      </c>
      <c r="G2" s="24" t="s">
        <v>49</v>
      </c>
      <c r="H2" s="25" t="s">
        <v>46</v>
      </c>
      <c r="I2" s="25" t="s">
        <v>50</v>
      </c>
      <c r="J2" s="25" t="s">
        <v>48</v>
      </c>
      <c r="K2" s="25" t="s">
        <v>49</v>
      </c>
      <c r="L2" s="29" t="s">
        <v>46</v>
      </c>
      <c r="M2" s="29" t="s">
        <v>47</v>
      </c>
      <c r="N2" s="29" t="s">
        <v>48</v>
      </c>
      <c r="O2" s="29" t="s">
        <v>89</v>
      </c>
      <c r="P2" s="5"/>
    </row>
    <row r="3" spans="1:16" ht="15.75" customHeight="1" x14ac:dyDescent="0.2">
      <c r="A3" s="26" t="s">
        <v>1</v>
      </c>
      <c r="B3" s="26" t="s">
        <v>108</v>
      </c>
      <c r="C3" s="26" t="s">
        <v>58</v>
      </c>
      <c r="D3" s="19">
        <f>IF(H3=0,0%,IF(L3=0,100%,H3/L3-1))</f>
        <v>0.89012587345863259</v>
      </c>
      <c r="E3" s="19">
        <f>IF(I3=0,0%,IF(M3=0,100%,I3/M3-1))</f>
        <v>-0.65543692334738501</v>
      </c>
      <c r="F3" s="19">
        <f>IF(J3=0,0%,IF(N3=G28,100%,J3/N3-1))</f>
        <v>0.43445197662742596</v>
      </c>
      <c r="G3" s="19">
        <f>IF(K3=0,0%,IF(O3=H28,100%,K3/O3-1))</f>
        <v>1.2232459511194729</v>
      </c>
      <c r="H3" s="58">
        <f>VLOOKUP(A3,הכשרה!A:G,4,0)+VLOOKUP('תפוקה מצטברת מול אשתקד'!A3,מגדל!A:G,4,0)+VLOOKUP('תפוקה מצטברת מול אשתקד'!A3,מנורה!A:G,4,0)+VLOOKUP('תפוקה מצטברת מול אשתקד'!A3,איילון!A:G,4,0)+VLOOKUP('תפוקה מצטברת מול אשתקד'!A3,הראל!A:G,4,0)+VLOOKUP('תפוקה מצטברת מול אשתקד'!A3,הפניקס!A:G,4,0)+VLOOKUP('תפוקה מצטברת מול אשתקד'!A3,כלל!A:G,4,0)+VLOOKUP('תפוקה מצטברת מול אשתקד'!A3,מור!A:G,4,0)+VLOOKUP('תפוקה מצטברת מול אשתקד'!A3,'אלטשולר שחם'!A:G,4,0)+VLOOKUP('תפוקה מצטברת מול אשתקד'!A3,'מדיהו '!A:G,4,0)+VLOOKUP('תפוקה מצטברת מול אשתקד'!A3,'אנליסט '!A:G,4,0)+VLOOKUP('תפוקה מצטברת מול אשתקד'!A3,'מיטב דש'!A:G,4,0)+VLOOKUP('תפוקה מצטברת מול אשתקד'!A3,אינפניטי!A:G,4,0)</f>
        <v>4440627.2052386012</v>
      </c>
      <c r="I3" s="58">
        <f>VLOOKUP(A3,הכשרה!A:G,5,0)+VLOOKUP('תפוקה מצטברת מול אשתקד'!A3,מגדל!A:G,5,0)+VLOOKUP('תפוקה מצטברת מול אשתקד'!A3,מנורה!A:G,5,0)+VLOOKUP('תפוקה מצטברת מול אשתקד'!A3,איילון!A:G,5,0)+VLOOKUP('תפוקה מצטברת מול אשתקד'!A3,הראל!A:G,5,0)+VLOOKUP('תפוקה מצטברת מול אשתקד'!A3,הפניקס!A:G,5,0)+VLOOKUP('תפוקה מצטברת מול אשתקד'!A3,כלל!A:G,5,0)+VLOOKUP('תפוקה מצטברת מול אשתקד'!A3,מור!A:G,5,0)+VLOOKUP('תפוקה מצטברת מול אשתקד'!A3,'אלטשולר שחם'!A:G,5,0)+VLOOKUP('תפוקה מצטברת מול אשתקד'!A3,'מדיהו '!A:G,5,0)+VLOOKUP('תפוקה מצטברת מול אשתקד'!A3,'אנליסט '!A:G,5,0)+VLOOKUP('תפוקה מצטברת מול אשתקד'!A3,'מיטב דש'!A:G,5,0)+VLOOKUP('תפוקה מצטברת מול אשתקד'!A3,אינפניטי!A:G,5,0)</f>
        <v>172558.27203402924</v>
      </c>
      <c r="J3" s="58">
        <f>VLOOKUP(A3,הכשרה!A:G,6,0)+VLOOKUP('תפוקה מצטברת מול אשתקד'!A3,מגדל!A:G,6,0)+VLOOKUP('תפוקה מצטברת מול אשתקד'!A3,מנורה!A:G,6,0)+VLOOKUP('תפוקה מצטברת מול אשתקד'!A3,איילון!A:G,6,0)+VLOOKUP(A3,הראל!A:G,6,0)+VLOOKUP('תפוקה מצטברת מול אשתקד'!A3,הפניקס!A:G,6,0)+VLOOKUP('תפוקה מצטברת מול אשתקד'!A3,כלל!A:G,6,0)+VLOOKUP('תפוקה מצטברת מול אשתקד'!A3,מור!A:G,6,0)+VLOOKUP('תפוקה מצטברת מול אשתקד'!A3,'אלטשולר שחם'!A:G,6,0)+VLOOKUP('תפוקה מצטברת מול אשתקד'!A3,'מדיהו '!A:G,6,0)+VLOOKUP('תפוקה מצטברת מול אשתקד'!A3,'אנליסט '!A:G,6,0)+VLOOKUP('תפוקה מצטברת מול אשתקד'!A3,'מיטב דש'!A:G,6,0)+VLOOKUP('תפוקה מצטברת מול אשתקד'!A3,אינפניטי!A:G,6,0)</f>
        <v>11317307.032343477</v>
      </c>
      <c r="K3" s="58">
        <f>VLOOKUP(A3,הכשרה!A:G,7,0)+VLOOKUP('תפוקה מצטברת מול אשתקד'!A3,מגדל!A:G,7,0)+VLOOKUP('תפוקה מצטברת מול אשתקד'!A3,מנורה!A:G,7,0)+VLOOKUP('תפוקה מצטברת מול אשתקד'!A3,איילון!A:G,7,0)+VLOOKUP('תפוקה מצטברת מול אשתקד'!A3,הראל!A:G,7,0)+VLOOKUP('תפוקה מצטברת מול אשתקד'!A3,הפניקס!A:G,7,0)+VLOOKUP('תפוקה מצטברת מול אשתקד'!A3,כלל!A:G,7,0)+VLOOKUP('תפוקה מצטברת מול אשתקד'!A3,מור!A:G,7,0)+VLOOKUP('תפוקה מצטברת מול אשתקד'!A3,'אלטשולר שחם'!A:G,7,0)+VLOOKUP('תפוקה מצטברת מול אשתקד'!A3,'מדיהו '!A:K,7,0)+VLOOKUP(A3,'אנליסט '!A:G,7,0)+VLOOKUP('תפוקה מצטברת מול אשתקד'!A3,'מיטב דש'!A:G,7,0)+VLOOKUP('תפוקה מצטברת מול אשתקד'!A3,אינפניטי!A:G,7,0)</f>
        <v>29172903.349999998</v>
      </c>
      <c r="L3" s="12">
        <f>VLOOKUP(A3,הכשרה!A:K,8,0)+VLOOKUP('תפוקה מצטברת מול אשתקד'!A3,מגדל!A:K,8,0)+VLOOKUP('תפוקה מצטברת מול אשתקד'!A3,מנורה!A:K,8,0)+VLOOKUP('תפוקה מצטברת מול אשתקד'!A3,איילון!A:K,8,0)+VLOOKUP('תפוקה מצטברת מול אשתקד'!A3,הראל!A:K,8,0)+VLOOKUP('תפוקה מצטברת מול אשתקד'!A3,הפניקס!A:K,8,0)+VLOOKUP('תפוקה מצטברת מול אשתקד'!A3,כלל!A:K,8,0)+VLOOKUP('תפוקה מצטברת מול אשתקד'!A3,מור!A:K,8,0)+VLOOKUP('תפוקה מצטברת מול אשתקד'!A3,'אלטשולר שחם'!A:K,8,0)+VLOOKUP('תפוקה מצטברת מול אשתקד'!A3,'מדיהו '!A:K,8,0)+VLOOKUP('תפוקה מצטברת מול אשתקד'!A3,'אנליסט '!A:K,8,0)+VLOOKUP('תפוקה מצטברת מול אשתקד'!A3,'מיטב דש'!A:K,8,0)+VLOOKUP('תפוקה מצטברת מול אשתקד'!A3,אינפניטי!A:K,8,0)</f>
        <v>2349381.7356793033</v>
      </c>
      <c r="M3" s="12">
        <f>VLOOKUP(A3,הכשרה!A:K,9,0)+VLOOKUP('תפוקה מצטברת מול אשתקד'!A3,מגדל!A:K,9,0)+VLOOKUP('תפוקה מצטברת מול אשתקד'!A3,מנורה!A:K,9,0)+VLOOKUP('תפוקה מצטברת מול אשתקד'!A3,איילון!A:K,9,0)+VLOOKUP('תפוקה מצטברת מול אשתקד'!A3,הראל!A:K,9,0)+VLOOKUP('תפוקה מצטברת מול אשתקד'!A3,הפניקס!A:K,9,0)+VLOOKUP('תפוקה מצטברת מול אשתקד'!A3,כלל!A:K,9,0)+VLOOKUP('תפוקה מצטברת מול אשתקד'!A3,מור!A:K,9,0)+VLOOKUP('תפוקה מצטברת מול אשתקד'!A3,'אלטשולר שחם'!A:K,9,0)+VLOOKUP('תפוקה מצטברת מול אשתקד'!A3,'מדיהו '!A:K,9,0)+VLOOKUP('תפוקה מצטברת מול אשתקד'!A3,'אנליסט '!A:K,9,0)+VLOOKUP('תפוקה מצטברת מול אשתקד'!A3,'מיטב דש'!A:K,9,0)+VLOOKUP('תפוקה מצטברת מול אשתקד'!A3,אינפניטי!A:K,9,0)</f>
        <v>500803.14382611797</v>
      </c>
      <c r="N3" s="12">
        <f>VLOOKUP(A3,הכשרה!A:K,10,0)+VLOOKUP('תפוקה מצטברת מול אשתקד'!A3,מגדל!A:K,10,0)+VLOOKUP('תפוקה מצטברת מול אשתקד'!A3,מנורה!A:K,10,0)+VLOOKUP('תפוקה מצטברת מול אשתקד'!A3,איילון!A:K,10,0)+VLOOKUP('תפוקה מצטברת מול אשתקד'!A3,הראל!A:K,10,0)+VLOOKUP('תפוקה מצטברת מול אשתקד'!A3,הפניקס!A:K,10,0)+VLOOKUP('תפוקה מצטברת מול אשתקד'!A3,כלל!A:K,10,0)+VLOOKUP('תפוקה מצטברת מול אשתקד'!A3,מור!A:K,10,0)+VLOOKUP('תפוקה מצטברת מול אשתקד'!A3,'אלטשולר שחם'!A:K,10,0)+VLOOKUP('תפוקה מצטברת מול אשתקד'!A3,'מדיהו '!A:K,10,0)+VLOOKUP('תפוקה מצטברת מול אשתקד'!A3,'אנליסט '!A:K,10,0)+VLOOKUP('תפוקה מצטברת מול אשתקד'!A3,'מיטב דש'!A:K,10,0)+VLOOKUP('תפוקה מצטברת מול אשתקד'!A3,אינפניטי!A:K,10,0)</f>
        <v>7889638.1452600909</v>
      </c>
      <c r="O3" s="12">
        <f>VLOOKUP(A3,הכשרה!A:K,11,0)+VLOOKUP('תפוקה מצטברת מול אשתקד'!A3,מגדל!A:K,11,0)+VLOOKUP('תפוקה מצטברת מול אשתקד'!A3,מנורה!A:K,11,0)+VLOOKUP('תפוקה מצטברת מול אשתקד'!A3,איילון!A:K,11,0)+VLOOKUP('תפוקה מצטברת מול אשתקד'!A3,הראל!A:K,11,0)+VLOOKUP('תפוקה מצטברת מול אשתקד'!A3,הפניקס!A:K,11,0)+VLOOKUP('תפוקה מצטברת מול אשתקד'!A3,כלל!A:K,11,0)+VLOOKUP('תפוקה מצטברת מול אשתקד'!A3,מור!A:K,11,0)+VLOOKUP('תפוקה מצטברת מול אשתקד'!A3,'אלטשולר שחם'!A:K,11,0)+VLOOKUP('תפוקה מצטברת מול אשתקד'!A3,'מדיהו '!A:K,11,0)+VLOOKUP('תפוקה מצטברת מול אשתקד'!A3,'אנליסט '!A:K,11,0)+VLOOKUP('תפוקה מצטברת מול אשתקד'!A3,'מיטב דש'!A:K,11,0)+VLOOKUP('תפוקה מצטברת מול אשתקד'!A3,אינפניטי!A:K,11,0)</f>
        <v>13121761.600560002</v>
      </c>
      <c r="P3" s="89"/>
    </row>
    <row r="4" spans="1:16" ht="15.75" customHeight="1" x14ac:dyDescent="0.2">
      <c r="A4" s="26" t="s">
        <v>2</v>
      </c>
      <c r="B4" s="26" t="s">
        <v>108</v>
      </c>
      <c r="C4" s="26" t="s">
        <v>58</v>
      </c>
      <c r="D4" s="19">
        <f t="shared" ref="D4:F66" si="0">IF(H4=0,0%,IF(L4=0,100%,H4/L4-1))</f>
        <v>-0.53964559294727876</v>
      </c>
      <c r="E4" s="19">
        <f t="shared" ref="E4:E25" si="1">IF(I4=0,0%,IF(M4=0,100%,I4/M4-1))</f>
        <v>-0.19379359622340864</v>
      </c>
      <c r="F4" s="19">
        <f t="shared" ref="F4:F25" si="2">IF(J4=0,0%,IF(N4=0,100%,J4/N4-1))</f>
        <v>-0.65796823632289581</v>
      </c>
      <c r="G4" s="19">
        <f>IF(K4=0,0%,IF(O4=H29,100%,K4/O4-1))</f>
        <v>-0.69312685887795045</v>
      </c>
      <c r="H4" s="58">
        <f>VLOOKUP(A4,הכשרה!A:G,4,0)+VLOOKUP('תפוקה מצטברת מול אשתקד'!A4,מגדל!A:G,4,0)+VLOOKUP('תפוקה מצטברת מול אשתקד'!A4,מנורה!A:G,4,0)+VLOOKUP('תפוקה מצטברת מול אשתקד'!A4,איילון!A:G,4,0)+VLOOKUP('תפוקה מצטברת מול אשתקד'!A4,הראל!A:G,4,0)+VLOOKUP('תפוקה מצטברת מול אשתקד'!A4,הפניקס!A:G,4,0)+VLOOKUP('תפוקה מצטברת מול אשתקד'!A4,כלל!A:G,4,0)+VLOOKUP('תפוקה מצטברת מול אשתקד'!A4,מור!A:G,4,0)+VLOOKUP('תפוקה מצטברת מול אשתקד'!A4,'אלטשולר שחם'!A:G,4,0)+VLOOKUP('תפוקה מצטברת מול אשתקד'!A4,'מדיהו '!A:G,4,0)+VLOOKUP('תפוקה מצטברת מול אשתקד'!A4,'אנליסט '!A:G,4,0)+VLOOKUP('תפוקה מצטברת מול אשתקד'!A4,'מיטב דש'!A:G,4,0)+VLOOKUP('תפוקה מצטברת מול אשתקד'!A4,אינפניטי!A:G,4,0)</f>
        <v>320033.34356586303</v>
      </c>
      <c r="I4" s="58">
        <f>VLOOKUP(A4,הכשרה!A:G,5,0)+VLOOKUP('תפוקה מצטברת מול אשתקד'!A4,מגדל!A:G,5,0)+VLOOKUP('תפוקה מצטברת מול אשתקד'!A4,מנורה!A:G,5,0)+VLOOKUP('תפוקה מצטברת מול אשתקד'!A4,איילון!A:G,5,0)+VLOOKUP('תפוקה מצטברת מול אשתקד'!A4,הראל!A:G,5,0)+VLOOKUP('תפוקה מצטברת מול אשתקד'!A4,הפניקס!A:G,5,0)+VLOOKUP('תפוקה מצטברת מול אשתקד'!A4,כלל!A:G,5,0)+VLOOKUP('תפוקה מצטברת מול אשתקד'!A4,מור!A:G,5,0)+VLOOKUP('תפוקה מצטברת מול אשתקד'!A4,'אלטשולר שחם'!A:G,5,0)+VLOOKUP('תפוקה מצטברת מול אשתקד'!A4,'מדיהו '!A:G,5,0)+VLOOKUP('תפוקה מצטברת מול אשתקד'!A4,'אנליסט '!A:G,5,0)+VLOOKUP('תפוקה מצטברת מול אשתקד'!A4,'מיטב דש'!A:G,5,0)+VLOOKUP('תפוקה מצטברת מול אשתקד'!A4,אינפניטי!A:G,5,0)</f>
        <v>3936.059176882663</v>
      </c>
      <c r="J4" s="58">
        <f>VLOOKUP(A4,הכשרה!A:G,6,0)+VLOOKUP('תפוקה מצטברת מול אשתקד'!A4,מגדל!A:G,6,0)+VLOOKUP('תפוקה מצטברת מול אשתקד'!A4,מנורה!A:G,6,0)+VLOOKUP('תפוקה מצטברת מול אשתקד'!A4,איילון!A:G,6,0)+VLOOKUP(A4,הראל!A:G,6,0)+VLOOKUP('תפוקה מצטברת מול אשתקד'!A4,הפניקס!A:G,6,0)+VLOOKUP('תפוקה מצטברת מול אשתקד'!A4,כלל!A:G,6,0)+VLOOKUP('תפוקה מצטברת מול אשתקד'!A4,מור!A:G,6,0)+VLOOKUP('תפוקה מצטברת מול אשתקד'!A4,'אלטשולר שחם'!A:G,6,0)+VLOOKUP('תפוקה מצטברת מול אשתקד'!A4,'מדיהו '!A:G,6,0)+VLOOKUP('תפוקה מצטברת מול אשתקד'!A4,'אנליסט '!A:G,6,0)+VLOOKUP('תפוקה מצטברת מול אשתקד'!A4,'מיטב דש'!A:G,6,0)+VLOOKUP('תפוקה מצטברת מול אשתקד'!A4,אינפניטי!A:G,6,0)</f>
        <v>1974048.9655563922</v>
      </c>
      <c r="K4" s="58">
        <f>VLOOKUP(A4,הכשרה!A:G,7,0)+VLOOKUP('תפוקה מצטברת מול אשתקד'!A4,מגדל!A:G,7,0)+VLOOKUP('תפוקה מצטברת מול אשתקד'!A4,מנורה!A:G,7,0)+VLOOKUP('תפוקה מצטברת מול אשתקד'!A4,איילון!A:G,7,0)+VLOOKUP('תפוקה מצטברת מול אשתקד'!A4,הראל!A:G,7,0)+VLOOKUP('תפוקה מצטברת מול אשתקד'!A4,הפניקס!A:G,7,0)+VLOOKUP('תפוקה מצטברת מול אשתקד'!A4,כלל!A:G,7,0)+VLOOKUP('תפוקה מצטברת מול אשתקד'!A4,מור!A:G,7,0)+VLOOKUP('תפוקה מצטברת מול אשתקד'!A4,'אלטשולר שחם'!A:G,7,0)+VLOOKUP('תפוקה מצטברת מול אשתקד'!A4,'מדיהו '!A:K,7,0)+VLOOKUP(A4,'אנליסט '!A:G,7,0)+VLOOKUP('תפוקה מצטברת מול אשתקד'!A4,'מיטב דש'!A:G,7,0)+VLOOKUP('תפוקה מצטברת מול אשתקד'!A4,אינפניטי!A:G,7,0)</f>
        <v>1195708.6299999999</v>
      </c>
      <c r="L4" s="12">
        <f>VLOOKUP(A4,הכשרה!A:K,8,0)+VLOOKUP('תפוקה מצטברת מול אשתקד'!A4,מגדל!A:K,8,0)+VLOOKUP('תפוקה מצטברת מול אשתקד'!A4,מנורה!A:K,8,0)+VLOOKUP('תפוקה מצטברת מול אשתקד'!A4,איילון!A:K,8,0)+VLOOKUP('תפוקה מצטברת מול אשתקד'!A4,הראל!A:K,8,0)+VLOOKUP('תפוקה מצטברת מול אשתקד'!A4,הפניקס!A:K,8,0)+VLOOKUP('תפוקה מצטברת מול אשתקד'!A4,כלל!A:K,8,0)+VLOOKUP('תפוקה מצטברת מול אשתקד'!A4,מור!A:K,8,0)+VLOOKUP('תפוקה מצטברת מול אשתקד'!A4,'אלטשולר שחם'!A:K,8,0)+VLOOKUP('תפוקה מצטברת מול אשתקד'!A4,'מדיהו '!A:K,8,0)+VLOOKUP('תפוקה מצטברת מול אשתקד'!A4,'אנליסט '!A:K,8,0)+VLOOKUP('תפוקה מצטברת מול אשתקד'!A4,'מיטב דש'!A:K,8,0)+VLOOKUP('תפוקה מצטברת מול אשתקד'!A4,אינפניטי!A:K,8,0)</f>
        <v>695189.05144142965</v>
      </c>
      <c r="M4" s="12">
        <f>VLOOKUP(A4,הכשרה!A:K,9,0)+VLOOKUP('תפוקה מצטברת מול אשתקד'!A4,מגדל!A:K,9,0)+VLOOKUP('תפוקה מצטברת מול אשתקד'!A4,מנורה!A:K,9,0)+VLOOKUP('תפוקה מצטברת מול אשתקד'!A4,איילון!A:K,9,0)+VLOOKUP('תפוקה מצטברת מול אשתקד'!A4,הראל!A:K,9,0)+VLOOKUP('תפוקה מצטברת מול אשתקד'!A4,הפניקס!A:K,9,0)+VLOOKUP('תפוקה מצטברת מול אשתקד'!A4,כלל!A:K,9,0)+VLOOKUP('תפוקה מצטברת מול אשתקד'!A4,מור!A:K,9,0)+VLOOKUP('תפוקה מצטברת מול אשתקד'!A4,'אלטשולר שחם'!A:K,9,0)+VLOOKUP('תפוקה מצטברת מול אשתקד'!A4,'מדיהו '!A:K,9,0)+VLOOKUP('תפוקה מצטברת מול אשתקד'!A4,'אנליסט '!A:K,9,0)+VLOOKUP('תפוקה מצטברת מול אשתקד'!A4,'מיטב דש'!A:K,9,0)+VLOOKUP('תפוקה מצטברת מול אשתקד'!A4,אינפניטי!A:K,9,0)</f>
        <v>4882.197857080515</v>
      </c>
      <c r="N4" s="12">
        <f>VLOOKUP(A4,הכשרה!A:K,10,0)+VLOOKUP('תפוקה מצטברת מול אשתקד'!A4,מגדל!A:K,10,0)+VLOOKUP('תפוקה מצטברת מול אשתקד'!A4,מנורה!A:K,10,0)+VLOOKUP('תפוקה מצטברת מול אשתקד'!A4,איילון!A:K,10,0)+VLOOKUP('תפוקה מצטברת מול אשתקד'!A4,הראל!A:K,10,0)+VLOOKUP('תפוקה מצטברת מול אשתקד'!A4,הפניקס!A:K,10,0)+VLOOKUP('תפוקה מצטברת מול אשתקד'!A4,כלל!A:K,10,0)+VLOOKUP('תפוקה מצטברת מול אשתקד'!A4,מור!A:K,10,0)+VLOOKUP('תפוקה מצטברת מול אשתקד'!A4,'אלטשולר שחם'!A:K,10,0)+VLOOKUP('תפוקה מצטברת מול אשתקד'!A4,'מדיהו '!A:K,10,0)+VLOOKUP('תפוקה מצטברת מול אשתקד'!A4,'אנליסט '!A:K,10,0)+VLOOKUP('תפוקה מצטברת מול אשתקד'!A4,'מיטב דש'!A:K,10,0)+VLOOKUP('תפוקה מצטברת מול אשתקד'!A4,אינפניטי!A:K,10,0)</f>
        <v>5771536.9600000009</v>
      </c>
      <c r="O4" s="12">
        <f>VLOOKUP(A4,הכשרה!A:K,11,0)+VLOOKUP('תפוקה מצטברת מול אשתקד'!A4,מגדל!A:K,11,0)+VLOOKUP('תפוקה מצטברת מול אשתקד'!A4,מנורה!A:K,11,0)+VLOOKUP('תפוקה מצטברת מול אשתקד'!A4,איילון!A:K,11,0)+VLOOKUP('תפוקה מצטברת מול אשתקד'!A4,הראל!A:K,11,0)+VLOOKUP('תפוקה מצטברת מול אשתקד'!A4,הפניקס!A:K,11,0)+VLOOKUP('תפוקה מצטברת מול אשתקד'!A4,כלל!A:K,11,0)+VLOOKUP('תפוקה מצטברת מול אשתקד'!A4,מור!A:K,11,0)+VLOOKUP('תפוקה מצטברת מול אשתקד'!A4,'אלטשולר שחם'!A:K,11,0)+VLOOKUP('תפוקה מצטברת מול אשתקד'!A4,'מדיהו '!A:K,11,0)+VLOOKUP('תפוקה מצטברת מול אשתקד'!A4,'אנליסט '!A:K,11,0)+VLOOKUP('תפוקה מצטברת מול אשתקד'!A4,'מיטב דש'!A:K,11,0)+VLOOKUP('תפוקה מצטברת מול אשתקד'!A4,אינפניטי!A:K,11,0)</f>
        <v>3896426.4700000011</v>
      </c>
      <c r="P4" s="89"/>
    </row>
    <row r="5" spans="1:16" ht="15.75" customHeight="1" x14ac:dyDescent="0.2">
      <c r="A5" s="26" t="s">
        <v>104</v>
      </c>
      <c r="B5" s="26" t="s">
        <v>108</v>
      </c>
      <c r="C5" s="26" t="s">
        <v>58</v>
      </c>
      <c r="D5" s="19">
        <f t="shared" si="0"/>
        <v>0</v>
      </c>
      <c r="E5" s="19">
        <f t="shared" si="1"/>
        <v>1</v>
      </c>
      <c r="F5" s="19">
        <f t="shared" si="2"/>
        <v>0</v>
      </c>
      <c r="G5" s="19">
        <f>IF(K5=0,0%,IF(O5=H30,100%,K5/O5-1))</f>
        <v>0</v>
      </c>
      <c r="H5" s="58">
        <f>VLOOKUP(A5,הכשרה!A:G,4,0)+VLOOKUP('תפוקה מצטברת מול אשתקד'!A5,מגדל!A:G,4,0)+VLOOKUP('תפוקה מצטברת מול אשתקד'!A5,מנורה!A:G,4,0)+VLOOKUP('תפוקה מצטברת מול אשתקד'!A5,איילון!A:G,4,0)+VLOOKUP('תפוקה מצטברת מול אשתקד'!A5,הראל!A:G,4,0)+VLOOKUP('תפוקה מצטברת מול אשתקד'!A5,הפניקס!A:G,4,0)+VLOOKUP('תפוקה מצטברת מול אשתקד'!A5,כלל!A:G,4,0)+VLOOKUP('תפוקה מצטברת מול אשתקד'!A5,מור!A:G,4,0)+VLOOKUP('תפוקה מצטברת מול אשתקד'!A5,'אלטשולר שחם'!A:G,4,0)+VLOOKUP('תפוקה מצטברת מול אשתקד'!A5,'מדיהו '!A:G,4,0)+VLOOKUP('תפוקה מצטברת מול אשתקד'!A5,'אנליסט '!A:G,4,0)+VLOOKUP('תפוקה מצטברת מול אשתקד'!A5,'מיטב דש'!A:G,4,0)+VLOOKUP('תפוקה מצטברת מול אשתקד'!A5,אינפניטי!A:G,4,0)</f>
        <v>0</v>
      </c>
      <c r="I5" s="58">
        <f>VLOOKUP(A5,הכשרה!A:G,5,0)+VLOOKUP('תפוקה מצטברת מול אשתקד'!A5,מגדל!A:G,5,0)+VLOOKUP('תפוקה מצטברת מול אשתקד'!A5,מנורה!A:G,5,0)+VLOOKUP('תפוקה מצטברת מול אשתקד'!A5,איילון!A:G,5,0)+VLOOKUP('תפוקה מצטברת מול אשתקד'!A5,הראל!A:G,5,0)+VLOOKUP('תפוקה מצטברת מול אשתקד'!A5,הפניקס!A:G,5,0)+VLOOKUP('תפוקה מצטברת מול אשתקד'!A5,כלל!A:G,5,0)+VLOOKUP('תפוקה מצטברת מול אשתקד'!A5,מור!A:G,5,0)+VLOOKUP('תפוקה מצטברת מול אשתקד'!A5,'אלטשולר שחם'!A:G,5,0)+VLOOKUP('תפוקה מצטברת מול אשתקד'!A5,'מדיהו '!A:G,5,0)+VLOOKUP('תפוקה מצטברת מול אשתקד'!A5,'אנליסט '!A:G,5,0)+VLOOKUP('תפוקה מצטברת מול אשתקד'!A5,'מיטב דש'!A:G,5,0)+VLOOKUP('תפוקה מצטברת מול אשתקד'!A5,אינפניטי!A:G,5,0)</f>
        <v>40962.665297640015</v>
      </c>
      <c r="J5" s="58">
        <f>VLOOKUP(A5,הכשרה!A:G,6,0)+VLOOKUP('תפוקה מצטברת מול אשתקד'!A5,מגדל!A:G,6,0)+VLOOKUP('תפוקה מצטברת מול אשתקד'!A5,מנורה!A:G,6,0)+VLOOKUP('תפוקה מצטברת מול אשתקד'!A5,איילון!A:G,6,0)+VLOOKUP(A5,הראל!A:G,6,0)+VLOOKUP('תפוקה מצטברת מול אשתקד'!A5,הפניקס!A:G,6,0)+VLOOKUP('תפוקה מצטברת מול אשתקד'!A5,כלל!A:G,6,0)+VLOOKUP('תפוקה מצטברת מול אשתקד'!A5,מור!A:G,6,0)+VLOOKUP('תפוקה מצטברת מול אשתקד'!A5,'אלטשולר שחם'!A:G,6,0)+VLOOKUP('תפוקה מצטברת מול אשתקד'!A5,'מדיהו '!A:G,6,0)+VLOOKUP('תפוקה מצטברת מול אשתקד'!A5,'אנליסט '!A:G,6,0)+VLOOKUP('תפוקה מצטברת מול אשתקד'!A5,'מיטב דש'!A:G,6,0)+VLOOKUP('תפוקה מצטברת מול אשתקד'!A5,אינפניטי!A:G,6,0)</f>
        <v>0</v>
      </c>
      <c r="K5" s="58">
        <f>VLOOKUP(A5,הכשרה!A:G,7,0)+VLOOKUP('תפוקה מצטברת מול אשתקד'!A5,מגדל!A:G,7,0)+VLOOKUP('תפוקה מצטברת מול אשתקד'!A5,מנורה!A:G,7,0)+VLOOKUP('תפוקה מצטברת מול אשתקד'!A5,איילון!A:G,7,0)+VLOOKUP('תפוקה מצטברת מול אשתקד'!A5,הראל!A:G,7,0)+VLOOKUP('תפוקה מצטברת מול אשתקד'!A5,הפניקס!A:G,7,0)+VLOOKUP('תפוקה מצטברת מול אשתקד'!A5,כלל!A:G,7,0)+VLOOKUP('תפוקה מצטברת מול אשתקד'!A5,מור!A:G,7,0)+VLOOKUP('תפוקה מצטברת מול אשתקד'!A5,'אלטשולר שחם'!A:G,7,0)+VLOOKUP('תפוקה מצטברת מול אשתקד'!A5,'מדיהו '!A:K,7,0)+VLOOKUP(A5,'אנליסט '!A:G,7,0)+VLOOKUP('תפוקה מצטברת מול אשתקד'!A5,'מיטב דש'!A:G,7,0)+VLOOKUP('תפוקה מצטברת מול אשתקד'!A5,אינפניטי!A:G,7,0)</f>
        <v>0</v>
      </c>
      <c r="L5" s="12">
        <f>VLOOKUP(A5,הכשרה!A:K,8,0)+VLOOKUP('תפוקה מצטברת מול אשתקד'!A5,מגדל!A:K,8,0)+VLOOKUP('תפוקה מצטברת מול אשתקד'!A5,מנורה!A:K,8,0)+VLOOKUP('תפוקה מצטברת מול אשתקד'!A5,איילון!A:K,8,0)+VLOOKUP('תפוקה מצטברת מול אשתקד'!A5,הראל!A:K,8,0)+VLOOKUP('תפוקה מצטברת מול אשתקד'!A5,הפניקס!A:K,8,0)+VLOOKUP('תפוקה מצטברת מול אשתקד'!A5,כלל!A:K,8,0)+VLOOKUP('תפוקה מצטברת מול אשתקד'!A5,מור!A:K,8,0)+VLOOKUP('תפוקה מצטברת מול אשתקד'!A5,'אלטשולר שחם'!A:K,8,0)+VLOOKUP('תפוקה מצטברת מול אשתקד'!A5,'מדיהו '!A:K,8,0)+VLOOKUP('תפוקה מצטברת מול אשתקד'!A5,'אנליסט '!A:K,8,0)+VLOOKUP('תפוקה מצטברת מול אשתקד'!A5,'מיטב דש'!A:K,8,0)+VLOOKUP('תפוקה מצטברת מול אשתקד'!A5,אינפניטי!A:K,8,0)</f>
        <v>0</v>
      </c>
      <c r="M5" s="12">
        <f>VLOOKUP(A5,הכשרה!A:K,9,0)+VLOOKUP('תפוקה מצטברת מול אשתקד'!A5,מגדל!A:K,9,0)+VLOOKUP('תפוקה מצטברת מול אשתקד'!A5,מנורה!A:K,9,0)+VLOOKUP('תפוקה מצטברת מול אשתקד'!A5,איילון!A:K,9,0)+VLOOKUP('תפוקה מצטברת מול אשתקד'!A5,הראל!A:K,9,0)+VLOOKUP('תפוקה מצטברת מול אשתקד'!A5,הפניקס!A:K,9,0)+VLOOKUP('תפוקה מצטברת מול אשתקד'!A5,כלל!A:K,9,0)+VLOOKUP('תפוקה מצטברת מול אשתקד'!A5,מור!A:K,9,0)+VLOOKUP('תפוקה מצטברת מול אשתקד'!A5,'אלטשולר שחם'!A:K,9,0)+VLOOKUP('תפוקה מצטברת מול אשתקד'!A5,'מדיהו '!A:K,9,0)+VLOOKUP('תפוקה מצטברת מול אשתקד'!A5,'אנליסט '!A:K,9,0)+VLOOKUP('תפוקה מצטברת מול אשתקד'!A5,'מיטב דש'!A:K,9,0)+VLOOKUP('תפוקה מצטברת מול אשתקד'!A5,אינפניטי!A:K,9,0)</f>
        <v>0</v>
      </c>
      <c r="N5" s="12">
        <f>VLOOKUP(A5,הכשרה!A:K,10,0)+VLOOKUP('תפוקה מצטברת מול אשתקד'!A5,מגדל!A:K,10,0)+VLOOKUP('תפוקה מצטברת מול אשתקד'!A5,מנורה!A:K,10,0)+VLOOKUP('תפוקה מצטברת מול אשתקד'!A5,איילון!A:K,10,0)+VLOOKUP('תפוקה מצטברת מול אשתקד'!A5,הראל!A:K,10,0)+VLOOKUP('תפוקה מצטברת מול אשתקד'!A5,הפניקס!A:K,10,0)+VLOOKUP('תפוקה מצטברת מול אשתקד'!A5,כלל!A:K,10,0)+VLOOKUP('תפוקה מצטברת מול אשתקד'!A5,מור!A:K,10,0)+VLOOKUP('תפוקה מצטברת מול אשתקד'!A5,'אלטשולר שחם'!A:K,10,0)+VLOOKUP('תפוקה מצטברת מול אשתקד'!A5,'מדיהו '!A:K,10,0)+VLOOKUP('תפוקה מצטברת מול אשתקד'!A5,'אנליסט '!A:K,10,0)+VLOOKUP('תפוקה מצטברת מול אשתקד'!A5,'מיטב דש'!A:K,10,0)+VLOOKUP('תפוקה מצטברת מול אשתקד'!A5,אינפניטי!A:K,10,0)</f>
        <v>0</v>
      </c>
      <c r="O5" s="12">
        <f>VLOOKUP(A5,הכשרה!A:K,11,0)+VLOOKUP('תפוקה מצטברת מול אשתקד'!A5,מגדל!A:K,11,0)+VLOOKUP('תפוקה מצטברת מול אשתקד'!A5,מנורה!A:K,11,0)+VLOOKUP('תפוקה מצטברת מול אשתקד'!A5,איילון!A:K,11,0)+VLOOKUP('תפוקה מצטברת מול אשתקד'!A5,הראל!A:K,11,0)+VLOOKUP('תפוקה מצטברת מול אשתקד'!A5,הפניקס!A:K,11,0)+VLOOKUP('תפוקה מצטברת מול אשתקד'!A5,כלל!A:K,11,0)+VLOOKUP('תפוקה מצטברת מול אשתקד'!A5,מור!A:K,11,0)+VLOOKUP('תפוקה מצטברת מול אשתקד'!A5,'אלטשולר שחם'!A:K,11,0)+VLOOKUP('תפוקה מצטברת מול אשתקד'!A5,'מדיהו '!A:K,11,0)+VLOOKUP('תפוקה מצטברת מול אשתקד'!A5,'אנליסט '!A:K,11,0)+VLOOKUP('תפוקה מצטברת מול אשתקד'!A5,'מיטב דש'!A:K,11,0)+VLOOKUP('תפוקה מצטברת מול אשתקד'!A5,אינפניטי!A:K,11,0)</f>
        <v>0</v>
      </c>
      <c r="P5" s="89"/>
    </row>
    <row r="6" spans="1:16" ht="15.75" customHeight="1" x14ac:dyDescent="0.2">
      <c r="A6" s="28" t="s">
        <v>105</v>
      </c>
      <c r="B6" s="26" t="s">
        <v>108</v>
      </c>
      <c r="C6" s="28" t="s">
        <v>58</v>
      </c>
      <c r="D6" s="101">
        <f t="shared" si="0"/>
        <v>1</v>
      </c>
      <c r="E6" s="101">
        <f t="shared" si="1"/>
        <v>1</v>
      </c>
      <c r="F6" s="101">
        <f t="shared" si="2"/>
        <v>1</v>
      </c>
      <c r="G6" s="19" t="e">
        <f>IF(K6=0,0%,IF(O6=H31,100%,K6/O6-1))</f>
        <v>#DIV/0!</v>
      </c>
      <c r="H6" s="58">
        <f>VLOOKUP(A6,הכשרה!A:G,4,0)+VLOOKUP('תפוקה מצטברת מול אשתקד'!A6,מגדל!A:G,4,0)+VLOOKUP('תפוקה מצטברת מול אשתקד'!A6,מנורה!A:G,4,0)+VLOOKUP('תפוקה מצטברת מול אשתקד'!A6,איילון!A:G,4,0)+VLOOKUP('תפוקה מצטברת מול אשתקד'!A6,הראל!A:G,4,0)+VLOOKUP('תפוקה מצטברת מול אשתקד'!A6,הפניקס!A:G,4,0)+VLOOKUP('תפוקה מצטברת מול אשתקד'!A6,כלל!A:G,4,0)+VLOOKUP('תפוקה מצטברת מול אשתקד'!A6,מור!A:G,4,0)+VLOOKUP('תפוקה מצטברת מול אשתקד'!A6,'אלטשולר שחם'!A:G,4,0)+VLOOKUP('תפוקה מצטברת מול אשתקד'!A6,'מדיהו '!A:G,4,0)+VLOOKUP('תפוקה מצטברת מול אשתקד'!A6,'אנליסט '!A:G,4,0)+VLOOKUP('תפוקה מצטברת מול אשתקד'!A6,'מיטב דש'!A:G,4,0)+VLOOKUP('תפוקה מצטברת מול אשתקד'!A6,אינפניטי!A:G,4,0)</f>
        <v>191253.87324164482</v>
      </c>
      <c r="I6" s="58">
        <f>VLOOKUP(A6,הכשרה!A:G,5,0)+VLOOKUP('תפוקה מצטברת מול אשתקד'!A6,מגדל!A:G,5,0)+VLOOKUP('תפוקה מצטברת מול אשתקד'!A6,מנורה!A:G,5,0)+VLOOKUP('תפוקה מצטברת מול אשתקד'!A6,איילון!A:G,5,0)+VLOOKUP('תפוקה מצטברת מול אשתקד'!A6,הראל!A:G,5,0)+VLOOKUP('תפוקה מצטברת מול אשתקד'!A6,הפניקס!A:G,5,0)+VLOOKUP('תפוקה מצטברת מול אשתקד'!A6,כלל!A:G,5,0)+VLOOKUP('תפוקה מצטברת מול אשתקד'!A6,מור!A:G,5,0)+VLOOKUP('תפוקה מצטברת מול אשתקד'!A6,'אלטשולר שחם'!A:G,5,0)+VLOOKUP('תפוקה מצטברת מול אשתקד'!A6,'מדיהו '!A:G,5,0)+VLOOKUP('תפוקה מצטברת מול אשתקד'!A6,'אנליסט '!A:G,5,0)+VLOOKUP('תפוקה מצטברת מול אשתקד'!A6,'מיטב דש'!A:G,5,0)+VLOOKUP('תפוקה מצטברת מול אשתקד'!A6,אינפניטי!A:G,5,0)</f>
        <v>31027.561324071801</v>
      </c>
      <c r="J6" s="58">
        <f>VLOOKUP(A6,הכשרה!A:G,6,0)+VLOOKUP('תפוקה מצטברת מול אשתקד'!A6,מגדל!A:G,6,0)+VLOOKUP('תפוקה מצטברת מול אשתקד'!A6,מנורה!A:G,6,0)+VLOOKUP('תפוקה מצטברת מול אשתקד'!A6,איילון!A:G,6,0)+VLOOKUP(A6,הראל!A:G,6,0)+VLOOKUP('תפוקה מצטברת מול אשתקד'!A6,הפניקס!A:G,6,0)+VLOOKUP('תפוקה מצטברת מול אשתקד'!A6,כלל!A:G,6,0)+VLOOKUP('תפוקה מצטברת מול אשתקד'!A6,מור!A:G,6,0)+VLOOKUP('תפוקה מצטברת מול אשתקד'!A6,'אלטשולר שחם'!A:G,6,0)+VLOOKUP('תפוקה מצטברת מול אשתקד'!A6,'מדיהו '!A:G,6,0)+VLOOKUP('תפוקה מצטברת מול אשתקד'!A6,'אנליסט '!A:G,6,0)+VLOOKUP('תפוקה מצטברת מול אשתקד'!A6,'מיטב דש'!A:G,6,0)+VLOOKUP('תפוקה מצטברת מול אשתקד'!A6,אינפניטי!A:G,6,0)</f>
        <v>453181.28</v>
      </c>
      <c r="K6" s="58">
        <f>VLOOKUP(A6,הכשרה!A:G,7,0)+VLOOKUP('תפוקה מצטברת מול אשתקד'!A6,מגדל!A:G,7,0)+VLOOKUP('תפוקה מצטברת מול אשתקד'!A6,מנורה!A:G,7,0)+VLOOKUP('תפוקה מצטברת מול אשתקד'!A6,איילון!A:G,7,0)+VLOOKUP('תפוקה מצטברת מול אשתקד'!A6,הראל!A:G,7,0)+VLOOKUP('תפוקה מצטברת מול אשתקד'!A6,הפניקס!A:G,7,0)+VLOOKUP('תפוקה מצטברת מול אשתקד'!A6,כלל!A:G,7,0)+VLOOKUP('תפוקה מצטברת מול אשתקד'!A6,מור!A:G,7,0)+VLOOKUP('תפוקה מצטברת מול אשתקד'!A6,'אלטשולר שחם'!A:G,7,0)+VLOOKUP('תפוקה מצטברת מול אשתקד'!A6,'מדיהו '!A:K,7,0)+VLOOKUP(A6,'אנליסט '!A:G,7,0)+VLOOKUP('תפוקה מצטברת מול אשתקד'!A6,'מיטב דש'!A:G,7,0)+VLOOKUP('תפוקה מצטברת מול אשתקד'!A6,אינפניטי!A:G,7,0)</f>
        <v>131217.27000000005</v>
      </c>
      <c r="L6" s="12">
        <f>VLOOKUP(A6,הכשרה!A:K,8,0)+VLOOKUP('תפוקה מצטברת מול אשתקד'!A6,מגדל!A:K,8,0)+VLOOKUP('תפוקה מצטברת מול אשתקד'!A6,מנורה!A:K,8,0)+VLOOKUP('תפוקה מצטברת מול אשתקד'!A6,איילון!A:K,8,0)+VLOOKUP('תפוקה מצטברת מול אשתקד'!A6,הראל!A:K,8,0)+VLOOKUP('תפוקה מצטברת מול אשתקד'!A6,הפניקס!A:K,8,0)+VLOOKUP('תפוקה מצטברת מול אשתקד'!A6,כלל!A:K,8,0)+VLOOKUP('תפוקה מצטברת מול אשתקד'!A6,מור!A:K,8,0)+VLOOKUP('תפוקה מצטברת מול אשתקד'!A6,'אלטשולר שחם'!A:K,8,0)+VLOOKUP('תפוקה מצטברת מול אשתקד'!A6,'מדיהו '!A:K,8,0)+VLOOKUP('תפוקה מצטברת מול אשתקד'!A6,'אנליסט '!A:K,8,0)+VLOOKUP('תפוקה מצטברת מול אשתקד'!A6,'מיטב דש'!A:K,8,0)+VLOOKUP('תפוקה מצטברת מול אשתקד'!A6,אינפניטי!A:K,8,0)</f>
        <v>0</v>
      </c>
      <c r="M6" s="12">
        <f>VLOOKUP(A6,הכשרה!A:K,9,0)+VLOOKUP('תפוקה מצטברת מול אשתקד'!A6,מגדל!A:K,9,0)+VLOOKUP('תפוקה מצטברת מול אשתקד'!A6,מנורה!A:K,9,0)+VLOOKUP('תפוקה מצטברת מול אשתקד'!A6,איילון!A:K,9,0)+VLOOKUP('תפוקה מצטברת מול אשתקד'!A6,הראל!A:K,9,0)+VLOOKUP('תפוקה מצטברת מול אשתקד'!A6,הפניקס!A:K,9,0)+VLOOKUP('תפוקה מצטברת מול אשתקד'!A6,כלל!A:K,9,0)+VLOOKUP('תפוקה מצטברת מול אשתקד'!A6,מור!A:K,9,0)+VLOOKUP('תפוקה מצטברת מול אשתקד'!A6,'אלטשולר שחם'!A:K,9,0)+VLOOKUP('תפוקה מצטברת מול אשתקד'!A6,'מדיהו '!A:K,9,0)+VLOOKUP('תפוקה מצטברת מול אשתקד'!A6,'אנליסט '!A:K,9,0)+VLOOKUP('תפוקה מצטברת מול אשתקד'!A6,'מיטב דש'!A:K,9,0)+VLOOKUP('תפוקה מצטברת מול אשתקד'!A6,אינפניטי!A:K,9,0)</f>
        <v>0</v>
      </c>
      <c r="N6" s="12">
        <f>VLOOKUP(A6,הכשרה!A:K,10,0)+VLOOKUP('תפוקה מצטברת מול אשתקד'!A6,מגדל!A:K,10,0)+VLOOKUP('תפוקה מצטברת מול אשתקד'!A6,מנורה!A:K,10,0)+VLOOKUP('תפוקה מצטברת מול אשתקד'!A6,איילון!A:K,10,0)+VLOOKUP('תפוקה מצטברת מול אשתקד'!A6,הראל!A:K,10,0)+VLOOKUP('תפוקה מצטברת מול אשתקד'!A6,הפניקס!A:K,10,0)+VLOOKUP('תפוקה מצטברת מול אשתקד'!A6,כלל!A:K,10,0)+VLOOKUP('תפוקה מצטברת מול אשתקד'!A6,מור!A:K,10,0)+VLOOKUP('תפוקה מצטברת מול אשתקד'!A6,'אלטשולר שחם'!A:K,10,0)+VLOOKUP('תפוקה מצטברת מול אשתקד'!A6,'מדיהו '!A:K,10,0)+VLOOKUP('תפוקה מצטברת מול אשתקד'!A6,'אנליסט '!A:K,10,0)+VLOOKUP('תפוקה מצטברת מול אשתקד'!A6,'מיטב דש'!A:K,10,0)+VLOOKUP('תפוקה מצטברת מול אשתקד'!A6,אינפניטי!A:K,10,0)</f>
        <v>0</v>
      </c>
      <c r="O6" s="12">
        <f>VLOOKUP(A6,הכשרה!A:K,11,0)+VLOOKUP('תפוקה מצטברת מול אשתקד'!A6,מגדל!A:K,11,0)+VLOOKUP('תפוקה מצטברת מול אשתקד'!A6,מנורה!A:K,11,0)+VLOOKUP('תפוקה מצטברת מול אשתקד'!A6,איילון!A:K,11,0)+VLOOKUP('תפוקה מצטברת מול אשתקד'!A6,הראל!A:K,11,0)+VLOOKUP('תפוקה מצטברת מול אשתקד'!A6,הפניקס!A:K,11,0)+VLOOKUP('תפוקה מצטברת מול אשתקד'!A6,כלל!A:K,11,0)+VLOOKUP('תפוקה מצטברת מול אשתקד'!A6,מור!A:K,11,0)+VLOOKUP('תפוקה מצטברת מול אשתקד'!A6,'אלטשולר שחם'!A:K,11,0)+VLOOKUP('תפוקה מצטברת מול אשתקד'!A6,'מדיהו '!A:K,11,0)+VLOOKUP('תפוקה מצטברת מול אשתקד'!A6,'אנליסט '!A:K,11,0)+VLOOKUP('תפוקה מצטברת מול אשתקד'!A6,'מיטב דש'!A:K,11,0)+VLOOKUP('תפוקה מצטברת מול אשתקד'!A6,אינפניטי!A:K,11,0)</f>
        <v>0</v>
      </c>
      <c r="P6" s="89"/>
    </row>
    <row r="7" spans="1:16" ht="15.75" customHeight="1" thickBot="1" x14ac:dyDescent="0.25">
      <c r="A7" s="26" t="s">
        <v>34</v>
      </c>
      <c r="B7" s="26" t="s">
        <v>108</v>
      </c>
      <c r="C7" s="27" t="s">
        <v>58</v>
      </c>
      <c r="D7" s="19">
        <f>IF(H7=0,0%,IF(L7=0,100%,H7/L7-1))</f>
        <v>-0.50845797854580177</v>
      </c>
      <c r="E7" s="19">
        <f>IF(I7=0,0%,IF(M7=0,100%,I7/M7-1))</f>
        <v>0.65403236592216119</v>
      </c>
      <c r="F7" s="19">
        <f>IF(J7=0,0%,IF(N7=0,100%,J7/N7-1))</f>
        <v>0.18529415222554024</v>
      </c>
      <c r="G7" s="19">
        <f>IF(K7=0,0%,IF(O7=H71,100%,K7/O7-1))</f>
        <v>-0.49743581362850653</v>
      </c>
      <c r="H7" s="58">
        <f>VLOOKUP(A7,הכשרה!A:G,4,0)+VLOOKUP('תפוקה מצטברת מול אשתקד'!A7,מגדל!A:G,4,0)+VLOOKUP('תפוקה מצטברת מול אשתקד'!A7,מנורה!A:G,4,0)+VLOOKUP('תפוקה מצטברת מול אשתקד'!A7,איילון!A:G,4,0)+VLOOKUP('תפוקה מצטברת מול אשתקד'!A7,הראל!A:G,4,0)+VLOOKUP('תפוקה מצטברת מול אשתקד'!A7,הפניקס!A:G,4,0)+VLOOKUP('תפוקה מצטברת מול אשתקד'!A7,כלל!A:G,4,0)+VLOOKUP('תפוקה מצטברת מול אשתקד'!A7,מור!A:G,4,0)+VLOOKUP('תפוקה מצטברת מול אשתקד'!A7,'אלטשולר שחם'!A:G,4,0)+VLOOKUP('תפוקה מצטברת מול אשתקד'!A7,'מדיהו '!A:G,4,0)+VLOOKUP('תפוקה מצטברת מול אשתקד'!A7,'אנליסט '!A:G,4,0)+VLOOKUP('תפוקה מצטברת מול אשתקד'!A7,'מיטב דש'!A:G,4,0)+VLOOKUP('תפוקה מצטברת מול אשתקד'!A7,אינפניטי!A:G,4,0)</f>
        <v>19299.96</v>
      </c>
      <c r="I7" s="58">
        <f>VLOOKUP(A7,הכשרה!A:G,5,0)+VLOOKUP('תפוקה מצטברת מול אשתקד'!A7,מגדל!A:G,5,0)+VLOOKUP('תפוקה מצטברת מול אשתקד'!A7,מנורה!A:G,5,0)+VLOOKUP('תפוקה מצטברת מול אשתקד'!A7,איילון!A:G,5,0)+VLOOKUP('תפוקה מצטברת מול אשתקד'!A7,הראל!A:G,5,0)+VLOOKUP('תפוקה מצטברת מול אשתקד'!A7,הפניקס!A:G,5,0)+VLOOKUP('תפוקה מצטברת מול אשתקד'!A7,כלל!A:G,5,0)+VLOOKUP('תפוקה מצטברת מול אשתקד'!A7,מור!A:G,5,0)+VLOOKUP('תפוקה מצטברת מול אשתקד'!A7,'אלטשולר שחם'!A:G,5,0)+VLOOKUP('תפוקה מצטברת מול אשתקד'!A7,'מדיהו '!A:G,5,0)+VLOOKUP('תפוקה מצטברת מול אשתקד'!A7,'אנליסט '!A:G,5,0)+VLOOKUP('תפוקה מצטברת מול אשתקד'!A7,'מיטב דש'!A:G,5,0)+VLOOKUP('תפוקה מצטברת מול אשתקד'!A7,אינפניטי!A:G,5,0)</f>
        <v>1236.72</v>
      </c>
      <c r="J7" s="58">
        <f>VLOOKUP(A7,הכשרה!A:G,6,0)+VLOOKUP('תפוקה מצטברת מול אשתקד'!A7,מגדל!A:G,6,0)+VLOOKUP('תפוקה מצטברת מול אשתקד'!A7,מנורה!A:G,6,0)+VLOOKUP('תפוקה מצטברת מול אשתקד'!A7,איילון!A:G,6,0)+VLOOKUP(A7,הראל!A:G,6,0)+VLOOKUP('תפוקה מצטברת מול אשתקד'!A7,הפניקס!A:G,6,0)+VLOOKUP('תפוקה מצטברת מול אשתקד'!A7,כלל!A:G,6,0)+VLOOKUP('תפוקה מצטברת מול אשתקד'!A7,מור!A:G,6,0)+VLOOKUP('תפוקה מצטברת מול אשתקד'!A7,'אלטשולר שחם'!A:G,6,0)+VLOOKUP('תפוקה מצטברת מול אשתקד'!A7,'מדיהו '!A:G,6,0)+VLOOKUP('תפוקה מצטברת מול אשתקד'!A7,'אנליסט '!A:G,6,0)+VLOOKUP('תפוקה מצטברת מול אשתקד'!A7,'מיטב דש'!A:G,6,0)+VLOOKUP('תפוקה מצטברת מול אשתקד'!A7,אינפניטי!A:G,6,0)</f>
        <v>12098.25</v>
      </c>
      <c r="K7" s="58">
        <f>VLOOKUP(A7,הכשרה!A:G,7,0)+VLOOKUP('תפוקה מצטברת מול אשתקד'!A7,מגדל!A:G,7,0)+VLOOKUP('תפוקה מצטברת מול אשתקד'!A7,מנורה!A:G,7,0)+VLOOKUP('תפוקה מצטברת מול אשתקד'!A7,איילון!A:G,7,0)+VLOOKUP('תפוקה מצטברת מול אשתקד'!A7,הראל!A:G,7,0)+VLOOKUP('תפוקה מצטברת מול אשתקד'!A7,הפניקס!A:G,7,0)+VLOOKUP('תפוקה מצטברת מול אשתקד'!A7,כלל!A:G,7,0)+VLOOKUP('תפוקה מצטברת מול אשתקד'!A7,מור!A:G,7,0)+VLOOKUP('תפוקה מצטברת מול אשתקד'!A7,'אלטשולר שחם'!A:G,7,0)+VLOOKUP('תפוקה מצטברת מול אשתקד'!A7,'מדיהו '!A:K,7,0)+VLOOKUP(A7,'אנליסט '!A:G,7,0)+VLOOKUP('תפוקה מצטברת מול אשתקד'!A7,'מיטב דש'!A:G,7,0)+VLOOKUP('תפוקה מצטברת מול אשתקד'!A7,אינפניטי!A:G,7,0)</f>
        <v>52586.07</v>
      </c>
      <c r="L7" s="12">
        <f>VLOOKUP(A7,הכשרה!A:K,8,0)+VLOOKUP('תפוקה מצטברת מול אשתקד'!A7,מגדל!A:K,8,0)+VLOOKUP('תפוקה מצטברת מול אשתקד'!A7,מנורה!A:K,8,0)+VLOOKUP('תפוקה מצטברת מול אשתקד'!A7,איילון!A:K,8,0)+VLOOKUP('תפוקה מצטברת מול אשתקד'!A7,הראל!A:K,8,0)+VLOOKUP('תפוקה מצטברת מול אשתקד'!A7,הפניקס!A:K,8,0)+VLOOKUP('תפוקה מצטברת מול אשתקד'!A7,כלל!A:K,8,0)+VLOOKUP('תפוקה מצטברת מול אשתקד'!A7,מור!A:K,8,0)+VLOOKUP('תפוקה מצטברת מול אשתקד'!A7,'אלטשולר שחם'!A:K,8,0)+VLOOKUP('תפוקה מצטברת מול אשתקד'!A7,'מדיהו '!A:K,8,0)+VLOOKUP('תפוקה מצטברת מול אשתקד'!A7,'אנליסט '!A:K,8,0)+VLOOKUP('תפוקה מצטברת מול אשתקד'!A7,'מיטב דש'!A:K,8,0)+VLOOKUP('תפוקה מצטברת מול אשתקד'!A7,אינפניטי!A:K,8,0)</f>
        <v>39264.11</v>
      </c>
      <c r="M7" s="12">
        <f>VLOOKUP(A7,הכשרה!A:K,9,0)+VLOOKUP('תפוקה מצטברת מול אשתקד'!A7,מגדל!A:K,9,0)+VLOOKUP('תפוקה מצטברת מול אשתקד'!A7,מנורה!A:K,9,0)+VLOOKUP('תפוקה מצטברת מול אשתקד'!A7,איילון!A:K,9,0)+VLOOKUP('תפוקה מצטברת מול אשתקד'!A7,הראל!A:K,9,0)+VLOOKUP('תפוקה מצטברת מול אשתקד'!A7,הפניקס!A:K,9,0)+VLOOKUP('תפוקה מצטברת מול אשתקד'!A7,כלל!A:K,9,0)+VLOOKUP('תפוקה מצטברת מול אשתקד'!A7,מור!A:K,9,0)+VLOOKUP('תפוקה מצטברת מול אשתקד'!A7,'אלטשולר שחם'!A:K,9,0)+VLOOKUP('תפוקה מצטברת מול אשתקד'!A7,'מדיהו '!A:K,9,0)+VLOOKUP('תפוקה מצטברת מול אשתקד'!A7,'אנליסט '!A:K,9,0)+VLOOKUP('תפוקה מצטברת מול אשתקד'!A7,'מיטב דש'!A:K,9,0)+VLOOKUP('תפוקה מצטברת מול אשתקד'!A7,אינפניטי!A:K,9,0)</f>
        <v>747.7</v>
      </c>
      <c r="N7" s="12">
        <f>VLOOKUP(A7,הכשרה!A:K,10,0)+VLOOKUP('תפוקה מצטברת מול אשתקד'!A7,מגדל!A:K,10,0)+VLOOKUP('תפוקה מצטברת מול אשתקד'!A7,מנורה!A:K,10,0)+VLOOKUP('תפוקה מצטברת מול אשתקד'!A7,איילון!A:K,10,0)+VLOOKUP('תפוקה מצטברת מול אשתקד'!A7,הראל!A:K,10,0)+VLOOKUP('תפוקה מצטברת מול אשתקד'!A7,הפניקס!A:K,10,0)+VLOOKUP('תפוקה מצטברת מול אשתקד'!A7,כלל!A:K,10,0)+VLOOKUP('תפוקה מצטברת מול אשתקד'!A7,מור!A:K,10,0)+VLOOKUP('תפוקה מצטברת מול אשתקד'!A7,'אלטשולר שחם'!A:K,10,0)+VLOOKUP('תפוקה מצטברת מול אשתקד'!A7,'מדיהו '!A:K,10,0)+VLOOKUP('תפוקה מצטברת מול אשתקד'!A7,'אנליסט '!A:K,10,0)+VLOOKUP('תפוקה מצטברת מול אשתקד'!A7,'מיטב דש'!A:K,10,0)+VLOOKUP('תפוקה מצטברת מול אשתקד'!A7,אינפניטי!A:K,10,0)</f>
        <v>10206.959999999999</v>
      </c>
      <c r="O7" s="12">
        <f>VLOOKUP(A7,הכשרה!A:K,11,0)+VLOOKUP('תפוקה מצטברת מול אשתקד'!A7,מגדל!A:K,11,0)+VLOOKUP('תפוקה מצטברת מול אשתקד'!A7,מנורה!A:K,11,0)+VLOOKUP('תפוקה מצטברת מול אשתקד'!A7,איילון!A:K,11,0)+VLOOKUP('תפוקה מצטברת מול אשתקד'!A7,הראל!A:K,11,0)+VLOOKUP('תפוקה מצטברת מול אשתקד'!A7,הפניקס!A:K,11,0)+VLOOKUP('תפוקה מצטברת מול אשתקד'!A7,כלל!A:K,11,0)+VLOOKUP('תפוקה מצטברת מול אשתקד'!A7,מור!A:K,11,0)+VLOOKUP('תפוקה מצטברת מול אשתקד'!A7,'אלטשולר שחם'!A:K,11,0)+VLOOKUP('תפוקה מצטברת מול אשתקד'!A7,'מדיהו '!A:K,11,0)+VLOOKUP('תפוקה מצטברת מול אשתקד'!A7,'אנליסט '!A:K,11,0)+VLOOKUP('תפוקה מצטברת מול אשתקד'!A7,'מיטב דש'!A:K,11,0)+VLOOKUP('תפוקה מצטברת מול אשתקד'!A7,אינפניטי!A:K,11,0)</f>
        <v>104635.53</v>
      </c>
    </row>
    <row r="8" spans="1:16" ht="26.45" customHeight="1" thickBot="1" x14ac:dyDescent="0.25">
      <c r="A8" s="122" t="s">
        <v>3</v>
      </c>
      <c r="B8" s="121"/>
      <c r="C8" s="121"/>
      <c r="D8" s="126">
        <f t="shared" si="0"/>
        <v>0.6120235187323273</v>
      </c>
      <c r="E8" s="126">
        <f t="shared" si="1"/>
        <v>-0.50690168832064864</v>
      </c>
      <c r="F8" s="126">
        <f t="shared" si="2"/>
        <v>6.2359066722603718E-3</v>
      </c>
      <c r="G8" s="19">
        <f>IF(K8=0,0%,IF(O8=H72,100%,K8/O8-1))</f>
        <v>0.78430941255511</v>
      </c>
      <c r="H8" s="124">
        <f>SUM(H3:H7)</f>
        <v>4971214.3820461081</v>
      </c>
      <c r="I8" s="124">
        <f t="shared" ref="I8:O8" si="3">SUM(I3:I7)</f>
        <v>249721.27783262375</v>
      </c>
      <c r="J8" s="124">
        <f t="shared" si="3"/>
        <v>13756635.527899869</v>
      </c>
      <c r="K8" s="124">
        <f t="shared" si="3"/>
        <v>30552415.319999997</v>
      </c>
      <c r="L8" s="124">
        <f t="shared" si="3"/>
        <v>3083834.8971207328</v>
      </c>
      <c r="M8" s="124">
        <f t="shared" si="3"/>
        <v>506433.04168319848</v>
      </c>
      <c r="N8" s="124">
        <f t="shared" si="3"/>
        <v>13671382.065260094</v>
      </c>
      <c r="O8" s="124">
        <f t="shared" si="3"/>
        <v>17122823.600560006</v>
      </c>
    </row>
    <row r="9" spans="1:16" ht="15.75" customHeight="1" x14ac:dyDescent="0.2">
      <c r="A9" s="27" t="s">
        <v>4</v>
      </c>
      <c r="B9" s="26" t="s">
        <v>108</v>
      </c>
      <c r="C9" s="27" t="s">
        <v>106</v>
      </c>
      <c r="D9" s="103">
        <f t="shared" si="0"/>
        <v>9.1455367300928305</v>
      </c>
      <c r="E9" s="103">
        <f t="shared" si="1"/>
        <v>13.335289031620555</v>
      </c>
      <c r="F9" s="103">
        <f t="shared" si="2"/>
        <v>0</v>
      </c>
      <c r="G9" s="103">
        <f t="shared" ref="G9:G73" si="4">IF(K9=0,0%,IF(O9=H32,100%,K9/O9-1))</f>
        <v>2.4051967869481348</v>
      </c>
      <c r="H9" s="58">
        <f>VLOOKUP(A9,הכשרה!A:G,4,0)+VLOOKUP('תפוקה מצטברת מול אשתקד'!A9,מגדל!A:G,4,0)+VLOOKUP('תפוקה מצטברת מול אשתקד'!A9,מנורה!A:G,4,0)+VLOOKUP('תפוקה מצטברת מול אשתקד'!A9,איילון!A:G,4,0)+VLOOKUP('תפוקה מצטברת מול אשתקד'!A9,הראל!A:G,4,0)+VLOOKUP('תפוקה מצטברת מול אשתקד'!A9,הפניקס!A:G,4,0)+VLOOKUP('תפוקה מצטברת מול אשתקד'!A9,כלל!A:G,4,0)+VLOOKUP('תפוקה מצטברת מול אשתקד'!A9,מור!A:G,4,0)+VLOOKUP('תפוקה מצטברת מול אשתקד'!A9,'אלטשולר שחם'!A:G,4,0)+VLOOKUP('תפוקה מצטברת מול אשתקד'!A9,'מדיהו '!A:G,4,0)+VLOOKUP('תפוקה מצטברת מול אשתקד'!A9,'אנליסט '!A:G,4,0)+VLOOKUP('תפוקה מצטברת מול אשתקד'!A9,'מיטב דש'!A:G,4,0)+VLOOKUP('תפוקה מצטברת מול אשתקד'!A9,אינפניטי!A:G,4,0)</f>
        <v>24918.939624457689</v>
      </c>
      <c r="I9" s="58">
        <f>VLOOKUP(A9,הכשרה!A:G,5,0)+VLOOKUP('תפוקה מצטברת מול אשתקד'!A9,מגדל!A:G,5,0)+VLOOKUP('תפוקה מצטברת מול אשתקד'!A9,מנורה!A:G,5,0)+VLOOKUP('תפוקה מצטברת מול אשתקד'!A9,איילון!A:G,5,0)+VLOOKUP('תפוקה מצטברת מול אשתקד'!A9,הראל!A:G,5,0)+VLOOKUP('תפוקה מצטברת מול אשתקד'!A9,הפניקס!A:G,5,0)+VLOOKUP('תפוקה מצטברת מול אשתקד'!A9,כלל!A:G,5,0)+VLOOKUP('תפוקה מצטברת מול אשתקד'!A9,מור!A:G,5,0)+VLOOKUP('תפוקה מצטברת מול אשתקד'!A9,'אלטשולר שחם'!A:G,5,0)+VLOOKUP('תפוקה מצטברת מול אשתקד'!A9,'מדיהו '!A:G,5,0)+VLOOKUP('תפוקה מצטברת מול אשתקד'!A9,'אנליסט '!A:G,5,0)+VLOOKUP('תפוקה מצטברת מול אשתקד'!A9,'מיטב דש'!A:G,5,0)+VLOOKUP('תפוקה מצטברת מול אשתקד'!A9,אינפניטי!A:G,5,0)</f>
        <v>1160.585</v>
      </c>
      <c r="J9" s="58">
        <f>VLOOKUP(A9,הכשרה!A:G,6,0)+VLOOKUP('תפוקה מצטברת מול אשתקד'!A9,מגדל!A:G,6,0)+VLOOKUP('תפוקה מצטברת מול אשתקד'!A9,מנורה!A:G,6,0)+VLOOKUP('תפוקה מצטברת מול אשתקד'!A9,איילון!A:G,6,0)+VLOOKUP(A9,הראל!A:G,6,0)+VLOOKUP('תפוקה מצטברת מול אשתקד'!A9,הפניקס!A:G,6,0)+VLOOKUP('תפוקה מצטברת מול אשתקד'!A9,כלל!A:G,6,0)+VLOOKUP('תפוקה מצטברת מול אשתקד'!A9,מור!A:G,6,0)+VLOOKUP('תפוקה מצטברת מול אשתקד'!A9,'אלטשולר שחם'!A:G,6,0)+VLOOKUP('תפוקה מצטברת מול אשתקד'!A9,'מדיהו '!A:G,6,0)+VLOOKUP('תפוקה מצטברת מול אשתקד'!A9,'אנליסט '!A:G,6,0)+VLOOKUP('תפוקה מצטברת מול אשתקד'!A9,'מיטב דש'!A:G,6,0)+VLOOKUP('תפוקה מצטברת מול אשתקד'!A9,אינפניטי!A:G,6,0)</f>
        <v>0</v>
      </c>
      <c r="K9" s="58">
        <f>VLOOKUP(A9,הכשרה!A:G,7,0)+VLOOKUP('תפוקה מצטברת מול אשתקד'!A9,מגדל!A:G,7,0)+VLOOKUP('תפוקה מצטברת מול אשתקד'!A9,מנורה!A:G,7,0)+VLOOKUP('תפוקה מצטברת מול אשתקד'!A9,איילון!A:G,7,0)+VLOOKUP('תפוקה מצטברת מול אשתקד'!A9,הראל!A:G,7,0)+VLOOKUP('תפוקה מצטברת מול אשתקד'!A9,הפניקס!A:G,7,0)+VLOOKUP('תפוקה מצטברת מול אשתקד'!A9,כלל!A:G,7,0)+VLOOKUP('תפוקה מצטברת מול אשתקד'!A9,מור!A:G,7,0)+VLOOKUP('תפוקה מצטברת מול אשתקד'!A9,'אלטשולר שחם'!A:G,7,0)+VLOOKUP('תפוקה מצטברת מול אשתקד'!A9,'מדיהו '!A:K,7,0)+VLOOKUP(A9,'אנליסט '!A:G,7,0)+VLOOKUP('תפוקה מצטברת מול אשתקד'!A9,'מיטב דש'!A:G,7,0)+VLOOKUP('תפוקה מצטברת מול אשתקד'!A9,אינפניטי!A:G,7,0)</f>
        <v>-191018.59999999998</v>
      </c>
      <c r="L9" s="12">
        <f>VLOOKUP(A9,הכשרה!A:K,8,0)+VLOOKUP('תפוקה מצטברת מול אשתקד'!A9,מגדל!A:K,8,0)+VLOOKUP('תפוקה מצטברת מול אשתקד'!A9,מנורה!A:K,8,0)+VLOOKUP('תפוקה מצטברת מול אשתקד'!A9,איילון!A:K,8,0)+VLOOKUP('תפוקה מצטברת מול אשתקד'!A9,הראל!A:K,8,0)+VLOOKUP('תפוקה מצטברת מול אשתקד'!A9,הפניקס!A:K,8,0)+VLOOKUP('תפוקה מצטברת מול אשתקד'!A9,כלל!A:K,8,0)+VLOOKUP('תפוקה מצטברת מול אשתקד'!A9,מור!A:K,8,0)+VLOOKUP('תפוקה מצטברת מול אשתקד'!A9,'אלטשולר שחם'!A:K,8,0)+VLOOKUP('תפוקה מצטברת מול אשתקד'!A9,'מדיהו '!A:K,8,0)+VLOOKUP('תפוקה מצטברת מול אשתקד'!A9,'אנליסט '!A:K,8,0)+VLOOKUP('תפוקה מצטברת מול אשתקד'!A9,'מיטב דש'!A:K,8,0)+VLOOKUP('תפוקה מצטברת מול אשתקד'!A9,אינפניטי!A:K,8,0)</f>
        <v>2456.147987769365</v>
      </c>
      <c r="M9" s="12">
        <f>VLOOKUP(A9,הכשרה!A:K,9,0)+VLOOKUP('תפוקה מצטברת מול אשתקד'!A9,מגדל!A:K,9,0)+VLOOKUP('תפוקה מצטברת מול אשתקד'!A9,מנורה!A:K,9,0)+VLOOKUP('תפוקה מצטברת מול אשתקד'!A9,איילון!A:K,9,0)+VLOOKUP('תפוקה מצטברת מול אשתקד'!A9,הראל!A:K,9,0)+VLOOKUP('תפוקה מצטברת מול אשתקד'!A9,הפניקס!A:K,9,0)+VLOOKUP('תפוקה מצטברת מול אשתקד'!A9,כלל!A:K,9,0)+VLOOKUP('תפוקה מצטברת מול אשתקד'!A9,מור!A:K,9,0)+VLOOKUP('תפוקה מצטברת מול אשתקד'!A9,'אלטשולר שחם'!A:K,9,0)+VLOOKUP('תפוקה מצטברת מול אשתקד'!A9,'מדיהו '!A:K,9,0)+VLOOKUP('תפוקה מצטברת מול אשתקד'!A9,'אנליסט '!A:K,9,0)+VLOOKUP('תפוקה מצטברת מול אשתקד'!A9,'מיטב דש'!A:K,9,0)+VLOOKUP('תפוקה מצטברת מול אשתקד'!A9,אינפניטי!A:K,9,0)</f>
        <v>80.959999999999994</v>
      </c>
      <c r="N9" s="12">
        <f>VLOOKUP(A9,הכשרה!A:K,10,0)+VLOOKUP('תפוקה מצטברת מול אשתקד'!A9,מגדל!A:K,10,0)+VLOOKUP('תפוקה מצטברת מול אשתקד'!A9,מנורה!A:K,10,0)+VLOOKUP('תפוקה מצטברת מול אשתקד'!A9,איילון!A:K,10,0)+VLOOKUP('תפוקה מצטברת מול אשתקד'!A9,הראל!A:K,10,0)+VLOOKUP('תפוקה מצטברת מול אשתקד'!A9,הפניקס!A:K,10,0)+VLOOKUP('תפוקה מצטברת מול אשתקד'!A9,כלל!A:K,10,0)+VLOOKUP('תפוקה מצטברת מול אשתקד'!A9,מור!A:K,10,0)+VLOOKUP('תפוקה מצטברת מול אשתקד'!A9,'אלטשולר שחם'!A:K,10,0)+VLOOKUP('תפוקה מצטברת מול אשתקד'!A9,'מדיהו '!A:K,10,0)+VLOOKUP('תפוקה מצטברת מול אשתקד'!A9,'אנליסט '!A:K,10,0)+VLOOKUP('תפוקה מצטברת מול אשתקד'!A9,'מיטב דש'!A:K,10,0)+VLOOKUP('תפוקה מצטברת מול אשתקד'!A9,אינפניטי!A:K,10,0)</f>
        <v>0</v>
      </c>
      <c r="O9" s="12">
        <f>VLOOKUP(A9,הכשרה!A:K,11,0)+VLOOKUP('תפוקה מצטברת מול אשתקד'!A9,מגדל!A:K,11,0)+VLOOKUP('תפוקה מצטברת מול אשתקד'!A9,מנורה!A:K,11,0)+VLOOKUP('תפוקה מצטברת מול אשתקד'!A9,איילון!A:K,11,0)+VLOOKUP('תפוקה מצטברת מול אשתקד'!A9,הראל!A:K,11,0)+VLOOKUP('תפוקה מצטברת מול אשתקד'!A9,הפניקס!A:K,11,0)+VLOOKUP('תפוקה מצטברת מול אשתקד'!A9,כלל!A:K,11,0)+VLOOKUP('תפוקה מצטברת מול אשתקד'!A9,מור!A:K,11,0)+VLOOKUP('תפוקה מצטברת מול אשתקד'!A9,'אלטשולר שחם'!A:K,11,0)+VLOOKUP('תפוקה מצטברת מול אשתקד'!A9,'מדיהו '!A:K,11,0)+VLOOKUP('תפוקה מצטברת מול אשתקד'!A9,'אנליסט '!A:K,11,0)+VLOOKUP('תפוקה מצטברת מול אשתקד'!A9,'מיטב דש'!A:K,11,0)+VLOOKUP('תפוקה מצטברת מול אשתקד'!A9,אינפניטי!A:K,11,0)</f>
        <v>-56096.200000000004</v>
      </c>
    </row>
    <row r="10" spans="1:16" ht="15.75" customHeight="1" x14ac:dyDescent="0.2">
      <c r="A10" s="26" t="s">
        <v>5</v>
      </c>
      <c r="B10" s="26" t="s">
        <v>108</v>
      </c>
      <c r="C10" s="26" t="s">
        <v>106</v>
      </c>
      <c r="D10" s="19">
        <f t="shared" si="0"/>
        <v>6.782880927189705E-4</v>
      </c>
      <c r="E10" s="19">
        <f t="shared" si="1"/>
        <v>1.8176875422753187</v>
      </c>
      <c r="F10" s="19">
        <f t="shared" si="2"/>
        <v>3.5936342020633329</v>
      </c>
      <c r="G10" s="19">
        <f t="shared" si="4"/>
        <v>4.9954893629749719</v>
      </c>
      <c r="H10" s="58">
        <f>VLOOKUP(A10,הכשרה!A:G,4,0)+VLOOKUP('תפוקה מצטברת מול אשתקד'!A10,מגדל!A:G,4,0)+VLOOKUP('תפוקה מצטברת מול אשתקד'!A10,מנורה!A:G,4,0)+VLOOKUP('תפוקה מצטברת מול אשתקד'!A10,איילון!A:G,4,0)+VLOOKUP('תפוקה מצטברת מול אשתקד'!A10,הראל!A:G,4,0)+VLOOKUP('תפוקה מצטברת מול אשתקד'!A10,הפניקס!A:G,4,0)+VLOOKUP('תפוקה מצטברת מול אשתקד'!A10,כלל!A:G,4,0)+VLOOKUP('תפוקה מצטברת מול אשתקד'!A10,מור!A:G,4,0)+VLOOKUP('תפוקה מצטברת מול אשתקד'!A10,'אלטשולר שחם'!A:G,4,0)+VLOOKUP('תפוקה מצטברת מול אשתקד'!A10,'מדיהו '!A:G,4,0)+VLOOKUP('תפוקה מצטברת מול אשתקד'!A10,'אנליסט '!A:G,4,0)+VLOOKUP('תפוקה מצטברת מול אשתקד'!A10,'מיטב דש'!A:G,4,0)+VLOOKUP('תפוקה מצטברת מול אשתקד'!A10,אינפניטי!A:G,4,0)</f>
        <v>505830.12110324984</v>
      </c>
      <c r="I10" s="58">
        <f>VLOOKUP(A10,הכשרה!A:G,5,0)+VLOOKUP('תפוקה מצטברת מול אשתקד'!A10,מגדל!A:G,5,0)+VLOOKUP('תפוקה מצטברת מול אשתקד'!A10,מנורה!A:G,5,0)+VLOOKUP('תפוקה מצטברת מול אשתקד'!A10,איילון!A:G,5,0)+VLOOKUP('תפוקה מצטברת מול אשתקד'!A10,הראל!A:G,5,0)+VLOOKUP('תפוקה מצטברת מול אשתקד'!A10,הפניקס!A:G,5,0)+VLOOKUP('תפוקה מצטברת מול אשתקד'!A10,כלל!A:G,5,0)+VLOOKUP('תפוקה מצטברת מול אשתקד'!A10,מור!A:G,5,0)+VLOOKUP('תפוקה מצטברת מול אשתקד'!A10,'אלטשולר שחם'!A:G,5,0)+VLOOKUP('תפוקה מצטברת מול אשתקד'!A10,'מדיהו '!A:G,5,0)+VLOOKUP('תפוקה מצטברת מול אשתקד'!A10,'אנליסט '!A:G,5,0)+VLOOKUP('תפוקה מצטברת מול אשתקד'!A10,'מיטב דש'!A:G,5,0)+VLOOKUP('תפוקה מצטברת מול אשתקד'!A10,אינפניטי!A:G,5,0)</f>
        <v>556306.61095248756</v>
      </c>
      <c r="J10" s="58">
        <f>VLOOKUP(A10,הכשרה!A:G,6,0)+VLOOKUP('תפוקה מצטברת מול אשתקד'!A10,מגדל!A:G,6,0)+VLOOKUP('תפוקה מצטברת מול אשתקד'!A10,מנורה!A:G,6,0)+VLOOKUP('תפוקה מצטברת מול אשתקד'!A10,איילון!A:G,6,0)+VLOOKUP(A10,הראל!A:G,6,0)+VLOOKUP('תפוקה מצטברת מול אשתקד'!A10,הפניקס!A:G,6,0)+VLOOKUP('תפוקה מצטברת מול אשתקד'!A10,כלל!A:G,6,0)+VLOOKUP('תפוקה מצטברת מול אשתקד'!A10,מור!A:G,6,0)+VLOOKUP('תפוקה מצטברת מול אשתקד'!A10,'אלטשולר שחם'!A:G,6,0)+VLOOKUP('תפוקה מצטברת מול אשתקד'!A10,'מדיהו '!A:G,6,0)+VLOOKUP('תפוקה מצטברת מול אשתקד'!A10,'אנליסט '!A:G,6,0)+VLOOKUP('תפוקה מצטברת מול אשתקד'!A10,'מיטב דש'!A:G,6,0)+VLOOKUP('תפוקה מצטברת מול אשתקד'!A10,אינפניטי!A:G,6,0)</f>
        <v>309711.70893169875</v>
      </c>
      <c r="K10" s="58">
        <f>VLOOKUP(A10,הכשרה!A:G,7,0)+VLOOKUP('תפוקה מצטברת מול אשתקד'!A10,מגדל!A:G,7,0)+VLOOKUP('תפוקה מצטברת מול אשתקד'!A10,מנורה!A:G,7,0)+VLOOKUP('תפוקה מצטברת מול אשתקד'!A10,איילון!A:G,7,0)+VLOOKUP('תפוקה מצטברת מול אשתקד'!A10,הראל!A:G,7,0)+VLOOKUP('תפוקה מצטברת מול אשתקד'!A10,הפניקס!A:G,7,0)+VLOOKUP('תפוקה מצטברת מול אשתקד'!A10,כלל!A:G,7,0)+VLOOKUP('תפוקה מצטברת מול אשתקד'!A10,מור!A:G,7,0)+VLOOKUP('תפוקה מצטברת מול אשתקד'!A10,'אלטשולר שחם'!A:G,7,0)+VLOOKUP('תפוקה מצטברת מול אשתקד'!A10,'מדיהו '!A:K,7,0)+VLOOKUP(A10,'אנליסט '!A:G,7,0)+VLOOKUP('תפוקה מצטברת מול אשתקד'!A10,'מיטב דש'!A:G,7,0)+VLOOKUP('תפוקה מצטברת מול אשתקד'!A10,אינפניטי!A:G,7,0)</f>
        <v>1110431.1200000001</v>
      </c>
      <c r="L10" s="12">
        <f>VLOOKUP(A10,הכשרה!A:K,8,0)+VLOOKUP('תפוקה מצטברת מול אשתקד'!A10,מגדל!A:K,8,0)+VLOOKUP('תפוקה מצטברת מול אשתקד'!A10,מנורה!A:K,8,0)+VLOOKUP('תפוקה מצטברת מול אשתקד'!A10,איילון!A:K,8,0)+VLOOKUP('תפוקה מצטברת מול אשתקד'!A10,הראל!A:K,8,0)+VLOOKUP('תפוקה מצטברת מול אשתקד'!A10,הפניקס!A:K,8,0)+VLOOKUP('תפוקה מצטברת מול אשתקד'!A10,כלל!A:K,8,0)+VLOOKUP('תפוקה מצטברת מול אשתקד'!A10,מור!A:K,8,0)+VLOOKUP('תפוקה מצטברת מול אשתקד'!A10,'אלטשולר שחם'!A:K,8,0)+VLOOKUP('תפוקה מצטברת מול אשתקד'!A10,'מדיהו '!A:K,8,0)+VLOOKUP('תפוקה מצטברת מול אשתקד'!A10,'אנליסט '!A:K,8,0)+VLOOKUP('תפוקה מצטברת מול אשתקד'!A10,'מיטב דש'!A:K,8,0)+VLOOKUP('תפוקה מצטברת מול אשתקד'!A10,אינפניטי!A:K,8,0)</f>
        <v>505487.25511708268</v>
      </c>
      <c r="M10" s="12">
        <f>VLOOKUP(A10,הכשרה!A:K,9,0)+VLOOKUP('תפוקה מצטברת מול אשתקד'!A10,מגדל!A:K,9,0)+VLOOKUP('תפוקה מצטברת מול אשתקד'!A10,מנורה!A:K,9,0)+VLOOKUP('תפוקה מצטברת מול אשתקד'!A10,איילון!A:K,9,0)+VLOOKUP('תפוקה מצטברת מול אשתקד'!A10,הראל!A:K,9,0)+VLOOKUP('תפוקה מצטברת מול אשתקד'!A10,הפניקס!A:K,9,0)+VLOOKUP('תפוקה מצטברת מול אשתקד'!A10,כלל!A:K,9,0)+VLOOKUP('תפוקה מצטברת מול אשתקד'!A10,מור!A:K,9,0)+VLOOKUP('תפוקה מצטברת מול אשתקד'!A10,'אלטשולר שחם'!A:K,9,0)+VLOOKUP('תפוקה מצטברת מול אשתקד'!A10,'מדיהו '!A:K,9,0)+VLOOKUP('תפוקה מצטברת מול אשתקד'!A10,'אנליסט '!A:K,9,0)+VLOOKUP('תפוקה מצטברת מול אשתקד'!A10,'מיטב דש'!A:K,9,0)+VLOOKUP('תפוקה מצטברת מול אשתקד'!A10,אינפניטי!A:K,9,0)</f>
        <v>197433.74756991788</v>
      </c>
      <c r="N10" s="12">
        <f>VLOOKUP(A10,הכשרה!A:K,10,0)+VLOOKUP('תפוקה מצטברת מול אשתקד'!A10,מגדל!A:K,10,0)+VLOOKUP('תפוקה מצטברת מול אשתקד'!A10,מנורה!A:K,10,0)+VLOOKUP('תפוקה מצטברת מול אשתקד'!A10,איילון!A:K,10,0)+VLOOKUP('תפוקה מצטברת מול אשתקד'!A10,הראל!A:K,10,0)+VLOOKUP('תפוקה מצטברת מול אשתקד'!A10,הפניקס!A:K,10,0)+VLOOKUP('תפוקה מצטברת מול אשתקד'!A10,כלל!A:K,10,0)+VLOOKUP('תפוקה מצטברת מול אשתקד'!A10,מור!A:K,10,0)+VLOOKUP('תפוקה מצטברת מול אשתקד'!A10,'אלטשולר שחם'!A:K,10,0)+VLOOKUP('תפוקה מצטברת מול אשתקד'!A10,'מדיהו '!A:K,10,0)+VLOOKUP('תפוקה מצטברת מול אשתקד'!A10,'אנליסט '!A:K,10,0)+VLOOKUP('תפוקה מצטברת מול אשתקד'!A10,'מיטב דש'!A:K,10,0)+VLOOKUP('תפוקה מצטברת מול אשתקד'!A10,אינפניטי!A:K,10,0)</f>
        <v>67421.935510795534</v>
      </c>
      <c r="O10" s="12">
        <f>VLOOKUP(A10,הכשרה!A:K,11,0)+VLOOKUP('תפוקה מצטברת מול אשתקד'!A10,מגדל!A:K,11,0)+VLOOKUP('תפוקה מצטברת מול אשתקד'!A10,מנורה!A:K,11,0)+VLOOKUP('תפוקה מצטברת מול אשתקד'!A10,איילון!A:K,11,0)+VLOOKUP('תפוקה מצטברת מול אשתקד'!A10,הראל!A:K,11,0)+VLOOKUP('תפוקה מצטברת מול אשתקד'!A10,הפניקס!A:K,11,0)+VLOOKUP('תפוקה מצטברת מול אשתקד'!A10,כלל!A:K,11,0)+VLOOKUP('תפוקה מצטברת מול אשתקד'!A10,מור!A:K,11,0)+VLOOKUP('תפוקה מצטברת מול אשתקד'!A10,'אלטשולר שחם'!A:K,11,0)+VLOOKUP('תפוקה מצטברת מול אשתקד'!A10,'מדיהו '!A:K,11,0)+VLOOKUP('תפוקה מצטברת מול אשתקד'!A10,'אנליסט '!A:K,11,0)+VLOOKUP('תפוקה מצטברת מול אשתקד'!A10,'מיטב דש'!A:K,11,0)+VLOOKUP('תפוקה מצטברת מול אשתקד'!A10,אינפניטי!A:K,11,0)</f>
        <v>185211.09</v>
      </c>
    </row>
    <row r="11" spans="1:16" ht="15.75" customHeight="1" x14ac:dyDescent="0.2">
      <c r="A11" s="26" t="s">
        <v>6</v>
      </c>
      <c r="B11" s="26" t="s">
        <v>108</v>
      </c>
      <c r="C11" s="26" t="s">
        <v>106</v>
      </c>
      <c r="D11" s="19">
        <f t="shared" si="0"/>
        <v>-3.8121464669776839E-2</v>
      </c>
      <c r="E11" s="19">
        <f t="shared" si="1"/>
        <v>-0.25089514791426037</v>
      </c>
      <c r="F11" s="19">
        <f t="shared" si="2"/>
        <v>1.9685559761954075</v>
      </c>
      <c r="G11" s="19">
        <f t="shared" si="4"/>
        <v>-0.963700481295647</v>
      </c>
      <c r="H11" s="58">
        <f>VLOOKUP(A11,הכשרה!A:G,4,0)+VLOOKUP('תפוקה מצטברת מול אשתקד'!A11,מגדל!A:G,4,0)+VLOOKUP('תפוקה מצטברת מול אשתקד'!A11,מנורה!A:G,4,0)+VLOOKUP('תפוקה מצטברת מול אשתקד'!A11,איילון!A:G,4,0)+VLOOKUP('תפוקה מצטברת מול אשתקד'!A11,הראל!A:G,4,0)+VLOOKUP('תפוקה מצטברת מול אשתקד'!A11,הפניקס!A:G,4,0)+VLOOKUP('תפוקה מצטברת מול אשתקד'!A11,כלל!A:G,4,0)+VLOOKUP('תפוקה מצטברת מול אשתקד'!A11,מור!A:G,4,0)+VLOOKUP('תפוקה מצטברת מול אשתקד'!A11,'אלטשולר שחם'!A:G,4,0)+VLOOKUP('תפוקה מצטברת מול אשתקד'!A11,'מדיהו '!A:G,4,0)+VLOOKUP('תפוקה מצטברת מול אשתקד'!A11,'אנליסט '!A:G,4,0)+VLOOKUP('תפוקה מצטברת מול אשתקד'!A11,'מיטב דש'!A:G,4,0)+VLOOKUP('תפוקה מצטברת מול אשתקד'!A11,אינפניטי!A:G,4,0)</f>
        <v>82268.134592533461</v>
      </c>
      <c r="I11" s="58">
        <f>VLOOKUP(A11,הכשרה!A:G,5,0)+VLOOKUP('תפוקה מצטברת מול אשתקד'!A11,מגדל!A:G,5,0)+VLOOKUP('תפוקה מצטברת מול אשתקד'!A11,מנורה!A:G,5,0)+VLOOKUP('תפוקה מצטברת מול אשתקד'!A11,איילון!A:G,5,0)+VLOOKUP('תפוקה מצטברת מול אשתקד'!A11,הראל!A:G,5,0)+VLOOKUP('תפוקה מצטברת מול אשתקד'!A11,הפניקס!A:G,5,0)+VLOOKUP('תפוקה מצטברת מול אשתקד'!A11,כלל!A:G,5,0)+VLOOKUP('תפוקה מצטברת מול אשתקד'!A11,מור!A:G,5,0)+VLOOKUP('תפוקה מצטברת מול אשתקד'!A11,'אלטשולר שחם'!A:G,5,0)+VLOOKUP('תפוקה מצטברת מול אשתקד'!A11,'מדיהו '!A:G,5,0)+VLOOKUP('תפוקה מצטברת מול אשתקד'!A11,'אנליסט '!A:G,5,0)+VLOOKUP('תפוקה מצטברת מול אשתקד'!A11,'מיטב דש'!A:G,5,0)+VLOOKUP('תפוקה מצטברת מול אשתקד'!A11,אינפניטי!A:G,5,0)</f>
        <v>20488.797833533667</v>
      </c>
      <c r="J11" s="58">
        <f>VLOOKUP(A11,הכשרה!A:G,6,0)+VLOOKUP('תפוקה מצטברת מול אשתקד'!A11,מגדל!A:G,6,0)+VLOOKUP('תפוקה מצטברת מול אשתקד'!A11,מנורה!A:G,6,0)+VLOOKUP('תפוקה מצטברת מול אשתקד'!A11,איילון!A:G,6,0)+VLOOKUP(A11,הראל!A:G,6,0)+VLOOKUP('תפוקה מצטברת מול אשתקד'!A11,הפניקס!A:G,6,0)+VLOOKUP('תפוקה מצטברת מול אשתקד'!A11,כלל!A:G,6,0)+VLOOKUP('תפוקה מצטברת מול אשתקד'!A11,מור!A:G,6,0)+VLOOKUP('תפוקה מצטברת מול אשתקד'!A11,'אלטשולר שחם'!A:G,6,0)+VLOOKUP('תפוקה מצטברת מול אשתקד'!A11,'מדיהו '!A:G,6,0)+VLOOKUP('תפוקה מצטברת מול אשתקד'!A11,'אנליסט '!A:G,6,0)+VLOOKUP('תפוקה מצטברת מול אשתקד'!A11,'מיטב דש'!A:G,6,0)+VLOOKUP('תפוקה מצטברת מול אשתקד'!A11,אינפניטי!A:G,6,0)</f>
        <v>561287.05948263151</v>
      </c>
      <c r="K11" s="58">
        <f>VLOOKUP(A11,הכשרה!A:G,7,0)+VLOOKUP('תפוקה מצטברת מול אשתקד'!A11,מגדל!A:G,7,0)+VLOOKUP('תפוקה מצטברת מול אשתקד'!A11,מנורה!A:G,7,0)+VLOOKUP('תפוקה מצטברת מול אשתקד'!A11,איילון!A:G,7,0)+VLOOKUP('תפוקה מצטברת מול אשתקד'!A11,הראל!A:G,7,0)+VLOOKUP('תפוקה מצטברת מול אשתקד'!A11,הפניקס!A:G,7,0)+VLOOKUP('תפוקה מצטברת מול אשתקד'!A11,כלל!A:G,7,0)+VLOOKUP('תפוקה מצטברת מול אשתקד'!A11,מור!A:G,7,0)+VLOOKUP('תפוקה מצטברת מול אשתקד'!A11,'אלטשולר שחם'!A:G,7,0)+VLOOKUP('תפוקה מצטברת מול אשתקד'!A11,'מדיהו '!A:K,7,0)+VLOOKUP(A11,'אנליסט '!A:G,7,0)+VLOOKUP('תפוקה מצטברת מול אשתקד'!A11,'מיטב דש'!A:G,7,0)+VLOOKUP('תפוקה מצטברת מול אשתקד'!A11,אינפניטי!A:G,7,0)</f>
        <v>-13840.25</v>
      </c>
      <c r="L11" s="12">
        <f>VLOOKUP(A11,הכשרה!A:K,8,0)+VLOOKUP('תפוקה מצטברת מול אשתקד'!A11,מגדל!A:K,8,0)+VLOOKUP('תפוקה מצטברת מול אשתקד'!A11,מנורה!A:K,8,0)+VLOOKUP('תפוקה מצטברת מול אשתקד'!A11,איילון!A:K,8,0)+VLOOKUP('תפוקה מצטברת מול אשתקד'!A11,הראל!A:K,8,0)+VLOOKUP('תפוקה מצטברת מול אשתקד'!A11,הפניקס!A:K,8,0)+VLOOKUP('תפוקה מצטברת מול אשתקד'!A11,כלל!A:K,8,0)+VLOOKUP('תפוקה מצטברת מול אשתקד'!A11,מור!A:K,8,0)+VLOOKUP('תפוקה מצטברת מול אשתקד'!A11,'אלטשולר שחם'!A:K,8,0)+VLOOKUP('תפוקה מצטברת מול אשתקד'!A11,'מדיהו '!A:K,8,0)+VLOOKUP('תפוקה מצטברת מול אשתקד'!A11,'אנליסט '!A:K,8,0)+VLOOKUP('תפוקה מצטברת מול אשתקד'!A11,'מיטב דש'!A:K,8,0)+VLOOKUP('תפוקה מצטברת מול אשתקד'!A11,אינפניטי!A:K,8,0)</f>
        <v>85528.610495804372</v>
      </c>
      <c r="M11" s="12">
        <f>VLOOKUP(A11,הכשרה!A:K,9,0)+VLOOKUP('תפוקה מצטברת מול אשתקד'!A11,מגדל!A:K,9,0)+VLOOKUP('תפוקה מצטברת מול אשתקד'!A11,מנורה!A:K,9,0)+VLOOKUP('תפוקה מצטברת מול אשתקד'!A11,איילון!A:K,9,0)+VLOOKUP('תפוקה מצטברת מול אשתקד'!A11,הראל!A:K,9,0)+VLOOKUP('תפוקה מצטברת מול אשתקד'!A11,הפניקס!A:K,9,0)+VLOOKUP('תפוקה מצטברת מול אשתקד'!A11,כלל!A:K,9,0)+VLOOKUP('תפוקה מצטברת מול אשתקד'!A11,מור!A:K,9,0)+VLOOKUP('תפוקה מצטברת מול אשתקד'!A11,'אלטשולר שחם'!A:K,9,0)+VLOOKUP('תפוקה מצטברת מול אשתקד'!A11,'מדיהו '!A:K,9,0)+VLOOKUP('תפוקה מצטברת מול אשתקד'!A11,'אנליסט '!A:K,9,0)+VLOOKUP('תפוקה מצטברת מול אשתקד'!A11,'מיטב דש'!A:K,9,0)+VLOOKUP('תפוקה מצטברת מול אשתקד'!A11,אינפניטי!A:K,9,0)</f>
        <v>27351.041414945474</v>
      </c>
      <c r="N11" s="12">
        <f>VLOOKUP(A11,הכשרה!A:K,10,0)+VLOOKUP('תפוקה מצטברת מול אשתקד'!A11,מגדל!A:K,10,0)+VLOOKUP('תפוקה מצטברת מול אשתקד'!A11,מנורה!A:K,10,0)+VLOOKUP('תפוקה מצטברת מול אשתקד'!A11,איילון!A:K,10,0)+VLOOKUP('תפוקה מצטברת מול אשתקד'!A11,הראל!A:K,10,0)+VLOOKUP('תפוקה מצטברת מול אשתקד'!A11,הפניקס!A:K,10,0)+VLOOKUP('תפוקה מצטברת מול אשתקד'!A11,כלל!A:K,10,0)+VLOOKUP('תפוקה מצטברת מול אשתקד'!A11,מור!A:K,10,0)+VLOOKUP('תפוקה מצטברת מול אשתקד'!A11,'אלטשולר שחם'!A:K,10,0)+VLOOKUP('תפוקה מצטברת מול אשתקד'!A11,'מדיהו '!A:K,10,0)+VLOOKUP('תפוקה מצטברת מול אשתקד'!A11,'אנליסט '!A:K,10,0)+VLOOKUP('תפוקה מצטברת מול אשתקד'!A11,'מיטב דש'!A:K,10,0)+VLOOKUP('תפוקה מצטברת מול אשתקד'!A11,אינפניטי!A:K,10,0)</f>
        <v>189077.47200441686</v>
      </c>
      <c r="O11" s="12">
        <f>VLOOKUP(A11,הכשרה!A:K,11,0)+VLOOKUP('תפוקה מצטברת מול אשתקד'!A11,מגדל!A:K,11,0)+VLOOKUP('תפוקה מצטברת מול אשתקד'!A11,מנורה!A:K,11,0)+VLOOKUP('תפוקה מצטברת מול אשתקד'!A11,איילון!A:K,11,0)+VLOOKUP('תפוקה מצטברת מול אשתקד'!A11,הראל!A:K,11,0)+VLOOKUP('תפוקה מצטברת מול אשתקד'!A11,הפניקס!A:K,11,0)+VLOOKUP('תפוקה מצטברת מול אשתקד'!A11,כלל!A:K,11,0)+VLOOKUP('תפוקה מצטברת מול אשתקד'!A11,מור!A:K,11,0)+VLOOKUP('תפוקה מצטברת מול אשתקד'!A11,'אלטשולר שחם'!A:K,11,0)+VLOOKUP('תפוקה מצטברת מול אשתקד'!A11,'מדיהו '!A:K,11,0)+VLOOKUP('תפוקה מצטברת מול אשתקד'!A11,'אנליסט '!A:K,11,0)+VLOOKUP('תפוקה מצטברת מול אשתקד'!A11,'מיטב דש'!A:K,11,0)+VLOOKUP('תפוקה מצטברת מול אשתקד'!A11,אינפניטי!A:K,11,0)</f>
        <v>-381279.16000000003</v>
      </c>
    </row>
    <row r="12" spans="1:16" ht="15.75" customHeight="1" x14ac:dyDescent="0.2">
      <c r="A12" s="26" t="s">
        <v>7</v>
      </c>
      <c r="B12" s="26" t="s">
        <v>108</v>
      </c>
      <c r="C12" s="26" t="s">
        <v>106</v>
      </c>
      <c r="D12" s="19">
        <f t="shared" si="0"/>
        <v>1</v>
      </c>
      <c r="E12" s="19">
        <f t="shared" si="1"/>
        <v>23.352838326145235</v>
      </c>
      <c r="F12" s="19">
        <f t="shared" si="2"/>
        <v>1</v>
      </c>
      <c r="G12" s="19">
        <f t="shared" si="4"/>
        <v>-0.73377641730011611</v>
      </c>
      <c r="H12" s="58">
        <f>VLOOKUP(A12,הכשרה!A:G,4,0)+VLOOKUP('תפוקה מצטברת מול אשתקד'!A12,מגדל!A:G,4,0)+VLOOKUP('תפוקה מצטברת מול אשתקד'!A12,מנורה!A:G,4,0)+VLOOKUP('תפוקה מצטברת מול אשתקד'!A12,איילון!A:G,4,0)+VLOOKUP('תפוקה מצטברת מול אשתקד'!A12,הראל!A:G,4,0)+VLOOKUP('תפוקה מצטברת מול אשתקד'!A12,הפניקס!A:G,4,0)+VLOOKUP('תפוקה מצטברת מול אשתקד'!A12,כלל!A:G,4,0)+VLOOKUP('תפוקה מצטברת מול אשתקד'!A12,מור!A:G,4,0)+VLOOKUP('תפוקה מצטברת מול אשתקד'!A12,'אלטשולר שחם'!A:G,4,0)+VLOOKUP('תפוקה מצטברת מול אשתקד'!A12,'מדיהו '!A:G,4,0)+VLOOKUP('תפוקה מצטברת מול אשתקד'!A12,'אנליסט '!A:G,4,0)+VLOOKUP('תפוקה מצטברת מול אשתקד'!A12,'מיטב דש'!A:G,4,0)+VLOOKUP('תפוקה מצטברת מול אשתקד'!A12,אינפניטי!A:G,4,0)</f>
        <v>94573.23</v>
      </c>
      <c r="I12" s="58">
        <f>VLOOKUP(A12,הכשרה!A:G,5,0)+VLOOKUP('תפוקה מצטברת מול אשתקד'!A12,מגדל!A:G,5,0)+VLOOKUP('תפוקה מצטברת מול אשתקד'!A12,מנורה!A:G,5,0)+VLOOKUP('תפוקה מצטברת מול אשתקד'!A12,איילון!A:G,5,0)+VLOOKUP('תפוקה מצטברת מול אשתקד'!A12,הראל!A:G,5,0)+VLOOKUP('תפוקה מצטברת מול אשתקד'!A12,הפניקס!A:G,5,0)+VLOOKUP('תפוקה מצטברת מול אשתקד'!A12,כלל!A:G,5,0)+VLOOKUP('תפוקה מצטברת מול אשתקד'!A12,מור!A:G,5,0)+VLOOKUP('תפוקה מצטברת מול אשתקד'!A12,'אלטשולר שחם'!A:G,5,0)+VLOOKUP('תפוקה מצטברת מול אשתקד'!A12,'מדיהו '!A:G,5,0)+VLOOKUP('תפוקה מצטברת מול אשתקד'!A12,'אנליסט '!A:G,5,0)+VLOOKUP('תפוקה מצטברת מול אשתקד'!A12,'מיטב דש'!A:G,5,0)+VLOOKUP('תפוקה מצטברת מול אשתקד'!A12,אינפניטי!A:G,5,0)</f>
        <v>4178.46</v>
      </c>
      <c r="J12" s="58">
        <f>VLOOKUP(A12,הכשרה!A:G,6,0)+VLOOKUP('תפוקה מצטברת מול אשתקד'!A12,מגדל!A:G,6,0)+VLOOKUP('תפוקה מצטברת מול אשתקד'!A12,מנורה!A:G,6,0)+VLOOKUP('תפוקה מצטברת מול אשתקד'!A12,איילון!A:G,6,0)+VLOOKUP(A12,הראל!A:G,6,0)+VLOOKUP('תפוקה מצטברת מול אשתקד'!A12,הפניקס!A:G,6,0)+VLOOKUP('תפוקה מצטברת מול אשתקד'!A12,כלל!A:G,6,0)+VLOOKUP('תפוקה מצטברת מול אשתקד'!A12,מור!A:G,6,0)+VLOOKUP('תפוקה מצטברת מול אשתקד'!A12,'אלטשולר שחם'!A:G,6,0)+VLOOKUP('תפוקה מצטברת מול אשתקד'!A12,'מדיהו '!A:G,6,0)+VLOOKUP('תפוקה מצטברת מול אשתקד'!A12,'אנליסט '!A:G,6,0)+VLOOKUP('תפוקה מצטברת מול אשתקד'!A12,'מיטב דש'!A:G,6,0)+VLOOKUP('תפוקה מצטברת מול אשתקד'!A12,אינפניטי!A:G,6,0)</f>
        <v>153225.85999999999</v>
      </c>
      <c r="K12" s="58">
        <f>VLOOKUP(A12,הכשרה!A:G,7,0)+VLOOKUP('תפוקה מצטברת מול אשתקד'!A12,מגדל!A:G,7,0)+VLOOKUP('תפוקה מצטברת מול אשתקד'!A12,מנורה!A:G,7,0)+VLOOKUP('תפוקה מצטברת מול אשתקד'!A12,איילון!A:G,7,0)+VLOOKUP('תפוקה מצטברת מול אשתקד'!A12,הראל!A:G,7,0)+VLOOKUP('תפוקה מצטברת מול אשתקד'!A12,הפניקס!A:G,7,0)+VLOOKUP('תפוקה מצטברת מול אשתקד'!A12,כלל!A:G,7,0)+VLOOKUP('תפוקה מצטברת מול אשתקד'!A12,מור!A:G,7,0)+VLOOKUP('תפוקה מצטברת מול אשתקד'!A12,'אלטשולר שחם'!A:G,7,0)+VLOOKUP('תפוקה מצטברת מול אשתקד'!A12,'מדיהו '!A:K,7,0)+VLOOKUP(A12,'אנליסט '!A:G,7,0)+VLOOKUP('תפוקה מצטברת מול אשתקד'!A12,'מיטב דש'!A:G,7,0)+VLOOKUP('תפוקה מצטברת מול אשתקד'!A12,אינפניטי!A:G,7,0)</f>
        <v>-62204</v>
      </c>
      <c r="L12" s="12">
        <f>VLOOKUP(A12,הכשרה!A:K,8,0)+VLOOKUP('תפוקה מצטברת מול אשתקד'!A12,מגדל!A:K,8,0)+VLOOKUP('תפוקה מצטברת מול אשתקד'!A12,מנורה!A:K,8,0)+VLOOKUP('תפוקה מצטברת מול אשתקד'!A12,איילון!A:K,8,0)+VLOOKUP('תפוקה מצטברת מול אשתקד'!A12,הראל!A:K,8,0)+VLOOKUP('תפוקה מצטברת מול אשתקד'!A12,הפניקס!A:K,8,0)+VLOOKUP('תפוקה מצטברת מול אשתקד'!A12,כלל!A:K,8,0)+VLOOKUP('תפוקה מצטברת מול אשתקד'!A12,מור!A:K,8,0)+VLOOKUP('תפוקה מצטברת מול אשתקד'!A12,'אלטשולר שחם'!A:K,8,0)+VLOOKUP('תפוקה מצטברת מול אשתקד'!A12,'מדיהו '!A:K,8,0)+VLOOKUP('תפוקה מצטברת מול אשתקד'!A12,'אנליסט '!A:K,8,0)+VLOOKUP('תפוקה מצטברת מול אשתקד'!A12,'מיטב דש'!A:K,8,0)+VLOOKUP('תפוקה מצטברת מול אשתקד'!A12,אינפניטי!A:K,8,0)</f>
        <v>0</v>
      </c>
      <c r="M12" s="12">
        <f>VLOOKUP(A12,הכשרה!A:K,9,0)+VLOOKUP('תפוקה מצטברת מול אשתקד'!A12,מגדל!A:K,9,0)+VLOOKUP('תפוקה מצטברת מול אשתקד'!A12,מנורה!A:K,9,0)+VLOOKUP('תפוקה מצטברת מול אשתקד'!A12,איילון!A:K,9,0)+VLOOKUP('תפוקה מצטברת מול אשתקד'!A12,הראל!A:K,9,0)+VLOOKUP('תפוקה מצטברת מול אשתקד'!A12,הפניקס!A:K,9,0)+VLOOKUP('תפוקה מצטברת מול אשתקד'!A12,כלל!A:K,9,0)+VLOOKUP('תפוקה מצטברת מול אשתקד'!A12,מור!A:K,9,0)+VLOOKUP('תפוקה מצטברת מול אשתקד'!A12,'אלטשולר שחם'!A:K,9,0)+VLOOKUP('תפוקה מצטברת מול אשתקד'!A12,'מדיהו '!A:K,9,0)+VLOOKUP('תפוקה מצטברת מול אשתקד'!A12,'אנליסט '!A:K,9,0)+VLOOKUP('תפוקה מצטברת מול אשתקד'!A12,'מיטב דש'!A:K,9,0)+VLOOKUP('תפוקה מצטברת מול אשתקד'!A12,אינפניטי!A:K,9,0)</f>
        <v>171.58</v>
      </c>
      <c r="N12" s="12">
        <f>VLOOKUP(A12,הכשרה!A:K,10,0)+VLOOKUP('תפוקה מצטברת מול אשתקד'!A12,מגדל!A:K,10,0)+VLOOKUP('תפוקה מצטברת מול אשתקד'!A12,מנורה!A:K,10,0)+VLOOKUP('תפוקה מצטברת מול אשתקד'!A12,איילון!A:K,10,0)+VLOOKUP('תפוקה מצטברת מול אשתקד'!A12,הראל!A:K,10,0)+VLOOKUP('תפוקה מצטברת מול אשתקד'!A12,הפניקס!A:K,10,0)+VLOOKUP('תפוקה מצטברת מול אשתקד'!A12,כלל!A:K,10,0)+VLOOKUP('תפוקה מצטברת מול אשתקד'!A12,מור!A:K,10,0)+VLOOKUP('תפוקה מצטברת מול אשתקד'!A12,'אלטשולר שחם'!A:K,10,0)+VLOOKUP('תפוקה מצטברת מול אשתקד'!A12,'מדיהו '!A:K,10,0)+VLOOKUP('תפוקה מצטברת מול אשתקד'!A12,'אנליסט '!A:K,10,0)+VLOOKUP('תפוקה מצטברת מול אשתקד'!A12,'מיטב דש'!A:K,10,0)+VLOOKUP('תפוקה מצטברת מול אשתקד'!A12,אינפניטי!A:K,10,0)</f>
        <v>0</v>
      </c>
      <c r="O12" s="12">
        <f>VLOOKUP(A12,הכשרה!A:K,11,0)+VLOOKUP('תפוקה מצטברת מול אשתקד'!A12,מגדל!A:K,11,0)+VLOOKUP('תפוקה מצטברת מול אשתקד'!A12,מנורה!A:K,11,0)+VLOOKUP('תפוקה מצטברת מול אשתקד'!A12,איילון!A:K,11,0)+VLOOKUP('תפוקה מצטברת מול אשתקד'!A12,הראל!A:K,11,0)+VLOOKUP('תפוקה מצטברת מול אשתקד'!A12,הפניקס!A:K,11,0)+VLOOKUP('תפוקה מצטברת מול אשתקד'!A12,כלל!A:K,11,0)+VLOOKUP('תפוקה מצטברת מול אשתקד'!A12,מור!A:K,11,0)+VLOOKUP('תפוקה מצטברת מול אשתקד'!A12,'אלטשולר שחם'!A:K,11,0)+VLOOKUP('תפוקה מצטברת מול אשתקד'!A12,'מדיהו '!A:K,11,0)+VLOOKUP('תפוקה מצטברת מול אשתקד'!A12,'אנליסט '!A:K,11,0)+VLOOKUP('תפוקה מצטברת מול אשתקד'!A12,'מיטב דש'!A:K,11,0)+VLOOKUP('תפוקה מצטברת מול אשתקד'!A12,אינפניטי!A:K,11,0)</f>
        <v>-233653.23</v>
      </c>
    </row>
    <row r="13" spans="1:16" ht="15.75" customHeight="1" x14ac:dyDescent="0.2">
      <c r="A13" s="26" t="s">
        <v>8</v>
      </c>
      <c r="B13" s="26" t="s">
        <v>108</v>
      </c>
      <c r="C13" s="26" t="s">
        <v>106</v>
      </c>
      <c r="D13" s="19">
        <f t="shared" si="0"/>
        <v>1</v>
      </c>
      <c r="E13" s="19">
        <f t="shared" si="1"/>
        <v>-0.28801211062924792</v>
      </c>
      <c r="F13" s="19">
        <f t="shared" si="2"/>
        <v>0</v>
      </c>
      <c r="G13" s="19">
        <f t="shared" si="4"/>
        <v>0</v>
      </c>
      <c r="H13" s="58">
        <f>VLOOKUP(A13,הכשרה!A:G,4,0)+VLOOKUP('תפוקה מצטברת מול אשתקד'!A13,מגדל!A:G,4,0)+VLOOKUP('תפוקה מצטברת מול אשתקד'!A13,מנורה!A:G,4,0)+VLOOKUP('תפוקה מצטברת מול אשתקד'!A13,איילון!A:G,4,0)+VLOOKUP('תפוקה מצטברת מול אשתקד'!A13,הראל!A:G,4,0)+VLOOKUP('תפוקה מצטברת מול אשתקד'!A13,הפניקס!A:G,4,0)+VLOOKUP('תפוקה מצטברת מול אשתקד'!A13,כלל!A:G,4,0)+VLOOKUP('תפוקה מצטברת מול אשתקד'!A13,מור!A:G,4,0)+VLOOKUP('תפוקה מצטברת מול אשתקד'!A13,'אלטשולר שחם'!A:G,4,0)+VLOOKUP('תפוקה מצטברת מול אשתקד'!A13,'מדיהו '!A:G,4,0)+VLOOKUP('תפוקה מצטברת מול אשתקד'!A13,'אנליסט '!A:G,4,0)+VLOOKUP('תפוקה מצטברת מול אשתקד'!A13,'מיטב דש'!A:G,4,0)+VLOOKUP('תפוקה מצטברת מול אשתקד'!A13,אינפניטי!A:G,4,0)</f>
        <v>15877.417884999999</v>
      </c>
      <c r="I13" s="58">
        <f>VLOOKUP(A13,הכשרה!A:G,5,0)+VLOOKUP('תפוקה מצטברת מול אשתקד'!A13,מגדל!A:G,5,0)+VLOOKUP('תפוקה מצטברת מול אשתקד'!A13,מנורה!A:G,5,0)+VLOOKUP('תפוקה מצטברת מול אשתקד'!A13,איילון!A:G,5,0)+VLOOKUP('תפוקה מצטברת מול אשתקד'!A13,הראל!A:G,5,0)+VLOOKUP('תפוקה מצטברת מול אשתקד'!A13,הפניקס!A:G,5,0)+VLOOKUP('תפוקה מצטברת מול אשתקד'!A13,כלל!A:G,5,0)+VLOOKUP('תפוקה מצטברת מול אשתקד'!A13,מור!A:G,5,0)+VLOOKUP('תפוקה מצטברת מול אשתקד'!A13,'אלטשולר שחם'!A:G,5,0)+VLOOKUP('תפוקה מצטברת מול אשתקד'!A13,'מדיהו '!A:G,5,0)+VLOOKUP('תפוקה מצטברת מול אשתקד'!A13,'אנליסט '!A:G,5,0)+VLOOKUP('תפוקה מצטברת מול אשתקד'!A13,'מיטב דש'!A:G,5,0)+VLOOKUP('תפוקה מצטברת מול אשתקד'!A13,אינפניטי!A:G,5,0)</f>
        <v>65772.065719999999</v>
      </c>
      <c r="J13" s="58">
        <f>VLOOKUP(A13,הכשרה!A:G,6,0)+VLOOKUP('תפוקה מצטברת מול אשתקד'!A13,מגדל!A:G,6,0)+VLOOKUP('תפוקה מצטברת מול אשתקד'!A13,מנורה!A:G,6,0)+VLOOKUP('תפוקה מצטברת מול אשתקד'!A13,איילון!A:G,6,0)+VLOOKUP(A13,הראל!A:G,6,0)+VLOOKUP('תפוקה מצטברת מול אשתקד'!A13,הפניקס!A:G,6,0)+VLOOKUP('תפוקה מצטברת מול אשתקד'!A13,כלל!A:G,6,0)+VLOOKUP('תפוקה מצטברת מול אשתקד'!A13,מור!A:G,6,0)+VLOOKUP('תפוקה מצטברת מול אשתקד'!A13,'אלטשולר שחם'!A:G,6,0)+VLOOKUP('תפוקה מצטברת מול אשתקד'!A13,'מדיהו '!A:G,6,0)+VLOOKUP('תפוקה מצטברת מול אשתקד'!A13,'אנליסט '!A:G,6,0)+VLOOKUP('תפוקה מצטברת מול אשתקד'!A13,'מיטב דש'!A:G,6,0)+VLOOKUP('תפוקה מצטברת מול אשתקד'!A13,אינפניטי!A:G,6,0)</f>
        <v>0</v>
      </c>
      <c r="K13" s="58">
        <f>VLOOKUP(A13,הכשרה!A:G,7,0)+VLOOKUP('תפוקה מצטברת מול אשתקד'!A13,מגדל!A:G,7,0)+VLOOKUP('תפוקה מצטברת מול אשתקד'!A13,מנורה!A:G,7,0)+VLOOKUP('תפוקה מצטברת מול אשתקד'!A13,איילון!A:G,7,0)+VLOOKUP('תפוקה מצטברת מול אשתקד'!A13,הראל!A:G,7,0)+VLOOKUP('תפוקה מצטברת מול אשתקד'!A13,הפניקס!A:G,7,0)+VLOOKUP('תפוקה מצטברת מול אשתקד'!A13,כלל!A:G,7,0)+VLOOKUP('תפוקה מצטברת מול אשתקד'!A13,מור!A:G,7,0)+VLOOKUP('תפוקה מצטברת מול אשתקד'!A13,'אלטשולר שחם'!A:G,7,0)+VLOOKUP('תפוקה מצטברת מול אשתקד'!A13,'מדיהו '!A:K,7,0)+VLOOKUP(A13,'אנליסט '!A:G,7,0)+VLOOKUP('תפוקה מצטברת מול אשתקד'!A13,'מיטב דש'!A:G,7,0)+VLOOKUP('תפוקה מצטברת מול אשתקד'!A13,אינפניטי!A:G,7,0)</f>
        <v>0</v>
      </c>
      <c r="L13" s="12">
        <f>VLOOKUP(A13,הכשרה!A:K,8,0)+VLOOKUP('תפוקה מצטברת מול אשתקד'!A13,מגדל!A:K,8,0)+VLOOKUP('תפוקה מצטברת מול אשתקד'!A13,מנורה!A:K,8,0)+VLOOKUP('תפוקה מצטברת מול אשתקד'!A13,איילון!A:K,8,0)+VLOOKUP('תפוקה מצטברת מול אשתקד'!A13,הראל!A:K,8,0)+VLOOKUP('תפוקה מצטברת מול אשתקד'!A13,הפניקס!A:K,8,0)+VLOOKUP('תפוקה מצטברת מול אשתקד'!A13,כלל!A:K,8,0)+VLOOKUP('תפוקה מצטברת מול אשתקד'!A13,מור!A:K,8,0)+VLOOKUP('תפוקה מצטברת מול אשתקד'!A13,'אלטשולר שחם'!A:K,8,0)+VLOOKUP('תפוקה מצטברת מול אשתקד'!A13,'מדיהו '!A:K,8,0)+VLOOKUP('תפוקה מצטברת מול אשתקד'!A13,'אנליסט '!A:K,8,0)+VLOOKUP('תפוקה מצטברת מול אשתקד'!A13,'מיטב דש'!A:K,8,0)+VLOOKUP('תפוקה מצטברת מול אשתקד'!A13,אינפניטי!A:K,8,0)</f>
        <v>0</v>
      </c>
      <c r="M13" s="12">
        <f>VLOOKUP(A13,הכשרה!A:K,9,0)+VLOOKUP('תפוקה מצטברת מול אשתקד'!A13,מגדל!A:K,9,0)+VLOOKUP('תפוקה מצטברת מול אשתקד'!A13,מנורה!A:K,9,0)+VLOOKUP('תפוקה מצטברת מול אשתקד'!A13,איילון!A:K,9,0)+VLOOKUP('תפוקה מצטברת מול אשתקד'!A13,הראל!A:K,9,0)+VLOOKUP('תפוקה מצטברת מול אשתקד'!A13,הפניקס!A:K,9,0)+VLOOKUP('תפוקה מצטברת מול אשתקד'!A13,כלל!A:K,9,0)+VLOOKUP('תפוקה מצטברת מול אשתקד'!A13,מור!A:K,9,0)+VLOOKUP('תפוקה מצטברת מול אשתקד'!A13,'אלטשולר שחם'!A:K,9,0)+VLOOKUP('תפוקה מצטברת מול אשתקד'!A13,'מדיהו '!A:K,9,0)+VLOOKUP('תפוקה מצטברת מול אשתקד'!A13,'אנליסט '!A:K,9,0)+VLOOKUP('תפוקה מצטברת מול אשתקד'!A13,'מיטב דש'!A:K,9,0)+VLOOKUP('תפוקה מצטברת מול אשתקד'!A13,אינפניטי!A:K,9,0)</f>
        <v>92378.06808501856</v>
      </c>
      <c r="N13" s="12">
        <f>VLOOKUP(A13,הכשרה!A:K,10,0)+VLOOKUP('תפוקה מצטברת מול אשתקד'!A13,מגדל!A:K,10,0)+VLOOKUP('תפוקה מצטברת מול אשתקד'!A13,מנורה!A:K,10,0)+VLOOKUP('תפוקה מצטברת מול אשתקד'!A13,איילון!A:K,10,0)+VLOOKUP('תפוקה מצטברת מול אשתקד'!A13,הראל!A:K,10,0)+VLOOKUP('תפוקה מצטברת מול אשתקד'!A13,הפניקס!A:K,10,0)+VLOOKUP('תפוקה מצטברת מול אשתקד'!A13,כלל!A:K,10,0)+VLOOKUP('תפוקה מצטברת מול אשתקד'!A13,מור!A:K,10,0)+VLOOKUP('תפוקה מצטברת מול אשתקד'!A13,'אלטשולר שחם'!A:K,10,0)+VLOOKUP('תפוקה מצטברת מול אשתקד'!A13,'מדיהו '!A:K,10,0)+VLOOKUP('תפוקה מצטברת מול אשתקד'!A13,'אנליסט '!A:K,10,0)+VLOOKUP('תפוקה מצטברת מול אשתקד'!A13,'מיטב דש'!A:K,10,0)+VLOOKUP('תפוקה מצטברת מול אשתקד'!A13,אינפניטי!A:K,10,0)</f>
        <v>1338799.82</v>
      </c>
      <c r="O13" s="12">
        <f>VLOOKUP(A13,הכשרה!A:K,11,0)+VLOOKUP('תפוקה מצטברת מול אשתקד'!A13,מגדל!A:K,11,0)+VLOOKUP('תפוקה מצטברת מול אשתקד'!A13,מנורה!A:K,11,0)+VLOOKUP('תפוקה מצטברת מול אשתקד'!A13,איילון!A:K,11,0)+VLOOKUP('תפוקה מצטברת מול אשתקד'!A13,הראל!A:K,11,0)+VLOOKUP('תפוקה מצטברת מול אשתקד'!A13,הפניקס!A:K,11,0)+VLOOKUP('תפוקה מצטברת מול אשתקד'!A13,כלל!A:K,11,0)+VLOOKUP('תפוקה מצטברת מול אשתקד'!A13,מור!A:K,11,0)+VLOOKUP('תפוקה מצטברת מול אשתקד'!A13,'אלטשולר שחם'!A:K,11,0)+VLOOKUP('תפוקה מצטברת מול אשתקד'!A13,'מדיהו '!A:K,11,0)+VLOOKUP('תפוקה מצטברת מול אשתקד'!A13,'אנליסט '!A:K,11,0)+VLOOKUP('תפוקה מצטברת מול אשתקד'!A13,'מיטב דש'!A:K,11,0)+VLOOKUP('תפוקה מצטברת מול אשתקד'!A13,אינפניטי!A:K,11,0)</f>
        <v>162203.09</v>
      </c>
    </row>
    <row r="14" spans="1:16" ht="15.75" customHeight="1" x14ac:dyDescent="0.2">
      <c r="A14" s="26" t="s">
        <v>9</v>
      </c>
      <c r="B14" s="26" t="s">
        <v>108</v>
      </c>
      <c r="C14" s="26" t="s">
        <v>106</v>
      </c>
      <c r="D14" s="19">
        <f t="shared" si="0"/>
        <v>-0.15660496199106189</v>
      </c>
      <c r="E14" s="19">
        <f t="shared" si="1"/>
        <v>0.8117086511176792</v>
      </c>
      <c r="F14" s="19">
        <f t="shared" si="2"/>
        <v>0.20634801786859081</v>
      </c>
      <c r="G14" s="19">
        <f t="shared" si="4"/>
        <v>-0.61280566178471929</v>
      </c>
      <c r="H14" s="58">
        <f>VLOOKUP(A14,הכשרה!A:G,4,0)+VLOOKUP('תפוקה מצטברת מול אשתקד'!A14,מגדל!A:G,4,0)+VLOOKUP('תפוקה מצטברת מול אשתקד'!A14,מנורה!A:G,4,0)+VLOOKUP('תפוקה מצטברת מול אשתקד'!A14,איילון!A:G,4,0)+VLOOKUP('תפוקה מצטברת מול אשתקד'!A14,הראל!A:G,4,0)+VLOOKUP('תפוקה מצטברת מול אשתקד'!A14,הפניקס!A:G,4,0)+VLOOKUP('תפוקה מצטברת מול אשתקד'!A14,כלל!A:G,4,0)+VLOOKUP('תפוקה מצטברת מול אשתקד'!A14,מור!A:G,4,0)+VLOOKUP('תפוקה מצטברת מול אשתקד'!A14,'אלטשולר שחם'!A:G,4,0)+VLOOKUP('תפוקה מצטברת מול אשתקד'!A14,'מדיהו '!A:G,4,0)+VLOOKUP('תפוקה מצטברת מול אשתקד'!A14,'אנליסט '!A:G,4,0)+VLOOKUP('תפוקה מצטברת מול אשתקד'!A14,'מיטב דש'!A:G,4,0)+VLOOKUP('תפוקה מצטברת מול אשתקד'!A14,אינפניטי!A:G,4,0)</f>
        <v>163882.10852765059</v>
      </c>
      <c r="I14" s="58">
        <f>VLOOKUP(A14,הכשרה!A:G,5,0)+VLOOKUP('תפוקה מצטברת מול אשתקד'!A14,מגדל!A:G,5,0)+VLOOKUP('תפוקה מצטברת מול אשתקד'!A14,מנורה!A:G,5,0)+VLOOKUP('תפוקה מצטברת מול אשתקד'!A14,איילון!A:G,5,0)+VLOOKUP('תפוקה מצטברת מול אשתקד'!A14,הראל!A:G,5,0)+VLOOKUP('תפוקה מצטברת מול אשתקד'!A14,הפניקס!A:G,5,0)+VLOOKUP('תפוקה מצטברת מול אשתקד'!A14,כלל!A:G,5,0)+VLOOKUP('תפוקה מצטברת מול אשתקד'!A14,מור!A:G,5,0)+VLOOKUP('תפוקה מצטברת מול אשתקד'!A14,'אלטשולר שחם'!A:G,5,0)+VLOOKUP('תפוקה מצטברת מול אשתקד'!A14,'מדיהו '!A:G,5,0)+VLOOKUP('תפוקה מצטברת מול אשתקד'!A14,'אנליסט '!A:G,5,0)+VLOOKUP('תפוקה מצטברת מול אשתקד'!A14,'מיטב דש'!A:G,5,0)+VLOOKUP('תפוקה מצטברת מול אשתקד'!A14,אינפניטי!A:G,5,0)</f>
        <v>26753.887999999999</v>
      </c>
      <c r="J14" s="58">
        <f>VLOOKUP(A14,הכשרה!A:G,6,0)+VLOOKUP('תפוקה מצטברת מול אשתקד'!A14,מגדל!A:G,6,0)+VLOOKUP('תפוקה מצטברת מול אשתקד'!A14,מנורה!A:G,6,0)+VLOOKUP('תפוקה מצטברת מול אשתקד'!A14,איילון!A:G,6,0)+VLOOKUP(A14,הראל!A:G,6,0)+VLOOKUP('תפוקה מצטברת מול אשתקד'!A14,הפניקס!A:G,6,0)+VLOOKUP('תפוקה מצטברת מול אשתקד'!A14,כלל!A:G,6,0)+VLOOKUP('תפוקה מצטברת מול אשתקד'!A14,מור!A:G,6,0)+VLOOKUP('תפוקה מצטברת מול אשתקד'!A14,'אלטשולר שחם'!A:G,6,0)+VLOOKUP('תפוקה מצטברת מול אשתקד'!A14,'מדיהו '!A:G,6,0)+VLOOKUP('תפוקה מצטברת מול אשתקד'!A14,'אנליסט '!A:G,6,0)+VLOOKUP('תפוקה מצטברת מול אשתקד'!A14,'מיטב דש'!A:G,6,0)+VLOOKUP('תפוקה מצטברת מול אשתקד'!A14,אינפניטי!A:G,6,0)</f>
        <v>1166092.3799999999</v>
      </c>
      <c r="K14" s="58">
        <f>VLOOKUP(A14,הכשרה!A:G,7,0)+VLOOKUP('תפוקה מצטברת מול אשתקד'!A14,מגדל!A:G,7,0)+VLOOKUP('תפוקה מצטברת מול אשתקד'!A14,מנורה!A:G,7,0)+VLOOKUP('תפוקה מצטברת מול אשתקד'!A14,איילון!A:G,7,0)+VLOOKUP('תפוקה מצטברת מול אשתקד'!A14,הראל!A:G,7,0)+VLOOKUP('תפוקה מצטברת מול אשתקד'!A14,הפניקס!A:G,7,0)+VLOOKUP('תפוקה מצטברת מול אשתקד'!A14,כלל!A:G,7,0)+VLOOKUP('תפוקה מצטברת מול אשתקד'!A14,מור!A:G,7,0)+VLOOKUP('תפוקה מצטברת מול אשתקד'!A14,'אלטשולר שחם'!A:G,7,0)+VLOOKUP('תפוקה מצטברת מול אשתקד'!A14,'מדיהו '!A:K,7,0)+VLOOKUP(A14,'אנליסט '!A:G,7,0)+VLOOKUP('תפוקה מצטברת מול אשתקד'!A14,'מיטב דש'!A:G,7,0)+VLOOKUP('תפוקה מצטברת מול אשתקד'!A14,אינפניטי!A:G,7,0)</f>
        <v>689437.29</v>
      </c>
      <c r="L14" s="12">
        <f>VLOOKUP(A14,הכשרה!A:K,8,0)+VLOOKUP('תפוקה מצטברת מול אשתקד'!A14,מגדל!A:K,8,0)+VLOOKUP('תפוקה מצטברת מול אשתקד'!A14,מנורה!A:K,8,0)+VLOOKUP('תפוקה מצטברת מול אשתקד'!A14,איילון!A:K,8,0)+VLOOKUP('תפוקה מצטברת מול אשתקד'!A14,הראל!A:K,8,0)+VLOOKUP('תפוקה מצטברת מול אשתקד'!A14,הפניקס!A:K,8,0)+VLOOKUP('תפוקה מצטברת מול אשתקד'!A14,כלל!A:K,8,0)+VLOOKUP('תפוקה מצטברת מול אשתקד'!A14,מור!A:K,8,0)+VLOOKUP('תפוקה מצטברת מול אשתקד'!A14,'אלטשולר שחם'!A:K,8,0)+VLOOKUP('תפוקה מצטברת מול אשתקד'!A14,'מדיהו '!A:K,8,0)+VLOOKUP('תפוקה מצטברת מול אשתקד'!A14,'אנליסט '!A:K,8,0)+VLOOKUP('תפוקה מצטברת מול אשתקד'!A14,'מיטב דש'!A:K,8,0)+VLOOKUP('תפוקה מצטברת מול אשתקד'!A14,אינפניטי!A:K,8,0)</f>
        <v>194312.39353095862</v>
      </c>
      <c r="M14" s="12">
        <f>VLOOKUP(A14,הכשרה!A:K,9,0)+VLOOKUP('תפוקה מצטברת מול אשתקד'!A14,מגדל!A:K,9,0)+VLOOKUP('תפוקה מצטברת מול אשתקד'!A14,מנורה!A:K,9,0)+VLOOKUP('תפוקה מצטברת מול אשתקד'!A14,איילון!A:K,9,0)+VLOOKUP('תפוקה מצטברת מול אשתקד'!A14,הראל!A:K,9,0)+VLOOKUP('תפוקה מצטברת מול אשתקד'!A14,הפניקס!A:K,9,0)+VLOOKUP('תפוקה מצטברת מול אשתקד'!A14,כלל!A:K,9,0)+VLOOKUP('תפוקה מצטברת מול אשתקד'!A14,מור!A:K,9,0)+VLOOKUP('תפוקה מצטברת מול אשתקד'!A14,'אלטשולר שחם'!A:K,9,0)+VLOOKUP('תפוקה מצטברת מול אשתקד'!A14,'מדיהו '!A:K,9,0)+VLOOKUP('תפוקה מצטברת מול אשתקד'!A14,'אנליסט '!A:K,9,0)+VLOOKUP('תפוקה מצטברת מול אשתקד'!A14,'מיטב דש'!A:K,9,0)+VLOOKUP('תפוקה מצטברת מול אשתקד'!A14,אינפניטי!A:K,9,0)</f>
        <v>14767.213251145537</v>
      </c>
      <c r="N14" s="12">
        <f>VLOOKUP(A14,הכשרה!A:K,10,0)+VLOOKUP('תפוקה מצטברת מול אשתקד'!A14,מגדל!A:K,10,0)+VLOOKUP('תפוקה מצטברת מול אשתקד'!A14,מנורה!A:K,10,0)+VLOOKUP('תפוקה מצטברת מול אשתקד'!A14,איילון!A:K,10,0)+VLOOKUP('תפוקה מצטברת מול אשתקד'!A14,הראל!A:K,10,0)+VLOOKUP('תפוקה מצטברת מול אשתקד'!A14,הפניקס!A:K,10,0)+VLOOKUP('תפוקה מצטברת מול אשתקד'!A14,כלל!A:K,10,0)+VLOOKUP('תפוקה מצטברת מול אשתקד'!A14,מור!A:K,10,0)+VLOOKUP('תפוקה מצטברת מול אשתקד'!A14,'אלטשולר שחם'!A:K,10,0)+VLOOKUP('תפוקה מצטברת מול אשתקד'!A14,'מדיהו '!A:K,10,0)+VLOOKUP('תפוקה מצטברת מול אשתקד'!A14,'אנליסט '!A:K,10,0)+VLOOKUP('תפוקה מצטברת מול אשתקד'!A14,'מיטב דש'!A:K,10,0)+VLOOKUP('תפוקה מצטברת מול אשתקד'!A14,אינפניטי!A:K,10,0)</f>
        <v>966630.1620491608</v>
      </c>
      <c r="O14" s="12">
        <f>VLOOKUP(A14,הכשרה!A:K,11,0)+VLOOKUP('תפוקה מצטברת מול אשתקד'!A14,מגדל!A:K,11,0)+VLOOKUP('תפוקה מצטברת מול אשתקד'!A14,מנורה!A:K,11,0)+VLOOKUP('תפוקה מצטברת מול אשתקד'!A14,איילון!A:K,11,0)+VLOOKUP('תפוקה מצטברת מול אשתקד'!A14,הראל!A:K,11,0)+VLOOKUP('תפוקה מצטברת מול אשתקד'!A14,הפניקס!A:K,11,0)+VLOOKUP('תפוקה מצטברת מול אשתקד'!A14,כלל!A:K,11,0)+VLOOKUP('תפוקה מצטברת מול אשתקד'!A14,מור!A:K,11,0)+VLOOKUP('תפוקה מצטברת מול אשתקד'!A14,'אלטשולר שחם'!A:K,11,0)+VLOOKUP('תפוקה מצטברת מול אשתקד'!A14,'מדיהו '!A:K,11,0)+VLOOKUP('תפוקה מצטברת מול אשתקד'!A14,'אנליסט '!A:K,11,0)+VLOOKUP('תפוקה מצטברת מול אשתקד'!A14,'מיטב דש'!A:K,11,0)+VLOOKUP('תפוקה מצטברת מול אשתקד'!A14,אינפניטי!A:K,11,0)</f>
        <v>1780597.5499999998</v>
      </c>
    </row>
    <row r="15" spans="1:16" ht="15.75" customHeight="1" x14ac:dyDescent="0.2">
      <c r="A15" s="26" t="s">
        <v>31</v>
      </c>
      <c r="B15" s="26" t="s">
        <v>108</v>
      </c>
      <c r="C15" s="26" t="s">
        <v>106</v>
      </c>
      <c r="D15" s="19">
        <f t="shared" si="0"/>
        <v>0</v>
      </c>
      <c r="E15" s="19">
        <f t="shared" si="1"/>
        <v>0</v>
      </c>
      <c r="F15" s="19">
        <f t="shared" si="2"/>
        <v>1</v>
      </c>
      <c r="G15" s="19">
        <f t="shared" si="4"/>
        <v>0</v>
      </c>
      <c r="H15" s="58">
        <f>VLOOKUP(A15,הכשרה!A:G,4,0)+VLOOKUP('תפוקה מצטברת מול אשתקד'!A15,מגדל!A:G,4,0)+VLOOKUP('תפוקה מצטברת מול אשתקד'!A15,מנורה!A:G,4,0)+VLOOKUP('תפוקה מצטברת מול אשתקד'!A15,איילון!A:G,4,0)+VLOOKUP('תפוקה מצטברת מול אשתקד'!A15,הראל!A:G,4,0)+VLOOKUP('תפוקה מצטברת מול אשתקד'!A15,הפניקס!A:G,4,0)+VLOOKUP('תפוקה מצטברת מול אשתקד'!A15,כלל!A:G,4,0)+VLOOKUP('תפוקה מצטברת מול אשתקד'!A15,מור!A:G,4,0)+VLOOKUP('תפוקה מצטברת מול אשתקד'!A15,'אלטשולר שחם'!A:G,4,0)+VLOOKUP('תפוקה מצטברת מול אשתקד'!A15,'מדיהו '!A:G,4,0)+VLOOKUP('תפוקה מצטברת מול אשתקד'!A15,'אנליסט '!A:G,4,0)+VLOOKUP('תפוקה מצטברת מול אשתקד'!A15,'מיטב דש'!A:G,4,0)+VLOOKUP('תפוקה מצטברת מול אשתקד'!A15,אינפניטי!A:G,4,0)</f>
        <v>0</v>
      </c>
      <c r="I15" s="58">
        <f>VLOOKUP(A15,הכשרה!A:G,5,0)+VLOOKUP('תפוקה מצטברת מול אשתקד'!A15,מגדל!A:G,5,0)+VLOOKUP('תפוקה מצטברת מול אשתקד'!A15,מנורה!A:G,5,0)+VLOOKUP('תפוקה מצטברת מול אשתקד'!A15,איילון!A:G,5,0)+VLOOKUP('תפוקה מצטברת מול אשתקד'!A15,הראל!A:G,5,0)+VLOOKUP('תפוקה מצטברת מול אשתקד'!A15,הפניקס!A:G,5,0)+VLOOKUP('תפוקה מצטברת מול אשתקד'!A15,כלל!A:G,5,0)+VLOOKUP('תפוקה מצטברת מול אשתקד'!A15,מור!A:G,5,0)+VLOOKUP('תפוקה מצטברת מול אשתקד'!A15,'אלטשולר שחם'!A:G,5,0)+VLOOKUP('תפוקה מצטברת מול אשתקד'!A15,'מדיהו '!A:G,5,0)+VLOOKUP('תפוקה מצטברת מול אשתקד'!A15,'אנליסט '!A:G,5,0)+VLOOKUP('תפוקה מצטברת מול אשתקד'!A15,'מיטב דש'!A:G,5,0)+VLOOKUP('תפוקה מצטברת מול אשתקד'!A15,אינפניטי!A:G,5,0)</f>
        <v>0</v>
      </c>
      <c r="J15" s="58">
        <f>VLOOKUP(A15,הכשרה!A:G,6,0)+VLOOKUP('תפוקה מצטברת מול אשתקד'!A15,מגדל!A:G,6,0)+VLOOKUP('תפוקה מצטברת מול אשתקד'!A15,מנורה!A:G,6,0)+VLOOKUP('תפוקה מצטברת מול אשתקד'!A15,איילון!A:G,6,0)+VLOOKUP(A15,הראל!A:G,6,0)+VLOOKUP('תפוקה מצטברת מול אשתקד'!A15,הפניקס!A:G,6,0)+VLOOKUP('תפוקה מצטברת מול אשתקד'!A15,כלל!A:G,6,0)+VLOOKUP('תפוקה מצטברת מול אשתקד'!A15,מור!A:G,6,0)+VLOOKUP('תפוקה מצטברת מול אשתקד'!A15,'אלטשולר שחם'!A:G,6,0)+VLOOKUP('תפוקה מצטברת מול אשתקד'!A15,'מדיהו '!A:G,6,0)+VLOOKUP('תפוקה מצטברת מול אשתקד'!A15,'אנליסט '!A:G,6,0)+VLOOKUP('תפוקה מצטברת מול אשתקד'!A15,'מיטב דש'!A:G,6,0)+VLOOKUP('תפוקה מצטברת מול אשתקד'!A15,אינפניטי!A:G,6,0)</f>
        <v>302145.53000000003</v>
      </c>
      <c r="K15" s="58">
        <f>VLOOKUP(A15,הכשרה!A:G,7,0)+VLOOKUP('תפוקה מצטברת מול אשתקד'!A15,מגדל!A:G,7,0)+VLOOKUP('תפוקה מצטברת מול אשתקד'!A15,מנורה!A:G,7,0)+VLOOKUP('תפוקה מצטברת מול אשתקד'!A15,איילון!A:G,7,0)+VLOOKUP('תפוקה מצטברת מול אשתקד'!A15,הראל!A:G,7,0)+VLOOKUP('תפוקה מצטברת מול אשתקד'!A15,הפניקס!A:G,7,0)+VLOOKUP('תפוקה מצטברת מול אשתקד'!A15,כלל!A:G,7,0)+VLOOKUP('תפוקה מצטברת מול אשתקד'!A15,מור!A:G,7,0)+VLOOKUP('תפוקה מצטברת מול אשתקד'!A15,'אלטשולר שחם'!A:G,7,0)+VLOOKUP('תפוקה מצטברת מול אשתקד'!A15,'מדיהו '!A:K,7,0)+VLOOKUP(A15,'אנליסט '!A:G,7,0)+VLOOKUP('תפוקה מצטברת מול אשתקד'!A15,'מיטב דש'!A:G,7,0)+VLOOKUP('תפוקה מצטברת מול אשתקד'!A15,אינפניטי!A:G,7,0)</f>
        <v>0</v>
      </c>
      <c r="L15" s="12">
        <f>VLOOKUP(A15,הכשרה!A:K,8,0)+VLOOKUP('תפוקה מצטברת מול אשתקד'!A15,מגדל!A:K,8,0)+VLOOKUP('תפוקה מצטברת מול אשתקד'!A15,מנורה!A:K,8,0)+VLOOKUP('תפוקה מצטברת מול אשתקד'!A15,איילון!A:K,8,0)+VLOOKUP('תפוקה מצטברת מול אשתקד'!A15,הראל!A:K,8,0)+VLOOKUP('תפוקה מצטברת מול אשתקד'!A15,הפניקס!A:K,8,0)+VLOOKUP('תפוקה מצטברת מול אשתקד'!A15,כלל!A:K,8,0)+VLOOKUP('תפוקה מצטברת מול אשתקד'!A15,מור!A:K,8,0)+VLOOKUP('תפוקה מצטברת מול אשתקד'!A15,'אלטשולר שחם'!A:K,8,0)+VLOOKUP('תפוקה מצטברת מול אשתקד'!A15,'מדיהו '!A:K,8,0)+VLOOKUP('תפוקה מצטברת מול אשתקד'!A15,'אנליסט '!A:K,8,0)+VLOOKUP('תפוקה מצטברת מול אשתקד'!A15,'מיטב דש'!A:K,8,0)+VLOOKUP('תפוקה מצטברת מול אשתקד'!A15,אינפניטי!A:K,8,0)</f>
        <v>37765.72</v>
      </c>
      <c r="M15" s="12">
        <f>VLOOKUP(A15,הכשרה!A:K,9,0)+VLOOKUP('תפוקה מצטברת מול אשתקד'!A15,מגדל!A:K,9,0)+VLOOKUP('תפוקה מצטברת מול אשתקד'!A15,מנורה!A:K,9,0)+VLOOKUP('תפוקה מצטברת מול אשתקד'!A15,איילון!A:K,9,0)+VLOOKUP('תפוקה מצטברת מול אשתקד'!A15,הראל!A:K,9,0)+VLOOKUP('תפוקה מצטברת מול אשתקד'!A15,הפניקס!A:K,9,0)+VLOOKUP('תפוקה מצטברת מול אשתקד'!A15,כלל!A:K,9,0)+VLOOKUP('תפוקה מצטברת מול אשתקד'!A15,מור!A:K,9,0)+VLOOKUP('תפוקה מצטברת מול אשתקד'!A15,'אלטשולר שחם'!A:K,9,0)+VLOOKUP('תפוקה מצטברת מול אשתקד'!A15,'מדיהו '!A:K,9,0)+VLOOKUP('תפוקה מצטברת מול אשתקד'!A15,'אנליסט '!A:K,9,0)+VLOOKUP('תפוקה מצטברת מול אשתקד'!A15,'מיטב דש'!A:K,9,0)+VLOOKUP('תפוקה מצטברת מול אשתקד'!A15,אינפניטי!A:K,9,0)</f>
        <v>0</v>
      </c>
      <c r="N15" s="12">
        <f>VLOOKUP(A15,הכשרה!A:K,10,0)+VLOOKUP('תפוקה מצטברת מול אשתקד'!A15,מגדל!A:K,10,0)+VLOOKUP('תפוקה מצטברת מול אשתקד'!A15,מנורה!A:K,10,0)+VLOOKUP('תפוקה מצטברת מול אשתקד'!A15,איילון!A:K,10,0)+VLOOKUP('תפוקה מצטברת מול אשתקד'!A15,הראל!A:K,10,0)+VLOOKUP('תפוקה מצטברת מול אשתקד'!A15,הפניקס!A:K,10,0)+VLOOKUP('תפוקה מצטברת מול אשתקד'!A15,כלל!A:K,10,0)+VLOOKUP('תפוקה מצטברת מול אשתקד'!A15,מור!A:K,10,0)+VLOOKUP('תפוקה מצטברת מול אשתקד'!A15,'אלטשולר שחם'!A:K,10,0)+VLOOKUP('תפוקה מצטברת מול אשתקד'!A15,'מדיהו '!A:K,10,0)+VLOOKUP('תפוקה מצטברת מול אשתקד'!A15,'אנליסט '!A:K,10,0)+VLOOKUP('תפוקה מצטברת מול אשתקד'!A15,'מיטב דש'!A:K,10,0)+VLOOKUP('תפוקה מצטברת מול אשתקד'!A15,אינפניטי!A:K,10,0)</f>
        <v>0</v>
      </c>
      <c r="O15" s="12">
        <f>VLOOKUP(A15,הכשרה!A:K,11,0)+VLOOKUP('תפוקה מצטברת מול אשתקד'!A15,מגדל!A:K,11,0)+VLOOKUP('תפוקה מצטברת מול אשתקד'!A15,מנורה!A:K,11,0)+VLOOKUP('תפוקה מצטברת מול אשתקד'!A15,איילון!A:K,11,0)+VLOOKUP('תפוקה מצטברת מול אשתקד'!A15,הראל!A:K,11,0)+VLOOKUP('תפוקה מצטברת מול אשתקד'!A15,הפניקס!A:K,11,0)+VLOOKUP('תפוקה מצטברת מול אשתקד'!A15,כלל!A:K,11,0)+VLOOKUP('תפוקה מצטברת מול אשתקד'!A15,מור!A:K,11,0)+VLOOKUP('תפוקה מצטברת מול אשתקד'!A15,'אלטשולר שחם'!A:K,11,0)+VLOOKUP('תפוקה מצטברת מול אשתקד'!A15,'מדיהו '!A:K,11,0)+VLOOKUP('תפוקה מצטברת מול אשתקד'!A15,'אנליסט '!A:K,11,0)+VLOOKUP('תפוקה מצטברת מול אשתקד'!A15,'מיטב דש'!A:K,11,0)+VLOOKUP('תפוקה מצטברת מול אשתקד'!A15,אינפניטי!A:K,11,0)</f>
        <v>1145.165</v>
      </c>
    </row>
    <row r="16" spans="1:16" ht="15.75" customHeight="1" x14ac:dyDescent="0.2">
      <c r="A16" s="26" t="s">
        <v>96</v>
      </c>
      <c r="B16" s="26" t="s">
        <v>108</v>
      </c>
      <c r="C16" s="26" t="s">
        <v>106</v>
      </c>
      <c r="D16" s="19">
        <f t="shared" si="0"/>
        <v>0.63457744558763696</v>
      </c>
      <c r="E16" s="19">
        <f t="shared" si="1"/>
        <v>2.6067116941614166</v>
      </c>
      <c r="F16" s="19">
        <f t="shared" si="2"/>
        <v>1</v>
      </c>
      <c r="G16" s="19" t="e">
        <f t="shared" si="4"/>
        <v>#DIV/0!</v>
      </c>
      <c r="H16" s="58">
        <f>VLOOKUP(A16,הכשרה!A:G,4,0)+VLOOKUP('תפוקה מצטברת מול אשתקד'!A16,מגדל!A:G,4,0)+VLOOKUP('תפוקה מצטברת מול אשתקד'!A16,מנורה!A:G,4,0)+VLOOKUP('תפוקה מצטברת מול אשתקד'!A16,איילון!A:G,4,0)+VLOOKUP('תפוקה מצטברת מול אשתקד'!A16,הראל!A:G,4,0)+VLOOKUP('תפוקה מצטברת מול אשתקד'!A16,הפניקס!A:G,4,0)+VLOOKUP('תפוקה מצטברת מול אשתקד'!A16,כלל!A:G,4,0)+VLOOKUP('תפוקה מצטברת מול אשתקד'!A16,מור!A:G,4,0)+VLOOKUP('תפוקה מצטברת מול אשתקד'!A16,'אלטשולר שחם'!A:G,4,0)+VLOOKUP('תפוקה מצטברת מול אשתקד'!A16,'מדיהו '!A:G,4,0)+VLOOKUP('תפוקה מצטברת מול אשתקד'!A16,'אנליסט '!A:G,4,0)+VLOOKUP('תפוקה מצטברת מול אשתקד'!A16,'מיטב דש'!A:G,4,0)+VLOOKUP('תפוקה מצטברת מול אשתקד'!A16,אינפניטי!A:G,4,0)</f>
        <v>59862.025599999994</v>
      </c>
      <c r="I16" s="58">
        <f>VLOOKUP(A16,הכשרה!A:G,5,0)+VLOOKUP('תפוקה מצטברת מול אשתקד'!A16,מגדל!A:G,5,0)+VLOOKUP('תפוקה מצטברת מול אשתקד'!A16,מנורה!A:G,5,0)+VLOOKUP('תפוקה מצטברת מול אשתקד'!A16,איילון!A:G,5,0)+VLOOKUP('תפוקה מצטברת מול אשתקד'!A16,הראל!A:G,5,0)+VLOOKUP('תפוקה מצטברת מול אשתקד'!A16,הפניקס!A:G,5,0)+VLOOKUP('תפוקה מצטברת מול אשתקד'!A16,כלל!A:G,5,0)+VLOOKUP('תפוקה מצטברת מול אשתקד'!A16,מור!A:G,5,0)+VLOOKUP('תפוקה מצטברת מול אשתקד'!A16,'אלטשולר שחם'!A:G,5,0)+VLOOKUP('תפוקה מצטברת מול אשתקד'!A16,'מדיהו '!A:G,5,0)+VLOOKUP('תפוקה מצטברת מול אשתקד'!A16,'אנליסט '!A:G,5,0)+VLOOKUP('תפוקה מצטברת מול אשתקד'!A16,'מיטב דש'!A:G,5,0)+VLOOKUP('תפוקה מצטברת מול אשתקד'!A16,אינפניטי!A:G,5,0)</f>
        <v>31196.361000000001</v>
      </c>
      <c r="J16" s="58">
        <f>VLOOKUP(A16,הכשרה!A:G,6,0)+VLOOKUP('תפוקה מצטברת מול אשתקד'!A16,מגדל!A:G,6,0)+VLOOKUP('תפוקה מצטברת מול אשתקד'!A16,מנורה!A:G,6,0)+VLOOKUP('תפוקה מצטברת מול אשתקד'!A16,איילון!A:G,6,0)+VLOOKUP(A16,הראל!A:G,6,0)+VLOOKUP('תפוקה מצטברת מול אשתקד'!A16,הפניקס!A:G,6,0)+VLOOKUP('תפוקה מצטברת מול אשתקד'!A16,כלל!A:G,6,0)+VLOOKUP('תפוקה מצטברת מול אשתקד'!A16,מור!A:G,6,0)+VLOOKUP('תפוקה מצטברת מול אשתקד'!A16,'אלטשולר שחם'!A:G,6,0)+VLOOKUP('תפוקה מצטברת מול אשתקד'!A16,'מדיהו '!A:G,6,0)+VLOOKUP('תפוקה מצטברת מול אשתקד'!A16,'אנליסט '!A:G,6,0)+VLOOKUP('תפוקה מצטברת מול אשתקד'!A16,'מיטב דש'!A:G,6,0)+VLOOKUP('תפוקה מצטברת מול אשתקד'!A16,אינפניטי!A:G,6,0)</f>
        <v>6046.79</v>
      </c>
      <c r="K16" s="58">
        <f>VLOOKUP(A16,הכשרה!A:G,7,0)+VLOOKUP('תפוקה מצטברת מול אשתקד'!A16,מגדל!A:G,7,0)+VLOOKUP('תפוקה מצטברת מול אשתקד'!A16,מנורה!A:G,7,0)+VLOOKUP('תפוקה מצטברת מול אשתקד'!A16,איילון!A:G,7,0)+VLOOKUP('תפוקה מצטברת מול אשתקד'!A16,הראל!A:G,7,0)+VLOOKUP('תפוקה מצטברת מול אשתקד'!A16,הפניקס!A:G,7,0)+VLOOKUP('תפוקה מצטברת מול אשתקד'!A16,כלל!A:G,7,0)+VLOOKUP('תפוקה מצטברת מול אשתקד'!A16,מור!A:G,7,0)+VLOOKUP('תפוקה מצטברת מול אשתקד'!A16,'אלטשולר שחם'!A:G,7,0)+VLOOKUP('תפוקה מצטברת מול אשתקד'!A16,'מדיהו '!A:K,7,0)+VLOOKUP(A16,'אנליסט '!A:G,7,0)+VLOOKUP('תפוקה מצטברת מול אשתקד'!A16,'מיטב דש'!A:G,7,0)+VLOOKUP('תפוקה מצטברת מול אשתקד'!A16,אינפניטי!A:G,7,0)</f>
        <v>4997</v>
      </c>
      <c r="L16" s="12">
        <f>VLOOKUP(A16,הכשרה!A:K,8,0)+VLOOKUP('תפוקה מצטברת מול אשתקד'!A16,מגדל!A:K,8,0)+VLOOKUP('תפוקה מצטברת מול אשתקד'!A16,מנורה!A:K,8,0)+VLOOKUP('תפוקה מצטברת מול אשתקד'!A16,איילון!A:K,8,0)+VLOOKUP('תפוקה מצטברת מול אשתקד'!A16,הראל!A:K,8,0)+VLOOKUP('תפוקה מצטברת מול אשתקד'!A16,הפניקס!A:K,8,0)+VLOOKUP('תפוקה מצטברת מול אשתקד'!A16,כלל!A:K,8,0)+VLOOKUP('תפוקה מצטברת מול אשתקד'!A16,מור!A:K,8,0)+VLOOKUP('תפוקה מצטברת מול אשתקד'!A16,'אלטשולר שחם'!A:K,8,0)+VLOOKUP('תפוקה מצטברת מול אשתקד'!A16,'מדיהו '!A:K,8,0)+VLOOKUP('תפוקה מצטברת מול אשתקד'!A16,'אנליסט '!A:K,8,0)+VLOOKUP('תפוקה מצטברת מול אשתקד'!A16,'מיטב דש'!A:K,8,0)+VLOOKUP('תפוקה מצטברת מול אשתקד'!A16,אינפניטי!A:K,8,0)</f>
        <v>36622.324480000003</v>
      </c>
      <c r="M16" s="12">
        <f>VLOOKUP(A16,הכשרה!A:K,9,0)+VLOOKUP('תפוקה מצטברת מול אשתקד'!A16,מגדל!A:K,9,0)+VLOOKUP('תפוקה מצטברת מול אשתקד'!A16,מנורה!A:K,9,0)+VLOOKUP('תפוקה מצטברת מול אשתקד'!A16,איילון!A:K,9,0)+VLOOKUP('תפוקה מצטברת מול אשתקד'!A16,הראל!A:K,9,0)+VLOOKUP('תפוקה מצטברת מול אשתקד'!A16,הפניקס!A:K,9,0)+VLOOKUP('תפוקה מצטברת מול אשתקד'!A16,כלל!A:K,9,0)+VLOOKUP('תפוקה מצטברת מול אשתקד'!A16,מור!A:K,9,0)+VLOOKUP('תפוקה מצטברת מול אשתקד'!A16,'אלטשולר שחם'!A:K,9,0)+VLOOKUP('תפוקה מצטברת מול אשתקד'!A16,'מדיהו '!A:K,9,0)+VLOOKUP('תפוקה מצטברת מול אשתקד'!A16,'אנליסט '!A:K,9,0)+VLOOKUP('תפוקה מצטברת מול אשתקד'!A16,'מיטב דש'!A:K,9,0)+VLOOKUP('תפוקה מצטברת מול אשתקד'!A16,אינפניטי!A:K,9,0)</f>
        <v>8649.5300000000007</v>
      </c>
      <c r="N16" s="12">
        <f>VLOOKUP(A16,הכשרה!A:K,10,0)+VLOOKUP('תפוקה מצטברת מול אשתקד'!A16,מגדל!A:K,10,0)+VLOOKUP('תפוקה מצטברת מול אשתקד'!A16,מנורה!A:K,10,0)+VLOOKUP('תפוקה מצטברת מול אשתקד'!A16,איילון!A:K,10,0)+VLOOKUP('תפוקה מצטברת מול אשתקד'!A16,הראל!A:K,10,0)+VLOOKUP('תפוקה מצטברת מול אשתקד'!A16,הפניקס!A:K,10,0)+VLOOKUP('תפוקה מצטברת מול אשתקד'!A16,כלל!A:K,10,0)+VLOOKUP('תפוקה מצטברת מול אשתקד'!A16,מור!A:K,10,0)+VLOOKUP('תפוקה מצטברת מול אשתקד'!A16,'אלטשולר שחם'!A:K,10,0)+VLOOKUP('תפוקה מצטברת מול אשתקד'!A16,'מדיהו '!A:K,10,0)+VLOOKUP('תפוקה מצטברת מול אשתקד'!A16,'אנליסט '!A:K,10,0)+VLOOKUP('תפוקה מצטברת מול אשתקד'!A16,'מיטב דש'!A:K,10,0)+VLOOKUP('תפוקה מצטברת מול אשתקד'!A16,אינפניטי!A:K,10,0)</f>
        <v>0</v>
      </c>
      <c r="O16" s="12">
        <f>VLOOKUP(A16,הכשרה!A:K,11,0)+VLOOKUP('תפוקה מצטברת מול אשתקד'!A16,מגדל!A:K,11,0)+VLOOKUP('תפוקה מצטברת מול אשתקד'!A16,מנורה!A:K,11,0)+VLOOKUP('תפוקה מצטברת מול אשתקד'!A16,איילון!A:K,11,0)+VLOOKUP('תפוקה מצטברת מול אשתקד'!A16,הראל!A:K,11,0)+VLOOKUP('תפוקה מצטברת מול אשתקד'!A16,הפניקס!A:K,11,0)+VLOOKUP('תפוקה מצטברת מול אשתקד'!A16,כלל!A:K,11,0)+VLOOKUP('תפוקה מצטברת מול אשתקד'!A16,מור!A:K,11,0)+VLOOKUP('תפוקה מצטברת מול אשתקד'!A16,'אלטשולר שחם'!A:K,11,0)+VLOOKUP('תפוקה מצטברת מול אשתקד'!A16,'מדיהו '!A:K,11,0)+VLOOKUP('תפוקה מצטברת מול אשתקד'!A16,'אנליסט '!A:K,11,0)+VLOOKUP('תפוקה מצטברת מול אשתקד'!A16,'מיטב דש'!A:K,11,0)+VLOOKUP('תפוקה מצטברת מול אשתקד'!A16,אינפניטי!A:K,11,0)</f>
        <v>0</v>
      </c>
    </row>
    <row r="17" spans="1:18" ht="15.75" customHeight="1" x14ac:dyDescent="0.2">
      <c r="A17" s="26" t="s">
        <v>42</v>
      </c>
      <c r="B17" s="26" t="s">
        <v>108</v>
      </c>
      <c r="C17" s="26" t="s">
        <v>106</v>
      </c>
      <c r="D17" s="19">
        <f t="shared" si="0"/>
        <v>2.6381917250686726E-2</v>
      </c>
      <c r="E17" s="19">
        <f t="shared" si="1"/>
        <v>1.4313468170478707</v>
      </c>
      <c r="F17" s="19">
        <f t="shared" si="2"/>
        <v>-0.14780502651298788</v>
      </c>
      <c r="G17" s="19">
        <f t="shared" si="4"/>
        <v>-0.6002075459142926</v>
      </c>
      <c r="H17" s="58">
        <f>VLOOKUP(A17,הכשרה!A:G,4,0)+VLOOKUP('תפוקה מצטברת מול אשתקד'!A17,מגדל!A:G,4,0)+VLOOKUP('תפוקה מצטברת מול אשתקד'!A17,מנורה!A:G,4,0)+VLOOKUP('תפוקה מצטברת מול אשתקד'!A17,איילון!A:G,4,0)+VLOOKUP('תפוקה מצטברת מול אשתקד'!A17,הראל!A:G,4,0)+VLOOKUP('תפוקה מצטברת מול אשתקד'!A17,הפניקס!A:G,4,0)+VLOOKUP('תפוקה מצטברת מול אשתקד'!A17,כלל!A:G,4,0)+VLOOKUP('תפוקה מצטברת מול אשתקד'!A17,מור!A:G,4,0)+VLOOKUP('תפוקה מצטברת מול אשתקד'!A17,'אלטשולר שחם'!A:G,4,0)+VLOOKUP('תפוקה מצטברת מול אשתקד'!A17,'מדיהו '!A:G,4,0)+VLOOKUP('תפוקה מצטברת מול אשתקד'!A17,'אנליסט '!A:G,4,0)+VLOOKUP('תפוקה מצטברת מול אשתקד'!A17,'מיטב דש'!A:G,4,0)+VLOOKUP('תפוקה מצטברת מול אשתקד'!A17,אינפניטי!A:G,4,0)</f>
        <v>360831.8584938604</v>
      </c>
      <c r="I17" s="58">
        <f>VLOOKUP(A17,הכשרה!A:G,5,0)+VLOOKUP('תפוקה מצטברת מול אשתקד'!A17,מגדל!A:G,5,0)+VLOOKUP('תפוקה מצטברת מול אשתקד'!A17,מנורה!A:G,5,0)+VLOOKUP('תפוקה מצטברת מול אשתקד'!A17,איילון!A:G,5,0)+VLOOKUP('תפוקה מצטברת מול אשתקד'!A17,הראל!A:G,5,0)+VLOOKUP('תפוקה מצטברת מול אשתקד'!A17,הפניקס!A:G,5,0)+VLOOKUP('תפוקה מצטברת מול אשתקד'!A17,כלל!A:G,5,0)+VLOOKUP('תפוקה מצטברת מול אשתקד'!A17,מור!A:G,5,0)+VLOOKUP('תפוקה מצטברת מול אשתקד'!A17,'אלטשולר שחם'!A:G,5,0)+VLOOKUP('תפוקה מצטברת מול אשתקד'!A17,'מדיהו '!A:G,5,0)+VLOOKUP('תפוקה מצטברת מול אשתקד'!A17,'אנליסט '!A:G,5,0)+VLOOKUP('תפוקה מצטברת מול אשתקד'!A17,'מיטב דש'!A:G,5,0)+VLOOKUP('תפוקה מצטברת מול אשתקד'!A17,אינפניטי!A:G,5,0)</f>
        <v>167703.37819079566</v>
      </c>
      <c r="J17" s="58">
        <f>VLOOKUP(A17,הכשרה!A:G,6,0)+VLOOKUP('תפוקה מצטברת מול אשתקד'!A17,מגדל!A:G,6,0)+VLOOKUP('תפוקה מצטברת מול אשתקד'!A17,מנורה!A:G,6,0)+VLOOKUP('תפוקה מצטברת מול אשתקד'!A17,איילון!A:G,6,0)+VLOOKUP(A17,הראל!A:G,6,0)+VLOOKUP('תפוקה מצטברת מול אשתקד'!A17,הפניקס!A:G,6,0)+VLOOKUP('תפוקה מצטברת מול אשתקד'!A17,כלל!A:G,6,0)+VLOOKUP('תפוקה מצטברת מול אשתקד'!A17,מור!A:G,6,0)+VLOOKUP('תפוקה מצטברת מול אשתקד'!A17,'אלטשולר שחם'!A:G,6,0)+VLOOKUP('תפוקה מצטברת מול אשתקד'!A17,'מדיהו '!A:G,6,0)+VLOOKUP('תפוקה מצטברת מול אשתקד'!A17,'אנליסט '!A:G,6,0)+VLOOKUP('תפוקה מצטברת מול אשתקד'!A17,'מיטב דש'!A:G,6,0)+VLOOKUP('תפוקה מצטברת מול אשתקד'!A17,אינפניטי!A:G,6,0)</f>
        <v>2578832.9046584936</v>
      </c>
      <c r="K17" s="58">
        <f>VLOOKUP(A17,הכשרה!A:G,7,0)+VLOOKUP('תפוקה מצטברת מול אשתקד'!A17,מגדל!A:G,7,0)+VLOOKUP('תפוקה מצטברת מול אשתקד'!A17,מנורה!A:G,7,0)+VLOOKUP('תפוקה מצטברת מול אשתקד'!A17,איילון!A:G,7,0)+VLOOKUP('תפוקה מצטברת מול אשתקד'!A17,הראל!A:G,7,0)+VLOOKUP('תפוקה מצטברת מול אשתקד'!A17,הפניקס!A:G,7,0)+VLOOKUP('תפוקה מצטברת מול אשתקד'!A17,כלל!A:G,7,0)+VLOOKUP('תפוקה מצטברת מול אשתקד'!A17,מור!A:G,7,0)+VLOOKUP('תפוקה מצטברת מול אשתקד'!A17,'אלטשולר שחם'!A:G,7,0)+VLOOKUP('תפוקה מצטברת מול אשתקד'!A17,'מדיהו '!A:K,7,0)+VLOOKUP(A17,'אנליסט '!A:G,7,0)+VLOOKUP('תפוקה מצטברת מול אשתקד'!A17,'מיטב דש'!A:G,7,0)+VLOOKUP('תפוקה מצטברת מול אשתקד'!A17,אינפניטי!A:G,7,0)</f>
        <v>801357.41999999993</v>
      </c>
      <c r="L17" s="12">
        <f>VLOOKUP(A17,הכשרה!A:K,8,0)+VLOOKUP('תפוקה מצטברת מול אשתקד'!A17,מגדל!A:K,8,0)+VLOOKUP('תפוקה מצטברת מול אשתקד'!A17,מנורה!A:K,8,0)+VLOOKUP('תפוקה מצטברת מול אשתקד'!A17,איילון!A:K,8,0)+VLOOKUP('תפוקה מצטברת מול אשתקד'!A17,הראל!A:K,8,0)+VLOOKUP('תפוקה מצטברת מול אשתקד'!A17,הפניקס!A:K,8,0)+VLOOKUP('תפוקה מצטברת מול אשתקד'!A17,כלל!A:K,8,0)+VLOOKUP('תפוקה מצטברת מול אשתקד'!A17,מור!A:K,8,0)+VLOOKUP('תפוקה מצטברת מול אשתקד'!A17,'אלטשולר שחם'!A:K,8,0)+VLOOKUP('תפוקה מצטברת מול אשתקד'!A17,'מדיהו '!A:K,8,0)+VLOOKUP('תפוקה מצטברת מול אשתקד'!A17,'אנליסט '!A:K,8,0)+VLOOKUP('תפוקה מצטברת מול אשתקד'!A17,'מיטב דש'!A:K,8,0)+VLOOKUP('תפוקה מצטברת מול אשתקד'!A17,אינפניטי!A:K,8,0)</f>
        <v>351557.1079626978</v>
      </c>
      <c r="M17" s="12">
        <f>VLOOKUP(A17,הכשרה!A:K,9,0)+VLOOKUP('תפוקה מצטברת מול אשתקד'!A17,מגדל!A:K,9,0)+VLOOKUP('תפוקה מצטברת מול אשתקד'!A17,מנורה!A:K,9,0)+VLOOKUP('תפוקה מצטברת מול אשתקד'!A17,איילון!A:K,9,0)+VLOOKUP('תפוקה מצטברת מול אשתקד'!A17,הראל!A:K,9,0)+VLOOKUP('תפוקה מצטברת מול אשתקד'!A17,הפניקס!A:K,9,0)+VLOOKUP('תפוקה מצטברת מול אשתקד'!A17,כלל!A:K,9,0)+VLOOKUP('תפוקה מצטברת מול אשתקד'!A17,מור!A:K,9,0)+VLOOKUP('תפוקה מצטברת מול אשתקד'!A17,'אלטשולר שחם'!A:K,9,0)+VLOOKUP('תפוקה מצטברת מול אשתקד'!A17,'מדיהו '!A:K,9,0)+VLOOKUP('תפוקה מצטברת מול אשתקד'!A17,'אנליסט '!A:K,9,0)+VLOOKUP('תפוקה מצטברת מול אשתקד'!A17,'מיטב דש'!A:K,9,0)+VLOOKUP('תפוקה מצטברת מול אשתקד'!A17,אינפניטי!A:K,9,0)</f>
        <v>68975.506503189972</v>
      </c>
      <c r="N17" s="12">
        <f>VLOOKUP(A17,הכשרה!A:K,10,0)+VLOOKUP('תפוקה מצטברת מול אשתקד'!A17,מגדל!A:K,10,0)+VLOOKUP('תפוקה מצטברת מול אשתקד'!A17,מנורה!A:K,10,0)+VLOOKUP('תפוקה מצטברת מול אשתקד'!A17,איילון!A:K,10,0)+VLOOKUP('תפוקה מצטברת מול אשתקד'!A17,הראל!A:K,10,0)+VLOOKUP('תפוקה מצטברת מול אשתקד'!A17,הפניקס!A:K,10,0)+VLOOKUP('תפוקה מצטברת מול אשתקד'!A17,כלל!A:K,10,0)+VLOOKUP('תפוקה מצטברת מול אשתקד'!A17,מור!A:K,10,0)+VLOOKUP('תפוקה מצטברת מול אשתקד'!A17,'אלטשולר שחם'!A:K,10,0)+VLOOKUP('תפוקה מצטברת מול אשתקד'!A17,'מדיהו '!A:K,10,0)+VLOOKUP('תפוקה מצטברת מול אשתקד'!A17,'אנליסט '!A:K,10,0)+VLOOKUP('תפוקה מצטברת מול אשתקד'!A17,'מיטב דש'!A:K,10,0)+VLOOKUP('תפוקה מצטברת מול אשתקד'!A17,אינפניטי!A:K,10,0)</f>
        <v>3026106.6831999994</v>
      </c>
      <c r="O17" s="12">
        <f>VLOOKUP(A17,הכשרה!A:K,11,0)+VLOOKUP('תפוקה מצטברת מול אשתקד'!A17,מגדל!A:K,11,0)+VLOOKUP('תפוקה מצטברת מול אשתקד'!A17,מנורה!A:K,11,0)+VLOOKUP('תפוקה מצטברת מול אשתקד'!A17,איילון!A:K,11,0)+VLOOKUP('תפוקה מצטברת מול אשתקד'!A17,הראל!A:K,11,0)+VLOOKUP('תפוקה מצטברת מול אשתקד'!A17,הפניקס!A:K,11,0)+VLOOKUP('תפוקה מצטברת מול אשתקד'!A17,כלל!A:K,11,0)+VLOOKUP('תפוקה מצטברת מול אשתקד'!A17,מור!A:K,11,0)+VLOOKUP('תפוקה מצטברת מול אשתקד'!A17,'אלטשולר שחם'!A:K,11,0)+VLOOKUP('תפוקה מצטברת מול אשתקד'!A17,'מדיהו '!A:K,11,0)+VLOOKUP('תפוקה מצטברת מול אשתקד'!A17,'אנליסט '!A:K,11,0)+VLOOKUP('תפוקה מצטברת מול אשתקד'!A17,'מיטב דש'!A:K,11,0)+VLOOKUP('תפוקה מצטברת מול אשתקד'!A17,אינפניטי!A:K,11,0)</f>
        <v>2004433.5799999998</v>
      </c>
    </row>
    <row r="18" spans="1:18" ht="15.75" customHeight="1" x14ac:dyDescent="0.2">
      <c r="A18" s="26" t="s">
        <v>43</v>
      </c>
      <c r="B18" s="26" t="s">
        <v>108</v>
      </c>
      <c r="C18" s="26" t="s">
        <v>106</v>
      </c>
      <c r="D18" s="19">
        <f t="shared" si="0"/>
        <v>-8.7488143605599089E-2</v>
      </c>
      <c r="E18" s="19">
        <f t="shared" si="1"/>
        <v>2.4472946956146755</v>
      </c>
      <c r="F18" s="19">
        <f t="shared" si="2"/>
        <v>-0.43110214847194905</v>
      </c>
      <c r="G18" s="19">
        <f t="shared" si="4"/>
        <v>-0.18521941709743217</v>
      </c>
      <c r="H18" s="58">
        <f>VLOOKUP(A18,הכשרה!A:G,4,0)+VLOOKUP('תפוקה מצטברת מול אשתקד'!A18,מגדל!A:G,4,0)+VLOOKUP('תפוקה מצטברת מול אשתקד'!A18,מנורה!A:G,4,0)+VLOOKUP('תפוקה מצטברת מול אשתקד'!A18,איילון!A:G,4,0)+VLOOKUP('תפוקה מצטברת מול אשתקד'!A18,הראל!A:G,4,0)+VLOOKUP('תפוקה מצטברת מול אשתקד'!A18,הפניקס!A:G,4,0)+VLOOKUP('תפוקה מצטברת מול אשתקד'!A18,כלל!A:G,4,0)+VLOOKUP('תפוקה מצטברת מול אשתקד'!A18,מור!A:G,4,0)+VLOOKUP('תפוקה מצטברת מול אשתקד'!A18,'אלטשולר שחם'!A:G,4,0)+VLOOKUP('תפוקה מצטברת מול אשתקד'!A18,'מדיהו '!A:G,4,0)+VLOOKUP('תפוקה מצטברת מול אשתקד'!A18,'אנליסט '!A:G,4,0)+VLOOKUP('תפוקה מצטברת מול אשתקד'!A18,'מיטב דש'!A:G,4,0)+VLOOKUP('תפוקה מצטברת מול אשתקד'!A18,אינפניטי!A:G,4,0)</f>
        <v>413205.87033278984</v>
      </c>
      <c r="I18" s="58">
        <f>VLOOKUP(A18,הכשרה!A:G,5,0)+VLOOKUP('תפוקה מצטברת מול אשתקד'!A18,מגדל!A:G,5,0)+VLOOKUP('תפוקה מצטברת מול אשתקד'!A18,מנורה!A:G,5,0)+VLOOKUP('תפוקה מצטברת מול אשתקד'!A18,איילון!A:G,5,0)+VLOOKUP('תפוקה מצטברת מול אשתקד'!A18,הראל!A:G,5,0)+VLOOKUP('תפוקה מצטברת מול אשתקד'!A18,הפניקס!A:G,5,0)+VLOOKUP('תפוקה מצטברת מול אשתקד'!A18,כלל!A:G,5,0)+VLOOKUP('תפוקה מצטברת מול אשתקד'!A18,מור!A:G,5,0)+VLOOKUP('תפוקה מצטברת מול אשתקד'!A18,'אלטשולר שחם'!A:G,5,0)+VLOOKUP('תפוקה מצטברת מול אשתקד'!A18,'מדיהו '!A:G,5,0)+VLOOKUP('תפוקה מצטברת מול אשתקד'!A18,'אנליסט '!A:G,5,0)+VLOOKUP('תפוקה מצטברת מול אשתקד'!A18,'מיטב דש'!A:G,5,0)+VLOOKUP('תפוקה מצטברת מול אשתקד'!A18,אינפניטי!A:G,5,0)</f>
        <v>99780.886455340951</v>
      </c>
      <c r="J18" s="58">
        <f>VLOOKUP(A18,הכשרה!A:G,6,0)+VLOOKUP('תפוקה מצטברת מול אשתקד'!A18,מגדל!A:G,6,0)+VLOOKUP('תפוקה מצטברת מול אשתקד'!A18,מנורה!A:G,6,0)+VLOOKUP('תפוקה מצטברת מול אשתקד'!A18,איילון!A:G,6,0)+VLOOKUP(A18,הראל!A:G,6,0)+VLOOKUP('תפוקה מצטברת מול אשתקד'!A18,הפניקס!A:G,6,0)+VLOOKUP('תפוקה מצטברת מול אשתקד'!A18,כלל!A:G,6,0)+VLOOKUP('תפוקה מצטברת מול אשתקד'!A18,מור!A:G,6,0)+VLOOKUP('תפוקה מצטברת מול אשתקד'!A18,'אלטשולר שחם'!A:G,6,0)+VLOOKUP('תפוקה מצטברת מול אשתקד'!A18,'מדיהו '!A:G,6,0)+VLOOKUP('תפוקה מצטברת מול אשתקד'!A18,'אנליסט '!A:G,6,0)+VLOOKUP('תפוקה מצטברת מול אשתקד'!A18,'מיטב דש'!A:G,6,0)+VLOOKUP('תפוקה מצטברת מול אשתקד'!A18,אינפניטי!A:G,6,0)</f>
        <v>4086513.8768207771</v>
      </c>
      <c r="K18" s="58">
        <f>VLOOKUP(A18,הכשרה!A:G,7,0)+VLOOKUP('תפוקה מצטברת מול אשתקד'!A18,מגדל!A:G,7,0)+VLOOKUP('תפוקה מצטברת מול אשתקד'!A18,מנורה!A:G,7,0)+VLOOKUP('תפוקה מצטברת מול אשתקד'!A18,איילון!A:G,7,0)+VLOOKUP('תפוקה מצטברת מול אשתקד'!A18,הראל!A:G,7,0)+VLOOKUP('תפוקה מצטברת מול אשתקד'!A18,הפניקס!A:G,7,0)+VLOOKUP('תפוקה מצטברת מול אשתקד'!A18,כלל!A:G,7,0)+VLOOKUP('תפוקה מצטברת מול אשתקד'!A18,מור!A:G,7,0)+VLOOKUP('תפוקה מצטברת מול אשתקד'!A18,'אלטשולר שחם'!A:G,7,0)+VLOOKUP('תפוקה מצטברת מול אשתקד'!A18,'מדיהו '!A:K,7,0)+VLOOKUP(A18,'אנליסט '!A:G,7,0)+VLOOKUP('תפוקה מצטברת מול אשתקד'!A18,'מיטב דש'!A:G,7,0)+VLOOKUP('תפוקה מצטברת מול אשתקד'!A18,אינפניטי!A:G,7,0)</f>
        <v>2219560.44</v>
      </c>
      <c r="L18" s="12">
        <f>VLOOKUP(A18,הכשרה!A:K,8,0)+VLOOKUP('תפוקה מצטברת מול אשתקד'!A18,מגדל!A:K,8,0)+VLOOKUP('תפוקה מצטברת מול אשתקד'!A18,מנורה!A:K,8,0)+VLOOKUP('תפוקה מצטברת מול אשתקד'!A18,איילון!A:K,8,0)+VLOOKUP('תפוקה מצטברת מול אשתקד'!A18,הראל!A:K,8,0)+VLOOKUP('תפוקה מצטברת מול אשתקד'!A18,הפניקס!A:K,8,0)+VLOOKUP('תפוקה מצטברת מול אשתקד'!A18,כלל!A:K,8,0)+VLOOKUP('תפוקה מצטברת מול אשתקד'!A18,מור!A:K,8,0)+VLOOKUP('תפוקה מצטברת מול אשתקד'!A18,'אלטשולר שחם'!A:K,8,0)+VLOOKUP('תפוקה מצטברת מול אשתקד'!A18,'מדיהו '!A:K,8,0)+VLOOKUP('תפוקה מצטברת מול אשתקד'!A18,'אנליסט '!A:K,8,0)+VLOOKUP('תפוקה מצטברת מול אשתקד'!A18,'מיטב דש'!A:K,8,0)+VLOOKUP('תפוקה מצטברת מול אשתקד'!A18,אינפניטי!A:K,8,0)</f>
        <v>452822.46738742234</v>
      </c>
      <c r="M18" s="12">
        <f>VLOOKUP(A18,הכשרה!A:K,9,0)+VLOOKUP('תפוקה מצטברת מול אשתקד'!A18,מגדל!A:K,9,0)+VLOOKUP('תפוקה מצטברת מול אשתקד'!A18,מנורה!A:K,9,0)+VLOOKUP('תפוקה מצטברת מול אשתקד'!A18,איילון!A:K,9,0)+VLOOKUP('תפוקה מצטברת מול אשתקד'!A18,הראל!A:K,9,0)+VLOOKUP('תפוקה מצטברת מול אשתקד'!A18,הפניקס!A:K,9,0)+VLOOKUP('תפוקה מצטברת מול אשתקד'!A18,כלל!A:K,9,0)+VLOOKUP('תפוקה מצטברת מול אשתקד'!A18,מור!A:K,9,0)+VLOOKUP('תפוקה מצטברת מול אשתקד'!A18,'אלטשולר שחם'!A:K,9,0)+VLOOKUP('תפוקה מצטברת מול אשתקד'!A18,'מדיהו '!A:K,9,0)+VLOOKUP('תפוקה מצטברת מול אשתקד'!A18,'אנליסט '!A:K,9,0)+VLOOKUP('תפוקה מצטברת מול אשתקד'!A18,'מיטב דש'!A:K,9,0)+VLOOKUP('תפוקה מצטברת מול אשתקד'!A18,אינפניטי!A:K,9,0)</f>
        <v>28944.692944955597</v>
      </c>
      <c r="N18" s="12">
        <f>VLOOKUP(A18,הכשרה!A:K,10,0)+VLOOKUP('תפוקה מצטברת מול אשתקד'!A18,מגדל!A:K,10,0)+VLOOKUP('תפוקה מצטברת מול אשתקד'!A18,מנורה!A:K,10,0)+VLOOKUP('תפוקה מצטברת מול אשתקד'!A18,איילון!A:K,10,0)+VLOOKUP('תפוקה מצטברת מול אשתקד'!A18,הראל!A:K,10,0)+VLOOKUP('תפוקה מצטברת מול אשתקד'!A18,הפניקס!A:K,10,0)+VLOOKUP('תפוקה מצטברת מול אשתקד'!A18,כלל!A:K,10,0)+VLOOKUP('תפוקה מצטברת מול אשתקד'!A18,מור!A:K,10,0)+VLOOKUP('תפוקה מצטברת מול אשתקד'!A18,'אלטשולר שחם'!A:K,10,0)+VLOOKUP('תפוקה מצטברת מול אשתקד'!A18,'מדיהו '!A:K,10,0)+VLOOKUP('תפוקה מצטברת מול אשתקד'!A18,'אנליסט '!A:K,10,0)+VLOOKUP('תפוקה מצטברת מול אשתקד'!A18,'מיטב דש'!A:K,10,0)+VLOOKUP('תפוקה מצטברת מול אשתקד'!A18,אינפניטי!A:K,10,0)</f>
        <v>7183212.0051859282</v>
      </c>
      <c r="O18" s="12">
        <f>VLOOKUP(A18,הכשרה!A:K,11,0)+VLOOKUP('תפוקה מצטברת מול אשתקד'!A18,מגדל!A:K,11,0)+VLOOKUP('תפוקה מצטברת מול אשתקד'!A18,מנורה!A:K,11,0)+VLOOKUP('תפוקה מצטברת מול אשתקד'!A18,איילון!A:K,11,0)+VLOOKUP('תפוקה מצטברת מול אשתקד'!A18,הראל!A:K,11,0)+VLOOKUP('תפוקה מצטברת מול אשתקד'!A18,הפניקס!A:K,11,0)+VLOOKUP('תפוקה מצטברת מול אשתקד'!A18,כלל!A:K,11,0)+VLOOKUP('תפוקה מצטברת מול אשתקד'!A18,מור!A:K,11,0)+VLOOKUP('תפוקה מצטברת מול אשתקד'!A18,'אלטשולר שחם'!A:K,11,0)+VLOOKUP('תפוקה מצטברת מול אשתקד'!A18,'מדיהו '!A:K,11,0)+VLOOKUP('תפוקה מצטברת מול אשתקד'!A18,'אנליסט '!A:K,11,0)+VLOOKUP('תפוקה מצטברת מול אשתקד'!A18,'מיטב דש'!A:K,11,0)+VLOOKUP('תפוקה מצטברת מול אשתקד'!A18,אינפניטי!A:K,11,0)</f>
        <v>2724120.4400000004</v>
      </c>
    </row>
    <row r="19" spans="1:18" ht="15.75" customHeight="1" x14ac:dyDescent="0.2">
      <c r="A19" s="26" t="s">
        <v>30</v>
      </c>
      <c r="B19" s="26" t="s">
        <v>108</v>
      </c>
      <c r="C19" s="26" t="s">
        <v>106</v>
      </c>
      <c r="D19" s="19">
        <f t="shared" si="0"/>
        <v>18.215533505492488</v>
      </c>
      <c r="E19" s="19">
        <f t="shared" si="1"/>
        <v>0</v>
      </c>
      <c r="F19" s="19">
        <f t="shared" si="2"/>
        <v>0</v>
      </c>
      <c r="G19" s="19">
        <f t="shared" si="4"/>
        <v>1</v>
      </c>
      <c r="H19" s="58">
        <f>VLOOKUP(A19,הכשרה!A:G,4,0)+VLOOKUP('תפוקה מצטברת מול אשתקד'!A19,מגדל!A:G,4,0)+VLOOKUP('תפוקה מצטברת מול אשתקד'!A19,מנורה!A:G,4,0)+VLOOKUP('תפוקה מצטברת מול אשתקד'!A19,איילון!A:G,4,0)+VLOOKUP('תפוקה מצטברת מול אשתקד'!A19,הראל!A:G,4,0)+VLOOKUP('תפוקה מצטברת מול אשתקד'!A19,הפניקס!A:G,4,0)+VLOOKUP('תפוקה מצטברת מול אשתקד'!A19,כלל!A:G,4,0)+VLOOKUP('תפוקה מצטברת מול אשתקד'!A19,מור!A:G,4,0)+VLOOKUP('תפוקה מצטברת מול אשתקד'!A19,'אלטשולר שחם'!A:G,4,0)+VLOOKUP('תפוקה מצטברת מול אשתקד'!A19,'מדיהו '!A:G,4,0)+VLOOKUP('תפוקה מצטברת מול אשתקד'!A19,'אנליסט '!A:G,4,0)+VLOOKUP('תפוקה מצטברת מול אשתקד'!A19,'מיטב דש'!A:G,4,0)+VLOOKUP('תפוקה מצטברת מול אשתקד'!A19,אינפניטי!A:G,4,0)</f>
        <v>8654.0998248686519</v>
      </c>
      <c r="I19" s="58">
        <f>VLOOKUP(A19,הכשרה!A:G,5,0)+VLOOKUP('תפוקה מצטברת מול אשתקד'!A19,מגדל!A:G,5,0)+VLOOKUP('תפוקה מצטברת מול אשתקד'!A19,מנורה!A:G,5,0)+VLOOKUP('תפוקה מצטברת מול אשתקד'!A19,איילון!A:G,5,0)+VLOOKUP('תפוקה מצטברת מול אשתקד'!A19,הראל!A:G,5,0)+VLOOKUP('תפוקה מצטברת מול אשתקד'!A19,הפניקס!A:G,5,0)+VLOOKUP('תפוקה מצטברת מול אשתקד'!A19,כלל!A:G,5,0)+VLOOKUP('תפוקה מצטברת מול אשתקד'!A19,מור!A:G,5,0)+VLOOKUP('תפוקה מצטברת מול אשתקד'!A19,'אלטשולר שחם'!A:G,5,0)+VLOOKUP('תפוקה מצטברת מול אשתקד'!A19,'מדיהו '!A:G,5,0)+VLOOKUP('תפוקה מצטברת מול אשתקד'!A19,'אנליסט '!A:G,5,0)+VLOOKUP('תפוקה מצטברת מול אשתקד'!A19,'מיטב דש'!A:G,5,0)+VLOOKUP('תפוקה מצטברת מול אשתקד'!A19,אינפניטי!A:G,5,0)</f>
        <v>0</v>
      </c>
      <c r="J19" s="58">
        <f>VLOOKUP(A19,הכשרה!A:G,6,0)+VLOOKUP('תפוקה מצטברת מול אשתקד'!A19,מגדל!A:G,6,0)+VLOOKUP('תפוקה מצטברת מול אשתקד'!A19,מנורה!A:G,6,0)+VLOOKUP('תפוקה מצטברת מול אשתקד'!A19,איילון!A:G,6,0)+VLOOKUP(A19,הראל!A:G,6,0)+VLOOKUP('תפוקה מצטברת מול אשתקד'!A19,הפניקס!A:G,6,0)+VLOOKUP('תפוקה מצטברת מול אשתקד'!A19,כלל!A:G,6,0)+VLOOKUP('תפוקה מצטברת מול אשתקד'!A19,מור!A:G,6,0)+VLOOKUP('תפוקה מצטברת מול אשתקד'!A19,'אלטשולר שחם'!A:G,6,0)+VLOOKUP('תפוקה מצטברת מול אשתקד'!A19,'מדיהו '!A:G,6,0)+VLOOKUP('תפוקה מצטברת מול אשתקד'!A19,'אנליסט '!A:G,6,0)+VLOOKUP('תפוקה מצטברת מול אשתקד'!A19,'מיטב דש'!A:G,6,0)+VLOOKUP('תפוקה מצטברת מול אשתקד'!A19,אינפניטי!A:G,6,0)</f>
        <v>0</v>
      </c>
      <c r="K19" s="58">
        <f>VLOOKUP(A19,הכשרה!A:G,7,0)+VLOOKUP('תפוקה מצטברת מול אשתקד'!A19,מגדל!A:G,7,0)+VLOOKUP('תפוקה מצטברת מול אשתקד'!A19,מנורה!A:G,7,0)+VLOOKUP('תפוקה מצטברת מול אשתקד'!A19,איילון!A:G,7,0)+VLOOKUP('תפוקה מצטברת מול אשתקד'!A19,הראל!A:G,7,0)+VLOOKUP('תפוקה מצטברת מול אשתקד'!A19,הפניקס!A:G,7,0)+VLOOKUP('תפוקה מצטברת מול אשתקד'!A19,כלל!A:G,7,0)+VLOOKUP('תפוקה מצטברת מול אשתקד'!A19,מור!A:G,7,0)+VLOOKUP('תפוקה מצטברת מול אשתקד'!A19,'אלטשולר שחם'!A:G,7,0)+VLOOKUP('תפוקה מצטברת מול אשתקד'!A19,'מדיהו '!A:K,7,0)+VLOOKUP(A19,'אנליסט '!A:G,7,0)+VLOOKUP('תפוקה מצטברת מול אשתקד'!A19,'מיטב דש'!A:G,7,0)+VLOOKUP('תפוקה מצטברת מול אשתקד'!A19,אינפניטי!A:G,7,0)</f>
        <v>-190731.89499999999</v>
      </c>
      <c r="L19" s="12">
        <f>VLOOKUP(A19,הכשרה!A:K,8,0)+VLOOKUP('תפוקה מצטברת מול אשתקד'!A19,מגדל!A:K,8,0)+VLOOKUP('תפוקה מצטברת מול אשתקד'!A19,מנורה!A:K,8,0)+VLOOKUP('תפוקה מצטברת מול אשתקד'!A19,איילון!A:K,8,0)+VLOOKUP('תפוקה מצטברת מול אשתקד'!A19,הראל!A:K,8,0)+VLOOKUP('תפוקה מצטברת מול אשתקד'!A19,הפניקס!A:K,8,0)+VLOOKUP('תפוקה מצטברת מול אשתקד'!A19,כלל!A:K,8,0)+VLOOKUP('תפוקה מצטברת מול אשתקד'!A19,מור!A:K,8,0)+VLOOKUP('תפוקה מצטברת מול אשתקד'!A19,'אלטשולר שחם'!A:K,8,0)+VLOOKUP('תפוקה מצטברת מול אשתקד'!A19,'מדיהו '!A:K,8,0)+VLOOKUP('תפוקה מצטברת מול אשתקד'!A19,'אנליסט '!A:K,8,0)+VLOOKUP('תפוקה מצטברת מול אשתקד'!A19,'מיטב דש'!A:K,8,0)+VLOOKUP('תפוקה מצטברת מול אשתקד'!A19,אינפניטי!A:K,8,0)</f>
        <v>450.37</v>
      </c>
      <c r="M19" s="12">
        <f>VLOOKUP(A19,הכשרה!A:K,9,0)+VLOOKUP('תפוקה מצטברת מול אשתקד'!A19,מגדל!A:K,9,0)+VLOOKUP('תפוקה מצטברת מול אשתקד'!A19,מנורה!A:K,9,0)+VLOOKUP('תפוקה מצטברת מול אשתקד'!A19,איילון!A:K,9,0)+VLOOKUP('תפוקה מצטברת מול אשתקד'!A19,הראל!A:K,9,0)+VLOOKUP('תפוקה מצטברת מול אשתקד'!A19,הפניקס!A:K,9,0)+VLOOKUP('תפוקה מצטברת מול אשתקד'!A19,כלל!A:K,9,0)+VLOOKUP('תפוקה מצטברת מול אשתקד'!A19,מור!A:K,9,0)+VLOOKUP('תפוקה מצטברת מול אשתקד'!A19,'אלטשולר שחם'!A:K,9,0)+VLOOKUP('תפוקה מצטברת מול אשתקד'!A19,'מדיהו '!A:K,9,0)+VLOOKUP('תפוקה מצטברת מול אשתקד'!A19,'אנליסט '!A:K,9,0)+VLOOKUP('תפוקה מצטברת מול אשתקד'!A19,'מיטב דש'!A:K,9,0)+VLOOKUP('תפוקה מצטברת מול אשתקד'!A19,אינפניטי!A:K,9,0)</f>
        <v>0</v>
      </c>
      <c r="N19" s="12">
        <f>VLOOKUP(A19,הכשרה!A:K,10,0)+VLOOKUP('תפוקה מצטברת מול אשתקד'!A19,מגדל!A:K,10,0)+VLOOKUP('תפוקה מצטברת מול אשתקד'!A19,מנורה!A:K,10,0)+VLOOKUP('תפוקה מצטברת מול אשתקד'!A19,איילון!A:K,10,0)+VLOOKUP('תפוקה מצטברת מול אשתקד'!A19,הראל!A:K,10,0)+VLOOKUP('תפוקה מצטברת מול אשתקד'!A19,הפניקס!A:K,10,0)+VLOOKUP('תפוקה מצטברת מול אשתקד'!A19,כלל!A:K,10,0)+VLOOKUP('תפוקה מצטברת מול אשתקד'!A19,מור!A:K,10,0)+VLOOKUP('תפוקה מצטברת מול אשתקד'!A19,'אלטשולר שחם'!A:K,10,0)+VLOOKUP('תפוקה מצטברת מול אשתקד'!A19,'מדיהו '!A:K,10,0)+VLOOKUP('תפוקה מצטברת מול אשתקד'!A19,'אנליסט '!A:K,10,0)+VLOOKUP('תפוקה מצטברת מול אשתקד'!A19,'מיטב דש'!A:K,10,0)+VLOOKUP('תפוקה מצטברת מול אשתקד'!A19,אינפניטי!A:K,10,0)</f>
        <v>10470.76352</v>
      </c>
      <c r="O19" s="12">
        <f>VLOOKUP(A19,הכשרה!A:K,11,0)+VLOOKUP('תפוקה מצטברת מול אשתקד'!A19,מגדל!A:K,11,0)+VLOOKUP('תפוקה מצטברת מול אשתקד'!A19,מנורה!A:K,11,0)+VLOOKUP('תפוקה מצטברת מול אשתקד'!A19,איילון!A:K,11,0)+VLOOKUP('תפוקה מצטברת מול אשתקד'!A19,הראל!A:K,11,0)+VLOOKUP('תפוקה מצטברת מול אשתקד'!A19,הפניקס!A:K,11,0)+VLOOKUP('תפוקה מצטברת מול אשתקד'!A19,כלל!A:K,11,0)+VLOOKUP('תפוקה מצטברת מול אשתקד'!A19,מור!A:K,11,0)+VLOOKUP('תפוקה מצטברת מול אשתקד'!A19,'אלטשולר שחם'!A:K,11,0)+VLOOKUP('תפוקה מצטברת מול אשתקד'!A19,'מדיהו '!A:K,11,0)+VLOOKUP('תפוקה מצטברת מול אשתקד'!A19,'אנליסט '!A:K,11,0)+VLOOKUP('תפוקה מצטברת מול אשתקד'!A19,'מיטב דש'!A:K,11,0)+VLOOKUP('תפוקה מצטברת מול אשתקד'!A19,אינפניטי!A:K,11,0)</f>
        <v>0</v>
      </c>
    </row>
    <row r="20" spans="1:18" ht="15.75" customHeight="1" thickBot="1" x14ac:dyDescent="0.25">
      <c r="A20" s="28" t="s">
        <v>38</v>
      </c>
      <c r="B20" s="26" t="s">
        <v>108</v>
      </c>
      <c r="C20" s="28" t="s">
        <v>106</v>
      </c>
      <c r="D20" s="101">
        <f t="shared" si="0"/>
        <v>0</v>
      </c>
      <c r="E20" s="101">
        <f t="shared" si="1"/>
        <v>0</v>
      </c>
      <c r="F20" s="101">
        <f t="shared" si="2"/>
        <v>0</v>
      </c>
      <c r="G20" s="19">
        <f t="shared" si="4"/>
        <v>0</v>
      </c>
      <c r="H20" s="58">
        <f>VLOOKUP(A20,הכשרה!A:G,4,0)+VLOOKUP('תפוקה מצטברת מול אשתקד'!A20,מגדל!A:G,4,0)+VLOOKUP('תפוקה מצטברת מול אשתקד'!A20,מנורה!A:G,4,0)+VLOOKUP('תפוקה מצטברת מול אשתקד'!A20,איילון!A:G,4,0)+VLOOKUP('תפוקה מצטברת מול אשתקד'!A20,הראל!A:G,4,0)+VLOOKUP('תפוקה מצטברת מול אשתקד'!A20,הפניקס!A:G,4,0)+VLOOKUP('תפוקה מצטברת מול אשתקד'!A20,כלל!A:G,4,0)+VLOOKUP('תפוקה מצטברת מול אשתקד'!A20,מור!A:G,4,0)+VLOOKUP('תפוקה מצטברת מול אשתקד'!A20,'אלטשולר שחם'!A:G,4,0)+VLOOKUP('תפוקה מצטברת מול אשתקד'!A20,'מדיהו '!A:G,4,0)+VLOOKUP('תפוקה מצטברת מול אשתקד'!A20,'אנליסט '!A:G,4,0)+VLOOKUP('תפוקה מצטברת מול אשתקד'!A20,'מיטב דש'!A:G,4,0)+VLOOKUP('תפוקה מצטברת מול אשתקד'!A20,אינפניטי!A:G,4,0)</f>
        <v>0</v>
      </c>
      <c r="I20" s="58">
        <f>VLOOKUP(A20,הכשרה!A:G,5,0)+VLOOKUP('תפוקה מצטברת מול אשתקד'!A20,מגדל!A:G,5,0)+VLOOKUP('תפוקה מצטברת מול אשתקד'!A20,מנורה!A:G,5,0)+VLOOKUP('תפוקה מצטברת מול אשתקד'!A20,איילון!A:G,5,0)+VLOOKUP('תפוקה מצטברת מול אשתקד'!A20,הראל!A:G,5,0)+VLOOKUP('תפוקה מצטברת מול אשתקד'!A20,הפניקס!A:G,5,0)+VLOOKUP('תפוקה מצטברת מול אשתקד'!A20,כלל!A:G,5,0)+VLOOKUP('תפוקה מצטברת מול אשתקד'!A20,מור!A:G,5,0)+VLOOKUP('תפוקה מצטברת מול אשתקד'!A20,'אלטשולר שחם'!A:G,5,0)+VLOOKUP('תפוקה מצטברת מול אשתקד'!A20,'מדיהו '!A:G,5,0)+VLOOKUP('תפוקה מצטברת מול אשתקד'!A20,'אנליסט '!A:G,5,0)+VLOOKUP('תפוקה מצטברת מול אשתקד'!A20,'מיטב דש'!A:G,5,0)+VLOOKUP('תפוקה מצטברת מול אשתקד'!A20,אינפניטי!A:G,5,0)</f>
        <v>0</v>
      </c>
      <c r="J20" s="58">
        <f>VLOOKUP(A20,הכשרה!A:G,6,0)+VLOOKUP('תפוקה מצטברת מול אשתקד'!A20,מגדל!A:G,6,0)+VLOOKUP('תפוקה מצטברת מול אשתקד'!A20,מנורה!A:G,6,0)+VLOOKUP('תפוקה מצטברת מול אשתקד'!A20,איילון!A:G,6,0)+VLOOKUP(A20,הראל!A:G,6,0)+VLOOKUP('תפוקה מצטברת מול אשתקד'!A20,הפניקס!A:G,6,0)+VLOOKUP('תפוקה מצטברת מול אשתקד'!A20,כלל!A:G,6,0)+VLOOKUP('תפוקה מצטברת מול אשתקד'!A20,מור!A:G,6,0)+VLOOKUP('תפוקה מצטברת מול אשתקד'!A20,'אלטשולר שחם'!A:G,6,0)+VLOOKUP('תפוקה מצטברת מול אשתקד'!A20,'מדיהו '!A:G,6,0)+VLOOKUP('תפוקה מצטברת מול אשתקד'!A20,'אנליסט '!A:G,6,0)+VLOOKUP('תפוקה מצטברת מול אשתקד'!A20,'מיטב דש'!A:G,6,0)+VLOOKUP('תפוקה מצטברת מול אשתקד'!A20,אינפניטי!A:G,6,0)</f>
        <v>0</v>
      </c>
      <c r="K20" s="58">
        <f>VLOOKUP(A20,הכשרה!A:G,7,0)+VLOOKUP('תפוקה מצטברת מול אשתקד'!A20,מגדל!A:G,7,0)+VLOOKUP('תפוקה מצטברת מול אשתקד'!A20,מנורה!A:G,7,0)+VLOOKUP('תפוקה מצטברת מול אשתקד'!A20,איילון!A:G,7,0)+VLOOKUP('תפוקה מצטברת מול אשתקד'!A20,הראל!A:G,7,0)+VLOOKUP('תפוקה מצטברת מול אשתקד'!A20,הפניקס!A:G,7,0)+VLOOKUP('תפוקה מצטברת מול אשתקד'!A20,כלל!A:G,7,0)+VLOOKUP('תפוקה מצטברת מול אשתקד'!A20,מור!A:G,7,0)+VLOOKUP('תפוקה מצטברת מול אשתקד'!A20,'אלטשולר שחם'!A:G,7,0)+VLOOKUP('תפוקה מצטברת מול אשתקד'!A20,'מדיהו '!A:K,7,0)+VLOOKUP(A20,'אנליסט '!A:G,7,0)+VLOOKUP('תפוקה מצטברת מול אשתקד'!A20,'מיטב דש'!A:G,7,0)+VLOOKUP('תפוקה מצטברת מול אשתקד'!A20,אינפניטי!A:G,7,0)</f>
        <v>0</v>
      </c>
      <c r="L20" s="12">
        <f>VLOOKUP(A20,הכשרה!A:K,8,0)+VLOOKUP('תפוקה מצטברת מול אשתקד'!A20,מגדל!A:K,8,0)+VLOOKUP('תפוקה מצטברת מול אשתקד'!A20,מנורה!A:K,8,0)+VLOOKUP('תפוקה מצטברת מול אשתקד'!A20,איילון!A:K,8,0)+VLOOKUP('תפוקה מצטברת מול אשתקד'!A20,הראל!A:K,8,0)+VLOOKUP('תפוקה מצטברת מול אשתקד'!A20,הפניקס!A:K,8,0)+VLOOKUP('תפוקה מצטברת מול אשתקד'!A20,כלל!A:K,8,0)+VLOOKUP('תפוקה מצטברת מול אשתקד'!A20,מור!A:K,8,0)+VLOOKUP('תפוקה מצטברת מול אשתקד'!A20,'אלטשולר שחם'!A:K,8,0)+VLOOKUP('תפוקה מצטברת מול אשתקד'!A20,'מדיהו '!A:K,8,0)+VLOOKUP('תפוקה מצטברת מול אשתקד'!A20,'אנליסט '!A:K,8,0)+VLOOKUP('תפוקה מצטברת מול אשתקד'!A20,'מיטב דש'!A:K,8,0)+VLOOKUP('תפוקה מצטברת מול אשתקד'!A20,אינפניטי!A:K,8,0)</f>
        <v>0</v>
      </c>
      <c r="M20" s="12">
        <f>VLOOKUP(A20,הכשרה!A:K,9,0)+VLOOKUP('תפוקה מצטברת מול אשתקד'!A20,מגדל!A:K,9,0)+VLOOKUP('תפוקה מצטברת מול אשתקד'!A20,מנורה!A:K,9,0)+VLOOKUP('תפוקה מצטברת מול אשתקד'!A20,איילון!A:K,9,0)+VLOOKUP('תפוקה מצטברת מול אשתקד'!A20,הראל!A:K,9,0)+VLOOKUP('תפוקה מצטברת מול אשתקד'!A20,הפניקס!A:K,9,0)+VLOOKUP('תפוקה מצטברת מול אשתקד'!A20,כלל!A:K,9,0)+VLOOKUP('תפוקה מצטברת מול אשתקד'!A20,מור!A:K,9,0)+VLOOKUP('תפוקה מצטברת מול אשתקד'!A20,'אלטשולר שחם'!A:K,9,0)+VLOOKUP('תפוקה מצטברת מול אשתקד'!A20,'מדיהו '!A:K,9,0)+VLOOKUP('תפוקה מצטברת מול אשתקד'!A20,'אנליסט '!A:K,9,0)+VLOOKUP('תפוקה מצטברת מול אשתקד'!A20,'מיטב דש'!A:K,9,0)+VLOOKUP('תפוקה מצטברת מול אשתקד'!A20,אינפניטי!A:K,9,0)</f>
        <v>1091.49</v>
      </c>
      <c r="N20" s="12">
        <f>VLOOKUP(A20,הכשרה!A:K,10,0)+VLOOKUP('תפוקה מצטברת מול אשתקד'!A20,מגדל!A:K,10,0)+VLOOKUP('תפוקה מצטברת מול אשתקד'!A20,מנורה!A:K,10,0)+VLOOKUP('תפוקה מצטברת מול אשתקד'!A20,איילון!A:K,10,0)+VLOOKUP('תפוקה מצטברת מול אשתקד'!A20,הראל!A:K,10,0)+VLOOKUP('תפוקה מצטברת מול אשתקד'!A20,הפניקס!A:K,10,0)+VLOOKUP('תפוקה מצטברת מול אשתקד'!A20,כלל!A:K,10,0)+VLOOKUP('תפוקה מצטברת מול אשתקד'!A20,מור!A:K,10,0)+VLOOKUP('תפוקה מצטברת מול אשתקד'!A20,'אלטשולר שחם'!A:K,10,0)+VLOOKUP('תפוקה מצטברת מול אשתקד'!A20,'מדיהו '!A:K,10,0)+VLOOKUP('תפוקה מצטברת מול אשתקד'!A20,'אנליסט '!A:K,10,0)+VLOOKUP('תפוקה מצטברת מול אשתקד'!A20,'מיטב דש'!A:K,10,0)+VLOOKUP('תפוקה מצטברת מול אשתקד'!A20,אינפניטי!A:K,10,0)</f>
        <v>3200</v>
      </c>
      <c r="O20" s="12">
        <f>VLOOKUP(A20,הכשרה!A:K,11,0)+VLOOKUP('תפוקה מצטברת מול אשתקד'!A20,מגדל!A:K,11,0)+VLOOKUP('תפוקה מצטברת מול אשתקד'!A20,מנורה!A:K,11,0)+VLOOKUP('תפוקה מצטברת מול אשתקד'!A20,איילון!A:K,11,0)+VLOOKUP('תפוקה מצטברת מול אשתקד'!A20,הראל!A:K,11,0)+VLOOKUP('תפוקה מצטברת מול אשתקד'!A20,הפניקס!A:K,11,0)+VLOOKUP('תפוקה מצטברת מול אשתקד'!A20,כלל!A:K,11,0)+VLOOKUP('תפוקה מצטברת מול אשתקד'!A20,מור!A:K,11,0)+VLOOKUP('תפוקה מצטברת מול אשתקד'!A20,'אלטשולר שחם'!A:K,11,0)+VLOOKUP('תפוקה מצטברת מול אשתקד'!A20,'מדיהו '!A:K,11,0)+VLOOKUP('תפוקה מצטברת מול אשתקד'!A20,'אנליסט '!A:K,11,0)+VLOOKUP('תפוקה מצטברת מול אשתקד'!A20,'מיטב דש'!A:K,11,0)+VLOOKUP('תפוקה מצטברת מול אשתקד'!A20,אינפניטי!A:K,11,0)</f>
        <v>0</v>
      </c>
    </row>
    <row r="21" spans="1:18" ht="18" customHeight="1" thickBot="1" x14ac:dyDescent="0.25">
      <c r="A21" s="122" t="s">
        <v>10</v>
      </c>
      <c r="B21" s="121"/>
      <c r="C21" s="121"/>
      <c r="D21" s="126">
        <f t="shared" si="0"/>
        <v>3.7733244497619722E-2</v>
      </c>
      <c r="E21" s="126">
        <f t="shared" si="1"/>
        <v>1.2129241500624444</v>
      </c>
      <c r="F21" s="126">
        <f t="shared" si="2"/>
        <v>-0.28322923097729003</v>
      </c>
      <c r="G21" s="19">
        <f t="shared" si="4"/>
        <v>-0.29396915898700193</v>
      </c>
      <c r="H21" s="124">
        <f>SUM(H9:H20)</f>
        <v>1729903.8059844105</v>
      </c>
      <c r="I21" s="124">
        <f t="shared" ref="I21:O21" si="5">SUM(I9:I20)</f>
        <v>973341.03315215767</v>
      </c>
      <c r="J21" s="124">
        <f t="shared" si="5"/>
        <v>9163856.1098936014</v>
      </c>
      <c r="K21" s="124">
        <f t="shared" si="5"/>
        <v>4367988.5250000004</v>
      </c>
      <c r="L21" s="124">
        <f t="shared" si="5"/>
        <v>1667002.3969617351</v>
      </c>
      <c r="M21" s="124">
        <f t="shared" si="5"/>
        <v>439843.82976917305</v>
      </c>
      <c r="N21" s="124">
        <f t="shared" si="5"/>
        <v>12784918.841470301</v>
      </c>
      <c r="O21" s="124">
        <f t="shared" si="5"/>
        <v>6186682.3250000002</v>
      </c>
      <c r="P21" s="35"/>
      <c r="Q21" s="35"/>
      <c r="R21" s="35"/>
    </row>
    <row r="22" spans="1:18" ht="15.75" customHeight="1" x14ac:dyDescent="0.2">
      <c r="A22" s="27" t="s">
        <v>11</v>
      </c>
      <c r="B22" s="27" t="s">
        <v>56</v>
      </c>
      <c r="C22" s="27" t="s">
        <v>107</v>
      </c>
      <c r="D22" s="103">
        <f t="shared" si="0"/>
        <v>-0.31363939122263529</v>
      </c>
      <c r="E22" s="103">
        <f t="shared" si="1"/>
        <v>-0.90399964708047587</v>
      </c>
      <c r="F22" s="103">
        <f t="shared" si="2"/>
        <v>-0.44555432346215562</v>
      </c>
      <c r="G22" s="19">
        <f t="shared" si="4"/>
        <v>-6.6198179354984843E-3</v>
      </c>
      <c r="H22" s="58">
        <f>VLOOKUP(A22,הכשרה!A:G,4,0)+VLOOKUP('תפוקה מצטברת מול אשתקד'!A22,מגדל!A:G,4,0)+VLOOKUP('תפוקה מצטברת מול אשתקד'!A22,מנורה!A:G,4,0)+VLOOKUP('תפוקה מצטברת מול אשתקד'!A22,איילון!A:G,4,0)+VLOOKUP('תפוקה מצטברת מול אשתקד'!A22,הראל!A:G,4,0)+VLOOKUP('תפוקה מצטברת מול אשתקד'!A22,הפניקס!A:G,4,0)+VLOOKUP('תפוקה מצטברת מול אשתקד'!A22,כלל!A:G,4,0)+VLOOKUP('תפוקה מצטברת מול אשתקד'!A22,מור!A:G,4,0)+VLOOKUP('תפוקה מצטברת מול אשתקד'!A22,'אלטשולר שחם'!A:G,4,0)+VLOOKUP('תפוקה מצטברת מול אשתקד'!A22,'מדיהו '!A:G,4,0)+VLOOKUP('תפוקה מצטברת מול אשתקד'!A22,'אנליסט '!A:G,4,0)+VLOOKUP('תפוקה מצטברת מול אשתקד'!A22,'מיטב דש'!A:G,4,0)+VLOOKUP('תפוקה מצטברת מול אשתקד'!A22,אינפניטי!A:G,4,0)</f>
        <v>499408.66227999999</v>
      </c>
      <c r="I22" s="58">
        <f>VLOOKUP(A22,הכשרה!A:G,5,0)+VLOOKUP('תפוקה מצטברת מול אשתקד'!A22,מגדל!A:G,5,0)+VLOOKUP('תפוקה מצטברת מול אשתקד'!A22,מנורה!A:G,5,0)+VLOOKUP('תפוקה מצטברת מול אשתקד'!A22,איילון!A:G,5,0)+VLOOKUP('תפוקה מצטברת מול אשתקד'!A22,הראל!A:G,5,0)+VLOOKUP('תפוקה מצטברת מול אשתקד'!A22,הפניקס!A:G,5,0)+VLOOKUP('תפוקה מצטברת מול אשתקד'!A22,כלל!A:G,5,0)+VLOOKUP('תפוקה מצטברת מול אשתקד'!A22,מור!A:G,5,0)+VLOOKUP('תפוקה מצטברת מול אשתקד'!A22,'אלטשולר שחם'!A:G,5,0)+VLOOKUP('תפוקה מצטברת מול אשתקד'!A22,'מדיהו '!A:G,5,0)+VLOOKUP('תפוקה מצטברת מול אשתקד'!A22,'אנליסט '!A:G,5,0)+VLOOKUP('תפוקה מצטברת מול אשתקד'!A22,'מיטב דש'!A:G,5,0)+VLOOKUP('תפוקה מצטברת מול אשתקד'!A22,אינפניטי!A:G,5,0)</f>
        <v>8735.7000000000007</v>
      </c>
      <c r="J22" s="58">
        <f>VLOOKUP(A22,הכשרה!A:G,6,0)+VLOOKUP('תפוקה מצטברת מול אשתקד'!A22,מגדל!A:G,6,0)+VLOOKUP('תפוקה מצטברת מול אשתקד'!A22,מנורה!A:G,6,0)+VLOOKUP('תפוקה מצטברת מול אשתקד'!A22,איילון!A:G,6,0)+VLOOKUP(A22,הראל!A:G,6,0)+VLOOKUP('תפוקה מצטברת מול אשתקד'!A22,הפניקס!A:G,6,0)+VLOOKUP('תפוקה מצטברת מול אשתקד'!A22,כלל!A:G,6,0)+VLOOKUP('תפוקה מצטברת מול אשתקד'!A22,מור!A:G,6,0)+VLOOKUP('תפוקה מצטברת מול אשתקד'!A22,'אלטשולר שחם'!A:G,6,0)+VLOOKUP('תפוקה מצטברת מול אשתקד'!A22,'מדיהו '!A:G,6,0)+VLOOKUP('תפוקה מצטברת מול אשתקד'!A22,'אנליסט '!A:G,6,0)+VLOOKUP('תפוקה מצטברת מול אשתקד'!A22,'מיטב דש'!A:G,6,0)+VLOOKUP('תפוקה מצטברת מול אשתקד'!A22,אינפניטי!A:G,6,0)</f>
        <v>191577</v>
      </c>
      <c r="K22" s="58">
        <f>VLOOKUP(A22,הכשרה!A:G,7,0)+VLOOKUP('תפוקה מצטברת מול אשתקד'!A22,מגדל!A:G,7,0)+VLOOKUP('תפוקה מצטברת מול אשתקד'!A22,מנורה!A:G,7,0)+VLOOKUP('תפוקה מצטברת מול אשתקד'!A22,איילון!A:G,7,0)+VLOOKUP('תפוקה מצטברת מול אשתקד'!A22,הראל!A:G,7,0)+VLOOKUP('תפוקה מצטברת מול אשתקד'!A22,הפניקס!A:G,7,0)+VLOOKUP('תפוקה מצטברת מול אשתקד'!A22,כלל!A:G,7,0)+VLOOKUP('תפוקה מצטברת מול אשתקד'!A22,מור!A:G,7,0)+VLOOKUP('תפוקה מצטברת מול אשתקד'!A22,'אלטשולר שחם'!A:G,7,0)+VLOOKUP('תפוקה מצטברת מול אשתקד'!A22,'מדיהו '!A:K,7,0)+VLOOKUP(A22,'אנליסט '!A:G,7,0)+VLOOKUP('תפוקה מצטברת מול אשתקד'!A22,'מיטב דש'!A:G,7,0)+VLOOKUP('תפוקה מצטברת מול אשתקד'!A22,אינפניטי!A:G,7,0)</f>
        <v>2339856.33</v>
      </c>
      <c r="L22" s="12">
        <f>VLOOKUP(A22,הכשרה!A:K,8,0)+VLOOKUP('תפוקה מצטברת מול אשתקד'!A22,מגדל!A:K,8,0)+VLOOKUP('תפוקה מצטברת מול אשתקד'!A22,מנורה!A:K,8,0)+VLOOKUP('תפוקה מצטברת מול אשתקד'!A22,איילון!A:K,8,0)+VLOOKUP('תפוקה מצטברת מול אשתקד'!A22,הראל!A:K,8,0)+VLOOKUP('תפוקה מצטברת מול אשתקד'!A22,הפניקס!A:K,8,0)+VLOOKUP('תפוקה מצטברת מול אשתקד'!A22,כלל!A:K,8,0)+VLOOKUP('תפוקה מצטברת מול אשתקד'!A22,מור!A:K,8,0)+VLOOKUP('תפוקה מצטברת מול אשתקד'!A22,'אלטשולר שחם'!A:K,8,0)+VLOOKUP('תפוקה מצטברת מול אשתקד'!A22,'מדיהו '!A:K,8,0)+VLOOKUP('תפוקה מצטברת מול אשתקד'!A22,'אנליסט '!A:K,8,0)+VLOOKUP('תפוקה מצטברת מול אשתקד'!A22,'מיטב דש'!A:K,8,0)+VLOOKUP('תפוקה מצטברת מול אשתקד'!A22,אינפניטי!A:K,8,0)</f>
        <v>727618.47911058296</v>
      </c>
      <c r="M22" s="12">
        <f>VLOOKUP(A22,הכשרה!A:K,9,0)+VLOOKUP('תפוקה מצטברת מול אשתקד'!A22,מגדל!A:K,9,0)+VLOOKUP('תפוקה מצטברת מול אשתקד'!A22,מנורה!A:K,9,0)+VLOOKUP('תפוקה מצטברת מול אשתקד'!A22,איילון!A:K,9,0)+VLOOKUP('תפוקה מצטברת מול אשתקד'!A22,הראל!A:K,9,0)+VLOOKUP('תפוקה מצטברת מול אשתקד'!A22,הפניקס!A:K,9,0)+VLOOKUP('תפוקה מצטברת מול אשתקד'!A22,כלל!A:K,9,0)+VLOOKUP('תפוקה מצטברת מול אשתקד'!A22,מור!A:K,9,0)+VLOOKUP('תפוקה מצטברת מול אשתקד'!A22,'אלטשולר שחם'!A:K,9,0)+VLOOKUP('תפוקה מצטברת מול אשתקד'!A22,'מדיהו '!A:K,9,0)+VLOOKUP('תפוקה מצטברת מול אשתקד'!A22,'אנליסט '!A:K,9,0)+VLOOKUP('תפוקה מצטברת מול אשתקד'!A22,'מיטב דש'!A:K,9,0)+VLOOKUP('תפוקה מצטברת מול אשתקד'!A22,אינפניטי!A:K,9,0)</f>
        <v>90996.540474419191</v>
      </c>
      <c r="N22" s="12">
        <f>VLOOKUP(A22,הכשרה!A:K,10,0)+VLOOKUP('תפוקה מצטברת מול אשתקד'!A22,מגדל!A:K,10,0)+VLOOKUP('תפוקה מצטברת מול אשתקד'!A22,מנורה!A:K,10,0)+VLOOKUP('תפוקה מצטברת מול אשתקד'!A22,איילון!A:K,10,0)+VLOOKUP('תפוקה מצטברת מול אשתקד'!A22,הראל!A:K,10,0)+VLOOKUP('תפוקה מצטברת מול אשתקד'!A22,הפניקס!A:K,10,0)+VLOOKUP('תפוקה מצטברת מול אשתקד'!A22,כלל!A:K,10,0)+VLOOKUP('תפוקה מצטברת מול אשתקד'!A22,מור!A:K,10,0)+VLOOKUP('תפוקה מצטברת מול אשתקד'!A22,'אלטשולר שחם'!A:K,10,0)+VLOOKUP('תפוקה מצטברת מול אשתקד'!A22,'מדיהו '!A:K,10,0)+VLOOKUP('תפוקה מצטברת מול אשתקד'!A22,'אנליסט '!A:K,10,0)+VLOOKUP('תפוקה מצטברת מול אשתקד'!A22,'מיטב דש'!A:K,10,0)+VLOOKUP('תפוקה מצטברת מול אשתקד'!A22,אינפניטי!A:K,10,0)</f>
        <v>345528.89147999999</v>
      </c>
      <c r="O22" s="12">
        <f>VLOOKUP(A22,הכשרה!A:K,11,0)+VLOOKUP('תפוקה מצטברת מול אשתקד'!A22,מגדל!A:K,11,0)+VLOOKUP('תפוקה מצטברת מול אשתקד'!A22,מנורה!A:K,11,0)+VLOOKUP('תפוקה מצטברת מול אשתקד'!A22,איילון!A:K,11,0)+VLOOKUP('תפוקה מצטברת מול אשתקד'!A22,הראל!A:K,11,0)+VLOOKUP('תפוקה מצטברת מול אשתקד'!A22,הפניקס!A:K,11,0)+VLOOKUP('תפוקה מצטברת מול אשתקד'!A22,כלל!A:K,11,0)+VLOOKUP('תפוקה מצטברת מול אשתקד'!A22,מור!A:K,11,0)+VLOOKUP('תפוקה מצטברת מול אשתקד'!A22,'אלטשולר שחם'!A:K,11,0)+VLOOKUP('תפוקה מצטברת מול אשתקד'!A22,'מדיהו '!A:K,11,0)+VLOOKUP('תפוקה מצטברת מול אשתקד'!A22,'אנליסט '!A:K,11,0)+VLOOKUP('תפוקה מצטברת מול אשתקד'!A22,'מיטב דש'!A:K,11,0)+VLOOKUP('תפוקה מצטברת מול אשתקד'!A22,אינפניטי!A:K,11,0)</f>
        <v>2355448.9733600002</v>
      </c>
    </row>
    <row r="23" spans="1:18" customFormat="1" ht="15.75" customHeight="1" x14ac:dyDescent="0.2">
      <c r="A23" s="30" t="s">
        <v>12</v>
      </c>
      <c r="B23" s="26" t="s">
        <v>56</v>
      </c>
      <c r="C23" s="27" t="s">
        <v>107</v>
      </c>
      <c r="D23" s="19">
        <f t="shared" si="0"/>
        <v>0</v>
      </c>
      <c r="E23" s="19">
        <f t="shared" si="1"/>
        <v>1</v>
      </c>
      <c r="F23" s="19">
        <f t="shared" si="2"/>
        <v>0</v>
      </c>
      <c r="G23" s="19">
        <f t="shared" si="4"/>
        <v>-0.97194935992846387</v>
      </c>
      <c r="H23" s="58">
        <f>VLOOKUP(A23,הכשרה!A:G,4,0)+VLOOKUP('תפוקה מצטברת מול אשתקד'!A23,מגדל!A:G,4,0)+VLOOKUP('תפוקה מצטברת מול אשתקד'!A23,מנורה!A:G,4,0)+VLOOKUP('תפוקה מצטברת מול אשתקד'!A23,איילון!A:G,4,0)+VLOOKUP('תפוקה מצטברת מול אשתקד'!A23,הראל!A:G,4,0)+VLOOKUP('תפוקה מצטברת מול אשתקד'!A23,הפניקס!A:G,4,0)+VLOOKUP('תפוקה מצטברת מול אשתקד'!A23,כלל!A:G,4,0)+VLOOKUP('תפוקה מצטברת מול אשתקד'!A23,מור!A:G,4,0)+VLOOKUP('תפוקה מצטברת מול אשתקד'!A23,'אלטשולר שחם'!A:G,4,0)+VLOOKUP('תפוקה מצטברת מול אשתקד'!A23,'מדיהו '!A:G,4,0)+VLOOKUP('תפוקה מצטברת מול אשתקד'!A23,'אנליסט '!A:G,4,0)+VLOOKUP('תפוקה מצטברת מול אשתקד'!A23,'מיטב דש'!A:G,4,0)+VLOOKUP('תפוקה מצטברת מול אשתקד'!A23,אינפניטי!A:G,4,0)</f>
        <v>0</v>
      </c>
      <c r="I23" s="58">
        <f>VLOOKUP(A23,הכשרה!A:G,5,0)+VLOOKUP('תפוקה מצטברת מול אשתקד'!A23,מגדל!A:G,5,0)+VLOOKUP('תפוקה מצטברת מול אשתקד'!A23,מנורה!A:G,5,0)+VLOOKUP('תפוקה מצטברת מול אשתקד'!A23,איילון!A:G,5,0)+VLOOKUP('תפוקה מצטברת מול אשתקד'!A23,הראל!A:G,5,0)+VLOOKUP('תפוקה מצטברת מול אשתקד'!A23,הפניקס!A:G,5,0)+VLOOKUP('תפוקה מצטברת מול אשתקד'!A23,כלל!A:G,5,0)+VLOOKUP('תפוקה מצטברת מול אשתקד'!A23,מור!A:G,5,0)+VLOOKUP('תפוקה מצטברת מול אשתקד'!A23,'אלטשולר שחם'!A:G,5,0)+VLOOKUP('תפוקה מצטברת מול אשתקד'!A23,'מדיהו '!A:G,5,0)+VLOOKUP('תפוקה מצטברת מול אשתקד'!A23,'אנליסט '!A:G,5,0)+VLOOKUP('תפוקה מצטברת מול אשתקד'!A23,'מיטב דש'!A:G,5,0)+VLOOKUP('תפוקה מצטברת מול אשתקד'!A23,אינפניטי!A:G,5,0)</f>
        <v>3071.9442883237321</v>
      </c>
      <c r="J23" s="58">
        <f>VLOOKUP(A23,הכשרה!A:G,6,0)+VLOOKUP('תפוקה מצטברת מול אשתקד'!A23,מגדל!A:G,6,0)+VLOOKUP('תפוקה מצטברת מול אשתקד'!A23,מנורה!A:G,6,0)+VLOOKUP('תפוקה מצטברת מול אשתקד'!A23,איילון!A:G,6,0)+VLOOKUP(A23,הראל!A:G,6,0)+VLOOKUP('תפוקה מצטברת מול אשתקד'!A23,הפניקס!A:G,6,0)+VLOOKUP('תפוקה מצטברת מול אשתקד'!A23,כלל!A:G,6,0)+VLOOKUP('תפוקה מצטברת מול אשתקד'!A23,מור!A:G,6,0)+VLOOKUP('תפוקה מצטברת מול אשתקד'!A23,'אלטשולר שחם'!A:G,6,0)+VLOOKUP('תפוקה מצטברת מול אשתקד'!A23,'מדיהו '!A:G,6,0)+VLOOKUP('תפוקה מצטברת מול אשתקד'!A23,'אנליסט '!A:G,6,0)+VLOOKUP('תפוקה מצטברת מול אשתקד'!A23,'מיטב דש'!A:G,6,0)+VLOOKUP('תפוקה מצטברת מול אשתקד'!A23,אינפניטי!A:G,6,0)</f>
        <v>0</v>
      </c>
      <c r="K23" s="58">
        <f>VLOOKUP(A23,הכשרה!A:G,7,0)+VLOOKUP('תפוקה מצטברת מול אשתקד'!A23,מגדל!A:G,7,0)+VLOOKUP('תפוקה מצטברת מול אשתקד'!A23,מנורה!A:G,7,0)+VLOOKUP('תפוקה מצטברת מול אשתקד'!A23,איילון!A:G,7,0)+VLOOKUP('תפוקה מצטברת מול אשתקד'!A23,הראל!A:G,7,0)+VLOOKUP('תפוקה מצטברת מול אשתקד'!A23,הפניקס!A:G,7,0)+VLOOKUP('תפוקה מצטברת מול אשתקד'!A23,כלל!A:G,7,0)+VLOOKUP('תפוקה מצטברת מול אשתקד'!A23,מור!A:G,7,0)+VLOOKUP('תפוקה מצטברת מול אשתקד'!A23,'אלטשולר שחם'!A:G,7,0)+VLOOKUP('תפוקה מצטברת מול אשתקד'!A23,'מדיהו '!A:K,7,0)+VLOOKUP(A23,'אנליסט '!A:G,7,0)+VLOOKUP('תפוקה מצטברת מול אשתקד'!A23,'מיטב דש'!A:G,7,0)+VLOOKUP('תפוקה מצטברת מול אשתקד'!A23,אינפניטי!A:G,7,0)</f>
        <v>-11711.17</v>
      </c>
      <c r="L23" s="12">
        <f>VLOOKUP(A23,הכשרה!A:K,8,0)+VLOOKUP('תפוקה מצטברת מול אשתקד'!A23,מגדל!A:K,8,0)+VLOOKUP('תפוקה מצטברת מול אשתקד'!A23,מנורה!A:K,8,0)+VLOOKUP('תפוקה מצטברת מול אשתקד'!A23,איילון!A:K,8,0)+VLOOKUP('תפוקה מצטברת מול אשתקד'!A23,הראל!A:K,8,0)+VLOOKUP('תפוקה מצטברת מול אשתקד'!A23,הפניקס!A:K,8,0)+VLOOKUP('תפוקה מצטברת מול אשתקד'!A23,כלל!A:K,8,0)+VLOOKUP('תפוקה מצטברת מול אשתקד'!A23,מור!A:K,8,0)+VLOOKUP('תפוקה מצטברת מול אשתקד'!A23,'אלטשולר שחם'!A:K,8,0)+VLOOKUP('תפוקה מצטברת מול אשתקד'!A23,'מדיהו '!A:K,8,0)+VLOOKUP('תפוקה מצטברת מול אשתקד'!A23,'אנליסט '!A:K,8,0)+VLOOKUP('תפוקה מצטברת מול אשתקד'!A23,'מיטב דש'!A:K,8,0)+VLOOKUP('תפוקה מצטברת מול אשתקד'!A23,אינפניטי!A:K,8,0)</f>
        <v>13822.039358045189</v>
      </c>
      <c r="M23" s="12">
        <f>VLOOKUP(A23,הכשרה!A:K,9,0)+VLOOKUP('תפוקה מצטברת מול אשתקד'!A23,מגדל!A:K,9,0)+VLOOKUP('תפוקה מצטברת מול אשתקד'!A23,מנורה!A:K,9,0)+VLOOKUP('תפוקה מצטברת מול אשתקד'!A23,איילון!A:K,9,0)+VLOOKUP('תפוקה מצטברת מול אשתקד'!A23,הראל!A:K,9,0)+VLOOKUP('תפוקה מצטברת מול אשתקד'!A23,הפניקס!A:K,9,0)+VLOOKUP('תפוקה מצטברת מול אשתקד'!A23,כלל!A:K,9,0)+VLOOKUP('תפוקה מצטברת מול אשתקד'!A23,מור!A:K,9,0)+VLOOKUP('תפוקה מצטברת מול אשתקד'!A23,'אלטשולר שחם'!A:K,9,0)+VLOOKUP('תפוקה מצטברת מול אשתקד'!A23,'מדיהו '!A:K,9,0)+VLOOKUP('תפוקה מצטברת מול אשתקד'!A23,'אנליסט '!A:K,9,0)+VLOOKUP('תפוקה מצטברת מול אשתקד'!A23,'מיטב דש'!A:K,9,0)+VLOOKUP('תפוקה מצטברת מול אשתקד'!A23,אינפניטי!A:K,9,0)</f>
        <v>0</v>
      </c>
      <c r="N23" s="12">
        <f>VLOOKUP(A23,הכשרה!A:K,10,0)+VLOOKUP('תפוקה מצטברת מול אשתקד'!A23,מגדל!A:K,10,0)+VLOOKUP('תפוקה מצטברת מול אשתקד'!A23,מנורה!A:K,10,0)+VLOOKUP('תפוקה מצטברת מול אשתקד'!A23,איילון!A:K,10,0)+VLOOKUP('תפוקה מצטברת מול אשתקד'!A23,הראל!A:K,10,0)+VLOOKUP('תפוקה מצטברת מול אשתקד'!A23,הפניקס!A:K,10,0)+VLOOKUP('תפוקה מצטברת מול אשתקד'!A23,כלל!A:K,10,0)+VLOOKUP('תפוקה מצטברת מול אשתקד'!A23,מור!A:K,10,0)+VLOOKUP('תפוקה מצטברת מול אשתקד'!A23,'אלטשולר שחם'!A:K,10,0)+VLOOKUP('תפוקה מצטברת מול אשתקד'!A23,'מדיהו '!A:K,10,0)+VLOOKUP('תפוקה מצטברת מול אשתקד'!A23,'אנליסט '!A:K,10,0)+VLOOKUP('תפוקה מצטברת מול אשתקד'!A23,'מיטב דש'!A:K,10,0)+VLOOKUP('תפוקה מצטברת מול אשתקד'!A23,אינפניטי!A:K,10,0)</f>
        <v>0</v>
      </c>
      <c r="O23" s="12">
        <f>VLOOKUP(A23,הכשרה!A:K,11,0)+VLOOKUP('תפוקה מצטברת מול אשתקד'!A23,מגדל!A:K,11,0)+VLOOKUP('תפוקה מצטברת מול אשתקד'!A23,מנורה!A:K,11,0)+VLOOKUP('תפוקה מצטברת מול אשתקד'!A23,איילון!A:K,11,0)+VLOOKUP('תפוקה מצטברת מול אשתקד'!A23,הראל!A:K,11,0)+VLOOKUP('תפוקה מצטברת מול אשתקד'!A23,הפניקס!A:K,11,0)+VLOOKUP('תפוקה מצטברת מול אשתקד'!A23,כלל!A:K,11,0)+VLOOKUP('תפוקה מצטברת מול אשתקד'!A23,מור!A:K,11,0)+VLOOKUP('תפוקה מצטברת מול אשתקד'!A23,'אלטשולר שחם'!A:K,11,0)+VLOOKUP('תפוקה מצטברת מול אשתקד'!A23,'מדיהו '!A:K,11,0)+VLOOKUP('תפוקה מצטברת מול אשתקד'!A23,'אנליסט '!A:K,11,0)+VLOOKUP('תפוקה מצטברת מול אשתקד'!A23,'מיטב דש'!A:K,11,0)+VLOOKUP('תפוקה מצטברת מול אשתקד'!A23,אינפניטי!A:K,11,0)</f>
        <v>-417500.99</v>
      </c>
    </row>
    <row r="24" spans="1:18" ht="15.75" customHeight="1" x14ac:dyDescent="0.2">
      <c r="A24" s="30" t="s">
        <v>13</v>
      </c>
      <c r="B24" s="26" t="s">
        <v>56</v>
      </c>
      <c r="C24" s="27" t="s">
        <v>107</v>
      </c>
      <c r="D24" s="19">
        <f t="shared" si="0"/>
        <v>0.75620745810747447</v>
      </c>
      <c r="E24" s="19">
        <f t="shared" si="1"/>
        <v>-0.22391317075915163</v>
      </c>
      <c r="F24" s="19">
        <f t="shared" si="2"/>
        <v>0</v>
      </c>
      <c r="G24" s="19">
        <f t="shared" si="4"/>
        <v>0</v>
      </c>
      <c r="H24" s="58">
        <f>VLOOKUP(A24,הכשרה!A:G,4,0)+VLOOKUP('תפוקה מצטברת מול אשתקד'!A24,מגדל!A:G,4,0)+VLOOKUP('תפוקה מצטברת מול אשתקד'!A24,מנורה!A:G,4,0)+VLOOKUP('תפוקה מצטברת מול אשתקד'!A24,איילון!A:G,4,0)+VLOOKUP('תפוקה מצטברת מול אשתקד'!A24,הראל!A:G,4,0)+VLOOKUP('תפוקה מצטברת מול אשתקד'!A24,הפניקס!A:G,4,0)+VLOOKUP('תפוקה מצטברת מול אשתקד'!A24,כלל!A:G,4,0)+VLOOKUP('תפוקה מצטברת מול אשתקד'!A24,מור!A:G,4,0)+VLOOKUP('תפוקה מצטברת מול אשתקד'!A24,'אלטשולר שחם'!A:G,4,0)+VLOOKUP('תפוקה מצטברת מול אשתקד'!A24,'מדיהו '!A:G,4,0)+VLOOKUP('תפוקה מצטברת מול אשתקד'!A24,'אנליסט '!A:G,4,0)+VLOOKUP('תפוקה מצטברת מול אשתקד'!A24,'מיטב דש'!A:G,4,0)+VLOOKUP('תפוקה מצטברת מול אשתקד'!A24,אינפניטי!A:G,4,0)</f>
        <v>13040.009862627679</v>
      </c>
      <c r="I24" s="58">
        <f>VLOOKUP(A24,הכשרה!A:G,5,0)+VLOOKUP('תפוקה מצטברת מול אשתקד'!A24,מגדל!A:G,5,0)+VLOOKUP('תפוקה מצטברת מול אשתקד'!A24,מנורה!A:G,5,0)+VLOOKUP('תפוקה מצטברת מול אשתקד'!A24,איילון!A:G,5,0)+VLOOKUP('תפוקה מצטברת מול אשתקד'!A24,הראל!A:G,5,0)+VLOOKUP('תפוקה מצטברת מול אשתקד'!A24,הפניקס!A:G,5,0)+VLOOKUP('תפוקה מצטברת מול אשתקד'!A24,כלל!A:G,5,0)+VLOOKUP('תפוקה מצטברת מול אשתקד'!A24,מור!A:G,5,0)+VLOOKUP('תפוקה מצטברת מול אשתקד'!A24,'אלטשולר שחם'!A:G,5,0)+VLOOKUP('תפוקה מצטברת מול אשתקד'!A24,'מדיהו '!A:G,5,0)+VLOOKUP('תפוקה מצטברת מול אשתקד'!A24,'אנליסט '!A:G,5,0)+VLOOKUP('תפוקה מצטברת מול אשתקד'!A24,'מיטב דש'!A:G,5,0)+VLOOKUP('תפוקה מצטברת מול אשתקד'!A24,אינפניטי!A:G,5,0)</f>
        <v>8307.0820000000003</v>
      </c>
      <c r="J24" s="58">
        <f>VLOOKUP(A24,הכשרה!A:G,6,0)+VLOOKUP('תפוקה מצטברת מול אשתקד'!A24,מגדל!A:G,6,0)+VLOOKUP('תפוקה מצטברת מול אשתקד'!A24,מנורה!A:G,6,0)+VLOOKUP('תפוקה מצטברת מול אשתקד'!A24,איילון!A:G,6,0)+VLOOKUP(A24,הראל!A:G,6,0)+VLOOKUP('תפוקה מצטברת מול אשתקד'!A24,הפניקס!A:G,6,0)+VLOOKUP('תפוקה מצטברת מול אשתקד'!A24,כלל!A:G,6,0)+VLOOKUP('תפוקה מצטברת מול אשתקד'!A24,מור!A:G,6,0)+VLOOKUP('תפוקה מצטברת מול אשתקד'!A24,'אלטשולר שחם'!A:G,6,0)+VLOOKUP('תפוקה מצטברת מול אשתקד'!A24,'מדיהו '!A:G,6,0)+VLOOKUP('תפוקה מצטברת מול אשתקד'!A24,'אנליסט '!A:G,6,0)+VLOOKUP('תפוקה מצטברת מול אשתקד'!A24,'מיטב דש'!A:G,6,0)+VLOOKUP('תפוקה מצטברת מול אשתקד'!A24,אינפניטי!A:G,6,0)</f>
        <v>0</v>
      </c>
      <c r="K24" s="58">
        <f>VLOOKUP(A24,הכשרה!A:G,7,0)+VLOOKUP('תפוקה מצטברת מול אשתקד'!A24,מגדל!A:G,7,0)+VLOOKUP('תפוקה מצטברת מול אשתקד'!A24,מנורה!A:G,7,0)+VLOOKUP('תפוקה מצטברת מול אשתקד'!A24,איילון!A:G,7,0)+VLOOKUP('תפוקה מצטברת מול אשתקד'!A24,הראל!A:G,7,0)+VLOOKUP('תפוקה מצטברת מול אשתקד'!A24,הפניקס!A:G,7,0)+VLOOKUP('תפוקה מצטברת מול אשתקד'!A24,כלל!A:G,7,0)+VLOOKUP('תפוקה מצטברת מול אשתקד'!A24,מור!A:G,7,0)+VLOOKUP('תפוקה מצטברת מול אשתקד'!A24,'אלטשולר שחם'!A:G,7,0)+VLOOKUP('תפוקה מצטברת מול אשתקד'!A24,'מדיהו '!A:K,7,0)+VLOOKUP(A24,'אנליסט '!A:G,7,0)+VLOOKUP('תפוקה מצטברת מול אשתקד'!A24,'מיטב דש'!A:G,7,0)+VLOOKUP('תפוקה מצטברת מול אשתקד'!A24,אינפניטי!A:G,7,0)</f>
        <v>0</v>
      </c>
      <c r="L24" s="12">
        <f>VLOOKUP(A24,הכשרה!A:K,8,0)+VLOOKUP('תפוקה מצטברת מול אשתקד'!A24,מגדל!A:K,8,0)+VLOOKUP('תפוקה מצטברת מול אשתקד'!A24,מנורה!A:K,8,0)+VLOOKUP('תפוקה מצטברת מול אשתקד'!A24,איילון!A:K,8,0)+VLOOKUP('תפוקה מצטברת מול אשתקד'!A24,הראל!A:K,8,0)+VLOOKUP('תפוקה מצטברת מול אשתקד'!A24,הפניקס!A:K,8,0)+VLOOKUP('תפוקה מצטברת מול אשתקד'!A24,כלל!A:K,8,0)+VLOOKUP('תפוקה מצטברת מול אשתקד'!A24,מור!A:K,8,0)+VLOOKUP('תפוקה מצטברת מול אשתקד'!A24,'אלטשולר שחם'!A:K,8,0)+VLOOKUP('תפוקה מצטברת מול אשתקד'!A24,'מדיהו '!A:K,8,0)+VLOOKUP('תפוקה מצטברת מול אשתקד'!A24,'אנליסט '!A:K,8,0)+VLOOKUP('תפוקה מצטברת מול אשתקד'!A24,'מיטב דש'!A:K,8,0)+VLOOKUP('תפוקה מצטברת מול אשתקד'!A24,אינפניטי!A:K,8,0)</f>
        <v>7425.0965069239965</v>
      </c>
      <c r="M24" s="12">
        <f>VLOOKUP(A24,הכשרה!A:K,9,0)+VLOOKUP('תפוקה מצטברת מול אשתקד'!A24,מגדל!A:K,9,0)+VLOOKUP('תפוקה מצטברת מול אשתקד'!A24,מנורה!A:K,9,0)+VLOOKUP('תפוקה מצטברת מול אשתקד'!A24,איילון!A:K,9,0)+VLOOKUP('תפוקה מצטברת מול אשתקד'!A24,הראל!A:K,9,0)+VLOOKUP('תפוקה מצטברת מול אשתקד'!A24,הפניקס!A:K,9,0)+VLOOKUP('תפוקה מצטברת מול אשתקד'!A24,כלל!A:K,9,0)+VLOOKUP('תפוקה מצטברת מול אשתקד'!A24,מור!A:K,9,0)+VLOOKUP('תפוקה מצטברת מול אשתקד'!A24,'אלטשולר שחם'!A:K,9,0)+VLOOKUP('תפוקה מצטברת מול אשתקד'!A24,'מדיהו '!A:K,9,0)+VLOOKUP('תפוקה מצטברת מול אשתקד'!A24,'אנליסט '!A:K,9,0)+VLOOKUP('תפוקה מצטברת מול אשתקד'!A24,'מיטב דש'!A:K,9,0)+VLOOKUP('תפוקה מצטברת מול אשתקד'!A24,אינפניטי!A:K,9,0)</f>
        <v>10703.804892715176</v>
      </c>
      <c r="N24" s="12">
        <f>VLOOKUP(A24,הכשרה!A:K,10,0)+VLOOKUP('תפוקה מצטברת מול אשתקד'!A24,מגדל!A:K,10,0)+VLOOKUP('תפוקה מצטברת מול אשתקד'!A24,מנורה!A:K,10,0)+VLOOKUP('תפוקה מצטברת מול אשתקד'!A24,איילון!A:K,10,0)+VLOOKUP('תפוקה מצטברת מול אשתקד'!A24,הראל!A:K,10,0)+VLOOKUP('תפוקה מצטברת מול אשתקד'!A24,הפניקס!A:K,10,0)+VLOOKUP('תפוקה מצטברת מול אשתקד'!A24,כלל!A:K,10,0)+VLOOKUP('תפוקה מצטברת מול אשתקד'!A24,מור!A:K,10,0)+VLOOKUP('תפוקה מצטברת מול אשתקד'!A24,'אלטשולר שחם'!A:K,10,0)+VLOOKUP('תפוקה מצטברת מול אשתקד'!A24,'מדיהו '!A:K,10,0)+VLOOKUP('תפוקה מצטברת מול אשתקד'!A24,'אנליסט '!A:K,10,0)+VLOOKUP('תפוקה מצטברת מול אשתקד'!A24,'מיטב דש'!A:K,10,0)+VLOOKUP('תפוקה מצטברת מול אשתקד'!A24,אינפניטי!A:K,10,0)</f>
        <v>12079.477102334709</v>
      </c>
      <c r="O24" s="12">
        <f>VLOOKUP(A24,הכשרה!A:K,11,0)+VLOOKUP('תפוקה מצטברת מול אשתקד'!A24,מגדל!A:K,11,0)+VLOOKUP('תפוקה מצטברת מול אשתקד'!A24,מנורה!A:K,11,0)+VLOOKUP('תפוקה מצטברת מול אשתקד'!A24,איילון!A:K,11,0)+VLOOKUP('תפוקה מצטברת מול אשתקד'!A24,הראל!A:K,11,0)+VLOOKUP('תפוקה מצטברת מול אשתקד'!A24,הפניקס!A:K,11,0)+VLOOKUP('תפוקה מצטברת מול אשתקד'!A24,כלל!A:K,11,0)+VLOOKUP('תפוקה מצטברת מול אשתקד'!A24,מור!A:K,11,0)+VLOOKUP('תפוקה מצטברת מול אשתקד'!A24,'אלטשולר שחם'!A:K,11,0)+VLOOKUP('תפוקה מצטברת מול אשתקד'!A24,'מדיהו '!A:K,11,0)+VLOOKUP('תפוקה מצטברת מול אשתקד'!A24,'אנליסט '!A:K,11,0)+VLOOKUP('תפוקה מצטברת מול אשתקד'!A24,'מיטב דש'!A:K,11,0)+VLOOKUP('תפוקה מצטברת מול אשתקד'!A24,אינפניטי!A:K,11,0)</f>
        <v>-2249.4099999999962</v>
      </c>
    </row>
    <row r="25" spans="1:18" ht="15.75" customHeight="1" x14ac:dyDescent="0.2">
      <c r="A25" s="30" t="s">
        <v>15</v>
      </c>
      <c r="B25" s="26" t="s">
        <v>56</v>
      </c>
      <c r="C25" s="27" t="s">
        <v>107</v>
      </c>
      <c r="D25" s="19">
        <f t="shared" si="0"/>
        <v>1.6907962069703175</v>
      </c>
      <c r="E25" s="19">
        <f t="shared" si="1"/>
        <v>0.1592440086469975</v>
      </c>
      <c r="F25" s="19">
        <f t="shared" si="2"/>
        <v>-0.28031945354059606</v>
      </c>
      <c r="G25" s="19">
        <f t="shared" si="4"/>
        <v>6.719490769110581E-2</v>
      </c>
      <c r="H25" s="58">
        <f>VLOOKUP(A25,הכשרה!A:G,4,0)+VLOOKUP('תפוקה מצטברת מול אשתקד'!A25,מגדל!A:G,4,0)+VLOOKUP('תפוקה מצטברת מול אשתקד'!A25,מנורה!A:G,4,0)+VLOOKUP('תפוקה מצטברת מול אשתקד'!A25,איילון!A:G,4,0)+VLOOKUP('תפוקה מצטברת מול אשתקד'!A25,הראל!A:G,4,0)+VLOOKUP('תפוקה מצטברת מול אשתקד'!A25,הפניקס!A:G,4,0)+VLOOKUP('תפוקה מצטברת מול אשתקד'!A25,כלל!A:G,4,0)+VLOOKUP('תפוקה מצטברת מול אשתקד'!A25,מור!A:G,4,0)+VLOOKUP('תפוקה מצטברת מול אשתקד'!A25,'אלטשולר שחם'!A:G,4,0)+VLOOKUP('תפוקה מצטברת מול אשתקד'!A25,'מדיהו '!A:G,4,0)+VLOOKUP('תפוקה מצטברת מול אשתקד'!A25,'אנליסט '!A:G,4,0)+VLOOKUP('תפוקה מצטברת מול אשתקד'!A25,'מיטב דש'!A:G,4,0)+VLOOKUP('תפוקה מצטברת מול אשתקד'!A25,אינפניטי!A:G,4,0)</f>
        <v>747768.75388984242</v>
      </c>
      <c r="I25" s="58">
        <f>VLOOKUP(A25,הכשרה!A:G,5,0)+VLOOKUP('תפוקה מצטברת מול אשתקד'!A25,מגדל!A:G,5,0)+VLOOKUP('תפוקה מצטברת מול אשתקד'!A25,מנורה!A:G,5,0)+VLOOKUP('תפוקה מצטברת מול אשתקד'!A25,איילון!A:G,5,0)+VLOOKUP('תפוקה מצטברת מול אשתקד'!A25,הראל!A:G,5,0)+VLOOKUP('תפוקה מצטברת מול אשתקד'!A25,הפניקס!A:G,5,0)+VLOOKUP('תפוקה מצטברת מול אשתקד'!A25,כלל!A:G,5,0)+VLOOKUP('תפוקה מצטברת מול אשתקד'!A25,מור!A:G,5,0)+VLOOKUP('תפוקה מצטברת מול אשתקד'!A25,'אלטשולר שחם'!A:G,5,0)+VLOOKUP('תפוקה מצטברת מול אשתקד'!A25,'מדיהו '!A:G,5,0)+VLOOKUP('תפוקה מצטברת מול אשתקד'!A25,'אנליסט '!A:G,5,0)+VLOOKUP('תפוקה מצטברת מול אשתקד'!A25,'מיטב דש'!A:G,5,0)+VLOOKUP('תפוקה מצטברת מול אשתקד'!A25,אינפניטי!A:G,5,0)</f>
        <v>76160.239349999989</v>
      </c>
      <c r="J25" s="58">
        <f>VLOOKUP(A25,הכשרה!A:G,6,0)+VLOOKUP('תפוקה מצטברת מול אשתקד'!A25,מגדל!A:G,6,0)+VLOOKUP('תפוקה מצטברת מול אשתקד'!A25,מנורה!A:G,6,0)+VLOOKUP('תפוקה מצטברת מול אשתקד'!A25,איילון!A:G,6,0)+VLOOKUP(A25,הראל!A:G,6,0)+VLOOKUP('תפוקה מצטברת מול אשתקד'!A25,הפניקס!A:G,6,0)+VLOOKUP('תפוקה מצטברת מול אשתקד'!A25,כלל!A:G,6,0)+VLOOKUP('תפוקה מצטברת מול אשתקד'!A25,מור!A:G,6,0)+VLOOKUP('תפוקה מצטברת מול אשתקד'!A25,'אלטשולר שחם'!A:G,6,0)+VLOOKUP('תפוקה מצטברת מול אשתקד'!A25,'מדיהו '!A:G,6,0)+VLOOKUP('תפוקה מצטברת מול אשתקד'!A25,'אנליסט '!A:G,6,0)+VLOOKUP('תפוקה מצטברת מול אשתקד'!A25,'מיטב דש'!A:G,6,0)+VLOOKUP('תפוקה מצטברת מול אשתקד'!A25,אינפניטי!A:G,6,0)</f>
        <v>339729.20337999996</v>
      </c>
      <c r="K25" s="58">
        <f>VLOOKUP(A25,הכשרה!A:G,7,0)+VLOOKUP('תפוקה מצטברת מול אשתקד'!A25,מגדל!A:G,7,0)+VLOOKUP('תפוקה מצטברת מול אשתקד'!A25,מנורה!A:G,7,0)+VLOOKUP('תפוקה מצטברת מול אשתקד'!A25,איילון!A:G,7,0)+VLOOKUP('תפוקה מצטברת מול אשתקד'!A25,הראל!A:G,7,0)+VLOOKUP('תפוקה מצטברת מול אשתקד'!A25,הפניקס!A:G,7,0)+VLOOKUP('תפוקה מצטברת מול אשתקד'!A25,כלל!A:G,7,0)+VLOOKUP('תפוקה מצטברת מול אשתקד'!A25,מור!A:G,7,0)+VLOOKUP('תפוקה מצטברת מול אשתקד'!A25,'אלטשולר שחם'!A:G,7,0)+VLOOKUP('תפוקה מצטברת מול אשתקד'!A25,'מדיהו '!A:K,7,0)+VLOOKUP(A25,'אנליסט '!A:G,7,0)+VLOOKUP('תפוקה מצטברת מול אשתקד'!A25,'מיטב דש'!A:G,7,0)+VLOOKUP('תפוקה מצטברת מול אשתקד'!A25,אינפניטי!A:G,7,0)</f>
        <v>584234.07000000007</v>
      </c>
      <c r="L25" s="12">
        <f>VLOOKUP(A25,הכשרה!A:K,8,0)+VLOOKUP('תפוקה מצטברת מול אשתקד'!A25,מגדל!A:K,8,0)+VLOOKUP('תפוקה מצטברת מול אשתקד'!A25,מנורה!A:K,8,0)+VLOOKUP('תפוקה מצטברת מול אשתקד'!A25,איילון!A:K,8,0)+VLOOKUP('תפוקה מצטברת מול אשתקד'!A25,הראל!A:K,8,0)+VLOOKUP('תפוקה מצטברת מול אשתקד'!A25,הפניקס!A:K,8,0)+VLOOKUP('תפוקה מצטברת מול אשתקד'!A25,כלל!A:K,8,0)+VLOOKUP('תפוקה מצטברת מול אשתקד'!A25,מור!A:K,8,0)+VLOOKUP('תפוקה מצטברת מול אשתקד'!A25,'אלטשולר שחם'!A:K,8,0)+VLOOKUP('תפוקה מצטברת מול אשתקד'!A25,'מדיהו '!A:K,8,0)+VLOOKUP('תפוקה מצטברת מול אשתקד'!A25,'אנליסט '!A:K,8,0)+VLOOKUP('תפוקה מצטברת מול אשתקד'!A25,'מיטב דש'!A:K,8,0)+VLOOKUP('תפוקה מצטברת מול אשתקד'!A25,אינפניטי!A:K,8,0)</f>
        <v>277898.69480000017</v>
      </c>
      <c r="M25" s="12">
        <f>VLOOKUP(A25,הכשרה!A:K,9,0)+VLOOKUP('תפוקה מצטברת מול אשתקד'!A25,מגדל!A:K,9,0)+VLOOKUP('תפוקה מצטברת מול אשתקד'!A25,מנורה!A:K,9,0)+VLOOKUP('תפוקה מצטברת מול אשתקד'!A25,איילון!A:K,9,0)+VLOOKUP('תפוקה מצטברת מול אשתקד'!A25,הראל!A:K,9,0)+VLOOKUP('תפוקה מצטברת מול אשתקד'!A25,הפניקס!A:K,9,0)+VLOOKUP('תפוקה מצטברת מול אשתקד'!A25,כלל!A:K,9,0)+VLOOKUP('תפוקה מצטברת מול אשתקד'!A25,מור!A:K,9,0)+VLOOKUP('תפוקה מצטברת מול אשתקד'!A25,'אלטשולר שחם'!A:K,9,0)+VLOOKUP('תפוקה מצטברת מול אשתקד'!A25,'מדיהו '!A:K,9,0)+VLOOKUP('תפוקה מצטברת מול אשתקד'!A25,'אנליסט '!A:K,9,0)+VLOOKUP('תפוקה מצטברת מול אשתקד'!A25,'מיטב דש'!A:K,9,0)+VLOOKUP('תפוקה מצטברת מול אשתקד'!A25,אינפניטי!A:K,9,0)</f>
        <v>65698.195360000012</v>
      </c>
      <c r="N25" s="12">
        <f>VLOOKUP(A25,הכשרה!A:K,10,0)+VLOOKUP('תפוקה מצטברת מול אשתקד'!A25,מגדל!A:K,10,0)+VLOOKUP('תפוקה מצטברת מול אשתקד'!A25,מנורה!A:K,10,0)+VLOOKUP('תפוקה מצטברת מול אשתקד'!A25,איילון!A:K,10,0)+VLOOKUP('תפוקה מצטברת מול אשתקד'!A25,הראל!A:K,10,0)+VLOOKUP('תפוקה מצטברת מול אשתקד'!A25,הפניקס!A:K,10,0)+VLOOKUP('תפוקה מצטברת מול אשתקד'!A25,כלל!A:K,10,0)+VLOOKUP('תפוקה מצטברת מול אשתקד'!A25,מור!A:K,10,0)+VLOOKUP('תפוקה מצטברת מול אשתקד'!A25,'אלטשולר שחם'!A:K,10,0)+VLOOKUP('תפוקה מצטברת מול אשתקד'!A25,'מדיהו '!A:K,10,0)+VLOOKUP('תפוקה מצטברת מול אשתקד'!A25,'אנליסט '!A:K,10,0)+VLOOKUP('תפוקה מצטברת מול אשתקד'!A25,'מיטב דש'!A:K,10,0)+VLOOKUP('תפוקה מצטברת מול אשתקד'!A25,אינפניטי!A:K,10,0)</f>
        <v>472055.56000000006</v>
      </c>
      <c r="O25" s="12">
        <f>VLOOKUP(A25,הכשרה!A:K,11,0)+VLOOKUP('תפוקה מצטברת מול אשתקד'!A25,מגדל!A:K,11,0)+VLOOKUP('תפוקה מצטברת מול אשתקד'!A25,מנורה!A:K,11,0)+VLOOKUP('תפוקה מצטברת מול אשתקד'!A25,איילון!A:K,11,0)+VLOOKUP('תפוקה מצטברת מול אשתקד'!A25,הראל!A:K,11,0)+VLOOKUP('תפוקה מצטברת מול אשתקד'!A25,הפניקס!A:K,11,0)+VLOOKUP('תפוקה מצטברת מול אשתקד'!A25,כלל!A:K,11,0)+VLOOKUP('תפוקה מצטברת מול אשתקד'!A25,מור!A:K,11,0)+VLOOKUP('תפוקה מצטברת מול אשתקד'!A25,'אלטשולר שחם'!A:K,11,0)+VLOOKUP('תפוקה מצטברת מול אשתקד'!A25,'מדיהו '!A:K,11,0)+VLOOKUP('תפוקה מצטברת מול אשתקד'!A25,'אנליסט '!A:K,11,0)+VLOOKUP('תפוקה מצטברת מול אשתקד'!A25,'מיטב דש'!A:K,11,0)+VLOOKUP('תפוקה מצטברת מול אשתקד'!A25,אינפניטי!A:K,11,0)</f>
        <v>547448.33000000007</v>
      </c>
    </row>
    <row r="26" spans="1:18" ht="15.75" customHeight="1" x14ac:dyDescent="0.2">
      <c r="A26" s="30" t="s">
        <v>17</v>
      </c>
      <c r="B26" s="26" t="s">
        <v>56</v>
      </c>
      <c r="C26" s="27" t="s">
        <v>107</v>
      </c>
      <c r="D26" s="19">
        <f t="shared" si="0"/>
        <v>-0.41840560963677709</v>
      </c>
      <c r="E26" s="19">
        <f t="shared" si="0"/>
        <v>0.53864855225003261</v>
      </c>
      <c r="F26" s="19">
        <f t="shared" si="0"/>
        <v>14.309718049127376</v>
      </c>
      <c r="G26" s="19">
        <f t="shared" si="4"/>
        <v>0.48818730826533696</v>
      </c>
      <c r="H26" s="58">
        <f>VLOOKUP(A26,הכשרה!A:G,4,0)+VLOOKUP('תפוקה מצטברת מול אשתקד'!A26,מגדל!A:G,4,0)+VLOOKUP('תפוקה מצטברת מול אשתקד'!A26,מנורה!A:G,4,0)+VLOOKUP('תפוקה מצטברת מול אשתקד'!A26,איילון!A:G,4,0)+VLOOKUP('תפוקה מצטברת מול אשתקד'!A26,הראל!A:G,4,0)+VLOOKUP('תפוקה מצטברת מול אשתקד'!A26,הפניקס!A:G,4,0)+VLOOKUP('תפוקה מצטברת מול אשתקד'!A26,כלל!A:G,4,0)+VLOOKUP('תפוקה מצטברת מול אשתקד'!A26,מור!A:G,4,0)+VLOOKUP('תפוקה מצטברת מול אשתקד'!A26,'אלטשולר שחם'!A:G,4,0)+VLOOKUP('תפוקה מצטברת מול אשתקד'!A26,'מדיהו '!A:G,4,0)+VLOOKUP('תפוקה מצטברת מול אשתקד'!A26,'אנליסט '!A:G,4,0)+VLOOKUP('תפוקה מצטברת מול אשתקד'!A26,'מיטב דש'!A:G,4,0)+VLOOKUP('תפוקה מצטברת מול אשתקד'!A26,אינפניטי!A:G,4,0)</f>
        <v>45989.4277730217</v>
      </c>
      <c r="I26" s="58">
        <f>VLOOKUP(A26,הכשרה!A:G,5,0)+VLOOKUP('תפוקה מצטברת מול אשתקד'!A26,מגדל!A:G,5,0)+VLOOKUP('תפוקה מצטברת מול אשתקד'!A26,מנורה!A:G,5,0)+VLOOKUP('תפוקה מצטברת מול אשתקד'!A26,איילון!A:G,5,0)+VLOOKUP('תפוקה מצטברת מול אשתקד'!A26,הראל!A:G,5,0)+VLOOKUP('תפוקה מצטברת מול אשתקד'!A26,הפניקס!A:G,5,0)+VLOOKUP('תפוקה מצטברת מול אשתקד'!A26,כלל!A:G,5,0)+VLOOKUP('תפוקה מצטברת מול אשתקד'!A26,מור!A:G,5,0)+VLOOKUP('תפוקה מצטברת מול אשתקד'!A26,'אלטשולר שחם'!A:G,5,0)+VLOOKUP('תפוקה מצטברת מול אשתקד'!A26,'מדיהו '!A:G,5,0)+VLOOKUP('תפוקה מצטברת מול אשתקד'!A26,'אנליסט '!A:G,5,0)+VLOOKUP('תפוקה מצטברת מול אשתקד'!A26,'מיטב דש'!A:G,5,0)+VLOOKUP('תפוקה מצטברת מול אשתקד'!A26,אינפניטי!A:G,5,0)</f>
        <v>57228.708656426817</v>
      </c>
      <c r="J26" s="58">
        <f>VLOOKUP(A26,הכשרה!A:G,6,0)+VLOOKUP('תפוקה מצטברת מול אשתקד'!A26,מגדל!A:G,6,0)+VLOOKUP('תפוקה מצטברת מול אשתקד'!A26,מנורה!A:G,6,0)+VLOOKUP('תפוקה מצטברת מול אשתקד'!A26,איילון!A:G,6,0)+VLOOKUP(A26,הראל!A:G,6,0)+VLOOKUP('תפוקה מצטברת מול אשתקד'!A26,הפניקס!A:G,6,0)+VLOOKUP('תפוקה מצטברת מול אשתקד'!A26,כלל!A:G,6,0)+VLOOKUP('תפוקה מצטברת מול אשתקד'!A26,מור!A:G,6,0)+VLOOKUP('תפוקה מצטברת מול אשתקד'!A26,'אלטשולר שחם'!A:G,6,0)+VLOOKUP('תפוקה מצטברת מול אשתקד'!A26,'מדיהו '!A:G,6,0)+VLOOKUP('תפוקה מצטברת מול אשתקד'!A26,'אנליסט '!A:G,6,0)+VLOOKUP('תפוקה מצטברת מול אשתקד'!A26,'מיטב דש'!A:G,6,0)+VLOOKUP('תפוקה מצטברת מול אשתקד'!A26,אינפניטי!A:G,6,0)</f>
        <v>100000</v>
      </c>
      <c r="K26" s="58">
        <f>VLOOKUP(A26,הכשרה!A:G,7,0)+VLOOKUP('תפוקה מצטברת מול אשתקד'!A26,מגדל!A:G,7,0)+VLOOKUP('תפוקה מצטברת מול אשתקד'!A26,מנורה!A:G,7,0)+VLOOKUP('תפוקה מצטברת מול אשתקד'!A26,איילון!A:G,7,0)+VLOOKUP('תפוקה מצטברת מול אשתקד'!A26,הראל!A:G,7,0)+VLOOKUP('תפוקה מצטברת מול אשתקד'!A26,הפניקס!A:G,7,0)+VLOOKUP('תפוקה מצטברת מול אשתקד'!A26,כלל!A:G,7,0)+VLOOKUP('תפוקה מצטברת מול אשתקד'!A26,מור!A:G,7,0)+VLOOKUP('תפוקה מצטברת מול אשתקד'!A26,'אלטשולר שחם'!A:G,7,0)+VLOOKUP('תפוקה מצטברת מול אשתקד'!A26,'מדיהו '!A:K,7,0)+VLOOKUP(A26,'אנליסט '!A:G,7,0)+VLOOKUP('תפוקה מצטברת מול אשתקד'!A26,'מיטב דש'!A:G,7,0)+VLOOKUP('תפוקה מצטברת מול אשתקד'!A26,אינפניטי!A:G,7,0)</f>
        <v>179929</v>
      </c>
      <c r="L26" s="12">
        <f>VLOOKUP(A26,הכשרה!A:K,8,0)+VLOOKUP('תפוקה מצטברת מול אשתקד'!A26,מגדל!A:K,8,0)+VLOOKUP('תפוקה מצטברת מול אשתקד'!A26,מנורה!A:K,8,0)+VLOOKUP('תפוקה מצטברת מול אשתקד'!A26,איילון!A:K,8,0)+VLOOKUP('תפוקה מצטברת מול אשתקד'!A26,הראל!A:K,8,0)+VLOOKUP('תפוקה מצטברת מול אשתקד'!A26,הפניקס!A:K,8,0)+VLOOKUP('תפוקה מצטברת מול אשתקד'!A26,כלל!A:K,8,0)+VLOOKUP('תפוקה מצטברת מול אשתקד'!A26,מור!A:K,8,0)+VLOOKUP('תפוקה מצטברת מול אשתקד'!A26,'אלטשולר שחם'!A:K,8,0)+VLOOKUP('תפוקה מצטברת מול אשתקד'!A26,'מדיהו '!A:K,8,0)+VLOOKUP('תפוקה מצטברת מול אשתקד'!A26,'אנליסט '!A:K,8,0)+VLOOKUP('תפוקה מצטברת מול אשתקד'!A26,'מיטב דש'!A:K,8,0)+VLOOKUP('תפוקה מצטברת מול אשתקד'!A26,אינפניטי!A:K,8,0)</f>
        <v>79074.744418184535</v>
      </c>
      <c r="M26" s="12">
        <f>VLOOKUP(A26,הכשרה!A:K,9,0)+VLOOKUP('תפוקה מצטברת מול אשתקד'!A26,מגדל!A:K,9,0)+VLOOKUP('תפוקה מצטברת מול אשתקד'!A26,מנורה!A:K,9,0)+VLOOKUP('תפוקה מצטברת מול אשתקד'!A26,איילון!A:K,9,0)+VLOOKUP('תפוקה מצטברת מול אשתקד'!A26,הראל!A:K,9,0)+VLOOKUP('תפוקה מצטברת מול אשתקד'!A26,הפניקס!A:K,9,0)+VLOOKUP('תפוקה מצטברת מול אשתקד'!A26,כלל!A:K,9,0)+VLOOKUP('תפוקה מצטברת מול אשתקד'!A26,מור!A:K,9,0)+VLOOKUP('תפוקה מצטברת מול אשתקד'!A26,'אלטשולר שחם'!A:K,9,0)+VLOOKUP('תפוקה מצטברת מול אשתקד'!A26,'מדיהו '!A:K,9,0)+VLOOKUP('תפוקה מצטברת מול אשתקד'!A26,'אנליסט '!A:K,9,0)+VLOOKUP('תפוקה מצטברת מול אשתקד'!A26,'מיטב דש'!A:K,9,0)+VLOOKUP('תפוקה מצטברת מול אשתקד'!A26,אינפניטי!A:K,9,0)</f>
        <v>37194.139345686701</v>
      </c>
      <c r="N26" s="12">
        <f>VLOOKUP(A26,הכשרה!A:K,10,0)+VLOOKUP('תפוקה מצטברת מול אשתקד'!A26,מגדל!A:K,10,0)+VLOOKUP('תפוקה מצטברת מול אשתקד'!A26,מנורה!A:K,10,0)+VLOOKUP('תפוקה מצטברת מול אשתקד'!A26,איילון!A:K,10,0)+VLOOKUP('תפוקה מצטברת מול אשתקד'!A26,הראל!A:K,10,0)+VLOOKUP('תפוקה מצטברת מול אשתקד'!A26,הפניקס!A:K,10,0)+VLOOKUP('תפוקה מצטברת מול אשתקד'!A26,כלל!A:K,10,0)+VLOOKUP('תפוקה מצטברת מול אשתקד'!A26,מור!A:K,10,0)+VLOOKUP('תפוקה מצטברת מול אשתקד'!A26,'אלטשולר שחם'!A:K,10,0)+VLOOKUP('תפוקה מצטברת מול אשתקד'!A26,'מדיהו '!A:K,10,0)+VLOOKUP('תפוקה מצטברת מול אשתקד'!A26,'אנליסט '!A:K,10,0)+VLOOKUP('תפוקה מצטברת מול אשתקד'!A26,'מיטב דש'!A:K,10,0)+VLOOKUP('תפוקה מצטברת מול אשתקד'!A26,אינפניטי!A:K,10,0)</f>
        <v>6531.798931835966</v>
      </c>
      <c r="O26" s="12">
        <f>VLOOKUP(A26,הכשרה!A:K,11,0)+VLOOKUP('תפוקה מצטברת מול אשתקד'!A26,מגדל!A:K,11,0)+VLOOKUP('תפוקה מצטברת מול אשתקד'!A26,מנורה!A:K,11,0)+VLOOKUP('תפוקה מצטברת מול אשתקד'!A26,איילון!A:K,11,0)+VLOOKUP('תפוקה מצטברת מול אשתקד'!A26,הראל!A:K,11,0)+VLOOKUP('תפוקה מצטברת מול אשתקד'!A26,הפניקס!A:K,11,0)+VLOOKUP('תפוקה מצטברת מול אשתקד'!A26,כלל!A:K,11,0)+VLOOKUP('תפוקה מצטברת מול אשתקד'!A26,מור!A:K,11,0)+VLOOKUP('תפוקה מצטברת מול אשתקד'!A26,'אלטשולר שחם'!A:K,11,0)+VLOOKUP('תפוקה מצטברת מול אשתקד'!A26,'מדיהו '!A:K,11,0)+VLOOKUP('תפוקה מצטברת מול אשתקד'!A26,'אנליסט '!A:K,11,0)+VLOOKUP('תפוקה מצטברת מול אשתקד'!A26,'מיטב דש'!A:K,11,0)+VLOOKUP('תפוקה מצטברת מול אשתקד'!A26,אינפניטי!A:K,11,0)</f>
        <v>120904.80748000002</v>
      </c>
    </row>
    <row r="27" spans="1:18" ht="15.75" customHeight="1" x14ac:dyDescent="0.2">
      <c r="A27" s="30" t="s">
        <v>18</v>
      </c>
      <c r="B27" s="26" t="s">
        <v>56</v>
      </c>
      <c r="C27" s="27" t="s">
        <v>107</v>
      </c>
      <c r="D27" s="19">
        <f t="shared" si="0"/>
        <v>-0.8867493558696572</v>
      </c>
      <c r="E27" s="19">
        <f t="shared" si="0"/>
        <v>0.46977947657326191</v>
      </c>
      <c r="F27" s="19">
        <f t="shared" si="0"/>
        <v>0.2257148815095511</v>
      </c>
      <c r="G27" s="19">
        <f t="shared" si="4"/>
        <v>-0.3449971462833632</v>
      </c>
      <c r="H27" s="58">
        <f>VLOOKUP(A27,הכשרה!A:G,4,0)+VLOOKUP('תפוקה מצטברת מול אשתקד'!A27,מגדל!A:G,4,0)+VLOOKUP('תפוקה מצטברת מול אשתקד'!A27,מנורה!A:G,4,0)+VLOOKUP('תפוקה מצטברת מול אשתקד'!A27,איילון!A:G,4,0)+VLOOKUP('תפוקה מצטברת מול אשתקד'!A27,הראל!A:G,4,0)+VLOOKUP('תפוקה מצטברת מול אשתקד'!A27,הפניקס!A:G,4,0)+VLOOKUP('תפוקה מצטברת מול אשתקד'!A27,כלל!A:G,4,0)+VLOOKUP('תפוקה מצטברת מול אשתקד'!A27,מור!A:G,4,0)+VLOOKUP('תפוקה מצטברת מול אשתקד'!A27,'אלטשולר שחם'!A:G,4,0)+VLOOKUP('תפוקה מצטברת מול אשתקד'!A27,'מדיהו '!A:G,4,0)+VLOOKUP('תפוקה מצטברת מול אשתקד'!A27,'אנליסט '!A:G,4,0)+VLOOKUP('תפוקה מצטברת מול אשתקד'!A27,'מיטב דש'!A:G,4,0)+VLOOKUP('תפוקה מצטברת מול אשתקד'!A27,אינפניטי!A:G,4,0)</f>
        <v>10001.049999999999</v>
      </c>
      <c r="I27" s="58">
        <f>VLOOKUP(A27,הכשרה!A:G,5,0)+VLOOKUP('תפוקה מצטברת מול אשתקד'!A27,מגדל!A:G,5,0)+VLOOKUP('תפוקה מצטברת מול אשתקד'!A27,מנורה!A:G,5,0)+VLOOKUP('תפוקה מצטברת מול אשתקד'!A27,איילון!A:G,5,0)+VLOOKUP('תפוקה מצטברת מול אשתקד'!A27,הראל!A:G,5,0)+VLOOKUP('תפוקה מצטברת מול אשתקד'!A27,הפניקס!A:G,5,0)+VLOOKUP('תפוקה מצטברת מול אשתקד'!A27,כלל!A:G,5,0)+VLOOKUP('תפוקה מצטברת מול אשתקד'!A27,מור!A:G,5,0)+VLOOKUP('תפוקה מצטברת מול אשתקד'!A27,'אלטשולר שחם'!A:G,5,0)+VLOOKUP('תפוקה מצטברת מול אשתקד'!A27,'מדיהו '!A:G,5,0)+VLOOKUP('תפוקה מצטברת מול אשתקד'!A27,'אנליסט '!A:G,5,0)+VLOOKUP('תפוקה מצטברת מול אשתקד'!A27,'מיטב דש'!A:G,5,0)+VLOOKUP('תפוקה מצטברת מול אשתקד'!A27,אינפניטי!A:G,5,0)</f>
        <v>39846.83</v>
      </c>
      <c r="J27" s="58">
        <f>VLOOKUP(A27,הכשרה!A:G,6,0)+VLOOKUP('תפוקה מצטברת מול אשתקד'!A27,מגדל!A:G,6,0)+VLOOKUP('תפוקה מצטברת מול אשתקד'!A27,מנורה!A:G,6,0)+VLOOKUP('תפוקה מצטברת מול אשתקד'!A27,איילון!A:G,6,0)+VLOOKUP(A27,הראל!A:G,6,0)+VLOOKUP('תפוקה מצטברת מול אשתקד'!A27,הפניקס!A:G,6,0)+VLOOKUP('תפוקה מצטברת מול אשתקד'!A27,כלל!A:G,6,0)+VLOOKUP('תפוקה מצטברת מול אשתקד'!A27,מור!A:G,6,0)+VLOOKUP('תפוקה מצטברת מול אשתקד'!A27,'אלטשולר שחם'!A:G,6,0)+VLOOKUP('תפוקה מצטברת מול אשתקד'!A27,'מדיהו '!A:G,6,0)+VLOOKUP('תפוקה מצטברת מול אשתקד'!A27,'אנליסט '!A:G,6,0)+VLOOKUP('תפוקה מצטברת מול אשתקד'!A27,'מיטב דש'!A:G,6,0)+VLOOKUP('תפוקה מצטברת מול אשתקד'!A27,אינפניטי!A:G,6,0)</f>
        <v>134075.56999999998</v>
      </c>
      <c r="K27" s="58">
        <f>VLOOKUP(A27,הכשרה!A:G,7,0)+VLOOKUP('תפוקה מצטברת מול אשתקד'!A27,מגדל!A:G,7,0)+VLOOKUP('תפוקה מצטברת מול אשתקד'!A27,מנורה!A:G,7,0)+VLOOKUP('תפוקה מצטברת מול אשתקד'!A27,איילון!A:G,7,0)+VLOOKUP('תפוקה מצטברת מול אשתקד'!A27,הראל!A:G,7,0)+VLOOKUP('תפוקה מצטברת מול אשתקד'!A27,הפניקס!A:G,7,0)+VLOOKUP('תפוקה מצטברת מול אשתקד'!A27,כלל!A:G,7,0)+VLOOKUP('תפוקה מצטברת מול אשתקד'!A27,מור!A:G,7,0)+VLOOKUP('תפוקה מצטברת מול אשתקד'!A27,'אלטשולר שחם'!A:G,7,0)+VLOOKUP('תפוקה מצטברת מול אשתקד'!A27,'מדיהו '!A:K,7,0)+VLOOKUP(A27,'אנליסט '!A:G,7,0)+VLOOKUP('תפוקה מצטברת מול אשתקד'!A27,'מיטב דש'!A:G,7,0)+VLOOKUP('תפוקה מצטברת מול אשתקד'!A27,אינפניטי!A:G,7,0)</f>
        <v>58471.81</v>
      </c>
      <c r="L27" s="12">
        <f>VLOOKUP(A27,הכשרה!A:K,8,0)+VLOOKUP('תפוקה מצטברת מול אשתקד'!A27,מגדל!A:K,8,0)+VLOOKUP('תפוקה מצטברת מול אשתקד'!A27,מנורה!A:K,8,0)+VLOOKUP('תפוקה מצטברת מול אשתקד'!A27,איילון!A:K,8,0)+VLOOKUP('תפוקה מצטברת מול אשתקד'!A27,הראל!A:K,8,0)+VLOOKUP('תפוקה מצטברת מול אשתקד'!A27,הפניקס!A:K,8,0)+VLOOKUP('תפוקה מצטברת מול אשתקד'!A27,כלל!A:K,8,0)+VLOOKUP('תפוקה מצטברת מול אשתקד'!A27,מור!A:K,8,0)+VLOOKUP('תפוקה מצטברת מול אשתקד'!A27,'אלטשולר שחם'!A:K,8,0)+VLOOKUP('תפוקה מצטברת מול אשתקד'!A27,'מדיהו '!A:K,8,0)+VLOOKUP('תפוקה מצטברת מול אשתקד'!A27,'אנליסט '!A:K,8,0)+VLOOKUP('תפוקה מצטברת מול אשתקד'!A27,'מיטב דש'!A:K,8,0)+VLOOKUP('תפוקה מצטברת מול אשתקד'!A27,אינפניטי!A:K,8,0)</f>
        <v>88308.989999999991</v>
      </c>
      <c r="M27" s="12">
        <f>VLOOKUP(A27,הכשרה!A:K,9,0)+VLOOKUP('תפוקה מצטברת מול אשתקד'!A27,מגדל!A:K,9,0)+VLOOKUP('תפוקה מצטברת מול אשתקד'!A27,מנורה!A:K,9,0)+VLOOKUP('תפוקה מצטברת מול אשתקד'!A27,איילון!A:K,9,0)+VLOOKUP('תפוקה מצטברת מול אשתקד'!A27,הראל!A:K,9,0)+VLOOKUP('תפוקה מצטברת מול אשתקד'!A27,הפניקס!A:K,9,0)+VLOOKUP('תפוקה מצטברת מול אשתקד'!A27,כלל!A:K,9,0)+VLOOKUP('תפוקה מצטברת מול אשתקד'!A27,מור!A:K,9,0)+VLOOKUP('תפוקה מצטברת מול אשתקד'!A27,'אלטשולר שחם'!A:K,9,0)+VLOOKUP('תפוקה מצטברת מול אשתקד'!A27,'מדיהו '!A:K,9,0)+VLOOKUP('תפוקה מצטברת מול אשתקד'!A27,'אנליסט '!A:K,9,0)+VLOOKUP('תפוקה מצטברת מול אשתקד'!A27,'מיטב דש'!A:K,9,0)+VLOOKUP('תפוקה מצטברת מול אשתקד'!A27,אינפניטי!A:K,9,0)</f>
        <v>27110.754119999998</v>
      </c>
      <c r="N27" s="12">
        <f>VLOOKUP(A27,הכשרה!A:K,10,0)+VLOOKUP('תפוקה מצטברת מול אשתקד'!A27,מגדל!A:K,10,0)+VLOOKUP('תפוקה מצטברת מול אשתקד'!A27,מנורה!A:K,10,0)+VLOOKUP('תפוקה מצטברת מול אשתקד'!A27,איילון!A:K,10,0)+VLOOKUP('תפוקה מצטברת מול אשתקד'!A27,הראל!A:K,10,0)+VLOOKUP('תפוקה מצטברת מול אשתקד'!A27,הפניקס!A:K,10,0)+VLOOKUP('תפוקה מצטברת מול אשתקד'!A27,כלל!A:K,10,0)+VLOOKUP('תפוקה מצטברת מול אשתקד'!A27,מור!A:K,10,0)+VLOOKUP('תפוקה מצטברת מול אשתקד'!A27,'אלטשולר שחם'!A:K,10,0)+VLOOKUP('תפוקה מצטברת מול אשתקד'!A27,'מדיהו '!A:K,10,0)+VLOOKUP('תפוקה מצטברת מול אשתקד'!A27,'אנליסט '!A:K,10,0)+VLOOKUP('תפוקה מצטברת מול אשתקד'!A27,'מיטב דש'!A:K,10,0)+VLOOKUP('תפוקה מצטברת מול אשתקד'!A27,אינפניטי!A:K,10,0)</f>
        <v>109385.61</v>
      </c>
      <c r="O27" s="12">
        <f>VLOOKUP(A27,הכשרה!A:K,11,0)+VLOOKUP('תפוקה מצטברת מול אשתקד'!A27,מגדל!A:K,11,0)+VLOOKUP('תפוקה מצטברת מול אשתקד'!A27,מנורה!A:K,11,0)+VLOOKUP('תפוקה מצטברת מול אשתקד'!A27,איילון!A:K,11,0)+VLOOKUP('תפוקה מצטברת מול אשתקד'!A27,הראל!A:K,11,0)+VLOOKUP('תפוקה מצטברת מול אשתקד'!A27,הפניקס!A:K,11,0)+VLOOKUP('תפוקה מצטברת מול אשתקד'!A27,כלל!A:K,11,0)+VLOOKUP('תפוקה מצטברת מול אשתקד'!A27,מור!A:K,11,0)+VLOOKUP('תפוקה מצטברת מול אשתקד'!A27,'אלטשולר שחם'!A:K,11,0)+VLOOKUP('תפוקה מצטברת מול אשתקד'!A27,'מדיהו '!A:K,11,0)+VLOOKUP('תפוקה מצטברת מול אשתקד'!A27,'אנליסט '!A:K,11,0)+VLOOKUP('תפוקה מצטברת מול אשתקד'!A27,'מיטב דש'!A:K,11,0)+VLOOKUP('תפוקה מצטברת מול אשתקד'!A27,אינפניטי!A:K,11,0)</f>
        <v>89269.55</v>
      </c>
    </row>
    <row r="28" spans="1:18" ht="15.75" customHeight="1" x14ac:dyDescent="0.2">
      <c r="A28" s="26" t="s">
        <v>19</v>
      </c>
      <c r="B28" s="26" t="s">
        <v>56</v>
      </c>
      <c r="C28" s="27" t="s">
        <v>107</v>
      </c>
      <c r="D28" s="19">
        <f t="shared" si="0"/>
        <v>-0.63619099875282492</v>
      </c>
      <c r="E28" s="19">
        <f t="shared" si="0"/>
        <v>-0.1669177937685985</v>
      </c>
      <c r="F28" s="19">
        <f t="shared" si="0"/>
        <v>0.96298309819210748</v>
      </c>
      <c r="G28" s="19">
        <f t="shared" si="4"/>
        <v>-0.71887743133397142</v>
      </c>
      <c r="H28" s="58">
        <f>VLOOKUP(A28,הכשרה!A:G,4,0)+VLOOKUP('תפוקה מצטברת מול אשתקד'!A28,מגדל!A:G,4,0)+VLOOKUP('תפוקה מצטברת מול אשתקד'!A28,מנורה!A:G,4,0)+VLOOKUP('תפוקה מצטברת מול אשתקד'!A28,איילון!A:G,4,0)+VLOOKUP('תפוקה מצטברת מול אשתקד'!A28,הראל!A:G,4,0)+VLOOKUP('תפוקה מצטברת מול אשתקד'!A28,הפניקס!A:G,4,0)+VLOOKUP('תפוקה מצטברת מול אשתקד'!A28,כלל!A:G,4,0)+VLOOKUP('תפוקה מצטברת מול אשתקד'!A28,מור!A:G,4,0)+VLOOKUP('תפוקה מצטברת מול אשתקד'!A28,'אלטשולר שחם'!A:G,4,0)+VLOOKUP('תפוקה מצטברת מול אשתקד'!A28,'מדיהו '!A:G,4,0)+VLOOKUP('תפוקה מצטברת מול אשתקד'!A28,'אנליסט '!A:G,4,0)+VLOOKUP('תפוקה מצטברת מול אשתקד'!A28,'מיטב דש'!A:G,4,0)+VLOOKUP('תפוקה מצטברת מול אשתקד'!A28,אינפניטי!A:G,4,0)</f>
        <v>235235.0607546815</v>
      </c>
      <c r="I28" s="58">
        <f>VLOOKUP(A28,הכשרה!A:G,5,0)+VLOOKUP('תפוקה מצטברת מול אשתקד'!A28,מגדל!A:G,5,0)+VLOOKUP('תפוקה מצטברת מול אשתקד'!A28,מנורה!A:G,5,0)+VLOOKUP('תפוקה מצטברת מול אשתקד'!A28,איילון!A:G,5,0)+VLOOKUP('תפוקה מצטברת מול אשתקד'!A28,הראל!A:G,5,0)+VLOOKUP('תפוקה מצטברת מול אשתקד'!A28,הפניקס!A:G,5,0)+VLOOKUP('תפוקה מצטברת מול אשתקד'!A28,כלל!A:G,5,0)+VLOOKUP('תפוקה מצטברת מול אשתקד'!A28,מור!A:G,5,0)+VLOOKUP('תפוקה מצטברת מול אשתקד'!A28,'אלטשולר שחם'!A:G,5,0)+VLOOKUP('תפוקה מצטברת מול אשתקד'!A28,'מדיהו '!A:G,5,0)+VLOOKUP('תפוקה מצטברת מול אשתקד'!A28,'אנליסט '!A:G,5,0)+VLOOKUP('תפוקה מצטברת מול אשתקד'!A28,'מיטב דש'!A:G,5,0)+VLOOKUP('תפוקה מצטברת מול אשתקד'!A28,אינפניטי!A:G,5,0)</f>
        <v>48644.27</v>
      </c>
      <c r="J28" s="58">
        <f>VLOOKUP(A28,הכשרה!A:G,6,0)+VLOOKUP('תפוקה מצטברת מול אשתקד'!A28,מגדל!A:G,6,0)+VLOOKUP('תפוקה מצטברת מול אשתקד'!A28,מנורה!A:G,6,0)+VLOOKUP('תפוקה מצטברת מול אשתקד'!A28,איילון!A:G,6,0)+VLOOKUP(A28,הראל!A:G,6,0)+VLOOKUP('תפוקה מצטברת מול אשתקד'!A28,הפניקס!A:G,6,0)+VLOOKUP('תפוקה מצטברת מול אשתקד'!A28,כלל!A:G,6,0)+VLOOKUP('תפוקה מצטברת מול אשתקד'!A28,מור!A:G,6,0)+VLOOKUP('תפוקה מצטברת מול אשתקד'!A28,'אלטשולר שחם'!A:G,6,0)+VLOOKUP('תפוקה מצטברת מול אשתקד'!A28,'מדיהו '!A:G,6,0)+VLOOKUP('תפוקה מצטברת מול אשתקד'!A28,'אנליסט '!A:G,6,0)+VLOOKUP('תפוקה מצטברת מול אשתקד'!A28,'מיטב דש'!A:G,6,0)+VLOOKUP('תפוקה מצטברת מול אשתקד'!A28,אינפניטי!A:G,6,0)</f>
        <v>676652.68</v>
      </c>
      <c r="K28" s="58">
        <f>VLOOKUP(A28,הכשרה!A:G,7,0)+VLOOKUP('תפוקה מצטברת מול אשתקד'!A28,מגדל!A:G,7,0)+VLOOKUP('תפוקה מצטברת מול אשתקד'!A28,מנורה!A:G,7,0)+VLOOKUP('תפוקה מצטברת מול אשתקד'!A28,איילון!A:G,7,0)+VLOOKUP('תפוקה מצטברת מול אשתקד'!A28,הראל!A:G,7,0)+VLOOKUP('תפוקה מצטברת מול אשתקד'!A28,הפניקס!A:G,7,0)+VLOOKUP('תפוקה מצטברת מול אשתקד'!A28,כלל!A:G,7,0)+VLOOKUP('תפוקה מצטברת מול אשתקד'!A28,מור!A:G,7,0)+VLOOKUP('תפוקה מצטברת מול אשתקד'!A28,'אלטשולר שחם'!A:G,7,0)+VLOOKUP('תפוקה מצטברת מול אשתקד'!A28,'מדיהו '!A:K,7,0)+VLOOKUP(A28,'אנליסט '!A:G,7,0)+VLOOKUP('תפוקה מצטברת מול אשתקד'!A28,'מיטב דש'!A:G,7,0)+VLOOKUP('תפוקה מצטברת מול אשתקד'!A28,אינפניטי!A:G,7,0)</f>
        <v>764422.89999999991</v>
      </c>
      <c r="L28" s="12">
        <f>VLOOKUP(A28,הכשרה!A:K,8,0)+VLOOKUP('תפוקה מצטברת מול אשתקד'!A28,מגדל!A:K,8,0)+VLOOKUP('תפוקה מצטברת מול אשתקד'!A28,מנורה!A:K,8,0)+VLOOKUP('תפוקה מצטברת מול אשתקד'!A28,איילון!A:K,8,0)+VLOOKUP('תפוקה מצטברת מול אשתקד'!A28,הראל!A:K,8,0)+VLOOKUP('תפוקה מצטברת מול אשתקד'!A28,הפניקס!A:K,8,0)+VLOOKUP('תפוקה מצטברת מול אשתקד'!A28,כלל!A:K,8,0)+VLOOKUP('תפוקה מצטברת מול אשתקד'!A28,מור!A:K,8,0)+VLOOKUP('תפוקה מצטברת מול אשתקד'!A28,'אלטשולר שחם'!A:K,8,0)+VLOOKUP('תפוקה מצטברת מול אשתקד'!A28,'מדיהו '!A:K,8,0)+VLOOKUP('תפוקה מצטברת מול אשתקד'!A28,'אנליסט '!A:K,8,0)+VLOOKUP('תפוקה מצטברת מול אשתקד'!A28,'מיטב דש'!A:K,8,0)+VLOOKUP('תפוקה מצטברת מול אשתקד'!A28,אינפניטי!A:K,8,0)</f>
        <v>646589.44651801162</v>
      </c>
      <c r="M28" s="12">
        <f>VLOOKUP(A28,הכשרה!A:K,9,0)+VLOOKUP('תפוקה מצטברת מול אשתקד'!A28,מגדל!A:K,9,0)+VLOOKUP('תפוקה מצטברת מול אשתקד'!A28,מנורה!A:K,9,0)+VLOOKUP('תפוקה מצטברת מול אשתקד'!A28,איילון!A:K,9,0)+VLOOKUP('תפוקה מצטברת מול אשתקד'!A28,הראל!A:K,9,0)+VLOOKUP('תפוקה מצטברת מול אשתקד'!A28,הפניקס!A:K,9,0)+VLOOKUP('תפוקה מצטברת מול אשתקד'!A28,כלל!A:K,9,0)+VLOOKUP('תפוקה מצטברת מול אשתקד'!A28,מור!A:K,9,0)+VLOOKUP('תפוקה מצטברת מול אשתקד'!A28,'אלטשולר שחם'!A:K,9,0)+VLOOKUP('תפוקה מצטברת מול אשתקד'!A28,'מדיהו '!A:K,9,0)+VLOOKUP('תפוקה מצטברת מול אשתקד'!A28,'אנליסט '!A:K,9,0)+VLOOKUP('תפוקה מצטברת מול אשתקד'!A28,'מיטב דש'!A:K,9,0)+VLOOKUP('תפוקה מצטברת מול אשתקד'!A28,אינפניטי!A:K,9,0)</f>
        <v>58390.720190809472</v>
      </c>
      <c r="N28" s="12">
        <f>VLOOKUP(A28,הכשרה!A:K,10,0)+VLOOKUP('תפוקה מצטברת מול אשתקד'!A28,מגדל!A:K,10,0)+VLOOKUP('תפוקה מצטברת מול אשתקד'!A28,מנורה!A:K,10,0)+VLOOKUP('תפוקה מצטברת מול אשתקד'!A28,איילון!A:K,10,0)+VLOOKUP('תפוקה מצטברת מול אשתקד'!A28,הראל!A:K,10,0)+VLOOKUP('תפוקה מצטברת מול אשתקד'!A28,הפניקס!A:K,10,0)+VLOOKUP('תפוקה מצטברת מול אשתקד'!A28,כלל!A:K,10,0)+VLOOKUP('תפוקה מצטברת מול אשתקד'!A28,מור!A:K,10,0)+VLOOKUP('תפוקה מצטברת מול אשתקד'!A28,'אלטשולר שחם'!A:K,10,0)+VLOOKUP('תפוקה מצטברת מול אשתקד'!A28,'מדיהו '!A:K,10,0)+VLOOKUP('תפוקה מצטברת מול אשתקד'!A28,'אנליסט '!A:K,10,0)+VLOOKUP('תפוקה מצטברת מול אשתקד'!A28,'מיטב דש'!A:K,10,0)+VLOOKUP('תפוקה מצטברת מול אשתקד'!A28,אינפניטי!A:K,10,0)</f>
        <v>344706.32</v>
      </c>
      <c r="O28" s="12">
        <f>VLOOKUP(A28,הכשרה!A:K,11,0)+VLOOKUP('תפוקה מצטברת מול אשתקד'!A28,מגדל!A:K,11,0)+VLOOKUP('תפוקה מצטברת מול אשתקד'!A28,מנורה!A:K,11,0)+VLOOKUP('תפוקה מצטברת מול אשתקד'!A28,איילון!A:K,11,0)+VLOOKUP('תפוקה מצטברת מול אשתקד'!A28,הראל!A:K,11,0)+VLOOKUP('תפוקה מצטברת מול אשתקד'!A28,הפניקס!A:K,11,0)+VLOOKUP('תפוקה מצטברת מול אשתקד'!A28,כלל!A:K,11,0)+VLOOKUP('תפוקה מצטברת מול אשתקד'!A28,מור!A:K,11,0)+VLOOKUP('תפוקה מצטברת מול אשתקד'!A28,'אלטשולר שחם'!A:K,11,0)+VLOOKUP('תפוקה מצטברת מול אשתקד'!A28,'מדיהו '!A:K,11,0)+VLOOKUP('תפוקה מצטברת מול אשתקד'!A28,'אנליסט '!A:K,11,0)+VLOOKUP('תפוקה מצטברת מול אשתקד'!A28,'מיטב דש'!A:K,11,0)+VLOOKUP('תפוקה מצטברת מול אשתקד'!A28,אינפניטי!A:K,11,0)</f>
        <v>2719180.1199999996</v>
      </c>
    </row>
    <row r="29" spans="1:18" ht="15.75" customHeight="1" x14ac:dyDescent="0.2">
      <c r="A29" s="26" t="s">
        <v>20</v>
      </c>
      <c r="B29" s="26" t="s">
        <v>56</v>
      </c>
      <c r="C29" s="27" t="s">
        <v>107</v>
      </c>
      <c r="D29" s="19">
        <f t="shared" si="0"/>
        <v>3.5239172442528721E-2</v>
      </c>
      <c r="E29" s="19">
        <f t="shared" si="0"/>
        <v>0.89695119046418581</v>
      </c>
      <c r="F29" s="19">
        <f t="shared" si="0"/>
        <v>5.9554638115089098E-2</v>
      </c>
      <c r="G29" s="19">
        <f t="shared" si="4"/>
        <v>3.6856768262406092</v>
      </c>
      <c r="H29" s="58">
        <f>VLOOKUP(A29,הכשרה!A:G,4,0)+VLOOKUP('תפוקה מצטברת מול אשתקד'!A29,מגדל!A:G,4,0)+VLOOKUP('תפוקה מצטברת מול אשתקד'!A29,מנורה!A:G,4,0)+VLOOKUP('תפוקה מצטברת מול אשתקד'!A29,איילון!A:G,4,0)+VLOOKUP('תפוקה מצטברת מול אשתקד'!A29,הראל!A:G,4,0)+VLOOKUP('תפוקה מצטברת מול אשתקד'!A29,הפניקס!A:G,4,0)+VLOOKUP('תפוקה מצטברת מול אשתקד'!A29,כלל!A:G,4,0)+VLOOKUP('תפוקה מצטברת מול אשתקד'!A29,מור!A:G,4,0)+VLOOKUP('תפוקה מצטברת מול אשתקד'!A29,'אלטשולר שחם'!A:G,4,0)+VLOOKUP('תפוקה מצטברת מול אשתקד'!A29,'מדיהו '!A:G,4,0)+VLOOKUP('תפוקה מצטברת מול אשתקד'!A29,'אנליסט '!A:G,4,0)+VLOOKUP('תפוקה מצטברת מול אשתקד'!A29,'מיטב דש'!A:G,4,0)+VLOOKUP('תפוקה מצטברת מול אשתקד'!A29,אינפניטי!A:G,4,0)</f>
        <v>539433.38</v>
      </c>
      <c r="I29" s="58">
        <f>VLOOKUP(A29,הכשרה!A:G,5,0)+VLOOKUP('תפוקה מצטברת מול אשתקד'!A29,מגדל!A:G,5,0)+VLOOKUP('תפוקה מצטברת מול אשתקד'!A29,מנורה!A:G,5,0)+VLOOKUP('תפוקה מצטברת מול אשתקד'!A29,איילון!A:G,5,0)+VLOOKUP('תפוקה מצטברת מול אשתקד'!A29,הראל!A:G,5,0)+VLOOKUP('תפוקה מצטברת מול אשתקד'!A29,הפניקס!A:G,5,0)+VLOOKUP('תפוקה מצטברת מול אשתקד'!A29,כלל!A:G,5,0)+VLOOKUP('תפוקה מצטברת מול אשתקד'!A29,מור!A:G,5,0)+VLOOKUP('תפוקה מצטברת מול אשתקד'!A29,'אלטשולר שחם'!A:G,5,0)+VLOOKUP('תפוקה מצטברת מול אשתקד'!A29,'מדיהו '!A:G,5,0)+VLOOKUP('תפוקה מצטברת מול אשתקד'!A29,'אנליסט '!A:G,5,0)+VLOOKUP('תפוקה מצטברת מול אשתקד'!A29,'מיטב דש'!A:G,5,0)+VLOOKUP('תפוקה מצטברת מול אשתקד'!A29,אינפניטי!A:G,5,0)</f>
        <v>69480.127175558126</v>
      </c>
      <c r="J29" s="58">
        <f>VLOOKUP(A29,הכשרה!A:G,6,0)+VLOOKUP('תפוקה מצטברת מול אשתקד'!A29,מגדל!A:G,6,0)+VLOOKUP('תפוקה מצטברת מול אשתקד'!A29,מנורה!A:G,6,0)+VLOOKUP('תפוקה מצטברת מול אשתקד'!A29,איילון!A:G,6,0)+VLOOKUP(A29,הראל!A:G,6,0)+VLOOKUP('תפוקה מצטברת מול אשתקד'!A29,הפניקס!A:G,6,0)+VLOOKUP('תפוקה מצטברת מול אשתקד'!A29,כלל!A:G,6,0)+VLOOKUP('תפוקה מצטברת מול אשתקד'!A29,מור!A:G,6,0)+VLOOKUP('תפוקה מצטברת מול אשתקד'!A29,'אלטשולר שחם'!A:G,6,0)+VLOOKUP('תפוקה מצטברת מול אשתקד'!A29,'מדיהו '!A:G,6,0)+VLOOKUP('תפוקה מצטברת מול אשתקד'!A29,'אנליסט '!A:G,6,0)+VLOOKUP('תפוקה מצטברת מול אשתקד'!A29,'מיטב דש'!A:G,6,0)+VLOOKUP('תפוקה מצטברת מול אשתקד'!A29,אינפניטי!A:G,6,0)</f>
        <v>1668386.13</v>
      </c>
      <c r="K29" s="58">
        <f>VLOOKUP(A29,הכשרה!A:G,7,0)+VLOOKUP('תפוקה מצטברת מול אשתקד'!A29,מגדל!A:G,7,0)+VLOOKUP('תפוקה מצטברת מול אשתקד'!A29,מנורה!A:G,7,0)+VLOOKUP('תפוקה מצטברת מול אשתקד'!A29,איילון!A:G,7,0)+VLOOKUP('תפוקה מצטברת מול אשתקד'!A29,הראל!A:G,7,0)+VLOOKUP('תפוקה מצטברת מול אשתקד'!A29,הפניקס!A:G,7,0)+VLOOKUP('תפוקה מצטברת מול אשתקד'!A29,כלל!A:G,7,0)+VLOOKUP('תפוקה מצטברת מול אשתקד'!A29,מור!A:G,7,0)+VLOOKUP('תפוקה מצטברת מול אשתקד'!A29,'אלטשולר שחם'!A:G,7,0)+VLOOKUP('תפוקה מצטברת מול אשתקד'!A29,'מדיהו '!A:K,7,0)+VLOOKUP(A29,'אנליסט '!A:G,7,0)+VLOOKUP('תפוקה מצטברת מול אשתקד'!A29,'מיטב דש'!A:G,7,0)+VLOOKUP('תפוקה מצטברת מול אשתקד'!A29,אינפניטי!A:G,7,0)</f>
        <v>1959928.61</v>
      </c>
      <c r="L29" s="12">
        <f>VLOOKUP(A29,הכשרה!A:K,8,0)+VLOOKUP('תפוקה מצטברת מול אשתקד'!A29,מגדל!A:K,8,0)+VLOOKUP('תפוקה מצטברת מול אשתקד'!A29,מנורה!A:K,8,0)+VLOOKUP('תפוקה מצטברת מול אשתקד'!A29,איילון!A:K,8,0)+VLOOKUP('תפוקה מצטברת מול אשתקד'!A29,הראל!A:K,8,0)+VLOOKUP('תפוקה מצטברת מול אשתקד'!A29,הפניקס!A:K,8,0)+VLOOKUP('תפוקה מצטברת מול אשתקד'!A29,כלל!A:K,8,0)+VLOOKUP('תפוקה מצטברת מול אשתקד'!A29,מור!A:K,8,0)+VLOOKUP('תפוקה מצטברת מול אשתקד'!A29,'אלטשולר שחם'!A:K,8,0)+VLOOKUP('תפוקה מצטברת מול אשתקד'!A29,'מדיהו '!A:K,8,0)+VLOOKUP('תפוקה מצטברת מול אשתקד'!A29,'אנליסט '!A:K,8,0)+VLOOKUP('תפוקה מצטברת מול אשתקד'!A29,'מיטב דש'!A:K,8,0)+VLOOKUP('תפוקה מצטברת מול אשתקד'!A29,אינפניטי!A:K,8,0)</f>
        <v>521071.26001353719</v>
      </c>
      <c r="M29" s="12">
        <f>VLOOKUP(A29,הכשרה!A:K,9,0)+VLOOKUP('תפוקה מצטברת מול אשתקד'!A29,מגדל!A:K,9,0)+VLOOKUP('תפוקה מצטברת מול אשתקד'!A29,מנורה!A:K,9,0)+VLOOKUP('תפוקה מצטברת מול אשתקד'!A29,איילון!A:K,9,0)+VLOOKUP('תפוקה מצטברת מול אשתקד'!A29,הראל!A:K,9,0)+VLOOKUP('תפוקה מצטברת מול אשתקד'!A29,הפניקס!A:K,9,0)+VLOOKUP('תפוקה מצטברת מול אשתקד'!A29,כלל!A:K,9,0)+VLOOKUP('תפוקה מצטברת מול אשתקד'!A29,מור!A:K,9,0)+VLOOKUP('תפוקה מצטברת מול אשתקד'!A29,'אלטשולר שחם'!A:K,9,0)+VLOOKUP('תפוקה מצטברת מול אשתקד'!A29,'מדיהו '!A:K,9,0)+VLOOKUP('תפוקה מצטברת מול אשתקד'!A29,'אנליסט '!A:K,9,0)+VLOOKUP('תפוקה מצטברת מול אשתקד'!A29,'מיטב דש'!A:K,9,0)+VLOOKUP('תפוקה מצטברת מול אשתקד'!A29,אינפניטי!A:K,9,0)</f>
        <v>36627.261431305604</v>
      </c>
      <c r="N29" s="12">
        <f>VLOOKUP(A29,הכשרה!A:K,10,0)+VLOOKUP('תפוקה מצטברת מול אשתקד'!A29,מגדל!A:K,10,0)+VLOOKUP('תפוקה מצטברת מול אשתקד'!A29,מנורה!A:K,10,0)+VLOOKUP('תפוקה מצטברת מול אשתקד'!A29,איילון!A:K,10,0)+VLOOKUP('תפוקה מצטברת מול אשתקד'!A29,הראל!A:K,10,0)+VLOOKUP('תפוקה מצטברת מול אשתקד'!A29,הפניקס!A:K,10,0)+VLOOKUP('תפוקה מצטברת מול אשתקד'!A29,כלל!A:K,10,0)+VLOOKUP('תפוקה מצטברת מול אשתקד'!A29,מור!A:K,10,0)+VLOOKUP('תפוקה מצטברת מול אשתקד'!A29,'אלטשולר שחם'!A:K,10,0)+VLOOKUP('תפוקה מצטברת מול אשתקד'!A29,'מדיהו '!A:K,10,0)+VLOOKUP('תפוקה מצטברת מול אשתקד'!A29,'אנליסט '!A:K,10,0)+VLOOKUP('תפוקה מצטברת מול אשתקד'!A29,'מיטב דש'!A:K,10,0)+VLOOKUP('תפוקה מצטברת מול אשתקד'!A29,אינפניטי!A:K,10,0)</f>
        <v>1574610.75624</v>
      </c>
      <c r="O29" s="12">
        <f>VLOOKUP(A29,הכשרה!A:K,11,0)+VLOOKUP('תפוקה מצטברת מול אשתקד'!A29,מגדל!A:K,11,0)+VLOOKUP('תפוקה מצטברת מול אשתקד'!A29,מנורה!A:K,11,0)+VLOOKUP('תפוקה מצטברת מול אשתקד'!A29,איילון!A:K,11,0)+VLOOKUP('תפוקה מצטברת מול אשתקד'!A29,הראל!A:K,11,0)+VLOOKUP('תפוקה מצטברת מול אשתקד'!A29,הפניקס!A:K,11,0)+VLOOKUP('תפוקה מצטברת מול אשתקד'!A29,כלל!A:K,11,0)+VLOOKUP('תפוקה מצטברת מול אשתקד'!A29,מור!A:K,11,0)+VLOOKUP('תפוקה מצטברת מול אשתקד'!A29,'אלטשולר שחם'!A:K,11,0)+VLOOKUP('תפוקה מצטברת מול אשתקד'!A29,'מדיהו '!A:K,11,0)+VLOOKUP('תפוקה מצטברת מול אשתקד'!A29,'אנליסט '!A:K,11,0)+VLOOKUP('תפוקה מצטברת מול אשתקד'!A29,'מיטב דש'!A:K,11,0)+VLOOKUP('תפוקה מצטברת מול אשתקד'!A29,אינפניטי!A:K,11,0)</f>
        <v>418280.79116000008</v>
      </c>
    </row>
    <row r="30" spans="1:18" ht="15.75" customHeight="1" x14ac:dyDescent="0.2">
      <c r="A30" s="26" t="s">
        <v>21</v>
      </c>
      <c r="B30" s="26" t="s">
        <v>56</v>
      </c>
      <c r="C30" s="27" t="s">
        <v>107</v>
      </c>
      <c r="D30" s="19">
        <f t="shared" si="0"/>
        <v>-0.77041600666098042</v>
      </c>
      <c r="E30" s="19">
        <f t="shared" si="0"/>
        <v>0.22278481012658213</v>
      </c>
      <c r="F30" s="19">
        <f t="shared" si="0"/>
        <v>0</v>
      </c>
      <c r="G30" s="19">
        <f t="shared" si="4"/>
        <v>0</v>
      </c>
      <c r="H30" s="58">
        <f>VLOOKUP(A30,הכשרה!A:G,4,0)+VLOOKUP('תפוקה מצטברת מול אשתקד'!A30,מגדל!A:G,4,0)+VLOOKUP('תפוקה מצטברת מול אשתקד'!A30,מנורה!A:G,4,0)+VLOOKUP('תפוקה מצטברת מול אשתקד'!A30,איילון!A:G,4,0)+VLOOKUP('תפוקה מצטברת מול אשתקד'!A30,הראל!A:G,4,0)+VLOOKUP('תפוקה מצטברת מול אשתקד'!A30,הפניקס!A:G,4,0)+VLOOKUP('תפוקה מצטברת מול אשתקד'!A30,כלל!A:G,4,0)+VLOOKUP('תפוקה מצטברת מול אשתקד'!A30,מור!A:G,4,0)+VLOOKUP('תפוקה מצטברת מול אשתקד'!A30,'אלטשולר שחם'!A:G,4,0)+VLOOKUP('תפוקה מצטברת מול אשתקד'!A30,'מדיהו '!A:G,4,0)+VLOOKUP('תפוקה מצטברת מול אשתקד'!A30,'אנליסט '!A:G,4,0)+VLOOKUP('תפוקה מצטברת מול אשתקד'!A30,'מיטב דש'!A:G,4,0)+VLOOKUP('תפוקה מצטברת מול אשתקד'!A30,אינפניטי!A:G,4,0)</f>
        <v>4522.07</v>
      </c>
      <c r="I30" s="58">
        <f>VLOOKUP(A30,הכשרה!A:G,5,0)+VLOOKUP('תפוקה מצטברת מול אשתקד'!A30,מגדל!A:G,5,0)+VLOOKUP('תפוקה מצטברת מול אשתקד'!A30,מנורה!A:G,5,0)+VLOOKUP('תפוקה מצטברת מול אשתקד'!A30,איילון!A:G,5,0)+VLOOKUP('תפוקה מצטברת מול אשתקד'!A30,הראל!A:G,5,0)+VLOOKUP('תפוקה מצטברת מול אשתקד'!A30,הפניקס!A:G,5,0)+VLOOKUP('תפוקה מצטברת מול אשתקד'!A30,כלל!A:G,5,0)+VLOOKUP('תפוקה מצטברת מול אשתקד'!A30,מור!A:G,5,0)+VLOOKUP('תפוקה מצטברת מול אשתקד'!A30,'אלטשולר שחם'!A:G,5,0)+VLOOKUP('תפוקה מצטברת מול אשתקד'!A30,'מדיהו '!A:G,5,0)+VLOOKUP('תפוקה מצטברת מול אשתקד'!A30,'אנליסט '!A:G,5,0)+VLOOKUP('תפוקה מצטברת מול אשתקד'!A30,'מיטב דש'!A:G,5,0)+VLOOKUP('תפוקה מצטברת מול אשתקד'!A30,אינפניטי!A:G,5,0)</f>
        <v>9.66</v>
      </c>
      <c r="J30" s="58">
        <f>VLOOKUP(A30,הכשרה!A:G,6,0)+VLOOKUP('תפוקה מצטברת מול אשתקד'!A30,מגדל!A:G,6,0)+VLOOKUP('תפוקה מצטברת מול אשתקד'!A30,מנורה!A:G,6,0)+VLOOKUP('תפוקה מצטברת מול אשתקד'!A30,איילון!A:G,6,0)+VLOOKUP(A30,הראל!A:G,6,0)+VLOOKUP('תפוקה מצטברת מול אשתקד'!A30,הפניקס!A:G,6,0)+VLOOKUP('תפוקה מצטברת מול אשתקד'!A30,כלל!A:G,6,0)+VLOOKUP('תפוקה מצטברת מול אשתקד'!A30,מור!A:G,6,0)+VLOOKUP('תפוקה מצטברת מול אשתקד'!A30,'אלטשולר שחם'!A:G,6,0)+VLOOKUP('תפוקה מצטברת מול אשתקד'!A30,'מדיהו '!A:G,6,0)+VLOOKUP('תפוקה מצטברת מול אשתקד'!A30,'אנליסט '!A:G,6,0)+VLOOKUP('תפוקה מצטברת מול אשתקד'!A30,'מיטב דש'!A:G,6,0)+VLOOKUP('תפוקה מצטברת מול אשתקד'!A30,אינפניטי!A:G,6,0)</f>
        <v>0</v>
      </c>
      <c r="K30" s="58">
        <f>VLOOKUP(A30,הכשרה!A:G,7,0)+VLOOKUP('תפוקה מצטברת מול אשתקד'!A30,מגדל!A:G,7,0)+VLOOKUP('תפוקה מצטברת מול אשתקד'!A30,מנורה!A:G,7,0)+VLOOKUP('תפוקה מצטברת מול אשתקד'!A30,איילון!A:G,7,0)+VLOOKUP('תפוקה מצטברת מול אשתקד'!A30,הראל!A:G,7,0)+VLOOKUP('תפוקה מצטברת מול אשתקד'!A30,הפניקס!A:G,7,0)+VLOOKUP('תפוקה מצטברת מול אשתקד'!A30,כלל!A:G,7,0)+VLOOKUP('תפוקה מצטברת מול אשתקד'!A30,מור!A:G,7,0)+VLOOKUP('תפוקה מצטברת מול אשתקד'!A30,'אלטשולר שחם'!A:G,7,0)+VLOOKUP('תפוקה מצטברת מול אשתקד'!A30,'מדיהו '!A:K,7,0)+VLOOKUP(A30,'אנליסט '!A:G,7,0)+VLOOKUP('תפוקה מצטברת מול אשתקד'!A30,'מיטב דש'!A:G,7,0)+VLOOKUP('תפוקה מצטברת מול אשתקד'!A30,אינפניטי!A:G,7,0)</f>
        <v>0</v>
      </c>
      <c r="L30" s="12">
        <f>VLOOKUP(A30,הכשרה!A:K,8,0)+VLOOKUP('תפוקה מצטברת מול אשתקד'!A30,מגדל!A:K,8,0)+VLOOKUP('תפוקה מצטברת מול אשתקד'!A30,מנורה!A:K,8,0)+VLOOKUP('תפוקה מצטברת מול אשתקד'!A30,איילון!A:K,8,0)+VLOOKUP('תפוקה מצטברת מול אשתקד'!A30,הראל!A:K,8,0)+VLOOKUP('תפוקה מצטברת מול אשתקד'!A30,הפניקס!A:K,8,0)+VLOOKUP('תפוקה מצטברת מול אשתקד'!A30,כלל!A:K,8,0)+VLOOKUP('תפוקה מצטברת מול אשתקד'!A30,מור!A:K,8,0)+VLOOKUP('תפוקה מצטברת מול אשתקד'!A30,'אלטשולר שחם'!A:K,8,0)+VLOOKUP('תפוקה מצטברת מול אשתקד'!A30,'מדיהו '!A:K,8,0)+VLOOKUP('תפוקה מצטברת מול אשתקד'!A30,'אנליסט '!A:K,8,0)+VLOOKUP('תפוקה מצטברת מול אשתקד'!A30,'מיטב דש'!A:K,8,0)+VLOOKUP('תפוקה מצטברת מול אשתקד'!A30,אינפניטי!A:K,8,0)</f>
        <v>19696.8</v>
      </c>
      <c r="M30" s="12">
        <f>VLOOKUP(A30,הכשרה!A:K,9,0)+VLOOKUP('תפוקה מצטברת מול אשתקד'!A30,מגדל!A:K,9,0)+VLOOKUP('תפוקה מצטברת מול אשתקד'!A30,מנורה!A:K,9,0)+VLOOKUP('תפוקה מצטברת מול אשתקד'!A30,איילון!A:K,9,0)+VLOOKUP('תפוקה מצטברת מול אשתקד'!A30,הראל!A:K,9,0)+VLOOKUP('תפוקה מצטברת מול אשתקד'!A30,הפניקס!A:K,9,0)+VLOOKUP('תפוקה מצטברת מול אשתקד'!A30,כלל!A:K,9,0)+VLOOKUP('תפוקה מצטברת מול אשתקד'!A30,מור!A:K,9,0)+VLOOKUP('תפוקה מצטברת מול אשתקד'!A30,'אלטשולר שחם'!A:K,9,0)+VLOOKUP('תפוקה מצטברת מול אשתקד'!A30,'מדיהו '!A:K,9,0)+VLOOKUP('תפוקה מצטברת מול אשתקד'!A30,'אנליסט '!A:K,9,0)+VLOOKUP('תפוקה מצטברת מול אשתקד'!A30,'מיטב דש'!A:K,9,0)+VLOOKUP('תפוקה מצטברת מול אשתקד'!A30,אינפניטי!A:K,9,0)</f>
        <v>7.9</v>
      </c>
      <c r="N30" s="12">
        <f>VLOOKUP(A30,הכשרה!A:K,10,0)+VLOOKUP('תפוקה מצטברת מול אשתקד'!A30,מגדל!A:K,10,0)+VLOOKUP('תפוקה מצטברת מול אשתקד'!A30,מנורה!A:K,10,0)+VLOOKUP('תפוקה מצטברת מול אשתקד'!A30,איילון!A:K,10,0)+VLOOKUP('תפוקה מצטברת מול אשתקד'!A30,הראל!A:K,10,0)+VLOOKUP('תפוקה מצטברת מול אשתקד'!A30,הפניקס!A:K,10,0)+VLOOKUP('תפוקה מצטברת מול אשתקד'!A30,כלל!A:K,10,0)+VLOOKUP('תפוקה מצטברת מול אשתקד'!A30,מור!A:K,10,0)+VLOOKUP('תפוקה מצטברת מול אשתקד'!A30,'אלטשולר שחם'!A:K,10,0)+VLOOKUP('תפוקה מצטברת מול אשתקד'!A30,'מדיהו '!A:K,10,0)+VLOOKUP('תפוקה מצטברת מול אשתקד'!A30,'אנליסט '!A:K,10,0)+VLOOKUP('תפוקה מצטברת מול אשתקד'!A30,'מיטב דש'!A:K,10,0)+VLOOKUP('תפוקה מצטברת מול אשתקד'!A30,אינפניטי!A:K,10,0)</f>
        <v>0</v>
      </c>
      <c r="O30" s="12">
        <f>VLOOKUP(A30,הכשרה!A:K,11,0)+VLOOKUP('תפוקה מצטברת מול אשתקד'!A30,מגדל!A:K,11,0)+VLOOKUP('תפוקה מצטברת מול אשתקד'!A30,מנורה!A:K,11,0)+VLOOKUP('תפוקה מצטברת מול אשתקד'!A30,איילון!A:K,11,0)+VLOOKUP('תפוקה מצטברת מול אשתקד'!A30,הראל!A:K,11,0)+VLOOKUP('תפוקה מצטברת מול אשתקד'!A30,הפניקס!A:K,11,0)+VLOOKUP('תפוקה מצטברת מול אשתקד'!A30,כלל!A:K,11,0)+VLOOKUP('תפוקה מצטברת מול אשתקד'!A30,מור!A:K,11,0)+VLOOKUP('תפוקה מצטברת מול אשתקד'!A30,'אלטשולר שחם'!A:K,11,0)+VLOOKUP('תפוקה מצטברת מול אשתקד'!A30,'מדיהו '!A:K,11,0)+VLOOKUP('תפוקה מצטברת מול אשתקד'!A30,'אנליסט '!A:K,11,0)+VLOOKUP('תפוקה מצטברת מול אשתקד'!A30,'מיטב דש'!A:K,11,0)+VLOOKUP('תפוקה מצטברת מול אשתקד'!A30,אינפניטי!A:K,11,0)</f>
        <v>213955.23</v>
      </c>
    </row>
    <row r="31" spans="1:18" ht="15.75" customHeight="1" x14ac:dyDescent="0.2">
      <c r="A31" s="26" t="s">
        <v>22</v>
      </c>
      <c r="B31" s="26" t="s">
        <v>56</v>
      </c>
      <c r="C31" s="27" t="s">
        <v>107</v>
      </c>
      <c r="D31" s="19">
        <f t="shared" si="0"/>
        <v>-0.96206738517536117</v>
      </c>
      <c r="E31" s="19">
        <f t="shared" si="0"/>
        <v>0</v>
      </c>
      <c r="F31" s="19">
        <f t="shared" si="0"/>
        <v>-0.65566846739232598</v>
      </c>
      <c r="G31" s="19">
        <f t="shared" si="4"/>
        <v>0</v>
      </c>
      <c r="H31" s="58">
        <f>VLOOKUP(A31,הכשרה!A:G,4,0)+VLOOKUP('תפוקה מצטברת מול אשתקד'!A31,מגדל!A:G,4,0)+VLOOKUP('תפוקה מצטברת מול אשתקד'!A31,מנורה!A:G,4,0)+VLOOKUP('תפוקה מצטברת מול אשתקד'!A31,איילון!A:G,4,0)+VLOOKUP('תפוקה מצטברת מול אשתקד'!A31,הראל!A:G,4,0)+VLOOKUP('תפוקה מצטברת מול אשתקד'!A31,הפניקס!A:G,4,0)+VLOOKUP('תפוקה מצטברת מול אשתקד'!A31,כלל!A:G,4,0)+VLOOKUP('תפוקה מצטברת מול אשתקד'!A31,מור!A:G,4,0)+VLOOKUP('תפוקה מצטברת מול אשתקד'!A31,'אלטשולר שחם'!A:G,4,0)+VLOOKUP('תפוקה מצטברת מול אשתקד'!A31,'מדיהו '!A:G,4,0)+VLOOKUP('תפוקה מצטברת מול אשתקד'!A31,'אנליסט '!A:G,4,0)+VLOOKUP('תפוקה מצטברת מול אשתקד'!A31,'מיטב דש'!A:G,4,0)+VLOOKUP('תפוקה מצטברת מול אשתקד'!A31,אינפניטי!A:G,4,0)</f>
        <v>1430.7864342713151</v>
      </c>
      <c r="I31" s="58">
        <f>VLOOKUP(A31,הכשרה!A:G,5,0)+VLOOKUP('תפוקה מצטברת מול אשתקד'!A31,מגדל!A:G,5,0)+VLOOKUP('תפוקה מצטברת מול אשתקד'!A31,מנורה!A:G,5,0)+VLOOKUP('תפוקה מצטברת מול אשתקד'!A31,איילון!A:G,5,0)+VLOOKUP('תפוקה מצטברת מול אשתקד'!A31,הראל!A:G,5,0)+VLOOKUP('תפוקה מצטברת מול אשתקד'!A31,הפניקס!A:G,5,0)+VLOOKUP('תפוקה מצטברת מול אשתקד'!A31,כלל!A:G,5,0)+VLOOKUP('תפוקה מצטברת מול אשתקד'!A31,מור!A:G,5,0)+VLOOKUP('תפוקה מצטברת מול אשתקד'!A31,'אלטשולר שחם'!A:G,5,0)+VLOOKUP('תפוקה מצטברת מול אשתקד'!A31,'מדיהו '!A:G,5,0)+VLOOKUP('תפוקה מצטברת מול אשתקד'!A31,'אנליסט '!A:G,5,0)+VLOOKUP('תפוקה מצטברת מול אשתקד'!A31,'מיטב דש'!A:G,5,0)+VLOOKUP('תפוקה מצטברת מול אשתקד'!A31,אינפניטי!A:G,5,0)</f>
        <v>0</v>
      </c>
      <c r="J31" s="58">
        <f>VLOOKUP(A31,הכשרה!A:G,6,0)+VLOOKUP('תפוקה מצטברת מול אשתקד'!A31,מגדל!A:G,6,0)+VLOOKUP('תפוקה מצטברת מול אשתקד'!A31,מנורה!A:G,6,0)+VLOOKUP('תפוקה מצטברת מול אשתקד'!A31,איילון!A:G,6,0)+VLOOKUP(A31,הראל!A:G,6,0)+VLOOKUP('תפוקה מצטברת מול אשתקד'!A31,הפניקס!A:G,6,0)+VLOOKUP('תפוקה מצטברת מול אשתקד'!A31,כלל!A:G,6,0)+VLOOKUP('תפוקה מצטברת מול אשתקד'!A31,מור!A:G,6,0)+VLOOKUP('תפוקה מצטברת מול אשתקד'!A31,'אלטשולר שחם'!A:G,6,0)+VLOOKUP('תפוקה מצטברת מול אשתקד'!A31,'מדיהו '!A:G,6,0)+VLOOKUP('תפוקה מצטברת מול אשתקד'!A31,'אנליסט '!A:G,6,0)+VLOOKUP('תפוקה מצטברת מול אשתקד'!A31,'מיטב דש'!A:G,6,0)+VLOOKUP('תפוקה מצטברת מול אשתקד'!A31,אינפניטי!A:G,6,0)</f>
        <v>14899.64635435012</v>
      </c>
      <c r="K31" s="58">
        <f>VLOOKUP(A31,הכשרה!A:G,7,0)+VLOOKUP('תפוקה מצטברת מול אשתקד'!A31,מגדל!A:G,7,0)+VLOOKUP('תפוקה מצטברת מול אשתקד'!A31,מנורה!A:G,7,0)+VLOOKUP('תפוקה מצטברת מול אשתקד'!A31,איילון!A:G,7,0)+VLOOKUP('תפוקה מצטברת מול אשתקד'!A31,הראל!A:G,7,0)+VLOOKUP('תפוקה מצטברת מול אשתקד'!A31,הפניקס!A:G,7,0)+VLOOKUP('תפוקה מצטברת מול אשתקד'!A31,כלל!A:G,7,0)+VLOOKUP('תפוקה מצטברת מול אשתקד'!A31,מור!A:G,7,0)+VLOOKUP('תפוקה מצטברת מול אשתקד'!A31,'אלטשולר שחם'!A:G,7,0)+VLOOKUP('תפוקה מצטברת מול אשתקד'!A31,'מדיהו '!A:K,7,0)+VLOOKUP(A31,'אנליסט '!A:G,7,0)+VLOOKUP('תפוקה מצטברת מול אשתקד'!A31,'מיטב דש'!A:G,7,0)+VLOOKUP('תפוקה מצטברת מול אשתקד'!A31,אינפניטי!A:G,7,0)</f>
        <v>0</v>
      </c>
      <c r="L31" s="12">
        <f>VLOOKUP(A31,הכשרה!A:K,8,0)+VLOOKUP('תפוקה מצטברת מול אשתקד'!A31,מגדל!A:K,8,0)+VLOOKUP('תפוקה מצטברת מול אשתקד'!A31,מנורה!A:K,8,0)+VLOOKUP('תפוקה מצטברת מול אשתקד'!A31,איילון!A:K,8,0)+VLOOKUP('תפוקה מצטברת מול אשתקד'!A31,הראל!A:K,8,0)+VLOOKUP('תפוקה מצטברת מול אשתקד'!A31,הפניקס!A:K,8,0)+VLOOKUP('תפוקה מצטברת מול אשתקד'!A31,כלל!A:K,8,0)+VLOOKUP('תפוקה מצטברת מול אשתקד'!A31,מור!A:K,8,0)+VLOOKUP('תפוקה מצטברת מול אשתקד'!A31,'אלטשולר שחם'!A:K,8,0)+VLOOKUP('תפוקה מצטברת מול אשתקד'!A31,'מדיהו '!A:K,8,0)+VLOOKUP('תפוקה מצטברת מול אשתקד'!A31,'אנליסט '!A:K,8,0)+VLOOKUP('תפוקה מצטברת מול אשתקד'!A31,'מיטב דש'!A:K,8,0)+VLOOKUP('תפוקה מצטברת מול אשתקד'!A31,אינפניטי!A:K,8,0)</f>
        <v>37719.161752644541</v>
      </c>
      <c r="M31" s="12">
        <f>VLOOKUP(A31,הכשרה!A:K,9,0)+VLOOKUP('תפוקה מצטברת מול אשתקד'!A31,מגדל!A:K,9,0)+VLOOKUP('תפוקה מצטברת מול אשתקד'!A31,מנורה!A:K,9,0)+VLOOKUP('תפוקה מצטברת מול אשתקד'!A31,איילון!A:K,9,0)+VLOOKUP('תפוקה מצטברת מול אשתקד'!A31,הראל!A:K,9,0)+VLOOKUP('תפוקה מצטברת מול אשתקד'!A31,הפניקס!A:K,9,0)+VLOOKUP('תפוקה מצטברת מול אשתקד'!A31,כלל!A:K,9,0)+VLOOKUP('תפוקה מצטברת מול אשתקד'!A31,מור!A:K,9,0)+VLOOKUP('תפוקה מצטברת מול אשתקד'!A31,'אלטשולר שחם'!A:K,9,0)+VLOOKUP('תפוקה מצטברת מול אשתקד'!A31,'מדיהו '!A:K,9,0)+VLOOKUP('תפוקה מצטברת מול אשתקד'!A31,'אנליסט '!A:K,9,0)+VLOOKUP('תפוקה מצטברת מול אשתקד'!A31,'מיטב דש'!A:K,9,0)+VLOOKUP('תפוקה מצטברת מול אשתקד'!A31,אינפניטי!A:K,9,0)</f>
        <v>3052.74</v>
      </c>
      <c r="N31" s="12">
        <f>VLOOKUP(A31,הכשרה!A:K,10,0)+VLOOKUP('תפוקה מצטברת מול אשתקד'!A31,מגדל!A:K,10,0)+VLOOKUP('תפוקה מצטברת מול אשתקד'!A31,מנורה!A:K,10,0)+VLOOKUP('תפוקה מצטברת מול אשתקד'!A31,איילון!A:K,10,0)+VLOOKUP('תפוקה מצטברת מול אשתקד'!A31,הראל!A:K,10,0)+VLOOKUP('תפוקה מצטברת מול אשתקד'!A31,הפניקס!A:K,10,0)+VLOOKUP('תפוקה מצטברת מול אשתקד'!A31,כלל!A:K,10,0)+VLOOKUP('תפוקה מצטברת מול אשתקד'!A31,מור!A:K,10,0)+VLOOKUP('תפוקה מצטברת מול אשתקד'!A31,'אלטשולר שחם'!A:K,10,0)+VLOOKUP('תפוקה מצטברת מול אשתקד'!A31,'מדיהו '!A:K,10,0)+VLOOKUP('תפוקה מצטברת מול אשתקד'!A31,'אנליסט '!A:K,10,0)+VLOOKUP('תפוקה מצטברת מול אשתקד'!A31,'מיטב דש'!A:K,10,0)+VLOOKUP('תפוקה מצטברת מול אשתקד'!A31,אינפניטי!A:K,10,0)</f>
        <v>43271.222480011857</v>
      </c>
      <c r="O31" s="12">
        <f>VLOOKUP(A31,הכשרה!A:K,11,0)+VLOOKUP('תפוקה מצטברת מול אשתקד'!A31,מגדל!A:K,11,0)+VLOOKUP('תפוקה מצטברת מול אשתקד'!A31,מנורה!A:K,11,0)+VLOOKUP('תפוקה מצטברת מול אשתקד'!A31,איילון!A:K,11,0)+VLOOKUP('תפוקה מצטברת מול אשתקד'!A31,הראל!A:K,11,0)+VLOOKUP('תפוקה מצטברת מול אשתקד'!A31,הפניקס!A:K,11,0)+VLOOKUP('תפוקה מצטברת מול אשתקד'!A31,כלל!A:K,11,0)+VLOOKUP('תפוקה מצטברת מול אשתקד'!A31,מור!A:K,11,0)+VLOOKUP('תפוקה מצטברת מול אשתקד'!A31,'אלטשולר שחם'!A:K,11,0)+VLOOKUP('תפוקה מצטברת מול אשתקד'!A31,'מדיהו '!A:K,11,0)+VLOOKUP('תפוקה מצטברת מול אשתקד'!A31,'אנליסט '!A:K,11,0)+VLOOKUP('תפוקה מצטברת מול אשתקד'!A31,'מיטב דש'!A:K,11,0)+VLOOKUP('תפוקה מצטברת מול אשתקד'!A31,אינפניטי!A:K,11,0)</f>
        <v>0</v>
      </c>
      <c r="P31" s="10"/>
      <c r="Q31" s="106"/>
    </row>
    <row r="32" spans="1:18" ht="15.75" customHeight="1" x14ac:dyDescent="0.2">
      <c r="A32" s="26" t="s">
        <v>23</v>
      </c>
      <c r="B32" s="26" t="s">
        <v>56</v>
      </c>
      <c r="C32" s="27" t="s">
        <v>107</v>
      </c>
      <c r="D32" s="19">
        <f t="shared" si="0"/>
        <v>0</v>
      </c>
      <c r="E32" s="19">
        <f t="shared" si="0"/>
        <v>0</v>
      </c>
      <c r="F32" s="19">
        <f t="shared" si="0"/>
        <v>0</v>
      </c>
      <c r="G32" s="19">
        <f t="shared" si="4"/>
        <v>0</v>
      </c>
      <c r="H32" s="58">
        <f>VLOOKUP(A32,הכשרה!A:G,4,0)+VLOOKUP('תפוקה מצטברת מול אשתקד'!A32,מגדל!A:G,4,0)+VLOOKUP('תפוקה מצטברת מול אשתקד'!A32,מנורה!A:G,4,0)+VLOOKUP('תפוקה מצטברת מול אשתקד'!A32,איילון!A:G,4,0)+VLOOKUP('תפוקה מצטברת מול אשתקד'!A32,הראל!A:G,4,0)+VLOOKUP('תפוקה מצטברת מול אשתקד'!A32,הפניקס!A:G,4,0)+VLOOKUP('תפוקה מצטברת מול אשתקד'!A32,כלל!A:G,4,0)+VLOOKUP('תפוקה מצטברת מול אשתקד'!A32,מור!A:G,4,0)+VLOOKUP('תפוקה מצטברת מול אשתקד'!A32,'אלטשולר שחם'!A:G,4,0)+VLOOKUP('תפוקה מצטברת מול אשתקד'!A32,'מדיהו '!A:G,4,0)+VLOOKUP('תפוקה מצטברת מול אשתקד'!A32,'אנליסט '!A:G,4,0)+VLOOKUP('תפוקה מצטברת מול אשתקד'!A32,'מיטב דש'!A:G,4,0)+VLOOKUP('תפוקה מצטברת מול אשתקד'!A32,אינפניטי!A:G,4,0)</f>
        <v>0</v>
      </c>
      <c r="I32" s="58">
        <f>VLOOKUP(A32,הכשרה!A:G,5,0)+VLOOKUP('תפוקה מצטברת מול אשתקד'!A32,מגדל!A:G,5,0)+VLOOKUP('תפוקה מצטברת מול אשתקד'!A32,מנורה!A:G,5,0)+VLOOKUP('תפוקה מצטברת מול אשתקד'!A32,איילון!A:G,5,0)+VLOOKUP('תפוקה מצטברת מול אשתקד'!A32,הראל!A:G,5,0)+VLOOKUP('תפוקה מצטברת מול אשתקד'!A32,הפניקס!A:G,5,0)+VLOOKUP('תפוקה מצטברת מול אשתקד'!A32,כלל!A:G,5,0)+VLOOKUP('תפוקה מצטברת מול אשתקד'!A32,מור!A:G,5,0)+VLOOKUP('תפוקה מצטברת מול אשתקד'!A32,'אלטשולר שחם'!A:G,5,0)+VLOOKUP('תפוקה מצטברת מול אשתקד'!A32,'מדיהו '!A:G,5,0)+VLOOKUP('תפוקה מצטברת מול אשתקד'!A32,'אנליסט '!A:G,5,0)+VLOOKUP('תפוקה מצטברת מול אשתקד'!A32,'מיטב דש'!A:G,5,0)+VLOOKUP('תפוקה מצטברת מול אשתקד'!A32,אינפניטי!A:G,5,0)</f>
        <v>0</v>
      </c>
      <c r="J32" s="58">
        <f>VLOOKUP(A32,הכשרה!A:G,6,0)+VLOOKUP('תפוקה מצטברת מול אשתקד'!A32,מגדל!A:G,6,0)+VLOOKUP('תפוקה מצטברת מול אשתקד'!A32,מנורה!A:G,6,0)+VLOOKUP('תפוקה מצטברת מול אשתקד'!A32,איילון!A:G,6,0)+VLOOKUP(A32,הראל!A:G,6,0)+VLOOKUP('תפוקה מצטברת מול אשתקד'!A32,הפניקס!A:G,6,0)+VLOOKUP('תפוקה מצטברת מול אשתקד'!A32,כלל!A:G,6,0)+VLOOKUP('תפוקה מצטברת מול אשתקד'!A32,מור!A:G,6,0)+VLOOKUP('תפוקה מצטברת מול אשתקד'!A32,'אלטשולר שחם'!A:G,6,0)+VLOOKUP('תפוקה מצטברת מול אשתקד'!A32,'מדיהו '!A:G,6,0)+VLOOKUP('תפוקה מצטברת מול אשתקד'!A32,'אנליסט '!A:G,6,0)+VLOOKUP('תפוקה מצטברת מול אשתקד'!A32,'מיטב דש'!A:G,6,0)+VLOOKUP('תפוקה מצטברת מול אשתקד'!A32,אינפניטי!A:G,6,0)</f>
        <v>0</v>
      </c>
      <c r="K32" s="58">
        <f>VLOOKUP(A32,הכשרה!A:G,7,0)+VLOOKUP('תפוקה מצטברת מול אשתקד'!A32,מגדל!A:G,7,0)+VLOOKUP('תפוקה מצטברת מול אשתקד'!A32,מנורה!A:G,7,0)+VLOOKUP('תפוקה מצטברת מול אשתקד'!A32,איילון!A:G,7,0)+VLOOKUP('תפוקה מצטברת מול אשתקד'!A32,הראל!A:G,7,0)+VLOOKUP('תפוקה מצטברת מול אשתקד'!A32,הפניקס!A:G,7,0)+VLOOKUP('תפוקה מצטברת מול אשתקד'!A32,כלל!A:G,7,0)+VLOOKUP('תפוקה מצטברת מול אשתקד'!A32,מור!A:G,7,0)+VLOOKUP('תפוקה מצטברת מול אשתקד'!A32,'אלטשולר שחם'!A:G,7,0)+VLOOKUP('תפוקה מצטברת מול אשתקד'!A32,'מדיהו '!A:K,7,0)+VLOOKUP(A32,'אנליסט '!A:G,7,0)+VLOOKUP('תפוקה מצטברת מול אשתקד'!A32,'מיטב דש'!A:G,7,0)+VLOOKUP('תפוקה מצטברת מול אשתקד'!A32,אינפניטי!A:G,7,0)</f>
        <v>0</v>
      </c>
      <c r="L32" s="12">
        <f>VLOOKUP(A32,הכשרה!A:K,8,0)+VLOOKUP('תפוקה מצטברת מול אשתקד'!A32,מגדל!A:K,8,0)+VLOOKUP('תפוקה מצטברת מול אשתקד'!A32,מנורה!A:K,8,0)+VLOOKUP('תפוקה מצטברת מול אשתקד'!A32,איילון!A:K,8,0)+VLOOKUP('תפוקה מצטברת מול אשתקד'!A32,הראל!A:K,8,0)+VLOOKUP('תפוקה מצטברת מול אשתקד'!A32,הפניקס!A:K,8,0)+VLOOKUP('תפוקה מצטברת מול אשתקד'!A32,כלל!A:K,8,0)+VLOOKUP('תפוקה מצטברת מול אשתקד'!A32,מור!A:K,8,0)+VLOOKUP('תפוקה מצטברת מול אשתקד'!A32,'אלטשולר שחם'!A:K,8,0)+VLOOKUP('תפוקה מצטברת מול אשתקד'!A32,'מדיהו '!A:K,8,0)+VLOOKUP('תפוקה מצטברת מול אשתקד'!A32,'אנליסט '!A:K,8,0)+VLOOKUP('תפוקה מצטברת מול אשתקד'!A32,'מיטב דש'!A:K,8,0)+VLOOKUP('תפוקה מצטברת מול אשתקד'!A32,אינפניטי!A:K,8,0)</f>
        <v>0</v>
      </c>
      <c r="M32" s="12">
        <f>VLOOKUP(A32,הכשרה!A:K,9,0)+VLOOKUP('תפוקה מצטברת מול אשתקד'!A32,מגדל!A:K,9,0)+VLOOKUP('תפוקה מצטברת מול אשתקד'!A32,מנורה!A:K,9,0)+VLOOKUP('תפוקה מצטברת מול אשתקד'!A32,איילון!A:K,9,0)+VLOOKUP('תפוקה מצטברת מול אשתקד'!A32,הראל!A:K,9,0)+VLOOKUP('תפוקה מצטברת מול אשתקד'!A32,הפניקס!A:K,9,0)+VLOOKUP('תפוקה מצטברת מול אשתקד'!A32,כלל!A:K,9,0)+VLOOKUP('תפוקה מצטברת מול אשתקד'!A32,מור!A:K,9,0)+VLOOKUP('תפוקה מצטברת מול אשתקד'!A32,'אלטשולר שחם'!A:K,9,0)+VLOOKUP('תפוקה מצטברת מול אשתקד'!A32,'מדיהו '!A:K,9,0)+VLOOKUP('תפוקה מצטברת מול אשתקד'!A32,'אנליסט '!A:K,9,0)+VLOOKUP('תפוקה מצטברת מול אשתקד'!A32,'מיטב דש'!A:K,9,0)+VLOOKUP('תפוקה מצטברת מול אשתקד'!A32,אינפניטי!A:K,9,0)</f>
        <v>7.37</v>
      </c>
      <c r="N32" s="12">
        <f>VLOOKUP(A32,הכשרה!A:K,10,0)+VLOOKUP('תפוקה מצטברת מול אשתקד'!A32,מגדל!A:K,10,0)+VLOOKUP('תפוקה מצטברת מול אשתקד'!A32,מנורה!A:K,10,0)+VLOOKUP('תפוקה מצטברת מול אשתקד'!A32,איילון!A:K,10,0)+VLOOKUP('תפוקה מצטברת מול אשתקד'!A32,הראל!A:K,10,0)+VLOOKUP('תפוקה מצטברת מול אשתקד'!A32,הפניקס!A:K,10,0)+VLOOKUP('תפוקה מצטברת מול אשתקד'!A32,כלל!A:K,10,0)+VLOOKUP('תפוקה מצטברת מול אשתקד'!A32,מור!A:K,10,0)+VLOOKUP('תפוקה מצטברת מול אשתקד'!A32,'אלטשולר שחם'!A:K,10,0)+VLOOKUP('תפוקה מצטברת מול אשתקד'!A32,'מדיהו '!A:K,10,0)+VLOOKUP('תפוקה מצטברת מול אשתקד'!A32,'אנליסט '!A:K,10,0)+VLOOKUP('תפוקה מצטברת מול אשתקד'!A32,'מיטב דש'!A:K,10,0)+VLOOKUP('תפוקה מצטברת מול אשתקד'!A32,אינפניטי!A:K,10,0)</f>
        <v>0</v>
      </c>
      <c r="O32" s="12">
        <f>VLOOKUP(A32,הכשרה!A:K,11,0)+VLOOKUP('תפוקה מצטברת מול אשתקד'!A32,מגדל!A:K,11,0)+VLOOKUP('תפוקה מצטברת מול אשתקד'!A32,מנורה!A:K,11,0)+VLOOKUP('תפוקה מצטברת מול אשתקד'!A32,איילון!A:K,11,0)+VLOOKUP('תפוקה מצטברת מול אשתקד'!A32,הראל!A:K,11,0)+VLOOKUP('תפוקה מצטברת מול אשתקד'!A32,הפניקס!A:K,11,0)+VLOOKUP('תפוקה מצטברת מול אשתקד'!A32,כלל!A:K,11,0)+VLOOKUP('תפוקה מצטברת מול אשתקד'!A32,מור!A:K,11,0)+VLOOKUP('תפוקה מצטברת מול אשתקד'!A32,'אלטשולר שחם'!A:K,11,0)+VLOOKUP('תפוקה מצטברת מול אשתקד'!A32,'מדיהו '!A:K,11,0)+VLOOKUP('תפוקה מצטברת מול אשתקד'!A32,'אנליסט '!A:K,11,0)+VLOOKUP('תפוקה מצטברת מול אשתקד'!A32,'מיטב דש'!A:K,11,0)+VLOOKUP('תפוקה מצטברת מול אשתקד'!A32,אינפניטי!A:K,11,0)</f>
        <v>0</v>
      </c>
    </row>
    <row r="33" spans="1:15" ht="15.75" customHeight="1" x14ac:dyDescent="0.2">
      <c r="A33" s="26" t="s">
        <v>24</v>
      </c>
      <c r="B33" s="26" t="s">
        <v>56</v>
      </c>
      <c r="C33" s="27" t="s">
        <v>107</v>
      </c>
      <c r="D33" s="19">
        <f t="shared" si="0"/>
        <v>0</v>
      </c>
      <c r="E33" s="19">
        <f t="shared" si="0"/>
        <v>-14.297011495170912</v>
      </c>
      <c r="F33" s="19">
        <f t="shared" si="0"/>
        <v>0</v>
      </c>
      <c r="G33" s="19">
        <f t="shared" si="4"/>
        <v>0</v>
      </c>
      <c r="H33" s="58">
        <f>VLOOKUP(A33,הכשרה!A:G,4,0)+VLOOKUP('תפוקה מצטברת מול אשתקד'!A33,מגדל!A:G,4,0)+VLOOKUP('תפוקה מצטברת מול אשתקד'!A33,מנורה!A:G,4,0)+VLOOKUP('תפוקה מצטברת מול אשתקד'!A33,איילון!A:G,4,0)+VLOOKUP('תפוקה מצטברת מול אשתקד'!A33,הראל!A:G,4,0)+VLOOKUP('תפוקה מצטברת מול אשתקד'!A33,הפניקס!A:G,4,0)+VLOOKUP('תפוקה מצטברת מול אשתקד'!A33,כלל!A:G,4,0)+VLOOKUP('תפוקה מצטברת מול אשתקד'!A33,מור!A:G,4,0)+VLOOKUP('תפוקה מצטברת מול אשתקד'!A33,'אלטשולר שחם'!A:G,4,0)+VLOOKUP('תפוקה מצטברת מול אשתקד'!A33,'מדיהו '!A:G,4,0)+VLOOKUP('תפוקה מצטברת מול אשתקד'!A33,'אנליסט '!A:G,4,0)+VLOOKUP('תפוקה מצטברת מול אשתקד'!A33,'מיטב דש'!A:G,4,0)+VLOOKUP('תפוקה מצטברת מול אשתקד'!A33,אינפניטי!A:G,4,0)</f>
        <v>0</v>
      </c>
      <c r="I33" s="58">
        <f>VLOOKUP(A33,הכשרה!A:G,5,0)+VLOOKUP('תפוקה מצטברת מול אשתקד'!A33,מגדל!A:G,5,0)+VLOOKUP('תפוקה מצטברת מול אשתקד'!A33,מנורה!A:G,5,0)+VLOOKUP('תפוקה מצטברת מול אשתקד'!A33,איילון!A:G,5,0)+VLOOKUP('תפוקה מצטברת מול אשתקד'!A33,הראל!A:G,5,0)+VLOOKUP('תפוקה מצטברת מול אשתקד'!A33,הפניקס!A:G,5,0)+VLOOKUP('תפוקה מצטברת מול אשתקד'!A33,כלל!A:G,5,0)+VLOOKUP('תפוקה מצטברת מול אשתקד'!A33,מור!A:G,5,0)+VLOOKUP('תפוקה מצטברת מול אשתקד'!A33,'אלטשולר שחם'!A:G,5,0)+VLOOKUP('תפוקה מצטברת מול אשתקד'!A33,'מדיהו '!A:G,5,0)+VLOOKUP('תפוקה מצטברת מול אשתקד'!A33,'אנליסט '!A:G,5,0)+VLOOKUP('תפוקה מצטברת מול אשתקד'!A33,'מיטב דש'!A:G,5,0)+VLOOKUP('תפוקה מצטברת מול אשתקד'!A33,אינפניטי!A:G,5,0)</f>
        <v>6659.3960000000006</v>
      </c>
      <c r="J33" s="58">
        <f>VLOOKUP(A33,הכשרה!A:G,6,0)+VLOOKUP('תפוקה מצטברת מול אשתקד'!A33,מגדל!A:G,6,0)+VLOOKUP('תפוקה מצטברת מול אשתקד'!A33,מנורה!A:G,6,0)+VLOOKUP('תפוקה מצטברת מול אשתקד'!A33,איילון!A:G,6,0)+VLOOKUP(A33,הראל!A:G,6,0)+VLOOKUP('תפוקה מצטברת מול אשתקד'!A33,הפניקס!A:G,6,0)+VLOOKUP('תפוקה מצטברת מול אשתקד'!A33,כלל!A:G,6,0)+VLOOKUP('תפוקה מצטברת מול אשתקד'!A33,מור!A:G,6,0)+VLOOKUP('תפוקה מצטברת מול אשתקד'!A33,'אלטשולר שחם'!A:G,6,0)+VLOOKUP('תפוקה מצטברת מול אשתקד'!A33,'מדיהו '!A:G,6,0)+VLOOKUP('תפוקה מצטברת מול אשתקד'!A33,'אנליסט '!A:G,6,0)+VLOOKUP('תפוקה מצטברת מול אשתקד'!A33,'מיטב דש'!A:G,6,0)+VLOOKUP('תפוקה מצטברת מול אשתקד'!A33,אינפניטי!A:G,6,0)</f>
        <v>0</v>
      </c>
      <c r="K33" s="58">
        <f>VLOOKUP(A33,הכשרה!A:G,7,0)+VLOOKUP('תפוקה מצטברת מול אשתקד'!A33,מגדל!A:G,7,0)+VLOOKUP('תפוקה מצטברת מול אשתקד'!A33,מנורה!A:G,7,0)+VLOOKUP('תפוקה מצטברת מול אשתקד'!A33,איילון!A:G,7,0)+VLOOKUP('תפוקה מצטברת מול אשתקד'!A33,הראל!A:G,7,0)+VLOOKUP('תפוקה מצטברת מול אשתקד'!A33,הפניקס!A:G,7,0)+VLOOKUP('תפוקה מצטברת מול אשתקד'!A33,כלל!A:G,7,0)+VLOOKUP('תפוקה מצטברת מול אשתקד'!A33,מור!A:G,7,0)+VLOOKUP('תפוקה מצטברת מול אשתקד'!A33,'אלטשולר שחם'!A:G,7,0)+VLOOKUP('תפוקה מצטברת מול אשתקד'!A33,'מדיהו '!A:K,7,0)+VLOOKUP(A33,'אנליסט '!A:G,7,0)+VLOOKUP('תפוקה מצטברת מול אשתקד'!A33,'מיטב דש'!A:G,7,0)+VLOOKUP('תפוקה מצטברת מול אשתקד'!A33,אינפניטי!A:G,7,0)</f>
        <v>0</v>
      </c>
      <c r="L33" s="12">
        <f>VLOOKUP(A33,הכשרה!A:K,8,0)+VLOOKUP('תפוקה מצטברת מול אשתקד'!A33,מגדל!A:K,8,0)+VLOOKUP('תפוקה מצטברת מול אשתקד'!A33,מנורה!A:K,8,0)+VLOOKUP('תפוקה מצטברת מול אשתקד'!A33,איילון!A:K,8,0)+VLOOKUP('תפוקה מצטברת מול אשתקד'!A33,הראל!A:K,8,0)+VLOOKUP('תפוקה מצטברת מול אשתקד'!A33,הפניקס!A:K,8,0)+VLOOKUP('תפוקה מצטברת מול אשתקד'!A33,כלל!A:K,8,0)+VLOOKUP('תפוקה מצטברת מול אשתקד'!A33,מור!A:K,8,0)+VLOOKUP('תפוקה מצטברת מול אשתקד'!A33,'אלטשולר שחם'!A:K,8,0)+VLOOKUP('תפוקה מצטברת מול אשתקד'!A33,'מדיהו '!A:K,8,0)+VLOOKUP('תפוקה מצטברת מול אשתקד'!A33,'אנליסט '!A:K,8,0)+VLOOKUP('תפוקה מצטברת מול אשתקד'!A33,'מיטב דש'!A:K,8,0)+VLOOKUP('תפוקה מצטברת מול אשתקד'!A33,אינפניטי!A:K,8,0)</f>
        <v>0</v>
      </c>
      <c r="M33" s="12">
        <f>VLOOKUP(A33,הכשרה!A:K,9,0)+VLOOKUP('תפוקה מצטברת מול אשתקד'!A33,מגדל!A:K,9,0)+VLOOKUP('תפוקה מצטברת מול אשתקד'!A33,מנורה!A:K,9,0)+VLOOKUP('תפוקה מצטברת מול אשתקד'!A33,איילון!A:K,9,0)+VLOOKUP('תפוקה מצטברת מול אשתקד'!A33,הראל!A:K,9,0)+VLOOKUP('תפוקה מצטברת מול אשתקד'!A33,הפניקס!A:K,9,0)+VLOOKUP('תפוקה מצטברת מול אשתקד'!A33,כלל!A:K,9,0)+VLOOKUP('תפוקה מצטברת מול אשתקד'!A33,מור!A:K,9,0)+VLOOKUP('תפוקה מצטברת מול אשתקד'!A33,'אלטשולר שחם'!A:K,9,0)+VLOOKUP('תפוקה מצטברת מול אשתקד'!A33,'מדיהו '!A:K,9,0)+VLOOKUP('תפוקה מצטברת מול אשתקד'!A33,'אנליסט '!A:K,9,0)+VLOOKUP('תפוקה מצטברת מול אשתקד'!A33,'מיטב דש'!A:K,9,0)+VLOOKUP('תפוקה מצטברת מול אשתקד'!A33,אינפניטי!A:K,9,0)</f>
        <v>-500.81900000000002</v>
      </c>
      <c r="N33" s="12">
        <f>VLOOKUP(A33,הכשרה!A:K,10,0)+VLOOKUP('תפוקה מצטברת מול אשתקד'!A33,מגדל!A:K,10,0)+VLOOKUP('תפוקה מצטברת מול אשתקד'!A33,מנורה!A:K,10,0)+VLOOKUP('תפוקה מצטברת מול אשתקד'!A33,איילון!A:K,10,0)+VLOOKUP('תפוקה מצטברת מול אשתקד'!A33,הראל!A:K,10,0)+VLOOKUP('תפוקה מצטברת מול אשתקד'!A33,הפניקס!A:K,10,0)+VLOOKUP('תפוקה מצטברת מול אשתקד'!A33,כלל!A:K,10,0)+VLOOKUP('תפוקה מצטברת מול אשתקד'!A33,מור!A:K,10,0)+VLOOKUP('תפוקה מצטברת מול אשתקד'!A33,'אלטשולר שחם'!A:K,10,0)+VLOOKUP('תפוקה מצטברת מול אשתקד'!A33,'מדיהו '!A:K,10,0)+VLOOKUP('תפוקה מצטברת מול אשתקד'!A33,'אנליסט '!A:K,10,0)+VLOOKUP('תפוקה מצטברת מול אשתקד'!A33,'מיטב דש'!A:K,10,0)+VLOOKUP('תפוקה מצטברת מול אשתקד'!A33,אינפניטי!A:K,10,0)</f>
        <v>0</v>
      </c>
      <c r="O33" s="12">
        <f>VLOOKUP(A33,הכשרה!A:K,11,0)+VLOOKUP('תפוקה מצטברת מול אשתקד'!A33,מגדל!A:K,11,0)+VLOOKUP('תפוקה מצטברת מול אשתקד'!A33,מנורה!A:K,11,0)+VLOOKUP('תפוקה מצטברת מול אשתקד'!A33,איילון!A:K,11,0)+VLOOKUP('תפוקה מצטברת מול אשתקד'!A33,הראל!A:K,11,0)+VLOOKUP('תפוקה מצטברת מול אשתקד'!A33,הפניקס!A:K,11,0)+VLOOKUP('תפוקה מצטברת מול אשתקד'!A33,כלל!A:K,11,0)+VLOOKUP('תפוקה מצטברת מול אשתקד'!A33,מור!A:K,11,0)+VLOOKUP('תפוקה מצטברת מול אשתקד'!A33,'אלטשולר שחם'!A:K,11,0)+VLOOKUP('תפוקה מצטברת מול אשתקד'!A33,'מדיהו '!A:K,11,0)+VLOOKUP('תפוקה מצטברת מול אשתקד'!A33,'אנליסט '!A:K,11,0)+VLOOKUP('תפוקה מצטברת מול אשתקד'!A33,'מיטב דש'!A:K,11,0)+VLOOKUP('תפוקה מצטברת מול אשתקד'!A33,אינפניטי!A:K,11,0)</f>
        <v>0</v>
      </c>
    </row>
    <row r="34" spans="1:15" ht="15.75" customHeight="1" x14ac:dyDescent="0.2">
      <c r="A34" s="30" t="s">
        <v>25</v>
      </c>
      <c r="B34" s="26" t="s">
        <v>56</v>
      </c>
      <c r="C34" s="27" t="s">
        <v>107</v>
      </c>
      <c r="D34" s="19">
        <f t="shared" si="0"/>
        <v>0.23022601886381233</v>
      </c>
      <c r="E34" s="19">
        <f t="shared" si="0"/>
        <v>-0.30420570882766584</v>
      </c>
      <c r="F34" s="19">
        <f t="shared" si="0"/>
        <v>-0.67690192077974698</v>
      </c>
      <c r="G34" s="19">
        <f t="shared" si="4"/>
        <v>-0.50238097489429534</v>
      </c>
      <c r="H34" s="58">
        <f>VLOOKUP(A34,הכשרה!A:G,4,0)+VLOOKUP('תפוקה מצטברת מול אשתקד'!A34,מגדל!A:G,4,0)+VLOOKUP('תפוקה מצטברת מול אשתקד'!A34,מנורה!A:G,4,0)+VLOOKUP('תפוקה מצטברת מול אשתקד'!A34,איילון!A:G,4,0)+VLOOKUP('תפוקה מצטברת מול אשתקד'!A34,הראל!A:G,4,0)+VLOOKUP('תפוקה מצטברת מול אשתקד'!A34,הפניקס!A:G,4,0)+VLOOKUP('תפוקה מצטברת מול אשתקד'!A34,כלל!A:G,4,0)+VLOOKUP('תפוקה מצטברת מול אשתקד'!A34,מור!A:G,4,0)+VLOOKUP('תפוקה מצטברת מול אשתקד'!A34,'אלטשולר שחם'!A:G,4,0)+VLOOKUP('תפוקה מצטברת מול אשתקד'!A34,'מדיהו '!A:G,4,0)+VLOOKUP('תפוקה מצטברת מול אשתקד'!A34,'אנליסט '!A:G,4,0)+VLOOKUP('תפוקה מצטברת מול אשתקד'!A34,'מיטב דש'!A:G,4,0)+VLOOKUP('תפוקה מצטברת מול אשתקד'!A34,אינפניטי!A:G,4,0)</f>
        <v>1229711.7687286562</v>
      </c>
      <c r="I34" s="58">
        <f>VLOOKUP(A34,הכשרה!A:G,5,0)+VLOOKUP('תפוקה מצטברת מול אשתקד'!A34,מגדל!A:G,5,0)+VLOOKUP('תפוקה מצטברת מול אשתקד'!A34,מנורה!A:G,5,0)+VLOOKUP('תפוקה מצטברת מול אשתקד'!A34,איילון!A:G,5,0)+VLOOKUP('תפוקה מצטברת מול אשתקד'!A34,הראל!A:G,5,0)+VLOOKUP('תפוקה מצטברת מול אשתקד'!A34,הפניקס!A:G,5,0)+VLOOKUP('תפוקה מצטברת מול אשתקד'!A34,כלל!A:G,5,0)+VLOOKUP('תפוקה מצטברת מול אשתקד'!A34,מור!A:G,5,0)+VLOOKUP('תפוקה מצטברת מול אשתקד'!A34,'אלטשולר שחם'!A:G,5,0)+VLOOKUP('תפוקה מצטברת מול אשתקד'!A34,'מדיהו '!A:G,5,0)+VLOOKUP('תפוקה מצטברת מול אשתקד'!A34,'אנליסט '!A:G,5,0)+VLOOKUP('תפוקה מצטברת מול אשתקד'!A34,'מיטב דש'!A:G,5,0)+VLOOKUP('תפוקה מצטברת מול אשתקד'!A34,אינפניטי!A:G,5,0)</f>
        <v>156547.90301581498</v>
      </c>
      <c r="J34" s="58">
        <f>VLOOKUP(A34,הכשרה!A:G,6,0)+VLOOKUP('תפוקה מצטברת מול אשתקד'!A34,מגדל!A:G,6,0)+VLOOKUP('תפוקה מצטברת מול אשתקד'!A34,מנורה!A:G,6,0)+VLOOKUP('תפוקה מצטברת מול אשתקד'!A34,איילון!A:G,6,0)+VLOOKUP(A34,הראל!A:G,6,0)+VLOOKUP('תפוקה מצטברת מול אשתקד'!A34,הפניקס!A:G,6,0)+VLOOKUP('תפוקה מצטברת מול אשתקד'!A34,כלל!A:G,6,0)+VLOOKUP('תפוקה מצטברת מול אשתקד'!A34,מור!A:G,6,0)+VLOOKUP('תפוקה מצטברת מול אשתקד'!A34,'אלטשולר שחם'!A:G,6,0)+VLOOKUP('תפוקה מצטברת מול אשתקד'!A34,'מדיהו '!A:G,6,0)+VLOOKUP('תפוקה מצטברת מול אשתקד'!A34,'אנליסט '!A:G,6,0)+VLOOKUP('תפוקה מצטברת מול אשתקד'!A34,'מיטב דש'!A:G,6,0)+VLOOKUP('תפוקה מצטברת מול אשתקד'!A34,אינפניטי!A:G,6,0)</f>
        <v>1563109.428176187</v>
      </c>
      <c r="K34" s="58">
        <f>VLOOKUP(A34,הכשרה!A:G,7,0)+VLOOKUP('תפוקה מצטברת מול אשתקד'!A34,מגדל!A:G,7,0)+VLOOKUP('תפוקה מצטברת מול אשתקד'!A34,מנורה!A:G,7,0)+VLOOKUP('תפוקה מצטברת מול אשתקד'!A34,איילון!A:G,7,0)+VLOOKUP('תפוקה מצטברת מול אשתקד'!A34,הראל!A:G,7,0)+VLOOKUP('תפוקה מצטברת מול אשתקד'!A34,הפניקס!A:G,7,0)+VLOOKUP('תפוקה מצטברת מול אשתקד'!A34,כלל!A:G,7,0)+VLOOKUP('תפוקה מצטברת מול אשתקד'!A34,מור!A:G,7,0)+VLOOKUP('תפוקה מצטברת מול אשתקד'!A34,'אלטשולר שחם'!A:G,7,0)+VLOOKUP('תפוקה מצטברת מול אשתקד'!A34,'מדיהו '!A:K,7,0)+VLOOKUP(A34,'אנליסט '!A:G,7,0)+VLOOKUP('תפוקה מצטברת מול אשתקד'!A34,'מיטב דש'!A:G,7,0)+VLOOKUP('תפוקה מצטברת מול אשתקד'!A34,אינפניטי!A:G,7,0)</f>
        <v>2747649.87</v>
      </c>
      <c r="L34" s="12">
        <f>VLOOKUP(A34,הכשרה!A:K,8,0)+VLOOKUP('תפוקה מצטברת מול אשתקד'!A34,מגדל!A:K,8,0)+VLOOKUP('תפוקה מצטברת מול אשתקד'!A34,מנורה!A:K,8,0)+VLOOKUP('תפוקה מצטברת מול אשתקד'!A34,איילון!A:K,8,0)+VLOOKUP('תפוקה מצטברת מול אשתקד'!A34,הראל!A:K,8,0)+VLOOKUP('תפוקה מצטברת מול אשתקד'!A34,הפניקס!A:K,8,0)+VLOOKUP('תפוקה מצטברת מול אשתקד'!A34,כלל!A:K,8,0)+VLOOKUP('תפוקה מצטברת מול אשתקד'!A34,מור!A:K,8,0)+VLOOKUP('תפוקה מצטברת מול אשתקד'!A34,'אלטשולר שחם'!A:K,8,0)+VLOOKUP('תפוקה מצטברת מול אשתקד'!A34,'מדיהו '!A:K,8,0)+VLOOKUP('תפוקה מצטברת מול אשתקד'!A34,'אנליסט '!A:K,8,0)+VLOOKUP('תפוקה מצטברת מול אשתקד'!A34,'מיטב דש'!A:K,8,0)+VLOOKUP('תפוקה מצטברת מול אשתקד'!A34,אינפניטי!A:K,8,0)</f>
        <v>999581.98727122438</v>
      </c>
      <c r="M34" s="12">
        <f>VLOOKUP(A34,הכשרה!A:K,9,0)+VLOOKUP('תפוקה מצטברת מול אשתקד'!A34,מגדל!A:K,9,0)+VLOOKUP('תפוקה מצטברת מול אשתקד'!A34,מנורה!A:K,9,0)+VLOOKUP('תפוקה מצטברת מול אשתקד'!A34,איילון!A:K,9,0)+VLOOKUP('תפוקה מצטברת מול אשתקד'!A34,הראל!A:K,9,0)+VLOOKUP('תפוקה מצטברת מול אשתקד'!A34,הפניקס!A:K,9,0)+VLOOKUP('תפוקה מצטברת מול אשתקד'!A34,כלל!A:K,9,0)+VLOOKUP('תפוקה מצטברת מול אשתקד'!A34,מור!A:K,9,0)+VLOOKUP('תפוקה מצטברת מול אשתקד'!A34,'אלטשולר שחם'!A:K,9,0)+VLOOKUP('תפוקה מצטברת מול אשתקד'!A34,'מדיהו '!A:K,9,0)+VLOOKUP('תפוקה מצטברת מול אשתקד'!A34,'אנליסט '!A:K,9,0)+VLOOKUP('תפוקה מצטברת מול אשתקד'!A34,'מיטב דש'!A:K,9,0)+VLOOKUP('תפוקה מצטברת מול אשתקד'!A34,אינפניטי!A:K,9,0)</f>
        <v>224991.64624080143</v>
      </c>
      <c r="N34" s="12">
        <f>VLOOKUP(A34,הכשרה!A:K,10,0)+VLOOKUP('תפוקה מצטברת מול אשתקד'!A34,מגדל!A:K,10,0)+VLOOKUP('תפוקה מצטברת מול אשתקד'!A34,מנורה!A:K,10,0)+VLOOKUP('תפוקה מצטברת מול אשתקד'!A34,איילון!A:K,10,0)+VLOOKUP('תפוקה מצטברת מול אשתקד'!A34,הראל!A:K,10,0)+VLOOKUP('תפוקה מצטברת מול אשתקד'!A34,הפניקס!A:K,10,0)+VLOOKUP('תפוקה מצטברת מול אשתקד'!A34,כלל!A:K,10,0)+VLOOKUP('תפוקה מצטברת מול אשתקד'!A34,מור!A:K,10,0)+VLOOKUP('תפוקה מצטברת מול אשתקד'!A34,'אלטשולר שחם'!A:K,10,0)+VLOOKUP('תפוקה מצטברת מול אשתקד'!A34,'מדיהו '!A:K,10,0)+VLOOKUP('תפוקה מצטברת מול אשתקד'!A34,'אנליסט '!A:K,10,0)+VLOOKUP('תפוקה מצטברת מול אשתקד'!A34,'מיטב דש'!A:K,10,0)+VLOOKUP('תפוקה מצטברת מול אשתקד'!A34,אינפניטי!A:K,10,0)</f>
        <v>4837879.0488278624</v>
      </c>
      <c r="O34" s="12">
        <f>VLOOKUP(A34,הכשרה!A:K,11,0)+VLOOKUP('תפוקה מצטברת מול אשתקד'!A34,מגדל!A:K,11,0)+VLOOKUP('תפוקה מצטברת מול אשתקד'!A34,מנורה!A:K,11,0)+VLOOKUP('תפוקה מצטברת מול אשתקד'!A34,איילון!A:K,11,0)+VLOOKUP('תפוקה מצטברת מול אשתקד'!A34,הראל!A:K,11,0)+VLOOKUP('תפוקה מצטברת מול אשתקד'!A34,הפניקס!A:K,11,0)+VLOOKUP('תפוקה מצטברת מול אשתקד'!A34,כלל!A:K,11,0)+VLOOKUP('תפוקה מצטברת מול אשתקד'!A34,מור!A:K,11,0)+VLOOKUP('תפוקה מצטברת מול אשתקד'!A34,'אלטשולר שחם'!A:K,11,0)+VLOOKUP('תפוקה מצטברת מול אשתקד'!A34,'מדיהו '!A:K,11,0)+VLOOKUP('תפוקה מצטברת מול אשתקד'!A34,'אנליסט '!A:K,11,0)+VLOOKUP('תפוקה מצטברת מול אשתקד'!A34,'מיטב דש'!A:K,11,0)+VLOOKUP('תפוקה מצטברת מול אשתקד'!A34,אינפניטי!A:K,11,0)</f>
        <v>5521593.2899999991</v>
      </c>
    </row>
    <row r="35" spans="1:15" ht="15.75" customHeight="1" x14ac:dyDescent="0.2">
      <c r="A35" s="26" t="s">
        <v>26</v>
      </c>
      <c r="B35" s="26" t="s">
        <v>56</v>
      </c>
      <c r="C35" s="27" t="s">
        <v>107</v>
      </c>
      <c r="D35" s="19">
        <f t="shared" si="0"/>
        <v>0</v>
      </c>
      <c r="E35" s="19">
        <f t="shared" si="0"/>
        <v>0</v>
      </c>
      <c r="F35" s="19">
        <f t="shared" si="0"/>
        <v>0</v>
      </c>
      <c r="G35" s="19">
        <f t="shared" si="4"/>
        <v>0</v>
      </c>
      <c r="H35" s="58">
        <f>VLOOKUP(A35,הכשרה!A:G,4,0)+VLOOKUP('תפוקה מצטברת מול אשתקד'!A35,מגדל!A:G,4,0)+VLOOKUP('תפוקה מצטברת מול אשתקד'!A35,מנורה!A:G,4,0)+VLOOKUP('תפוקה מצטברת מול אשתקד'!A35,איילון!A:G,4,0)+VLOOKUP('תפוקה מצטברת מול אשתקד'!A35,הראל!A:G,4,0)+VLOOKUP('תפוקה מצטברת מול אשתקד'!A35,הפניקס!A:G,4,0)+VLOOKUP('תפוקה מצטברת מול אשתקד'!A35,כלל!A:G,4,0)+VLOOKUP('תפוקה מצטברת מול אשתקד'!A35,מור!A:G,4,0)+VLOOKUP('תפוקה מצטברת מול אשתקד'!A35,'אלטשולר שחם'!A:G,4,0)+VLOOKUP('תפוקה מצטברת מול אשתקד'!A35,'מדיהו '!A:G,4,0)+VLOOKUP('תפוקה מצטברת מול אשתקד'!A35,'אנליסט '!A:G,4,0)+VLOOKUP('תפוקה מצטברת מול אשתקד'!A35,'מיטב דש'!A:G,4,0)+VLOOKUP('תפוקה מצטברת מול אשתקד'!A35,אינפניטי!A:G,4,0)</f>
        <v>0</v>
      </c>
      <c r="I35" s="58">
        <f>VLOOKUP(A35,הכשרה!A:G,5,0)+VLOOKUP('תפוקה מצטברת מול אשתקד'!A35,מגדל!A:G,5,0)+VLOOKUP('תפוקה מצטברת מול אשתקד'!A35,מנורה!A:G,5,0)+VLOOKUP('תפוקה מצטברת מול אשתקד'!A35,איילון!A:G,5,0)+VLOOKUP('תפוקה מצטברת מול אשתקד'!A35,הראל!A:G,5,0)+VLOOKUP('תפוקה מצטברת מול אשתקד'!A35,הפניקס!A:G,5,0)+VLOOKUP('תפוקה מצטברת מול אשתקד'!A35,כלל!A:G,5,0)+VLOOKUP('תפוקה מצטברת מול אשתקד'!A35,מור!A:G,5,0)+VLOOKUP('תפוקה מצטברת מול אשתקד'!A35,'אלטשולר שחם'!A:G,5,0)+VLOOKUP('תפוקה מצטברת מול אשתקד'!A35,'מדיהו '!A:G,5,0)+VLOOKUP('תפוקה מצטברת מול אשתקד'!A35,'אנליסט '!A:G,5,0)+VLOOKUP('תפוקה מצטברת מול אשתקד'!A35,'מיטב דש'!A:G,5,0)+VLOOKUP('תפוקה מצטברת מול אשתקד'!A35,אינפניטי!A:G,5,0)</f>
        <v>0</v>
      </c>
      <c r="J35" s="58">
        <f>VLOOKUP(A35,הכשרה!A:G,6,0)+VLOOKUP('תפוקה מצטברת מול אשתקד'!A35,מגדל!A:G,6,0)+VLOOKUP('תפוקה מצטברת מול אשתקד'!A35,מנורה!A:G,6,0)+VLOOKUP('תפוקה מצטברת מול אשתקד'!A35,איילון!A:G,6,0)+VLOOKUP(A35,הראל!A:G,6,0)+VLOOKUP('תפוקה מצטברת מול אשתקד'!A35,הפניקס!A:G,6,0)+VLOOKUP('תפוקה מצטברת מול אשתקד'!A35,כלל!A:G,6,0)+VLOOKUP('תפוקה מצטברת מול אשתקד'!A35,מור!A:G,6,0)+VLOOKUP('תפוקה מצטברת מול אשתקד'!A35,'אלטשולר שחם'!A:G,6,0)+VLOOKUP('תפוקה מצטברת מול אשתקד'!A35,'מדיהו '!A:G,6,0)+VLOOKUP('תפוקה מצטברת מול אשתקד'!A35,'אנליסט '!A:G,6,0)+VLOOKUP('תפוקה מצטברת מול אשתקד'!A35,'מיטב דש'!A:G,6,0)+VLOOKUP('תפוקה מצטברת מול אשתקד'!A35,אינפניטי!A:G,6,0)</f>
        <v>0</v>
      </c>
      <c r="K35" s="58">
        <f>VLOOKUP(A35,הכשרה!A:G,7,0)+VLOOKUP('תפוקה מצטברת מול אשתקד'!A35,מגדל!A:G,7,0)+VLOOKUP('תפוקה מצטברת מול אשתקד'!A35,מנורה!A:G,7,0)+VLOOKUP('תפוקה מצטברת מול אשתקד'!A35,איילון!A:G,7,0)+VLOOKUP('תפוקה מצטברת מול אשתקד'!A35,הראל!A:G,7,0)+VLOOKUP('תפוקה מצטברת מול אשתקד'!A35,הפניקס!A:G,7,0)+VLOOKUP('תפוקה מצטברת מול אשתקד'!A35,כלל!A:G,7,0)+VLOOKUP('תפוקה מצטברת מול אשתקד'!A35,מור!A:G,7,0)+VLOOKUP('תפוקה מצטברת מול אשתקד'!A35,'אלטשולר שחם'!A:G,7,0)+VLOOKUP('תפוקה מצטברת מול אשתקד'!A35,'מדיהו '!A:K,7,0)+VLOOKUP(A35,'אנליסט '!A:G,7,0)+VLOOKUP('תפוקה מצטברת מול אשתקד'!A35,'מיטב דש'!A:G,7,0)+VLOOKUP('תפוקה מצטברת מול אשתקד'!A35,אינפניטי!A:G,7,0)</f>
        <v>0</v>
      </c>
      <c r="L35" s="12">
        <f>VLOOKUP(A35,הכשרה!A:K,8,0)+VLOOKUP('תפוקה מצטברת מול אשתקד'!A35,מגדל!A:K,8,0)+VLOOKUP('תפוקה מצטברת מול אשתקד'!A35,מנורה!A:K,8,0)+VLOOKUP('תפוקה מצטברת מול אשתקד'!A35,איילון!A:K,8,0)+VLOOKUP('תפוקה מצטברת מול אשתקד'!A35,הראל!A:K,8,0)+VLOOKUP('תפוקה מצטברת מול אשתקד'!A35,הפניקס!A:K,8,0)+VLOOKUP('תפוקה מצטברת מול אשתקד'!A35,כלל!A:K,8,0)+VLOOKUP('תפוקה מצטברת מול אשתקד'!A35,מור!A:K,8,0)+VLOOKUP('תפוקה מצטברת מול אשתקד'!A35,'אלטשולר שחם'!A:K,8,0)+VLOOKUP('תפוקה מצטברת מול אשתקד'!A35,'מדיהו '!A:K,8,0)+VLOOKUP('תפוקה מצטברת מול אשתקד'!A35,'אנליסט '!A:K,8,0)+VLOOKUP('תפוקה מצטברת מול אשתקד'!A35,'מיטב דש'!A:K,8,0)+VLOOKUP('תפוקה מצטברת מול אשתקד'!A35,אינפניטי!A:K,8,0)</f>
        <v>6225.71</v>
      </c>
      <c r="M35" s="12">
        <f>VLOOKUP(A35,הכשרה!A:K,9,0)+VLOOKUP('תפוקה מצטברת מול אשתקד'!A35,מגדל!A:K,9,0)+VLOOKUP('תפוקה מצטברת מול אשתקד'!A35,מנורה!A:K,9,0)+VLOOKUP('תפוקה מצטברת מול אשתקד'!A35,איילון!A:K,9,0)+VLOOKUP('תפוקה מצטברת מול אשתקד'!A35,הראל!A:K,9,0)+VLOOKUP('תפוקה מצטברת מול אשתקד'!A35,הפניקס!A:K,9,0)+VLOOKUP('תפוקה מצטברת מול אשתקד'!A35,כלל!A:K,9,0)+VLOOKUP('תפוקה מצטברת מול אשתקד'!A35,מור!A:K,9,0)+VLOOKUP('תפוקה מצטברת מול אשתקד'!A35,'אלטשולר שחם'!A:K,9,0)+VLOOKUP('תפוקה מצטברת מול אשתקד'!A35,'מדיהו '!A:K,9,0)+VLOOKUP('תפוקה מצטברת מול אשתקד'!A35,'אנליסט '!A:K,9,0)+VLOOKUP('תפוקה מצטברת מול אשתקד'!A35,'מיטב דש'!A:K,9,0)+VLOOKUP('תפוקה מצטברת מול אשתקד'!A35,אינפניטי!A:K,9,0)</f>
        <v>2858.17</v>
      </c>
      <c r="N35" s="12">
        <f>VLOOKUP(A35,הכשרה!A:K,10,0)+VLOOKUP('תפוקה מצטברת מול אשתקד'!A35,מגדל!A:K,10,0)+VLOOKUP('תפוקה מצטברת מול אשתקד'!A35,מנורה!A:K,10,0)+VLOOKUP('תפוקה מצטברת מול אשתקד'!A35,איילון!A:K,10,0)+VLOOKUP('תפוקה מצטברת מול אשתקד'!A35,הראל!A:K,10,0)+VLOOKUP('תפוקה מצטברת מול אשתקד'!A35,הפניקס!A:K,10,0)+VLOOKUP('תפוקה מצטברת מול אשתקד'!A35,כלל!A:K,10,0)+VLOOKUP('תפוקה מצטברת מול אשתקד'!A35,מור!A:K,10,0)+VLOOKUP('תפוקה מצטברת מול אשתקד'!A35,'אלטשולר שחם'!A:K,10,0)+VLOOKUP('תפוקה מצטברת מול אשתקד'!A35,'מדיהו '!A:K,10,0)+VLOOKUP('תפוקה מצטברת מול אשתקד'!A35,'אנליסט '!A:K,10,0)+VLOOKUP('תפוקה מצטברת מול אשתקד'!A35,'מיטב דש'!A:K,10,0)+VLOOKUP('תפוקה מצטברת מול אשתקד'!A35,אינפניטי!A:K,10,0)</f>
        <v>0</v>
      </c>
      <c r="O35" s="12">
        <f>VLOOKUP(A35,הכשרה!A:K,11,0)+VLOOKUP('תפוקה מצטברת מול אשתקד'!A35,מגדל!A:K,11,0)+VLOOKUP('תפוקה מצטברת מול אשתקד'!A35,מנורה!A:K,11,0)+VLOOKUP('תפוקה מצטברת מול אשתקד'!A35,איילון!A:K,11,0)+VLOOKUP('תפוקה מצטברת מול אשתקד'!A35,הראל!A:K,11,0)+VLOOKUP('תפוקה מצטברת מול אשתקד'!A35,הפניקס!A:K,11,0)+VLOOKUP('תפוקה מצטברת מול אשתקד'!A35,כלל!A:K,11,0)+VLOOKUP('תפוקה מצטברת מול אשתקד'!A35,מור!A:K,11,0)+VLOOKUP('תפוקה מצטברת מול אשתקד'!A35,'אלטשולר שחם'!A:K,11,0)+VLOOKUP('תפוקה מצטברת מול אשתקד'!A35,'מדיהו '!A:K,11,0)+VLOOKUP('תפוקה מצטברת מול אשתקד'!A35,'אנליסט '!A:K,11,0)+VLOOKUP('תפוקה מצטברת מול אשתקד'!A35,'מיטב דש'!A:K,11,0)+VLOOKUP('תפוקה מצטברת מול אשתקד'!A35,אינפניטי!A:K,11,0)</f>
        <v>0</v>
      </c>
    </row>
    <row r="36" spans="1:15" ht="15.75" customHeight="1" x14ac:dyDescent="0.2">
      <c r="A36" s="26" t="s">
        <v>27</v>
      </c>
      <c r="B36" s="26" t="s">
        <v>56</v>
      </c>
      <c r="C36" s="27" t="s">
        <v>107</v>
      </c>
      <c r="D36" s="19">
        <f t="shared" si="0"/>
        <v>0</v>
      </c>
      <c r="E36" s="19">
        <f t="shared" si="0"/>
        <v>1</v>
      </c>
      <c r="F36" s="19">
        <f t="shared" si="0"/>
        <v>1</v>
      </c>
      <c r="G36" s="19">
        <f t="shared" si="4"/>
        <v>-239.45288375679522</v>
      </c>
      <c r="H36" s="58">
        <f>VLOOKUP(A36,הכשרה!A:G,4,0)+VLOOKUP('תפוקה מצטברת מול אשתקד'!A36,מגדל!A:G,4,0)+VLOOKUP('תפוקה מצטברת מול אשתקד'!A36,מנורה!A:G,4,0)+VLOOKUP('תפוקה מצטברת מול אשתקד'!A36,איילון!A:G,4,0)+VLOOKUP('תפוקה מצטברת מול אשתקד'!A36,הראל!A:G,4,0)+VLOOKUP('תפוקה מצטברת מול אשתקד'!A36,הפניקס!A:G,4,0)+VLOOKUP('תפוקה מצטברת מול אשתקד'!A36,כלל!A:G,4,0)+VLOOKUP('תפוקה מצטברת מול אשתקד'!A36,מור!A:G,4,0)+VLOOKUP('תפוקה מצטברת מול אשתקד'!A36,'אלטשולר שחם'!A:G,4,0)+VLOOKUP('תפוקה מצטברת מול אשתקד'!A36,'מדיהו '!A:G,4,0)+VLOOKUP('תפוקה מצטברת מול אשתקד'!A36,'אנליסט '!A:G,4,0)+VLOOKUP('תפוקה מצטברת מול אשתקד'!A36,'מיטב דש'!A:G,4,0)+VLOOKUP('תפוקה מצטברת מול אשתקד'!A36,אינפניטי!A:G,4,0)</f>
        <v>0</v>
      </c>
      <c r="I36" s="58">
        <f>VLOOKUP(A36,הכשרה!A:G,5,0)+VLOOKUP('תפוקה מצטברת מול אשתקד'!A36,מגדל!A:G,5,0)+VLOOKUP('תפוקה מצטברת מול אשתקד'!A36,מנורה!A:G,5,0)+VLOOKUP('תפוקה מצטברת מול אשתקד'!A36,איילון!A:G,5,0)+VLOOKUP('תפוקה מצטברת מול אשתקד'!A36,הראל!A:G,5,0)+VLOOKUP('תפוקה מצטברת מול אשתקד'!A36,הפניקס!A:G,5,0)+VLOOKUP('תפוקה מצטברת מול אשתקד'!A36,כלל!A:G,5,0)+VLOOKUP('תפוקה מצטברת מול אשתקד'!A36,מור!A:G,5,0)+VLOOKUP('תפוקה מצטברת מול אשתקד'!A36,'אלטשולר שחם'!A:G,5,0)+VLOOKUP('תפוקה מצטברת מול אשתקד'!A36,'מדיהו '!A:G,5,0)+VLOOKUP('תפוקה מצטברת מול אשתקד'!A36,'אנליסט '!A:G,5,0)+VLOOKUP('תפוקה מצטברת מול אשתקד'!A36,'מיטב דש'!A:G,5,0)+VLOOKUP('תפוקה מצטברת מול אשתקד'!A36,אינפניטי!A:G,5,0)</f>
        <v>-745.94</v>
      </c>
      <c r="J36" s="58">
        <f>VLOOKUP(A36,הכשרה!A:G,6,0)+VLOOKUP('תפוקה מצטברת מול אשתקד'!A36,מגדל!A:G,6,0)+VLOOKUP('תפוקה מצטברת מול אשתקד'!A36,מנורה!A:G,6,0)+VLOOKUP('תפוקה מצטברת מול אשתקד'!A36,איילון!A:G,6,0)+VLOOKUP(A36,הראל!A:G,6,0)+VLOOKUP('תפוקה מצטברת מול אשתקד'!A36,הפניקס!A:G,6,0)+VLOOKUP('תפוקה מצטברת מול אשתקד'!A36,כלל!A:G,6,0)+VLOOKUP('תפוקה מצטברת מול אשתקד'!A36,מור!A:G,6,0)+VLOOKUP('תפוקה מצטברת מול אשתקד'!A36,'אלטשולר שחם'!A:G,6,0)+VLOOKUP('תפוקה מצטברת מול אשתקד'!A36,'מדיהו '!A:G,6,0)+VLOOKUP('תפוקה מצטברת מול אשתקד'!A36,'אנליסט '!A:G,6,0)+VLOOKUP('תפוקה מצטברת מול אשתקד'!A36,'מיטב דש'!A:G,6,0)+VLOOKUP('תפוקה מצטברת מול אשתקד'!A36,אינפניטי!A:G,6,0)</f>
        <v>21102.44</v>
      </c>
      <c r="K36" s="58">
        <f>VLOOKUP(A36,הכשרה!A:G,7,0)+VLOOKUP('תפוקה מצטברת מול אשתקד'!A36,מגדל!A:G,7,0)+VLOOKUP('תפוקה מצטברת מול אשתקד'!A36,מנורה!A:G,7,0)+VLOOKUP('תפוקה מצטברת מול אשתקד'!A36,איילון!A:G,7,0)+VLOOKUP('תפוקה מצטברת מול אשתקד'!A36,הראל!A:G,7,0)+VLOOKUP('תפוקה מצטברת מול אשתקד'!A36,הפניקס!A:G,7,0)+VLOOKUP('תפוקה מצטברת מול אשתקד'!A36,כלל!A:G,7,0)+VLOOKUP('תפוקה מצטברת מול אשתקד'!A36,מור!A:G,7,0)+VLOOKUP('תפוקה מצטברת מול אשתקד'!A36,'אלטשולר שחם'!A:G,7,0)+VLOOKUP('תפוקה מצטברת מול אשתקד'!A36,'מדיהו '!A:K,7,0)+VLOOKUP(A36,'אנליסט '!A:G,7,0)+VLOOKUP('תפוקה מצטברת מול אשתקד'!A36,'מיטב דש'!A:G,7,0)+VLOOKUP('תפוקה מצטברת מול אשתקד'!A36,אינפניטי!A:G,7,0)</f>
        <v>-580576.23</v>
      </c>
      <c r="L36" s="12">
        <f>VLOOKUP(A36,הכשרה!A:K,8,0)+VLOOKUP('תפוקה מצטברת מול אשתקד'!A36,מגדל!A:K,8,0)+VLOOKUP('תפוקה מצטברת מול אשתקד'!A36,מנורה!A:K,8,0)+VLOOKUP('תפוקה מצטברת מול אשתקד'!A36,איילון!A:K,8,0)+VLOOKUP('תפוקה מצטברת מול אשתקד'!A36,הראל!A:K,8,0)+VLOOKUP('תפוקה מצטברת מול אשתקד'!A36,הפניקס!A:K,8,0)+VLOOKUP('תפוקה מצטברת מול אשתקד'!A36,כלל!A:K,8,0)+VLOOKUP('תפוקה מצטברת מול אשתקד'!A36,מור!A:K,8,0)+VLOOKUP('תפוקה מצטברת מול אשתקד'!A36,'אלטשולר שחם'!A:K,8,0)+VLOOKUP('תפוקה מצטברת מול אשתקד'!A36,'מדיהו '!A:K,8,0)+VLOOKUP('תפוקה מצטברת מול אשתקד'!A36,'אנליסט '!A:K,8,0)+VLOOKUP('תפוקה מצטברת מול אשתקד'!A36,'מיטב דש'!A:K,8,0)+VLOOKUP('תפוקה מצטברת מול אשתקד'!A36,אינפניטי!A:K,8,0)</f>
        <v>36199.942200000005</v>
      </c>
      <c r="M36" s="12">
        <f>VLOOKUP(A36,הכשרה!A:K,9,0)+VLOOKUP('תפוקה מצטברת מול אשתקד'!A36,מגדל!A:K,9,0)+VLOOKUP('תפוקה מצטברת מול אשתקד'!A36,מנורה!A:K,9,0)+VLOOKUP('תפוקה מצטברת מול אשתקד'!A36,איילון!A:K,9,0)+VLOOKUP('תפוקה מצטברת מול אשתקד'!A36,הראל!A:K,9,0)+VLOOKUP('תפוקה מצטברת מול אשתקד'!A36,הפניקס!A:K,9,0)+VLOOKUP('תפוקה מצטברת מול אשתקד'!A36,כלל!A:K,9,0)+VLOOKUP('תפוקה מצטברת מול אשתקד'!A36,מור!A:K,9,0)+VLOOKUP('תפוקה מצטברת מול אשתקד'!A36,'אלטשולר שחם'!A:K,9,0)+VLOOKUP('תפוקה מצטברת מול אשתקד'!A36,'מדיהו '!A:K,9,0)+VLOOKUP('תפוקה מצטברת מול אשתקד'!A36,'אנליסט '!A:K,9,0)+VLOOKUP('תפוקה מצטברת מול אשתקד'!A36,'מיטב דש'!A:K,9,0)+VLOOKUP('תפוקה מצטברת מול אשתקד'!A36,אינפניטי!A:K,9,0)</f>
        <v>0</v>
      </c>
      <c r="N36" s="12">
        <f>VLOOKUP(A36,הכשרה!A:K,10,0)+VLOOKUP('תפוקה מצטברת מול אשתקד'!A36,מגדל!A:K,10,0)+VLOOKUP('תפוקה מצטברת מול אשתקד'!A36,מנורה!A:K,10,0)+VLOOKUP('תפוקה מצטברת מול אשתקד'!A36,איילון!A:K,10,0)+VLOOKUP('תפוקה מצטברת מול אשתקד'!A36,הראל!A:K,10,0)+VLOOKUP('תפוקה מצטברת מול אשתקד'!A36,הפניקס!A:K,10,0)+VLOOKUP('תפוקה מצטברת מול אשתקד'!A36,כלל!A:K,10,0)+VLOOKUP('תפוקה מצטברת מול אשתקד'!A36,מור!A:K,10,0)+VLOOKUP('תפוקה מצטברת מול אשתקד'!A36,'אלטשולר שחם'!A:K,10,0)+VLOOKUP('תפוקה מצטברת מול אשתקד'!A36,'מדיהו '!A:K,10,0)+VLOOKUP('תפוקה מצטברת מול אשתקד'!A36,'אנליסט '!A:K,10,0)+VLOOKUP('תפוקה מצטברת מול אשתקד'!A36,'מיטב דש'!A:K,10,0)+VLOOKUP('תפוקה מצטברת מול אשתקד'!A36,אינפניטי!A:K,10,0)</f>
        <v>0</v>
      </c>
      <c r="O36" s="12">
        <f>VLOOKUP(A36,הכשרה!A:K,11,0)+VLOOKUP('תפוקה מצטברת מול אשתקד'!A36,מגדל!A:K,11,0)+VLOOKUP('תפוקה מצטברת מול אשתקד'!A36,מנורה!A:K,11,0)+VLOOKUP('תפוקה מצטברת מול אשתקד'!A36,איילון!A:K,11,0)+VLOOKUP('תפוקה מצטברת מול אשתקד'!A36,הראל!A:K,11,0)+VLOOKUP('תפוקה מצטברת מול אשתקד'!A36,הפניקס!A:K,11,0)+VLOOKUP('תפוקה מצטברת מול אשתקד'!A36,כלל!A:K,11,0)+VLOOKUP('תפוקה מצטברת מול אשתקד'!A36,מור!A:K,11,0)+VLOOKUP('תפוקה מצטברת מול אשתקד'!A36,'אלטשולר שחם'!A:K,11,0)+VLOOKUP('תפוקה מצטברת מול אשתקד'!A36,'מדיהו '!A:K,11,0)+VLOOKUP('תפוקה מצטברת מול אשתקד'!A36,'אנליסט '!A:K,11,0)+VLOOKUP('תפוקה מצטברת מול אשתקד'!A36,'מיטב דש'!A:K,11,0)+VLOOKUP('תפוקה מצטברת מול אשתקד'!A36,אינפניטי!A:K,11,0)</f>
        <v>2434.7628800000002</v>
      </c>
    </row>
    <row r="37" spans="1:15" ht="15.75" customHeight="1" x14ac:dyDescent="0.2">
      <c r="A37" s="26" t="s">
        <v>28</v>
      </c>
      <c r="B37" s="26" t="s">
        <v>56</v>
      </c>
      <c r="C37" s="27" t="s">
        <v>107</v>
      </c>
      <c r="D37" s="19">
        <f t="shared" si="0"/>
        <v>0</v>
      </c>
      <c r="E37" s="19">
        <f t="shared" si="0"/>
        <v>0</v>
      </c>
      <c r="F37" s="19">
        <f t="shared" si="0"/>
        <v>0</v>
      </c>
      <c r="G37" s="19">
        <f t="shared" si="4"/>
        <v>0</v>
      </c>
      <c r="H37" s="58">
        <f>VLOOKUP(A37,הכשרה!A:G,4,0)+VLOOKUP('תפוקה מצטברת מול אשתקד'!A37,מגדל!A:G,4,0)+VLOOKUP('תפוקה מצטברת מול אשתקד'!A37,מנורה!A:G,4,0)+VLOOKUP('תפוקה מצטברת מול אשתקד'!A37,איילון!A:G,4,0)+VLOOKUP('תפוקה מצטברת מול אשתקד'!A37,הראל!A:G,4,0)+VLOOKUP('תפוקה מצטברת מול אשתקד'!A37,הפניקס!A:G,4,0)+VLOOKUP('תפוקה מצטברת מול אשתקד'!A37,כלל!A:G,4,0)+VLOOKUP('תפוקה מצטברת מול אשתקד'!A37,מור!A:G,4,0)+VLOOKUP('תפוקה מצטברת מול אשתקד'!A37,'אלטשולר שחם'!A:G,4,0)+VLOOKUP('תפוקה מצטברת מול אשתקד'!A37,'מדיהו '!A:G,4,0)+VLOOKUP('תפוקה מצטברת מול אשתקד'!A37,'אנליסט '!A:G,4,0)+VLOOKUP('תפוקה מצטברת מול אשתקד'!A37,'מיטב דש'!A:G,4,0)+VLOOKUP('תפוקה מצטברת מול אשתקד'!A37,אינפניטי!A:G,4,0)</f>
        <v>0</v>
      </c>
      <c r="I37" s="58">
        <f>VLOOKUP(A37,הכשרה!A:G,5,0)+VLOOKUP('תפוקה מצטברת מול אשתקד'!A37,מגדל!A:G,5,0)+VLOOKUP('תפוקה מצטברת מול אשתקד'!A37,מנורה!A:G,5,0)+VLOOKUP('תפוקה מצטברת מול אשתקד'!A37,איילון!A:G,5,0)+VLOOKUP('תפוקה מצטברת מול אשתקד'!A37,הראל!A:G,5,0)+VLOOKUP('תפוקה מצטברת מול אשתקד'!A37,הפניקס!A:G,5,0)+VLOOKUP('תפוקה מצטברת מול אשתקד'!A37,כלל!A:G,5,0)+VLOOKUP('תפוקה מצטברת מול אשתקד'!A37,מור!A:G,5,0)+VLOOKUP('תפוקה מצטברת מול אשתקד'!A37,'אלטשולר שחם'!A:G,5,0)+VLOOKUP('תפוקה מצטברת מול אשתקד'!A37,'מדיהו '!A:G,5,0)+VLOOKUP('תפוקה מצטברת מול אשתקד'!A37,'אנליסט '!A:G,5,0)+VLOOKUP('תפוקה מצטברת מול אשתקד'!A37,'מיטב דש'!A:G,5,0)+VLOOKUP('תפוקה מצטברת מול אשתקד'!A37,אינפניטי!A:G,5,0)</f>
        <v>0</v>
      </c>
      <c r="J37" s="58">
        <f>VLOOKUP(A37,הכשרה!A:G,6,0)+VLOOKUP('תפוקה מצטברת מול אשתקד'!A37,מגדל!A:G,6,0)+VLOOKUP('תפוקה מצטברת מול אשתקד'!A37,מנורה!A:G,6,0)+VLOOKUP('תפוקה מצטברת מול אשתקד'!A37,איילון!A:G,6,0)+VLOOKUP(A37,הראל!A:G,6,0)+VLOOKUP('תפוקה מצטברת מול אשתקד'!A37,הפניקס!A:G,6,0)+VLOOKUP('תפוקה מצטברת מול אשתקד'!A37,כלל!A:G,6,0)+VLOOKUP('תפוקה מצטברת מול אשתקד'!A37,מור!A:G,6,0)+VLOOKUP('תפוקה מצטברת מול אשתקד'!A37,'אלטשולר שחם'!A:G,6,0)+VLOOKUP('תפוקה מצטברת מול אשתקד'!A37,'מדיהו '!A:G,6,0)+VLOOKUP('תפוקה מצטברת מול אשתקד'!A37,'אנליסט '!A:G,6,0)+VLOOKUP('תפוקה מצטברת מול אשתקד'!A37,'מיטב דש'!A:G,6,0)+VLOOKUP('תפוקה מצטברת מול אשתקד'!A37,אינפניטי!A:G,6,0)</f>
        <v>0</v>
      </c>
      <c r="K37" s="58">
        <f>VLOOKUP(A37,הכשרה!A:G,7,0)+VLOOKUP('תפוקה מצטברת מול אשתקד'!A37,מגדל!A:G,7,0)+VLOOKUP('תפוקה מצטברת מול אשתקד'!A37,מנורה!A:G,7,0)+VLOOKUP('תפוקה מצטברת מול אשתקד'!A37,איילון!A:G,7,0)+VLOOKUP('תפוקה מצטברת מול אשתקד'!A37,הראל!A:G,7,0)+VLOOKUP('תפוקה מצטברת מול אשתקד'!A37,הפניקס!A:G,7,0)+VLOOKUP('תפוקה מצטברת מול אשתקד'!A37,כלל!A:G,7,0)+VLOOKUP('תפוקה מצטברת מול אשתקד'!A37,מור!A:G,7,0)+VLOOKUP('תפוקה מצטברת מול אשתקד'!A37,'אלטשולר שחם'!A:G,7,0)+VLOOKUP('תפוקה מצטברת מול אשתקד'!A37,'מדיהו '!A:K,7,0)+VLOOKUP(A37,'אנליסט '!A:G,7,0)+VLOOKUP('תפוקה מצטברת מול אשתקד'!A37,'מיטב דש'!A:G,7,0)+VLOOKUP('תפוקה מצטברת מול אשתקד'!A37,אינפניטי!A:G,7,0)</f>
        <v>0</v>
      </c>
      <c r="L37" s="12">
        <f>VLOOKUP(A37,הכשרה!A:K,8,0)+VLOOKUP('תפוקה מצטברת מול אשתקד'!A37,מגדל!A:K,8,0)+VLOOKUP('תפוקה מצטברת מול אשתקד'!A37,מנורה!A:K,8,0)+VLOOKUP('תפוקה מצטברת מול אשתקד'!A37,איילון!A:K,8,0)+VLOOKUP('תפוקה מצטברת מול אשתקד'!A37,הראל!A:K,8,0)+VLOOKUP('תפוקה מצטברת מול אשתקד'!A37,הפניקס!A:K,8,0)+VLOOKUP('תפוקה מצטברת מול אשתקד'!A37,כלל!A:K,8,0)+VLOOKUP('תפוקה מצטברת מול אשתקד'!A37,מור!A:K,8,0)+VLOOKUP('תפוקה מצטברת מול אשתקד'!A37,'אלטשולר שחם'!A:K,8,0)+VLOOKUP('תפוקה מצטברת מול אשתקד'!A37,'מדיהו '!A:K,8,0)+VLOOKUP('תפוקה מצטברת מול אשתקד'!A37,'אנליסט '!A:K,8,0)+VLOOKUP('תפוקה מצטברת מול אשתקד'!A37,'מיטב דש'!A:K,8,0)+VLOOKUP('תפוקה מצטברת מול אשתקד'!A37,אינפניטי!A:K,8,0)</f>
        <v>-17643.070716364658</v>
      </c>
      <c r="M37" s="12">
        <f>VLOOKUP(A37,הכשרה!A:K,9,0)+VLOOKUP('תפוקה מצטברת מול אשתקד'!A37,מגדל!A:K,9,0)+VLOOKUP('תפוקה מצטברת מול אשתקד'!A37,מנורה!A:K,9,0)+VLOOKUP('תפוקה מצטברת מול אשתקד'!A37,איילון!A:K,9,0)+VLOOKUP('תפוקה מצטברת מול אשתקד'!A37,הראל!A:K,9,0)+VLOOKUP('תפוקה מצטברת מול אשתקד'!A37,הפניקס!A:K,9,0)+VLOOKUP('תפוקה מצטברת מול אשתקד'!A37,כלל!A:K,9,0)+VLOOKUP('תפוקה מצטברת מול אשתקד'!A37,מור!A:K,9,0)+VLOOKUP('תפוקה מצטברת מול אשתקד'!A37,'אלטשולר שחם'!A:K,9,0)+VLOOKUP('תפוקה מצטברת מול אשתקד'!A37,'מדיהו '!A:K,9,0)+VLOOKUP('תפוקה מצטברת מול אשתקד'!A37,'אנליסט '!A:K,9,0)+VLOOKUP('תפוקה מצטברת מול אשתקד'!A37,'מיטב דש'!A:K,9,0)+VLOOKUP('תפוקה מצטברת מול אשתקד'!A37,אינפניטי!A:K,9,0)</f>
        <v>0</v>
      </c>
      <c r="N37" s="12">
        <f>VLOOKUP(A37,הכשרה!A:K,10,0)+VLOOKUP('תפוקה מצטברת מול אשתקד'!A37,מגדל!A:K,10,0)+VLOOKUP('תפוקה מצטברת מול אשתקד'!A37,מנורה!A:K,10,0)+VLOOKUP('תפוקה מצטברת מול אשתקד'!A37,איילון!A:K,10,0)+VLOOKUP('תפוקה מצטברת מול אשתקד'!A37,הראל!A:K,10,0)+VLOOKUP('תפוקה מצטברת מול אשתקד'!A37,הפניקס!A:K,10,0)+VLOOKUP('תפוקה מצטברת מול אשתקד'!A37,כלל!A:K,10,0)+VLOOKUP('תפוקה מצטברת מול אשתקד'!A37,מור!A:K,10,0)+VLOOKUP('תפוקה מצטברת מול אשתקד'!A37,'אלטשולר שחם'!A:K,10,0)+VLOOKUP('תפוקה מצטברת מול אשתקד'!A37,'מדיהו '!A:K,10,0)+VLOOKUP('תפוקה מצטברת מול אשתקד'!A37,'אנליסט '!A:K,10,0)+VLOOKUP('תפוקה מצטברת מול אשתקד'!A37,'מיטב דש'!A:K,10,0)+VLOOKUP('תפוקה מצטברת מול אשתקד'!A37,אינפניטי!A:K,10,0)</f>
        <v>0</v>
      </c>
      <c r="O37" s="12">
        <f>VLOOKUP(A37,הכשרה!A:K,11,0)+VLOOKUP('תפוקה מצטברת מול אשתקד'!A37,מגדל!A:K,11,0)+VLOOKUP('תפוקה מצטברת מול אשתקד'!A37,מנורה!A:K,11,0)+VLOOKUP('תפוקה מצטברת מול אשתקד'!A37,איילון!A:K,11,0)+VLOOKUP('תפוקה מצטברת מול אשתקד'!A37,הראל!A:K,11,0)+VLOOKUP('תפוקה מצטברת מול אשתקד'!A37,הפניקס!A:K,11,0)+VLOOKUP('תפוקה מצטברת מול אשתקד'!A37,כלל!A:K,11,0)+VLOOKUP('תפוקה מצטברת מול אשתקד'!A37,מור!A:K,11,0)+VLOOKUP('תפוקה מצטברת מול אשתקד'!A37,'אלטשולר שחם'!A:K,11,0)+VLOOKUP('תפוקה מצטברת מול אשתקד'!A37,'מדיהו '!A:K,11,0)+VLOOKUP('תפוקה מצטברת מול אשתקד'!A37,'אנליסט '!A:K,11,0)+VLOOKUP('תפוקה מצטברת מול אשתקד'!A37,'מיטב דש'!A:K,11,0)+VLOOKUP('תפוקה מצטברת מול אשתקד'!A37,אינפניטי!A:K,11,0)</f>
        <v>623322.27</v>
      </c>
    </row>
    <row r="38" spans="1:15" ht="15.75" customHeight="1" x14ac:dyDescent="0.2">
      <c r="A38" s="26" t="s">
        <v>29</v>
      </c>
      <c r="B38" s="26" t="s">
        <v>56</v>
      </c>
      <c r="C38" s="27" t="s">
        <v>107</v>
      </c>
      <c r="D38" s="19">
        <f t="shared" si="0"/>
        <v>-8.8880303334249677E-2</v>
      </c>
      <c r="E38" s="19">
        <f t="shared" si="0"/>
        <v>1</v>
      </c>
      <c r="F38" s="19">
        <f t="shared" si="0"/>
        <v>1</v>
      </c>
      <c r="G38" s="19">
        <f>IF(K38=0,0%,IF(O38=H62,100%,K38/O38-1))</f>
        <v>1</v>
      </c>
      <c r="H38" s="58">
        <f>VLOOKUP(A38,הכשרה!A:G,4,0)+VLOOKUP('תפוקה מצטברת מול אשתקד'!A38,מגדל!A:G,4,0)+VLOOKUP('תפוקה מצטברת מול אשתקד'!A38,מנורה!A:G,4,0)+VLOOKUP('תפוקה מצטברת מול אשתקד'!A38,איילון!A:G,4,0)+VLOOKUP('תפוקה מצטברת מול אשתקד'!A38,הראל!A:G,4,0)+VLOOKUP('תפוקה מצטברת מול אשתקד'!A38,הפניקס!A:G,4,0)+VLOOKUP('תפוקה מצטברת מול אשתקד'!A38,כלל!A:G,4,0)+VLOOKUP('תפוקה מצטברת מול אשתקד'!A38,מור!A:G,4,0)+VLOOKUP('תפוקה מצטברת מול אשתקד'!A38,'אלטשולר שחם'!A:G,4,0)+VLOOKUP('תפוקה מצטברת מול אשתקד'!A38,'מדיהו '!A:G,4,0)+VLOOKUP('תפוקה מצטברת מול אשתקד'!A38,'אנליסט '!A:G,4,0)+VLOOKUP('תפוקה מצטברת מול אשתקד'!A38,'מיטב דש'!A:G,4,0)+VLOOKUP('תפוקה מצטברת מול אשתקד'!A38,אינפניטי!A:G,4,0)</f>
        <v>7357.82</v>
      </c>
      <c r="I38" s="58">
        <f>VLOOKUP(A38,הכשרה!A:G,5,0)+VLOOKUP('תפוקה מצטברת מול אשתקד'!A38,מגדל!A:G,5,0)+VLOOKUP('תפוקה מצטברת מול אשתקד'!A38,מנורה!A:G,5,0)+VLOOKUP('תפוקה מצטברת מול אשתקד'!A38,איילון!A:G,5,0)+VLOOKUP('תפוקה מצטברת מול אשתקד'!A38,הראל!A:G,5,0)+VLOOKUP('תפוקה מצטברת מול אשתקד'!A38,הפניקס!A:G,5,0)+VLOOKUP('תפוקה מצטברת מול אשתקד'!A38,כלל!A:G,5,0)+VLOOKUP('תפוקה מצטברת מול אשתקד'!A38,מור!A:G,5,0)+VLOOKUP('תפוקה מצטברת מול אשתקד'!A38,'אלטשולר שחם'!A:G,5,0)+VLOOKUP('תפוקה מצטברת מול אשתקד'!A38,'מדיהו '!A:G,5,0)+VLOOKUP('תפוקה מצטברת מול אשתקד'!A38,'אנליסט '!A:G,5,0)+VLOOKUP('תפוקה מצטברת מול אשתקד'!A38,'מיטב דש'!A:G,5,0)+VLOOKUP('תפוקה מצטברת מול אשתקד'!A38,אינפניטי!A:G,5,0)</f>
        <v>2586.0700000000002</v>
      </c>
      <c r="J38" s="58">
        <f>VLOOKUP(A38,הכשרה!A:G,6,0)+VLOOKUP('תפוקה מצטברת מול אשתקד'!A38,מגדל!A:G,6,0)+VLOOKUP('תפוקה מצטברת מול אשתקד'!A38,מנורה!A:G,6,0)+VLOOKUP('תפוקה מצטברת מול אשתקד'!A38,איילון!A:G,6,0)+VLOOKUP(A38,הראל!A:G,6,0)+VLOOKUP('תפוקה מצטברת מול אשתקד'!A38,הפניקס!A:G,6,0)+VLOOKUP('תפוקה מצטברת מול אשתקד'!A38,כלל!A:G,6,0)+VLOOKUP('תפוקה מצטברת מול אשתקד'!A38,מור!A:G,6,0)+VLOOKUP('תפוקה מצטברת מול אשתקד'!A38,'אלטשולר שחם'!A:G,6,0)+VLOOKUP('תפוקה מצטברת מול אשתקד'!A38,'מדיהו '!A:G,6,0)+VLOOKUP('תפוקה מצטברת מול אשתקד'!A38,'אנליסט '!A:G,6,0)+VLOOKUP('תפוקה מצטברת מול אשתקד'!A38,'מיטב דש'!A:G,6,0)+VLOOKUP('תפוקה מצטברת מול אשתקד'!A38,אינפניטי!A:G,6,0)</f>
        <v>245375.98</v>
      </c>
      <c r="K38" s="58">
        <f>VLOOKUP(A38,הכשרה!A:G,7,0)+VLOOKUP('תפוקה מצטברת מול אשתקד'!A38,מגדל!A:G,7,0)+VLOOKUP('תפוקה מצטברת מול אשתקד'!A38,מנורה!A:G,7,0)+VLOOKUP('תפוקה מצטברת מול אשתקד'!A38,איילון!A:G,7,0)+VLOOKUP('תפוקה מצטברת מול אשתקד'!A38,הראל!A:G,7,0)+VLOOKUP('תפוקה מצטברת מול אשתקד'!A38,הפניקס!A:G,7,0)+VLOOKUP('תפוקה מצטברת מול אשתקד'!A38,כלל!A:G,7,0)+VLOOKUP('תפוקה מצטברת מול אשתקד'!A38,מור!A:G,7,0)+VLOOKUP('תפוקה מצטברת מול אשתקד'!A38,'אלטשולר שחם'!A:G,7,0)+VLOOKUP('תפוקה מצטברת מול אשתקד'!A38,'מדיהו '!A:K,7,0)+VLOOKUP(A38,'אנליסט '!A:G,7,0)+VLOOKUP('תפוקה מצטברת מול אשתקד'!A38,'מיטב דש'!A:G,7,0)+VLOOKUP('תפוקה מצטברת מול אשתקד'!A38,אינפניטי!A:G,7,0)</f>
        <v>227555.07</v>
      </c>
      <c r="L38" s="12">
        <f>VLOOKUP(A38,הכשרה!A:K,8,0)+VLOOKUP('תפוקה מצטברת מול אשתקד'!A38,מגדל!A:K,8,0)+VLOOKUP('תפוקה מצטברת מול אשתקד'!A38,מנורה!A:K,8,0)+VLOOKUP('תפוקה מצטברת מול אשתקד'!A38,איילון!A:K,8,0)+VLOOKUP('תפוקה מצטברת מול אשתקד'!A38,הראל!A:K,8,0)+VLOOKUP('תפוקה מצטברת מול אשתקד'!A38,הפניקס!A:K,8,0)+VLOOKUP('תפוקה מצטברת מול אשתקד'!A38,כלל!A:K,8,0)+VLOOKUP('תפוקה מצטברת מול אשתקד'!A38,מור!A:K,8,0)+VLOOKUP('תפוקה מצטברת מול אשתקד'!A38,'אלטשולר שחם'!A:K,8,0)+VLOOKUP('תפוקה מצטברת מול אשתקד'!A38,'מדיהו '!A:K,8,0)+VLOOKUP('תפוקה מצטברת מול אשתקד'!A38,'אנליסט '!A:K,8,0)+VLOOKUP('תפוקה מצטברת מול אשתקד'!A38,'מיטב דש'!A:K,8,0)+VLOOKUP('תפוקה מצטברת מול אשתקד'!A38,אינפניטי!A:K,8,0)</f>
        <v>8075.58</v>
      </c>
      <c r="M38" s="12">
        <f>VLOOKUP(A38,הכשרה!A:K,9,0)+VLOOKUP('תפוקה מצטברת מול אשתקד'!A38,מגדל!A:K,9,0)+VLOOKUP('תפוקה מצטברת מול אשתקד'!A38,מנורה!A:K,9,0)+VLOOKUP('תפוקה מצטברת מול אשתקד'!A38,איילון!A:K,9,0)+VLOOKUP('תפוקה מצטברת מול אשתקד'!A38,הראל!A:K,9,0)+VLOOKUP('תפוקה מצטברת מול אשתקד'!A38,הפניקס!A:K,9,0)+VLOOKUP('תפוקה מצטברת מול אשתקד'!A38,כלל!A:K,9,0)+VLOOKUP('תפוקה מצטברת מול אשתקד'!A38,מור!A:K,9,0)+VLOOKUP('תפוקה מצטברת מול אשתקד'!A38,'אלטשולר שחם'!A:K,9,0)+VLOOKUP('תפוקה מצטברת מול אשתקד'!A38,'מדיהו '!A:K,9,0)+VLOOKUP('תפוקה מצטברת מול אשתקד'!A38,'אנליסט '!A:K,9,0)+VLOOKUP('תפוקה מצטברת מול אשתקד'!A38,'מיטב דש'!A:K,9,0)+VLOOKUP('תפוקה מצטברת מול אשתקד'!A38,אינפניטי!A:K,9,0)</f>
        <v>0</v>
      </c>
      <c r="N38" s="12">
        <f>VLOOKUP(A38,הכשרה!A:K,10,0)+VLOOKUP('תפוקה מצטברת מול אשתקד'!A38,מגדל!A:K,10,0)+VLOOKUP('תפוקה מצטברת מול אשתקד'!A38,מנורה!A:K,10,0)+VLOOKUP('תפוקה מצטברת מול אשתקד'!A38,איילון!A:K,10,0)+VLOOKUP('תפוקה מצטברת מול אשתקד'!A38,הראל!A:K,10,0)+VLOOKUP('תפוקה מצטברת מול אשתקד'!A38,הפניקס!A:K,10,0)+VLOOKUP('תפוקה מצטברת מול אשתקד'!A38,כלל!A:K,10,0)+VLOOKUP('תפוקה מצטברת מול אשתקד'!A38,מור!A:K,10,0)+VLOOKUP('תפוקה מצטברת מול אשתקד'!A38,'אלטשולר שחם'!A:K,10,0)+VLOOKUP('תפוקה מצטברת מול אשתקד'!A38,'מדיהו '!A:K,10,0)+VLOOKUP('תפוקה מצטברת מול אשתקד'!A38,'אנליסט '!A:K,10,0)+VLOOKUP('תפוקה מצטברת מול אשתקד'!A38,'מיטב דש'!A:K,10,0)+VLOOKUP('תפוקה מצטברת מול אשתקד'!A38,אינפניטי!A:K,10,0)</f>
        <v>0</v>
      </c>
      <c r="O38" s="12">
        <f>VLOOKUP(A38,הכשרה!A:K,11,0)+VLOOKUP('תפוקה מצטברת מול אשתקד'!A38,מגדל!A:K,11,0)+VLOOKUP('תפוקה מצטברת מול אשתקד'!A38,מנורה!A:K,11,0)+VLOOKUP('תפוקה מצטברת מול אשתקד'!A38,איילון!A:K,11,0)+VLOOKUP('תפוקה מצטברת מול אשתקד'!A38,הראל!A:K,11,0)+VLOOKUP('תפוקה מצטברת מול אשתקד'!A38,הפניקס!A:K,11,0)+VLOOKUP('תפוקה מצטברת מול אשתקד'!A38,כלל!A:K,11,0)+VLOOKUP('תפוקה מצטברת מול אשתקד'!A38,מור!A:K,11,0)+VLOOKUP('תפוקה מצטברת מול אשתקד'!A38,'אלטשולר שחם'!A:K,11,0)+VLOOKUP('תפוקה מצטברת מול אשתקד'!A38,'מדיהו '!A:K,11,0)+VLOOKUP('תפוקה מצטברת מול אשתקד'!A38,'אנליסט '!A:K,11,0)+VLOOKUP('תפוקה מצטברת מול אשתקד'!A38,'מיטב דש'!A:K,11,0)+VLOOKUP('תפוקה מצטברת מול אשתקד'!A38,אינפניטי!A:K,11,0)</f>
        <v>0</v>
      </c>
    </row>
    <row r="39" spans="1:15" ht="15.75" customHeight="1" x14ac:dyDescent="0.2">
      <c r="A39" s="30" t="s">
        <v>95</v>
      </c>
      <c r="B39" s="26" t="s">
        <v>56</v>
      </c>
      <c r="C39" s="27" t="s">
        <v>107</v>
      </c>
      <c r="D39" s="19">
        <f t="shared" si="0"/>
        <v>0.51746061264032983</v>
      </c>
      <c r="E39" s="19">
        <f t="shared" si="0"/>
        <v>0.43635826622659768</v>
      </c>
      <c r="F39" s="19">
        <f t="shared" si="0"/>
        <v>-0.14597668074872427</v>
      </c>
      <c r="G39" s="19">
        <f>IF(K39=0,0%,IF(O39=H63,100%,K39/O39-1))</f>
        <v>-0.53453940256091603</v>
      </c>
      <c r="H39" s="58">
        <f>VLOOKUP(A39,הכשרה!A:G,4,0)+VLOOKUP('תפוקה מצטברת מול אשתקד'!A39,מגדל!A:G,4,0)+VLOOKUP('תפוקה מצטברת מול אשתקד'!A39,מנורה!A:G,4,0)+VLOOKUP('תפוקה מצטברת מול אשתקד'!A39,איילון!A:G,4,0)+VLOOKUP('תפוקה מצטברת מול אשתקד'!A39,הראל!A:G,4,0)+VLOOKUP('תפוקה מצטברת מול אשתקד'!A39,הפניקס!A:G,4,0)+VLOOKUP('תפוקה מצטברת מול אשתקד'!A39,כלל!A:G,4,0)+VLOOKUP('תפוקה מצטברת מול אשתקד'!A39,מור!A:G,4,0)+VLOOKUP('תפוקה מצטברת מול אשתקד'!A39,'אלטשולר שחם'!A:G,4,0)+VLOOKUP('תפוקה מצטברת מול אשתקד'!A39,'מדיהו '!A:G,4,0)+VLOOKUP('תפוקה מצטברת מול אשתקד'!A39,'אנליסט '!A:G,4,0)+VLOOKUP('תפוקה מצטברת מול אשתקד'!A39,'מיטב דש'!A:G,4,0)+VLOOKUP('תפוקה מצטברת מול אשתקד'!A39,אינפניטי!A:G,4,0)</f>
        <v>200471.46837361451</v>
      </c>
      <c r="I39" s="58">
        <f>VLOOKUP(A39,הכשרה!A:G,5,0)+VLOOKUP('תפוקה מצטברת מול אשתקד'!A39,מגדל!A:G,5,0)+VLOOKUP('תפוקה מצטברת מול אשתקד'!A39,מנורה!A:G,5,0)+VLOOKUP('תפוקה מצטברת מול אשתקד'!A39,איילון!A:G,5,0)+VLOOKUP('תפוקה מצטברת מול אשתקד'!A39,הראל!A:G,5,0)+VLOOKUP('תפוקה מצטברת מול אשתקד'!A39,הפניקס!A:G,5,0)+VLOOKUP('תפוקה מצטברת מול אשתקד'!A39,כלל!A:G,5,0)+VLOOKUP('תפוקה מצטברת מול אשתקד'!A39,מור!A:G,5,0)+VLOOKUP('תפוקה מצטברת מול אשתקד'!A39,'אלטשולר שחם'!A:G,5,0)+VLOOKUP('תפוקה מצטברת מול אשתקד'!A39,'מדיהו '!A:G,5,0)+VLOOKUP('תפוקה מצטברת מול אשתקד'!A39,'אנליסט '!A:G,5,0)+VLOOKUP('תפוקה מצטברת מול אשתקד'!A39,'מיטב דש'!A:G,5,0)+VLOOKUP('תפוקה מצטברת מול אשתקד'!A39,אינפניטי!A:G,5,0)</f>
        <v>20622.99152261945</v>
      </c>
      <c r="J39" s="58">
        <f>VLOOKUP(A39,הכשרה!A:G,6,0)+VLOOKUP('תפוקה מצטברת מול אשתקד'!A39,מגדל!A:G,6,0)+VLOOKUP('תפוקה מצטברת מול אשתקד'!A39,מנורה!A:G,6,0)+VLOOKUP('תפוקה מצטברת מול אשתקד'!A39,איילון!A:G,6,0)+VLOOKUP(A39,הראל!A:G,6,0)+VLOOKUP('תפוקה מצטברת מול אשתקד'!A39,הפניקס!A:G,6,0)+VLOOKUP('תפוקה מצטברת מול אשתקד'!A39,כלל!A:G,6,0)+VLOOKUP('תפוקה מצטברת מול אשתקד'!A39,מור!A:G,6,0)+VLOOKUP('תפוקה מצטברת מול אשתקד'!A39,'אלטשולר שחם'!A:G,6,0)+VLOOKUP('תפוקה מצטברת מול אשתקד'!A39,'מדיהו '!A:G,6,0)+VLOOKUP('תפוקה מצטברת מול אשתקד'!A39,'אנליסט '!A:G,6,0)+VLOOKUP('תפוקה מצטברת מול אשתקד'!A39,'מיטב דש'!A:G,6,0)+VLOOKUP('תפוקה מצטברת מול אשתקד'!A39,אינפניטי!A:G,6,0)</f>
        <v>216871.58326689361</v>
      </c>
      <c r="K39" s="58">
        <f>VLOOKUP(A39,הכשרה!A:G,7,0)+VLOOKUP('תפוקה מצטברת מול אשתקד'!A39,מגדל!A:G,7,0)+VLOOKUP('תפוקה מצטברת מול אשתקד'!A39,מנורה!A:G,7,0)+VLOOKUP('תפוקה מצטברת מול אשתקד'!A39,איילון!A:G,7,0)+VLOOKUP('תפוקה מצטברת מול אשתקד'!A39,הראל!A:G,7,0)+VLOOKUP('תפוקה מצטברת מול אשתקד'!A39,הפניקס!A:G,7,0)+VLOOKUP('תפוקה מצטברת מול אשתקד'!A39,כלל!A:G,7,0)+VLOOKUP('תפוקה מצטברת מול אשתקד'!A39,מור!A:G,7,0)+VLOOKUP('תפוקה מצטברת מול אשתקד'!A39,'אלטשולר שחם'!A:G,7,0)+VLOOKUP('תפוקה מצטברת מול אשתקד'!A39,'מדיהו '!A:K,7,0)+VLOOKUP(A39,'אנליסט '!A:G,7,0)+VLOOKUP('תפוקה מצטברת מול אשתקד'!A39,'מיטב דש'!A:G,7,0)+VLOOKUP('תפוקה מצטברת מול אשתקד'!A39,אינפניטי!A:G,7,0)</f>
        <v>637757.88</v>
      </c>
      <c r="L39" s="12">
        <f>VLOOKUP(A39,הכשרה!A:K,8,0)+VLOOKUP('תפוקה מצטברת מול אשתקד'!A39,מגדל!A:K,8,0)+VLOOKUP('תפוקה מצטברת מול אשתקד'!A39,מנורה!A:K,8,0)+VLOOKUP('תפוקה מצטברת מול אשתקד'!A39,איילון!A:K,8,0)+VLOOKUP('תפוקה מצטברת מול אשתקד'!A39,הראל!A:K,8,0)+VLOOKUP('תפוקה מצטברת מול אשתקד'!A39,הפניקס!A:K,8,0)+VLOOKUP('תפוקה מצטברת מול אשתקד'!A39,כלל!A:K,8,0)+VLOOKUP('תפוקה מצטברת מול אשתקד'!A39,מור!A:K,8,0)+VLOOKUP('תפוקה מצטברת מול אשתקד'!A39,'אלטשולר שחם'!A:K,8,0)+VLOOKUP('תפוקה מצטברת מול אשתקד'!A39,'מדיהו '!A:K,8,0)+VLOOKUP('תפוקה מצטברת מול אשתקד'!A39,'אנליסט '!A:K,8,0)+VLOOKUP('תפוקה מצטברת מול אשתקד'!A39,'מיטב דש'!A:K,8,0)+VLOOKUP('תפוקה מצטברת מול אשתקד'!A39,אינפניטי!A:K,8,0)</f>
        <v>132109.83316713636</v>
      </c>
      <c r="M39" s="12">
        <f>VLOOKUP(A39,הכשרה!A:K,9,0)+VLOOKUP('תפוקה מצטברת מול אשתקד'!A39,מגדל!A:K,9,0)+VLOOKUP('תפוקה מצטברת מול אשתקד'!A39,מנורה!A:K,9,0)+VLOOKUP('תפוקה מצטברת מול אשתקד'!A39,איילון!A:K,9,0)+VLOOKUP('תפוקה מצטברת מול אשתקד'!A39,הראל!A:K,9,0)+VLOOKUP('תפוקה מצטברת מול אשתקד'!A39,הפניקס!A:K,9,0)+VLOOKUP('תפוקה מצטברת מול אשתקד'!A39,כלל!A:K,9,0)+VLOOKUP('תפוקה מצטברת מול אשתקד'!A39,מור!A:K,9,0)+VLOOKUP('תפוקה מצטברת מול אשתקד'!A39,'אלטשולר שחם'!A:K,9,0)+VLOOKUP('תפוקה מצטברת מול אשתקד'!A39,'מדיהו '!A:K,9,0)+VLOOKUP('תפוקה מצטברת מול אשתקד'!A39,'אנליסט '!A:K,9,0)+VLOOKUP('תפוקה מצטברת מול אשתקד'!A39,'מיטב דש'!A:K,9,0)+VLOOKUP('תפוקה מצטברת מול אשתקד'!A39,אינפניטי!A:K,9,0)</f>
        <v>14357.832587824574</v>
      </c>
      <c r="N39" s="12">
        <f>VLOOKUP(A39,הכשרה!A:K,10,0)+VLOOKUP('תפוקה מצטברת מול אשתקד'!A39,מגדל!A:K,10,0)+VLOOKUP('תפוקה מצטברת מול אשתקד'!A39,מנורה!A:K,10,0)+VLOOKUP('תפוקה מצטברת מול אשתקד'!A39,איילון!A:K,10,0)+VLOOKUP('תפוקה מצטברת מול אשתקד'!A39,הראל!A:K,10,0)+VLOOKUP('תפוקה מצטברת מול אשתקד'!A39,הפניקס!A:K,10,0)+VLOOKUP('תפוקה מצטברת מול אשתקד'!A39,כלל!A:K,10,0)+VLOOKUP('תפוקה מצטברת מול אשתקד'!A39,מור!A:K,10,0)+VLOOKUP('תפוקה מצטברת מול אשתקד'!A39,'אלטשולר שחם'!A:K,10,0)+VLOOKUP('תפוקה מצטברת מול אשתקד'!A39,'מדיהו '!A:K,10,0)+VLOOKUP('תפוקה מצטברת מול אשתקד'!A39,'אנליסט '!A:K,10,0)+VLOOKUP('תפוקה מצטברת מול אשתקד'!A39,'מיטב דש'!A:K,10,0)+VLOOKUP('תפוקה מצטברת מול אשתקד'!A39,אינפניטי!A:K,10,0)</f>
        <v>253941.05568103859</v>
      </c>
      <c r="O39" s="12">
        <f>VLOOKUP(A39,הכשרה!A:K,11,0)+VLOOKUP('תפוקה מצטברת מול אשתקד'!A39,מגדל!A:K,11,0)+VLOOKUP('תפוקה מצטברת מול אשתקד'!A39,מנורה!A:K,11,0)+VLOOKUP('תפוקה מצטברת מול אשתקד'!A39,איילון!A:K,11,0)+VLOOKUP('תפוקה מצטברת מול אשתקד'!A39,הראל!A:K,11,0)+VLOOKUP('תפוקה מצטברת מול אשתקד'!A39,הפניקס!A:K,11,0)+VLOOKUP('תפוקה מצטברת מול אשתקד'!A39,כלל!A:K,11,0)+VLOOKUP('תפוקה מצטברת מול אשתקד'!A39,מור!A:K,11,0)+VLOOKUP('תפוקה מצטברת מול אשתקד'!A39,'אלטשולר שחם'!A:K,11,0)+VLOOKUP('תפוקה מצטברת מול אשתקד'!A39,'מדיהו '!A:K,11,0)+VLOOKUP('תפוקה מצטברת מול אשתקד'!A39,'אנליסט '!A:K,11,0)+VLOOKUP('תפוקה מצטברת מול אשתקד'!A39,'מיטב דש'!A:K,11,0)+VLOOKUP('תפוקה מצטברת מול אשתקד'!A39,אינפניטי!A:K,11,0)</f>
        <v>1370165.13</v>
      </c>
    </row>
    <row r="40" spans="1:15" ht="15.75" customHeight="1" x14ac:dyDescent="0.2">
      <c r="A40" s="26" t="s">
        <v>83</v>
      </c>
      <c r="B40" s="26" t="s">
        <v>56</v>
      </c>
      <c r="C40" s="27" t="s">
        <v>107</v>
      </c>
      <c r="D40" s="19">
        <f t="shared" si="0"/>
        <v>-0.86958427262922022</v>
      </c>
      <c r="E40" s="19">
        <f t="shared" si="0"/>
        <v>-0.71824315643726244</v>
      </c>
      <c r="F40" s="19">
        <f t="shared" si="0"/>
        <v>-0.74248406593406591</v>
      </c>
      <c r="G40" s="19">
        <f>IF(K40=0,0%,IF(O40=H64,100%,K40/O40-1))</f>
        <v>0</v>
      </c>
      <c r="H40" s="58">
        <f>VLOOKUP(A40,הכשרה!A:G,4,0)+VLOOKUP('תפוקה מצטברת מול אשתקד'!A40,מגדל!A:G,4,0)+VLOOKUP('תפוקה מצטברת מול אשתקד'!A40,מנורה!A:G,4,0)+VLOOKUP('תפוקה מצטברת מול אשתקד'!A40,איילון!A:G,4,0)+VLOOKUP('תפוקה מצטברת מול אשתקד'!A40,הראל!A:G,4,0)+VLOOKUP('תפוקה מצטברת מול אשתקד'!A40,הפניקס!A:G,4,0)+VLOOKUP('תפוקה מצטברת מול אשתקד'!A40,כלל!A:G,4,0)+VLOOKUP('תפוקה מצטברת מול אשתקד'!A40,מור!A:G,4,0)+VLOOKUP('תפוקה מצטברת מול אשתקד'!A40,'אלטשולר שחם'!A:G,4,0)+VLOOKUP('תפוקה מצטברת מול אשתקד'!A40,'מדיהו '!A:G,4,0)+VLOOKUP('תפוקה מצטברת מול אשתקד'!A40,'אנליסט '!A:G,4,0)+VLOOKUP('תפוקה מצטברת מול אשתקד'!A40,'מיטב דש'!A:G,4,0)+VLOOKUP('תפוקה מצטברת מול אשתקד'!A40,אינפניטי!A:G,4,0)</f>
        <v>9990</v>
      </c>
      <c r="I40" s="58">
        <f>VLOOKUP(A40,הכשרה!A:G,5,0)+VLOOKUP('תפוקה מצטברת מול אשתקד'!A40,מגדל!A:G,5,0)+VLOOKUP('תפוקה מצטברת מול אשתקד'!A40,מנורה!A:G,5,0)+VLOOKUP('תפוקה מצטברת מול אשתקד'!A40,איילון!A:G,5,0)+VLOOKUP('תפוקה מצטברת מול אשתקד'!A40,הראל!A:G,5,0)+VLOOKUP('תפוקה מצטברת מול אשתקד'!A40,הפניקס!A:G,5,0)+VLOOKUP('תפוקה מצטברת מול אשתקד'!A40,כלל!A:G,5,0)+VLOOKUP('תפוקה מצטברת מול אשתקד'!A40,מור!A:G,5,0)+VLOOKUP('תפוקה מצטברת מול אשתקד'!A40,'אלטשולר שחם'!A:G,5,0)+VLOOKUP('תפוקה מצטברת מול אשתקד'!A40,'מדיהו '!A:G,5,0)+VLOOKUP('תפוקה מצטברת מול אשתקד'!A40,'אנליסט '!A:G,5,0)+VLOOKUP('תפוקה מצטברת מול אשתקד'!A40,'מיטב דש'!A:G,5,0)+VLOOKUP('תפוקה מצטברת מול אשתקד'!A40,אינפניטי!A:G,5,0)</f>
        <v>8703.1039999999994</v>
      </c>
      <c r="J40" s="58">
        <f>VLOOKUP(A40,הכשרה!A:G,6,0)+VLOOKUP('תפוקה מצטברת מול אשתקד'!A40,מגדל!A:G,6,0)+VLOOKUP('תפוקה מצטברת מול אשתקד'!A40,מנורה!A:G,6,0)+VLOOKUP('תפוקה מצטברת מול אשתקד'!A40,איילון!A:G,6,0)+VLOOKUP(A40,הראל!A:G,6,0)+VLOOKUP('תפוקה מצטברת מול אשתקד'!A40,הפניקס!A:G,6,0)+VLOOKUP('תפוקה מצטברת מול אשתקד'!A40,כלל!A:G,6,0)+VLOOKUP('תפוקה מצטברת מול אשתקד'!A40,מור!A:G,6,0)+VLOOKUP('תפוקה מצטברת מול אשתקד'!A40,'אלטשולר שחם'!A:G,6,0)+VLOOKUP('תפוקה מצטברת מול אשתקד'!A40,'מדיהו '!A:G,6,0)+VLOOKUP('תפוקה מצטברת מול אשתקד'!A40,'אנליסט '!A:G,6,0)+VLOOKUP('תפוקה מצטברת מול אשתקד'!A40,'מיטב דש'!A:G,6,0)+VLOOKUP('תפוקה מצטברת מול אשתקד'!A40,אינפניטי!A:G,6,0)</f>
        <v>9373.58</v>
      </c>
      <c r="K40" s="58">
        <f>VLOOKUP(A40,הכשרה!A:G,7,0)+VLOOKUP('תפוקה מצטברת מול אשתקד'!A40,מגדל!A:G,7,0)+VLOOKUP('תפוקה מצטברת מול אשתקד'!A40,מנורה!A:G,7,0)+VLOOKUP('תפוקה מצטברת מול אשתקד'!A40,איילון!A:G,7,0)+VLOOKUP('תפוקה מצטברת מול אשתקד'!A40,הראל!A:G,7,0)+VLOOKUP('תפוקה מצטברת מול אשתקד'!A40,הפניקס!A:G,7,0)+VLOOKUP('תפוקה מצטברת מול אשתקד'!A40,כלל!A:G,7,0)+VLOOKUP('תפוקה מצטברת מול אשתקד'!A40,מור!A:G,7,0)+VLOOKUP('תפוקה מצטברת מול אשתקד'!A40,'אלטשולר שחם'!A:G,7,0)+VLOOKUP('תפוקה מצטברת מול אשתקד'!A40,'מדיהו '!A:K,7,0)+VLOOKUP(A40,'אנליסט '!A:G,7,0)+VLOOKUP('תפוקה מצטברת מול אשתקד'!A40,'מיטב דש'!A:G,7,0)+VLOOKUP('תפוקה מצטברת מול אשתקד'!A40,אינפניטי!A:G,7,0)</f>
        <v>0</v>
      </c>
      <c r="L40" s="12">
        <f>VLOOKUP(A40,הכשרה!A:K,8,0)+VLOOKUP('תפוקה מצטברת מול אשתקד'!A40,מגדל!A:K,8,0)+VLOOKUP('תפוקה מצטברת מול אשתקד'!A40,מנורה!A:K,8,0)+VLOOKUP('תפוקה מצטברת מול אשתקד'!A40,איילון!A:K,8,0)+VLOOKUP('תפוקה מצטברת מול אשתקד'!A40,הראל!A:K,8,0)+VLOOKUP('תפוקה מצטברת מול אשתקד'!A40,הפניקס!A:K,8,0)+VLOOKUP('תפוקה מצטברת מול אשתקד'!A40,כלל!A:K,8,0)+VLOOKUP('תפוקה מצטברת מול אשתקד'!A40,מור!A:K,8,0)+VLOOKUP('תפוקה מצטברת מול אשתקד'!A40,'אלטשולר שחם'!A:K,8,0)+VLOOKUP('תפוקה מצטברת מול אשתקד'!A40,'מדיהו '!A:K,8,0)+VLOOKUP('תפוקה מצטברת מול אשתקד'!A40,'אנליסט '!A:K,8,0)+VLOOKUP('תפוקה מצטברת מול אשתקד'!A40,'מיטב דש'!A:K,8,0)+VLOOKUP('תפוקה מצטברת מול אשתקד'!A40,אינפניטי!A:K,8,0)</f>
        <v>76601.19068</v>
      </c>
      <c r="M40" s="12">
        <f>VLOOKUP(A40,הכשרה!A:K,9,0)+VLOOKUP('תפוקה מצטברת מול אשתקד'!A40,מגדל!A:K,9,0)+VLOOKUP('תפוקה מצטברת מול אשתקד'!A40,מנורה!A:K,9,0)+VLOOKUP('תפוקה מצטברת מול אשתקד'!A40,איילון!A:K,9,0)+VLOOKUP('תפוקה מצטברת מול אשתקד'!A40,הראל!A:K,9,0)+VLOOKUP('תפוקה מצטברת מול אשתקד'!A40,הפניקס!A:K,9,0)+VLOOKUP('תפוקה מצטברת מול אשתקד'!A40,כלל!A:K,9,0)+VLOOKUP('תפוקה מצטברת מול אשתקד'!A40,מור!A:K,9,0)+VLOOKUP('תפוקה מצטברת מול אשתקד'!A40,'אלטשולר שחם'!A:K,9,0)+VLOOKUP('תפוקה מצטברת מול אשתקד'!A40,'מדיהו '!A:K,9,0)+VLOOKUP('תפוקה מצטברת מול אשתקד'!A40,'אנליסט '!A:K,9,0)+VLOOKUP('תפוקה מצטברת מול אשתקד'!A40,'מיטב דש'!A:K,9,0)+VLOOKUP('תפוקה מצטברת מול אשתקד'!A40,אינפניטי!A:K,9,0)</f>
        <v>30888.704919999996</v>
      </c>
      <c r="N40" s="12">
        <f>VLOOKUP(A40,הכשרה!A:K,10,0)+VLOOKUP('תפוקה מצטברת מול אשתקד'!A40,מגדל!A:K,10,0)+VLOOKUP('תפוקה מצטברת מול אשתקד'!A40,מנורה!A:K,10,0)+VLOOKUP('תפוקה מצטברת מול אשתקד'!A40,איילון!A:K,10,0)+VLOOKUP('תפוקה מצטברת מול אשתקד'!A40,הראל!A:K,10,0)+VLOOKUP('תפוקה מצטברת מול אשתקד'!A40,הפניקס!A:K,10,0)+VLOOKUP('תפוקה מצטברת מול אשתקד'!A40,כלל!A:K,10,0)+VLOOKUP('תפוקה מצטברת מול אשתקד'!A40,מור!A:K,10,0)+VLOOKUP('תפוקה מצטברת מול אשתקד'!A40,'אלטשולר שחם'!A:K,10,0)+VLOOKUP('תפוקה מצטברת מול אשתקד'!A40,'מדיהו '!A:K,10,0)+VLOOKUP('תפוקה מצטברת מול אשתקד'!A40,'אנליסט '!A:K,10,0)+VLOOKUP('תפוקה מצטברת מול אשתקד'!A40,'מיטב דש'!A:K,10,0)+VLOOKUP('תפוקה מצטברת מול אשתקד'!A40,אינפניטי!A:K,10,0)</f>
        <v>36400</v>
      </c>
      <c r="O40" s="12">
        <f>VLOOKUP(A40,הכשרה!A:K,11,0)+VLOOKUP('תפוקה מצטברת מול אשתקד'!A40,מגדל!A:K,11,0)+VLOOKUP('תפוקה מצטברת מול אשתקד'!A40,מנורה!A:K,11,0)+VLOOKUP('תפוקה מצטברת מול אשתקד'!A40,איילון!A:K,11,0)+VLOOKUP('תפוקה מצטברת מול אשתקד'!A40,הראל!A:K,11,0)+VLOOKUP('תפוקה מצטברת מול אשתקד'!A40,הפניקס!A:K,11,0)+VLOOKUP('תפוקה מצטברת מול אשתקד'!A40,כלל!A:K,11,0)+VLOOKUP('תפוקה מצטברת מול אשתקד'!A40,מור!A:K,11,0)+VLOOKUP('תפוקה מצטברת מול אשתקד'!A40,'אלטשולר שחם'!A:K,11,0)+VLOOKUP('תפוקה מצטברת מול אשתקד'!A40,'מדיהו '!A:K,11,0)+VLOOKUP('תפוקה מצטברת מול אשתקד'!A40,'אנליסט '!A:K,11,0)+VLOOKUP('תפוקה מצטברת מול אשתקד'!A40,'מיטב דש'!A:K,11,0)+VLOOKUP('תפוקה מצטברת מול אשתקד'!A40,אינפניטי!A:K,11,0)</f>
        <v>122191.98000000001</v>
      </c>
    </row>
    <row r="41" spans="1:15" ht="15.75" customHeight="1" x14ac:dyDescent="0.2">
      <c r="A41" s="26" t="s">
        <v>82</v>
      </c>
      <c r="B41" s="26" t="s">
        <v>56</v>
      </c>
      <c r="C41" s="27" t="s">
        <v>107</v>
      </c>
      <c r="D41" s="19">
        <f t="shared" si="0"/>
        <v>1</v>
      </c>
      <c r="E41" s="19">
        <f t="shared" si="0"/>
        <v>46.181123296776342</v>
      </c>
      <c r="F41" s="19">
        <f t="shared" si="0"/>
        <v>491.6610978520286</v>
      </c>
      <c r="G41" s="19">
        <f>IF(K41=0,0%,IF(O41=H65,100%,K41/O41-1))</f>
        <v>-0.95896528601298459</v>
      </c>
      <c r="H41" s="58">
        <f>VLOOKUP(A41,הכשרה!A:G,4,0)+VLOOKUP('תפוקה מצטברת מול אשתקד'!A41,מגדל!A:G,4,0)+VLOOKUP('תפוקה מצטברת מול אשתקד'!A41,מנורה!A:G,4,0)+VLOOKUP('תפוקה מצטברת מול אשתקד'!A41,איילון!A:G,4,0)+VLOOKUP('תפוקה מצטברת מול אשתקד'!A41,הראל!A:G,4,0)+VLOOKUP('תפוקה מצטברת מול אשתקד'!A41,הפניקס!A:G,4,0)+VLOOKUP('תפוקה מצטברת מול אשתקד'!A41,כלל!A:G,4,0)+VLOOKUP('תפוקה מצטברת מול אשתקד'!A41,מור!A:G,4,0)+VLOOKUP('תפוקה מצטברת מול אשתקד'!A41,'אלטשולר שחם'!A:G,4,0)+VLOOKUP('תפוקה מצטברת מול אשתקד'!A41,'מדיהו '!A:G,4,0)+VLOOKUP('תפוקה מצטברת מול אשתקד'!A41,'אנליסט '!A:G,4,0)+VLOOKUP('תפוקה מצטברת מול אשתקד'!A41,'מיטב דש'!A:G,4,0)+VLOOKUP('תפוקה מצטברת מול אשתקד'!A41,אינפניטי!A:G,4,0)</f>
        <v>5141.88</v>
      </c>
      <c r="I41" s="58">
        <f>VLOOKUP(A41,הכשרה!A:G,5,0)+VLOOKUP('תפוקה מצטברת מול אשתקד'!A41,מגדל!A:G,5,0)+VLOOKUP('תפוקה מצטברת מול אשתקד'!A41,מנורה!A:G,5,0)+VLOOKUP('תפוקה מצטברת מול אשתקד'!A41,איילון!A:G,5,0)+VLOOKUP('תפוקה מצטברת מול אשתקד'!A41,הראל!A:G,5,0)+VLOOKUP('תפוקה מצטברת מול אשתקד'!A41,הפניקס!A:G,5,0)+VLOOKUP('תפוקה מצטברת מול אשתקד'!A41,כלל!A:G,5,0)+VLOOKUP('תפוקה מצטברת מול אשתקד'!A41,מור!A:G,5,0)+VLOOKUP('תפוקה מצטברת מול אשתקד'!A41,'אלטשולר שחם'!A:G,5,0)+VLOOKUP('תפוקה מצטברת מול אשתקד'!A41,'מדיהו '!A:G,5,0)+VLOOKUP('תפוקה מצטברת מול אשתקד'!A41,'אנליסט '!A:G,5,0)+VLOOKUP('תפוקה מצטברת מול אשתקד'!A41,'מיטב דש'!A:G,5,0)+VLOOKUP('תפוקה מצטברת מול אשתקד'!A41,אינפניטי!A:G,5,0)</f>
        <v>5678.72</v>
      </c>
      <c r="J41" s="58">
        <f>VLOOKUP(A41,הכשרה!A:G,6,0)+VLOOKUP('תפוקה מצטברת מול אשתקד'!A41,מגדל!A:G,6,0)+VLOOKUP('תפוקה מצטברת מול אשתקד'!A41,מנורה!A:G,6,0)+VLOOKUP('תפוקה מצטברת מול אשתקד'!A41,איילון!A:G,6,0)+VLOOKUP(A41,הראל!A:G,6,0)+VLOOKUP('תפוקה מצטברת מול אשתקד'!A41,הפניקס!A:G,6,0)+VLOOKUP('תפוקה מצטברת מול אשתקד'!A41,כלל!A:G,6,0)+VLOOKUP('תפוקה מצטברת מול אשתקד'!A41,מור!A:G,6,0)+VLOOKUP('תפוקה מצטברת מול אשתקד'!A41,'אלטשולר שחם'!A:G,6,0)+VLOOKUP('תפוקה מצטברת מול אשתקד'!A41,'מדיהו '!A:G,6,0)+VLOOKUP('תפוקה מצטברת מול אשתקד'!A41,'אנליסט '!A:G,6,0)+VLOOKUP('תפוקה מצטברת מול אשתקד'!A41,'מיטב דש'!A:G,6,0)+VLOOKUP('תפוקה מצטברת מול אשתקד'!A41,אינפניטי!A:G,6,0)</f>
        <v>483034.5</v>
      </c>
      <c r="K41" s="58">
        <f>VLOOKUP(A41,הכשרה!A:G,7,0)+VLOOKUP('תפוקה מצטברת מול אשתקד'!A41,מגדל!A:G,7,0)+VLOOKUP('תפוקה מצטברת מול אשתקד'!A41,מנורה!A:G,7,0)+VLOOKUP('תפוקה מצטברת מול אשתקד'!A41,איילון!A:G,7,0)+VLOOKUP('תפוקה מצטברת מול אשתקד'!A41,הראל!A:G,7,0)+VLOOKUP('תפוקה מצטברת מול אשתקד'!A41,הפניקס!A:G,7,0)+VLOOKUP('תפוקה מצטברת מול אשתקד'!A41,כלל!A:G,7,0)+VLOOKUP('תפוקה מצטברת מול אשתקד'!A41,מור!A:G,7,0)+VLOOKUP('תפוקה מצטברת מול אשתקד'!A41,'אלטשולר שחם'!A:G,7,0)+VLOOKUP('תפוקה מצטברת מול אשתקד'!A41,'מדיהו '!A:K,7,0)+VLOOKUP(A41,'אנליסט '!A:G,7,0)+VLOOKUP('תפוקה מצטברת מול אשתקד'!A41,'מיטב דש'!A:G,7,0)+VLOOKUP('תפוקה מצטברת מול אשתקד'!A41,אינפניטי!A:G,7,0)</f>
        <v>124339.83999999997</v>
      </c>
      <c r="L41" s="12">
        <f>VLOOKUP(A41,הכשרה!A:K,8,0)+VLOOKUP('תפוקה מצטברת מול אשתקד'!A41,מגדל!A:K,8,0)+VLOOKUP('תפוקה מצטברת מול אשתקד'!A41,מנורה!A:K,8,0)+VLOOKUP('תפוקה מצטברת מול אשתקד'!A41,איילון!A:K,8,0)+VLOOKUP('תפוקה מצטברת מול אשתקד'!A41,הראל!A:K,8,0)+VLOOKUP('תפוקה מצטברת מול אשתקד'!A41,הפניקס!A:K,8,0)+VLOOKUP('תפוקה מצטברת מול אשתקד'!A41,כלל!A:K,8,0)+VLOOKUP('תפוקה מצטברת מול אשתקד'!A41,מור!A:K,8,0)+VLOOKUP('תפוקה מצטברת מול אשתקד'!A41,'אלטשולר שחם'!A:K,8,0)+VLOOKUP('תפוקה מצטברת מול אשתקד'!A41,'מדיהו '!A:K,8,0)+VLOOKUP('תפוקה מצטברת מול אשתקד'!A41,'אנליסט '!A:K,8,0)+VLOOKUP('תפוקה מצטברת מול אשתקד'!A41,'מיטב דש'!A:K,8,0)+VLOOKUP('תפוקה מצטברת מול אשתקד'!A41,אינפניטי!A:K,8,0)</f>
        <v>0</v>
      </c>
      <c r="M41" s="12">
        <f>VLOOKUP(A41,הכשרה!A:K,9,0)+VLOOKUP('תפוקה מצטברת מול אשתקד'!A41,מגדל!A:K,9,0)+VLOOKUP('תפוקה מצטברת מול אשתקד'!A41,מנורה!A:K,9,0)+VLOOKUP('תפוקה מצטברת מול אשתקד'!A41,איילון!A:K,9,0)+VLOOKUP('תפוקה מצטברת מול אשתקד'!A41,הראל!A:K,9,0)+VLOOKUP('תפוקה מצטברת מול אשתקד'!A41,הפניקס!A:K,9,0)+VLOOKUP('תפוקה מצטברת מול אשתקד'!A41,כלל!A:K,9,0)+VLOOKUP('תפוקה מצטברת מול אשתקד'!A41,מור!A:K,9,0)+VLOOKUP('תפוקה מצטברת מול אשתקד'!A41,'אלטשולר שחם'!A:K,9,0)+VLOOKUP('תפוקה מצטברת מול אשתקד'!A41,'מדיהו '!A:K,9,0)+VLOOKUP('תפוקה מצטברת מול אשתקד'!A41,'אנליסט '!A:K,9,0)+VLOOKUP('תפוקה מצטברת מול אשתקד'!A41,'מיטב דש'!A:K,9,0)+VLOOKUP('תפוקה מצטברת מול אשתקד'!A41,אינפניטי!A:K,9,0)</f>
        <v>120.36</v>
      </c>
      <c r="N41" s="12">
        <f>VLOOKUP(A41,הכשרה!A:K,10,0)+VLOOKUP('תפוקה מצטברת מול אשתקד'!A41,מגדל!A:K,10,0)+VLOOKUP('תפוקה מצטברת מול אשתקד'!A41,מנורה!A:K,10,0)+VLOOKUP('תפוקה מצטברת מול אשתקד'!A41,איילון!A:K,10,0)+VLOOKUP('תפוקה מצטברת מול אשתקד'!A41,הראל!A:K,10,0)+VLOOKUP('תפוקה מצטברת מול אשתקד'!A41,הפניקס!A:K,10,0)+VLOOKUP('תפוקה מצטברת מול אשתקד'!A41,כלל!A:K,10,0)+VLOOKUP('תפוקה מצטברת מול אשתקד'!A41,מור!A:K,10,0)+VLOOKUP('תפוקה מצטברת מול אשתקד'!A41,'אלטשולר שחם'!A:K,10,0)+VLOOKUP('תפוקה מצטברת מול אשתקד'!A41,'מדיהו '!A:K,10,0)+VLOOKUP('תפוקה מצטברת מול אשתקד'!A41,'אנליסט '!A:K,10,0)+VLOOKUP('תפוקה מצטברת מול אשתקד'!A41,'מיטב דש'!A:K,10,0)+VLOOKUP('תפוקה מצטברת מול אשתקד'!A41,אינפניטי!A:K,10,0)</f>
        <v>980.46</v>
      </c>
      <c r="O41" s="12">
        <f>VLOOKUP(A41,הכשרה!A:K,11,0)+VLOOKUP('תפוקה מצטברת מול אשתקד'!A41,מגדל!A:K,11,0)+VLOOKUP('תפוקה מצטברת מול אשתקד'!A41,מנורה!A:K,11,0)+VLOOKUP('תפוקה מצטברת מול אשתקד'!A41,איילון!A:K,11,0)+VLOOKUP('תפוקה מצטברת מול אשתקד'!A41,הראל!A:K,11,0)+VLOOKUP('תפוקה מצטברת מול אשתקד'!A41,הפניקס!A:K,11,0)+VLOOKUP('תפוקה מצטברת מול אשתקד'!A41,כלל!A:K,11,0)+VLOOKUP('תפוקה מצטברת מול אשתקד'!A41,מור!A:K,11,0)+VLOOKUP('תפוקה מצטברת מול אשתקד'!A41,'אלטשולר שחם'!A:K,11,0)+VLOOKUP('תפוקה מצטברת מול אשתקד'!A41,'מדיהו '!A:K,11,0)+VLOOKUP('תפוקה מצטברת מול אשתקד'!A41,'אנליסט '!A:K,11,0)+VLOOKUP('תפוקה מצטברת מול אשתקד'!A41,'מיטב דש'!A:K,11,0)+VLOOKUP('תפוקה מצטברת מול אשתקד'!A41,אינפניטי!A:K,11,0)</f>
        <v>3030113.48</v>
      </c>
    </row>
    <row r="42" spans="1:15" ht="15.75" customHeight="1" x14ac:dyDescent="0.2">
      <c r="A42" s="28" t="s">
        <v>85</v>
      </c>
      <c r="B42" s="26" t="s">
        <v>56</v>
      </c>
      <c r="C42" s="27" t="s">
        <v>107</v>
      </c>
      <c r="D42" s="19">
        <f t="shared" si="0"/>
        <v>0</v>
      </c>
      <c r="E42" s="19">
        <f t="shared" si="0"/>
        <v>1</v>
      </c>
      <c r="F42" s="19">
        <f t="shared" si="0"/>
        <v>0</v>
      </c>
      <c r="G42" s="19">
        <f>IF(K42=0,0%,IF(O42=H66,100%,K42/O42-1))</f>
        <v>0</v>
      </c>
      <c r="H42" s="58">
        <f>VLOOKUP(A42,הכשרה!A:G,4,0)+VLOOKUP('תפוקה מצטברת מול אשתקד'!A42,מגדל!A:G,4,0)+VLOOKUP('תפוקה מצטברת מול אשתקד'!A42,מנורה!A:G,4,0)+VLOOKUP('תפוקה מצטברת מול אשתקד'!A42,איילון!A:G,4,0)+VLOOKUP('תפוקה מצטברת מול אשתקד'!A42,הראל!A:G,4,0)+VLOOKUP('תפוקה מצטברת מול אשתקד'!A42,הפניקס!A:G,4,0)+VLOOKUP('תפוקה מצטברת מול אשתקד'!A42,כלל!A:G,4,0)+VLOOKUP('תפוקה מצטברת מול אשתקד'!A42,מור!A:G,4,0)+VLOOKUP('תפוקה מצטברת מול אשתקד'!A42,'אלטשולר שחם'!A:G,4,0)+VLOOKUP('תפוקה מצטברת מול אשתקד'!A42,'מדיהו '!A:G,4,0)+VLOOKUP('תפוקה מצטברת מול אשתקד'!A42,'אנליסט '!A:G,4,0)+VLOOKUP('תפוקה מצטברת מול אשתקד'!A42,'מיטב דש'!A:G,4,0)+VLOOKUP('תפוקה מצטברת מול אשתקד'!A42,אינפניטי!A:G,4,0)</f>
        <v>0</v>
      </c>
      <c r="I42" s="58">
        <f>VLOOKUP(A42,הכשרה!A:G,5,0)+VLOOKUP('תפוקה מצטברת מול אשתקד'!A42,מגדל!A:G,5,0)+VLOOKUP('תפוקה מצטברת מול אשתקד'!A42,מנורה!A:G,5,0)+VLOOKUP('תפוקה מצטברת מול אשתקד'!A42,איילון!A:G,5,0)+VLOOKUP('תפוקה מצטברת מול אשתקד'!A42,הראל!A:G,5,0)+VLOOKUP('תפוקה מצטברת מול אשתקד'!A42,הפניקס!A:G,5,0)+VLOOKUP('תפוקה מצטברת מול אשתקד'!A42,כלל!A:G,5,0)+VLOOKUP('תפוקה מצטברת מול אשתקד'!A42,מור!A:G,5,0)+VLOOKUP('תפוקה מצטברת מול אשתקד'!A42,'אלטשולר שחם'!A:G,5,0)+VLOOKUP('תפוקה מצטברת מול אשתקד'!A42,'מדיהו '!A:G,5,0)+VLOOKUP('תפוקה מצטברת מול אשתקד'!A42,'אנליסט '!A:G,5,0)+VLOOKUP('תפוקה מצטברת מול אשתקד'!A42,'מיטב דש'!A:G,5,0)+VLOOKUP('תפוקה מצטברת מול אשתקד'!A42,אינפניטי!A:G,5,0)</f>
        <v>5551.4950000000008</v>
      </c>
      <c r="J42" s="58">
        <f>VLOOKUP(A42,הכשרה!A:G,6,0)+VLOOKUP('תפוקה מצטברת מול אשתקד'!A42,מגדל!A:G,6,0)+VLOOKUP('תפוקה מצטברת מול אשתקד'!A42,מנורה!A:G,6,0)+VLOOKUP('תפוקה מצטברת מול אשתקד'!A42,איילון!A:G,6,0)+VLOOKUP(A42,הראל!A:G,6,0)+VLOOKUP('תפוקה מצטברת מול אשתקד'!A42,הפניקס!A:G,6,0)+VLOOKUP('תפוקה מצטברת מול אשתקד'!A42,כלל!A:G,6,0)+VLOOKUP('תפוקה מצטברת מול אשתקד'!A42,מור!A:G,6,0)+VLOOKUP('תפוקה מצטברת מול אשתקד'!A42,'אלטשולר שחם'!A:G,6,0)+VLOOKUP('תפוקה מצטברת מול אשתקד'!A42,'מדיהו '!A:G,6,0)+VLOOKUP('תפוקה מצטברת מול אשתקד'!A42,'אנליסט '!A:G,6,0)+VLOOKUP('תפוקה מצטברת מול אשתקד'!A42,'מיטב דש'!A:G,6,0)+VLOOKUP('תפוקה מצטברת מול אשתקד'!A42,אינפניטי!A:G,6,0)</f>
        <v>0</v>
      </c>
      <c r="K42" s="58">
        <f>VLOOKUP(A42,הכשרה!A:G,7,0)+VLOOKUP('תפוקה מצטברת מול אשתקד'!A42,מגדל!A:G,7,0)+VLOOKUP('תפוקה מצטברת מול אשתקד'!A42,מנורה!A:G,7,0)+VLOOKUP('תפוקה מצטברת מול אשתקד'!A42,איילון!A:G,7,0)+VLOOKUP('תפוקה מצטברת מול אשתקד'!A42,הראל!A:G,7,0)+VLOOKUP('תפוקה מצטברת מול אשתקד'!A42,הפניקס!A:G,7,0)+VLOOKUP('תפוקה מצטברת מול אשתקד'!A42,כלל!A:G,7,0)+VLOOKUP('תפוקה מצטברת מול אשתקד'!A42,מור!A:G,7,0)+VLOOKUP('תפוקה מצטברת מול אשתקד'!A42,'אלטשולר שחם'!A:G,7,0)+VLOOKUP('תפוקה מצטברת מול אשתקד'!A42,'מדיהו '!A:K,7,0)+VLOOKUP(A42,'אנליסט '!A:G,7,0)+VLOOKUP('תפוקה מצטברת מול אשתקד'!A42,'מיטב דש'!A:G,7,0)+VLOOKUP('תפוקה מצטברת מול אשתקד'!A42,אינפניטי!A:G,7,0)</f>
        <v>0</v>
      </c>
      <c r="L42" s="12">
        <f>VLOOKUP(A42,הכשרה!A:K,8,0)+VLOOKUP('תפוקה מצטברת מול אשתקד'!A42,מגדל!A:K,8,0)+VLOOKUP('תפוקה מצטברת מול אשתקד'!A42,מנורה!A:K,8,0)+VLOOKUP('תפוקה מצטברת מול אשתקד'!A42,איילון!A:K,8,0)+VLOOKUP('תפוקה מצטברת מול אשתקד'!A42,הראל!A:K,8,0)+VLOOKUP('תפוקה מצטברת מול אשתקד'!A42,הפניקס!A:K,8,0)+VLOOKUP('תפוקה מצטברת מול אשתקד'!A42,כלל!A:K,8,0)+VLOOKUP('תפוקה מצטברת מול אשתקד'!A42,מור!A:K,8,0)+VLOOKUP('תפוקה מצטברת מול אשתקד'!A42,'אלטשולר שחם'!A:K,8,0)+VLOOKUP('תפוקה מצטברת מול אשתקד'!A42,'מדיהו '!A:K,8,0)+VLOOKUP('תפוקה מצטברת מול אשתקד'!A42,'אנליסט '!A:K,8,0)+VLOOKUP('תפוקה מצטברת מול אשתקד'!A42,'מיטב דש'!A:K,8,0)+VLOOKUP('תפוקה מצטברת מול אשתקד'!A42,אינפניטי!A:K,8,0)</f>
        <v>0</v>
      </c>
      <c r="M42" s="12">
        <f>VLOOKUP(A42,הכשרה!A:K,9,0)+VLOOKUP('תפוקה מצטברת מול אשתקד'!A42,מגדל!A:K,9,0)+VLOOKUP('תפוקה מצטברת מול אשתקד'!A42,מנורה!A:K,9,0)+VLOOKUP('תפוקה מצטברת מול אשתקד'!A42,איילון!A:K,9,0)+VLOOKUP('תפוקה מצטברת מול אשתקד'!A42,הראל!A:K,9,0)+VLOOKUP('תפוקה מצטברת מול אשתקד'!A42,הפניקס!A:K,9,0)+VLOOKUP('תפוקה מצטברת מול אשתקד'!A42,כלל!A:K,9,0)+VLOOKUP('תפוקה מצטברת מול אשתקד'!A42,מור!A:K,9,0)+VLOOKUP('תפוקה מצטברת מול אשתקד'!A42,'אלטשולר שחם'!A:K,9,0)+VLOOKUP('תפוקה מצטברת מול אשתקד'!A42,'מדיהו '!A:K,9,0)+VLOOKUP('תפוקה מצטברת מול אשתקד'!A42,'אנליסט '!A:K,9,0)+VLOOKUP('תפוקה מצטברת מול אשתקד'!A42,'מיטב דש'!A:K,9,0)+VLOOKUP('תפוקה מצטברת מול אשתקד'!A42,אינפניטי!A:K,9,0)</f>
        <v>0</v>
      </c>
      <c r="N42" s="12">
        <f>VLOOKUP(A42,הכשרה!A:K,10,0)+VLOOKUP('תפוקה מצטברת מול אשתקד'!A42,מגדל!A:K,10,0)+VLOOKUP('תפוקה מצטברת מול אשתקד'!A42,מנורה!A:K,10,0)+VLOOKUP('תפוקה מצטברת מול אשתקד'!A42,איילון!A:K,10,0)+VLOOKUP('תפוקה מצטברת מול אשתקד'!A42,הראל!A:K,10,0)+VLOOKUP('תפוקה מצטברת מול אשתקד'!A42,הפניקס!A:K,10,0)+VLOOKUP('תפוקה מצטברת מול אשתקד'!A42,כלל!A:K,10,0)+VLOOKUP('תפוקה מצטברת מול אשתקד'!A42,מור!A:K,10,0)+VLOOKUP('תפוקה מצטברת מול אשתקד'!A42,'אלטשולר שחם'!A:K,10,0)+VLOOKUP('תפוקה מצטברת מול אשתקד'!A42,'מדיהו '!A:K,10,0)+VLOOKUP('תפוקה מצטברת מול אשתקד'!A42,'אנליסט '!A:K,10,0)+VLOOKUP('תפוקה מצטברת מול אשתקד'!A42,'מיטב דש'!A:K,10,0)+VLOOKUP('תפוקה מצטברת מול אשתקד'!A42,אינפניטי!A:K,10,0)</f>
        <v>0</v>
      </c>
      <c r="O42" s="12">
        <f>VLOOKUP(A42,הכשרה!A:K,11,0)+VLOOKUP('תפוקה מצטברת מול אשתקד'!A42,מגדל!A:K,11,0)+VLOOKUP('תפוקה מצטברת מול אשתקד'!A42,מנורה!A:K,11,0)+VLOOKUP('תפוקה מצטברת מול אשתקד'!A42,איילון!A:K,11,0)+VLOOKUP('תפוקה מצטברת מול אשתקד'!A42,הראל!A:K,11,0)+VLOOKUP('תפוקה מצטברת מול אשתקד'!A42,הפניקס!A:K,11,0)+VLOOKUP('תפוקה מצטברת מול אשתקד'!A42,כלל!A:K,11,0)+VLOOKUP('תפוקה מצטברת מול אשתקד'!A42,מור!A:K,11,0)+VLOOKUP('תפוקה מצטברת מול אשתקד'!A42,'אלטשולר שחם'!A:K,11,0)+VLOOKUP('תפוקה מצטברת מול אשתקד'!A42,'מדיהו '!A:K,11,0)+VLOOKUP('תפוקה מצטברת מול אשתקד'!A42,'אנליסט '!A:K,11,0)+VLOOKUP('תפוקה מצטברת מול אשתקד'!A42,'מיטב דש'!A:K,11,0)+VLOOKUP('תפוקה מצטברת מול אשתקד'!A42,אינפניטי!A:K,11,0)</f>
        <v>0</v>
      </c>
    </row>
    <row r="43" spans="1:15" ht="15.75" customHeight="1" x14ac:dyDescent="0.2">
      <c r="A43" s="28" t="s">
        <v>87</v>
      </c>
      <c r="B43" s="26" t="s">
        <v>56</v>
      </c>
      <c r="C43" s="27" t="s">
        <v>107</v>
      </c>
      <c r="D43" s="19">
        <f t="shared" si="0"/>
        <v>-0.72378347038870072</v>
      </c>
      <c r="E43" s="19">
        <f t="shared" si="0"/>
        <v>0</v>
      </c>
      <c r="F43" s="19">
        <f t="shared" si="0"/>
        <v>3.1593621312715356</v>
      </c>
      <c r="G43" s="19" t="e">
        <f>IF(K43=0,0%,IF(O43=H67,100%,K43/O43-1))</f>
        <v>#DIV/0!</v>
      </c>
      <c r="H43" s="58">
        <f>VLOOKUP(A43,הכשרה!A:G,4,0)+VLOOKUP('תפוקה מצטברת מול אשתקד'!A43,מגדל!A:G,4,0)+VLOOKUP('תפוקה מצטברת מול אשתקד'!A43,מנורה!A:G,4,0)+VLOOKUP('תפוקה מצטברת מול אשתקד'!A43,איילון!A:G,4,0)+VLOOKUP('תפוקה מצטברת מול אשתקד'!A43,הראל!A:G,4,0)+VLOOKUP('תפוקה מצטברת מול אשתקד'!A43,הפניקס!A:G,4,0)+VLOOKUP('תפוקה מצטברת מול אשתקד'!A43,כלל!A:G,4,0)+VLOOKUP('תפוקה מצטברת מול אשתקד'!A43,מור!A:G,4,0)+VLOOKUP('תפוקה מצטברת מול אשתקד'!A43,'אלטשולר שחם'!A:G,4,0)+VLOOKUP('תפוקה מצטברת מול אשתקד'!A43,'מדיהו '!A:G,4,0)+VLOOKUP('תפוקה מצטברת מול אשתקד'!A43,'אנליסט '!A:G,4,0)+VLOOKUP('תפוקה מצטברת מול אשתקד'!A43,'מיטב דש'!A:G,4,0)+VLOOKUP('תפוקה מצטברת מול אשתקד'!A43,אינפניטי!A:G,4,0)</f>
        <v>3349.2</v>
      </c>
      <c r="I43" s="58">
        <f>VLOOKUP(A43,הכשרה!A:G,5,0)+VLOOKUP('תפוקה מצטברת מול אשתקד'!A43,מגדל!A:G,5,0)+VLOOKUP('תפוקה מצטברת מול אשתקד'!A43,מנורה!A:G,5,0)+VLOOKUP('תפוקה מצטברת מול אשתקד'!A43,איילון!A:G,5,0)+VLOOKUP('תפוקה מצטברת מול אשתקד'!A43,הראל!A:G,5,0)+VLOOKUP('תפוקה מצטברת מול אשתקד'!A43,הפניקס!A:G,5,0)+VLOOKUP('תפוקה מצטברת מול אשתקד'!A43,כלל!A:G,5,0)+VLOOKUP('תפוקה מצטברת מול אשתקד'!A43,מור!A:G,5,0)+VLOOKUP('תפוקה מצטברת מול אשתקד'!A43,'אלטשולר שחם'!A:G,5,0)+VLOOKUP('תפוקה מצטברת מול אשתקד'!A43,'מדיהו '!A:G,5,0)+VLOOKUP('תפוקה מצטברת מול אשתקד'!A43,'אנליסט '!A:G,5,0)+VLOOKUP('תפוקה מצטברת מול אשתקד'!A43,'מיטב דש'!A:G,5,0)+VLOOKUP('תפוקה מצטברת מול אשתקד'!A43,אינפניטי!A:G,5,0)</f>
        <v>0</v>
      </c>
      <c r="J43" s="58">
        <f>VLOOKUP(A43,הכשרה!A:G,6,0)+VLOOKUP('תפוקה מצטברת מול אשתקד'!A43,מגדל!A:G,6,0)+VLOOKUP('תפוקה מצטברת מול אשתקד'!A43,מנורה!A:G,6,0)+VLOOKUP('תפוקה מצטברת מול אשתקד'!A43,איילון!A:G,6,0)+VLOOKUP(A43,הראל!A:G,6,0)+VLOOKUP('תפוקה מצטברת מול אשתקד'!A43,הפניקס!A:G,6,0)+VLOOKUP('תפוקה מצטברת מול אשתקד'!A43,כלל!A:G,6,0)+VLOOKUP('תפוקה מצטברת מול אשתקד'!A43,מור!A:G,6,0)+VLOOKUP('תפוקה מצטברת מול אשתקד'!A43,'אלטשולר שחם'!A:G,6,0)+VLOOKUP('תפוקה מצטברת מול אשתקד'!A43,'מדיהו '!A:G,6,0)+VLOOKUP('תפוקה מצטברת מול אשתקד'!A43,'אנליסט '!A:G,6,0)+VLOOKUP('תפוקה מצטברת מול אשתקד'!A43,'מיטב דש'!A:G,6,0)+VLOOKUP('תפוקה מצטברת מול אשתקד'!A43,אינפניטי!A:G,6,0)</f>
        <v>989845</v>
      </c>
      <c r="K43" s="58">
        <f>VLOOKUP(A43,הכשרה!A:G,7,0)+VLOOKUP('תפוקה מצטברת מול אשתקד'!A43,מגדל!A:G,7,0)+VLOOKUP('תפוקה מצטברת מול אשתקד'!A43,מנורה!A:G,7,0)+VLOOKUP('תפוקה מצטברת מול אשתקד'!A43,איילון!A:G,7,0)+VLOOKUP('תפוקה מצטברת מול אשתקד'!A43,הראל!A:G,7,0)+VLOOKUP('תפוקה מצטברת מול אשתקד'!A43,הפניקס!A:G,7,0)+VLOOKUP('תפוקה מצטברת מול אשתקד'!A43,כלל!A:G,7,0)+VLOOKUP('תפוקה מצטברת מול אשתקד'!A43,מור!A:G,7,0)+VLOOKUP('תפוקה מצטברת מול אשתקד'!A43,'אלטשולר שחם'!A:G,7,0)+VLOOKUP('תפוקה מצטברת מול אשתקד'!A43,'מדיהו '!A:K,7,0)+VLOOKUP(A43,'אנליסט '!A:G,7,0)+VLOOKUP('תפוקה מצטברת מול אשתקד'!A43,'מיטב דש'!A:G,7,0)+VLOOKUP('תפוקה מצטברת מול אשתקד'!A43,אינפניטי!A:G,7,0)</f>
        <v>955923.42</v>
      </c>
      <c r="L43" s="12">
        <f>VLOOKUP(A43,הכשרה!A:K,8,0)+VLOOKUP('תפוקה מצטברת מול אשתקד'!A43,מגדל!A:K,8,0)+VLOOKUP('תפוקה מצטברת מול אשתקד'!A43,מנורה!A:K,8,0)+VLOOKUP('תפוקה מצטברת מול אשתקד'!A43,איילון!A:K,8,0)+VLOOKUP('תפוקה מצטברת מול אשתקד'!A43,הראל!A:K,8,0)+VLOOKUP('תפוקה מצטברת מול אשתקד'!A43,הפניקס!A:K,8,0)+VLOOKUP('תפוקה מצטברת מול אשתקד'!A43,כלל!A:K,8,0)+VLOOKUP('תפוקה מצטברת מול אשתקד'!A43,מור!A:K,8,0)+VLOOKUP('תפוקה מצטברת מול אשתקד'!A43,'אלטשולר שחם'!A:K,8,0)+VLOOKUP('תפוקה מצטברת מול אשתקד'!A43,'מדיהו '!A:K,8,0)+VLOOKUP('תפוקה מצטברת מול אשתקד'!A43,'אנליסט '!A:K,8,0)+VLOOKUP('תפוקה מצטברת מול אשתקד'!A43,'מיטב דש'!A:K,8,0)+VLOOKUP('תפוקה מצטברת מול אשתקד'!A43,אינפניטי!A:K,8,0)</f>
        <v>12125.27</v>
      </c>
      <c r="M43" s="12">
        <f>VLOOKUP(A43,הכשרה!A:K,9,0)+VLOOKUP('תפוקה מצטברת מול אשתקד'!A43,מגדל!A:K,9,0)+VLOOKUP('תפוקה מצטברת מול אשתקד'!A43,מנורה!A:K,9,0)+VLOOKUP('תפוקה מצטברת מול אשתקד'!A43,איילון!A:K,9,0)+VLOOKUP('תפוקה מצטברת מול אשתקד'!A43,הראל!A:K,9,0)+VLOOKUP('תפוקה מצטברת מול אשתקד'!A43,הפניקס!A:K,9,0)+VLOOKUP('תפוקה מצטברת מול אשתקד'!A43,כלל!A:K,9,0)+VLOOKUP('תפוקה מצטברת מול אשתקד'!A43,מור!A:K,9,0)+VLOOKUP('תפוקה מצטברת מול אשתקד'!A43,'אלטשולר שחם'!A:K,9,0)+VLOOKUP('תפוקה מצטברת מול אשתקד'!A43,'מדיהו '!A:K,9,0)+VLOOKUP('תפוקה מצטברת מול אשתקד'!A43,'אנליסט '!A:K,9,0)+VLOOKUP('תפוקה מצטברת מול אשתקד'!A43,'מיטב דש'!A:K,9,0)+VLOOKUP('תפוקה מצטברת מול אשתקד'!A43,אינפניטי!A:K,9,0)</f>
        <v>3462.63</v>
      </c>
      <c r="N43" s="12">
        <f>VLOOKUP(A43,הכשרה!A:K,10,0)+VLOOKUP('תפוקה מצטברת מול אשתקד'!A43,מגדל!A:K,10,0)+VLOOKUP('תפוקה מצטברת מול אשתקד'!A43,מנורה!A:K,10,0)+VLOOKUP('תפוקה מצטברת מול אשתקד'!A43,איילון!A:K,10,0)+VLOOKUP('תפוקה מצטברת מול אשתקד'!A43,הראל!A:K,10,0)+VLOOKUP('תפוקה מצטברת מול אשתקד'!A43,הפניקס!A:K,10,0)+VLOOKUP('תפוקה מצטברת מול אשתקד'!A43,כלל!A:K,10,0)+VLOOKUP('תפוקה מצטברת מול אשתקד'!A43,מור!A:K,10,0)+VLOOKUP('תפוקה מצטברת מול אשתקד'!A43,'אלטשולר שחם'!A:K,10,0)+VLOOKUP('תפוקה מצטברת מול אשתקד'!A43,'מדיהו '!A:K,10,0)+VLOOKUP('תפוקה מצטברת מול אשתקד'!A43,'אנליסט '!A:K,10,0)+VLOOKUP('תפוקה מצטברת מול אשתקד'!A43,'מיטב דש'!A:K,10,0)+VLOOKUP('תפוקה מצטברת מול אשתקד'!A43,אינפניטי!A:K,10,0)</f>
        <v>237980</v>
      </c>
      <c r="O43" s="12">
        <f>VLOOKUP(A43,הכשרה!A:K,11,0)+VLOOKUP('תפוקה מצטברת מול אשתקד'!A43,מגדל!A:K,11,0)+VLOOKUP('תפוקה מצטברת מול אשתקד'!A43,מנורה!A:K,11,0)+VLOOKUP('תפוקה מצטברת מול אשתקד'!A43,איילון!A:K,11,0)+VLOOKUP('תפוקה מצטברת מול אשתקד'!A43,הראל!A:K,11,0)+VLOOKUP('תפוקה מצטברת מול אשתקד'!A43,הפניקס!A:K,11,0)+VLOOKUP('תפוקה מצטברת מול אשתקד'!A43,כלל!A:K,11,0)+VLOOKUP('תפוקה מצטברת מול אשתקד'!A43,מור!A:K,11,0)+VLOOKUP('תפוקה מצטברת מול אשתקד'!A43,'אלטשולר שחם'!A:K,11,0)+VLOOKUP('תפוקה מצטברת מול אשתקד'!A43,'מדיהו '!A:K,11,0)+VLOOKUP('תפוקה מצטברת מול אשתקד'!A43,'אנליסט '!A:K,11,0)+VLOOKUP('תפוקה מצטברת מול אשתקד'!A43,'מיטב דש'!A:K,11,0)+VLOOKUP('תפוקה מצטברת מול אשתקד'!A43,אינפניטי!A:K,11,0)</f>
        <v>0</v>
      </c>
    </row>
    <row r="44" spans="1:15" ht="15.75" customHeight="1" x14ac:dyDescent="0.2">
      <c r="A44" s="26" t="s">
        <v>97</v>
      </c>
      <c r="B44" s="26" t="s">
        <v>56</v>
      </c>
      <c r="C44" s="26" t="s">
        <v>107</v>
      </c>
      <c r="D44" s="19">
        <f t="shared" si="0"/>
        <v>1</v>
      </c>
      <c r="E44" s="19">
        <f t="shared" si="0"/>
        <v>1</v>
      </c>
      <c r="F44" s="19">
        <f t="shared" si="0"/>
        <v>25.727790728146388</v>
      </c>
      <c r="G44" s="19">
        <f>IF(K44=0,0%,IF(O44=H68,100%,K44/O44-1))</f>
        <v>0</v>
      </c>
      <c r="H44" s="58">
        <f>VLOOKUP(A44,הכשרה!A:G,4,0)+VLOOKUP('תפוקה מצטברת מול אשתקד'!A44,מגדל!A:G,4,0)+VLOOKUP('תפוקה מצטברת מול אשתקד'!A44,מנורה!A:G,4,0)+VLOOKUP('תפוקה מצטברת מול אשתקד'!A44,איילון!A:G,4,0)+VLOOKUP('תפוקה מצטברת מול אשתקד'!A44,הראל!A:G,4,0)+VLOOKUP('תפוקה מצטברת מול אשתקד'!A44,הפניקס!A:G,4,0)+VLOOKUP('תפוקה מצטברת מול אשתקד'!A44,כלל!A:G,4,0)+VLOOKUP('תפוקה מצטברת מול אשתקד'!A44,מור!A:G,4,0)+VLOOKUP('תפוקה מצטברת מול אשתקד'!A44,'אלטשולר שחם'!A:G,4,0)+VLOOKUP('תפוקה מצטברת מול אשתקד'!A44,'מדיהו '!A:G,4,0)+VLOOKUP('תפוקה מצטברת מול אשתקד'!A44,'אנליסט '!A:G,4,0)+VLOOKUP('תפוקה מצטברת מול אשתקד'!A44,'מיטב דש'!A:G,4,0)+VLOOKUP('תפוקה מצטברת מול אשתקד'!A44,אינפניטי!A:G,4,0)</f>
        <v>117900.19016</v>
      </c>
      <c r="I44" s="58">
        <f>VLOOKUP(A44,הכשרה!A:G,5,0)+VLOOKUP('תפוקה מצטברת מול אשתקד'!A44,מגדל!A:G,5,0)+VLOOKUP('תפוקה מצטברת מול אשתקד'!A44,מנורה!A:G,5,0)+VLOOKUP('תפוקה מצטברת מול אשתקד'!A44,איילון!A:G,5,0)+VLOOKUP('תפוקה מצטברת מול אשתקד'!A44,הראל!A:G,5,0)+VLOOKUP('תפוקה מצטברת מול אשתקד'!A44,הפניקס!A:G,5,0)+VLOOKUP('תפוקה מצטברת מול אשתקד'!A44,כלל!A:G,5,0)+VLOOKUP('תפוקה מצטברת מול אשתקד'!A44,מור!A:G,5,0)+VLOOKUP('תפוקה מצטברת מול אשתקד'!A44,'אלטשולר שחם'!A:G,5,0)+VLOOKUP('תפוקה מצטברת מול אשתקד'!A44,'מדיהו '!A:G,5,0)+VLOOKUP('תפוקה מצטברת מול אשתקד'!A44,'אנליסט '!A:G,5,0)+VLOOKUP('תפוקה מצטברת מול אשתקד'!A44,'מיטב דש'!A:G,5,0)+VLOOKUP('תפוקה מצטברת מול אשתקד'!A44,אינפניטי!A:G,5,0)</f>
        <v>1591.99</v>
      </c>
      <c r="J44" s="58">
        <f>VLOOKUP(A44,הכשרה!A:G,6,0)+VLOOKUP('תפוקה מצטברת מול אשתקד'!A44,מגדל!A:G,6,0)+VLOOKUP('תפוקה מצטברת מול אשתקד'!A44,מנורה!A:G,6,0)+VLOOKUP('תפוקה מצטברת מול אשתקד'!A44,איילון!A:G,6,0)+VLOOKUP(A44,הראל!A:G,6,0)+VLOOKUP('תפוקה מצטברת מול אשתקד'!A44,הפניקס!A:G,6,0)+VLOOKUP('תפוקה מצטברת מול אשתקד'!A44,כלל!A:G,6,0)+VLOOKUP('תפוקה מצטברת מול אשתקד'!A44,מור!A:G,6,0)+VLOOKUP('תפוקה מצטברת מול אשתקד'!A44,'אלטשולר שחם'!A:G,6,0)+VLOOKUP('תפוקה מצטברת מול אשתקד'!A44,'מדיהו '!A:G,6,0)+VLOOKUP('תפוקה מצטברת מול אשתקד'!A44,'אנליסט '!A:G,6,0)+VLOOKUP('תפוקה מצטברת מול אשתקד'!A44,'מיטב דש'!A:G,6,0)+VLOOKUP('תפוקה מצטברת מול אשתקד'!A44,אינפניטי!A:G,6,0)</f>
        <v>925379.02999999991</v>
      </c>
      <c r="K44" s="58">
        <f>VLOOKUP(A44,הכשרה!A:G,7,0)+VLOOKUP('תפוקה מצטברת מול אשתקד'!A44,מגדל!A:G,7,0)+VLOOKUP('תפוקה מצטברת מול אשתקד'!A44,מנורה!A:G,7,0)+VLOOKUP('תפוקה מצטברת מול אשתקד'!A44,איילון!A:G,7,0)+VLOOKUP('תפוקה מצטברת מול אשתקד'!A44,הראל!A:G,7,0)+VLOOKUP('תפוקה מצטברת מול אשתקד'!A44,הפניקס!A:G,7,0)+VLOOKUP('תפוקה מצטברת מול אשתקד'!A44,כלל!A:G,7,0)+VLOOKUP('תפוקה מצטברת מול אשתקד'!A44,מור!A:G,7,0)+VLOOKUP('תפוקה מצטברת מול אשתקד'!A44,'אלטשולר שחם'!A:G,7,0)+VLOOKUP('תפוקה מצטברת מול אשתקד'!A44,'מדיהו '!A:K,7,0)+VLOOKUP(A44,'אנליסט '!A:G,7,0)+VLOOKUP('תפוקה מצטברת מול אשתקד'!A44,'מיטב דש'!A:G,7,0)+VLOOKUP('תפוקה מצטברת מול אשתקד'!A44,אינפניטי!A:G,7,0)</f>
        <v>0</v>
      </c>
      <c r="L44" s="12">
        <f>VLOOKUP(A44,הכשרה!A:K,8,0)+VLOOKUP('תפוקה מצטברת מול אשתקד'!A44,מגדל!A:K,8,0)+VLOOKUP('תפוקה מצטברת מול אשתקד'!A44,מנורה!A:K,8,0)+VLOOKUP('תפוקה מצטברת מול אשתקד'!A44,איילון!A:K,8,0)+VLOOKUP('תפוקה מצטברת מול אשתקד'!A44,הראל!A:K,8,0)+VLOOKUP('תפוקה מצטברת מול אשתקד'!A44,הפניקס!A:K,8,0)+VLOOKUP('תפוקה מצטברת מול אשתקד'!A44,כלל!A:K,8,0)+VLOOKUP('תפוקה מצטברת מול אשתקד'!A44,מור!A:K,8,0)+VLOOKUP('תפוקה מצטברת מול אשתקד'!A44,'אלטשולר שחם'!A:K,8,0)+VLOOKUP('תפוקה מצטברת מול אשתקד'!A44,'מדיהו '!A:K,8,0)+VLOOKUP('תפוקה מצטברת מול אשתקד'!A44,'אנליסט '!A:K,8,0)+VLOOKUP('תפוקה מצטברת מול אשתקד'!A44,'מיטב דש'!A:K,8,0)+VLOOKUP('תפוקה מצטברת מול אשתקד'!A44,אינפניטי!A:K,8,0)</f>
        <v>0</v>
      </c>
      <c r="M44" s="12">
        <f>VLOOKUP(A44,הכשרה!A:K,9,0)+VLOOKUP('תפוקה מצטברת מול אשתקד'!A44,מגדל!A:K,9,0)+VLOOKUP('תפוקה מצטברת מול אשתקד'!A44,מנורה!A:K,9,0)+VLOOKUP('תפוקה מצטברת מול אשתקד'!A44,איילון!A:K,9,0)+VLOOKUP('תפוקה מצטברת מול אשתקד'!A44,הראל!A:K,9,0)+VLOOKUP('תפוקה מצטברת מול אשתקד'!A44,הפניקס!A:K,9,0)+VLOOKUP('תפוקה מצטברת מול אשתקד'!A44,כלל!A:K,9,0)+VLOOKUP('תפוקה מצטברת מול אשתקד'!A44,מור!A:K,9,0)+VLOOKUP('תפוקה מצטברת מול אשתקד'!A44,'אלטשולר שחם'!A:K,9,0)+VLOOKUP('תפוקה מצטברת מול אשתקד'!A44,'מדיהו '!A:K,9,0)+VLOOKUP('תפוקה מצטברת מול אשתקד'!A44,'אנליסט '!A:K,9,0)+VLOOKUP('תפוקה מצטברת מול אשתקד'!A44,'מיטב דש'!A:K,9,0)+VLOOKUP('תפוקה מצטברת מול אשתקד'!A44,אינפניטי!A:K,9,0)</f>
        <v>0</v>
      </c>
      <c r="N44" s="12">
        <f>VLOOKUP(A44,הכשרה!A:K,10,0)+VLOOKUP('תפוקה מצטברת מול אשתקד'!A44,מגדל!A:K,10,0)+VLOOKUP('תפוקה מצטברת מול אשתקד'!A44,מנורה!A:K,10,0)+VLOOKUP('תפוקה מצטברת מול אשתקד'!A44,איילון!A:K,10,0)+VLOOKUP('תפוקה מצטברת מול אשתקד'!A44,הראל!A:K,10,0)+VLOOKUP('תפוקה מצטברת מול אשתקד'!A44,הפניקס!A:K,10,0)+VLOOKUP('תפוקה מצטברת מול אשתקד'!A44,כלל!A:K,10,0)+VLOOKUP('תפוקה מצטברת מול אשתקד'!A44,מור!A:K,10,0)+VLOOKUP('תפוקה מצטברת מול אשתקד'!A44,'אלטשולר שחם'!A:K,10,0)+VLOOKUP('תפוקה מצטברת מול אשתקד'!A44,'מדיהו '!A:K,10,0)+VLOOKUP('תפוקה מצטברת מול אשתקד'!A44,'אנליסט '!A:K,10,0)+VLOOKUP('תפוקה מצטברת מול אשתקד'!A44,'מיטב דש'!A:K,10,0)+VLOOKUP('תפוקה מצטברת מול אשתקד'!A44,אינפניטי!A:K,10,0)</f>
        <v>34622.353916648477</v>
      </c>
      <c r="O44" s="12">
        <f>VLOOKUP(A44,הכשרה!A:K,11,0)+VLOOKUP('תפוקה מצטברת מול אשתקד'!A44,מגדל!A:K,11,0)+VLOOKUP('תפוקה מצטברת מול אשתקד'!A44,מנורה!A:K,11,0)+VLOOKUP('תפוקה מצטברת מול אשתקד'!A44,איילון!A:K,11,0)+VLOOKUP('תפוקה מצטברת מול אשתקד'!A44,הראל!A:K,11,0)+VLOOKUP('תפוקה מצטברת מול אשתקד'!A44,הפניקס!A:K,11,0)+VLOOKUP('תפוקה מצטברת מול אשתקד'!A44,כלל!A:K,11,0)+VLOOKUP('תפוקה מצטברת מול אשתקד'!A44,מור!A:K,11,0)+VLOOKUP('תפוקה מצטברת מול אשתקד'!A44,'אלטשולר שחם'!A:K,11,0)+VLOOKUP('תפוקה מצטברת מול אשתקד'!A44,'מדיהו '!A:K,11,0)+VLOOKUP('תפוקה מצטברת מול אשתקד'!A44,'אנליסט '!A:K,11,0)+VLOOKUP('תפוקה מצטברת מול אשתקד'!A44,'מיטב דש'!A:K,11,0)+VLOOKUP('תפוקה מצטברת מול אשתקד'!A44,אינפניטי!A:K,11,0)</f>
        <v>0</v>
      </c>
    </row>
    <row r="45" spans="1:15" ht="15.75" customHeight="1" x14ac:dyDescent="0.2">
      <c r="A45" s="26" t="s">
        <v>39</v>
      </c>
      <c r="B45" s="26" t="s">
        <v>56</v>
      </c>
      <c r="C45" s="26" t="s">
        <v>107</v>
      </c>
      <c r="D45" s="19">
        <f t="shared" si="0"/>
        <v>-0.93465899428336574</v>
      </c>
      <c r="E45" s="19">
        <f t="shared" si="0"/>
        <v>7.3055736245677707</v>
      </c>
      <c r="F45" s="19">
        <f t="shared" si="0"/>
        <v>0</v>
      </c>
      <c r="G45" s="19" t="e">
        <f>IF(K45=0,0%,IF(O45=H69,100%,K45/O45-1))</f>
        <v>#DIV/0!</v>
      </c>
      <c r="H45" s="58">
        <f>VLOOKUP(A45,הכשרה!A:G,4,0)+VLOOKUP('תפוקה מצטברת מול אשתקד'!A45,מגדל!A:G,4,0)+VLOOKUP('תפוקה מצטברת מול אשתקד'!A45,מנורה!A:G,4,0)+VLOOKUP('תפוקה מצטברת מול אשתקד'!A45,איילון!A:G,4,0)+VLOOKUP('תפוקה מצטברת מול אשתקד'!A45,הראל!A:G,4,0)+VLOOKUP('תפוקה מצטברת מול אשתקד'!A45,הפניקס!A:G,4,0)+VLOOKUP('תפוקה מצטברת מול אשתקד'!A45,כלל!A:G,4,0)+VLOOKUP('תפוקה מצטברת מול אשתקד'!A45,מור!A:G,4,0)+VLOOKUP('תפוקה מצטברת מול אשתקד'!A45,'אלטשולר שחם'!A:G,4,0)+VLOOKUP('תפוקה מצטברת מול אשתקד'!A45,'מדיהו '!A:G,4,0)+VLOOKUP('תפוקה מצטברת מול אשתקד'!A45,'אנליסט '!A:G,4,0)+VLOOKUP('תפוקה מצטברת מול אשתקד'!A45,'מיטב דש'!A:G,4,0)+VLOOKUP('תפוקה מצטברת מול אשתקד'!A45,אינפניטי!A:G,4,0)</f>
        <v>7357.82</v>
      </c>
      <c r="I45" s="58">
        <f>VLOOKUP(A45,הכשרה!A:G,5,0)+VLOOKUP('תפוקה מצטברת מול אשתקד'!A45,מגדל!A:G,5,0)+VLOOKUP('תפוקה מצטברת מול אשתקד'!A45,מנורה!A:G,5,0)+VLOOKUP('תפוקה מצטברת מול אשתקד'!A45,איילון!A:G,5,0)+VLOOKUP('תפוקה מצטברת מול אשתקד'!A45,הראל!A:G,5,0)+VLOOKUP('תפוקה מצטברת מול אשתקד'!A45,הפניקס!A:G,5,0)+VLOOKUP('תפוקה מצטברת מול אשתקד'!A45,כלל!A:G,5,0)+VLOOKUP('תפוקה מצטברת מול אשתקד'!A45,מור!A:G,5,0)+VLOOKUP('תפוקה מצטברת מול אשתקד'!A45,'אלטשולר שחם'!A:G,5,0)+VLOOKUP('תפוקה מצטברת מול אשתקד'!A45,'מדיהו '!A:G,5,0)+VLOOKUP('תפוקה מצטברת מול אשתקד'!A45,'אנליסט '!A:G,5,0)+VLOOKUP('תפוקה מצטברת מול אשתקד'!A45,'מיטב דש'!A:G,5,0)+VLOOKUP('תפוקה מצטברת מול אשתקד'!A45,אינפניטי!A:G,5,0)</f>
        <v>9703.9</v>
      </c>
      <c r="J45" s="58">
        <f>VLOOKUP(A45,הכשרה!A:G,6,0)+VLOOKUP('תפוקה מצטברת מול אשתקד'!A45,מגדל!A:G,6,0)+VLOOKUP('תפוקה מצטברת מול אשתקד'!A45,מנורה!A:G,6,0)+VLOOKUP('תפוקה מצטברת מול אשתקד'!A45,איילון!A:G,6,0)+VLOOKUP(A45,הראל!A:G,6,0)+VLOOKUP('תפוקה מצטברת מול אשתקד'!A45,הפניקס!A:G,6,0)+VLOOKUP('תפוקה מצטברת מול אשתקד'!A45,כלל!A:G,6,0)+VLOOKUP('תפוקה מצטברת מול אשתקד'!A45,מור!A:G,6,0)+VLOOKUP('תפוקה מצטברת מול אשתקד'!A45,'אלטשולר שחם'!A:G,6,0)+VLOOKUP('תפוקה מצטברת מול אשתקד'!A45,'מדיהו '!A:G,6,0)+VLOOKUP('תפוקה מצטברת מול אשתקד'!A45,'אנליסט '!A:G,6,0)+VLOOKUP('תפוקה מצטברת מול אשתקד'!A45,'מיטב דש'!A:G,6,0)+VLOOKUP('תפוקה מצטברת מול אשתקד'!A45,אינפניטי!A:G,6,0)</f>
        <v>0</v>
      </c>
      <c r="K45" s="58">
        <f>VLOOKUP(A45,הכשרה!A:G,7,0)+VLOOKUP('תפוקה מצטברת מול אשתקד'!A45,מגדל!A:G,7,0)+VLOOKUP('תפוקה מצטברת מול אשתקד'!A45,מנורה!A:G,7,0)+VLOOKUP('תפוקה מצטברת מול אשתקד'!A45,איילון!A:G,7,0)+VLOOKUP('תפוקה מצטברת מול אשתקד'!A45,הראל!A:G,7,0)+VLOOKUP('תפוקה מצטברת מול אשתקד'!A45,הפניקס!A:G,7,0)+VLOOKUP('תפוקה מצטברת מול אשתקד'!A45,כלל!A:G,7,0)+VLOOKUP('תפוקה מצטברת מול אשתקד'!A45,מור!A:G,7,0)+VLOOKUP('תפוקה מצטברת מול אשתקד'!A45,'אלטשולר שחם'!A:G,7,0)+VLOOKUP('תפוקה מצטברת מול אשתקד'!A45,'מדיהו '!A:K,7,0)+VLOOKUP(A45,'אנליסט '!A:G,7,0)+VLOOKUP('תפוקה מצטברת מול אשתקד'!A45,'מיטב דש'!A:G,7,0)+VLOOKUP('תפוקה מצטברת מול אשתקד'!A45,אינפניטי!A:G,7,0)</f>
        <v>139301.68</v>
      </c>
      <c r="L45" s="12">
        <f>VLOOKUP(A45,הכשרה!A:K,8,0)+VLOOKUP('תפוקה מצטברת מול אשתקד'!A45,מגדל!A:K,8,0)+VLOOKUP('תפוקה מצטברת מול אשתקד'!A45,מנורה!A:K,8,0)+VLOOKUP('תפוקה מצטברת מול אשתקד'!A45,איילון!A:K,8,0)+VLOOKUP('תפוקה מצטברת מול אשתקד'!A45,הראל!A:K,8,0)+VLOOKUP('תפוקה מצטברת מול אשתקד'!A45,הפניקס!A:K,8,0)+VLOOKUP('תפוקה מצטברת מול אשתקד'!A45,כלל!A:K,8,0)+VLOOKUP('תפוקה מצטברת מול אשתקד'!A45,מור!A:K,8,0)+VLOOKUP('תפוקה מצטברת מול אשתקד'!A45,'אלטשולר שחם'!A:K,8,0)+VLOOKUP('תפוקה מצטברת מול אשתקד'!A45,'מדיהו '!A:K,8,0)+VLOOKUP('תפוקה מצטברת מול אשתקד'!A45,'אנליסט '!A:K,8,0)+VLOOKUP('תפוקה מצטברת מול אשתקד'!A45,'מיטב דש'!A:K,8,0)+VLOOKUP('תפוקה מצטברת מול אשתקד'!A45,אינפניטי!A:K,8,0)</f>
        <v>112606.47</v>
      </c>
      <c r="M45" s="12">
        <f>VLOOKUP(A45,הכשרה!A:K,9,0)+VLOOKUP('תפוקה מצטברת מול אשתקד'!A45,מגדל!A:K,9,0)+VLOOKUP('תפוקה מצטברת מול אשתקד'!A45,מנורה!A:K,9,0)+VLOOKUP('תפוקה מצטברת מול אשתקד'!A45,איילון!A:K,9,0)+VLOOKUP('תפוקה מצטברת מול אשתקד'!A45,הראל!A:K,9,0)+VLOOKUP('תפוקה מצטברת מול אשתקד'!A45,הפניקס!A:K,9,0)+VLOOKUP('תפוקה מצטברת מול אשתקד'!A45,כלל!A:K,9,0)+VLOOKUP('תפוקה מצטברת מול אשתקד'!A45,מור!A:K,9,0)+VLOOKUP('תפוקה מצטברת מול אשתקד'!A45,'אלטשולר שחם'!A:K,9,0)+VLOOKUP('תפוקה מצטברת מול אשתקד'!A45,'מדיהו '!A:K,9,0)+VLOOKUP('תפוקה מצטברת מול אשתקד'!A45,'אנליסט '!A:K,9,0)+VLOOKUP('תפוקה מצטברת מול אשתקד'!A45,'מיטב דש'!A:K,9,0)+VLOOKUP('תפוקה מצטברת מול אשתקד'!A45,אינפניטי!A:K,9,0)</f>
        <v>1168.3599999999999</v>
      </c>
      <c r="N45" s="12">
        <f>VLOOKUP(A45,הכשרה!A:K,10,0)+VLOOKUP('תפוקה מצטברת מול אשתקד'!A45,מגדל!A:K,10,0)+VLOOKUP('תפוקה מצטברת מול אשתקד'!A45,מנורה!A:K,10,0)+VLOOKUP('תפוקה מצטברת מול אשתקד'!A45,איילון!A:K,10,0)+VLOOKUP('תפוקה מצטברת מול אשתקד'!A45,הראל!A:K,10,0)+VLOOKUP('תפוקה מצטברת מול אשתקד'!A45,הפניקס!A:K,10,0)+VLOOKUP('תפוקה מצטברת מול אשתקד'!A45,כלל!A:K,10,0)+VLOOKUP('תפוקה מצטברת מול אשתקד'!A45,מור!A:K,10,0)+VLOOKUP('תפוקה מצטברת מול אשתקד'!A45,'אלטשולר שחם'!A:K,10,0)+VLOOKUP('תפוקה מצטברת מול אשתקד'!A45,'מדיהו '!A:K,10,0)+VLOOKUP('תפוקה מצטברת מול אשתקד'!A45,'אנליסט '!A:K,10,0)+VLOOKUP('תפוקה מצטברת מול אשתקד'!A45,'מיטב דש'!A:K,10,0)+VLOOKUP('תפוקה מצטברת מול אשתקד'!A45,אינפניטי!A:K,10,0)</f>
        <v>14537.2</v>
      </c>
      <c r="O45" s="12">
        <f>VLOOKUP(A45,הכשרה!A:K,11,0)+VLOOKUP('תפוקה מצטברת מול אשתקד'!A45,מגדל!A:K,11,0)+VLOOKUP('תפוקה מצטברת מול אשתקד'!A45,מנורה!A:K,11,0)+VLOOKUP('תפוקה מצטברת מול אשתקד'!A45,איילון!A:K,11,0)+VLOOKUP('תפוקה מצטברת מול אשתקד'!A45,הראל!A:K,11,0)+VLOOKUP('תפוקה מצטברת מול אשתקד'!A45,הפניקס!A:K,11,0)+VLOOKUP('תפוקה מצטברת מול אשתקד'!A45,כלל!A:K,11,0)+VLOOKUP('תפוקה מצטברת מול אשתקד'!A45,מור!A:K,11,0)+VLOOKUP('תפוקה מצטברת מול אשתקד'!A45,'אלטשולר שחם'!A:K,11,0)+VLOOKUP('תפוקה מצטברת מול אשתקד'!A45,'מדיהו '!A:K,11,0)+VLOOKUP('תפוקה מצטברת מול אשתקד'!A45,'אנליסט '!A:K,11,0)+VLOOKUP('תפוקה מצטברת מול אשתקד'!A45,'מיטב דש'!A:K,11,0)+VLOOKUP('תפוקה מצטברת מול אשתקד'!A45,אינפניטי!A:K,11,0)</f>
        <v>0</v>
      </c>
    </row>
    <row r="46" spans="1:15" ht="15.75" customHeight="1" x14ac:dyDescent="0.2">
      <c r="A46" s="26" t="s">
        <v>91</v>
      </c>
      <c r="B46" s="26" t="s">
        <v>56</v>
      </c>
      <c r="C46" s="26" t="s">
        <v>107</v>
      </c>
      <c r="D46" s="19">
        <f t="shared" si="0"/>
        <v>2.7211158340406922</v>
      </c>
      <c r="E46" s="19">
        <f t="shared" si="0"/>
        <v>-0.36496988987843548</v>
      </c>
      <c r="F46" s="19">
        <f t="shared" si="0"/>
        <v>-1.3381823767980916E-2</v>
      </c>
      <c r="G46" s="19">
        <f>IF(K46=0,0%,IF(O46=H70,100%,K46/O46-1))</f>
        <v>9.7303196645428329</v>
      </c>
      <c r="H46" s="58">
        <f>VLOOKUP(A46,הכשרה!A:G,4,0)+VLOOKUP('תפוקה מצטברת מול אשתקד'!A46,מגדל!A:G,4,0)+VLOOKUP('תפוקה מצטברת מול אשתקד'!A46,מנורה!A:G,4,0)+VLOOKUP('תפוקה מצטברת מול אשתקד'!A46,איילון!A:G,4,0)+VLOOKUP('תפוקה מצטברת מול אשתקד'!A46,הראל!A:G,4,0)+VLOOKUP('תפוקה מצטברת מול אשתקד'!A46,הפניקס!A:G,4,0)+VLOOKUP('תפוקה מצטברת מול אשתקד'!A46,כלל!A:G,4,0)+VLOOKUP('תפוקה מצטברת מול אשתקד'!A46,מור!A:G,4,0)+VLOOKUP('תפוקה מצטברת מול אשתקד'!A46,'אלטשולר שחם'!A:G,4,0)+VLOOKUP('תפוקה מצטברת מול אשתקד'!A46,'מדיהו '!A:G,4,0)+VLOOKUP('תפוקה מצטברת מול אשתקד'!A46,'אנליסט '!A:G,4,0)+VLOOKUP('תפוקה מצטברת מול אשתקד'!A46,'מיטב דש'!A:G,4,0)+VLOOKUP('תפוקה מצטברת מול אשתקד'!A46,אינפניטי!A:G,4,0)</f>
        <v>172018.52611999999</v>
      </c>
      <c r="I46" s="58">
        <f>VLOOKUP(A46,הכשרה!A:G,5,0)+VLOOKUP('תפוקה מצטברת מול אשתקד'!A46,מגדל!A:G,5,0)+VLOOKUP('תפוקה מצטברת מול אשתקד'!A46,מנורה!A:G,5,0)+VLOOKUP('תפוקה מצטברת מול אשתקד'!A46,איילון!A:G,5,0)+VLOOKUP('תפוקה מצטברת מול אשתקד'!A46,הראל!A:G,5,0)+VLOOKUP('תפוקה מצטברת מול אשתקד'!A46,הפניקס!A:G,5,0)+VLOOKUP('תפוקה מצטברת מול אשתקד'!A46,כלל!A:G,5,0)+VLOOKUP('תפוקה מצטברת מול אשתקד'!A46,מור!A:G,5,0)+VLOOKUP('תפוקה מצטברת מול אשתקד'!A46,'אלטשולר שחם'!A:G,5,0)+VLOOKUP('תפוקה מצטברת מול אשתקד'!A46,'מדיהו '!A:G,5,0)+VLOOKUP('תפוקה מצטברת מול אשתקד'!A46,'אנליסט '!A:G,5,0)+VLOOKUP('תפוקה מצטברת מול אשתקד'!A46,'מיטב דש'!A:G,5,0)+VLOOKUP('תפוקה מצטברת מול אשתקד'!A46,אינפניטי!A:G,5,0)</f>
        <v>6581.741</v>
      </c>
      <c r="J46" s="58">
        <f>VLOOKUP(A46,הכשרה!A:G,6,0)+VLOOKUP('תפוקה מצטברת מול אשתקד'!A46,מגדל!A:G,6,0)+VLOOKUP('תפוקה מצטברת מול אשתקד'!A46,מנורה!A:G,6,0)+VLOOKUP('תפוקה מצטברת מול אשתקד'!A46,איילון!A:G,6,0)+VLOOKUP(A46,הראל!A:G,6,0)+VLOOKUP('תפוקה מצטברת מול אשתקד'!A46,הפניקס!A:G,6,0)+VLOOKUP('תפוקה מצטברת מול אשתקד'!A46,כלל!A:G,6,0)+VLOOKUP('תפוקה מצטברת מול אשתקד'!A46,מור!A:G,6,0)+VLOOKUP('תפוקה מצטברת מול אשתקד'!A46,'אלטשולר שחם'!A:G,6,0)+VLOOKUP('תפוקה מצטברת מול אשתקד'!A46,'מדיהו '!A:G,6,0)+VLOOKUP('תפוקה מצטברת מול אשתקד'!A46,'אנליסט '!A:G,6,0)+VLOOKUP('תפוקה מצטברת מול אשתקד'!A46,'מיטב דש'!A:G,6,0)+VLOOKUP('תפוקה מצטברת מול אשתקד'!A46,אינפניטי!A:G,6,0)</f>
        <v>124311.49</v>
      </c>
      <c r="K46" s="58">
        <f>VLOOKUP(A46,הכשרה!A:G,7,0)+VLOOKUP('תפוקה מצטברת מול אשתקד'!A46,מגדל!A:G,7,0)+VLOOKUP('תפוקה מצטברת מול אשתקד'!A46,מנורה!A:G,7,0)+VLOOKUP('תפוקה מצטברת מול אשתקד'!A46,איילון!A:G,7,0)+VLOOKUP('תפוקה מצטברת מול אשתקד'!A46,הראל!A:G,7,0)+VLOOKUP('תפוקה מצטברת מול אשתקד'!A46,הפניקס!A:G,7,0)+VLOOKUP('תפוקה מצטברת מול אשתקד'!A46,כלל!A:G,7,0)+VLOOKUP('תפוקה מצטברת מול אשתקד'!A46,מור!A:G,7,0)+VLOOKUP('תפוקה מצטברת מול אשתקד'!A46,'אלטשולר שחם'!A:G,7,0)+VLOOKUP('תפוקה מצטברת מול אשתקד'!A46,'מדיהו '!A:K,7,0)+VLOOKUP(A46,'אנליסט '!A:G,7,0)+VLOOKUP('תפוקה מצטברת מול אשתקד'!A46,'מיטב דש'!A:G,7,0)+VLOOKUP('תפוקה מצטברת מול אשתקד'!A46,אינפניטי!A:G,7,0)</f>
        <v>591122.58000000007</v>
      </c>
      <c r="L46" s="12">
        <f>VLOOKUP(A46,הכשרה!A:K,8,0)+VLOOKUP('תפוקה מצטברת מול אשתקד'!A46,מגדל!A:K,8,0)+VLOOKUP('תפוקה מצטברת מול אשתקד'!A46,מנורה!A:K,8,0)+VLOOKUP('תפוקה מצטברת מול אשתקד'!A46,איילון!A:K,8,0)+VLOOKUP('תפוקה מצטברת מול אשתקד'!A46,הראל!A:K,8,0)+VLOOKUP('תפוקה מצטברת מול אשתקד'!A46,הפניקס!A:K,8,0)+VLOOKUP('תפוקה מצטברת מול אשתקד'!A46,כלל!A:K,8,0)+VLOOKUP('תפוקה מצטברת מול אשתקד'!A46,מור!A:K,8,0)+VLOOKUP('תפוקה מצטברת מול אשתקד'!A46,'אלטשולר שחם'!A:K,8,0)+VLOOKUP('תפוקה מצטברת מול אשתקד'!A46,'מדיהו '!A:K,8,0)+VLOOKUP('תפוקה מצטברת מול אשתקד'!A46,'אנליסט '!A:K,8,0)+VLOOKUP('תפוקה מצטברת מול אשתקד'!A46,'מיטב דש'!A:K,8,0)+VLOOKUP('תפוקה מצטברת מול אשתקד'!A46,אינפניטי!A:K,8,0)</f>
        <v>46227.673039999994</v>
      </c>
      <c r="M46" s="12">
        <f>VLOOKUP(A46,הכשרה!A:K,9,0)+VLOOKUP('תפוקה מצטברת מול אשתקד'!A46,מגדל!A:K,9,0)+VLOOKUP('תפוקה מצטברת מול אשתקד'!A46,מנורה!A:K,9,0)+VLOOKUP('תפוקה מצטברת מול אשתקד'!A46,איילון!A:K,9,0)+VLOOKUP('תפוקה מצטברת מול אשתקד'!A46,הראל!A:K,9,0)+VLOOKUP('תפוקה מצטברת מול אשתקד'!A46,הפניקס!A:K,9,0)+VLOOKUP('תפוקה מצטברת מול אשתקד'!A46,כלל!A:K,9,0)+VLOOKUP('תפוקה מצטברת מול אשתקד'!A46,מור!A:K,9,0)+VLOOKUP('תפוקה מצטברת מול אשתקד'!A46,'אלטשולר שחם'!A:K,9,0)+VLOOKUP('תפוקה מצטברת מול אשתקד'!A46,'מדיהו '!A:K,9,0)+VLOOKUP('תפוקה מצטברת מול אשתקד'!A46,'אנליסט '!A:K,9,0)+VLOOKUP('תפוקה מצטברת מול אשתקד'!A46,'מיטב דש'!A:K,9,0)+VLOOKUP('תפוקה מצטברת מול אשתקד'!A46,אינפניטי!A:K,9,0)</f>
        <v>10364.455</v>
      </c>
      <c r="N46" s="12">
        <f>VLOOKUP(A46,הכשרה!A:K,10,0)+VLOOKUP('תפוקה מצטברת מול אשתקד'!A46,מגדל!A:K,10,0)+VLOOKUP('תפוקה מצטברת מול אשתקד'!A46,מנורה!A:K,10,0)+VLOOKUP('תפוקה מצטברת מול אשתקד'!A46,איילון!A:K,10,0)+VLOOKUP('תפוקה מצטברת מול אשתקד'!A46,הראל!A:K,10,0)+VLOOKUP('תפוקה מצטברת מול אשתקד'!A46,הפניקס!A:K,10,0)+VLOOKUP('תפוקה מצטברת מול אשתקד'!A46,כלל!A:K,10,0)+VLOOKUP('תפוקה מצטברת מול אשתקד'!A46,מור!A:K,10,0)+VLOOKUP('תפוקה מצטברת מול אשתקד'!A46,'אלטשולר שחם'!A:K,10,0)+VLOOKUP('תפוקה מצטברת מול אשתקד'!A46,'מדיהו '!A:K,10,0)+VLOOKUP('תפוקה מצטברת מול אשתקד'!A46,'אנליסט '!A:K,10,0)+VLOOKUP('תפוקה מצטברת מול אשתקד'!A46,'מיטב דש'!A:K,10,0)+VLOOKUP('תפוקה מצטברת מול אשתקד'!A46,אינפניטי!A:K,10,0)</f>
        <v>125997.56724</v>
      </c>
      <c r="O46" s="12">
        <f>VLOOKUP(A46,הכשרה!A:K,11,0)+VLOOKUP('תפוקה מצטברת מול אשתקד'!A46,מגדל!A:K,11,0)+VLOOKUP('תפוקה מצטברת מול אשתקד'!A46,מנורה!A:K,11,0)+VLOOKUP('תפוקה מצטברת מול אשתקד'!A46,איילון!A:K,11,0)+VLOOKUP('תפוקה מצטברת מול אשתקד'!A46,הראל!A:K,11,0)+VLOOKUP('תפוקה מצטברת מול אשתקד'!A46,הפניקס!A:K,11,0)+VLOOKUP('תפוקה מצטברת מול אשתקד'!A46,כלל!A:K,11,0)+VLOOKUP('תפוקה מצטברת מול אשתקד'!A46,מור!A:K,11,0)+VLOOKUP('תפוקה מצטברת מול אשתקד'!A46,'אלטשולר שחם'!A:K,11,0)+VLOOKUP('תפוקה מצטברת מול אשתקד'!A46,'מדיהו '!A:K,11,0)+VLOOKUP('תפוקה מצטברת מול אשתקד'!A46,'אנליסט '!A:K,11,0)+VLOOKUP('תפוקה מצטברת מול אשתקד'!A46,'מיטב דש'!A:K,11,0)+VLOOKUP('תפוקה מצטברת מול אשתקד'!A46,אינפניטי!A:K,11,0)</f>
        <v>55089</v>
      </c>
    </row>
    <row r="47" spans="1:15" ht="15.75" customHeight="1" x14ac:dyDescent="0.2">
      <c r="A47" s="26" t="s">
        <v>41</v>
      </c>
      <c r="B47" s="26" t="s">
        <v>56</v>
      </c>
      <c r="C47" s="26" t="s">
        <v>107</v>
      </c>
      <c r="D47" s="19">
        <f t="shared" si="0"/>
        <v>1</v>
      </c>
      <c r="E47" s="19">
        <f t="shared" si="0"/>
        <v>-1.0763732598846583</v>
      </c>
      <c r="F47" s="19">
        <f t="shared" si="0"/>
        <v>0</v>
      </c>
      <c r="G47" s="19">
        <f>IF(K47=0,0%,IF(O47=H71,100%,K47/O47-1))</f>
        <v>0</v>
      </c>
      <c r="H47" s="58">
        <f>VLOOKUP(A47,הכשרה!A:G,4,0)+VLOOKUP('תפוקה מצטברת מול אשתקד'!A47,מגדל!A:G,4,0)+VLOOKUP('תפוקה מצטברת מול אשתקד'!A47,מנורה!A:G,4,0)+VLOOKUP('תפוקה מצטברת מול אשתקד'!A47,איילון!A:G,4,0)+VLOOKUP('תפוקה מצטברת מול אשתקד'!A47,הראל!A:G,4,0)+VLOOKUP('תפוקה מצטברת מול אשתקד'!A47,הפניקס!A:G,4,0)+VLOOKUP('תפוקה מצטברת מול אשתקד'!A47,כלל!A:G,4,0)+VLOOKUP('תפוקה מצטברת מול אשתקד'!A47,מור!A:G,4,0)+VLOOKUP('תפוקה מצטברת מול אשתקד'!A47,'אלטשולר שחם'!A:G,4,0)+VLOOKUP('תפוקה מצטברת מול אשתקד'!A47,'מדיהו '!A:G,4,0)+VLOOKUP('תפוקה מצטברת מול אשתקד'!A47,'אנליסט '!A:G,4,0)+VLOOKUP('תפוקה מצטברת מול אשתקד'!A47,'מיטב דש'!A:G,4,0)+VLOOKUP('תפוקה מצטברת מול אשתקד'!A47,אינפניטי!A:G,4,0)</f>
        <v>12059</v>
      </c>
      <c r="I47" s="58">
        <f>VLOOKUP(A47,הכשרה!A:G,5,0)+VLOOKUP('תפוקה מצטברת מול אשתקד'!A47,מגדל!A:G,5,0)+VLOOKUP('תפוקה מצטברת מול אשתקד'!A47,מנורה!A:G,5,0)+VLOOKUP('תפוקה מצטברת מול אשתקד'!A47,איילון!A:G,5,0)+VLOOKUP('תפוקה מצטברת מול אשתקד'!A47,הראל!A:G,5,0)+VLOOKUP('תפוקה מצטברת מול אשתקד'!A47,הפניקס!A:G,5,0)+VLOOKUP('תפוקה מצטברת מול אשתקד'!A47,כלל!A:G,5,0)+VLOOKUP('תפוקה מצטברת מול אשתקד'!A47,מור!A:G,5,0)+VLOOKUP('תפוקה מצטברת מול אשתקד'!A47,'אלטשולר שחם'!A:G,5,0)+VLOOKUP('תפוקה מצטברת מול אשתקד'!A47,'מדיהו '!A:G,5,0)+VLOOKUP('תפוקה מצטברת מול אשתקד'!A47,'אנליסט '!A:G,5,0)+VLOOKUP('תפוקה מצטברת מול אשתקד'!A47,'מיטב דש'!A:G,5,0)+VLOOKUP('תפוקה מצטברת מול אשתקד'!A47,אינפניטי!A:G,5,0)</f>
        <v>860.7</v>
      </c>
      <c r="J47" s="58">
        <f>VLOOKUP(A47,הכשרה!A:G,6,0)+VLOOKUP('תפוקה מצטברת מול אשתקד'!A47,מגדל!A:G,6,0)+VLOOKUP('תפוקה מצטברת מול אשתקד'!A47,מנורה!A:G,6,0)+VLOOKUP('תפוקה מצטברת מול אשתקד'!A47,איילון!A:G,6,0)+VLOOKUP(A47,הראל!A:G,6,0)+VLOOKUP('תפוקה מצטברת מול אשתקד'!A47,הפניקס!A:G,6,0)+VLOOKUP('תפוקה מצטברת מול אשתקד'!A47,כלל!A:G,6,0)+VLOOKUP('תפוקה מצטברת מול אשתקד'!A47,מור!A:G,6,0)+VLOOKUP('תפוקה מצטברת מול אשתקד'!A47,'אלטשולר שחם'!A:G,6,0)+VLOOKUP('תפוקה מצטברת מול אשתקד'!A47,'מדיהו '!A:G,6,0)+VLOOKUP('תפוקה מצטברת מול אשתקד'!A47,'אנליסט '!A:G,6,0)+VLOOKUP('תפוקה מצטברת מול אשתקד'!A47,'מיטב דש'!A:G,6,0)+VLOOKUP('תפוקה מצטברת מול אשתקד'!A47,אינפניטי!A:G,6,0)</f>
        <v>0</v>
      </c>
      <c r="K47" s="58">
        <f>VLOOKUP(A47,הכשרה!A:G,7,0)+VLOOKUP('תפוקה מצטברת מול אשתקד'!A47,מגדל!A:G,7,0)+VLOOKUP('תפוקה מצטברת מול אשתקד'!A47,מנורה!A:G,7,0)+VLOOKUP('תפוקה מצטברת מול אשתקד'!A47,איילון!A:G,7,0)+VLOOKUP('תפוקה מצטברת מול אשתקד'!A47,הראל!A:G,7,0)+VLOOKUP('תפוקה מצטברת מול אשתקד'!A47,הפניקס!A:G,7,0)+VLOOKUP('תפוקה מצטברת מול אשתקד'!A47,כלל!A:G,7,0)+VLOOKUP('תפוקה מצטברת מול אשתקד'!A47,מור!A:G,7,0)+VLOOKUP('תפוקה מצטברת מול אשתקד'!A47,'אלטשולר שחם'!A:G,7,0)+VLOOKUP('תפוקה מצטברת מול אשתקד'!A47,'מדיהו '!A:K,7,0)+VLOOKUP(A47,'אנליסט '!A:G,7,0)+VLOOKUP('תפוקה מצטברת מול אשתקד'!A47,'מיטב דש'!A:G,7,0)+VLOOKUP('תפוקה מצטברת מול אשתקד'!A47,אינפניטי!A:G,7,0)</f>
        <v>0</v>
      </c>
      <c r="L47" s="12">
        <f>VLOOKUP(A47,הכשרה!A:K,8,0)+VLOOKUP('תפוקה מצטברת מול אשתקד'!A47,מגדל!A:K,8,0)+VLOOKUP('תפוקה מצטברת מול אשתקד'!A47,מנורה!A:K,8,0)+VLOOKUP('תפוקה מצטברת מול אשתקד'!A47,איילון!A:K,8,0)+VLOOKUP('תפוקה מצטברת מול אשתקד'!A47,הראל!A:K,8,0)+VLOOKUP('תפוקה מצטברת מול אשתקד'!A47,הפניקס!A:K,8,0)+VLOOKUP('תפוקה מצטברת מול אשתקד'!A47,כלל!A:K,8,0)+VLOOKUP('תפוקה מצטברת מול אשתקד'!A47,מור!A:K,8,0)+VLOOKUP('תפוקה מצטברת מול אשתקד'!A47,'אלטשולר שחם'!A:K,8,0)+VLOOKUP('תפוקה מצטברת מול אשתקד'!A47,'מדיהו '!A:K,8,0)+VLOOKUP('תפוקה מצטברת מול אשתקד'!A47,'אנליסט '!A:K,8,0)+VLOOKUP('תפוקה מצטברת מול אשתקד'!A47,'מיטב דש'!A:K,8,0)+VLOOKUP('תפוקה מצטברת מול אשתקד'!A47,אינפניטי!A:K,8,0)</f>
        <v>0</v>
      </c>
      <c r="M47" s="12">
        <f>VLOOKUP(A47,הכשרה!A:K,9,0)+VLOOKUP('תפוקה מצטברת מול אשתקד'!A47,מגדל!A:K,9,0)+VLOOKUP('תפוקה מצטברת מול אשתקד'!A47,מנורה!A:K,9,0)+VLOOKUP('תפוקה מצטברת מול אשתקד'!A47,איילון!A:K,9,0)+VLOOKUP('תפוקה מצטברת מול אשתקד'!A47,הראל!A:K,9,0)+VLOOKUP('תפוקה מצטברת מול אשתקד'!A47,הפניקס!A:K,9,0)+VLOOKUP('תפוקה מצטברת מול אשתקד'!A47,כלל!A:K,9,0)+VLOOKUP('תפוקה מצטברת מול אשתקד'!A47,מור!A:K,9,0)+VLOOKUP('תפוקה מצטברת מול אשתקד'!A47,'אלטשולר שחם'!A:K,9,0)+VLOOKUP('תפוקה מצטברת מול אשתקד'!A47,'מדיהו '!A:K,9,0)+VLOOKUP('תפוקה מצטברת מול אשתקד'!A47,'אנליסט '!A:K,9,0)+VLOOKUP('תפוקה מצטברת מול אשתקד'!A47,'מיטב דש'!A:K,9,0)+VLOOKUP('תפוקה מצטברת מול אשתקד'!A47,אינפניטי!A:K,9,0)</f>
        <v>-11269.65120121705</v>
      </c>
      <c r="N47" s="12">
        <f>VLOOKUP(A47,הכשרה!A:K,10,0)+VLOOKUP('תפוקה מצטברת מול אשתקד'!A47,מגדל!A:K,10,0)+VLOOKUP('תפוקה מצטברת מול אשתקד'!A47,מנורה!A:K,10,0)+VLOOKUP('תפוקה מצטברת מול אשתקד'!A47,איילון!A:K,10,0)+VLOOKUP('תפוקה מצטברת מול אשתקד'!A47,הראל!A:K,10,0)+VLOOKUP('תפוקה מצטברת מול אשתקד'!A47,הפניקס!A:K,10,0)+VLOOKUP('תפוקה מצטברת מול אשתקד'!A47,כלל!A:K,10,0)+VLOOKUP('תפוקה מצטברת מול אשתקד'!A47,מור!A:K,10,0)+VLOOKUP('תפוקה מצטברת מול אשתקד'!A47,'אלטשולר שחם'!A:K,10,0)+VLOOKUP('תפוקה מצטברת מול אשתקד'!A47,'מדיהו '!A:K,10,0)+VLOOKUP('תפוקה מצטברת מול אשתקד'!A47,'אנליסט '!A:K,10,0)+VLOOKUP('תפוקה מצטברת מול אשתקד'!A47,'מיטב דש'!A:K,10,0)+VLOOKUP('תפוקה מצטברת מול אשתקד'!A47,אינפניטי!A:K,10,0)</f>
        <v>0</v>
      </c>
      <c r="O47" s="12">
        <f>VLOOKUP(A47,הכשרה!A:K,11,0)+VLOOKUP('תפוקה מצטברת מול אשתקד'!A47,מגדל!A:K,11,0)+VLOOKUP('תפוקה מצטברת מול אשתקד'!A47,מנורה!A:K,11,0)+VLOOKUP('תפוקה מצטברת מול אשתקד'!A47,איילון!A:K,11,0)+VLOOKUP('תפוקה מצטברת מול אשתקד'!A47,הראל!A:K,11,0)+VLOOKUP('תפוקה מצטברת מול אשתקד'!A47,הפניקס!A:K,11,0)+VLOOKUP('תפוקה מצטברת מול אשתקד'!A47,כלל!A:K,11,0)+VLOOKUP('תפוקה מצטברת מול אשתקד'!A47,מור!A:K,11,0)+VLOOKUP('תפוקה מצטברת מול אשתקד'!A47,'אלטשולר שחם'!A:K,11,0)+VLOOKUP('תפוקה מצטברת מול אשתקד'!A47,'מדיהו '!A:K,11,0)+VLOOKUP('תפוקה מצטברת מול אשתקד'!A47,'אנליסט '!A:K,11,0)+VLOOKUP('תפוקה מצטברת מול אשתקד'!A47,'מיטב דש'!A:K,11,0)+VLOOKUP('תפוקה מצטברת מול אשתקד'!A47,אינפניטי!A:K,11,0)</f>
        <v>0</v>
      </c>
    </row>
    <row r="48" spans="1:15" ht="15.75" customHeight="1" x14ac:dyDescent="0.2">
      <c r="A48" s="28" t="s">
        <v>88</v>
      </c>
      <c r="B48" s="28" t="s">
        <v>56</v>
      </c>
      <c r="C48" s="26" t="s">
        <v>107</v>
      </c>
      <c r="D48" s="101">
        <f t="shared" si="0"/>
        <v>0</v>
      </c>
      <c r="E48" s="101">
        <f t="shared" si="0"/>
        <v>-5.912141459054868</v>
      </c>
      <c r="F48" s="101">
        <f t="shared" si="0"/>
        <v>0</v>
      </c>
      <c r="G48" s="19">
        <f>IF(K48=0,0%,IF(O48=H72,100%,K48/O48-1))</f>
        <v>-1.0007707154347323</v>
      </c>
      <c r="H48" s="58">
        <f>VLOOKUP(A48,הכשרה!A:G,4,0)+VLOOKUP('תפוקה מצטברת מול אשתקד'!A48,מגדל!A:G,4,0)+VLOOKUP('תפוקה מצטברת מול אשתקד'!A48,מנורה!A:G,4,0)+VLOOKUP('תפוקה מצטברת מול אשתקד'!A48,איילון!A:G,4,0)+VLOOKUP('תפוקה מצטברת מול אשתקד'!A48,הראל!A:G,4,0)+VLOOKUP('תפוקה מצטברת מול אשתקד'!A48,הפניקס!A:G,4,0)+VLOOKUP('תפוקה מצטברת מול אשתקד'!A48,כלל!A:G,4,0)+VLOOKUP('תפוקה מצטברת מול אשתקד'!A48,מור!A:G,4,0)+VLOOKUP('תפוקה מצטברת מול אשתקד'!A48,'אלטשולר שחם'!A:G,4,0)+VLOOKUP('תפוקה מצטברת מול אשתקד'!A48,'מדיהו '!A:G,4,0)+VLOOKUP('תפוקה מצטברת מול אשתקד'!A48,'אנליסט '!A:G,4,0)+VLOOKUP('תפוקה מצטברת מול אשתקד'!A48,'מיטב דש'!A:G,4,0)+VLOOKUP('תפוקה מצטברת מול אשתקד'!A48,אינפניטי!A:G,4,0)</f>
        <v>0</v>
      </c>
      <c r="I48" s="58">
        <f>VLOOKUP(A48,הכשרה!A:G,5,0)+VLOOKUP('תפוקה מצטברת מול אשתקד'!A48,מגדל!A:G,5,0)+VLOOKUP('תפוקה מצטברת מול אשתקד'!A48,מנורה!A:G,5,0)+VLOOKUP('תפוקה מצטברת מול אשתקד'!A48,איילון!A:G,5,0)+VLOOKUP('תפוקה מצטברת מול אשתקד'!A48,הראל!A:G,5,0)+VLOOKUP('תפוקה מצטברת מול אשתקד'!A48,הפניקס!A:G,5,0)+VLOOKUP('תפוקה מצטברת מול אשתקד'!A48,כלל!A:G,5,0)+VLOOKUP('תפוקה מצטברת מול אשתקד'!A48,מור!A:G,5,0)+VLOOKUP('תפוקה מצטברת מול אשתקד'!A48,'אלטשולר שחם'!A:G,5,0)+VLOOKUP('תפוקה מצטברת מול אשתקד'!A48,'מדיהו '!A:G,5,0)+VLOOKUP('תפוקה מצטברת מול אשתקד'!A48,'אנליסט '!A:G,5,0)+VLOOKUP('תפוקה מצטברת מול אשתקד'!A48,'מיטב דש'!A:G,5,0)+VLOOKUP('תפוקה מצטברת מול אשתקד'!A48,אינפניטי!A:G,5,0)</f>
        <v>3237.9700000000003</v>
      </c>
      <c r="J48" s="58">
        <f>VLOOKUP(A48,הכשרה!A:G,6,0)+VLOOKUP('תפוקה מצטברת מול אשתקד'!A48,מגדל!A:G,6,0)+VLOOKUP('תפוקה מצטברת מול אשתקד'!A48,מנורה!A:G,6,0)+VLOOKUP('תפוקה מצטברת מול אשתקד'!A48,איילון!A:G,6,0)+VLOOKUP(A48,הראל!A:G,6,0)+VLOOKUP('תפוקה מצטברת מול אשתקד'!A48,הפניקס!A:G,6,0)+VLOOKUP('תפוקה מצטברת מול אשתקד'!A48,כלל!A:G,6,0)+VLOOKUP('תפוקה מצטברת מול אשתקד'!A48,מור!A:G,6,0)+VLOOKUP('תפוקה מצטברת מול אשתקד'!A48,'אלטשולר שחם'!A:G,6,0)+VLOOKUP('תפוקה מצטברת מול אשתקד'!A48,'מדיהו '!A:G,6,0)+VLOOKUP('תפוקה מצטברת מול אשתקד'!A48,'אנליסט '!A:G,6,0)+VLOOKUP('תפוקה מצטברת מול אשתקד'!A48,'מיטב דש'!A:G,6,0)+VLOOKUP('תפוקה מצטברת מול אשתקד'!A48,אינפניטי!A:G,6,0)</f>
        <v>0</v>
      </c>
      <c r="K48" s="58">
        <f>VLOOKUP(A48,הכשרה!A:G,7,0)+VLOOKUP('תפוקה מצטברת מול אשתקד'!A48,מגדל!A:G,7,0)+VLOOKUP('תפוקה מצטברת מול אשתקד'!A48,מנורה!A:G,7,0)+VLOOKUP('תפוקה מצטברת מול אשתקד'!A48,איילון!A:G,7,0)+VLOOKUP('תפוקה מצטברת מול אשתקד'!A48,הראל!A:G,7,0)+VLOOKUP('תפוקה מצטברת מול אשתקד'!A48,הפניקס!A:G,7,0)+VLOOKUP('תפוקה מצטברת מול אשתקד'!A48,כלל!A:G,7,0)+VLOOKUP('תפוקה מצטברת מול אשתקד'!A48,מור!A:G,7,0)+VLOOKUP('תפוקה מצטברת מול אשתקד'!A48,'אלטשולר שחם'!A:G,7,0)+VLOOKUP('תפוקה מצטברת מול אשתקד'!A48,'מדיהו '!A:K,7,0)+VLOOKUP(A48,'אנליסט '!A:G,7,0)+VLOOKUP('תפוקה מצטברת מול אשתקד'!A48,'מיטב דש'!A:G,7,0)+VLOOKUP('תפוקה מצטברת מול אשתקד'!A48,אינפניטי!A:G,7,0)</f>
        <v>-2016</v>
      </c>
      <c r="L48" s="12">
        <f>VLOOKUP(A48,הכשרה!A:K,8,0)+VLOOKUP('תפוקה מצטברת מול אשתקד'!A48,מגדל!A:K,8,0)+VLOOKUP('תפוקה מצטברת מול אשתקד'!A48,מנורה!A:K,8,0)+VLOOKUP('תפוקה מצטברת מול אשתקד'!A48,איילון!A:K,8,0)+VLOOKUP('תפוקה מצטברת מול אשתקד'!A48,הראל!A:K,8,0)+VLOOKUP('תפוקה מצטברת מול אשתקד'!A48,הפניקס!A:K,8,0)+VLOOKUP('תפוקה מצטברת מול אשתקד'!A48,כלל!A:K,8,0)+VLOOKUP('תפוקה מצטברת מול אשתקד'!A48,מור!A:K,8,0)+VLOOKUP('תפוקה מצטברת מול אשתקד'!A48,'אלטשולר שחם'!A:K,8,0)+VLOOKUP('תפוקה מצטברת מול אשתקד'!A48,'מדיהו '!A:K,8,0)+VLOOKUP('תפוקה מצטברת מול אשתקד'!A48,'אנליסט '!A:K,8,0)+VLOOKUP('תפוקה מצטברת מול אשתקד'!A48,'מיטב דש'!A:K,8,0)+VLOOKUP('תפוקה מצטברת מול אשתקד'!A48,אינפניטי!A:K,8,0)</f>
        <v>17462.14</v>
      </c>
      <c r="M48" s="12">
        <f>VLOOKUP(A48,הכשרה!A:K,9,0)+VLOOKUP('תפוקה מצטברת מול אשתקד'!A48,מגדל!A:K,9,0)+VLOOKUP('תפוקה מצטברת מול אשתקד'!A48,מנורה!A:K,9,0)+VLOOKUP('תפוקה מצטברת מול אשתקד'!A48,איילון!A:K,9,0)+VLOOKUP('תפוקה מצטברת מול אשתקד'!A48,הראל!A:K,9,0)+VLOOKUP('תפוקה מצטברת מול אשתקד'!A48,הפניקס!A:K,9,0)+VLOOKUP('תפוקה מצטברת מול אשתקד'!A48,כלל!A:K,9,0)+VLOOKUP('תפוקה מצטברת מול אשתקד'!A48,מור!A:K,9,0)+VLOOKUP('תפוקה מצטברת מול אשתקד'!A48,'אלטשולר שחם'!A:K,9,0)+VLOOKUP('תפוקה מצטברת מול אשתקד'!A48,'מדיהו '!A:K,9,0)+VLOOKUP('תפוקה מצטברת מול אשתקד'!A48,'אנליסט '!A:K,9,0)+VLOOKUP('תפוקה מצטברת מול אשתקד'!A48,'מיטב דש'!A:K,9,0)+VLOOKUP('תפוקה מצטברת מול אשתקד'!A48,אינפניטי!A:K,9,0)</f>
        <v>-659.17686349020767</v>
      </c>
      <c r="N48" s="12">
        <f>VLOOKUP(A48,הכשרה!A:K,10,0)+VLOOKUP('תפוקה מצטברת מול אשתקד'!A48,מגדל!A:K,10,0)+VLOOKUP('תפוקה מצטברת מול אשתקד'!A48,מנורה!A:K,10,0)+VLOOKUP('תפוקה מצטברת מול אשתקד'!A48,איילון!A:K,10,0)+VLOOKUP('תפוקה מצטברת מול אשתקד'!A48,הראל!A:K,10,0)+VLOOKUP('תפוקה מצטברת מול אשתקד'!A48,הפניקס!A:K,10,0)+VLOOKUP('תפוקה מצטברת מול אשתקד'!A48,כלל!A:K,10,0)+VLOOKUP('תפוקה מצטברת מול אשתקד'!A48,מור!A:K,10,0)+VLOOKUP('תפוקה מצטברת מול אשתקד'!A48,'אלטשולר שחם'!A:K,10,0)+VLOOKUP('תפוקה מצטברת מול אשתקד'!A48,'מדיהו '!A:K,10,0)+VLOOKUP('תפוקה מצטברת מול אשתקד'!A48,'אנליסט '!A:K,10,0)+VLOOKUP('תפוקה מצטברת מול אשתקד'!A48,'מיטב דש'!A:K,10,0)+VLOOKUP('תפוקה מצטברת מול אשתקד'!A48,אינפניטי!A:K,10,0)</f>
        <v>402.25628</v>
      </c>
      <c r="O48" s="12">
        <f>VLOOKUP(A48,הכשרה!A:K,11,0)+VLOOKUP('תפוקה מצטברת מול אשתקד'!A48,מגדל!A:K,11,0)+VLOOKUP('תפוקה מצטברת מול אשתקד'!A48,מנורה!A:K,11,0)+VLOOKUP('תפוקה מצטברת מול אשתקד'!A48,איילון!A:K,11,0)+VLOOKUP('תפוקה מצטברת מול אשתקד'!A48,הראל!A:K,11,0)+VLOOKUP('תפוקה מצטברת מול אשתקד'!A48,הפניקס!A:K,11,0)+VLOOKUP('תפוקה מצטברת מול אשתקד'!A48,כלל!A:K,11,0)+VLOOKUP('תפוקה מצטברת מול אשתקד'!A48,מור!A:K,11,0)+VLOOKUP('תפוקה מצטברת מול אשתקד'!A48,'אלטשולר שחם'!A:K,11,0)+VLOOKUP('תפוקה מצטברת מול אשתקד'!A48,'מדיהו '!A:K,11,0)+VLOOKUP('תפוקה מצטברת מול אשתקד'!A48,'אנליסט '!A:K,11,0)+VLOOKUP('תפוקה מצטברת מול אשתקד'!A48,'מיטב דש'!A:K,11,0)+VLOOKUP('תפוקה מצטברת מול אשתקד'!A48,אינפניטי!A:K,11,0)</f>
        <v>2615751.4293200001</v>
      </c>
    </row>
    <row r="49" spans="1:15" ht="15.75" customHeight="1" x14ac:dyDescent="0.2">
      <c r="A49" s="26" t="s">
        <v>14</v>
      </c>
      <c r="B49" s="26" t="s">
        <v>55</v>
      </c>
      <c r="C49" s="26" t="s">
        <v>107</v>
      </c>
      <c r="D49" s="19">
        <f t="shared" ref="D49:F53" si="6">IF(H49=0,0%,IF(L49=0,100%,H49/L49-1))</f>
        <v>0</v>
      </c>
      <c r="E49" s="19">
        <f t="shared" si="6"/>
        <v>0</v>
      </c>
      <c r="F49" s="19">
        <f t="shared" si="6"/>
        <v>0</v>
      </c>
      <c r="G49" s="19">
        <f>IF(K49=0,0%,IF(O49=H73,100%,K49/O49-1))</f>
        <v>0</v>
      </c>
      <c r="H49" s="58">
        <f>VLOOKUP(A49,הכשרה!A:G,4,0)+VLOOKUP('תפוקה מצטברת מול אשתקד'!A49,מגדל!A:G,4,0)+VLOOKUP('תפוקה מצטברת מול אשתקד'!A49,מנורה!A:G,4,0)+VLOOKUP('תפוקה מצטברת מול אשתקד'!A49,איילון!A:G,4,0)+VLOOKUP('תפוקה מצטברת מול אשתקד'!A49,הראל!A:G,4,0)+VLOOKUP('תפוקה מצטברת מול אשתקד'!A49,הפניקס!A:G,4,0)+VLOOKUP('תפוקה מצטברת מול אשתקד'!A49,כלל!A:G,4,0)+VLOOKUP('תפוקה מצטברת מול אשתקד'!A49,מור!A:G,4,0)+VLOOKUP('תפוקה מצטברת מול אשתקד'!A49,'אלטשולר שחם'!A:G,4,0)+VLOOKUP('תפוקה מצטברת מול אשתקד'!A49,'מדיהו '!A:G,4,0)+VLOOKUP('תפוקה מצטברת מול אשתקד'!A49,'אנליסט '!A:G,4,0)+VLOOKUP('תפוקה מצטברת מול אשתקד'!A49,'מיטב דש'!A:G,4,0)+VLOOKUP('תפוקה מצטברת מול אשתקד'!A49,אינפניטי!A:G,4,0)</f>
        <v>0</v>
      </c>
      <c r="I49" s="58">
        <f>VLOOKUP(A49,הכשרה!A:G,5,0)+VLOOKUP('תפוקה מצטברת מול אשתקד'!A49,מגדל!A:G,5,0)+VLOOKUP('תפוקה מצטברת מול אשתקד'!A49,מנורה!A:G,5,0)+VLOOKUP('תפוקה מצטברת מול אשתקד'!A49,איילון!A:G,5,0)+VLOOKUP('תפוקה מצטברת מול אשתקד'!A49,הראל!A:G,5,0)+VLOOKUP('תפוקה מצטברת מול אשתקד'!A49,הפניקס!A:G,5,0)+VLOOKUP('תפוקה מצטברת מול אשתקד'!A49,כלל!A:G,5,0)+VLOOKUP('תפוקה מצטברת מול אשתקד'!A49,מור!A:G,5,0)+VLOOKUP('תפוקה מצטברת מול אשתקד'!A49,'אלטשולר שחם'!A:G,5,0)+VLOOKUP('תפוקה מצטברת מול אשתקד'!A49,'מדיהו '!A:G,5,0)+VLOOKUP('תפוקה מצטברת מול אשתקד'!A49,'אנליסט '!A:G,5,0)+VLOOKUP('תפוקה מצטברת מול אשתקד'!A49,'מיטב דש'!A:G,5,0)+VLOOKUP('תפוקה מצטברת מול אשתקד'!A49,אינפניטי!A:G,5,0)</f>
        <v>0</v>
      </c>
      <c r="J49" s="58">
        <f>VLOOKUP(A49,הכשרה!A:G,6,0)+VLOOKUP('תפוקה מצטברת מול אשתקד'!A49,מגדל!A:G,6,0)+VLOOKUP('תפוקה מצטברת מול אשתקד'!A49,מנורה!A:G,6,0)+VLOOKUP('תפוקה מצטברת מול אשתקד'!A49,איילון!A:G,6,0)+VLOOKUP(A49,הראל!A:G,6,0)+VLOOKUP('תפוקה מצטברת מול אשתקד'!A49,הפניקס!A:G,6,0)+VLOOKUP('תפוקה מצטברת מול אשתקד'!A49,כלל!A:G,6,0)+VLOOKUP('תפוקה מצטברת מול אשתקד'!A49,מור!A:G,6,0)+VLOOKUP('תפוקה מצטברת מול אשתקד'!A49,'אלטשולר שחם'!A:G,6,0)+VLOOKUP('תפוקה מצטברת מול אשתקד'!A49,'מדיהו '!A:G,6,0)+VLOOKUP('תפוקה מצטברת מול אשתקד'!A49,'אנליסט '!A:G,6,0)+VLOOKUP('תפוקה מצטברת מול אשתקד'!A49,'מיטב דש'!A:G,6,0)+VLOOKUP('תפוקה מצטברת מול אשתקד'!A49,אינפניטי!A:G,6,0)</f>
        <v>0</v>
      </c>
      <c r="K49" s="58">
        <f>VLOOKUP(A49,הכשרה!A:G,7,0)+VLOOKUP('תפוקה מצטברת מול אשתקד'!A49,מגדל!A:G,7,0)+VLOOKUP('תפוקה מצטברת מול אשתקד'!A49,מנורה!A:G,7,0)+VLOOKUP('תפוקה מצטברת מול אשתקד'!A49,איילון!A:G,7,0)+VLOOKUP('תפוקה מצטברת מול אשתקד'!A49,הראל!A:G,7,0)+VLOOKUP('תפוקה מצטברת מול אשתקד'!A49,הפניקס!A:G,7,0)+VLOOKUP('תפוקה מצטברת מול אשתקד'!A49,כלל!A:G,7,0)+VLOOKUP('תפוקה מצטברת מול אשתקד'!A49,מור!A:G,7,0)+VLOOKUP('תפוקה מצטברת מול אשתקד'!A49,'אלטשולר שחם'!A:G,7,0)+VLOOKUP('תפוקה מצטברת מול אשתקד'!A49,'מדיהו '!A:K,7,0)+VLOOKUP(A49,'אנליסט '!A:G,7,0)+VLOOKUP('תפוקה מצטברת מול אשתקד'!A49,'מיטב דש'!A:G,7,0)+VLOOKUP('תפוקה מצטברת מול אשתקד'!A49,אינפניטי!A:G,7,0)</f>
        <v>0</v>
      </c>
      <c r="L49" s="12">
        <f>VLOOKUP(A49,הכשרה!A:K,8,0)+VLOOKUP('תפוקה מצטברת מול אשתקד'!A49,מגדל!A:K,8,0)+VLOOKUP('תפוקה מצטברת מול אשתקד'!A49,מנורה!A:K,8,0)+VLOOKUP('תפוקה מצטברת מול אשתקד'!A49,איילון!A:K,8,0)+VLOOKUP('תפוקה מצטברת מול אשתקד'!A49,הראל!A:K,8,0)+VLOOKUP('תפוקה מצטברת מול אשתקד'!A49,הפניקס!A:K,8,0)+VLOOKUP('תפוקה מצטברת מול אשתקד'!A49,כלל!A:K,8,0)+VLOOKUP('תפוקה מצטברת מול אשתקד'!A49,מור!A:K,8,0)+VLOOKUP('תפוקה מצטברת מול אשתקד'!A49,'אלטשולר שחם'!A:K,8,0)+VLOOKUP('תפוקה מצטברת מול אשתקד'!A49,'מדיהו '!A:K,8,0)+VLOOKUP('תפוקה מצטברת מול אשתקד'!A49,'אנליסט '!A:K,8,0)+VLOOKUP('תפוקה מצטברת מול אשתקד'!A49,'מיטב דש'!A:K,8,0)+VLOOKUP('תפוקה מצטברת מול אשתקד'!A49,אינפניטי!A:K,8,0)</f>
        <v>0</v>
      </c>
      <c r="M49" s="12">
        <f>VLOOKUP(A49,הכשרה!A:K,9,0)+VLOOKUP('תפוקה מצטברת מול אשתקד'!A49,מגדל!A:K,9,0)+VLOOKUP('תפוקה מצטברת מול אשתקד'!A49,מנורה!A:K,9,0)+VLOOKUP('תפוקה מצטברת מול אשתקד'!A49,איילון!A:K,9,0)+VLOOKUP('תפוקה מצטברת מול אשתקד'!A49,הראל!A:K,9,0)+VLOOKUP('תפוקה מצטברת מול אשתקד'!A49,הפניקס!A:K,9,0)+VLOOKUP('תפוקה מצטברת מול אשתקד'!A49,כלל!A:K,9,0)+VLOOKUP('תפוקה מצטברת מול אשתקד'!A49,מור!A:K,9,0)+VLOOKUP('תפוקה מצטברת מול אשתקד'!A49,'אלטשולר שחם'!A:K,9,0)+VLOOKUP('תפוקה מצטברת מול אשתקד'!A49,'מדיהו '!A:K,9,0)+VLOOKUP('תפוקה מצטברת מול אשתקד'!A49,'אנליסט '!A:K,9,0)+VLOOKUP('תפוקה מצטברת מול אשתקד'!A49,'מיטב דש'!A:K,9,0)+VLOOKUP('תפוקה מצטברת מול אשתקד'!A49,אינפניטי!A:K,9,0)</f>
        <v>0</v>
      </c>
      <c r="N49" s="12">
        <f>VLOOKUP(A49,הכשרה!A:K,10,0)+VLOOKUP('תפוקה מצטברת מול אשתקד'!A49,מגדל!A:K,10,0)+VLOOKUP('תפוקה מצטברת מול אשתקד'!A49,מנורה!A:K,10,0)+VLOOKUP('תפוקה מצטברת מול אשתקד'!A49,איילון!A:K,10,0)+VLOOKUP('תפוקה מצטברת מול אשתקד'!A49,הראל!A:K,10,0)+VLOOKUP('תפוקה מצטברת מול אשתקד'!A49,הפניקס!A:K,10,0)+VLOOKUP('תפוקה מצטברת מול אשתקד'!A49,כלל!A:K,10,0)+VLOOKUP('תפוקה מצטברת מול אשתקד'!A49,מור!A:K,10,0)+VLOOKUP('תפוקה מצטברת מול אשתקד'!A49,'אלטשולר שחם'!A:K,10,0)+VLOOKUP('תפוקה מצטברת מול אשתקד'!A49,'מדיהו '!A:K,10,0)+VLOOKUP('תפוקה מצטברת מול אשתקד'!A49,'אנליסט '!A:K,10,0)+VLOOKUP('תפוקה מצטברת מול אשתקד'!A49,'מיטב דש'!A:K,10,0)+VLOOKUP('תפוקה מצטברת מול אשתקד'!A49,אינפניטי!A:K,10,0)</f>
        <v>0</v>
      </c>
      <c r="O49" s="12">
        <f>VLOOKUP(A49,הכשרה!A:K,11,0)+VLOOKUP('תפוקה מצטברת מול אשתקד'!A49,מגדל!A:K,11,0)+VLOOKUP('תפוקה מצטברת מול אשתקד'!A49,מנורה!A:K,11,0)+VLOOKUP('תפוקה מצטברת מול אשתקד'!A49,איילון!A:K,11,0)+VLOOKUP('תפוקה מצטברת מול אשתקד'!A49,הראל!A:K,11,0)+VLOOKUP('תפוקה מצטברת מול אשתקד'!A49,הפניקס!A:K,11,0)+VLOOKUP('תפוקה מצטברת מול אשתקד'!A49,כלל!A:K,11,0)+VLOOKUP('תפוקה מצטברת מול אשתקד'!A49,מור!A:K,11,0)+VLOOKUP('תפוקה מצטברת מול אשתקד'!A49,'אלטשולר שחם'!A:K,11,0)+VLOOKUP('תפוקה מצטברת מול אשתקד'!A49,'מדיהו '!A:K,11,0)+VLOOKUP('תפוקה מצטברת מול אשתקד'!A49,'אנליסט '!A:K,11,0)+VLOOKUP('תפוקה מצטברת מול אשתקד'!A49,'מיטב דש'!A:K,11,0)+VLOOKUP('תפוקה מצטברת מול אשתקד'!A49,אינפניטי!A:K,11,0)</f>
        <v>0</v>
      </c>
    </row>
    <row r="50" spans="1:15" ht="15.75" customHeight="1" x14ac:dyDescent="0.2">
      <c r="A50" s="26" t="s">
        <v>36</v>
      </c>
      <c r="B50" s="26" t="s">
        <v>55</v>
      </c>
      <c r="C50" s="26" t="s">
        <v>107</v>
      </c>
      <c r="D50" s="19">
        <f t="shared" si="6"/>
        <v>0</v>
      </c>
      <c r="E50" s="19">
        <f t="shared" si="6"/>
        <v>0</v>
      </c>
      <c r="F50" s="19">
        <f t="shared" si="6"/>
        <v>0</v>
      </c>
      <c r="G50" s="19">
        <f>IF(K50=0,0%,IF(O50=H74,100%,K50/O50-1))</f>
        <v>0</v>
      </c>
      <c r="H50" s="58">
        <f>VLOOKUP(A50,הכשרה!A:G,4,0)+VLOOKUP('תפוקה מצטברת מול אשתקד'!A50,מגדל!A:G,4,0)+VLOOKUP('תפוקה מצטברת מול אשתקד'!A50,מנורה!A:G,4,0)+VLOOKUP('תפוקה מצטברת מול אשתקד'!A50,איילון!A:G,4,0)+VLOOKUP('תפוקה מצטברת מול אשתקד'!A50,הראל!A:G,4,0)+VLOOKUP('תפוקה מצטברת מול אשתקד'!A50,הפניקס!A:G,4,0)+VLOOKUP('תפוקה מצטברת מול אשתקד'!A50,כלל!A:G,4,0)+VLOOKUP('תפוקה מצטברת מול אשתקד'!A50,מור!A:G,4,0)+VLOOKUP('תפוקה מצטברת מול אשתקד'!A50,'אלטשולר שחם'!A:G,4,0)+VLOOKUP('תפוקה מצטברת מול אשתקד'!A50,'מדיהו '!A:G,4,0)+VLOOKUP('תפוקה מצטברת מול אשתקד'!A50,'אנליסט '!A:G,4,0)+VLOOKUP('תפוקה מצטברת מול אשתקד'!A50,'מיטב דש'!A:G,4,0)+VLOOKUP('תפוקה מצטברת מול אשתקד'!A50,אינפניטי!A:G,4,0)</f>
        <v>0</v>
      </c>
      <c r="I50" s="58">
        <f>VLOOKUP(A50,הכשרה!A:G,5,0)+VLOOKUP('תפוקה מצטברת מול אשתקד'!A50,מגדל!A:G,5,0)+VLOOKUP('תפוקה מצטברת מול אשתקד'!A50,מנורה!A:G,5,0)+VLOOKUP('תפוקה מצטברת מול אשתקד'!A50,איילון!A:G,5,0)+VLOOKUP('תפוקה מצטברת מול אשתקד'!A50,הראל!A:G,5,0)+VLOOKUP('תפוקה מצטברת מול אשתקד'!A50,הפניקס!A:G,5,0)+VLOOKUP('תפוקה מצטברת מול אשתקד'!A50,כלל!A:G,5,0)+VLOOKUP('תפוקה מצטברת מול אשתקד'!A50,מור!A:G,5,0)+VLOOKUP('תפוקה מצטברת מול אשתקד'!A50,'אלטשולר שחם'!A:G,5,0)+VLOOKUP('תפוקה מצטברת מול אשתקד'!A50,'מדיהו '!A:G,5,0)+VLOOKUP('תפוקה מצטברת מול אשתקד'!A50,'אנליסט '!A:G,5,0)+VLOOKUP('תפוקה מצטברת מול אשתקד'!A50,'מיטב דש'!A:G,5,0)+VLOOKUP('תפוקה מצטברת מול אשתקד'!A50,אינפניטי!A:G,5,0)</f>
        <v>0</v>
      </c>
      <c r="J50" s="58">
        <f>VLOOKUP(A50,הכשרה!A:G,6,0)+VLOOKUP('תפוקה מצטברת מול אשתקד'!A50,מגדל!A:G,6,0)+VLOOKUP('תפוקה מצטברת מול אשתקד'!A50,מנורה!A:G,6,0)+VLOOKUP('תפוקה מצטברת מול אשתקד'!A50,איילון!A:G,6,0)+VLOOKUP(A50,הראל!A:G,6,0)+VLOOKUP('תפוקה מצטברת מול אשתקד'!A50,הפניקס!A:G,6,0)+VLOOKUP('תפוקה מצטברת מול אשתקד'!A50,כלל!A:G,6,0)+VLOOKUP('תפוקה מצטברת מול אשתקד'!A50,מור!A:G,6,0)+VLOOKUP('תפוקה מצטברת מול אשתקד'!A50,'אלטשולר שחם'!A:G,6,0)+VLOOKUP('תפוקה מצטברת מול אשתקד'!A50,'מדיהו '!A:G,6,0)+VLOOKUP('תפוקה מצטברת מול אשתקד'!A50,'אנליסט '!A:G,6,0)+VLOOKUP('תפוקה מצטברת מול אשתקד'!A50,'מיטב דש'!A:G,6,0)+VLOOKUP('תפוקה מצטברת מול אשתקד'!A50,אינפניטי!A:G,6,0)</f>
        <v>0</v>
      </c>
      <c r="K50" s="58">
        <f>VLOOKUP(A50,הכשרה!A:G,7,0)+VLOOKUP('תפוקה מצטברת מול אשתקד'!A50,מגדל!A:G,7,0)+VLOOKUP('תפוקה מצטברת מול אשתקד'!A50,מנורה!A:G,7,0)+VLOOKUP('תפוקה מצטברת מול אשתקד'!A50,איילון!A:G,7,0)+VLOOKUP('תפוקה מצטברת מול אשתקד'!A50,הראל!A:G,7,0)+VLOOKUP('תפוקה מצטברת מול אשתקד'!A50,הפניקס!A:G,7,0)+VLOOKUP('תפוקה מצטברת מול אשתקד'!A50,כלל!A:G,7,0)+VLOOKUP('תפוקה מצטברת מול אשתקד'!A50,מור!A:G,7,0)+VLOOKUP('תפוקה מצטברת מול אשתקד'!A50,'אלטשולר שחם'!A:G,7,0)+VLOOKUP('תפוקה מצטברת מול אשתקד'!A50,'מדיהו '!A:K,7,0)+VLOOKUP(A50,'אנליסט '!A:G,7,0)+VLOOKUP('תפוקה מצטברת מול אשתקד'!A50,'מיטב דש'!A:G,7,0)+VLOOKUP('תפוקה מצטברת מול אשתקד'!A50,אינפניטי!A:G,7,0)</f>
        <v>0</v>
      </c>
      <c r="L50" s="12">
        <f>VLOOKUP(A50,הכשרה!A:K,8,0)+VLOOKUP('תפוקה מצטברת מול אשתקד'!A50,מגדל!A:K,8,0)+VLOOKUP('תפוקה מצטברת מול אשתקד'!A50,מנורה!A:K,8,0)+VLOOKUP('תפוקה מצטברת מול אשתקד'!A50,איילון!A:K,8,0)+VLOOKUP('תפוקה מצטברת מול אשתקד'!A50,הראל!A:K,8,0)+VLOOKUP('תפוקה מצטברת מול אשתקד'!A50,הפניקס!A:K,8,0)+VLOOKUP('תפוקה מצטברת מול אשתקד'!A50,כלל!A:K,8,0)+VLOOKUP('תפוקה מצטברת מול אשתקד'!A50,מור!A:K,8,0)+VLOOKUP('תפוקה מצטברת מול אשתקד'!A50,'אלטשולר שחם'!A:K,8,0)+VLOOKUP('תפוקה מצטברת מול אשתקד'!A50,'מדיהו '!A:K,8,0)+VLOOKUP('תפוקה מצטברת מול אשתקד'!A50,'אנליסט '!A:K,8,0)+VLOOKUP('תפוקה מצטברת מול אשתקד'!A50,'מיטב דש'!A:K,8,0)+VLOOKUP('תפוקה מצטברת מול אשתקד'!A50,אינפניטי!A:K,8,0)</f>
        <v>0</v>
      </c>
      <c r="M50" s="12">
        <f>VLOOKUP(A50,הכשרה!A:K,9,0)+VLOOKUP('תפוקה מצטברת מול אשתקד'!A50,מגדל!A:K,9,0)+VLOOKUP('תפוקה מצטברת מול אשתקד'!A50,מנורה!A:K,9,0)+VLOOKUP('תפוקה מצטברת מול אשתקד'!A50,איילון!A:K,9,0)+VLOOKUP('תפוקה מצטברת מול אשתקד'!A50,הראל!A:K,9,0)+VLOOKUP('תפוקה מצטברת מול אשתקד'!A50,הפניקס!A:K,9,0)+VLOOKUP('תפוקה מצטברת מול אשתקד'!A50,כלל!A:K,9,0)+VLOOKUP('תפוקה מצטברת מול אשתקד'!A50,מור!A:K,9,0)+VLOOKUP('תפוקה מצטברת מול אשתקד'!A50,'אלטשולר שחם'!A:K,9,0)+VLOOKUP('תפוקה מצטברת מול אשתקד'!A50,'מדיהו '!A:K,9,0)+VLOOKUP('תפוקה מצטברת מול אשתקד'!A50,'אנליסט '!A:K,9,0)+VLOOKUP('תפוקה מצטברת מול אשתקד'!A50,'מיטב דש'!A:K,9,0)+VLOOKUP('תפוקה מצטברת מול אשתקד'!A50,אינפניטי!A:K,9,0)</f>
        <v>0</v>
      </c>
      <c r="N50" s="12">
        <f>VLOOKUP(A50,הכשרה!A:K,10,0)+VLOOKUP('תפוקה מצטברת מול אשתקד'!A50,מגדל!A:K,10,0)+VLOOKUP('תפוקה מצטברת מול אשתקד'!A50,מנורה!A:K,10,0)+VLOOKUP('תפוקה מצטברת מול אשתקד'!A50,איילון!A:K,10,0)+VLOOKUP('תפוקה מצטברת מול אשתקד'!A50,הראל!A:K,10,0)+VLOOKUP('תפוקה מצטברת מול אשתקד'!A50,הפניקס!A:K,10,0)+VLOOKUP('תפוקה מצטברת מול אשתקד'!A50,כלל!A:K,10,0)+VLOOKUP('תפוקה מצטברת מול אשתקד'!A50,מור!A:K,10,0)+VLOOKUP('תפוקה מצטברת מול אשתקד'!A50,'אלטשולר שחם'!A:K,10,0)+VLOOKUP('תפוקה מצטברת מול אשתקד'!A50,'מדיהו '!A:K,10,0)+VLOOKUP('תפוקה מצטברת מול אשתקד'!A50,'אנליסט '!A:K,10,0)+VLOOKUP('תפוקה מצטברת מול אשתקד'!A50,'מיטב דש'!A:K,10,0)+VLOOKUP('תפוקה מצטברת מול אשתקד'!A50,אינפניטי!A:K,10,0)</f>
        <v>0</v>
      </c>
      <c r="O50" s="12">
        <f>VLOOKUP(A50,הכשרה!A:K,11,0)+VLOOKUP('תפוקה מצטברת מול אשתקד'!A50,מגדל!A:K,11,0)+VLOOKUP('תפוקה מצטברת מול אשתקד'!A50,מנורה!A:K,11,0)+VLOOKUP('תפוקה מצטברת מול אשתקד'!A50,איילון!A:K,11,0)+VLOOKUP('תפוקה מצטברת מול אשתקד'!A50,הראל!A:K,11,0)+VLOOKUP('תפוקה מצטברת מול אשתקד'!A50,הפניקס!A:K,11,0)+VLOOKUP('תפוקה מצטברת מול אשתקד'!A50,כלל!A:K,11,0)+VLOOKUP('תפוקה מצטברת מול אשתקד'!A50,מור!A:K,11,0)+VLOOKUP('תפוקה מצטברת מול אשתקד'!A50,'אלטשולר שחם'!A:K,11,0)+VLOOKUP('תפוקה מצטברת מול אשתקד'!A50,'מדיהו '!A:K,11,0)+VLOOKUP('תפוקה מצטברת מול אשתקד'!A50,'אנליסט '!A:K,11,0)+VLOOKUP('תפוקה מצטברת מול אשתקד'!A50,'מיטב דש'!A:K,11,0)+VLOOKUP('תפוקה מצטברת מול אשתקד'!A50,אינפניטי!A:K,11,0)</f>
        <v>0</v>
      </c>
    </row>
    <row r="51" spans="1:15" ht="15.75" customHeight="1" x14ac:dyDescent="0.2">
      <c r="A51" s="26" t="s">
        <v>94</v>
      </c>
      <c r="B51" s="26" t="s">
        <v>55</v>
      </c>
      <c r="C51" s="26" t="s">
        <v>107</v>
      </c>
      <c r="D51" s="19">
        <f t="shared" si="6"/>
        <v>0</v>
      </c>
      <c r="E51" s="19">
        <f t="shared" si="6"/>
        <v>0</v>
      </c>
      <c r="F51" s="19">
        <f t="shared" si="6"/>
        <v>0</v>
      </c>
      <c r="G51" s="19">
        <f>IF(K51=0,0%,IF(O51=H75,100%,K51/O51-1))</f>
        <v>0</v>
      </c>
      <c r="H51" s="58">
        <f>VLOOKUP(A51,הכשרה!A:G,4,0)+VLOOKUP('תפוקה מצטברת מול אשתקד'!A51,מגדל!A:G,4,0)+VLOOKUP('תפוקה מצטברת מול אשתקד'!A51,מנורה!A:G,4,0)+VLOOKUP('תפוקה מצטברת מול אשתקד'!A51,איילון!A:G,4,0)+VLOOKUP('תפוקה מצטברת מול אשתקד'!A51,הראל!A:G,4,0)+VLOOKUP('תפוקה מצטברת מול אשתקד'!A51,הפניקס!A:G,4,0)+VLOOKUP('תפוקה מצטברת מול אשתקד'!A51,כלל!A:G,4,0)+VLOOKUP('תפוקה מצטברת מול אשתקד'!A51,מור!A:G,4,0)+VLOOKUP('תפוקה מצטברת מול אשתקד'!A51,'אלטשולר שחם'!A:G,4,0)+VLOOKUP('תפוקה מצטברת מול אשתקד'!A51,'מדיהו '!A:G,4,0)+VLOOKUP('תפוקה מצטברת מול אשתקד'!A51,'אנליסט '!A:G,4,0)+VLOOKUP('תפוקה מצטברת מול אשתקד'!A51,'מיטב דש'!A:G,4,0)+VLOOKUP('תפוקה מצטברת מול אשתקד'!A51,אינפניטי!A:G,4,0)</f>
        <v>0</v>
      </c>
      <c r="I51" s="58">
        <f>VLOOKUP(A51,הכשרה!A:G,5,0)+VLOOKUP('תפוקה מצטברת מול אשתקד'!A51,מגדל!A:G,5,0)+VLOOKUP('תפוקה מצטברת מול אשתקד'!A51,מנורה!A:G,5,0)+VLOOKUP('תפוקה מצטברת מול אשתקד'!A51,איילון!A:G,5,0)+VLOOKUP('תפוקה מצטברת מול אשתקד'!A51,הראל!A:G,5,0)+VLOOKUP('תפוקה מצטברת מול אשתקד'!A51,הפניקס!A:G,5,0)+VLOOKUP('תפוקה מצטברת מול אשתקד'!A51,כלל!A:G,5,0)+VLOOKUP('תפוקה מצטברת מול אשתקד'!A51,מור!A:G,5,0)+VLOOKUP('תפוקה מצטברת מול אשתקד'!A51,'אלטשולר שחם'!A:G,5,0)+VLOOKUP('תפוקה מצטברת מול אשתקד'!A51,'מדיהו '!A:G,5,0)+VLOOKUP('תפוקה מצטברת מול אשתקד'!A51,'אנליסט '!A:G,5,0)+VLOOKUP('תפוקה מצטברת מול אשתקד'!A51,'מיטב דש'!A:G,5,0)+VLOOKUP('תפוקה מצטברת מול אשתקד'!A51,אינפניטי!A:G,5,0)</f>
        <v>0</v>
      </c>
      <c r="J51" s="58">
        <f>VLOOKUP(A51,הכשרה!A:G,6,0)+VLOOKUP('תפוקה מצטברת מול אשתקד'!A51,מגדל!A:G,6,0)+VLOOKUP('תפוקה מצטברת מול אשתקד'!A51,מנורה!A:G,6,0)+VLOOKUP('תפוקה מצטברת מול אשתקד'!A51,איילון!A:G,6,0)+VLOOKUP(A51,הראל!A:G,6,0)+VLOOKUP('תפוקה מצטברת מול אשתקד'!A51,הפניקס!A:G,6,0)+VLOOKUP('תפוקה מצטברת מול אשתקד'!A51,כלל!A:G,6,0)+VLOOKUP('תפוקה מצטברת מול אשתקד'!A51,מור!A:G,6,0)+VLOOKUP('תפוקה מצטברת מול אשתקד'!A51,'אלטשולר שחם'!A:G,6,0)+VLOOKUP('תפוקה מצטברת מול אשתקד'!A51,'מדיהו '!A:G,6,0)+VLOOKUP('תפוקה מצטברת מול אשתקד'!A51,'אנליסט '!A:G,6,0)+VLOOKUP('תפוקה מצטברת מול אשתקד'!A51,'מיטב דש'!A:G,6,0)+VLOOKUP('תפוקה מצטברת מול אשתקד'!A51,אינפניטי!A:G,6,0)</f>
        <v>0</v>
      </c>
      <c r="K51" s="58">
        <f>VLOOKUP(A51,הכשרה!A:G,7,0)+VLOOKUP('תפוקה מצטברת מול אשתקד'!A51,מגדל!A:G,7,0)+VLOOKUP('תפוקה מצטברת מול אשתקד'!A51,מנורה!A:G,7,0)+VLOOKUP('תפוקה מצטברת מול אשתקד'!A51,איילון!A:G,7,0)+VLOOKUP('תפוקה מצטברת מול אשתקד'!A51,הראל!A:G,7,0)+VLOOKUP('תפוקה מצטברת מול אשתקד'!A51,הפניקס!A:G,7,0)+VLOOKUP('תפוקה מצטברת מול אשתקד'!A51,כלל!A:G,7,0)+VLOOKUP('תפוקה מצטברת מול אשתקד'!A51,מור!A:G,7,0)+VLOOKUP('תפוקה מצטברת מול אשתקד'!A51,'אלטשולר שחם'!A:G,7,0)+VLOOKUP('תפוקה מצטברת מול אשתקד'!A51,'מדיהו '!A:K,7,0)+VLOOKUP(A51,'אנליסט '!A:G,7,0)+VLOOKUP('תפוקה מצטברת מול אשתקד'!A51,'מיטב דש'!A:G,7,0)+VLOOKUP('תפוקה מצטברת מול אשתקד'!A51,אינפניטי!A:G,7,0)</f>
        <v>0</v>
      </c>
      <c r="L51" s="12">
        <f>VLOOKUP(A51,הכשרה!A:K,8,0)+VLOOKUP('תפוקה מצטברת מול אשתקד'!A51,מגדל!A:K,8,0)+VLOOKUP('תפוקה מצטברת מול אשתקד'!A51,מנורה!A:K,8,0)+VLOOKUP('תפוקה מצטברת מול אשתקד'!A51,איילון!A:K,8,0)+VLOOKUP('תפוקה מצטברת מול אשתקד'!A51,הראל!A:K,8,0)+VLOOKUP('תפוקה מצטברת מול אשתקד'!A51,הפניקס!A:K,8,0)+VLOOKUP('תפוקה מצטברת מול אשתקד'!A51,כלל!A:K,8,0)+VLOOKUP('תפוקה מצטברת מול אשתקד'!A51,מור!A:K,8,0)+VLOOKUP('תפוקה מצטברת מול אשתקד'!A51,'אלטשולר שחם'!A:K,8,0)+VLOOKUP('תפוקה מצטברת מול אשתקד'!A51,'מדיהו '!A:K,8,0)+VLOOKUP('תפוקה מצטברת מול אשתקד'!A51,'אנליסט '!A:K,8,0)+VLOOKUP('תפוקה מצטברת מול אשתקד'!A51,'מיטב דש'!A:K,8,0)+VLOOKUP('תפוקה מצטברת מול אשתקד'!A51,אינפניטי!A:K,8,0)</f>
        <v>0</v>
      </c>
      <c r="M51" s="12">
        <f>VLOOKUP(A51,הכשרה!A:K,9,0)+VLOOKUP('תפוקה מצטברת מול אשתקד'!A51,מגדל!A:K,9,0)+VLOOKUP('תפוקה מצטברת מול אשתקד'!A51,מנורה!A:K,9,0)+VLOOKUP('תפוקה מצטברת מול אשתקד'!A51,איילון!A:K,9,0)+VLOOKUP('תפוקה מצטברת מול אשתקד'!A51,הראל!A:K,9,0)+VLOOKUP('תפוקה מצטברת מול אשתקד'!A51,הפניקס!A:K,9,0)+VLOOKUP('תפוקה מצטברת מול אשתקד'!A51,כלל!A:K,9,0)+VLOOKUP('תפוקה מצטברת מול אשתקד'!A51,מור!A:K,9,0)+VLOOKUP('תפוקה מצטברת מול אשתקד'!A51,'אלטשולר שחם'!A:K,9,0)+VLOOKUP('תפוקה מצטברת מול אשתקד'!A51,'מדיהו '!A:K,9,0)+VLOOKUP('תפוקה מצטברת מול אשתקד'!A51,'אנליסט '!A:K,9,0)+VLOOKUP('תפוקה מצטברת מול אשתקד'!A51,'מיטב דש'!A:K,9,0)+VLOOKUP('תפוקה מצטברת מול אשתקד'!A51,אינפניטי!A:K,9,0)</f>
        <v>868.10332488045208</v>
      </c>
      <c r="N51" s="12">
        <f>VLOOKUP(A51,הכשרה!A:K,10,0)+VLOOKUP('תפוקה מצטברת מול אשתקד'!A51,מגדל!A:K,10,0)+VLOOKUP('תפוקה מצטברת מול אשתקד'!A51,מנורה!A:K,10,0)+VLOOKUP('תפוקה מצטברת מול אשתקד'!A51,איילון!A:K,10,0)+VLOOKUP('תפוקה מצטברת מול אשתקד'!A51,הראל!A:K,10,0)+VLOOKUP('תפוקה מצטברת מול אשתקד'!A51,הפניקס!A:K,10,0)+VLOOKUP('תפוקה מצטברת מול אשתקד'!A51,כלל!A:K,10,0)+VLOOKUP('תפוקה מצטברת מול אשתקד'!A51,מור!A:K,10,0)+VLOOKUP('תפוקה מצטברת מול אשתקד'!A51,'אלטשולר שחם'!A:K,10,0)+VLOOKUP('תפוקה מצטברת מול אשתקד'!A51,'מדיהו '!A:K,10,0)+VLOOKUP('תפוקה מצטברת מול אשתקד'!A51,'אנליסט '!A:K,10,0)+VLOOKUP('תפוקה מצטברת מול אשתקד'!A51,'מיטב דש'!A:K,10,0)+VLOOKUP('תפוקה מצטברת מול אשתקד'!A51,אינפניטי!A:K,10,0)</f>
        <v>0</v>
      </c>
      <c r="O51" s="12">
        <f>VLOOKUP(A51,הכשרה!A:K,11,0)+VLOOKUP('תפוקה מצטברת מול אשתקד'!A51,מגדל!A:K,11,0)+VLOOKUP('תפוקה מצטברת מול אשתקד'!A51,מנורה!A:K,11,0)+VLOOKUP('תפוקה מצטברת מול אשתקד'!A51,איילון!A:K,11,0)+VLOOKUP('תפוקה מצטברת מול אשתקד'!A51,הראל!A:K,11,0)+VLOOKUP('תפוקה מצטברת מול אשתקד'!A51,הפניקס!A:K,11,0)+VLOOKUP('תפוקה מצטברת מול אשתקד'!A51,כלל!A:K,11,0)+VLOOKUP('תפוקה מצטברת מול אשתקד'!A51,מור!A:K,11,0)+VLOOKUP('תפוקה מצטברת מול אשתקד'!A51,'אלטשולר שחם'!A:K,11,0)+VLOOKUP('תפוקה מצטברת מול אשתקד'!A51,'מדיהו '!A:K,11,0)+VLOOKUP('תפוקה מצטברת מול אשתקד'!A51,'אנליסט '!A:K,11,0)+VLOOKUP('תפוקה מצטברת מול אשתקד'!A51,'מיטב דש'!A:K,11,0)+VLOOKUP('תפוקה מצטברת מול אשתקד'!A51,אינפניטי!A:K,11,0)</f>
        <v>-18603.099999999999</v>
      </c>
    </row>
    <row r="52" spans="1:15" ht="15.75" customHeight="1" x14ac:dyDescent="0.2">
      <c r="A52" s="26" t="s">
        <v>98</v>
      </c>
      <c r="B52" s="26" t="s">
        <v>55</v>
      </c>
      <c r="C52" s="27" t="s">
        <v>107</v>
      </c>
      <c r="D52" s="19">
        <f t="shared" si="6"/>
        <v>1</v>
      </c>
      <c r="E52" s="19">
        <f t="shared" si="6"/>
        <v>1</v>
      </c>
      <c r="F52" s="19">
        <f t="shared" si="6"/>
        <v>0</v>
      </c>
      <c r="G52" s="19">
        <f>IF(K52=0,0%,IF(O52=H76,100%,K52/O52-1))</f>
        <v>0</v>
      </c>
      <c r="H52" s="58">
        <f>VLOOKUP(A52,הכשרה!A:G,4,0)+VLOOKUP('תפוקה מצטברת מול אשתקד'!A52,מגדל!A:G,4,0)+VLOOKUP('תפוקה מצטברת מול אשתקד'!A52,מנורה!A:G,4,0)+VLOOKUP('תפוקה מצטברת מול אשתקד'!A52,איילון!A:G,4,0)+VLOOKUP('תפוקה מצטברת מול אשתקד'!A52,הראל!A:G,4,0)+VLOOKUP('תפוקה מצטברת מול אשתקד'!A52,הפניקס!A:G,4,0)+VLOOKUP('תפוקה מצטברת מול אשתקד'!A52,כלל!A:G,4,0)+VLOOKUP('תפוקה מצטברת מול אשתקד'!A52,מור!A:G,4,0)+VLOOKUP('תפוקה מצטברת מול אשתקד'!A52,'אלטשולר שחם'!A:G,4,0)+VLOOKUP('תפוקה מצטברת מול אשתקד'!A52,'מדיהו '!A:G,4,0)+VLOOKUP('תפוקה מצטברת מול אשתקד'!A52,'אנליסט '!A:G,4,0)+VLOOKUP('תפוקה מצטברת מול אשתקד'!A52,'מיטב דש'!A:G,4,0)+VLOOKUP('תפוקה מצטברת מול אשתקד'!A52,אינפניטי!A:G,4,0)</f>
        <v>24383.77</v>
      </c>
      <c r="I52" s="58">
        <f>VLOOKUP(A52,הכשרה!A:G,5,0)+VLOOKUP('תפוקה מצטברת מול אשתקד'!A52,מגדל!A:G,5,0)+VLOOKUP('תפוקה מצטברת מול אשתקד'!A52,מנורה!A:G,5,0)+VLOOKUP('תפוקה מצטברת מול אשתקד'!A52,איילון!A:G,5,0)+VLOOKUP('תפוקה מצטברת מול אשתקד'!A52,הראל!A:G,5,0)+VLOOKUP('תפוקה מצטברת מול אשתקד'!A52,הפניקס!A:G,5,0)+VLOOKUP('תפוקה מצטברת מול אשתקד'!A52,כלל!A:G,5,0)+VLOOKUP('תפוקה מצטברת מול אשתקד'!A52,מור!A:G,5,0)+VLOOKUP('תפוקה מצטברת מול אשתקד'!A52,'אלטשולר שחם'!A:G,5,0)+VLOOKUP('תפוקה מצטברת מול אשתקד'!A52,'מדיהו '!A:G,5,0)+VLOOKUP('תפוקה מצטברת מול אשתקד'!A52,'אנליסט '!A:G,5,0)+VLOOKUP('תפוקה מצטברת מול אשתקד'!A52,'מיטב דש'!A:G,5,0)+VLOOKUP('תפוקה מצטברת מול אשתקד'!A52,אינפניטי!A:G,5,0)</f>
        <v>8908.84</v>
      </c>
      <c r="J52" s="58">
        <f>VLOOKUP(A52,הכשרה!A:G,6,0)+VLOOKUP('תפוקה מצטברת מול אשתקד'!A52,מגדל!A:G,6,0)+VLOOKUP('תפוקה מצטברת מול אשתקד'!A52,מנורה!A:G,6,0)+VLOOKUP('תפוקה מצטברת מול אשתקד'!A52,איילון!A:G,6,0)+VLOOKUP(A52,הראל!A:G,6,0)+VLOOKUP('תפוקה מצטברת מול אשתקד'!A52,הפניקס!A:G,6,0)+VLOOKUP('תפוקה מצטברת מול אשתקד'!A52,כלל!A:G,6,0)+VLOOKUP('תפוקה מצטברת מול אשתקד'!A52,מור!A:G,6,0)+VLOOKUP('תפוקה מצטברת מול אשתקד'!A52,'אלטשולר שחם'!A:G,6,0)+VLOOKUP('תפוקה מצטברת מול אשתקד'!A52,'מדיהו '!A:G,6,0)+VLOOKUP('תפוקה מצטברת מול אשתקד'!A52,'אנליסט '!A:G,6,0)+VLOOKUP('תפוקה מצטברת מול אשתקד'!A52,'מיטב דש'!A:G,6,0)+VLOOKUP('תפוקה מצטברת מול אשתקד'!A52,אינפניטי!A:G,6,0)</f>
        <v>0</v>
      </c>
      <c r="K52" s="58">
        <f>VLOOKUP(A52,הכשרה!A:G,7,0)+VLOOKUP('תפוקה מצטברת מול אשתקד'!A52,מגדל!A:G,7,0)+VLOOKUP('תפוקה מצטברת מול אשתקד'!A52,מנורה!A:G,7,0)+VLOOKUP('תפוקה מצטברת מול אשתקד'!A52,איילון!A:G,7,0)+VLOOKUP('תפוקה מצטברת מול אשתקד'!A52,הראל!A:G,7,0)+VLOOKUP('תפוקה מצטברת מול אשתקד'!A52,הפניקס!A:G,7,0)+VLOOKUP('תפוקה מצטברת מול אשתקד'!A52,כלל!A:G,7,0)+VLOOKUP('תפוקה מצטברת מול אשתקד'!A52,מור!A:G,7,0)+VLOOKUP('תפוקה מצטברת מול אשתקד'!A52,'אלטשולר שחם'!A:G,7,0)+VLOOKUP('תפוקה מצטברת מול אשתקד'!A52,'מדיהו '!A:K,7,0)+VLOOKUP(A52,'אנליסט '!A:G,7,0)+VLOOKUP('תפוקה מצטברת מול אשתקד'!A52,'מיטב דש'!A:G,7,0)+VLOOKUP('תפוקה מצטברת מול אשתקד'!A52,אינפניטי!A:G,7,0)</f>
        <v>0</v>
      </c>
      <c r="L52" s="12">
        <f>VLOOKUP(A52,הכשרה!A:K,8,0)+VLOOKUP('תפוקה מצטברת מול אשתקד'!A52,מגדל!A:K,8,0)+VLOOKUP('תפוקה מצטברת מול אשתקד'!A52,מנורה!A:K,8,0)+VLOOKUP('תפוקה מצטברת מול אשתקד'!A52,איילון!A:K,8,0)+VLOOKUP('תפוקה מצטברת מול אשתקד'!A52,הראל!A:K,8,0)+VLOOKUP('תפוקה מצטברת מול אשתקד'!A52,הפניקס!A:K,8,0)+VLOOKUP('תפוקה מצטברת מול אשתקד'!A52,כלל!A:K,8,0)+VLOOKUP('תפוקה מצטברת מול אשתקד'!A52,מור!A:K,8,0)+VLOOKUP('תפוקה מצטברת מול אשתקד'!A52,'אלטשולר שחם'!A:K,8,0)+VLOOKUP('תפוקה מצטברת מול אשתקד'!A52,'מדיהו '!A:K,8,0)+VLOOKUP('תפוקה מצטברת מול אשתקד'!A52,'אנליסט '!A:K,8,0)+VLOOKUP('תפוקה מצטברת מול אשתקד'!A52,'מיטב דש'!A:K,8,0)+VLOOKUP('תפוקה מצטברת מול אשתקד'!A52,אינפניטי!A:K,8,0)</f>
        <v>0</v>
      </c>
      <c r="M52" s="12">
        <f>VLOOKUP(A52,הכשרה!A:K,9,0)+VLOOKUP('תפוקה מצטברת מול אשתקד'!A52,מגדל!A:K,9,0)+VLOOKUP('תפוקה מצטברת מול אשתקד'!A52,מנורה!A:K,9,0)+VLOOKUP('תפוקה מצטברת מול אשתקד'!A52,איילון!A:K,9,0)+VLOOKUP('תפוקה מצטברת מול אשתקד'!A52,הראל!A:K,9,0)+VLOOKUP('תפוקה מצטברת מול אשתקד'!A52,הפניקס!A:K,9,0)+VLOOKUP('תפוקה מצטברת מול אשתקד'!A52,כלל!A:K,9,0)+VLOOKUP('תפוקה מצטברת מול אשתקד'!A52,מור!A:K,9,0)+VLOOKUP('תפוקה מצטברת מול אשתקד'!A52,'אלטשולר שחם'!A:K,9,0)+VLOOKUP('תפוקה מצטברת מול אשתקד'!A52,'מדיהו '!A:K,9,0)+VLOOKUP('תפוקה מצטברת מול אשתקד'!A52,'אנליסט '!A:K,9,0)+VLOOKUP('תפוקה מצטברת מול אשתקד'!A52,'מיטב דש'!A:K,9,0)+VLOOKUP('תפוקה מצטברת מול אשתקד'!A52,אינפניטי!A:K,9,0)</f>
        <v>0</v>
      </c>
      <c r="N52" s="12">
        <f>VLOOKUP(A52,הכשרה!A:K,10,0)+VLOOKUP('תפוקה מצטברת מול אשתקד'!A52,מגדל!A:K,10,0)+VLOOKUP('תפוקה מצטברת מול אשתקד'!A52,מנורה!A:K,10,0)+VLOOKUP('תפוקה מצטברת מול אשתקד'!A52,איילון!A:K,10,0)+VLOOKUP('תפוקה מצטברת מול אשתקד'!A52,הראל!A:K,10,0)+VLOOKUP('תפוקה מצטברת מול אשתקד'!A52,הפניקס!A:K,10,0)+VLOOKUP('תפוקה מצטברת מול אשתקד'!A52,כלל!A:K,10,0)+VLOOKUP('תפוקה מצטברת מול אשתקד'!A52,מור!A:K,10,0)+VLOOKUP('תפוקה מצטברת מול אשתקד'!A52,'אלטשולר שחם'!A:K,10,0)+VLOOKUP('תפוקה מצטברת מול אשתקד'!A52,'מדיהו '!A:K,10,0)+VLOOKUP('תפוקה מצטברת מול אשתקד'!A52,'אנליסט '!A:K,10,0)+VLOOKUP('תפוקה מצטברת מול אשתקד'!A52,'מיטב דש'!A:K,10,0)+VLOOKUP('תפוקה מצטברת מול אשתקד'!A52,אינפניטי!A:K,10,0)</f>
        <v>0</v>
      </c>
      <c r="O52" s="12">
        <f>VLOOKUP(A52,הכשרה!A:K,11,0)+VLOOKUP('תפוקה מצטברת מול אשתקד'!A52,מגדל!A:K,11,0)+VLOOKUP('תפוקה מצטברת מול אשתקד'!A52,מנורה!A:K,11,0)+VLOOKUP('תפוקה מצטברת מול אשתקד'!A52,איילון!A:K,11,0)+VLOOKUP('תפוקה מצטברת מול אשתקד'!A52,הראל!A:K,11,0)+VLOOKUP('תפוקה מצטברת מול אשתקד'!A52,הפניקס!A:K,11,0)+VLOOKUP('תפוקה מצטברת מול אשתקד'!A52,כלל!A:K,11,0)+VLOOKUP('תפוקה מצטברת מול אשתקד'!A52,מור!A:K,11,0)+VLOOKUP('תפוקה מצטברת מול אשתקד'!A52,'אלטשולר שחם'!A:K,11,0)+VLOOKUP('תפוקה מצטברת מול אשתקד'!A52,'מדיהו '!A:K,11,0)+VLOOKUP('תפוקה מצטברת מול אשתקד'!A52,'אנליסט '!A:K,11,0)+VLOOKUP('תפוקה מצטברת מול אשתקד'!A52,'מיטב דש'!A:K,11,0)+VLOOKUP('תפוקה מצטברת מול אשתקד'!A52,אינפניטי!A:K,11,0)</f>
        <v>0</v>
      </c>
    </row>
    <row r="53" spans="1:15" ht="15.75" customHeight="1" thickBot="1" x14ac:dyDescent="0.25">
      <c r="A53" s="26" t="s">
        <v>32</v>
      </c>
      <c r="B53" s="26" t="s">
        <v>55</v>
      </c>
      <c r="C53" s="27" t="s">
        <v>107</v>
      </c>
      <c r="D53" s="19">
        <f t="shared" si="6"/>
        <v>0</v>
      </c>
      <c r="E53" s="19">
        <f t="shared" si="6"/>
        <v>0</v>
      </c>
      <c r="F53" s="19">
        <f t="shared" si="6"/>
        <v>0</v>
      </c>
      <c r="G53" s="19">
        <f>IF(K53=0,0%,IF(O53=H77,100%,K53/O53-1))</f>
        <v>0</v>
      </c>
      <c r="H53" s="58">
        <f>VLOOKUP(A53,הכשרה!A:G,4,0)+VLOOKUP('תפוקה מצטברת מול אשתקד'!A53,מגדל!A:G,4,0)+VLOOKUP('תפוקה מצטברת מול אשתקד'!A53,מנורה!A:G,4,0)+VLOOKUP('תפוקה מצטברת מול אשתקד'!A53,איילון!A:G,4,0)+VLOOKUP('תפוקה מצטברת מול אשתקד'!A53,הראל!A:G,4,0)+VLOOKUP('תפוקה מצטברת מול אשתקד'!A53,הפניקס!A:G,4,0)+VLOOKUP('תפוקה מצטברת מול אשתקד'!A53,כלל!A:G,4,0)+VLOOKUP('תפוקה מצטברת מול אשתקד'!A53,מור!A:G,4,0)+VLOOKUP('תפוקה מצטברת מול אשתקד'!A53,'אלטשולר שחם'!A:G,4,0)+VLOOKUP('תפוקה מצטברת מול אשתקד'!A53,'מדיהו '!A:G,4,0)+VLOOKUP('תפוקה מצטברת מול אשתקד'!A53,'אנליסט '!A:G,4,0)+VLOOKUP('תפוקה מצטברת מול אשתקד'!A53,'מיטב דש'!A:G,4,0)+VLOOKUP('תפוקה מצטברת מול אשתקד'!A53,אינפניטי!A:G,4,0)</f>
        <v>0</v>
      </c>
      <c r="I53" s="58">
        <f>VLOOKUP(A53,הכשרה!A:G,5,0)+VLOOKUP('תפוקה מצטברת מול אשתקד'!A53,מגדל!A:G,5,0)+VLOOKUP('תפוקה מצטברת מול אשתקד'!A53,מנורה!A:G,5,0)+VLOOKUP('תפוקה מצטברת מול אשתקד'!A53,איילון!A:G,5,0)+VLOOKUP('תפוקה מצטברת מול אשתקד'!A53,הראל!A:G,5,0)+VLOOKUP('תפוקה מצטברת מול אשתקד'!A53,הפניקס!A:G,5,0)+VLOOKUP('תפוקה מצטברת מול אשתקד'!A53,כלל!A:G,5,0)+VLOOKUP('תפוקה מצטברת מול אשתקד'!A53,מור!A:G,5,0)+VLOOKUP('תפוקה מצטברת מול אשתקד'!A53,'אלטשולר שחם'!A:G,5,0)+VLOOKUP('תפוקה מצטברת מול אשתקד'!A53,'מדיהו '!A:G,5,0)+VLOOKUP('תפוקה מצטברת מול אשתקד'!A53,'אנליסט '!A:G,5,0)+VLOOKUP('תפוקה מצטברת מול אשתקד'!A53,'מיטב דש'!A:G,5,0)+VLOOKUP('תפוקה מצטברת מול אשתקד'!A53,אינפניטי!A:G,5,0)</f>
        <v>0</v>
      </c>
      <c r="J53" s="58">
        <f>VLOOKUP(A53,הכשרה!A:G,6,0)+VLOOKUP('תפוקה מצטברת מול אשתקד'!A53,מגדל!A:G,6,0)+VLOOKUP('תפוקה מצטברת מול אשתקד'!A53,מנורה!A:G,6,0)+VLOOKUP('תפוקה מצטברת מול אשתקד'!A53,איילון!A:G,6,0)+VLOOKUP(A53,הראל!A:G,6,0)+VLOOKUP('תפוקה מצטברת מול אשתקד'!A53,הפניקס!A:G,6,0)+VLOOKUP('תפוקה מצטברת מול אשתקד'!A53,כלל!A:G,6,0)+VLOOKUP('תפוקה מצטברת מול אשתקד'!A53,מור!A:G,6,0)+VLOOKUP('תפוקה מצטברת מול אשתקד'!A53,'אלטשולר שחם'!A:G,6,0)+VLOOKUP('תפוקה מצטברת מול אשתקד'!A53,'מדיהו '!A:G,6,0)+VLOOKUP('תפוקה מצטברת מול אשתקד'!A53,'אנליסט '!A:G,6,0)+VLOOKUP('תפוקה מצטברת מול אשתקד'!A53,'מיטב דש'!A:G,6,0)+VLOOKUP('תפוקה מצטברת מול אשתקד'!A53,אינפניטי!A:G,6,0)</f>
        <v>0</v>
      </c>
      <c r="K53" s="58">
        <f>VLOOKUP(A53,הכשרה!A:G,7,0)+VLOOKUP('תפוקה מצטברת מול אשתקד'!A53,מגדל!A:G,7,0)+VLOOKUP('תפוקה מצטברת מול אשתקד'!A53,מנורה!A:G,7,0)+VLOOKUP('תפוקה מצטברת מול אשתקד'!A53,איילון!A:G,7,0)+VLOOKUP('תפוקה מצטברת מול אשתקד'!A53,הראל!A:G,7,0)+VLOOKUP('תפוקה מצטברת מול אשתקד'!A53,הפניקס!A:G,7,0)+VLOOKUP('תפוקה מצטברת מול אשתקד'!A53,כלל!A:G,7,0)+VLOOKUP('תפוקה מצטברת מול אשתקד'!A53,מור!A:G,7,0)+VLOOKUP('תפוקה מצטברת מול אשתקד'!A53,'אלטשולר שחם'!A:G,7,0)+VLOOKUP('תפוקה מצטברת מול אשתקד'!A53,'מדיהו '!A:K,7,0)+VLOOKUP(A53,'אנליסט '!A:G,7,0)+VLOOKUP('תפוקה מצטברת מול אשתקד'!A53,'מיטב דש'!A:G,7,0)+VLOOKUP('תפוקה מצטברת מול אשתקד'!A53,אינפניטי!A:G,7,0)</f>
        <v>0</v>
      </c>
      <c r="L53" s="12">
        <f>VLOOKUP(A53,הכשרה!A:K,8,0)+VLOOKUP('תפוקה מצטברת מול אשתקד'!A53,מגדל!A:K,8,0)+VLOOKUP('תפוקה מצטברת מול אשתקד'!A53,מנורה!A:K,8,0)+VLOOKUP('תפוקה מצטברת מול אשתקד'!A53,איילון!A:K,8,0)+VLOOKUP('תפוקה מצטברת מול אשתקד'!A53,הראל!A:K,8,0)+VLOOKUP('תפוקה מצטברת מול אשתקד'!A53,הפניקס!A:K,8,0)+VLOOKUP('תפוקה מצטברת מול אשתקד'!A53,כלל!A:K,8,0)+VLOOKUP('תפוקה מצטברת מול אשתקד'!A53,מור!A:K,8,0)+VLOOKUP('תפוקה מצטברת מול אשתקד'!A53,'אלטשולר שחם'!A:K,8,0)+VLOOKUP('תפוקה מצטברת מול אשתקד'!A53,'מדיהו '!A:K,8,0)+VLOOKUP('תפוקה מצטברת מול אשתקד'!A53,'אנליסט '!A:K,8,0)+VLOOKUP('תפוקה מצטברת מול אשתקד'!A53,'מיטב דש'!A:K,8,0)+VLOOKUP('תפוקה מצטברת מול אשתקד'!A53,אינפניטי!A:K,8,0)</f>
        <v>124.91</v>
      </c>
      <c r="M53" s="12">
        <f>VLOOKUP(A53,הכשרה!A:K,9,0)+VLOOKUP('תפוקה מצטברת מול אשתקד'!A53,מגדל!A:K,9,0)+VLOOKUP('תפוקה מצטברת מול אשתקד'!A53,מנורה!A:K,9,0)+VLOOKUP('תפוקה מצטברת מול אשתקד'!A53,איילון!A:K,9,0)+VLOOKUP('תפוקה מצטברת מול אשתקד'!A53,הראל!A:K,9,0)+VLOOKUP('תפוקה מצטברת מול אשתקד'!A53,הפניקס!A:K,9,0)+VLOOKUP('תפוקה מצטברת מול אשתקד'!A53,כלל!A:K,9,0)+VLOOKUP('תפוקה מצטברת מול אשתקד'!A53,מור!A:K,9,0)+VLOOKUP('תפוקה מצטברת מול אשתקד'!A53,'אלטשולר שחם'!A:K,9,0)+VLOOKUP('תפוקה מצטברת מול אשתקד'!A53,'מדיהו '!A:K,9,0)+VLOOKUP('תפוקה מצטברת מול אשתקד'!A53,'אנליסט '!A:K,9,0)+VLOOKUP('תפוקה מצטברת מול אשתקד'!A53,'מיטב דש'!A:K,9,0)+VLOOKUP('תפוקה מצטברת מול אשתקד'!A53,אינפניטי!A:K,9,0)</f>
        <v>0</v>
      </c>
      <c r="N53" s="12">
        <f>VLOOKUP(A53,הכשרה!A:K,10,0)+VLOOKUP('תפוקה מצטברת מול אשתקד'!A53,מגדל!A:K,10,0)+VLOOKUP('תפוקה מצטברת מול אשתקד'!A53,מנורה!A:K,10,0)+VLOOKUP('תפוקה מצטברת מול אשתקד'!A53,איילון!A:K,10,0)+VLOOKUP('תפוקה מצטברת מול אשתקד'!A53,הראל!A:K,10,0)+VLOOKUP('תפוקה מצטברת מול אשתקד'!A53,הפניקס!A:K,10,0)+VLOOKUP('תפוקה מצטברת מול אשתקד'!A53,כלל!A:K,10,0)+VLOOKUP('תפוקה מצטברת מול אשתקד'!A53,מור!A:K,10,0)+VLOOKUP('תפוקה מצטברת מול אשתקד'!A53,'אלטשולר שחם'!A:K,10,0)+VLOOKUP('תפוקה מצטברת מול אשתקד'!A53,'מדיהו '!A:K,10,0)+VLOOKUP('תפוקה מצטברת מול אשתקד'!A53,'אנליסט '!A:K,10,0)+VLOOKUP('תפוקה מצטברת מול אשתקד'!A53,'מיטב דש'!A:K,10,0)+VLOOKUP('תפוקה מצטברת מול אשתקד'!A53,אינפניטי!A:K,10,0)</f>
        <v>0</v>
      </c>
      <c r="O53" s="12">
        <f>VLOOKUP(A53,הכשרה!A:K,11,0)+VLOOKUP('תפוקה מצטברת מול אשתקד'!A53,מגדל!A:K,11,0)+VLOOKUP('תפוקה מצטברת מול אשתקד'!A53,מנורה!A:K,11,0)+VLOOKUP('תפוקה מצטברת מול אשתקד'!A53,איילון!A:K,11,0)+VLOOKUP('תפוקה מצטברת מול אשתקד'!A53,הראל!A:K,11,0)+VLOOKUP('תפוקה מצטברת מול אשתקד'!A53,הפניקס!A:K,11,0)+VLOOKUP('תפוקה מצטברת מול אשתקד'!A53,כלל!A:K,11,0)+VLOOKUP('תפוקה מצטברת מול אשתקד'!A53,מור!A:K,11,0)+VLOOKUP('תפוקה מצטברת מול אשתקד'!A53,'אלטשולר שחם'!A:K,11,0)+VLOOKUP('תפוקה מצטברת מול אשתקד'!A53,'מדיהו '!A:K,11,0)+VLOOKUP('תפוקה מצטברת מול אשתקד'!A53,'אנליסט '!A:K,11,0)+VLOOKUP('תפוקה מצטברת מול אשתקד'!A53,'מיטב דש'!A:K,11,0)+VLOOKUP('תפוקה מצטברת מול אשתקד'!A53,אינפניטי!A:K,11,0)</f>
        <v>0</v>
      </c>
    </row>
    <row r="54" spans="1:15" ht="27" customHeight="1" thickBot="1" x14ac:dyDescent="0.25">
      <c r="A54" s="123" t="s">
        <v>116</v>
      </c>
      <c r="B54" s="121"/>
      <c r="C54" s="121"/>
      <c r="D54" s="19">
        <f t="shared" ref="D54:D55" si="7">IF(H54=0,0%,IF(L54=0,100%,H54/L54-1))</f>
        <v>9.7815161885974611E-3</v>
      </c>
      <c r="E54" s="19">
        <f t="shared" ref="E54:E55" si="8">IF(I54=0,0%,IF(M54=0,100%,I54/M54-1))</f>
        <v>-9.6409529185402132E-2</v>
      </c>
      <c r="F54" s="19">
        <f t="shared" ref="F54:F55" si="9">IF(J54=0,0%,IF(N54=0,100%,J54/N54-1))</f>
        <v>-8.8414899022412619E-2</v>
      </c>
      <c r="G54" s="19">
        <f>IF(K54=0,0%,IF(O54=H78,100%,K54/O54-1))</f>
        <v>-0.44667203305729586</v>
      </c>
      <c r="H54" s="123">
        <f>SUM(H22:H53)</f>
        <v>3886570.6443767152</v>
      </c>
      <c r="I54" s="123">
        <f t="shared" ref="I54:O54" si="10">SUM(I22:I53)</f>
        <v>547973.44200874295</v>
      </c>
      <c r="J54" s="123">
        <f t="shared" si="10"/>
        <v>7703723.2611774318</v>
      </c>
      <c r="K54" s="123">
        <f t="shared" si="10"/>
        <v>10716189.660000002</v>
      </c>
      <c r="L54" s="123">
        <f t="shared" si="10"/>
        <v>3848922.3481199257</v>
      </c>
      <c r="M54" s="123">
        <f t="shared" si="10"/>
        <v>606440.0408237353</v>
      </c>
      <c r="N54" s="123">
        <f t="shared" si="10"/>
        <v>8450909.578179732</v>
      </c>
      <c r="O54" s="123">
        <f t="shared" si="10"/>
        <v>19366795.644199997</v>
      </c>
    </row>
    <row r="55" spans="1:15" ht="15.75" customHeight="1" x14ac:dyDescent="0.2">
      <c r="A55" s="26" t="s">
        <v>35</v>
      </c>
      <c r="B55" s="26" t="s">
        <v>115</v>
      </c>
      <c r="C55" s="27" t="s">
        <v>107</v>
      </c>
      <c r="D55" s="19">
        <f t="shared" si="7"/>
        <v>-0.71912911420667858</v>
      </c>
      <c r="E55" s="19">
        <f t="shared" si="8"/>
        <v>0</v>
      </c>
      <c r="F55" s="19">
        <f t="shared" si="9"/>
        <v>0</v>
      </c>
      <c r="G55" s="19">
        <f>IF(K55=0,0%,IF(O55=H79,100%,K55/O55-1))</f>
        <v>0</v>
      </c>
      <c r="H55" s="58">
        <f>VLOOKUP(A55,הכשרה!A:G,4,0)+VLOOKUP('תפוקה מצטברת מול אשתקד'!A55,מגדל!A:G,4,0)+VLOOKUP('תפוקה מצטברת מול אשתקד'!A55,מנורה!A:G,4,0)+VLOOKUP('תפוקה מצטברת מול אשתקד'!A55,איילון!A:G,4,0)+VLOOKUP('תפוקה מצטברת מול אשתקד'!A55,הראל!A:G,4,0)+VLOOKUP('תפוקה מצטברת מול אשתקד'!A55,הפניקס!A:G,4,0)+VLOOKUP('תפוקה מצטברת מול אשתקד'!A55,כלל!A:G,4,0)+VLOOKUP('תפוקה מצטברת מול אשתקד'!A55,מור!A:G,4,0)+VLOOKUP('תפוקה מצטברת מול אשתקד'!A55,'אלטשולר שחם'!A:G,4,0)+VLOOKUP('תפוקה מצטברת מול אשתקד'!A55,'מדיהו '!A:G,4,0)+VLOOKUP('תפוקה מצטברת מול אשתקד'!A55,'אנליסט '!A:G,4,0)+VLOOKUP('תפוקה מצטברת מול אשתקד'!A55,'מיטב דש'!A:G,4,0)+VLOOKUP('תפוקה מצטברת מול אשתקד'!A55,אינפניטי!A:G,4,0)</f>
        <v>17510.71</v>
      </c>
      <c r="I55" s="58">
        <f>VLOOKUP(A55,הכשרה!A:G,5,0)+VLOOKUP('תפוקה מצטברת מול אשתקד'!A55,מגדל!A:G,5,0)+VLOOKUP('תפוקה מצטברת מול אשתקד'!A55,מנורה!A:G,5,0)+VLOOKUP('תפוקה מצטברת מול אשתקד'!A55,איילון!A:G,5,0)+VLOOKUP('תפוקה מצטברת מול אשתקד'!A55,הראל!A:G,5,0)+VLOOKUP('תפוקה מצטברת מול אשתקד'!A55,הפניקס!A:G,5,0)+VLOOKUP('תפוקה מצטברת מול אשתקד'!A55,כלל!A:G,5,0)+VLOOKUP('תפוקה מצטברת מול אשתקד'!A55,מור!A:G,5,0)+VLOOKUP('תפוקה מצטברת מול אשתקד'!A55,'אלטשולר שחם'!A:G,5,0)+VLOOKUP('תפוקה מצטברת מול אשתקד'!A55,'מדיהו '!A:G,5,0)+VLOOKUP('תפוקה מצטברת מול אשתקד'!A55,'אנליסט '!A:G,5,0)+VLOOKUP('תפוקה מצטברת מול אשתקד'!A55,'מיטב דש'!A:G,5,0)+VLOOKUP('תפוקה מצטברת מול אשתקד'!A55,אינפניטי!A:G,5,0)</f>
        <v>0</v>
      </c>
      <c r="J55" s="58">
        <f>VLOOKUP(A55,הכשרה!A:G,6,0)+VLOOKUP('תפוקה מצטברת מול אשתקד'!A55,מגדל!A:G,6,0)+VLOOKUP('תפוקה מצטברת מול אשתקד'!A55,מנורה!A:G,6,0)+VLOOKUP('תפוקה מצטברת מול אשתקד'!A55,איילון!A:G,6,0)+VLOOKUP(A55,הראל!A:G,6,0)+VLOOKUP('תפוקה מצטברת מול אשתקד'!A55,הפניקס!A:G,6,0)+VLOOKUP('תפוקה מצטברת מול אשתקד'!A55,כלל!A:G,6,0)+VLOOKUP('תפוקה מצטברת מול אשתקד'!A55,מור!A:G,6,0)+VLOOKUP('תפוקה מצטברת מול אשתקד'!A55,'אלטשולר שחם'!A:G,6,0)+VLOOKUP('תפוקה מצטברת מול אשתקד'!A55,'מדיהו '!A:G,6,0)+VLOOKUP('תפוקה מצטברת מול אשתקד'!A55,'אנליסט '!A:G,6,0)+VLOOKUP('תפוקה מצטברת מול אשתקד'!A55,'מיטב דש'!A:G,6,0)+VLOOKUP('תפוקה מצטברת מול אשתקד'!A55,אינפניטי!A:G,6,0)</f>
        <v>0</v>
      </c>
      <c r="K55" s="58">
        <f>VLOOKUP(A55,הכשרה!A:G,7,0)+VLOOKUP('תפוקה מצטברת מול אשתקד'!A55,מגדל!A:G,7,0)+VLOOKUP('תפוקה מצטברת מול אשתקד'!A55,מנורה!A:G,7,0)+VLOOKUP('תפוקה מצטברת מול אשתקד'!A55,איילון!A:G,7,0)+VLOOKUP('תפוקה מצטברת מול אשתקד'!A55,הראל!A:G,7,0)+VLOOKUP('תפוקה מצטברת מול אשתקד'!A55,הפניקס!A:G,7,0)+VLOOKUP('תפוקה מצטברת מול אשתקד'!A55,כלל!A:G,7,0)+VLOOKUP('תפוקה מצטברת מול אשתקד'!A55,מור!A:G,7,0)+VLOOKUP('תפוקה מצטברת מול אשתקד'!A55,'אלטשולר שחם'!A:G,7,0)+VLOOKUP('תפוקה מצטברת מול אשתקד'!A55,'מדיהו '!A:K,7,0)+VLOOKUP(A55,'אנליסט '!A:G,7,0)+VLOOKUP('תפוקה מצטברת מול אשתקד'!A55,'מיטב דש'!A:G,7,0)+VLOOKUP('תפוקה מצטברת מול אשתקד'!A55,אינפניטי!A:G,7,0)</f>
        <v>0</v>
      </c>
      <c r="L55" s="12">
        <f>VLOOKUP(A55,הכשרה!A:K,8,0)+VLOOKUP('תפוקה מצטברת מול אשתקד'!A55,מגדל!A:K,8,0)+VLOOKUP('תפוקה מצטברת מול אשתקד'!A55,מנורה!A:K,8,0)+VLOOKUP('תפוקה מצטברת מול אשתקד'!A55,איילון!A:K,8,0)+VLOOKUP('תפוקה מצטברת מול אשתקד'!A55,הראל!A:K,8,0)+VLOOKUP('תפוקה מצטברת מול אשתקד'!A55,הפניקס!A:K,8,0)+VLOOKUP('תפוקה מצטברת מול אשתקד'!A55,כלל!A:K,8,0)+VLOOKUP('תפוקה מצטברת מול אשתקד'!A55,מור!A:K,8,0)+VLOOKUP('תפוקה מצטברת מול אשתקד'!A55,'אלטשולר שחם'!A:K,8,0)+VLOOKUP('תפוקה מצטברת מול אשתקד'!A55,'מדיהו '!A:K,8,0)+VLOOKUP('תפוקה מצטברת מול אשתקד'!A55,'אנליסט '!A:K,8,0)+VLOOKUP('תפוקה מצטברת מול אשתקד'!A55,'מיטב דש'!A:K,8,0)+VLOOKUP('תפוקה מצטברת מול אשתקד'!A55,אינפניטי!A:K,8,0)</f>
        <v>62344.34</v>
      </c>
      <c r="M55" s="12">
        <f>VLOOKUP(A55,הכשרה!A:K,9,0)+VLOOKUP('תפוקה מצטברת מול אשתקד'!A55,מגדל!A:K,9,0)+VLOOKUP('תפוקה מצטברת מול אשתקד'!A55,מנורה!A:K,9,0)+VLOOKUP('תפוקה מצטברת מול אשתקד'!A55,איילון!A:K,9,0)+VLOOKUP('תפוקה מצטברת מול אשתקד'!A55,הראל!A:K,9,0)+VLOOKUP('תפוקה מצטברת מול אשתקד'!A55,הפניקס!A:K,9,0)+VLOOKUP('תפוקה מצטברת מול אשתקד'!A55,כלל!A:K,9,0)+VLOOKUP('תפוקה מצטברת מול אשתקד'!A55,מור!A:K,9,0)+VLOOKUP('תפוקה מצטברת מול אשתקד'!A55,'אלטשולר שחם'!A:K,9,0)+VLOOKUP('תפוקה מצטברת מול אשתקד'!A55,'מדיהו '!A:K,9,0)+VLOOKUP('תפוקה מצטברת מול אשתקד'!A55,'אנליסט '!A:K,9,0)+VLOOKUP('תפוקה מצטברת מול אשתקד'!A55,'מיטב דש'!A:K,9,0)+VLOOKUP('תפוקה מצטברת מול אשתקד'!A55,אינפניטי!A:K,9,0)</f>
        <v>2442.63</v>
      </c>
      <c r="N55" s="12">
        <f>VLOOKUP(A55,הכשרה!A:K,10,0)+VLOOKUP('תפוקה מצטברת מול אשתקד'!A55,מגדל!A:K,10,0)+VLOOKUP('תפוקה מצטברת מול אשתקד'!A55,מנורה!A:K,10,0)+VLOOKUP('תפוקה מצטברת מול אשתקד'!A55,איילון!A:K,10,0)+VLOOKUP('תפוקה מצטברת מול אשתקד'!A55,הראל!A:K,10,0)+VLOOKUP('תפוקה מצטברת מול אשתקד'!A55,הפניקס!A:K,10,0)+VLOOKUP('תפוקה מצטברת מול אשתקד'!A55,כלל!A:K,10,0)+VLOOKUP('תפוקה מצטברת מול אשתקד'!A55,מור!A:K,10,0)+VLOOKUP('תפוקה מצטברת מול אשתקד'!A55,'אלטשולר שחם'!A:K,10,0)+VLOOKUP('תפוקה מצטברת מול אשתקד'!A55,'מדיהו '!A:K,10,0)+VLOOKUP('תפוקה מצטברת מול אשתקד'!A55,'אנליסט '!A:K,10,0)+VLOOKUP('תפוקה מצטברת מול אשתקד'!A55,'מיטב דש'!A:K,10,0)+VLOOKUP('תפוקה מצטברת מול אשתקד'!A55,אינפניטי!A:K,10,0)</f>
        <v>136025.19</v>
      </c>
      <c r="O55" s="12">
        <f>VLOOKUP(A55,הכשרה!A:K,11,0)+VLOOKUP('תפוקה מצטברת מול אשתקד'!A55,מגדל!A:K,11,0)+VLOOKUP('תפוקה מצטברת מול אשתקד'!A55,מנורה!A:K,11,0)+VLOOKUP('תפוקה מצטברת מול אשתקד'!A55,איילון!A:K,11,0)+VLOOKUP('תפוקה מצטברת מול אשתקד'!A55,הראל!A:K,11,0)+VLOOKUP('תפוקה מצטברת מול אשתקד'!A55,הפניקס!A:K,11,0)+VLOOKUP('תפוקה מצטברת מול אשתקד'!A55,כלל!A:K,11,0)+VLOOKUP('תפוקה מצטברת מול אשתקד'!A55,מור!A:K,11,0)+VLOOKUP('תפוקה מצטברת מול אשתקד'!A55,'אלטשולר שחם'!A:K,11,0)+VLOOKUP('תפוקה מצטברת מול אשתקד'!A55,'מדיהו '!A:K,11,0)+VLOOKUP('תפוקה מצטברת מול אשתקד'!A55,'אנליסט '!A:K,11,0)+VLOOKUP('תפוקה מצטברת מול אשתקד'!A55,'מיטב דש'!A:K,11,0)+VLOOKUP('תפוקה מצטברת מול אשתקד'!A55,אינפניטי!A:K,11,0)</f>
        <v>0</v>
      </c>
    </row>
    <row r="56" spans="1:15" ht="15.75" customHeight="1" x14ac:dyDescent="0.2">
      <c r="A56" s="27" t="s">
        <v>86</v>
      </c>
      <c r="B56" s="27" t="s">
        <v>115</v>
      </c>
      <c r="C56" s="27" t="s">
        <v>107</v>
      </c>
      <c r="D56" s="19">
        <f t="shared" ref="D56:F62" si="11">IF(H56=0,0%,IF(L56=0,100%,H56/L56-1))</f>
        <v>1.4675595394063219</v>
      </c>
      <c r="E56" s="19">
        <f t="shared" si="11"/>
        <v>0.18594004419822352</v>
      </c>
      <c r="F56" s="19">
        <f t="shared" si="11"/>
        <v>-0.50834340050146276</v>
      </c>
      <c r="G56" s="19">
        <f>IF(K56=0,0%,IF(O56=H80,100%,K56/O56-1))</f>
        <v>0.51727119512580488</v>
      </c>
      <c r="H56" s="58">
        <f>VLOOKUP(A56,הכשרה!A:G,4,0)+VLOOKUP('תפוקה מצטברת מול אשתקד'!A56,מגדל!A:G,4,0)+VLOOKUP('תפוקה מצטברת מול אשתקד'!A56,מנורה!A:G,4,0)+VLOOKUP('תפוקה מצטברת מול אשתקד'!A56,איילון!A:G,4,0)+VLOOKUP('תפוקה מצטברת מול אשתקד'!A56,הראל!A:G,4,0)+VLOOKUP('תפוקה מצטברת מול אשתקד'!A56,הפניקס!A:G,4,0)+VLOOKUP('תפוקה מצטברת מול אשתקד'!A56,כלל!A:G,4,0)+VLOOKUP('תפוקה מצטברת מול אשתקד'!A56,מור!A:G,4,0)+VLOOKUP('תפוקה מצטברת מול אשתקד'!A56,'אלטשולר שחם'!A:G,4,0)+VLOOKUP('תפוקה מצטברת מול אשתקד'!A56,'מדיהו '!A:G,4,0)+VLOOKUP('תפוקה מצטברת מול אשתקד'!A56,'אנליסט '!A:G,4,0)+VLOOKUP('תפוקה מצטברת מול אשתקד'!A56,'מיטב דש'!A:G,4,0)+VLOOKUP('תפוקה מצטברת מול אשתקד'!A56,אינפניטי!A:G,4,0)</f>
        <v>625811.61404246534</v>
      </c>
      <c r="I56" s="58">
        <f>VLOOKUP(A56,הכשרה!A:G,5,0)+VLOOKUP('תפוקה מצטברת מול אשתקד'!A56,מגדל!A:G,5,0)+VLOOKUP('תפוקה מצטברת מול אשתקד'!A56,מנורה!A:G,5,0)+VLOOKUP('תפוקה מצטברת מול אשתקד'!A56,איילון!A:G,5,0)+VLOOKUP('תפוקה מצטברת מול אשתקד'!A56,הראל!A:G,5,0)+VLOOKUP('תפוקה מצטברת מול אשתקד'!A56,הפניקס!A:G,5,0)+VLOOKUP('תפוקה מצטברת מול אשתקד'!A56,כלל!A:G,5,0)+VLOOKUP('תפוקה מצטברת מול אשתקד'!A56,מור!A:G,5,0)+VLOOKUP('תפוקה מצטברת מול אשתקד'!A56,'אלטשולר שחם'!A:G,5,0)+VLOOKUP('תפוקה מצטברת מול אשתקד'!A56,'מדיהו '!A:G,5,0)+VLOOKUP('תפוקה מצטברת מול אשתקד'!A56,'אנליסט '!A:G,5,0)+VLOOKUP('תפוקה מצטברת מול אשתקד'!A56,'מיטב דש'!A:G,5,0)+VLOOKUP('תפוקה מצטברת מול אשתקד'!A56,אינפניטי!A:G,5,0)</f>
        <v>75556.247642103335</v>
      </c>
      <c r="J56" s="58">
        <f>VLOOKUP(A56,הכשרה!A:G,6,0)+VLOOKUP('תפוקה מצטברת מול אשתקד'!A56,מגדל!A:G,6,0)+VLOOKUP('תפוקה מצטברת מול אשתקד'!A56,מנורה!A:G,6,0)+VLOOKUP('תפוקה מצטברת מול אשתקד'!A56,איילון!A:G,6,0)+VLOOKUP(A56,הראל!A:G,6,0)+VLOOKUP('תפוקה מצטברת מול אשתקד'!A56,הפניקס!A:G,6,0)+VLOOKUP('תפוקה מצטברת מול אשתקד'!A56,כלל!A:G,6,0)+VLOOKUP('תפוקה מצטברת מול אשתקד'!A56,מור!A:G,6,0)+VLOOKUP('תפוקה מצטברת מול אשתקד'!A56,'אלטשולר שחם'!A:G,6,0)+VLOOKUP('תפוקה מצטברת מול אשתקד'!A56,'מדיהו '!A:G,6,0)+VLOOKUP('תפוקה מצטברת מול אשתקד'!A56,'אנליסט '!A:G,6,0)+VLOOKUP('תפוקה מצטברת מול אשתקד'!A56,'מיטב דש'!A:G,6,0)+VLOOKUP('תפוקה מצטברת מול אשתקד'!A56,אינפניטי!A:G,6,0)</f>
        <v>2496236.0446107788</v>
      </c>
      <c r="K56" s="58">
        <f>VLOOKUP(A56,הכשרה!A:G,7,0)+VLOOKUP('תפוקה מצטברת מול אשתקד'!A56,מגדל!A:G,7,0)+VLOOKUP('תפוקה מצטברת מול אשתקד'!A56,מנורה!A:G,7,0)+VLOOKUP('תפוקה מצטברת מול אשתקד'!A56,איילון!A:G,7,0)+VLOOKUP('תפוקה מצטברת מול אשתקד'!A56,הראל!A:G,7,0)+VLOOKUP('תפוקה מצטברת מול אשתקד'!A56,הפניקס!A:G,7,0)+VLOOKUP('תפוקה מצטברת מול אשתקד'!A56,כלל!A:G,7,0)+VLOOKUP('תפוקה מצטברת מול אשתקד'!A56,מור!A:G,7,0)+VLOOKUP('תפוקה מצטברת מול אשתקד'!A56,'אלטשולר שחם'!A:G,7,0)+VLOOKUP('תפוקה מצטברת מול אשתקד'!A56,'מדיהו '!A:K,7,0)+VLOOKUP(A56,'אנליסט '!A:G,7,0)+VLOOKUP('תפוקה מצטברת מול אשתקד'!A56,'מיטב דש'!A:G,7,0)+VLOOKUP('תפוקה מצטברת מול אשתקד'!A56,אינפניטי!A:G,7,0)</f>
        <v>3381087.04</v>
      </c>
      <c r="L56" s="12">
        <f>VLOOKUP(A56,הכשרה!A:K,8,0)+VLOOKUP('תפוקה מצטברת מול אשתקד'!A56,מגדל!A:K,8,0)+VLOOKUP('תפוקה מצטברת מול אשתקד'!A56,מנורה!A:K,8,0)+VLOOKUP('תפוקה מצטברת מול אשתקד'!A56,איילון!A:K,8,0)+VLOOKUP('תפוקה מצטברת מול אשתקד'!A56,הראל!A:K,8,0)+VLOOKUP('תפוקה מצטברת מול אשתקד'!A56,הפניקס!A:K,8,0)+VLOOKUP('תפוקה מצטברת מול אשתקד'!A56,כלל!A:K,8,0)+VLOOKUP('תפוקה מצטברת מול אשתקד'!A56,מור!A:K,8,0)+VLOOKUP('תפוקה מצטברת מול אשתקד'!A56,'אלטשולר שחם'!A:K,8,0)+VLOOKUP('תפוקה מצטברת מול אשתקד'!A56,'מדיהו '!A:K,8,0)+VLOOKUP('תפוקה מצטברת מול אשתקד'!A56,'אנליסט '!A:K,8,0)+VLOOKUP('תפוקה מצטברת מול אשתקד'!A56,'מיטב דש'!A:K,8,0)+VLOOKUP('תפוקה מצטברת מול אשתקד'!A56,אינפניטי!A:K,8,0)</f>
        <v>253615.60847809628</v>
      </c>
      <c r="M56" s="12">
        <f>VLOOKUP(A56,הכשרה!A:K,9,0)+VLOOKUP('תפוקה מצטברת מול אשתקד'!A56,מגדל!A:K,9,0)+VLOOKUP('תפוקה מצטברת מול אשתקד'!A56,מנורה!A:K,9,0)+VLOOKUP('תפוקה מצטברת מול אשתקד'!A56,איילון!A:K,9,0)+VLOOKUP('תפוקה מצטברת מול אשתקד'!A56,הראל!A:K,9,0)+VLOOKUP('תפוקה מצטברת מול אשתקד'!A56,הפניקס!A:K,9,0)+VLOOKUP('תפוקה מצטברת מול אשתקד'!A56,כלל!A:K,9,0)+VLOOKUP('תפוקה מצטברת מול אשתקד'!A56,מור!A:K,9,0)+VLOOKUP('תפוקה מצטברת מול אשתקד'!A56,'אלטשולר שחם'!A:K,9,0)+VLOOKUP('תפוקה מצטברת מול אשתקד'!A56,'מדיהו '!A:K,9,0)+VLOOKUP('תפוקה מצטברת מול אשתקד'!A56,'אנליסט '!A:K,9,0)+VLOOKUP('תפוקה מצטברת מול אשתקד'!A56,'מיטב דש'!A:K,9,0)+VLOOKUP('תפוקה מצטברת מול אשתקד'!A56,אינפניטי!A:K,9,0)</f>
        <v>63710.006261897091</v>
      </c>
      <c r="N56" s="12">
        <f>VLOOKUP(A56,הכשרה!A:K,10,0)+VLOOKUP('תפוקה מצטברת מול אשתקד'!A56,מגדל!A:K,10,0)+VLOOKUP('תפוקה מצטברת מול אשתקד'!A56,מנורה!A:K,10,0)+VLOOKUP('תפוקה מצטברת מול אשתקד'!A56,איילון!A:K,10,0)+VLOOKUP('תפוקה מצטברת מול אשתקד'!A56,הראל!A:K,10,0)+VLOOKUP('תפוקה מצטברת מול אשתקד'!A56,הפניקס!A:K,10,0)+VLOOKUP('תפוקה מצטברת מול אשתקד'!A56,כלל!A:K,10,0)+VLOOKUP('תפוקה מצטברת מול אשתקד'!A56,מור!A:K,10,0)+VLOOKUP('תפוקה מצטברת מול אשתקד'!A56,'אלטשולר שחם'!A:K,10,0)+VLOOKUP('תפוקה מצטברת מול אשתקד'!A56,'מדיהו '!A:K,10,0)+VLOOKUP('תפוקה מצטברת מול אשתקד'!A56,'אנליסט '!A:K,10,0)+VLOOKUP('תפוקה מצטברת מול אשתקד'!A56,'מיטב דש'!A:K,10,0)+VLOOKUP('תפוקה מצטברת מול אשתקד'!A56,אינפניטי!A:K,10,0)</f>
        <v>5077194.2188039431</v>
      </c>
      <c r="O56" s="12">
        <f>VLOOKUP(A56,הכשרה!A:K,11,0)+VLOOKUP('תפוקה מצטברת מול אשתקד'!A56,מגדל!A:K,11,0)+VLOOKUP('תפוקה מצטברת מול אשתקד'!A56,מנורה!A:K,11,0)+VLOOKUP('תפוקה מצטברת מול אשתקד'!A56,איילון!A:K,11,0)+VLOOKUP('תפוקה מצטברת מול אשתקד'!A56,הראל!A:K,11,0)+VLOOKUP('תפוקה מצטברת מול אשתקד'!A56,הפניקס!A:K,11,0)+VLOOKUP('תפוקה מצטברת מול אשתקד'!A56,כלל!A:K,11,0)+VLOOKUP('תפוקה מצטברת מול אשתקד'!A56,מור!A:K,11,0)+VLOOKUP('תפוקה מצטברת מול אשתקד'!A56,'אלטשולר שחם'!A:K,11,0)+VLOOKUP('תפוקה מצטברת מול אשתקד'!A56,'מדיהו '!A:K,11,0)+VLOOKUP('תפוקה מצטברת מול אשתקד'!A56,'אנליסט '!A:K,11,0)+VLOOKUP('תפוקה מצטברת מול אשתקד'!A56,'מיטב דש'!A:K,11,0)+VLOOKUP('תפוקה מצטברת מול אשתקד'!A56,אינפניטי!A:K,11,0)</f>
        <v>2228399.9398800004</v>
      </c>
    </row>
    <row r="57" spans="1:15" ht="15.75" customHeight="1" x14ac:dyDescent="0.2">
      <c r="A57" s="26" t="s">
        <v>37</v>
      </c>
      <c r="B57" s="26" t="s">
        <v>115</v>
      </c>
      <c r="C57" s="27" t="s">
        <v>107</v>
      </c>
      <c r="D57" s="19">
        <f t="shared" si="11"/>
        <v>-2.4773240674949237E-2</v>
      </c>
      <c r="E57" s="19">
        <f t="shared" si="11"/>
        <v>0.29300615592649448</v>
      </c>
      <c r="F57" s="19">
        <f t="shared" si="11"/>
        <v>0.39746727435375284</v>
      </c>
      <c r="G57" s="19">
        <f>IF(K57=0,0%,IF(O57=H81,100%,K57/O57-1))</f>
        <v>-1.4794990719946779</v>
      </c>
      <c r="H57" s="58">
        <f>VLOOKUP(A57,הכשרה!A:G,4,0)+VLOOKUP('תפוקה מצטברת מול אשתקד'!A57,מגדל!A:G,4,0)+VLOOKUP('תפוקה מצטברת מול אשתקד'!A57,מנורה!A:G,4,0)+VLOOKUP('תפוקה מצטברת מול אשתקד'!A57,איילון!A:G,4,0)+VLOOKUP('תפוקה מצטברת מול אשתקד'!A57,הראל!A:G,4,0)+VLOOKUP('תפוקה מצטברת מול אשתקד'!A57,הפניקס!A:G,4,0)+VLOOKUP('תפוקה מצטברת מול אשתקד'!A57,כלל!A:G,4,0)+VLOOKUP('תפוקה מצטברת מול אשתקד'!A57,מור!A:G,4,0)+VLOOKUP('תפוקה מצטברת מול אשתקד'!A57,'אלטשולר שחם'!A:G,4,0)+VLOOKUP('תפוקה מצטברת מול אשתקד'!A57,'מדיהו '!A:G,4,0)+VLOOKUP('תפוקה מצטברת מול אשתקד'!A57,'אנליסט '!A:G,4,0)+VLOOKUP('תפוקה מצטברת מול אשתקד'!A57,'מיטב דש'!A:G,4,0)+VLOOKUP('תפוקה מצטברת מול אשתקד'!A57,אינפניטי!A:G,4,0)</f>
        <v>654100.03</v>
      </c>
      <c r="I57" s="58">
        <f>VLOOKUP(A57,הכשרה!A:G,5,0)+VLOOKUP('תפוקה מצטברת מול אשתקד'!A57,מגדל!A:G,5,0)+VLOOKUP('תפוקה מצטברת מול אשתקד'!A57,מנורה!A:G,5,0)+VLOOKUP('תפוקה מצטברת מול אשתקד'!A57,איילון!A:G,5,0)+VLOOKUP('תפוקה מצטברת מול אשתקד'!A57,הראל!A:G,5,0)+VLOOKUP('תפוקה מצטברת מול אשתקד'!A57,הפניקס!A:G,5,0)+VLOOKUP('תפוקה מצטברת מול אשתקד'!A57,כלל!A:G,5,0)+VLOOKUP('תפוקה מצטברת מול אשתקד'!A57,מור!A:G,5,0)+VLOOKUP('תפוקה מצטברת מול אשתקד'!A57,'אלטשולר שחם'!A:G,5,0)+VLOOKUP('תפוקה מצטברת מול אשתקד'!A57,'מדיהו '!A:G,5,0)+VLOOKUP('תפוקה מצטברת מול אשתקד'!A57,'אנליסט '!A:G,5,0)+VLOOKUP('תפוקה מצטברת מול אשתקד'!A57,'מיטב דש'!A:G,5,0)+VLOOKUP('תפוקה מצטברת מול אשתקד'!A57,אינפניטי!A:G,5,0)</f>
        <v>45572.920000000006</v>
      </c>
      <c r="J57" s="58">
        <f>VLOOKUP(A57,הכשרה!A:G,6,0)+VLOOKUP('תפוקה מצטברת מול אשתקד'!A57,מגדל!A:G,6,0)+VLOOKUP('תפוקה מצטברת מול אשתקד'!A57,מנורה!A:G,6,0)+VLOOKUP('תפוקה מצטברת מול אשתקד'!A57,איילון!A:G,6,0)+VLOOKUP(A57,הראל!A:G,6,0)+VLOOKUP('תפוקה מצטברת מול אשתקד'!A57,הפניקס!A:G,6,0)+VLOOKUP('תפוקה מצטברת מול אשתקד'!A57,כלל!A:G,6,0)+VLOOKUP('תפוקה מצטברת מול אשתקד'!A57,מור!A:G,6,0)+VLOOKUP('תפוקה מצטברת מול אשתקד'!A57,'אלטשולר שחם'!A:G,6,0)+VLOOKUP('תפוקה מצטברת מול אשתקד'!A57,'מדיהו '!A:G,6,0)+VLOOKUP('תפוקה מצטברת מול אשתקד'!A57,'אנליסט '!A:G,6,0)+VLOOKUP('תפוקה מצטברת מול אשתקד'!A57,'מיטב דש'!A:G,6,0)+VLOOKUP('תפוקה מצטברת מול אשתקד'!A57,אינפניטי!A:G,6,0)</f>
        <v>951356</v>
      </c>
      <c r="K57" s="58">
        <f>VLOOKUP(A57,הכשרה!A:G,7,0)+VLOOKUP('תפוקה מצטברת מול אשתקד'!A57,מגדל!A:G,7,0)+VLOOKUP('תפוקה מצטברת מול אשתקד'!A57,מנורה!A:G,7,0)+VLOOKUP('תפוקה מצטברת מול אשתקד'!A57,איילון!A:G,7,0)+VLOOKUP('תפוקה מצטברת מול אשתקד'!A57,הראל!A:G,7,0)+VLOOKUP('תפוקה מצטברת מול אשתקד'!A57,הפניקס!A:G,7,0)+VLOOKUP('תפוקה מצטברת מול אשתקד'!A57,כלל!A:G,7,0)+VLOOKUP('תפוקה מצטברת מול אשתקד'!A57,מור!A:G,7,0)+VLOOKUP('תפוקה מצטברת מול אשתקד'!A57,'אלטשולר שחם'!A:G,7,0)+VLOOKUP('תפוקה מצטברת מול אשתקד'!A57,'מדיהו '!A:K,7,0)+VLOOKUP(A57,'אנליסט '!A:G,7,0)+VLOOKUP('תפוקה מצטברת מול אשתקד'!A57,'מיטב דש'!A:G,7,0)+VLOOKUP('תפוקה מצטברת מול אשתקד'!A57,אינפניטי!A:G,7,0)</f>
        <v>356638.4</v>
      </c>
      <c r="L57" s="12">
        <f>VLOOKUP(A57,הכשרה!A:K,8,0)+VLOOKUP('תפוקה מצטברת מול אשתקד'!A57,מגדל!A:K,8,0)+VLOOKUP('תפוקה מצטברת מול אשתקד'!A57,מנורה!A:K,8,0)+VLOOKUP('תפוקה מצטברת מול אשתקד'!A57,איילון!A:K,8,0)+VLOOKUP('תפוקה מצטברת מול אשתקד'!A57,הראל!A:K,8,0)+VLOOKUP('תפוקה מצטברת מול אשתקד'!A57,הפניקס!A:K,8,0)+VLOOKUP('תפוקה מצטברת מול אשתקד'!A57,כלל!A:K,8,0)+VLOOKUP('תפוקה מצטברת מול אשתקד'!A57,מור!A:K,8,0)+VLOOKUP('תפוקה מצטברת מול אשתקד'!A57,'אלטשולר שחם'!A:K,8,0)+VLOOKUP('תפוקה מצטברת מול אשתקד'!A57,'מדיהו '!A:K,8,0)+VLOOKUP('תפוקה מצטברת מול אשתקד'!A57,'אנליסט '!A:K,8,0)+VLOOKUP('תפוקה מצטברת מול אשתקד'!A57,'מיטב דש'!A:K,8,0)+VLOOKUP('תפוקה מצטברת מול אשתקד'!A57,אינפניטי!A:K,8,0)</f>
        <v>670715.83479999995</v>
      </c>
      <c r="M57" s="12">
        <f>VLOOKUP(A57,הכשרה!A:K,9,0)+VLOOKUP('תפוקה מצטברת מול אשתקד'!A57,מגדל!A:K,9,0)+VLOOKUP('תפוקה מצטברת מול אשתקד'!A57,מנורה!A:K,9,0)+VLOOKUP('תפוקה מצטברת מול אשתקד'!A57,איילון!A:K,9,0)+VLOOKUP('תפוקה מצטברת מול אשתקד'!A57,הראל!A:K,9,0)+VLOOKUP('תפוקה מצטברת מול אשתקד'!A57,הפניקס!A:K,9,0)+VLOOKUP('תפוקה מצטברת מול אשתקד'!A57,כלל!A:K,9,0)+VLOOKUP('תפוקה מצטברת מול אשתקד'!A57,מור!A:K,9,0)+VLOOKUP('תפוקה מצטברת מול אשתקד'!A57,'אלטשולר שחם'!A:K,9,0)+VLOOKUP('תפוקה מצטברת מול אשתקד'!A57,'מדיהו '!A:K,9,0)+VLOOKUP('תפוקה מצטברת מול אשתקד'!A57,'אנליסט '!A:K,9,0)+VLOOKUP('תפוקה מצטברת מול אשתקד'!A57,'מיטב דש'!A:K,9,0)+VLOOKUP('תפוקה מצטברת מול אשתקד'!A57,אינפניטי!A:K,9,0)</f>
        <v>35245.71</v>
      </c>
      <c r="N57" s="12">
        <f>VLOOKUP(A57,הכשרה!A:K,10,0)+VLOOKUP('תפוקה מצטברת מול אשתקד'!A57,מגדל!A:K,10,0)+VLOOKUP('תפוקה מצטברת מול אשתקד'!A57,מנורה!A:K,10,0)+VLOOKUP('תפוקה מצטברת מול אשתקד'!A57,איילון!A:K,10,0)+VLOOKUP('תפוקה מצטברת מול אשתקד'!A57,הראל!A:K,10,0)+VLOOKUP('תפוקה מצטברת מול אשתקד'!A57,הפניקס!A:K,10,0)+VLOOKUP('תפוקה מצטברת מול אשתקד'!A57,כלל!A:K,10,0)+VLOOKUP('תפוקה מצטברת מול אשתקד'!A57,מור!A:K,10,0)+VLOOKUP('תפוקה מצטברת מול אשתקד'!A57,'אלטשולר שחם'!A:K,10,0)+VLOOKUP('תפוקה מצטברת מול אשתקד'!A57,'מדיהו '!A:K,10,0)+VLOOKUP('תפוקה מצטברת מול אשתקד'!A57,'אנליסט '!A:K,10,0)+VLOOKUP('תפוקה מצטברת מול אשתקד'!A57,'מיטב דש'!A:K,10,0)+VLOOKUP('תפוקה מצטברת מול אשתקד'!A57,אינפניטי!A:K,10,0)</f>
        <v>680771.57688000007</v>
      </c>
      <c r="O57" s="12">
        <f>VLOOKUP(A57,הכשרה!A:K,11,0)+VLOOKUP('תפוקה מצטברת מול אשתקד'!A57,מגדל!A:K,11,0)+VLOOKUP('תפוקה מצטברת מול אשתקד'!A57,מנורה!A:K,11,0)+VLOOKUP('תפוקה מצטברת מול אשתקד'!A57,איילון!A:K,11,0)+VLOOKUP('תפוקה מצטברת מול אשתקד'!A57,הראל!A:K,11,0)+VLOOKUP('תפוקה מצטברת מול אשתקד'!A57,הפניקס!A:K,11,0)+VLOOKUP('תפוקה מצטברת מול אשתקד'!A57,כלל!A:K,11,0)+VLOOKUP('תפוקה מצטברת מול אשתקד'!A57,מור!A:K,11,0)+VLOOKUP('תפוקה מצטברת מול אשתקד'!A57,'אלטשולר שחם'!A:K,11,0)+VLOOKUP('תפוקה מצטברת מול אשתקד'!A57,'מדיהו '!A:K,11,0)+VLOOKUP('תפוקה מצטברת מול אשתקד'!A57,'אנליסט '!A:K,11,0)+VLOOKUP('תפוקה מצטברת מול אשתקד'!A57,'מיטב דש'!A:K,11,0)+VLOOKUP('תפוקה מצטברת מול אשתקד'!A57,אינפניטי!A:K,11,0)</f>
        <v>-743772.86803999997</v>
      </c>
    </row>
    <row r="58" spans="1:15" ht="15.75" customHeight="1" x14ac:dyDescent="0.2">
      <c r="A58" s="30" t="s">
        <v>33</v>
      </c>
      <c r="B58" s="26" t="s">
        <v>115</v>
      </c>
      <c r="C58" s="26" t="s">
        <v>107</v>
      </c>
      <c r="D58" s="19">
        <f t="shared" si="11"/>
        <v>-0.5114946801506961</v>
      </c>
      <c r="E58" s="19">
        <f t="shared" si="11"/>
        <v>-0.48621523507709774</v>
      </c>
      <c r="F58" s="19">
        <f t="shared" si="11"/>
        <v>7.8753492879019529</v>
      </c>
      <c r="G58" s="19">
        <f>IF(K58=0,0%,IF(O58=H82,100%,K58/O58-1))</f>
        <v>0</v>
      </c>
      <c r="H58" s="58">
        <f>VLOOKUP(A58,הכשרה!A:G,4,0)+VLOOKUP('תפוקה מצטברת מול אשתקד'!A58,מגדל!A:G,4,0)+VLOOKUP('תפוקה מצטברת מול אשתקד'!A58,מנורה!A:G,4,0)+VLOOKUP('תפוקה מצטברת מול אשתקד'!A58,איילון!A:G,4,0)+VLOOKUP('תפוקה מצטברת מול אשתקד'!A58,הראל!A:G,4,0)+VLOOKUP('תפוקה מצטברת מול אשתקד'!A58,הפניקס!A:G,4,0)+VLOOKUP('תפוקה מצטברת מול אשתקד'!A58,כלל!A:G,4,0)+VLOOKUP('תפוקה מצטברת מול אשתקד'!A58,מור!A:G,4,0)+VLOOKUP('תפוקה מצטברת מול אשתקד'!A58,'אלטשולר שחם'!A:G,4,0)+VLOOKUP('תפוקה מצטברת מול אשתקד'!A58,'מדיהו '!A:G,4,0)+VLOOKUP('תפוקה מצטברת מול אשתקד'!A58,'אנליסט '!A:G,4,0)+VLOOKUP('תפוקה מצטברת מול אשתקד'!A58,'מיטב דש'!A:G,4,0)+VLOOKUP('תפוקה מצטברת מול אשתקד'!A58,אינפניטי!A:G,4,0)</f>
        <v>21137</v>
      </c>
      <c r="I58" s="58">
        <f>VLOOKUP(A58,הכשרה!A:G,5,0)+VLOOKUP('תפוקה מצטברת מול אשתקד'!A58,מגדל!A:G,5,0)+VLOOKUP('תפוקה מצטברת מול אשתקד'!A58,מנורה!A:G,5,0)+VLOOKUP('תפוקה מצטברת מול אשתקד'!A58,איילון!A:G,5,0)+VLOOKUP('תפוקה מצטברת מול אשתקד'!A58,הראל!A:G,5,0)+VLOOKUP('תפוקה מצטברת מול אשתקד'!A58,הפניקס!A:G,5,0)+VLOOKUP('תפוקה מצטברת מול אשתקד'!A58,כלל!A:G,5,0)+VLOOKUP('תפוקה מצטברת מול אשתקד'!A58,מור!A:G,5,0)+VLOOKUP('תפוקה מצטברת מול אשתקד'!A58,'אלטשולר שחם'!A:G,5,0)+VLOOKUP('תפוקה מצטברת מול אשתקד'!A58,'מדיהו '!A:G,5,0)+VLOOKUP('תפוקה מצטברת מול אשתקד'!A58,'אנליסט '!A:G,5,0)+VLOOKUP('תפוקה מצטברת מול אשתקד'!A58,'מיטב דש'!A:G,5,0)+VLOOKUP('תפוקה מצטברת מול אשתקד'!A58,אינפניטי!A:G,5,0)</f>
        <v>1737.99</v>
      </c>
      <c r="J58" s="58">
        <f>VLOOKUP(A58,הכשרה!A:G,6,0)+VLOOKUP('תפוקה מצטברת מול אשתקד'!A58,מגדל!A:G,6,0)+VLOOKUP('תפוקה מצטברת מול אשתקד'!A58,מנורה!A:G,6,0)+VLOOKUP('תפוקה מצטברת מול אשתקד'!A58,איילון!A:G,6,0)+VLOOKUP(A58,הראל!A:G,6,0)+VLOOKUP('תפוקה מצטברת מול אשתקד'!A58,הפניקס!A:G,6,0)+VLOOKUP('תפוקה מצטברת מול אשתקד'!A58,כלל!A:G,6,0)+VLOOKUP('תפוקה מצטברת מול אשתקד'!A58,מור!A:G,6,0)+VLOOKUP('תפוקה מצטברת מול אשתקד'!A58,'אלטשולר שחם'!A:G,6,0)+VLOOKUP('תפוקה מצטברת מול אשתקד'!A58,'מדיהו '!A:G,6,0)+VLOOKUP('תפוקה מצטברת מול אשתקד'!A58,'אנליסט '!A:G,6,0)+VLOOKUP('תפוקה מצטברת מול אשתקד'!A58,'מיטב דש'!A:G,6,0)+VLOOKUP('תפוקה מצטברת מול אשתקד'!A58,אינפניטי!A:G,6,0)</f>
        <v>965734.04732049035</v>
      </c>
      <c r="K58" s="58">
        <f>VLOOKUP(A58,הכשרה!A:G,7,0)+VLOOKUP('תפוקה מצטברת מול אשתקד'!A58,מגדל!A:G,7,0)+VLOOKUP('תפוקה מצטברת מול אשתקד'!A58,מנורה!A:G,7,0)+VLOOKUP('תפוקה מצטברת מול אשתקד'!A58,איילון!A:G,7,0)+VLOOKUP('תפוקה מצטברת מול אשתקד'!A58,הראל!A:G,7,0)+VLOOKUP('תפוקה מצטברת מול אשתקד'!A58,הפניקס!A:G,7,0)+VLOOKUP('תפוקה מצטברת מול אשתקד'!A58,כלל!A:G,7,0)+VLOOKUP('תפוקה מצטברת מול אשתקד'!A58,מור!A:G,7,0)+VLOOKUP('תפוקה מצטברת מול אשתקד'!A58,'אלטשולר שחם'!A:G,7,0)+VLOOKUP('תפוקה מצטברת מול אשתקד'!A58,'מדיהו '!A:K,7,0)+VLOOKUP(A58,'אנליסט '!A:G,7,0)+VLOOKUP('תפוקה מצטברת מול אשתקד'!A58,'מיטב דש'!A:G,7,0)+VLOOKUP('תפוקה מצטברת מול אשתקד'!A58,אינפניטי!A:G,7,0)</f>
        <v>0</v>
      </c>
      <c r="L58" s="12">
        <f>VLOOKUP(A58,הכשרה!A:K,8,0)+VLOOKUP('תפוקה מצטברת מול אשתקד'!A58,מגדל!A:K,8,0)+VLOOKUP('תפוקה מצטברת מול אשתקד'!A58,מנורה!A:K,8,0)+VLOOKUP('תפוקה מצטברת מול אשתקד'!A58,איילון!A:K,8,0)+VLOOKUP('תפוקה מצטברת מול אשתקד'!A58,הראל!A:K,8,0)+VLOOKUP('תפוקה מצטברת מול אשתקד'!A58,הפניקס!A:K,8,0)+VLOOKUP('תפוקה מצטברת מול אשתקד'!A58,כלל!A:K,8,0)+VLOOKUP('תפוקה מצטברת מול אשתקד'!A58,מור!A:K,8,0)+VLOOKUP('תפוקה מצטברת מול אשתקד'!A58,'אלטשולר שחם'!A:K,8,0)+VLOOKUP('תפוקה מצטברת מול אשתקד'!A58,'מדיהו '!A:K,8,0)+VLOOKUP('תפוקה מצטברת מול אשתקד'!A58,'אנליסט '!A:K,8,0)+VLOOKUP('תפוקה מצטברת מול אשתקד'!A58,'מיטב דש'!A:K,8,0)+VLOOKUP('תפוקה מצטברת מול אשתקד'!A58,אינפניטי!A:K,8,0)</f>
        <v>43268.720198421644</v>
      </c>
      <c r="M58" s="12">
        <f>VLOOKUP(A58,הכשרה!A:K,9,0)+VLOOKUP('תפוקה מצטברת מול אשתקד'!A58,מגדל!A:K,9,0)+VLOOKUP('תפוקה מצטברת מול אשתקד'!A58,מנורה!A:K,9,0)+VLOOKUP('תפוקה מצטברת מול אשתקד'!A58,איילון!A:K,9,0)+VLOOKUP('תפוקה מצטברת מול אשתקד'!A58,הראל!A:K,9,0)+VLOOKUP('תפוקה מצטברת מול אשתקד'!A58,הפניקס!A:K,9,0)+VLOOKUP('תפוקה מצטברת מול אשתקד'!A58,כלל!A:K,9,0)+VLOOKUP('תפוקה מצטברת מול אשתקד'!A58,מור!A:K,9,0)+VLOOKUP('תפוקה מצטברת מול אשתקד'!A58,'אלטשולר שחם'!A:K,9,0)+VLOOKUP('תפוקה מצטברת מול אשתקד'!A58,'מדיהו '!A:K,9,0)+VLOOKUP('תפוקה מצטברת מול אשתקד'!A58,'אנליסט '!A:K,9,0)+VLOOKUP('תפוקה מצטברת מול אשתקד'!A58,'מיטב דש'!A:K,9,0)+VLOOKUP('תפוקה מצטברת מול אשתקד'!A58,אינפניטי!A:K,9,0)</f>
        <v>3382.7200000000003</v>
      </c>
      <c r="N58" s="12">
        <f>VLOOKUP(A58,הכשרה!A:K,10,0)+VLOOKUP('תפוקה מצטברת מול אשתקד'!A58,מגדל!A:K,10,0)+VLOOKUP('תפוקה מצטברת מול אשתקד'!A58,מנורה!A:K,10,0)+VLOOKUP('תפוקה מצטברת מול אשתקד'!A58,איילון!A:K,10,0)+VLOOKUP('תפוקה מצטברת מול אשתקד'!A58,הראל!A:K,10,0)+VLOOKUP('תפוקה מצטברת מול אשתקד'!A58,הפניקס!A:K,10,0)+VLOOKUP('תפוקה מצטברת מול אשתקד'!A58,כלל!A:K,10,0)+VLOOKUP('תפוקה מצטברת מול אשתקד'!A58,מור!A:K,10,0)+VLOOKUP('תפוקה מצטברת מול אשתקד'!A58,'אלטשולר שחם'!A:K,10,0)+VLOOKUP('תפוקה מצטברת מול אשתקד'!A58,'מדיהו '!A:K,10,0)+VLOOKUP('תפוקה מצטברת מול אשתקד'!A58,'אנליסט '!A:K,10,0)+VLOOKUP('תפוקה מצטברת מול אשתקד'!A58,'מיטב דש'!A:K,10,0)+VLOOKUP('תפוקה מצטברת מול אשתקד'!A58,אינפניטי!A:K,10,0)</f>
        <v>108810.82152303445</v>
      </c>
      <c r="O58" s="12">
        <f>VLOOKUP(A58,הכשרה!A:K,11,0)+VLOOKUP('תפוקה מצטברת מול אשתקד'!A58,מגדל!A:K,11,0)+VLOOKUP('תפוקה מצטברת מול אשתקד'!A58,מנורה!A:K,11,0)+VLOOKUP('תפוקה מצטברת מול אשתקד'!A58,איילון!A:K,11,0)+VLOOKUP('תפוקה מצטברת מול אשתקד'!A58,הראל!A:K,11,0)+VLOOKUP('תפוקה מצטברת מול אשתקד'!A58,הפניקס!A:K,11,0)+VLOOKUP('תפוקה מצטברת מול אשתקד'!A58,כלל!A:K,11,0)+VLOOKUP('תפוקה מצטברת מול אשתקד'!A58,מור!A:K,11,0)+VLOOKUP('תפוקה מצטברת מול אשתקד'!A58,'אלטשולר שחם'!A:K,11,0)+VLOOKUP('תפוקה מצטברת מול אשתקד'!A58,'מדיהו '!A:K,11,0)+VLOOKUP('תפוקה מצטברת מול אשתקד'!A58,'אנליסט '!A:K,11,0)+VLOOKUP('תפוקה מצטברת מול אשתקד'!A58,'מיטב דש'!A:K,11,0)+VLOOKUP('תפוקה מצטברת מול אשתקד'!A58,אינפניטי!A:K,11,0)</f>
        <v>-80046.990000000005</v>
      </c>
    </row>
    <row r="59" spans="1:15" ht="15.75" customHeight="1" x14ac:dyDescent="0.2">
      <c r="A59" s="26" t="s">
        <v>84</v>
      </c>
      <c r="B59" s="26" t="s">
        <v>115</v>
      </c>
      <c r="C59" s="26" t="s">
        <v>107</v>
      </c>
      <c r="D59" s="19">
        <f t="shared" si="11"/>
        <v>-0.33325010590015658</v>
      </c>
      <c r="E59" s="19">
        <f t="shared" si="11"/>
        <v>0.71803252483282964</v>
      </c>
      <c r="F59" s="19">
        <f t="shared" si="11"/>
        <v>3.517466171558886</v>
      </c>
      <c r="G59" s="19">
        <f>IF(K59=0,0%,IF(O59=H83,100%,K59/O59-1))</f>
        <v>4.3675046127051642E-2</v>
      </c>
      <c r="H59" s="58">
        <f>VLOOKUP(A59,הכשרה!A:G,4,0)+VLOOKUP('תפוקה מצטברת מול אשתקד'!A59,מגדל!A:G,4,0)+VLOOKUP('תפוקה מצטברת מול אשתקד'!A59,מנורה!A:G,4,0)+VLOOKUP('תפוקה מצטברת מול אשתקד'!A59,איילון!A:G,4,0)+VLOOKUP('תפוקה מצטברת מול אשתקד'!A59,הראל!A:G,4,0)+VLOOKUP('תפוקה מצטברת מול אשתקד'!A59,הפניקס!A:G,4,0)+VLOOKUP('תפוקה מצטברת מול אשתקד'!A59,כלל!A:G,4,0)+VLOOKUP('תפוקה מצטברת מול אשתקד'!A59,מור!A:G,4,0)+VLOOKUP('תפוקה מצטברת מול אשתקד'!A59,'אלטשולר שחם'!A:G,4,0)+VLOOKUP('תפוקה מצטברת מול אשתקד'!A59,'מדיהו '!A:G,4,0)+VLOOKUP('תפוקה מצטברת מול אשתקד'!A59,'אנליסט '!A:G,4,0)+VLOOKUP('תפוקה מצטברת מול אשתקד'!A59,'מיטב דש'!A:G,4,0)+VLOOKUP('תפוקה מצטברת מול אשתקד'!A59,אינפניטי!A:G,4,0)</f>
        <v>271565.94340116292</v>
      </c>
      <c r="I59" s="58">
        <f>VLOOKUP(A59,הכשרה!A:G,5,0)+VLOOKUP('תפוקה מצטברת מול אשתקד'!A59,מגדל!A:G,5,0)+VLOOKUP('תפוקה מצטברת מול אשתקד'!A59,מנורה!A:G,5,0)+VLOOKUP('תפוקה מצטברת מול אשתקד'!A59,איילון!A:G,5,0)+VLOOKUP('תפוקה מצטברת מול אשתקד'!A59,הראל!A:G,5,0)+VLOOKUP('תפוקה מצטברת מול אשתקד'!A59,הפניקס!A:G,5,0)+VLOOKUP('תפוקה מצטברת מול אשתקד'!A59,כלל!A:G,5,0)+VLOOKUP('תפוקה מצטברת מול אשתקד'!A59,מור!A:G,5,0)+VLOOKUP('תפוקה מצטברת מול אשתקד'!A59,'אלטשולר שחם'!A:G,5,0)+VLOOKUP('תפוקה מצטברת מול אשתקד'!A59,'מדיהו '!A:G,5,0)+VLOOKUP('תפוקה מצטברת מול אשתקד'!A59,'אנליסט '!A:G,5,0)+VLOOKUP('תפוקה מצטברת מול אשתקד'!A59,'מיטב דש'!A:G,5,0)+VLOOKUP('תפוקה מצטברת מול אשתקד'!A59,אינפניטי!A:G,5,0)</f>
        <v>24529.066942432921</v>
      </c>
      <c r="J59" s="58">
        <f>VLOOKUP(A59,הכשרה!A:G,6,0)+VLOOKUP('תפוקה מצטברת מול אשתקד'!A59,מגדל!A:G,6,0)+VLOOKUP('תפוקה מצטברת מול אשתקד'!A59,מנורה!A:G,6,0)+VLOOKUP('תפוקה מצטברת מול אשתקד'!A59,איילון!A:G,6,0)+VLOOKUP(A59,הראל!A:G,6,0)+VLOOKUP('תפוקה מצטברת מול אשתקד'!A59,הפניקס!A:G,6,0)+VLOOKUP('תפוקה מצטברת מול אשתקד'!A59,כלל!A:G,6,0)+VLOOKUP('תפוקה מצטברת מול אשתקד'!A59,מור!A:G,6,0)+VLOOKUP('תפוקה מצטברת מול אשתקד'!A59,'אלטשולר שחם'!A:G,6,0)+VLOOKUP('תפוקה מצטברת מול אשתקד'!A59,'מדיהו '!A:G,6,0)+VLOOKUP('תפוקה מצטברת מול אשתקד'!A59,'אנליסט '!A:G,6,0)+VLOOKUP('תפוקה מצטברת מול אשתקד'!A59,'מיטב דש'!A:G,6,0)+VLOOKUP('תפוקה מצטברת מול אשתקד'!A59,אינפניטי!A:G,6,0)</f>
        <v>2591006.1300000004</v>
      </c>
      <c r="K59" s="58">
        <f>VLOOKUP(A59,הכשרה!A:G,7,0)+VLOOKUP('תפוקה מצטברת מול אשתקד'!A59,מגדל!A:G,7,0)+VLOOKUP('תפוקה מצטברת מול אשתקד'!A59,מנורה!A:G,7,0)+VLOOKUP('תפוקה מצטברת מול אשתקד'!A59,איילון!A:G,7,0)+VLOOKUP('תפוקה מצטברת מול אשתקד'!A59,הראל!A:G,7,0)+VLOOKUP('תפוקה מצטברת מול אשתקד'!A59,הפניקס!A:G,7,0)+VLOOKUP('תפוקה מצטברת מול אשתקד'!A59,כלל!A:G,7,0)+VLOOKUP('תפוקה מצטברת מול אשתקד'!A59,מור!A:G,7,0)+VLOOKUP('תפוקה מצטברת מול אשתקד'!A59,'אלטשולר שחם'!A:G,7,0)+VLOOKUP('תפוקה מצטברת מול אשתקד'!A59,'מדיהו '!A:K,7,0)+VLOOKUP(A59,'אנליסט '!A:G,7,0)+VLOOKUP('תפוקה מצטברת מול אשתקד'!A59,'מיטב דש'!A:G,7,0)+VLOOKUP('תפוקה מצטברת מול אשתקד'!A59,אינפניטי!A:G,7,0)</f>
        <v>567524.67999999993</v>
      </c>
      <c r="L59" s="12">
        <f>VLOOKUP(A59,הכשרה!A:K,8,0)+VLOOKUP('תפוקה מצטברת מול אשתקד'!A59,מגדל!A:K,8,0)+VLOOKUP('תפוקה מצטברת מול אשתקד'!A59,מנורה!A:K,8,0)+VLOOKUP('תפוקה מצטברת מול אשתקד'!A59,איילון!A:K,8,0)+VLOOKUP('תפוקה מצטברת מול אשתקד'!A59,הראל!A:K,8,0)+VLOOKUP('תפוקה מצטברת מול אשתקד'!A59,הפניקס!A:K,8,0)+VLOOKUP('תפוקה מצטברת מול אשתקד'!A59,כלל!A:K,8,0)+VLOOKUP('תפוקה מצטברת מול אשתקד'!A59,מור!A:K,8,0)+VLOOKUP('תפוקה מצטברת מול אשתקד'!A59,'אלטשולר שחם'!A:K,8,0)+VLOOKUP('תפוקה מצטברת מול אשתקד'!A59,'מדיהו '!A:K,8,0)+VLOOKUP('תפוקה מצטברת מול אשתקד'!A59,'אנליסט '!A:K,8,0)+VLOOKUP('תפוקה מצטברת מול אשתקד'!A59,'מיטב דש'!A:K,8,0)+VLOOKUP('תפוקה מצטברת מול אשתקד'!A59,אינפניטי!A:K,8,0)</f>
        <v>407298.06754269527</v>
      </c>
      <c r="M59" s="12">
        <f>VLOOKUP(A59,הכשרה!A:K,9,0)+VLOOKUP('תפוקה מצטברת מול אשתקד'!A59,מגדל!A:K,9,0)+VLOOKUP('תפוקה מצטברת מול אשתקד'!A59,מנורה!A:K,9,0)+VLOOKUP('תפוקה מצטברת מול אשתקד'!A59,איילון!A:K,9,0)+VLOOKUP('תפוקה מצטברת מול אשתקד'!A59,הראל!A:K,9,0)+VLOOKUP('תפוקה מצטברת מול אשתקד'!A59,הפניקס!A:K,9,0)+VLOOKUP('תפוקה מצטברת מול אשתקד'!A59,כלל!A:K,9,0)+VLOOKUP('תפוקה מצטברת מול אשתקד'!A59,מור!A:K,9,0)+VLOOKUP('תפוקה מצטברת מול אשתקד'!A59,'אלטשולר שחם'!A:K,9,0)+VLOOKUP('תפוקה מצטברת מול אשתקד'!A59,'מדיהו '!A:K,9,0)+VLOOKUP('תפוקה מצטברת מול אשתקד'!A59,'אנליסט '!A:K,9,0)+VLOOKUP('תפוקה מצטברת מול אשתקד'!A59,'מיטב דש'!A:K,9,0)+VLOOKUP('תפוקה מצטברת מול אשתקד'!A59,אינפניטי!A:K,9,0)</f>
        <v>14277.417096524225</v>
      </c>
      <c r="N59" s="12">
        <f>VLOOKUP(A59,הכשרה!A:K,10,0)+VLOOKUP('תפוקה מצטברת מול אשתקד'!A59,מגדל!A:K,10,0)+VLOOKUP('תפוקה מצטברת מול אשתקד'!A59,מנורה!A:K,10,0)+VLOOKUP('תפוקה מצטברת מול אשתקד'!A59,איילון!A:K,10,0)+VLOOKUP('תפוקה מצטברת מול אשתקד'!A59,הראל!A:K,10,0)+VLOOKUP('תפוקה מצטברת מול אשתקד'!A59,הפניקס!A:K,10,0)+VLOOKUP('תפוקה מצטברת מול אשתקד'!A59,כלל!A:K,10,0)+VLOOKUP('תפוקה מצטברת מול אשתקד'!A59,מור!A:K,10,0)+VLOOKUP('תפוקה מצטברת מול אשתקד'!A59,'אלטשולר שחם'!A:K,10,0)+VLOOKUP('תפוקה מצטברת מול אשתקד'!A59,'מדיהו '!A:K,10,0)+VLOOKUP('תפוקה מצטברת מול אשתקד'!A59,'אנליסט '!A:K,10,0)+VLOOKUP('תפוקה מצטברת מול אשתקד'!A59,'מיטב דש'!A:K,10,0)+VLOOKUP('תפוקה מצטברת מול אשתקד'!A59,אינפניטי!A:K,10,0)</f>
        <v>573552.96788108465</v>
      </c>
      <c r="O59" s="12">
        <f>VLOOKUP(A59,הכשרה!A:K,11,0)+VLOOKUP('תפוקה מצטברת מול אשתקד'!A59,מגדל!A:K,11,0)+VLOOKUP('תפוקה מצטברת מול אשתקד'!A59,מנורה!A:K,11,0)+VLOOKUP('תפוקה מצטברת מול אשתקד'!A59,איילון!A:K,11,0)+VLOOKUP('תפוקה מצטברת מול אשתקד'!A59,הראל!A:K,11,0)+VLOOKUP('תפוקה מצטברת מול אשתקד'!A59,הפניקס!A:K,11,0)+VLOOKUP('תפוקה מצטברת מול אשתקד'!A59,כלל!A:K,11,0)+VLOOKUP('תפוקה מצטברת מול אשתקד'!A59,מור!A:K,11,0)+VLOOKUP('תפוקה מצטברת מול אשתקד'!A59,'אלטשולר שחם'!A:K,11,0)+VLOOKUP('תפוקה מצטברת מול אשתקד'!A59,'מדיהו '!A:K,11,0)+VLOOKUP('תפוקה מצטברת מול אשתקד'!A59,'אנליסט '!A:K,11,0)+VLOOKUP('תפוקה מצטברת מול אשתקד'!A59,'מיטב דש'!A:K,11,0)+VLOOKUP('תפוקה מצטברת מול אשתקד'!A59,אינפניטי!A:K,11,0)</f>
        <v>543775.27</v>
      </c>
    </row>
    <row r="60" spans="1:15" ht="15.75" customHeight="1" x14ac:dyDescent="0.2">
      <c r="A60" s="107" t="s">
        <v>99</v>
      </c>
      <c r="B60" s="26" t="s">
        <v>115</v>
      </c>
      <c r="C60" s="27" t="s">
        <v>107</v>
      </c>
      <c r="D60" s="19">
        <f t="shared" si="11"/>
        <v>1</v>
      </c>
      <c r="E60" s="19">
        <f t="shared" si="11"/>
        <v>1</v>
      </c>
      <c r="F60" s="19">
        <f t="shared" si="11"/>
        <v>1</v>
      </c>
      <c r="G60" s="19">
        <f>IF(K60=0,0%,IF(O60=H84,100%,K60/O60-1))</f>
        <v>1</v>
      </c>
      <c r="H60" s="58">
        <f>VLOOKUP(A60,הכשרה!A:G,4,0)+VLOOKUP('תפוקה מצטברת מול אשתקד'!A60,מגדל!A:G,4,0)+VLOOKUP('תפוקה מצטברת מול אשתקד'!A60,מנורה!A:G,4,0)+VLOOKUP('תפוקה מצטברת מול אשתקד'!A60,איילון!A:G,4,0)+VLOOKUP('תפוקה מצטברת מול אשתקד'!A60,הראל!A:G,4,0)+VLOOKUP('תפוקה מצטברת מול אשתקד'!A60,הפניקס!A:G,4,0)+VLOOKUP('תפוקה מצטברת מול אשתקד'!A60,כלל!A:G,4,0)+VLOOKUP('תפוקה מצטברת מול אשתקד'!A60,מור!A:G,4,0)+VLOOKUP('תפוקה מצטברת מול אשתקד'!A60,'אלטשולר שחם'!A:G,4,0)+VLOOKUP('תפוקה מצטברת מול אשתקד'!A60,'מדיהו '!A:G,4,0)+VLOOKUP('תפוקה מצטברת מול אשתקד'!A60,'אנליסט '!A:G,4,0)+VLOOKUP('תפוקה מצטברת מול אשתקד'!A60,'מיטב דש'!A:G,4,0)+VLOOKUP('תפוקה מצטברת מול אשתקד'!A60,אינפניטי!A:G,4,0)</f>
        <v>114623.21</v>
      </c>
      <c r="I60" s="58">
        <f>VLOOKUP(A60,הכשרה!A:G,5,0)+VLOOKUP('תפוקה מצטברת מול אשתקד'!A60,מגדל!A:G,5,0)+VLOOKUP('תפוקה מצטברת מול אשתקד'!A60,מנורה!A:G,5,0)+VLOOKUP('תפוקה מצטברת מול אשתקד'!A60,איילון!A:G,5,0)+VLOOKUP('תפוקה מצטברת מול אשתקד'!A60,הראל!A:G,5,0)+VLOOKUP('תפוקה מצטברת מול אשתקד'!A60,הפניקס!A:G,5,0)+VLOOKUP('תפוקה מצטברת מול אשתקד'!A60,כלל!A:G,5,0)+VLOOKUP('תפוקה מצטברת מול אשתקד'!A60,מור!A:G,5,0)+VLOOKUP('תפוקה מצטברת מול אשתקד'!A60,'אלטשולר שחם'!A:G,5,0)+VLOOKUP('תפוקה מצטברת מול אשתקד'!A60,'מדיהו '!A:G,5,0)+VLOOKUP('תפוקה מצטברת מול אשתקד'!A60,'אנליסט '!A:G,5,0)+VLOOKUP('תפוקה מצטברת מול אשתקד'!A60,'מיטב דש'!A:G,5,0)+VLOOKUP('תפוקה מצטברת מול אשתקד'!A60,אינפניטי!A:G,5,0)</f>
        <v>14275.74</v>
      </c>
      <c r="J60" s="58">
        <f>VLOOKUP(A60,הכשרה!A:G,6,0)+VLOOKUP('תפוקה מצטברת מול אשתקד'!A60,מגדל!A:G,6,0)+VLOOKUP('תפוקה מצטברת מול אשתקד'!A60,מנורה!A:G,6,0)+VLOOKUP('תפוקה מצטברת מול אשתקד'!A60,איילון!A:G,6,0)+VLOOKUP(A60,הראל!A:G,6,0)+VLOOKUP('תפוקה מצטברת מול אשתקד'!A60,הפניקס!A:G,6,0)+VLOOKUP('תפוקה מצטברת מול אשתקד'!A60,כלל!A:G,6,0)+VLOOKUP('תפוקה מצטברת מול אשתקד'!A60,מור!A:G,6,0)+VLOOKUP('תפוקה מצטברת מול אשתקד'!A60,'אלטשולר שחם'!A:G,6,0)+VLOOKUP('תפוקה מצטברת מול אשתקד'!A60,'מדיהו '!A:G,6,0)+VLOOKUP('תפוקה מצטברת מול אשתקד'!A60,'אנליסט '!A:G,6,0)+VLOOKUP('תפוקה מצטברת מול אשתקד'!A60,'מיטב דש'!A:G,6,0)+VLOOKUP('תפוקה מצטברת מול אשתקד'!A60,אינפניטי!A:G,6,0)</f>
        <v>506701.43</v>
      </c>
      <c r="K60" s="58">
        <f>VLOOKUP(A60,הכשרה!A:G,7,0)+VLOOKUP('תפוקה מצטברת מול אשתקד'!A60,מגדל!A:G,7,0)+VLOOKUP('תפוקה מצטברת מול אשתקד'!A60,מנורה!A:G,7,0)+VLOOKUP('תפוקה מצטברת מול אשתקד'!A60,איילון!A:G,7,0)+VLOOKUP('תפוקה מצטברת מול אשתקד'!A60,הראל!A:G,7,0)+VLOOKUP('תפוקה מצטברת מול אשתקד'!A60,הפניקס!A:G,7,0)+VLOOKUP('תפוקה מצטברת מול אשתקד'!A60,כלל!A:G,7,0)+VLOOKUP('תפוקה מצטברת מול אשתקד'!A60,מור!A:G,7,0)+VLOOKUP('תפוקה מצטברת מול אשתקד'!A60,'אלטשולר שחם'!A:G,7,0)+VLOOKUP('תפוקה מצטברת מול אשתקד'!A60,'מדיהו '!A:K,7,0)+VLOOKUP(A60,'אנליסט '!A:G,7,0)+VLOOKUP('תפוקה מצטברת מול אשתקד'!A60,'מיטב דש'!A:G,7,0)+VLOOKUP('תפוקה מצטברת מול אשתקד'!A60,אינפניטי!A:G,7,0)</f>
        <v>36091.74</v>
      </c>
      <c r="L60" s="12">
        <f>VLOOKUP(A60,הכשרה!A:K,8,0)+VLOOKUP('תפוקה מצטברת מול אשתקד'!A60,מגדל!A:K,8,0)+VLOOKUP('תפוקה מצטברת מול אשתקד'!A60,מנורה!A:K,8,0)+VLOOKUP('תפוקה מצטברת מול אשתקד'!A60,איילון!A:K,8,0)+VLOOKUP('תפוקה מצטברת מול אשתקד'!A60,הראל!A:K,8,0)+VLOOKUP('תפוקה מצטברת מול אשתקד'!A60,הפניקס!A:K,8,0)+VLOOKUP('תפוקה מצטברת מול אשתקד'!A60,כלל!A:K,8,0)+VLOOKUP('תפוקה מצטברת מול אשתקד'!A60,מור!A:K,8,0)+VLOOKUP('תפוקה מצטברת מול אשתקד'!A60,'אלטשולר שחם'!A:K,8,0)+VLOOKUP('תפוקה מצטברת מול אשתקד'!A60,'מדיהו '!A:K,8,0)+VLOOKUP('תפוקה מצטברת מול אשתקד'!A60,'אנליסט '!A:K,8,0)+VLOOKUP('תפוקה מצטברת מול אשתקד'!A60,'מיטב דש'!A:K,8,0)+VLOOKUP('תפוקה מצטברת מול אשתקד'!A60,אינפניטי!A:K,8,0)</f>
        <v>0</v>
      </c>
      <c r="M60" s="12">
        <f>VLOOKUP(A60,הכשרה!A:K,9,0)+VLOOKUP('תפוקה מצטברת מול אשתקד'!A60,מגדל!A:K,9,0)+VLOOKUP('תפוקה מצטברת מול אשתקד'!A60,מנורה!A:K,9,0)+VLOOKUP('תפוקה מצטברת מול אשתקד'!A60,איילון!A:K,9,0)+VLOOKUP('תפוקה מצטברת מול אשתקד'!A60,הראל!A:K,9,0)+VLOOKUP('תפוקה מצטברת מול אשתקד'!A60,הפניקס!A:K,9,0)+VLOOKUP('תפוקה מצטברת מול אשתקד'!A60,כלל!A:K,9,0)+VLOOKUP('תפוקה מצטברת מול אשתקד'!A60,מור!A:K,9,0)+VLOOKUP('תפוקה מצטברת מול אשתקד'!A60,'אלטשולר שחם'!A:K,9,0)+VLOOKUP('תפוקה מצטברת מול אשתקד'!A60,'מדיהו '!A:K,9,0)+VLOOKUP('תפוקה מצטברת מול אשתקד'!A60,'אנליסט '!A:K,9,0)+VLOOKUP('תפוקה מצטברת מול אשתקד'!A60,'מיטב דש'!A:K,9,0)+VLOOKUP('תפוקה מצטברת מול אשתקד'!A60,אינפניטי!A:K,9,0)</f>
        <v>0</v>
      </c>
      <c r="N60" s="12">
        <f>VLOOKUP(A60,הכשרה!A:K,10,0)+VLOOKUP('תפוקה מצטברת מול אשתקד'!A60,מגדל!A:K,10,0)+VLOOKUP('תפוקה מצטברת מול אשתקד'!A60,מנורה!A:K,10,0)+VLOOKUP('תפוקה מצטברת מול אשתקד'!A60,איילון!A:K,10,0)+VLOOKUP('תפוקה מצטברת מול אשתקד'!A60,הראל!A:K,10,0)+VLOOKUP('תפוקה מצטברת מול אשתקד'!A60,הפניקס!A:K,10,0)+VLOOKUP('תפוקה מצטברת מול אשתקד'!A60,כלל!A:K,10,0)+VLOOKUP('תפוקה מצטברת מול אשתקד'!A60,מור!A:K,10,0)+VLOOKUP('תפוקה מצטברת מול אשתקד'!A60,'אלטשולר שחם'!A:K,10,0)+VLOOKUP('תפוקה מצטברת מול אשתקד'!A60,'מדיהו '!A:K,10,0)+VLOOKUP('תפוקה מצטברת מול אשתקד'!A60,'אנליסט '!A:K,10,0)+VLOOKUP('תפוקה מצטברת מול אשתקד'!A60,'מיטב דש'!A:K,10,0)+VLOOKUP('תפוקה מצטברת מול אשתקד'!A60,אינפניטי!A:K,10,0)</f>
        <v>0</v>
      </c>
      <c r="O60" s="12">
        <f>VLOOKUP(A60,הכשרה!A:K,11,0)+VLOOKUP('תפוקה מצטברת מול אשתקד'!A60,מגדל!A:K,11,0)+VLOOKUP('תפוקה מצטברת מול אשתקד'!A60,מנורה!A:K,11,0)+VLOOKUP('תפוקה מצטברת מול אשתקד'!A60,איילון!A:K,11,0)+VLOOKUP('תפוקה מצטברת מול אשתקד'!A60,הראל!A:K,11,0)+VLOOKUP('תפוקה מצטברת מול אשתקד'!A60,הפניקס!A:K,11,0)+VLOOKUP('תפוקה מצטברת מול אשתקד'!A60,כלל!A:K,11,0)+VLOOKUP('תפוקה מצטברת מול אשתקד'!A60,מור!A:K,11,0)+VLOOKUP('תפוקה מצטברת מול אשתקד'!A60,'אלטשולר שחם'!A:K,11,0)+VLOOKUP('תפוקה מצטברת מול אשתקד'!A60,'מדיהו '!A:K,11,0)+VLOOKUP('תפוקה מצטברת מול אשתקד'!A60,'אנליסט '!A:K,11,0)+VLOOKUP('תפוקה מצטברת מול אשתקד'!A60,'מיטב דש'!A:K,11,0)+VLOOKUP('תפוקה מצטברת מול אשתקד'!A60,אינפניטי!A:K,11,0)</f>
        <v>0</v>
      </c>
    </row>
    <row r="61" spans="1:15" ht="15.75" customHeight="1" x14ac:dyDescent="0.2">
      <c r="A61" s="246" t="s">
        <v>136</v>
      </c>
      <c r="B61" s="26" t="s">
        <v>115</v>
      </c>
      <c r="C61" s="27" t="s">
        <v>107</v>
      </c>
      <c r="D61" s="19">
        <f t="shared" si="11"/>
        <v>0</v>
      </c>
      <c r="E61" s="19">
        <f t="shared" si="11"/>
        <v>0</v>
      </c>
      <c r="F61" s="19">
        <f t="shared" si="11"/>
        <v>0</v>
      </c>
      <c r="G61" s="19">
        <f>IF(K61=0,0%,IF(O61=H85,100%,K61/O61-1))</f>
        <v>0</v>
      </c>
      <c r="H61" s="58">
        <f>VLOOKUP(A61,הכשרה!A:G,4,0)+VLOOKUP('תפוקה מצטברת מול אשתקד'!A61,מגדל!A:G,4,0)+VLOOKUP('תפוקה מצטברת מול אשתקד'!A61,מנורה!A:G,4,0)+VLOOKUP('תפוקה מצטברת מול אשתקד'!A61,איילון!A:G,4,0)+VLOOKUP('תפוקה מצטברת מול אשתקד'!A61,הראל!A:G,4,0)+VLOOKUP('תפוקה מצטברת מול אשתקד'!A61,הפניקס!A:G,4,0)+VLOOKUP('תפוקה מצטברת מול אשתקד'!A61,כלל!A:G,4,0)+VLOOKUP('תפוקה מצטברת מול אשתקד'!A61,מור!A:G,4,0)+VLOOKUP('תפוקה מצטברת מול אשתקד'!A61,'אלטשולר שחם'!A:G,4,0)+VLOOKUP('תפוקה מצטברת מול אשתקד'!A61,'מדיהו '!A:G,4,0)+VLOOKUP('תפוקה מצטברת מול אשתקד'!A61,'אנליסט '!A:G,4,0)+VLOOKUP('תפוקה מצטברת מול אשתקד'!A61,'מיטב דש'!A:G,4,0)+VLOOKUP('תפוקה מצטברת מול אשתקד'!A61,אינפניטי!A:G,4,0)</f>
        <v>0</v>
      </c>
      <c r="I61" s="58">
        <f>VLOOKUP(A61,הכשרה!A:G,5,0)+VLOOKUP('תפוקה מצטברת מול אשתקד'!A61,מגדל!A:G,5,0)+VLOOKUP('תפוקה מצטברת מול אשתקד'!A61,מנורה!A:G,5,0)+VLOOKUP('תפוקה מצטברת מול אשתקד'!A61,איילון!A:G,5,0)+VLOOKUP('תפוקה מצטברת מול אשתקד'!A61,הראל!A:G,5,0)+VLOOKUP('תפוקה מצטברת מול אשתקד'!A61,הפניקס!A:G,5,0)+VLOOKUP('תפוקה מצטברת מול אשתקד'!A61,כלל!A:G,5,0)+VLOOKUP('תפוקה מצטברת מול אשתקד'!A61,מור!A:G,5,0)+VLOOKUP('תפוקה מצטברת מול אשתקד'!A61,'אלטשולר שחם'!A:G,5,0)+VLOOKUP('תפוקה מצטברת מול אשתקד'!A61,'מדיהו '!A:G,5,0)+VLOOKUP('תפוקה מצטברת מול אשתקד'!A61,'אנליסט '!A:G,5,0)+VLOOKUP('תפוקה מצטברת מול אשתקד'!A61,'מיטב דש'!A:G,5,0)+VLOOKUP('תפוקה מצטברת מול אשתקד'!A61,אינפניטי!A:G,5,0)</f>
        <v>0</v>
      </c>
      <c r="J61" s="58">
        <f>VLOOKUP(A61,הכשרה!A:G,6,0)+VLOOKUP('תפוקה מצטברת מול אשתקד'!A61,מגדל!A:G,6,0)+VLOOKUP('תפוקה מצטברת מול אשתקד'!A61,מנורה!A:G,6,0)+VLOOKUP('תפוקה מצטברת מול אשתקד'!A61,איילון!A:G,6,0)+VLOOKUP(A61,הראל!A:G,6,0)+VLOOKUP('תפוקה מצטברת מול אשתקד'!A61,הפניקס!A:G,6,0)+VLOOKUP('תפוקה מצטברת מול אשתקד'!A61,כלל!A:G,6,0)+VLOOKUP('תפוקה מצטברת מול אשתקד'!A61,מור!A:G,6,0)+VLOOKUP('תפוקה מצטברת מול אשתקד'!A61,'אלטשולר שחם'!A:G,6,0)+VLOOKUP('תפוקה מצטברת מול אשתקד'!A61,'מדיהו '!A:G,6,0)+VLOOKUP('תפוקה מצטברת מול אשתקד'!A61,'אנליסט '!A:G,6,0)+VLOOKUP('תפוקה מצטברת מול אשתקד'!A61,'מיטב דש'!A:G,6,0)+VLOOKUP('תפוקה מצטברת מול אשתקד'!A61,אינפניטי!A:G,6,0)</f>
        <v>0</v>
      </c>
      <c r="K61" s="58">
        <f>VLOOKUP(A61,הכשרה!A:G,7,0)+VLOOKUP('תפוקה מצטברת מול אשתקד'!A61,מגדל!A:G,7,0)+VLOOKUP('תפוקה מצטברת מול אשתקד'!A61,מנורה!A:G,7,0)+VLOOKUP('תפוקה מצטברת מול אשתקד'!A61,איילון!A:G,7,0)+VLOOKUP('תפוקה מצטברת מול אשתקד'!A61,הראל!A:G,7,0)+VLOOKUP('תפוקה מצטברת מול אשתקד'!A61,הפניקס!A:G,7,0)+VLOOKUP('תפוקה מצטברת מול אשתקד'!A61,כלל!A:G,7,0)+VLOOKUP('תפוקה מצטברת מול אשתקד'!A61,מור!A:G,7,0)+VLOOKUP('תפוקה מצטברת מול אשתקד'!A61,'אלטשולר שחם'!A:G,7,0)+VLOOKUP('תפוקה מצטברת מול אשתקד'!A61,'מדיהו '!A:K,7,0)+VLOOKUP(A61,'אנליסט '!A:G,7,0)+VLOOKUP('תפוקה מצטברת מול אשתקד'!A61,'מיטב דש'!A:G,7,0)+VLOOKUP('תפוקה מצטברת מול אשתקד'!A61,אינפניטי!A:G,7,0)</f>
        <v>0</v>
      </c>
      <c r="L61" s="12">
        <f>VLOOKUP(A61,הכשרה!A:K,8,0)+VLOOKUP('תפוקה מצטברת מול אשתקד'!A61,מגדל!A:K,8,0)+VLOOKUP('תפוקה מצטברת מול אשתקד'!A61,מנורה!A:K,8,0)+VLOOKUP('תפוקה מצטברת מול אשתקד'!A61,איילון!A:K,8,0)+VLOOKUP('תפוקה מצטברת מול אשתקד'!A61,הראל!A:K,8,0)+VLOOKUP('תפוקה מצטברת מול אשתקד'!A61,הפניקס!A:K,8,0)+VLOOKUP('תפוקה מצטברת מול אשתקד'!A61,כלל!A:K,8,0)+VLOOKUP('תפוקה מצטברת מול אשתקד'!A61,מור!A:K,8,0)+VLOOKUP('תפוקה מצטברת מול אשתקד'!A61,'אלטשולר שחם'!A:K,8,0)+VLOOKUP('תפוקה מצטברת מול אשתקד'!A61,'מדיהו '!A:K,8,0)+VLOOKUP('תפוקה מצטברת מול אשתקד'!A61,'אנליסט '!A:K,8,0)+VLOOKUP('תפוקה מצטברת מול אשתקד'!A61,'מיטב דש'!A:K,8,0)+VLOOKUP('תפוקה מצטברת מול אשתקד'!A61,אינפניטי!A:K,8,0)</f>
        <v>0</v>
      </c>
      <c r="M61" s="12">
        <f>VLOOKUP(A61,הכשרה!A:K,9,0)+VLOOKUP('תפוקה מצטברת מול אשתקד'!A61,מגדל!A:K,9,0)+VLOOKUP('תפוקה מצטברת מול אשתקד'!A61,מנורה!A:K,9,0)+VLOOKUP('תפוקה מצטברת מול אשתקד'!A61,איילון!A:K,9,0)+VLOOKUP('תפוקה מצטברת מול אשתקד'!A61,הראל!A:K,9,0)+VLOOKUP('תפוקה מצטברת מול אשתקד'!A61,הפניקס!A:K,9,0)+VLOOKUP('תפוקה מצטברת מול אשתקד'!A61,כלל!A:K,9,0)+VLOOKUP('תפוקה מצטברת מול אשתקד'!A61,מור!A:K,9,0)+VLOOKUP('תפוקה מצטברת מול אשתקד'!A61,'אלטשולר שחם'!A:K,9,0)+VLOOKUP('תפוקה מצטברת מול אשתקד'!A61,'מדיהו '!A:K,9,0)+VLOOKUP('תפוקה מצטברת מול אשתקד'!A61,'אנליסט '!A:K,9,0)+VLOOKUP('תפוקה מצטברת מול אשתקד'!A61,'מיטב דש'!A:K,9,0)+VLOOKUP('תפוקה מצטברת מול אשתקד'!A61,אינפניטי!A:K,9,0)</f>
        <v>0</v>
      </c>
      <c r="N61" s="12">
        <f>VLOOKUP(A61,הכשרה!A:K,10,0)+VLOOKUP('תפוקה מצטברת מול אשתקד'!A61,מגדל!A:K,10,0)+VLOOKUP('תפוקה מצטברת מול אשתקד'!A61,מנורה!A:K,10,0)+VLOOKUP('תפוקה מצטברת מול אשתקד'!A61,איילון!A:K,10,0)+VLOOKUP('תפוקה מצטברת מול אשתקד'!A61,הראל!A:K,10,0)+VLOOKUP('תפוקה מצטברת מול אשתקד'!A61,הפניקס!A:K,10,0)+VLOOKUP('תפוקה מצטברת מול אשתקד'!A61,כלל!A:K,10,0)+VLOOKUP('תפוקה מצטברת מול אשתקד'!A61,מור!A:K,10,0)+VLOOKUP('תפוקה מצטברת מול אשתקד'!A61,'אלטשולר שחם'!A:K,10,0)+VLOOKUP('תפוקה מצטברת מול אשתקד'!A61,'מדיהו '!A:K,10,0)+VLOOKUP('תפוקה מצטברת מול אשתקד'!A61,'אנליסט '!A:K,10,0)+VLOOKUP('תפוקה מצטברת מול אשתקד'!A61,'מיטב דש'!A:K,10,0)+VLOOKUP('תפוקה מצטברת מול אשתקד'!A61,אינפניטי!A:K,10,0)</f>
        <v>0</v>
      </c>
      <c r="O61" s="12">
        <f>VLOOKUP(A61,הכשרה!A:K,11,0)+VLOOKUP('תפוקה מצטברת מול אשתקד'!A61,מגדל!A:K,11,0)+VLOOKUP('תפוקה מצטברת מול אשתקד'!A61,מנורה!A:K,11,0)+VLOOKUP('תפוקה מצטברת מול אשתקד'!A61,איילון!A:K,11,0)+VLOOKUP('תפוקה מצטברת מול אשתקד'!A61,הראל!A:K,11,0)+VLOOKUP('תפוקה מצטברת מול אשתקד'!A61,הפניקס!A:K,11,0)+VLOOKUP('תפוקה מצטברת מול אשתקד'!A61,כלל!A:K,11,0)+VLOOKUP('תפוקה מצטברת מול אשתקד'!A61,מור!A:K,11,0)+VLOOKUP('תפוקה מצטברת מול אשתקד'!A61,'אלטשולר שחם'!A:K,11,0)+VLOOKUP('תפוקה מצטברת מול אשתקד'!A61,'מדיהו '!A:K,11,0)+VLOOKUP('תפוקה מצטברת מול אשתקד'!A61,'אנליסט '!A:K,11,0)+VLOOKUP('תפוקה מצטברת מול אשתקד'!A61,'מיטב דש'!A:K,11,0)+VLOOKUP('תפוקה מצטברת מול אשתקד'!A61,אינפניטי!A:K,11,0)</f>
        <v>0</v>
      </c>
    </row>
    <row r="62" spans="1:15" ht="15.75" customHeight="1" thickBot="1" x14ac:dyDescent="0.25">
      <c r="A62" s="30" t="s">
        <v>16</v>
      </c>
      <c r="B62" s="26" t="s">
        <v>115</v>
      </c>
      <c r="C62" s="27" t="s">
        <v>107</v>
      </c>
      <c r="D62" s="19">
        <f t="shared" si="11"/>
        <v>0</v>
      </c>
      <c r="E62" s="19">
        <f t="shared" si="11"/>
        <v>0</v>
      </c>
      <c r="F62" s="19">
        <f t="shared" si="11"/>
        <v>0</v>
      </c>
      <c r="G62" s="19">
        <f t="shared" si="4"/>
        <v>0</v>
      </c>
      <c r="H62" s="58">
        <f>VLOOKUP(A62,הכשרה!A:G,4,0)+VLOOKUP('תפוקה מצטברת מול אשתקד'!A62,מגדל!A:G,4,0)+VLOOKUP('תפוקה מצטברת מול אשתקד'!A62,מנורה!A:G,4,0)+VLOOKUP('תפוקה מצטברת מול אשתקד'!A62,איילון!A:G,4,0)+VLOOKUP('תפוקה מצטברת מול אשתקד'!A62,הראל!A:G,4,0)+VLOOKUP('תפוקה מצטברת מול אשתקד'!A62,הפניקס!A:G,4,0)+VLOOKUP('תפוקה מצטברת מול אשתקד'!A62,כלל!A:G,4,0)+VLOOKUP('תפוקה מצטברת מול אשתקד'!A62,מור!A:G,4,0)+VLOOKUP('תפוקה מצטברת מול אשתקד'!A62,'אלטשולר שחם'!A:G,4,0)+VLOOKUP('תפוקה מצטברת מול אשתקד'!A62,'מדיהו '!A:G,4,0)+VLOOKUP('תפוקה מצטברת מול אשתקד'!A62,'אנליסט '!A:G,4,0)+VLOOKUP('תפוקה מצטברת מול אשתקד'!A62,'מיטב דש'!A:G,4,0)+VLOOKUP('תפוקה מצטברת מול אשתקד'!A62,אינפניטי!A:G,4,0)</f>
        <v>0</v>
      </c>
      <c r="I62" s="58">
        <f>VLOOKUP(A62,הכשרה!A:G,5,0)+VLOOKUP('תפוקה מצטברת מול אשתקד'!A62,מגדל!A:G,5,0)+VLOOKUP('תפוקה מצטברת מול אשתקד'!A62,מנורה!A:G,5,0)+VLOOKUP('תפוקה מצטברת מול אשתקד'!A62,איילון!A:G,5,0)+VLOOKUP('תפוקה מצטברת מול אשתקד'!A62,הראל!A:G,5,0)+VLOOKUP('תפוקה מצטברת מול אשתקד'!A62,הפניקס!A:G,5,0)+VLOOKUP('תפוקה מצטברת מול אשתקד'!A62,כלל!A:G,5,0)+VLOOKUP('תפוקה מצטברת מול אשתקד'!A62,מור!A:G,5,0)+VLOOKUP('תפוקה מצטברת מול אשתקד'!A62,'אלטשולר שחם'!A:G,5,0)+VLOOKUP('תפוקה מצטברת מול אשתקד'!A62,'מדיהו '!A:G,5,0)+VLOOKUP('תפוקה מצטברת מול אשתקד'!A62,'אנליסט '!A:G,5,0)+VLOOKUP('תפוקה מצטברת מול אשתקד'!A62,'מיטב דש'!A:G,5,0)+VLOOKUP('תפוקה מצטברת מול אשתקד'!A62,אינפניטי!A:G,5,0)</f>
        <v>0</v>
      </c>
      <c r="J62" s="58">
        <f>VLOOKUP(A62,הכשרה!A:G,6,0)+VLOOKUP('תפוקה מצטברת מול אשתקד'!A62,מגדל!A:G,6,0)+VLOOKUP('תפוקה מצטברת מול אשתקד'!A62,מנורה!A:G,6,0)+VLOOKUP('תפוקה מצטברת מול אשתקד'!A62,איילון!A:G,6,0)+VLOOKUP(A62,הראל!A:G,6,0)+VLOOKUP('תפוקה מצטברת מול אשתקד'!A62,הפניקס!A:G,6,0)+VLOOKUP('תפוקה מצטברת מול אשתקד'!A62,כלל!A:G,6,0)+VLOOKUP('תפוקה מצטברת מול אשתקד'!A62,מור!A:G,6,0)+VLOOKUP('תפוקה מצטברת מול אשתקד'!A62,'אלטשולר שחם'!A:G,6,0)+VLOOKUP('תפוקה מצטברת מול אשתקד'!A62,'מדיהו '!A:G,6,0)+VLOOKUP('תפוקה מצטברת מול אשתקד'!A62,'אנליסט '!A:G,6,0)+VLOOKUP('תפוקה מצטברת מול אשתקד'!A62,'מיטב דש'!A:G,6,0)+VLOOKUP('תפוקה מצטברת מול אשתקד'!A62,אינפניטי!A:G,6,0)</f>
        <v>0</v>
      </c>
      <c r="K62" s="58">
        <f>VLOOKUP(A62,הכשרה!A:G,7,0)+VLOOKUP('תפוקה מצטברת מול אשתקד'!A62,מגדל!A:G,7,0)+VLOOKUP('תפוקה מצטברת מול אשתקד'!A62,מנורה!A:G,7,0)+VLOOKUP('תפוקה מצטברת מול אשתקד'!A62,איילון!A:G,7,0)+VLOOKUP('תפוקה מצטברת מול אשתקד'!A62,הראל!A:G,7,0)+VLOOKUP('תפוקה מצטברת מול אשתקד'!A62,הפניקס!A:G,7,0)+VLOOKUP('תפוקה מצטברת מול אשתקד'!A62,כלל!A:G,7,0)+VLOOKUP('תפוקה מצטברת מול אשתקד'!A62,מור!A:G,7,0)+VLOOKUP('תפוקה מצטברת מול אשתקד'!A62,'אלטשולר שחם'!A:G,7,0)+VLOOKUP('תפוקה מצטברת מול אשתקד'!A62,'מדיהו '!A:K,7,0)+VLOOKUP(A62,'אנליסט '!A:G,7,0)+VLOOKUP('תפוקה מצטברת מול אשתקד'!A62,'מיטב דש'!A:G,7,0)+VLOOKUP('תפוקה מצטברת מול אשתקד'!A62,אינפניטי!A:G,7,0)</f>
        <v>0</v>
      </c>
      <c r="L62" s="12">
        <f>VLOOKUP(A62,הכשרה!A:K,8,0)+VLOOKUP('תפוקה מצטברת מול אשתקד'!A62,מגדל!A:K,8,0)+VLOOKUP('תפוקה מצטברת מול אשתקד'!A62,מנורה!A:K,8,0)+VLOOKUP('תפוקה מצטברת מול אשתקד'!A62,איילון!A:K,8,0)+VLOOKUP('תפוקה מצטברת מול אשתקד'!A62,הראל!A:K,8,0)+VLOOKUP('תפוקה מצטברת מול אשתקד'!A62,הפניקס!A:K,8,0)+VLOOKUP('תפוקה מצטברת מול אשתקד'!A62,כלל!A:K,8,0)+VLOOKUP('תפוקה מצטברת מול אשתקד'!A62,מור!A:K,8,0)+VLOOKUP('תפוקה מצטברת מול אשתקד'!A62,'אלטשולר שחם'!A:K,8,0)+VLOOKUP('תפוקה מצטברת מול אשתקד'!A62,'מדיהו '!A:K,8,0)+VLOOKUP('תפוקה מצטברת מול אשתקד'!A62,'אנליסט '!A:K,8,0)+VLOOKUP('תפוקה מצטברת מול אשתקד'!A62,'מיטב דש'!A:K,8,0)+VLOOKUP('תפוקה מצטברת מול אשתקד'!A62,אינפניטי!A:K,8,0)</f>
        <v>0</v>
      </c>
      <c r="M62" s="12">
        <f>VLOOKUP(A62,הכשרה!A:K,9,0)+VLOOKUP('תפוקה מצטברת מול אשתקד'!A62,מגדל!A:K,9,0)+VLOOKUP('תפוקה מצטברת מול אשתקד'!A62,מנורה!A:K,9,0)+VLOOKUP('תפוקה מצטברת מול אשתקד'!A62,איילון!A:K,9,0)+VLOOKUP('תפוקה מצטברת מול אשתקד'!A62,הראל!A:K,9,0)+VLOOKUP('תפוקה מצטברת מול אשתקד'!A62,הפניקס!A:K,9,0)+VLOOKUP('תפוקה מצטברת מול אשתקד'!A62,כלל!A:K,9,0)+VLOOKUP('תפוקה מצטברת מול אשתקד'!A62,מור!A:K,9,0)+VLOOKUP('תפוקה מצטברת מול אשתקד'!A62,'אלטשולר שחם'!A:K,9,0)+VLOOKUP('תפוקה מצטברת מול אשתקד'!A62,'מדיהו '!A:K,9,0)+VLOOKUP('תפוקה מצטברת מול אשתקד'!A62,'אנליסט '!A:K,9,0)+VLOOKUP('תפוקה מצטברת מול אשתקד'!A62,'מיטב דש'!A:K,9,0)+VLOOKUP('תפוקה מצטברת מול אשתקד'!A62,אינפניטי!A:K,9,0)</f>
        <v>0</v>
      </c>
      <c r="N62" s="12">
        <f>VLOOKUP(A62,הכשרה!A:K,10,0)+VLOOKUP('תפוקה מצטברת מול אשתקד'!A62,מגדל!A:K,10,0)+VLOOKUP('תפוקה מצטברת מול אשתקד'!A62,מנורה!A:K,10,0)+VLOOKUP('תפוקה מצטברת מול אשתקד'!A62,איילון!A:K,10,0)+VLOOKUP('תפוקה מצטברת מול אשתקד'!A62,הראל!A:K,10,0)+VLOOKUP('תפוקה מצטברת מול אשתקד'!A62,הפניקס!A:K,10,0)+VLOOKUP('תפוקה מצטברת מול אשתקד'!A62,כלל!A:K,10,0)+VLOOKUP('תפוקה מצטברת מול אשתקד'!A62,מור!A:K,10,0)+VLOOKUP('תפוקה מצטברת מול אשתקד'!A62,'אלטשולר שחם'!A:K,10,0)+VLOOKUP('תפוקה מצטברת מול אשתקד'!A62,'מדיהו '!A:K,10,0)+VLOOKUP('תפוקה מצטברת מול אשתקד'!A62,'אנליסט '!A:K,10,0)+VLOOKUP('תפוקה מצטברת מול אשתקד'!A62,'מיטב דש'!A:K,10,0)+VLOOKUP('תפוקה מצטברת מול אשתקד'!A62,אינפניטי!A:K,10,0)</f>
        <v>0</v>
      </c>
      <c r="O62" s="12">
        <f>VLOOKUP(A62,הכשרה!A:K,11,0)+VLOOKUP('תפוקה מצטברת מול אשתקד'!A62,מגדל!A:K,11,0)+VLOOKUP('תפוקה מצטברת מול אשתקד'!A62,מנורה!A:K,11,0)+VLOOKUP('תפוקה מצטברת מול אשתקד'!A62,איילון!A:K,11,0)+VLOOKUP('תפוקה מצטברת מול אשתקד'!A62,הראל!A:K,11,0)+VLOOKUP('תפוקה מצטברת מול אשתקד'!A62,הפניקס!A:K,11,0)+VLOOKUP('תפוקה מצטברת מול אשתקד'!A62,כלל!A:K,11,0)+VLOOKUP('תפוקה מצטברת מול אשתקד'!A62,מור!A:K,11,0)+VLOOKUP('תפוקה מצטברת מול אשתקד'!A62,'אלטשולר שחם'!A:K,11,0)+VLOOKUP('תפוקה מצטברת מול אשתקד'!A62,'מדיהו '!A:K,11,0)+VLOOKUP('תפוקה מצטברת מול אשתקד'!A62,'אנליסט '!A:K,11,0)+VLOOKUP('תפוקה מצטברת מול אשתקד'!A62,'מיטב דש'!A:K,11,0)+VLOOKUP('תפוקה מצטברת מול אשתקד'!A62,אינפניטי!A:K,11,0)</f>
        <v>0</v>
      </c>
    </row>
    <row r="63" spans="1:15" ht="24.6" customHeight="1" thickBot="1" x14ac:dyDescent="0.25">
      <c r="A63" s="123" t="s">
        <v>117</v>
      </c>
      <c r="B63" s="121"/>
      <c r="C63" s="121"/>
      <c r="D63" s="126">
        <f t="shared" si="0"/>
        <v>0.18612441756071463</v>
      </c>
      <c r="E63" s="126">
        <f t="shared" si="0"/>
        <v>0.35792057839195346</v>
      </c>
      <c r="F63" s="126">
        <f t="shared" si="0"/>
        <v>0.14212719794009154</v>
      </c>
      <c r="G63" s="19">
        <f t="shared" si="4"/>
        <v>1.2282084507326121</v>
      </c>
      <c r="H63" s="123">
        <f>SUM(H55:H62)</f>
        <v>1704748.5074436283</v>
      </c>
      <c r="I63" s="123">
        <f t="shared" ref="I63:O63" si="12">SUM(I55:I62)</f>
        <v>161671.96458453624</v>
      </c>
      <c r="J63" s="123">
        <f t="shared" si="12"/>
        <v>7511033.6519312691</v>
      </c>
      <c r="K63" s="123">
        <f t="shared" si="12"/>
        <v>4341341.8600000003</v>
      </c>
      <c r="L63" s="123">
        <f t="shared" si="12"/>
        <v>1437242.5710192132</v>
      </c>
      <c r="M63" s="123">
        <f t="shared" si="12"/>
        <v>119058.48335842132</v>
      </c>
      <c r="N63" s="123">
        <f t="shared" si="12"/>
        <v>6576354.7750880625</v>
      </c>
      <c r="O63" s="123">
        <f t="shared" si="12"/>
        <v>1948355.3518400004</v>
      </c>
    </row>
    <row r="64" spans="1:15" ht="15.75" customHeight="1" x14ac:dyDescent="0.2">
      <c r="A64" s="26" t="s">
        <v>77</v>
      </c>
      <c r="B64" s="26" t="s">
        <v>108</v>
      </c>
      <c r="C64" s="27" t="s">
        <v>102</v>
      </c>
      <c r="D64" s="103">
        <f t="shared" si="0"/>
        <v>1.7773911742473292</v>
      </c>
      <c r="E64" s="103">
        <f t="shared" si="0"/>
        <v>2.2518866662805959</v>
      </c>
      <c r="F64" s="103">
        <f t="shared" si="0"/>
        <v>-0.3395940154512529</v>
      </c>
      <c r="G64" s="19">
        <f t="shared" si="4"/>
        <v>2.8930125267599021</v>
      </c>
      <c r="H64" s="58">
        <f>VLOOKUP(A64,הכשרה!A:G,4,0)+VLOOKUP('תפוקה מצטברת מול אשתקד'!A64,מגדל!A:G,4,0)+VLOOKUP('תפוקה מצטברת מול אשתקד'!A64,מנורה!A:G,4,0)+VLOOKUP('תפוקה מצטברת מול אשתקד'!A64,איילון!A:G,4,0)+VLOOKUP('תפוקה מצטברת מול אשתקד'!A64,הראל!A:G,4,0)+VLOOKUP('תפוקה מצטברת מול אשתקד'!A64,הפניקס!A:G,4,0)+VLOOKUP('תפוקה מצטברת מול אשתקד'!A64,כלל!A:G,4,0)+VLOOKUP('תפוקה מצטברת מול אשתקד'!A64,מור!A:G,4,0)+VLOOKUP('תפוקה מצטברת מול אשתקד'!A64,'אלטשולר שחם'!A:G,4,0)+VLOOKUP('תפוקה מצטברת מול אשתקד'!A64,'מדיהו '!A:G,4,0)+VLOOKUP('תפוקה מצטברת מול אשתקד'!A64,'אנליסט '!A:G,4,0)+VLOOKUP('תפוקה מצטברת מול אשתקד'!A64,'מיטב דש'!A:G,4,0)+VLOOKUP('תפוקה מצטברת מול אשתקד'!A64,אינפניטי!A:G,4,0)</f>
        <v>228031.30791832862</v>
      </c>
      <c r="I64" s="58">
        <f>VLOOKUP(A64,הכשרה!A:G,5,0)+VLOOKUP('תפוקה מצטברת מול אשתקד'!A64,מגדל!A:G,5,0)+VLOOKUP('תפוקה מצטברת מול אשתקד'!A64,מנורה!A:G,5,0)+VLOOKUP('תפוקה מצטברת מול אשתקד'!A64,איילון!A:G,5,0)+VLOOKUP('תפוקה מצטברת מול אשתקד'!A64,הראל!A:G,5,0)+VLOOKUP('תפוקה מצטברת מול אשתקד'!A64,הפניקס!A:G,5,0)+VLOOKUP('תפוקה מצטברת מול אשתקד'!A64,כלל!A:G,5,0)+VLOOKUP('תפוקה מצטברת מול אשתקד'!A64,מור!A:G,5,0)+VLOOKUP('תפוקה מצטברת מול אשתקד'!A64,'אלטשולר שחם'!A:G,5,0)+VLOOKUP('תפוקה מצטברת מול אשתקד'!A64,'מדיהו '!A:G,5,0)+VLOOKUP('תפוקה מצטברת מול אשתקד'!A64,'אנליסט '!A:G,5,0)+VLOOKUP('תפוקה מצטברת מול אשתקד'!A64,'מיטב דש'!A:G,5,0)+VLOOKUP('תפוקה מצטברת מול אשתקד'!A64,אינפניטי!A:G,5,0)</f>
        <v>13050.965017197555</v>
      </c>
      <c r="J64" s="58">
        <f>VLOOKUP(A64,הכשרה!A:G,6,0)+VLOOKUP('תפוקה מצטברת מול אשתקד'!A64,מגדל!A:G,6,0)+VLOOKUP('תפוקה מצטברת מול אשתקד'!A64,מנורה!A:G,6,0)+VLOOKUP('תפוקה מצטברת מול אשתקד'!A64,איילון!A:G,6,0)+VLOOKUP(A64,הראל!A:G,6,0)+VLOOKUP('תפוקה מצטברת מול אשתקד'!A64,הפניקס!A:G,6,0)+VLOOKUP('תפוקה מצטברת מול אשתקד'!A64,כלל!A:G,6,0)+VLOOKUP('תפוקה מצטברת מול אשתקד'!A64,מור!A:G,6,0)+VLOOKUP('תפוקה מצטברת מול אשתקד'!A64,'אלטשולר שחם'!A:G,6,0)+VLOOKUP('תפוקה מצטברת מול אשתקד'!A64,'מדיהו '!A:G,6,0)+VLOOKUP('תפוקה מצטברת מול אשתקד'!A64,'אנליסט '!A:G,6,0)+VLOOKUP('תפוקה מצטברת מול אשתקד'!A64,'מיטב דש'!A:G,6,0)+VLOOKUP('תפוקה מצטברת מול אשתקד'!A64,אינפניטי!A:G,6,0)</f>
        <v>2852729.61</v>
      </c>
      <c r="K64" s="58">
        <f>VLOOKUP(A64,הכשרה!A:G,7,0)+VLOOKUP('תפוקה מצטברת מול אשתקד'!A64,מגדל!A:G,7,0)+VLOOKUP('תפוקה מצטברת מול אשתקד'!A64,מנורה!A:G,7,0)+VLOOKUP('תפוקה מצטברת מול אשתקד'!A64,איילון!A:G,7,0)+VLOOKUP('תפוקה מצטברת מול אשתקד'!A64,הראל!A:G,7,0)+VLOOKUP('תפוקה מצטברת מול אשתקד'!A64,הפניקס!A:G,7,0)+VLOOKUP('תפוקה מצטברת מול אשתקד'!A64,כלל!A:G,7,0)+VLOOKUP('תפוקה מצטברת מול אשתקד'!A64,מור!A:G,7,0)+VLOOKUP('תפוקה מצטברת מול אשתקד'!A64,'אלטשולר שחם'!A:G,7,0)+VLOOKUP('תפוקה מצטברת מול אשתקד'!A64,'מדיהו '!A:K,7,0)+VLOOKUP(A64,'אנליסט '!A:G,7,0)+VLOOKUP('תפוקה מצטברת מול אשתקד'!A64,'מיטב דש'!A:G,7,0)+VLOOKUP('תפוקה מצטברת מול אשתקד'!A64,אינפניטי!A:G,7,0)</f>
        <v>3561206.67</v>
      </c>
      <c r="L64" s="12">
        <f>VLOOKUP(A64,הכשרה!A:K,8,0)+VLOOKUP('תפוקה מצטברת מול אשתקד'!A64,מגדל!A:K,8,0)+VLOOKUP('תפוקה מצטברת מול אשתקד'!A64,מנורה!A:K,8,0)+VLOOKUP('תפוקה מצטברת מול אשתקד'!A64,איילון!A:K,8,0)+VLOOKUP('תפוקה מצטברת מול אשתקד'!A64,הראל!A:K,8,0)+VLOOKUP('תפוקה מצטברת מול אשתקד'!A64,הפניקס!A:K,8,0)+VLOOKUP('תפוקה מצטברת מול אשתקד'!A64,כלל!A:K,8,0)+VLOOKUP('תפוקה מצטברת מול אשתקד'!A64,מור!A:K,8,0)+VLOOKUP('תפוקה מצטברת מול אשתקד'!A64,'אלטשולר שחם'!A:K,8,0)+VLOOKUP('תפוקה מצטברת מול אשתקד'!A64,'מדיהו '!A:K,8,0)+VLOOKUP('תפוקה מצטברת מול אשתקד'!A64,'אנליסט '!A:K,8,0)+VLOOKUP('תפוקה מצטברת מול אשתקד'!A64,'מיטב דש'!A:K,8,0)+VLOOKUP('תפוקה מצטברת מול אשתקד'!A64,אינפניטי!A:K,8,0)</f>
        <v>82102.697679999983</v>
      </c>
      <c r="M64" s="12">
        <f>VLOOKUP(A64,הכשרה!A:K,9,0)+VLOOKUP('תפוקה מצטברת מול אשתקד'!A64,מגדל!A:K,9,0)+VLOOKUP('תפוקה מצטברת מול אשתקד'!A64,מנורה!A:K,9,0)+VLOOKUP('תפוקה מצטברת מול אשתקד'!A64,איילון!A:K,9,0)+VLOOKUP('תפוקה מצטברת מול אשתקד'!A64,הראל!A:K,9,0)+VLOOKUP('תפוקה מצטברת מול אשתקד'!A64,הפניקס!A:K,9,0)+VLOOKUP('תפוקה מצטברת מול אשתקד'!A64,כלל!A:K,9,0)+VLOOKUP('תפוקה מצטברת מול אשתקד'!A64,מור!A:K,9,0)+VLOOKUP('תפוקה מצטברת מול אשתקד'!A64,'אלטשולר שחם'!A:K,9,0)+VLOOKUP('תפוקה מצטברת מול אשתקד'!A64,'מדיהו '!A:K,9,0)+VLOOKUP('תפוקה מצטברת מול אשתקד'!A64,'אנליסט '!A:K,9,0)+VLOOKUP('תפוקה מצטברת מול אשתקד'!A64,'מיטב דש'!A:K,9,0)+VLOOKUP('תפוקה מצטברת מול אשתקד'!A64,אינפניטי!A:K,9,0)</f>
        <v>4013.3517420903331</v>
      </c>
      <c r="N64" s="12">
        <f>VLOOKUP(A64,הכשרה!A:K,10,0)+VLOOKUP('תפוקה מצטברת מול אשתקד'!A64,מגדל!A:K,10,0)+VLOOKUP('תפוקה מצטברת מול אשתקד'!A64,מנורה!A:K,10,0)+VLOOKUP('תפוקה מצטברת מול אשתקד'!A64,איילון!A:K,10,0)+VLOOKUP('תפוקה מצטברת מול אשתקד'!A64,הראל!A:K,10,0)+VLOOKUP('תפוקה מצטברת מול אשתקד'!A64,הפניקס!A:K,10,0)+VLOOKUP('תפוקה מצטברת מול אשתקד'!A64,כלל!A:K,10,0)+VLOOKUP('תפוקה מצטברת מול אשתקד'!A64,מור!A:K,10,0)+VLOOKUP('תפוקה מצטברת מול אשתקד'!A64,'אלטשולר שחם'!A:K,10,0)+VLOOKUP('תפוקה מצטברת מול אשתקד'!A64,'מדיהו '!A:K,10,0)+VLOOKUP('תפוקה מצטברת מול אשתקד'!A64,'אנליסט '!A:K,10,0)+VLOOKUP('תפוקה מצטברת מול אשתקד'!A64,'מיטב דש'!A:K,10,0)+VLOOKUP('תפוקה מצטברת מול אשתקד'!A64,אינפניטי!A:K,10,0)</f>
        <v>4319660.4463680917</v>
      </c>
      <c r="O64" s="12">
        <f>VLOOKUP(A64,הכשרה!A:K,11,0)+VLOOKUP('תפוקה מצטברת מול אשתקד'!A64,מגדל!A:K,11,0)+VLOOKUP('תפוקה מצטברת מול אשתקד'!A64,מנורה!A:K,11,0)+VLOOKUP('תפוקה מצטברת מול אשתקד'!A64,איילון!A:K,11,0)+VLOOKUP('תפוקה מצטברת מול אשתקד'!A64,הראל!A:K,11,0)+VLOOKUP('תפוקה מצטברת מול אשתקד'!A64,הפניקס!A:K,11,0)+VLOOKUP('תפוקה מצטברת מול אשתקד'!A64,כלל!A:K,11,0)+VLOOKUP('תפוקה מצטברת מול אשתקד'!A64,מור!A:K,11,0)+VLOOKUP('תפוקה מצטברת מול אשתקד'!A64,'אלטשולר שחם'!A:K,11,0)+VLOOKUP('תפוקה מצטברת מול אשתקד'!A64,'מדיהו '!A:K,11,0)+VLOOKUP('תפוקה מצטברת מול אשתקד'!A64,'אנליסט '!A:K,11,0)+VLOOKUP('תפוקה מצטברת מול אשתקד'!A64,'מיטב דש'!A:K,11,0)+VLOOKUP('תפוקה מצטברת מול אשתקד'!A64,אינפניטי!A:K,11,0)</f>
        <v>914768.86999999988</v>
      </c>
    </row>
    <row r="65" spans="1:15" ht="15.75" customHeight="1" x14ac:dyDescent="0.2">
      <c r="A65" s="30" t="s">
        <v>40</v>
      </c>
      <c r="B65" s="26" t="s">
        <v>56</v>
      </c>
      <c r="C65" s="26" t="s">
        <v>103</v>
      </c>
      <c r="D65" s="19">
        <f t="shared" si="0"/>
        <v>0.28430136935539818</v>
      </c>
      <c r="E65" s="19">
        <f t="shared" si="0"/>
        <v>0.43313709034702752</v>
      </c>
      <c r="F65" s="19">
        <f t="shared" si="0"/>
        <v>1.6581975785061296</v>
      </c>
      <c r="G65" s="19">
        <f t="shared" si="4"/>
        <v>4.2366076394064089E-2</v>
      </c>
      <c r="H65" s="58">
        <f>VLOOKUP(A65,הכשרה!A:G,4,0)+VLOOKUP('תפוקה מצטברת מול אשתקד'!A65,מגדל!A:G,4,0)+VLOOKUP('תפוקה מצטברת מול אשתקד'!A65,מנורה!A:G,4,0)+VLOOKUP('תפוקה מצטברת מול אשתקד'!A65,איילון!A:G,4,0)+VLOOKUP('תפוקה מצטברת מול אשתקד'!A65,הראל!A:G,4,0)+VLOOKUP('תפוקה מצטברת מול אשתקד'!A65,הפניקס!A:G,4,0)+VLOOKUP('תפוקה מצטברת מול אשתקד'!A65,כלל!A:G,4,0)+VLOOKUP('תפוקה מצטברת מול אשתקד'!A65,מור!A:G,4,0)+VLOOKUP('תפוקה מצטברת מול אשתקד'!A65,'אלטשולר שחם'!A:G,4,0)+VLOOKUP('תפוקה מצטברת מול אשתקד'!A65,'מדיהו '!A:G,4,0)+VLOOKUP('תפוקה מצטברת מול אשתקד'!A65,'אנליסט '!A:G,4,0)+VLOOKUP('תפוקה מצטברת מול אשתקד'!A65,'מיטב דש'!A:G,4,0)+VLOOKUP('תפוקה מצטברת מול אשתקד'!A65,אינפניטי!A:G,4,0)</f>
        <v>1071276.1393757139</v>
      </c>
      <c r="I65" s="58">
        <f>VLOOKUP(A65,הכשרה!A:G,5,0)+VLOOKUP('תפוקה מצטברת מול אשתקד'!A65,מגדל!A:G,5,0)+VLOOKUP('תפוקה מצטברת מול אשתקד'!A65,מנורה!A:G,5,0)+VLOOKUP('תפוקה מצטברת מול אשתקד'!A65,איילון!A:G,5,0)+VLOOKUP('תפוקה מצטברת מול אשתקד'!A65,הראל!A:G,5,0)+VLOOKUP('תפוקה מצטברת מול אשתקד'!A65,הפניקס!A:G,5,0)+VLOOKUP('תפוקה מצטברת מול אשתקד'!A65,כלל!A:G,5,0)+VLOOKUP('תפוקה מצטברת מול אשתקד'!A65,מור!A:G,5,0)+VLOOKUP('תפוקה מצטברת מול אשתקד'!A65,'אלטשולר שחם'!A:G,5,0)+VLOOKUP('תפוקה מצטברת מול אשתקד'!A65,'מדיהו '!A:G,5,0)+VLOOKUP('תפוקה מצטברת מול אשתקד'!A65,'אנליסט '!A:G,5,0)+VLOOKUP('תפוקה מצטברת מול אשתקד'!A65,'מיטב דש'!A:G,5,0)+VLOOKUP('תפוקה מצטברת מול אשתקד'!A65,אינפניטי!A:G,5,0)</f>
        <v>281003.29200000002</v>
      </c>
      <c r="J65" s="58">
        <f>VLOOKUP(A65,הכשרה!A:G,6,0)+VLOOKUP('תפוקה מצטברת מול אשתקד'!A65,מגדל!A:G,6,0)+VLOOKUP('תפוקה מצטברת מול אשתקד'!A65,מנורה!A:G,6,0)+VLOOKUP('תפוקה מצטברת מול אשתקד'!A65,איילון!A:G,6,0)+VLOOKUP(A65,הראל!A:G,6,0)+VLOOKUP('תפוקה מצטברת מול אשתקד'!A65,הפניקס!A:G,6,0)+VLOOKUP('תפוקה מצטברת מול אשתקד'!A65,כלל!A:G,6,0)+VLOOKUP('תפוקה מצטברת מול אשתקד'!A65,מור!A:G,6,0)+VLOOKUP('תפוקה מצטברת מול אשתקד'!A65,'אלטשולר שחם'!A:G,6,0)+VLOOKUP('תפוקה מצטברת מול אשתקד'!A65,'מדיהו '!A:G,6,0)+VLOOKUP('תפוקה מצטברת מול אשתקד'!A65,'אנליסט '!A:G,6,0)+VLOOKUP('תפוקה מצטברת מול אשתקד'!A65,'מיטב דש'!A:G,6,0)+VLOOKUP('תפוקה מצטברת מול אשתקד'!A65,אינפניטי!A:G,6,0)</f>
        <v>3241546.19</v>
      </c>
      <c r="K65" s="58">
        <f>VLOOKUP(A65,הכשרה!A:G,7,0)+VLOOKUP('תפוקה מצטברת מול אשתקד'!A65,מגדל!A:G,7,0)+VLOOKUP('תפוקה מצטברת מול אשתקד'!A65,מנורה!A:G,7,0)+VLOOKUP('תפוקה מצטברת מול אשתקד'!A65,איילון!A:G,7,0)+VLOOKUP('תפוקה מצטברת מול אשתקד'!A65,הראל!A:G,7,0)+VLOOKUP('תפוקה מצטברת מול אשתקד'!A65,הפניקס!A:G,7,0)+VLOOKUP('תפוקה מצטברת מול אשתקד'!A65,כלל!A:G,7,0)+VLOOKUP('תפוקה מצטברת מול אשתקד'!A65,מור!A:G,7,0)+VLOOKUP('תפוקה מצטברת מול אשתקד'!A65,'אלטשולר שחם'!A:G,7,0)+VLOOKUP('תפוקה מצטברת מול אשתקד'!A65,'מדיהו '!A:K,7,0)+VLOOKUP(A65,'אנליסט '!A:G,7,0)+VLOOKUP('תפוקה מצטברת מול אשתקד'!A65,'מיטב דש'!A:G,7,0)+VLOOKUP('תפוקה מצטברת מול אשתקד'!A65,אינפניטי!A:G,7,0)</f>
        <v>4837697.1500000004</v>
      </c>
      <c r="L65" s="12">
        <f>VLOOKUP(A65,הכשרה!A:K,8,0)+VLOOKUP('תפוקה מצטברת מול אשתקד'!A65,מגדל!A:K,8,0)+VLOOKUP('תפוקה מצטברת מול אשתקד'!A65,מנורה!A:K,8,0)+VLOOKUP('תפוקה מצטברת מול אשתקד'!A65,איילון!A:K,8,0)+VLOOKUP('תפוקה מצטברת מול אשתקד'!A65,הראל!A:K,8,0)+VLOOKUP('תפוקה מצטברת מול אשתקד'!A65,הפניקס!A:K,8,0)+VLOOKUP('תפוקה מצטברת מול אשתקד'!A65,כלל!A:K,8,0)+VLOOKUP('תפוקה מצטברת מול אשתקד'!A65,מור!A:K,8,0)+VLOOKUP('תפוקה מצטברת מול אשתקד'!A65,'אלטשולר שחם'!A:K,8,0)+VLOOKUP('תפוקה מצטברת מול אשתקד'!A65,'מדיהו '!A:K,8,0)+VLOOKUP('תפוקה מצטברת מול אשתקד'!A65,'אנליסט '!A:K,8,0)+VLOOKUP('תפוקה מצטברת מול אשתקד'!A65,'מיטב דש'!A:K,8,0)+VLOOKUP('תפוקה מצטברת מול אשתקד'!A65,אינפניטי!A:K,8,0)</f>
        <v>834131.4312491907</v>
      </c>
      <c r="M65" s="12">
        <f>VLOOKUP(A65,הכשרה!A:K,9,0)+VLOOKUP('תפוקה מצטברת מול אשתקד'!A65,מגדל!A:K,9,0)+VLOOKUP('תפוקה מצטברת מול אשתקד'!A65,מנורה!A:K,9,0)+VLOOKUP('תפוקה מצטברת מול אשתקד'!A65,איילון!A:K,9,0)+VLOOKUP('תפוקה מצטברת מול אשתקד'!A65,הראל!A:K,9,0)+VLOOKUP('תפוקה מצטברת מול אשתקד'!A65,הפניקס!A:K,9,0)+VLOOKUP('תפוקה מצטברת מול אשתקד'!A65,כלל!A:K,9,0)+VLOOKUP('תפוקה מצטברת מול אשתקד'!A65,מור!A:K,9,0)+VLOOKUP('תפוקה מצטברת מול אשתקד'!A65,'אלטשולר שחם'!A:K,9,0)+VLOOKUP('תפוקה מצטברת מול אשתקד'!A65,'מדיהו '!A:K,9,0)+VLOOKUP('תפוקה מצטברת מול אשתקד'!A65,'אנליסט '!A:K,9,0)+VLOOKUP('תפוקה מצטברת מול אשתקד'!A65,'מיטב דש'!A:K,9,0)+VLOOKUP('תפוקה מצטברת מול אשתקד'!A65,אינפניטי!A:K,9,0)</f>
        <v>196075.65381756771</v>
      </c>
      <c r="N65" s="12">
        <f>VLOOKUP(A65,הכשרה!A:K,10,0)+VLOOKUP('תפוקה מצטברת מול אשתקד'!A65,מגדל!A:K,10,0)+VLOOKUP('תפוקה מצטברת מול אשתקד'!A65,מנורה!A:K,10,0)+VLOOKUP('תפוקה מצטברת מול אשתקד'!A65,איילון!A:K,10,0)+VLOOKUP('תפוקה מצטברת מול אשתקד'!A65,הראל!A:K,10,0)+VLOOKUP('תפוקה מצטברת מול אשתקד'!A65,הפניקס!A:K,10,0)+VLOOKUP('תפוקה מצטברת מול אשתקד'!A65,כלל!A:K,10,0)+VLOOKUP('תפוקה מצטברת מול אשתקד'!A65,מור!A:K,10,0)+VLOOKUP('תפוקה מצטברת מול אשתקד'!A65,'אלטשולר שחם'!A:K,10,0)+VLOOKUP('תפוקה מצטברת מול אשתקד'!A65,'מדיהו '!A:K,10,0)+VLOOKUP('תפוקה מצטברת מול אשתקד'!A65,'אנליסט '!A:K,10,0)+VLOOKUP('תפוקה מצטברת מול אשתקד'!A65,'מיטב דש'!A:K,10,0)+VLOOKUP('תפוקה מצטברת מול אשתקד'!A65,אינפניטי!A:K,10,0)</f>
        <v>1219452.6908800001</v>
      </c>
      <c r="O65" s="12">
        <f>VLOOKUP(A65,הכשרה!A:K,11,0)+VLOOKUP('תפוקה מצטברת מול אשתקד'!A65,מגדל!A:K,11,0)+VLOOKUP('תפוקה מצטברת מול אשתקד'!A65,מנורה!A:K,11,0)+VLOOKUP('תפוקה מצטברת מול אשתקד'!A65,איילון!A:K,11,0)+VLOOKUP('תפוקה מצטברת מול אשתקד'!A65,הראל!A:K,11,0)+VLOOKUP('תפוקה מצטברת מול אשתקד'!A65,הפניקס!A:K,11,0)+VLOOKUP('תפוקה מצטברת מול אשתקד'!A65,כלל!A:K,11,0)+VLOOKUP('תפוקה מצטברת מול אשתקד'!A65,מור!A:K,11,0)+VLOOKUP('תפוקה מצטברת מול אשתקד'!A65,'אלטשולר שחם'!A:K,11,0)+VLOOKUP('תפוקה מצטברת מול אשתקד'!A65,'מדיהו '!A:K,11,0)+VLOOKUP('תפוקה מצטברת מול אשתקד'!A65,'אנליסט '!A:K,11,0)+VLOOKUP('תפוקה מצטברת מול אשתקד'!A65,'מיטב דש'!A:K,11,0)+VLOOKUP('תפוקה מצטברת מול אשתקד'!A65,אינפניטי!A:K,11,0)</f>
        <v>4641073.0928000007</v>
      </c>
    </row>
    <row r="66" spans="1:15" ht="15.75" customHeight="1" x14ac:dyDescent="0.2">
      <c r="A66" s="26" t="s">
        <v>90</v>
      </c>
      <c r="B66" s="26" t="s">
        <v>108</v>
      </c>
      <c r="C66" s="26" t="s">
        <v>103</v>
      </c>
      <c r="D66" s="19">
        <f t="shared" si="0"/>
        <v>0</v>
      </c>
      <c r="E66" s="19">
        <f t="shared" si="0"/>
        <v>-1.1320515990854774</v>
      </c>
      <c r="F66" s="19">
        <f t="shared" si="0"/>
        <v>-0.96794861521992059</v>
      </c>
      <c r="G66" s="19">
        <f t="shared" si="4"/>
        <v>0</v>
      </c>
      <c r="H66" s="58">
        <f>VLOOKUP(A66,הכשרה!A:G,4,0)+VLOOKUP('תפוקה מצטברת מול אשתקד'!A66,מגדל!A:G,4,0)+VLOOKUP('תפוקה מצטברת מול אשתקד'!A66,מנורה!A:G,4,0)+VLOOKUP('תפוקה מצטברת מול אשתקד'!A66,איילון!A:G,4,0)+VLOOKUP('תפוקה מצטברת מול אשתקד'!A66,הראל!A:G,4,0)+VLOOKUP('תפוקה מצטברת מול אשתקד'!A66,הפניקס!A:G,4,0)+VLOOKUP('תפוקה מצטברת מול אשתקד'!A66,כלל!A:G,4,0)+VLOOKUP('תפוקה מצטברת מול אשתקד'!A66,מור!A:G,4,0)+VLOOKUP('תפוקה מצטברת מול אשתקד'!A66,'אלטשולר שחם'!A:G,4,0)+VLOOKUP('תפוקה מצטברת מול אשתקד'!A66,'מדיהו '!A:G,4,0)+VLOOKUP('תפוקה מצטברת מול אשתקד'!A66,'אנליסט '!A:G,4,0)+VLOOKUP('תפוקה מצטברת מול אשתקד'!A66,'מיטב דש'!A:G,4,0)+VLOOKUP('תפוקה מצטברת מול אשתקד'!A66,אינפניטי!A:G,4,0)</f>
        <v>0</v>
      </c>
      <c r="I66" s="58">
        <f>VLOOKUP(A66,הכשרה!A:G,5,0)+VLOOKUP('תפוקה מצטברת מול אשתקד'!A66,מגדל!A:G,5,0)+VLOOKUP('תפוקה מצטברת מול אשתקד'!A66,מנורה!A:G,5,0)+VLOOKUP('תפוקה מצטברת מול אשתקד'!A66,איילון!A:G,5,0)+VLOOKUP('תפוקה מצטברת מול אשתקד'!A66,הראל!A:G,5,0)+VLOOKUP('תפוקה מצטברת מול אשתקד'!A66,הפניקס!A:G,5,0)+VLOOKUP('תפוקה מצטברת מול אשתקד'!A66,כלל!A:G,5,0)+VLOOKUP('תפוקה מצטברת מול אשתקד'!A66,מור!A:G,5,0)+VLOOKUP('תפוקה מצטברת מול אשתקד'!A66,'אלטשולר שחם'!A:G,5,0)+VLOOKUP('תפוקה מצטברת מול אשתקד'!A66,'מדיהו '!A:G,5,0)+VLOOKUP('תפוקה מצטברת מול אשתקד'!A66,'אנליסט '!A:G,5,0)+VLOOKUP('תפוקה מצטברת מול אשתקד'!A66,'מיטב דש'!A:G,5,0)+VLOOKUP('תפוקה מצטברת מול אשתקד'!A66,אינפניטי!A:G,5,0)</f>
        <v>-1585.5195168282939</v>
      </c>
      <c r="J66" s="58">
        <f>VLOOKUP(A66,הכשרה!A:G,6,0)+VLOOKUP('תפוקה מצטברת מול אשתקד'!A66,מגדל!A:G,6,0)+VLOOKUP('תפוקה מצטברת מול אשתקד'!A66,מנורה!A:G,6,0)+VLOOKUP('תפוקה מצטברת מול אשתקד'!A66,איילון!A:G,6,0)+VLOOKUP(A66,הראל!A:G,6,0)+VLOOKUP('תפוקה מצטברת מול אשתקד'!A66,הפניקס!A:G,6,0)+VLOOKUP('תפוקה מצטברת מול אשתקד'!A66,כלל!A:G,6,0)+VLOOKUP('תפוקה מצטברת מול אשתקד'!A66,מור!A:G,6,0)+VLOOKUP('תפוקה מצטברת מול אשתקד'!A66,'אלטשולר שחם'!A:G,6,0)+VLOOKUP('תפוקה מצטברת מול אשתקד'!A66,'מדיהו '!A:G,6,0)+VLOOKUP('תפוקה מצטברת מול אשתקד'!A66,'אנליסט '!A:G,6,0)+VLOOKUP('תפוקה מצטברת מול אשתקד'!A66,'מיטב דש'!A:G,6,0)+VLOOKUP('תפוקה מצטברת מול אשתקד'!A66,אינפניטי!A:G,6,0)</f>
        <v>2500</v>
      </c>
      <c r="K66" s="58">
        <f>VLOOKUP(A66,הכשרה!A:G,7,0)+VLOOKUP('תפוקה מצטברת מול אשתקד'!A66,מגדל!A:G,7,0)+VLOOKUP('תפוקה מצטברת מול אשתקד'!A66,מנורה!A:G,7,0)+VLOOKUP('תפוקה מצטברת מול אשתקד'!A66,איילון!A:G,7,0)+VLOOKUP('תפוקה מצטברת מול אשתקד'!A66,הראל!A:G,7,0)+VLOOKUP('תפוקה מצטברת מול אשתקד'!A66,הפניקס!A:G,7,0)+VLOOKUP('תפוקה מצטברת מול אשתקד'!A66,כלל!A:G,7,0)+VLOOKUP('תפוקה מצטברת מול אשתקד'!A66,מור!A:G,7,0)+VLOOKUP('תפוקה מצטברת מול אשתקד'!A66,'אלטשולר שחם'!A:G,7,0)+VLOOKUP('תפוקה מצטברת מול אשתקד'!A66,'מדיהו '!A:K,7,0)+VLOOKUP(A66,'אנליסט '!A:G,7,0)+VLOOKUP('תפוקה מצטברת מול אשתקד'!A66,'מיטב דש'!A:G,7,0)+VLOOKUP('תפוקה מצטברת מול אשתקד'!A66,אינפניטי!A:G,7,0)</f>
        <v>0</v>
      </c>
      <c r="L66" s="12">
        <f>VLOOKUP(A66,הכשרה!A:K,8,0)+VLOOKUP('תפוקה מצטברת מול אשתקד'!A66,מגדל!A:K,8,0)+VLOOKUP('תפוקה מצטברת מול אשתקד'!A66,מנורה!A:K,8,0)+VLOOKUP('תפוקה מצטברת מול אשתקד'!A66,איילון!A:K,8,0)+VLOOKUP('תפוקה מצטברת מול אשתקד'!A66,הראל!A:K,8,0)+VLOOKUP('תפוקה מצטברת מול אשתקד'!A66,הפניקס!A:K,8,0)+VLOOKUP('תפוקה מצטברת מול אשתקד'!A66,כלל!A:K,8,0)+VLOOKUP('תפוקה מצטברת מול אשתקד'!A66,מור!A:K,8,0)+VLOOKUP('תפוקה מצטברת מול אשתקד'!A66,'אלטשולר שחם'!A:K,8,0)+VLOOKUP('תפוקה מצטברת מול אשתקד'!A66,'מדיהו '!A:K,8,0)+VLOOKUP('תפוקה מצטברת מול אשתקד'!A66,'אנליסט '!A:K,8,0)+VLOOKUP('תפוקה מצטברת מול אשתקד'!A66,'מיטב דש'!A:K,8,0)+VLOOKUP('תפוקה מצטברת מול אשתקד'!A66,אינפניטי!A:K,8,0)</f>
        <v>154209.23000000001</v>
      </c>
      <c r="M66" s="12">
        <f>VLOOKUP(A66,הכשרה!A:K,9,0)+VLOOKUP('תפוקה מצטברת מול אשתקד'!A66,מגדל!A:K,9,0)+VLOOKUP('תפוקה מצטברת מול אשתקד'!A66,מנורה!A:K,9,0)+VLOOKUP('תפוקה מצטברת מול אשתקד'!A66,איילון!A:K,9,0)+VLOOKUP('תפוקה מצטברת מול אשתקד'!A66,הראל!A:K,9,0)+VLOOKUP('תפוקה מצטברת מול אשתקד'!A66,הפניקס!A:K,9,0)+VLOOKUP('תפוקה מצטברת מול אשתקד'!A66,כלל!A:K,9,0)+VLOOKUP('תפוקה מצטברת מול אשתקד'!A66,מור!A:K,9,0)+VLOOKUP('תפוקה מצטברת מול אשתקד'!A66,'אלטשולר שחם'!A:K,9,0)+VLOOKUP('תפוקה מצטברת מול אשתקד'!A66,'מדיהו '!A:K,9,0)+VLOOKUP('תפוקה מצטברת מול אשתקד'!A66,'אנליסט '!A:K,9,0)+VLOOKUP('תפוקה מצטברת מול אשתקד'!A66,'מיטב דש'!A:K,9,0)+VLOOKUP('תפוקה מצטברת מול אשתקד'!A66,אינפניטי!A:K,9,0)</f>
        <v>12006.817999999999</v>
      </c>
      <c r="N66" s="12">
        <f>VLOOKUP(A66,הכשרה!A:K,10,0)+VLOOKUP('תפוקה מצטברת מול אשתקד'!A66,מגדל!A:K,10,0)+VLOOKUP('תפוקה מצטברת מול אשתקד'!A66,מנורה!A:K,10,0)+VLOOKUP('תפוקה מצטברת מול אשתקד'!A66,איילון!A:K,10,0)+VLOOKUP('תפוקה מצטברת מול אשתקד'!A66,הראל!A:K,10,0)+VLOOKUP('תפוקה מצטברת מול אשתקד'!A66,הפניקס!A:K,10,0)+VLOOKUP('תפוקה מצטברת מול אשתקד'!A66,כלל!A:K,10,0)+VLOOKUP('תפוקה מצטברת מול אשתקד'!A66,מור!A:K,10,0)+VLOOKUP('תפוקה מצטברת מול אשתקד'!A66,'אלטשולר שחם'!A:K,10,0)+VLOOKUP('תפוקה מצטברת מול אשתקד'!A66,'מדיהו '!A:K,10,0)+VLOOKUP('תפוקה מצטברת מול אשתקד'!A66,'אנליסט '!A:K,10,0)+VLOOKUP('תפוקה מצטברת מול אשתקד'!A66,'מיטב דש'!A:K,10,0)+VLOOKUP('תפוקה מצטברת מול אשתקד'!A66,אינפניטי!A:K,10,0)</f>
        <v>77999.75</v>
      </c>
      <c r="O66" s="12">
        <f>VLOOKUP(A66,הכשרה!A:K,11,0)+VLOOKUP('תפוקה מצטברת מול אשתקד'!A66,מגדל!A:K,11,0)+VLOOKUP('תפוקה מצטברת מול אשתקד'!A66,מנורה!A:K,11,0)+VLOOKUP('תפוקה מצטברת מול אשתקד'!A66,איילון!A:K,11,0)+VLOOKUP('תפוקה מצטברת מול אשתקד'!A66,הראל!A:K,11,0)+VLOOKUP('תפוקה מצטברת מול אשתקד'!A66,הפניקס!A:K,11,0)+VLOOKUP('תפוקה מצטברת מול אשתקד'!A66,כלל!A:K,11,0)+VLOOKUP('תפוקה מצטברת מול אשתקד'!A66,מור!A:K,11,0)+VLOOKUP('תפוקה מצטברת מול אשתקד'!A66,'אלטשולר שחם'!A:K,11,0)+VLOOKUP('תפוקה מצטברת מול אשתקד'!A66,'מדיהו '!A:K,11,0)+VLOOKUP('תפוקה מצטברת מול אשתקד'!A66,'אנליסט '!A:K,11,0)+VLOOKUP('תפוקה מצטברת מול אשתקד'!A66,'מיטב דש'!A:K,11,0)+VLOOKUP('תפוקה מצטברת מול אשתקד'!A66,אינפניטי!A:K,11,0)</f>
        <v>255437.4</v>
      </c>
    </row>
    <row r="67" spans="1:15" ht="15.75" customHeight="1" x14ac:dyDescent="0.2">
      <c r="A67" s="26" t="s">
        <v>92</v>
      </c>
      <c r="B67" s="26" t="s">
        <v>56</v>
      </c>
      <c r="C67" s="26" t="s">
        <v>103</v>
      </c>
      <c r="D67" s="19">
        <f t="shared" ref="D67:F73" si="13">IF(H67=0,0%,IF(L67=0,100%,H67/L67-1))</f>
        <v>1</v>
      </c>
      <c r="E67" s="19">
        <f t="shared" si="13"/>
        <v>-1.1049551076730717</v>
      </c>
      <c r="F67" s="19">
        <f t="shared" si="13"/>
        <v>0.78766588737841658</v>
      </c>
      <c r="G67" s="19">
        <f t="shared" si="4"/>
        <v>1</v>
      </c>
      <c r="H67" s="58">
        <f>VLOOKUP(A67,הכשרה!A:G,4,0)+VLOOKUP('תפוקה מצטברת מול אשתקד'!A67,מגדל!A:G,4,0)+VLOOKUP('תפוקה מצטברת מול אשתקד'!A67,מנורה!A:G,4,0)+VLOOKUP('תפוקה מצטברת מול אשתקד'!A67,איילון!A:G,4,0)+VLOOKUP('תפוקה מצטברת מול אשתקד'!A67,הראל!A:G,4,0)+VLOOKUP('תפוקה מצטברת מול אשתקד'!A67,הפניקס!A:G,4,0)+VLOOKUP('תפוקה מצטברת מול אשתקד'!A67,כלל!A:G,4,0)+VLOOKUP('תפוקה מצטברת מול אשתקד'!A67,מור!A:G,4,0)+VLOOKUP('תפוקה מצטברת מול אשתקד'!A67,'אלטשולר שחם'!A:G,4,0)+VLOOKUP('תפוקה מצטברת מול אשתקד'!A67,'מדיהו '!A:G,4,0)+VLOOKUP('תפוקה מצטברת מול אשתקד'!A67,'אנליסט '!A:G,4,0)+VLOOKUP('תפוקה מצטברת מול אשתקד'!A67,'מיטב דש'!A:G,4,0)+VLOOKUP('תפוקה מצטברת מול אשתקד'!A67,אינפניטי!A:G,4,0)</f>
        <v>79345.11</v>
      </c>
      <c r="I67" s="58">
        <f>VLOOKUP(A67,הכשרה!A:G,5,0)+VLOOKUP('תפוקה מצטברת מול אשתקד'!A67,מגדל!A:G,5,0)+VLOOKUP('תפוקה מצטברת מול אשתקד'!A67,מנורה!A:G,5,0)+VLOOKUP('תפוקה מצטברת מול אשתקד'!A67,איילון!A:G,5,0)+VLOOKUP('תפוקה מצטברת מול אשתקד'!A67,הראל!A:G,5,0)+VLOOKUP('תפוקה מצטברת מול אשתקד'!A67,הפניקס!A:G,5,0)+VLOOKUP('תפוקה מצטברת מול אשתקד'!A67,כלל!A:G,5,0)+VLOOKUP('תפוקה מצטברת מול אשתקד'!A67,מור!A:G,5,0)+VLOOKUP('תפוקה מצטברת מול אשתקד'!A67,'אלטשולר שחם'!A:G,5,0)+VLOOKUP('תפוקה מצטברת מול אשתקד'!A67,'מדיהו '!A:G,5,0)+VLOOKUP('תפוקה מצטברת מול אשתקד'!A67,'אנליסט '!A:G,5,0)+VLOOKUP('תפוקה מצטברת מול אשתקד'!A67,'מיטב דש'!A:G,5,0)+VLOOKUP('תפוקה מצטברת מול אשתקד'!A67,אינפניטי!A:G,5,0)</f>
        <v>-478.12349989090097</v>
      </c>
      <c r="J67" s="58">
        <f>VLOOKUP(A67,הכשרה!A:G,6,0)+VLOOKUP('תפוקה מצטברת מול אשתקד'!A67,מגדל!A:G,6,0)+VLOOKUP('תפוקה מצטברת מול אשתקד'!A67,מנורה!A:G,6,0)+VLOOKUP('תפוקה מצטברת מול אשתקד'!A67,איילון!A:G,6,0)+VLOOKUP(A67,הראל!A:G,6,0)+VLOOKUP('תפוקה מצטברת מול אשתקד'!A67,הפניקס!A:G,6,0)+VLOOKUP('תפוקה מצטברת מול אשתקד'!A67,כלל!A:G,6,0)+VLOOKUP('תפוקה מצטברת מול אשתקד'!A67,מור!A:G,6,0)+VLOOKUP('תפוקה מצטברת מול אשתקד'!A67,'אלטשולר שחם'!A:G,6,0)+VLOOKUP('תפוקה מצטברת מול אשתקד'!A67,'מדיהו '!A:G,6,0)+VLOOKUP('תפוקה מצטברת מול אשתקד'!A67,'אנליסט '!A:G,6,0)+VLOOKUP('תפוקה מצטברת מול אשתקד'!A67,'מיטב דש'!A:G,6,0)+VLOOKUP('תפוקה מצטברת מול אשתקד'!A67,אינפניטי!A:G,6,0)</f>
        <v>30968.63</v>
      </c>
      <c r="K67" s="58">
        <f>VLOOKUP(A67,הכשרה!A:G,7,0)+VLOOKUP('תפוקה מצטברת מול אשתקד'!A67,מגדל!A:G,7,0)+VLOOKUP('תפוקה מצטברת מול אשתקד'!A67,מנורה!A:G,7,0)+VLOOKUP('תפוקה מצטברת מול אשתקד'!A67,איילון!A:G,7,0)+VLOOKUP('תפוקה מצטברת מול אשתקד'!A67,הראל!A:G,7,0)+VLOOKUP('תפוקה מצטברת מול אשתקד'!A67,הפניקס!A:G,7,0)+VLOOKUP('תפוקה מצטברת מול אשתקד'!A67,כלל!A:G,7,0)+VLOOKUP('תפוקה מצטברת מול אשתקד'!A67,מור!A:G,7,0)+VLOOKUP('תפוקה מצטברת מול אשתקד'!A67,'אלטשולר שחם'!A:G,7,0)+VLOOKUP('תפוקה מצטברת מול אשתקד'!A67,'מדיהו '!A:K,7,0)+VLOOKUP(A67,'אנליסט '!A:G,7,0)+VLOOKUP('תפוקה מצטברת מול אשתקד'!A67,'מיטב דש'!A:G,7,0)+VLOOKUP('תפוקה מצטברת מול אשתקד'!A67,אינפניטי!A:G,7,0)</f>
        <v>1414449.72</v>
      </c>
      <c r="L67" s="12">
        <f>VLOOKUP(A67,הכשרה!A:K,8,0)+VLOOKUP('תפוקה מצטברת מול אשתקד'!A67,מגדל!A:K,8,0)+VLOOKUP('תפוקה מצטברת מול אשתקד'!A67,מנורה!A:K,8,0)+VLOOKUP('תפוקה מצטברת מול אשתקד'!A67,איילון!A:K,8,0)+VLOOKUP('תפוקה מצטברת מול אשתקד'!A67,הראל!A:K,8,0)+VLOOKUP('תפוקה מצטברת מול אשתקד'!A67,הפניקס!A:K,8,0)+VLOOKUP('תפוקה מצטברת מול אשתקד'!A67,כלל!A:K,8,0)+VLOOKUP('תפוקה מצטברת מול אשתקד'!A67,מור!A:K,8,0)+VLOOKUP('תפוקה מצטברת מול אשתקד'!A67,'אלטשולר שחם'!A:K,8,0)+VLOOKUP('תפוקה מצטברת מול אשתקד'!A67,'מדיהו '!A:K,8,0)+VLOOKUP('תפוקה מצטברת מול אשתקד'!A67,'אנליסט '!A:K,8,0)+VLOOKUP('תפוקה מצטברת מול אשתקד'!A67,'מיטב דש'!A:K,8,0)+VLOOKUP('תפוקה מצטברת מול אשתקד'!A67,אינפניטי!A:K,8,0)</f>
        <v>0</v>
      </c>
      <c r="M67" s="12">
        <f>VLOOKUP(A67,הכשרה!A:K,9,0)+VLOOKUP('תפוקה מצטברת מול אשתקד'!A67,מגדל!A:K,9,0)+VLOOKUP('תפוקה מצטברת מול אשתקד'!A67,מנורה!A:K,9,0)+VLOOKUP('תפוקה מצטברת מול אשתקד'!A67,איילון!A:K,9,0)+VLOOKUP('תפוקה מצטברת מול אשתקד'!A67,הראל!A:K,9,0)+VLOOKUP('תפוקה מצטברת מול אשתקד'!A67,הפניקס!A:K,9,0)+VLOOKUP('תפוקה מצטברת מול אשתקד'!A67,כלל!A:K,9,0)+VLOOKUP('תפוקה מצטברת מול אשתקד'!A67,מור!A:K,9,0)+VLOOKUP('תפוקה מצטברת מול אשתקד'!A67,'אלטשולר שחם'!A:K,9,0)+VLOOKUP('תפוקה מצטברת מול אשתקד'!A67,'מדיהו '!A:K,9,0)+VLOOKUP('תפוקה מצטברת מול אשתקד'!A67,'אנליסט '!A:K,9,0)+VLOOKUP('תפוקה מצטברת מול אשתקד'!A67,'מיטב דש'!A:K,9,0)+VLOOKUP('תפוקה מצטברת מול אשתקד'!A67,אינפניטי!A:K,9,0)</f>
        <v>4555.5048295526949</v>
      </c>
      <c r="N67" s="12">
        <f>VLOOKUP(A67,הכשרה!A:K,10,0)+VLOOKUP('תפוקה מצטברת מול אשתקד'!A67,מגדל!A:K,10,0)+VLOOKUP('תפוקה מצטברת מול אשתקד'!A67,מנורה!A:K,10,0)+VLOOKUP('תפוקה מצטברת מול אשתקד'!A67,איילון!A:K,10,0)+VLOOKUP('תפוקה מצטברת מול אשתקד'!A67,הראל!A:K,10,0)+VLOOKUP('תפוקה מצטברת מול אשתקד'!A67,הפניקס!A:K,10,0)+VLOOKUP('תפוקה מצטברת מול אשתקד'!A67,כלל!A:K,10,0)+VLOOKUP('תפוקה מצטברת מול אשתקד'!A67,מור!A:K,10,0)+VLOOKUP('תפוקה מצטברת מול אשתקד'!A67,'אלטשולר שחם'!A:K,10,0)+VLOOKUP('תפוקה מצטברת מול אשתקד'!A67,'מדיהו '!A:K,10,0)+VLOOKUP('תפוקה מצטברת מול אשתקד'!A67,'אנליסט '!A:K,10,0)+VLOOKUP('תפוקה מצטברת מול אשתקד'!A67,'מיטב דש'!A:K,10,0)+VLOOKUP('תפוקה מצטברת מול אשתקד'!A67,אינפניטי!A:K,10,0)</f>
        <v>17323.5</v>
      </c>
      <c r="O67" s="12">
        <f>VLOOKUP(A67,הכשרה!A:K,11,0)+VLOOKUP('תפוקה מצטברת מול אשתקד'!A67,מגדל!A:K,11,0)+VLOOKUP('תפוקה מצטברת מול אשתקד'!A67,מנורה!A:K,11,0)+VLOOKUP('תפוקה מצטברת מול אשתקד'!A67,איילון!A:K,11,0)+VLOOKUP('תפוקה מצטברת מול אשתקד'!A67,הראל!A:K,11,0)+VLOOKUP('תפוקה מצטברת מול אשתקד'!A67,הפניקס!A:K,11,0)+VLOOKUP('תפוקה מצטברת מול אשתקד'!A67,כלל!A:K,11,0)+VLOOKUP('תפוקה מצטברת מול אשתקד'!A67,מור!A:K,11,0)+VLOOKUP('תפוקה מצטברת מול אשתקד'!A67,'אלטשולר שחם'!A:K,11,0)+VLOOKUP('תפוקה מצטברת מול אשתקד'!A67,'מדיהו '!A:K,11,0)+VLOOKUP('תפוקה מצטברת מול אשתקד'!A67,'אנליסט '!A:K,11,0)+VLOOKUP('תפוקה מצטברת מול אשתקד'!A67,'מיטב דש'!A:K,11,0)+VLOOKUP('תפוקה מצטברת מול אשתקד'!A67,אינפניטי!A:K,11,0)</f>
        <v>0</v>
      </c>
    </row>
    <row r="68" spans="1:15" ht="15.75" customHeight="1" x14ac:dyDescent="0.2">
      <c r="A68" s="26" t="s">
        <v>93</v>
      </c>
      <c r="B68" s="26" t="s">
        <v>56</v>
      </c>
      <c r="C68" s="26" t="s">
        <v>103</v>
      </c>
      <c r="D68" s="19">
        <f t="shared" si="13"/>
        <v>0</v>
      </c>
      <c r="E68" s="19">
        <f t="shared" si="13"/>
        <v>0.54804762443118982</v>
      </c>
      <c r="F68" s="19">
        <f t="shared" si="13"/>
        <v>0</v>
      </c>
      <c r="G68" s="19">
        <f t="shared" si="4"/>
        <v>0</v>
      </c>
      <c r="H68" s="58">
        <f>VLOOKUP(A68,הכשרה!A:G,4,0)+VLOOKUP('תפוקה מצטברת מול אשתקד'!A68,מגדל!A:G,4,0)+VLOOKUP('תפוקה מצטברת מול אשתקד'!A68,מנורה!A:G,4,0)+VLOOKUP('תפוקה מצטברת מול אשתקד'!A68,איילון!A:G,4,0)+VLOOKUP('תפוקה מצטברת מול אשתקד'!A68,הראל!A:G,4,0)+VLOOKUP('תפוקה מצטברת מול אשתקד'!A68,הפניקס!A:G,4,0)+VLOOKUP('תפוקה מצטברת מול אשתקד'!A68,כלל!A:G,4,0)+VLOOKUP('תפוקה מצטברת מול אשתקד'!A68,מור!A:G,4,0)+VLOOKUP('תפוקה מצטברת מול אשתקד'!A68,'אלטשולר שחם'!A:G,4,0)+VLOOKUP('תפוקה מצטברת מול אשתקד'!A68,'מדיהו '!A:G,4,0)+VLOOKUP('תפוקה מצטברת מול אשתקד'!A68,'אנליסט '!A:G,4,0)+VLOOKUP('תפוקה מצטברת מול אשתקד'!A68,'מיטב דש'!A:G,4,0)+VLOOKUP('תפוקה מצטברת מול אשתקד'!A68,אינפניטי!A:G,4,0)</f>
        <v>0</v>
      </c>
      <c r="I68" s="58">
        <f>VLOOKUP(A68,הכשרה!A:G,5,0)+VLOOKUP('תפוקה מצטברת מול אשתקד'!A68,מגדל!A:G,5,0)+VLOOKUP('תפוקה מצטברת מול אשתקד'!A68,מנורה!A:G,5,0)+VLOOKUP('תפוקה מצטברת מול אשתקד'!A68,איילון!A:G,5,0)+VLOOKUP('תפוקה מצטברת מול אשתקד'!A68,הראל!A:G,5,0)+VLOOKUP('תפוקה מצטברת מול אשתקד'!A68,הפניקס!A:G,5,0)+VLOOKUP('תפוקה מצטברת מול אשתקד'!A68,כלל!A:G,5,0)+VLOOKUP('תפוקה מצטברת מול אשתקד'!A68,מור!A:G,5,0)+VLOOKUP('תפוקה מצטברת מול אשתקד'!A68,'אלטשולר שחם'!A:G,5,0)+VLOOKUP('תפוקה מצטברת מול אשתקד'!A68,'מדיהו '!A:G,5,0)+VLOOKUP('תפוקה מצטברת מול אשתקד'!A68,'אנליסט '!A:G,5,0)+VLOOKUP('תפוקה מצטברת מול אשתקד'!A68,'מיטב דש'!A:G,5,0)+VLOOKUP('תפוקה מצטברת מול אשתקד'!A68,אינפניטי!A:G,5,0)</f>
        <v>56243.750999999997</v>
      </c>
      <c r="J68" s="58">
        <f>VLOOKUP(A68,הכשרה!A:G,6,0)+VLOOKUP('תפוקה מצטברת מול אשתקד'!A68,מגדל!A:G,6,0)+VLOOKUP('תפוקה מצטברת מול אשתקד'!A68,מנורה!A:G,6,0)+VLOOKUP('תפוקה מצטברת מול אשתקד'!A68,איילון!A:G,6,0)+VLOOKUP(A68,הראל!A:G,6,0)+VLOOKUP('תפוקה מצטברת מול אשתקד'!A68,הפניקס!A:G,6,0)+VLOOKUP('תפוקה מצטברת מול אשתקד'!A68,כלל!A:G,6,0)+VLOOKUP('תפוקה מצטברת מול אשתקד'!A68,מור!A:G,6,0)+VLOOKUP('תפוקה מצטברת מול אשתקד'!A68,'אלטשולר שחם'!A:G,6,0)+VLOOKUP('תפוקה מצטברת מול אשתקד'!A68,'מדיהו '!A:G,6,0)+VLOOKUP('תפוקה מצטברת מול אשתקד'!A68,'אנליסט '!A:G,6,0)+VLOOKUP('תפוקה מצטברת מול אשתקד'!A68,'מיטב דש'!A:G,6,0)+VLOOKUP('תפוקה מצטברת מול אשתקד'!A68,אינפניטי!A:G,6,0)</f>
        <v>0</v>
      </c>
      <c r="K68" s="58">
        <f>VLOOKUP(A68,הכשרה!A:G,7,0)+VLOOKUP('תפוקה מצטברת מול אשתקד'!A68,מגדל!A:G,7,0)+VLOOKUP('תפוקה מצטברת מול אשתקד'!A68,מנורה!A:G,7,0)+VLOOKUP('תפוקה מצטברת מול אשתקד'!A68,איילון!A:G,7,0)+VLOOKUP('תפוקה מצטברת מול אשתקד'!A68,הראל!A:G,7,0)+VLOOKUP('תפוקה מצטברת מול אשתקד'!A68,הפניקס!A:G,7,0)+VLOOKUP('תפוקה מצטברת מול אשתקד'!A68,כלל!A:G,7,0)+VLOOKUP('תפוקה מצטברת מול אשתקד'!A68,מור!A:G,7,0)+VLOOKUP('תפוקה מצטברת מול אשתקד'!A68,'אלטשולר שחם'!A:G,7,0)+VLOOKUP('תפוקה מצטברת מול אשתקד'!A68,'מדיהו '!A:K,7,0)+VLOOKUP(A68,'אנליסט '!A:G,7,0)+VLOOKUP('תפוקה מצטברת מול אשתקד'!A68,'מיטב דש'!A:G,7,0)+VLOOKUP('תפוקה מצטברת מול אשתקד'!A68,אינפניטי!A:G,7,0)</f>
        <v>0</v>
      </c>
      <c r="L68" s="12">
        <f>VLOOKUP(A68,הכשרה!A:K,8,0)+VLOOKUP('תפוקה מצטברת מול אשתקד'!A68,מגדל!A:K,8,0)+VLOOKUP('תפוקה מצטברת מול אשתקד'!A68,מנורה!A:K,8,0)+VLOOKUP('תפוקה מצטברת מול אשתקד'!A68,איילון!A:K,8,0)+VLOOKUP('תפוקה מצטברת מול אשתקד'!A68,הראל!A:K,8,0)+VLOOKUP('תפוקה מצטברת מול אשתקד'!A68,הפניקס!A:K,8,0)+VLOOKUP('תפוקה מצטברת מול אשתקד'!A68,כלל!A:K,8,0)+VLOOKUP('תפוקה מצטברת מול אשתקד'!A68,מור!A:K,8,0)+VLOOKUP('תפוקה מצטברת מול אשתקד'!A68,'אלטשולר שחם'!A:K,8,0)+VLOOKUP('תפוקה מצטברת מול אשתקד'!A68,'מדיהו '!A:K,8,0)+VLOOKUP('תפוקה מצטברת מול אשתקד'!A68,'אנליסט '!A:K,8,0)+VLOOKUP('תפוקה מצטברת מול אשתקד'!A68,'מיטב דש'!A:K,8,0)+VLOOKUP('תפוקה מצטברת מול אשתקד'!A68,אינפניטי!A:K,8,0)</f>
        <v>0</v>
      </c>
      <c r="M68" s="12">
        <f>VLOOKUP(A68,הכשרה!A:K,9,0)+VLOOKUP('תפוקה מצטברת מול אשתקד'!A68,מגדל!A:K,9,0)+VLOOKUP('תפוקה מצטברת מול אשתקד'!A68,מנורה!A:K,9,0)+VLOOKUP('תפוקה מצטברת מול אשתקד'!A68,איילון!A:K,9,0)+VLOOKUP('תפוקה מצטברת מול אשתקד'!A68,הראל!A:K,9,0)+VLOOKUP('תפוקה מצטברת מול אשתקד'!A68,הפניקס!A:K,9,0)+VLOOKUP('תפוקה מצטברת מול אשתקד'!A68,כלל!A:K,9,0)+VLOOKUP('תפוקה מצטברת מול אשתקד'!A68,מור!A:K,9,0)+VLOOKUP('תפוקה מצטברת מול אשתקד'!A68,'אלטשולר שחם'!A:K,9,0)+VLOOKUP('תפוקה מצטברת מול אשתקד'!A68,'מדיהו '!A:K,9,0)+VLOOKUP('תפוקה מצטברת מול אשתקד'!A68,'אנליסט '!A:K,9,0)+VLOOKUP('תפוקה מצטברת מול אשתקד'!A68,'מיטב דש'!A:K,9,0)+VLOOKUP('תפוקה מצטברת מול אשתקד'!A68,אינפניטי!A:K,9,0)</f>
        <v>36332.05472</v>
      </c>
      <c r="N68" s="12">
        <f>VLOOKUP(A68,הכשרה!A:K,10,0)+VLOOKUP('תפוקה מצטברת מול אשתקד'!A68,מגדל!A:K,10,0)+VLOOKUP('תפוקה מצטברת מול אשתקד'!A68,מנורה!A:K,10,0)+VLOOKUP('תפוקה מצטברת מול אשתקד'!A68,איילון!A:K,10,0)+VLOOKUP('תפוקה מצטברת מול אשתקד'!A68,הראל!A:K,10,0)+VLOOKUP('תפוקה מצטברת מול אשתקד'!A68,הפניקס!A:K,10,0)+VLOOKUP('תפוקה מצטברת מול אשתקד'!A68,כלל!A:K,10,0)+VLOOKUP('תפוקה מצטברת מול אשתקד'!A68,מור!A:K,10,0)+VLOOKUP('תפוקה מצטברת מול אשתקד'!A68,'אלטשולר שחם'!A:K,10,0)+VLOOKUP('תפוקה מצטברת מול אשתקד'!A68,'מדיהו '!A:K,10,0)+VLOOKUP('תפוקה מצטברת מול אשתקד'!A68,'אנליסט '!A:K,10,0)+VLOOKUP('תפוקה מצטברת מול אשתקד'!A68,'מיטב דש'!A:K,10,0)+VLOOKUP('תפוקה מצטברת מול אשתקד'!A68,אינפניטי!A:K,10,0)</f>
        <v>0</v>
      </c>
      <c r="O68" s="12">
        <f>VLOOKUP(A68,הכשרה!A:K,11,0)+VLOOKUP('תפוקה מצטברת מול אשתקד'!A68,מגדל!A:K,11,0)+VLOOKUP('תפוקה מצטברת מול אשתקד'!A68,מנורה!A:K,11,0)+VLOOKUP('תפוקה מצטברת מול אשתקד'!A68,איילון!A:K,11,0)+VLOOKUP('תפוקה מצטברת מול אשתקד'!A68,הראל!A:K,11,0)+VLOOKUP('תפוקה מצטברת מול אשתקד'!A68,הפניקס!A:K,11,0)+VLOOKUP('תפוקה מצטברת מול אשתקד'!A68,כלל!A:K,11,0)+VLOOKUP('תפוקה מצטברת מול אשתקד'!A68,מור!A:K,11,0)+VLOOKUP('תפוקה מצטברת מול אשתקד'!A68,'אלטשולר שחם'!A:K,11,0)+VLOOKUP('תפוקה מצטברת מול אשתקד'!A68,'מדיהו '!A:K,11,0)+VLOOKUP('תפוקה מצטברת מול אשתקד'!A68,'אנליסט '!A:K,11,0)+VLOOKUP('תפוקה מצטברת מול אשתקד'!A68,'מיטב דש'!A:K,11,0)+VLOOKUP('תפוקה מצטברת מול אשתקד'!A68,אינפניטי!A:K,11,0)</f>
        <v>90372</v>
      </c>
    </row>
    <row r="69" spans="1:15" ht="15.75" customHeight="1" x14ac:dyDescent="0.2">
      <c r="A69" s="26" t="s">
        <v>100</v>
      </c>
      <c r="B69" s="26" t="s">
        <v>56</v>
      </c>
      <c r="C69" s="26" t="s">
        <v>103</v>
      </c>
      <c r="D69" s="19">
        <f t="shared" si="13"/>
        <v>-0.16098026442591185</v>
      </c>
      <c r="E69" s="19">
        <f t="shared" si="13"/>
        <v>0.79331102327140113</v>
      </c>
      <c r="F69" s="19">
        <f t="shared" si="13"/>
        <v>-0.12714694611747845</v>
      </c>
      <c r="G69" s="19">
        <f t="shared" si="4"/>
        <v>-0.43264014486004654</v>
      </c>
      <c r="H69" s="58">
        <f>VLOOKUP(A69,הכשרה!A:G,4,0)+VLOOKUP('תפוקה מצטברת מול אשתקד'!A69,מגדל!A:G,4,0)+VLOOKUP('תפוקה מצטברת מול אשתקד'!A69,מנורה!A:G,4,0)+VLOOKUP('תפוקה מצטברת מול אשתקד'!A69,איילון!A:G,4,0)+VLOOKUP('תפוקה מצטברת מול אשתקד'!A69,הראל!A:G,4,0)+VLOOKUP('תפוקה מצטברת מול אשתקד'!A69,הפניקס!A:G,4,0)+VLOOKUP('תפוקה מצטברת מול אשתקד'!A69,כלל!A:G,4,0)+VLOOKUP('תפוקה מצטברת מול אשתקד'!A69,מור!A:G,4,0)+VLOOKUP('תפוקה מצטברת מול אשתקד'!A69,'אלטשולר שחם'!A:G,4,0)+VLOOKUP('תפוקה מצטברת מול אשתקד'!A69,'מדיהו '!A:G,4,0)+VLOOKUP('תפוקה מצטברת מול אשתקד'!A69,'אנליסט '!A:G,4,0)+VLOOKUP('תפוקה מצטברת מול אשתקד'!A69,'מיטב דש'!A:G,4,0)+VLOOKUP('תפוקה מצטברת מול אשתקד'!A69,אינפניטי!A:G,4,0)</f>
        <v>233637.24110632992</v>
      </c>
      <c r="I69" s="58">
        <f>VLOOKUP(A69,הכשרה!A:G,5,0)+VLOOKUP('תפוקה מצטברת מול אשתקד'!A69,מגדל!A:G,5,0)+VLOOKUP('תפוקה מצטברת מול אשתקד'!A69,מנורה!A:G,5,0)+VLOOKUP('תפוקה מצטברת מול אשתקד'!A69,איילון!A:G,5,0)+VLOOKUP('תפוקה מצטברת מול אשתקד'!A69,הראל!A:G,5,0)+VLOOKUP('תפוקה מצטברת מול אשתקד'!A69,הפניקס!A:G,5,0)+VLOOKUP('תפוקה מצטברת מול אשתקד'!A69,כלל!A:G,5,0)+VLOOKUP('תפוקה מצטברת מול אשתקד'!A69,מור!A:G,5,0)+VLOOKUP('תפוקה מצטברת מול אשתקד'!A69,'אלטשולר שחם'!A:G,5,0)+VLOOKUP('תפוקה מצטברת מול אשתקד'!A69,'מדיהו '!A:G,5,0)+VLOOKUP('תפוקה מצטברת מול אשתקד'!A69,'אנליסט '!A:G,5,0)+VLOOKUP('תפוקה מצטברת מול אשתקד'!A69,'מיטב דש'!A:G,5,0)+VLOOKUP('תפוקה מצטברת מול אשתקד'!A69,אינפניטי!A:G,5,0)</f>
        <v>40461.976999999999</v>
      </c>
      <c r="J69" s="58">
        <f>VLOOKUP(A69,הכשרה!A:G,6,0)+VLOOKUP('תפוקה מצטברת מול אשתקד'!A69,מגדל!A:G,6,0)+VLOOKUP('תפוקה מצטברת מול אשתקד'!A69,מנורה!A:G,6,0)+VLOOKUP('תפוקה מצטברת מול אשתקד'!A69,איילון!A:G,6,0)+VLOOKUP(A69,הראל!A:G,6,0)+VLOOKUP('תפוקה מצטברת מול אשתקד'!A69,הפניקס!A:G,6,0)+VLOOKUP('תפוקה מצטברת מול אשתקד'!A69,כלל!A:G,6,0)+VLOOKUP('תפוקה מצטברת מול אשתקד'!A69,מור!A:G,6,0)+VLOOKUP('תפוקה מצטברת מול אשתקד'!A69,'אלטשולר שחם'!A:G,6,0)+VLOOKUP('תפוקה מצטברת מול אשתקד'!A69,'מדיהו '!A:G,6,0)+VLOOKUP('תפוקה מצטברת מול אשתקד'!A69,'אנליסט '!A:G,6,0)+VLOOKUP('תפוקה מצטברת מול אשתקד'!A69,'מיטב דש'!A:G,6,0)+VLOOKUP('תפוקה מצטברת מול אשתקד'!A69,אינפניטי!A:G,6,0)</f>
        <v>2451654.6599999997</v>
      </c>
      <c r="K69" s="58">
        <f>VLOOKUP(A69,הכשרה!A:G,7,0)+VLOOKUP('תפוקה מצטברת מול אשתקד'!A69,מגדל!A:G,7,0)+VLOOKUP('תפוקה מצטברת מול אשתקד'!A69,מנורה!A:G,7,0)+VLOOKUP('תפוקה מצטברת מול אשתקד'!A69,איילון!A:G,7,0)+VLOOKUP('תפוקה מצטברת מול אשתקד'!A69,הראל!A:G,7,0)+VLOOKUP('תפוקה מצטברת מול אשתקד'!A69,הפניקס!A:G,7,0)+VLOOKUP('תפוקה מצטברת מול אשתקד'!A69,כלל!A:G,7,0)+VLOOKUP('תפוקה מצטברת מול אשתקד'!A69,מור!A:G,7,0)+VLOOKUP('תפוקה מצטברת מול אשתקד'!A69,'אלטשולר שחם'!A:G,7,0)+VLOOKUP('תפוקה מצטברת מול אשתקד'!A69,'מדיהו '!A:K,7,0)+VLOOKUP(A69,'אנליסט '!A:G,7,0)+VLOOKUP('תפוקה מצטברת מול אשתקד'!A69,'מיטב דש'!A:G,7,0)+VLOOKUP('תפוקה מצטברת מול אשתקד'!A69,אינפניטי!A:G,7,0)</f>
        <v>1304963.2799999998</v>
      </c>
      <c r="L69" s="12">
        <f>VLOOKUP(A69,הכשרה!A:K,8,0)+VLOOKUP('תפוקה מצטברת מול אשתקד'!A69,מגדל!A:K,8,0)+VLOOKUP('תפוקה מצטברת מול אשתקד'!A69,מנורה!A:K,8,0)+VLOOKUP('תפוקה מצטברת מול אשתקד'!A69,איילון!A:K,8,0)+VLOOKUP('תפוקה מצטברת מול אשתקד'!A69,הראל!A:K,8,0)+VLOOKUP('תפוקה מצטברת מול אשתקד'!A69,הפניקס!A:K,8,0)+VLOOKUP('תפוקה מצטברת מול אשתקד'!A69,כלל!A:K,8,0)+VLOOKUP('תפוקה מצטברת מול אשתקד'!A69,מור!A:K,8,0)+VLOOKUP('תפוקה מצטברת מול אשתקד'!A69,'אלטשולר שחם'!A:K,8,0)+VLOOKUP('תפוקה מצטברת מול אשתקד'!A69,'מדיהו '!A:K,8,0)+VLOOKUP('תפוקה מצטברת מול אשתקד'!A69,'אנליסט '!A:K,8,0)+VLOOKUP('תפוקה מצטברת מול אשתקד'!A69,'מיטב דש'!A:K,8,0)+VLOOKUP('תפוקה מצטברת מול אשתקד'!A69,אינפניטי!A:K,8,0)</f>
        <v>278464.53569589363</v>
      </c>
      <c r="M69" s="12">
        <f>VLOOKUP(A69,הכשרה!A:K,9,0)+VLOOKUP('תפוקה מצטברת מול אשתקד'!A69,מגדל!A:K,9,0)+VLOOKUP('תפוקה מצטברת מול אשתקד'!A69,מנורה!A:K,9,0)+VLOOKUP('תפוקה מצטברת מול אשתקד'!A69,איילון!A:K,9,0)+VLOOKUP('תפוקה מצטברת מול אשתקד'!A69,הראל!A:K,9,0)+VLOOKUP('תפוקה מצטברת מול אשתקד'!A69,הפניקס!A:K,9,0)+VLOOKUP('תפוקה מצטברת מול אשתקד'!A69,כלל!A:K,9,0)+VLOOKUP('תפוקה מצטברת מול אשתקד'!A69,מור!A:K,9,0)+VLOOKUP('תפוקה מצטברת מול אשתקד'!A69,'אלטשולר שחם'!A:K,9,0)+VLOOKUP('תפוקה מצטברת מול אשתקד'!A69,'מדיהו '!A:K,9,0)+VLOOKUP('תפוקה מצטברת מול אשתקד'!A69,'אנליסט '!A:K,9,0)+VLOOKUP('תפוקה מצטברת מול אשתקד'!A69,'מיטב דש'!A:K,9,0)+VLOOKUP('תפוקה מצטברת מול אשתקד'!A69,אינפניטי!A:K,9,0)</f>
        <v>22562.721399095783</v>
      </c>
      <c r="N69" s="12">
        <f>VLOOKUP(A69,הכשרה!A:K,10,0)+VLOOKUP('תפוקה מצטברת מול אשתקד'!A69,מגדל!A:K,10,0)+VLOOKUP('תפוקה מצטברת מול אשתקד'!A69,מנורה!A:K,10,0)+VLOOKUP('תפוקה מצטברת מול אשתקד'!A69,איילון!A:K,10,0)+VLOOKUP('תפוקה מצטברת מול אשתקד'!A69,הראל!A:K,10,0)+VLOOKUP('תפוקה מצטברת מול אשתקד'!A69,הפניקס!A:K,10,0)+VLOOKUP('תפוקה מצטברת מול אשתקד'!A69,כלל!A:K,10,0)+VLOOKUP('תפוקה מצטברת מול אשתקד'!A69,מור!A:K,10,0)+VLOOKUP('תפוקה מצטברת מול אשתקד'!A69,'אלטשולר שחם'!A:K,10,0)+VLOOKUP('תפוקה מצטברת מול אשתקד'!A69,'מדיהו '!A:K,10,0)+VLOOKUP('תפוקה מצטברת מול אשתקד'!A69,'אנליסט '!A:K,10,0)+VLOOKUP('תפוקה מצטברת מול אשתקד'!A69,'מיטב דש'!A:K,10,0)+VLOOKUP('תפוקה מצטברת מול אשתקד'!A69,אינפניטי!A:K,10,0)</f>
        <v>2808782.8175600003</v>
      </c>
      <c r="O69" s="12">
        <f>VLOOKUP(A69,הכשרה!A:K,11,0)+VLOOKUP('תפוקה מצטברת מול אשתקד'!A69,מגדל!A:K,11,0)+VLOOKUP('תפוקה מצטברת מול אשתקד'!A69,מנורה!A:K,11,0)+VLOOKUP('תפוקה מצטברת מול אשתקד'!A69,איילון!A:K,11,0)+VLOOKUP('תפוקה מצטברת מול אשתקד'!A69,הראל!A:K,11,0)+VLOOKUP('תפוקה מצטברת מול אשתקד'!A69,הפניקס!A:K,11,0)+VLOOKUP('תפוקה מצטברת מול אשתקד'!A69,כלל!A:K,11,0)+VLOOKUP('תפוקה מצטברת מול אשתקד'!A69,מור!A:K,11,0)+VLOOKUP('תפוקה מצטברת מול אשתקד'!A69,'אלטשולר שחם'!A:K,11,0)+VLOOKUP('תפוקה מצטברת מול אשתקד'!A69,'מדיהו '!A:K,11,0)+VLOOKUP('תפוקה מצטברת מול אשתקד'!A69,'אנליסט '!A:K,11,0)+VLOOKUP('תפוקה מצטברת מול אשתקד'!A69,'מיטב דש'!A:K,11,0)+VLOOKUP('תפוקה מצטברת מול אשתקד'!A69,אינפניטי!A:K,11,0)</f>
        <v>2300062.7699999996</v>
      </c>
    </row>
    <row r="70" spans="1:15" ht="15.75" customHeight="1" x14ac:dyDescent="0.2">
      <c r="A70" s="98" t="s">
        <v>101</v>
      </c>
      <c r="B70" s="26" t="s">
        <v>56</v>
      </c>
      <c r="C70" s="26" t="s">
        <v>103</v>
      </c>
      <c r="D70" s="19">
        <f t="shared" si="13"/>
        <v>0.50834608676065507</v>
      </c>
      <c r="E70" s="19">
        <f t="shared" si="13"/>
        <v>1.1373230222692525</v>
      </c>
      <c r="F70" s="19">
        <f t="shared" si="13"/>
        <v>0.68356620890510289</v>
      </c>
      <c r="G70" s="19">
        <f t="shared" si="4"/>
        <v>1.0259427266513339</v>
      </c>
      <c r="H70" s="58">
        <f>VLOOKUP(A70,הכשרה!A:G,4,0)+VLOOKUP('תפוקה מצטברת מול אשתקד'!A70,מגדל!A:G,4,0)+VLOOKUP('תפוקה מצטברת מול אשתקד'!A70,מנורה!A:G,4,0)+VLOOKUP('תפוקה מצטברת מול אשתקד'!A70,איילון!A:G,4,0)+VLOOKUP('תפוקה מצטברת מול אשתקד'!A70,הראל!A:G,4,0)+VLOOKUP('תפוקה מצטברת מול אשתקד'!A70,הפניקס!A:G,4,0)+VLOOKUP('תפוקה מצטברת מול אשתקד'!A70,כלל!A:G,4,0)+VLOOKUP('תפוקה מצטברת מול אשתקד'!A70,מור!A:G,4,0)+VLOOKUP('תפוקה מצטברת מול אשתקד'!A70,'אלטשולר שחם'!A:G,4,0)+VLOOKUP('תפוקה מצטברת מול אשתקד'!A70,'מדיהו '!A:G,4,0)+VLOOKUP('תפוקה מצטברת מול אשתקד'!A70,'אנליסט '!A:G,4,0)+VLOOKUP('תפוקה מצטברת מול אשתקד'!A70,'מיטב דש'!A:G,4,0)+VLOOKUP('תפוקה מצטברת מול אשתקד'!A70,אינפניטי!A:G,4,0)</f>
        <v>1362407.3607558154</v>
      </c>
      <c r="I70" s="58">
        <f>VLOOKUP(A70,הכשרה!A:G,5,0)+VLOOKUP('תפוקה מצטברת מול אשתקד'!A70,מגדל!A:G,5,0)+VLOOKUP('תפוקה מצטברת מול אשתקד'!A70,מנורה!A:G,5,0)+VLOOKUP('תפוקה מצטברת מול אשתקד'!A70,איילון!A:G,5,0)+VLOOKUP('תפוקה מצטברת מול אשתקד'!A70,הראל!A:G,5,0)+VLOOKUP('תפוקה מצטברת מול אשתקד'!A70,הפניקס!A:G,5,0)+VLOOKUP('תפוקה מצטברת מול אשתקד'!A70,כלל!A:G,5,0)+VLOOKUP('תפוקה מצטברת מול אשתקד'!A70,מור!A:G,5,0)+VLOOKUP('תפוקה מצטברת מול אשתקד'!A70,'אלטשולר שחם'!A:G,5,0)+VLOOKUP('תפוקה מצטברת מול אשתקד'!A70,'מדיהו '!A:G,5,0)+VLOOKUP('תפוקה מצטברת מול אשתקד'!A70,'אנליסט '!A:G,5,0)+VLOOKUP('תפוקה מצטברת מול אשתקד'!A70,'מיטב דש'!A:G,5,0)+VLOOKUP('תפוקה מצטברת מול אשתקד'!A70,אינפניטי!A:G,5,0)</f>
        <v>148152.1548011463</v>
      </c>
      <c r="J70" s="58">
        <f>VLOOKUP(A70,הכשרה!A:G,6,0)+VLOOKUP('תפוקה מצטברת מול אשתקד'!A70,מגדל!A:G,6,0)+VLOOKUP('תפוקה מצטברת מול אשתקד'!A70,מנורה!A:G,6,0)+VLOOKUP('תפוקה מצטברת מול אשתקד'!A70,איילון!A:G,6,0)+VLOOKUP(A70,הראל!A:G,6,0)+VLOOKUP('תפוקה מצטברת מול אשתקד'!A70,הפניקס!A:G,6,0)+VLOOKUP('תפוקה מצטברת מול אשתקד'!A70,כלל!A:G,6,0)+VLOOKUP('תפוקה מצטברת מול אשתקד'!A70,מור!A:G,6,0)+VLOOKUP('תפוקה מצטברת מול אשתקד'!A70,'אלטשולר שחם'!A:G,6,0)+VLOOKUP('תפוקה מצטברת מול אשתקד'!A70,'מדיהו '!A:G,6,0)+VLOOKUP('תפוקה מצטברת מול אשתקד'!A70,'אנליסט '!A:G,6,0)+VLOOKUP('תפוקה מצטברת מול אשתקד'!A70,'מיטב דש'!A:G,6,0)+VLOOKUP('תפוקה מצטברת מול אשתקד'!A70,אינפניטי!A:G,6,0)</f>
        <v>13662888.801716287</v>
      </c>
      <c r="K70" s="58">
        <f>VLOOKUP(A70,הכשרה!A:G,7,0)+VLOOKUP('תפוקה מצטברת מול אשתקד'!A70,מגדל!A:G,7,0)+VLOOKUP('תפוקה מצטברת מול אשתקד'!A70,מנורה!A:G,7,0)+VLOOKUP('תפוקה מצטברת מול אשתקד'!A70,איילון!A:G,7,0)+VLOOKUP('תפוקה מצטברת מול אשתקד'!A70,הראל!A:G,7,0)+VLOOKUP('תפוקה מצטברת מול אשתקד'!A70,הפניקס!A:G,7,0)+VLOOKUP('תפוקה מצטברת מול אשתקד'!A70,כלל!A:G,7,0)+VLOOKUP('תפוקה מצטברת מול אשתקד'!A70,מור!A:G,7,0)+VLOOKUP('תפוקה מצטברת מול אשתקד'!A70,'אלטשולר שחם'!A:G,7,0)+VLOOKUP('תפוקה מצטברת מול אשתקד'!A70,'מדיהו '!A:K,7,0)+VLOOKUP(A70,'אנליסט '!A:G,7,0)+VLOOKUP('תפוקה מצטברת מול אשתקד'!A70,'מיטב דש'!A:G,7,0)+VLOOKUP('תפוקה מצטברת מול אשתקד'!A70,אינפניטי!A:G,7,0)</f>
        <v>14640466.6</v>
      </c>
      <c r="L70" s="12">
        <f>VLOOKUP(A70,הכשרה!A:K,8,0)+VLOOKUP('תפוקה מצטברת מול אשתקד'!A70,מגדל!A:K,8,0)+VLOOKUP('תפוקה מצטברת מול אשתקד'!A70,מנורה!A:K,8,0)+VLOOKUP('תפוקה מצטברת מול אשתקד'!A70,איילון!A:K,8,0)+VLOOKUP('תפוקה מצטברת מול אשתקד'!A70,הראל!A:K,8,0)+VLOOKUP('תפוקה מצטברת מול אשתקד'!A70,הפניקס!A:K,8,0)+VLOOKUP('תפוקה מצטברת מול אשתקד'!A70,כלל!A:K,8,0)+VLOOKUP('תפוקה מצטברת מול אשתקד'!A70,מור!A:K,8,0)+VLOOKUP('תפוקה מצטברת מול אשתקד'!A70,'אלטשולר שחם'!A:K,8,0)+VLOOKUP('תפוקה מצטברת מול אשתקד'!A70,'מדיהו '!A:K,8,0)+VLOOKUP('תפוקה מצטברת מול אשתקד'!A70,'אנליסט '!A:K,8,0)+VLOOKUP('תפוקה מצטברת מול אשתקד'!A70,'מיטב דש'!A:K,8,0)+VLOOKUP('תפוקה מצטברת מול אשתקד'!A70,אינפניטי!A:K,8,0)</f>
        <v>903245.86161902687</v>
      </c>
      <c r="M70" s="12">
        <f>VLOOKUP(A70,הכשרה!A:K,9,0)+VLOOKUP('תפוקה מצטברת מול אשתקד'!A70,מגדל!A:K,9,0)+VLOOKUP('תפוקה מצטברת מול אשתקד'!A70,מנורה!A:K,9,0)+VLOOKUP('תפוקה מצטברת מול אשתקד'!A70,איילון!A:K,9,0)+VLOOKUP('תפוקה מצטברת מול אשתקד'!A70,הראל!A:K,9,0)+VLOOKUP('תפוקה מצטברת מול אשתקד'!A70,הפניקס!A:K,9,0)+VLOOKUP('תפוקה מצטברת מול אשתקד'!A70,כלל!A:K,9,0)+VLOOKUP('תפוקה מצטברת מול אשתקד'!A70,מור!A:K,9,0)+VLOOKUP('תפוקה מצטברת מול אשתקד'!A70,'אלטשולר שחם'!A:K,9,0)+VLOOKUP('תפוקה מצטברת מול אשתקד'!A70,'מדיהו '!A:K,9,0)+VLOOKUP('תפוקה מצטברת מול אשתקד'!A70,'אנליסט '!A:K,9,0)+VLOOKUP('תפוקה מצטברת מול אשתקד'!A70,'מיטב דש'!A:K,9,0)+VLOOKUP('תפוקה מצטברת מול אשתקד'!A70,אינפניטי!A:K,9,0)</f>
        <v>69316.688800670498</v>
      </c>
      <c r="N70" s="12">
        <f>VLOOKUP(A70,הכשרה!A:K,10,0)+VLOOKUP('תפוקה מצטברת מול אשתקד'!A70,מגדל!A:K,10,0)+VLOOKUP('תפוקה מצטברת מול אשתקד'!A70,מנורה!A:K,10,0)+VLOOKUP('תפוקה מצטברת מול אשתקד'!A70,איילון!A:K,10,0)+VLOOKUP('תפוקה מצטברת מול אשתקד'!A70,הראל!A:K,10,0)+VLOOKUP('תפוקה מצטברת מול אשתקד'!A70,הפניקס!A:K,10,0)+VLOOKUP('תפוקה מצטברת מול אשתקד'!A70,כלל!A:K,10,0)+VLOOKUP('תפוקה מצטברת מול אשתקד'!A70,מור!A:K,10,0)+VLOOKUP('תפוקה מצטברת מול אשתקד'!A70,'אלטשולר שחם'!A:K,10,0)+VLOOKUP('תפוקה מצטברת מול אשתקד'!A70,'מדיהו '!A:K,10,0)+VLOOKUP('תפוקה מצטברת מול אשתקד'!A70,'אנליסט '!A:K,10,0)+VLOOKUP('תפוקה מצטברת מול אשתקד'!A70,'מיטב דש'!A:K,10,0)+VLOOKUP('תפוקה מצטברת מול אשתקד'!A70,אינפניטי!A:K,10,0)</f>
        <v>8115444.8987199999</v>
      </c>
      <c r="O70" s="12">
        <f>VLOOKUP(A70,הכשרה!A:K,11,0)+VLOOKUP('תפוקה מצטברת מול אשתקד'!A70,מגדל!A:K,11,0)+VLOOKUP('תפוקה מצטברת מול אשתקד'!A70,מנורה!A:K,11,0)+VLOOKUP('תפוקה מצטברת מול אשתקד'!A70,איילון!A:K,11,0)+VLOOKUP('תפוקה מצטברת מול אשתקד'!A70,הראל!A:K,11,0)+VLOOKUP('תפוקה מצטברת מול אשתקד'!A70,הפניקס!A:K,11,0)+VLOOKUP('תפוקה מצטברת מול אשתקד'!A70,כלל!A:K,11,0)+VLOOKUP('תפוקה מצטברת מול אשתקד'!A70,מור!A:K,11,0)+VLOOKUP('תפוקה מצטברת מול אשתקד'!A70,'אלטשולר שחם'!A:K,11,0)+VLOOKUP('תפוקה מצטברת מול אשתקד'!A70,'מדיהו '!A:K,11,0)+VLOOKUP('תפוקה מצטברת מול אשתקד'!A70,'אנליסט '!A:K,11,0)+VLOOKUP('תפוקה מצטברת מול אשתקד'!A70,'מיטב דש'!A:K,11,0)+VLOOKUP('תפוקה מצטברת מול אשתקד'!A70,אינפניטי!A:K,11,0)</f>
        <v>7226495.7974399999</v>
      </c>
    </row>
    <row r="71" spans="1:15" ht="15.75" customHeight="1" thickBot="1" x14ac:dyDescent="0.25">
      <c r="A71" s="26" t="s">
        <v>81</v>
      </c>
      <c r="B71" s="26" t="s">
        <v>56</v>
      </c>
      <c r="C71" s="28" t="s">
        <v>103</v>
      </c>
      <c r="D71" s="101">
        <f t="shared" si="13"/>
        <v>1</v>
      </c>
      <c r="E71" s="101">
        <f t="shared" si="13"/>
        <v>-7.5510463500284564E-3</v>
      </c>
      <c r="F71" s="101">
        <f t="shared" si="13"/>
        <v>0</v>
      </c>
      <c r="G71" s="19">
        <f t="shared" si="4"/>
        <v>0</v>
      </c>
      <c r="H71" s="58">
        <f>VLOOKUP(A71,הכשרה!A:G,4,0)+VLOOKUP('תפוקה מצטברת מול אשתקד'!A71,מגדל!A:G,4,0)+VLOOKUP('תפוקה מצטברת מול אשתקד'!A71,מנורה!A:G,4,0)+VLOOKUP('תפוקה מצטברת מול אשתקד'!A71,איילון!A:G,4,0)+VLOOKUP('תפוקה מצטברת מול אשתקד'!A71,הראל!A:G,4,0)+VLOOKUP('תפוקה מצטברת מול אשתקד'!A71,הפניקס!A:G,4,0)+VLOOKUP('תפוקה מצטברת מול אשתקד'!A71,כלל!A:G,4,0)+VLOOKUP('תפוקה מצטברת מול אשתקד'!A71,מור!A:G,4,0)+VLOOKUP('תפוקה מצטברת מול אשתקד'!A71,'אלטשולר שחם'!A:G,4,0)+VLOOKUP('תפוקה מצטברת מול אשתקד'!A71,'מדיהו '!A:G,4,0)+VLOOKUP('תפוקה מצטברת מול אשתקד'!A71,'אנליסט '!A:G,4,0)+VLOOKUP('תפוקה מצטברת מול אשתקד'!A71,'מיטב דש'!A:G,4,0)+VLOOKUP('תפוקה מצטברת מול אשתקד'!A71,אינפניטי!A:G,4,0)</f>
        <v>83965.37</v>
      </c>
      <c r="I71" s="58">
        <f>VLOOKUP(A71,הכשרה!A:G,5,0)+VLOOKUP('תפוקה מצטברת מול אשתקד'!A71,מגדל!A:G,5,0)+VLOOKUP('תפוקה מצטברת מול אשתקד'!A71,מנורה!A:G,5,0)+VLOOKUP('תפוקה מצטברת מול אשתקד'!A71,איילון!A:G,5,0)+VLOOKUP('תפוקה מצטברת מול אשתקד'!A71,הראל!A:G,5,0)+VLOOKUP('תפוקה מצטברת מול אשתקד'!A71,הפניקס!A:G,5,0)+VLOOKUP('תפוקה מצטברת מול אשתקד'!A71,כלל!A:G,5,0)+VLOOKUP('תפוקה מצטברת מול אשתקד'!A71,מור!A:G,5,0)+VLOOKUP('תפוקה מצטברת מול אשתקד'!A71,'אלטשולר שחם'!A:G,5,0)+VLOOKUP('תפוקה מצטברת מול אשתקד'!A71,'מדיהו '!A:G,5,0)+VLOOKUP('תפוקה מצטברת מול אשתקד'!A71,'אנליסט '!A:G,5,0)+VLOOKUP('תפוקה מצטברת מול אשתקד'!A71,'מיטב דש'!A:G,5,0)+VLOOKUP('תפוקה מצטברת מול אשתקד'!A71,אינפניטי!A:G,5,0)</f>
        <v>16091.217000000001</v>
      </c>
      <c r="J71" s="58">
        <f>VLOOKUP(A71,הכשרה!A:G,6,0)+VLOOKUP('תפוקה מצטברת מול אשתקד'!A71,מגדל!A:G,6,0)+VLOOKUP('תפוקה מצטברת מול אשתקד'!A71,מנורה!A:G,6,0)+VLOOKUP('תפוקה מצטברת מול אשתקד'!A71,איילון!A:G,6,0)+VLOOKUP(A71,הראל!A:G,6,0)+VLOOKUP('תפוקה מצטברת מול אשתקד'!A71,הפניקס!A:G,6,0)+VLOOKUP('תפוקה מצטברת מול אשתקד'!A71,כלל!A:G,6,0)+VLOOKUP('תפוקה מצטברת מול אשתקד'!A71,מור!A:G,6,0)+VLOOKUP('תפוקה מצטברת מול אשתקד'!A71,'אלטשולר שחם'!A:G,6,0)+VLOOKUP('תפוקה מצטברת מול אשתקד'!A71,'מדיהו '!A:G,6,0)+VLOOKUP('תפוקה מצטברת מול אשתקד'!A71,'אנליסט '!A:G,6,0)+VLOOKUP('תפוקה מצטברת מול אשתקד'!A71,'מיטב דש'!A:G,6,0)+VLOOKUP('תפוקה מצטברת מול אשתקד'!A71,אינפניטי!A:G,6,0)</f>
        <v>0</v>
      </c>
      <c r="K71" s="58">
        <f>VLOOKUP(A71,הכשרה!A:G,7,0)+VLOOKUP('תפוקה מצטברת מול אשתקד'!A71,מגדל!A:G,7,0)+VLOOKUP('תפוקה מצטברת מול אשתקד'!A71,מנורה!A:G,7,0)+VLOOKUP('תפוקה מצטברת מול אשתקד'!A71,איילון!A:G,7,0)+VLOOKUP('תפוקה מצטברת מול אשתקד'!A71,הראל!A:G,7,0)+VLOOKUP('תפוקה מצטברת מול אשתקד'!A71,הפניקס!A:G,7,0)+VLOOKUP('תפוקה מצטברת מול אשתקד'!A71,כלל!A:G,7,0)+VLOOKUP('תפוקה מצטברת מול אשתקד'!A71,מור!A:G,7,0)+VLOOKUP('תפוקה מצטברת מול אשתקד'!A71,'אלטשולר שחם'!A:G,7,0)+VLOOKUP('תפוקה מצטברת מול אשתקד'!A71,'מדיהו '!A:K,7,0)+VLOOKUP(A71,'אנליסט '!A:G,7,0)+VLOOKUP('תפוקה מצטברת מול אשתקד'!A71,'מיטב דש'!A:G,7,0)+VLOOKUP('תפוקה מצטברת מול אשתקד'!A71,אינפניטי!A:G,7,0)</f>
        <v>0</v>
      </c>
      <c r="L71" s="12">
        <f>VLOOKUP(A71,הכשרה!A:K,8,0)+VLOOKUP('תפוקה מצטברת מול אשתקד'!A71,מגדל!A:K,8,0)+VLOOKUP('תפוקה מצטברת מול אשתקד'!A71,מנורה!A:K,8,0)+VLOOKUP('תפוקה מצטברת מול אשתקד'!A71,איילון!A:K,8,0)+VLOOKUP('תפוקה מצטברת מול אשתקד'!A71,הראל!A:K,8,0)+VLOOKUP('תפוקה מצטברת מול אשתקד'!A71,הפניקס!A:K,8,0)+VLOOKUP('תפוקה מצטברת מול אשתקד'!A71,כלל!A:K,8,0)+VLOOKUP('תפוקה מצטברת מול אשתקד'!A71,מור!A:K,8,0)+VLOOKUP('תפוקה מצטברת מול אשתקד'!A71,'אלטשולר שחם'!A:K,8,0)+VLOOKUP('תפוקה מצטברת מול אשתקד'!A71,'מדיהו '!A:K,8,0)+VLOOKUP('תפוקה מצטברת מול אשתקד'!A71,'אנליסט '!A:K,8,0)+VLOOKUP('תפוקה מצטברת מול אשתקד'!A71,'מיטב דש'!A:K,8,0)+VLOOKUP('תפוקה מצטברת מול אשתקד'!A71,אינפניטי!A:K,8,0)</f>
        <v>0</v>
      </c>
      <c r="M71" s="12">
        <f>VLOOKUP(A71,הכשרה!A:K,9,0)+VLOOKUP('תפוקה מצטברת מול אשתקד'!A71,מגדל!A:K,9,0)+VLOOKUP('תפוקה מצטברת מול אשתקד'!A71,מנורה!A:K,9,0)+VLOOKUP('תפוקה מצטברת מול אשתקד'!A71,איילון!A:K,9,0)+VLOOKUP('תפוקה מצטברת מול אשתקד'!A71,הראל!A:K,9,0)+VLOOKUP('תפוקה מצטברת מול אשתקד'!A71,הפניקס!A:K,9,0)+VLOOKUP('תפוקה מצטברת מול אשתקד'!A71,כלל!A:K,9,0)+VLOOKUP('תפוקה מצטברת מול אשתקד'!A71,מור!A:K,9,0)+VLOOKUP('תפוקה מצטברת מול אשתקד'!A71,'אלטשולר שחם'!A:K,9,0)+VLOOKUP('תפוקה מצטברת מול אשתקד'!A71,'מדיהו '!A:K,9,0)+VLOOKUP('תפוקה מצטברת מול אשתקד'!A71,'אנליסט '!A:K,9,0)+VLOOKUP('תפוקה מצטברת מול אשתקד'!A71,'מיטב דש'!A:K,9,0)+VLOOKUP('תפוקה מצטברת מול אשתקד'!A71,אינפניטי!A:K,9,0)</f>
        <v>16213.647000000001</v>
      </c>
      <c r="N71" s="12">
        <f>VLOOKUP(A71,הכשרה!A:K,10,0)+VLOOKUP('תפוקה מצטברת מול אשתקד'!A71,מגדל!A:K,10,0)+VLOOKUP('תפוקה מצטברת מול אשתקד'!A71,מנורה!A:K,10,0)+VLOOKUP('תפוקה מצטברת מול אשתקד'!A71,איילון!A:K,10,0)+VLOOKUP('תפוקה מצטברת מול אשתקד'!A71,הראל!A:K,10,0)+VLOOKUP('תפוקה מצטברת מול אשתקד'!A71,הפניקס!A:K,10,0)+VLOOKUP('תפוקה מצטברת מול אשתקד'!A71,כלל!A:K,10,0)+VLOOKUP('תפוקה מצטברת מול אשתקד'!A71,מור!A:K,10,0)+VLOOKUP('תפוקה מצטברת מול אשתקד'!A71,'אלטשולר שחם'!A:K,10,0)+VLOOKUP('תפוקה מצטברת מול אשתקד'!A71,'מדיהו '!A:K,10,0)+VLOOKUP('תפוקה מצטברת מול אשתקד'!A71,'אנליסט '!A:K,10,0)+VLOOKUP('תפוקה מצטברת מול אשתקד'!A71,'מיטב דש'!A:K,10,0)+VLOOKUP('תפוקה מצטברת מול אשתקד'!A71,אינפניטי!A:K,10,0)</f>
        <v>0</v>
      </c>
      <c r="O71" s="12">
        <f>VLOOKUP(A71,הכשרה!A:K,11,0)+VLOOKUP('תפוקה מצטברת מול אשתקד'!A71,מגדל!A:K,11,0)+VLOOKUP('תפוקה מצטברת מול אשתקד'!A71,מנורה!A:K,11,0)+VLOOKUP('תפוקה מצטברת מול אשתקד'!A71,איילון!A:K,11,0)+VLOOKUP('תפוקה מצטברת מול אשתקד'!A71,הראל!A:K,11,0)+VLOOKUP('תפוקה מצטברת מול אשתקד'!A71,הפניקס!A:K,11,0)+VLOOKUP('תפוקה מצטברת מול אשתקד'!A71,כלל!A:K,11,0)+VLOOKUP('תפוקה מצטברת מול אשתקד'!A71,מור!A:K,11,0)+VLOOKUP('תפוקה מצטברת מול אשתקד'!A71,'אלטשולר שחם'!A:K,11,0)+VLOOKUP('תפוקה מצטברת מול אשתקד'!A71,'מדיהו '!A:K,11,0)+VLOOKUP('תפוקה מצטברת מול אשתקד'!A71,'אנליסט '!A:K,11,0)+VLOOKUP('תפוקה מצטברת מול אשתקד'!A71,'מיטב דש'!A:K,11,0)+VLOOKUP('תפוקה מצטברת מול אשתקד'!A71,אינפניטי!A:K,11,0)</f>
        <v>0</v>
      </c>
    </row>
    <row r="72" spans="1:15" ht="28.15" customHeight="1" thickBot="1" x14ac:dyDescent="0.25">
      <c r="A72" s="122" t="s">
        <v>44</v>
      </c>
      <c r="B72" s="121"/>
      <c r="C72" s="121"/>
      <c r="D72" s="126">
        <f t="shared" si="13"/>
        <v>0.35810555592664395</v>
      </c>
      <c r="E72" s="126">
        <f t="shared" si="13"/>
        <v>0.53136469753736382</v>
      </c>
      <c r="F72" s="126">
        <f t="shared" si="13"/>
        <v>0.34324168620445694</v>
      </c>
      <c r="G72" s="19">
        <f t="shared" si="4"/>
        <v>0.66958989646048317</v>
      </c>
      <c r="H72" s="124">
        <f>SUM(H64:H71)</f>
        <v>3058662.529156188</v>
      </c>
      <c r="I72" s="124">
        <f t="shared" ref="I72:O72" si="14">SUM(I64:I71)</f>
        <v>552939.7138016246</v>
      </c>
      <c r="J72" s="124">
        <f t="shared" si="14"/>
        <v>22242287.891716287</v>
      </c>
      <c r="K72" s="124">
        <f t="shared" si="14"/>
        <v>25758783.420000002</v>
      </c>
      <c r="L72" s="124">
        <f t="shared" si="14"/>
        <v>2252153.7562441113</v>
      </c>
      <c r="M72" s="124">
        <f t="shared" si="14"/>
        <v>361076.44030897703</v>
      </c>
      <c r="N72" s="124">
        <f t="shared" si="14"/>
        <v>16558664.103528092</v>
      </c>
      <c r="O72" s="124">
        <f t="shared" si="14"/>
        <v>15428209.930240002</v>
      </c>
    </row>
    <row r="73" spans="1:15" ht="30" customHeight="1" thickBot="1" x14ac:dyDescent="0.25">
      <c r="A73" s="122" t="s">
        <v>45</v>
      </c>
      <c r="B73" s="121"/>
      <c r="C73" s="121"/>
      <c r="D73" s="126">
        <f t="shared" si="13"/>
        <v>0.24915819338197021</v>
      </c>
      <c r="E73" s="126">
        <f t="shared" si="13"/>
        <v>0.22273910347530301</v>
      </c>
      <c r="F73" s="126">
        <f t="shared" si="13"/>
        <v>4.0234620632261464E-2</v>
      </c>
      <c r="G73" s="19">
        <f t="shared" si="4"/>
        <v>0.26116741390306242</v>
      </c>
      <c r="H73" s="124">
        <f>H72+H63+H54+H21+H8</f>
        <v>15351099.869007051</v>
      </c>
      <c r="I73" s="124">
        <f t="shared" ref="I73:O73" si="15">I72+I63+I54+I21+I8</f>
        <v>2485647.4313796852</v>
      </c>
      <c r="J73" s="124">
        <f t="shared" si="15"/>
        <v>60377536.442618467</v>
      </c>
      <c r="K73" s="124">
        <f t="shared" si="15"/>
        <v>75736718.784999996</v>
      </c>
      <c r="L73" s="124">
        <f t="shared" si="15"/>
        <v>12289155.969465718</v>
      </c>
      <c r="M73" s="124">
        <f t="shared" si="15"/>
        <v>2032851.8359435052</v>
      </c>
      <c r="N73" s="124">
        <f t="shared" si="15"/>
        <v>58042229.363526285</v>
      </c>
      <c r="O73" s="124">
        <f t="shared" si="15"/>
        <v>60052866.851840004</v>
      </c>
    </row>
    <row r="74" spans="1:15" ht="15.75" customHeight="1" x14ac:dyDescent="0.2"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5" customFormat="1" ht="15.75" customHeight="1" x14ac:dyDescent="0.25">
      <c r="A75" s="32"/>
    </row>
    <row r="76" spans="1:15" customFormat="1" ht="15.75" customHeight="1" x14ac:dyDescent="0.25">
      <c r="A76" s="32"/>
      <c r="H76" s="6"/>
      <c r="I76" s="6"/>
      <c r="J76" s="6"/>
      <c r="K76" s="6"/>
    </row>
    <row r="77" spans="1:15" customFormat="1" ht="15.75" customHeight="1" x14ac:dyDescent="0.25">
      <c r="A77" s="32"/>
    </row>
    <row r="78" spans="1:15" customFormat="1" ht="15.75" customHeight="1" x14ac:dyDescent="0.25">
      <c r="A78" s="32"/>
      <c r="H78" s="9"/>
      <c r="I78" s="9"/>
      <c r="J78" s="9"/>
      <c r="K78" s="9"/>
      <c r="N78" s="97"/>
    </row>
    <row r="79" spans="1:15" ht="15.75" customHeight="1" x14ac:dyDescent="0.2">
      <c r="H79" s="10"/>
      <c r="I79" s="10"/>
      <c r="J79" s="10"/>
      <c r="K79" s="10"/>
    </row>
  </sheetData>
  <autoFilter ref="A2:R73" xr:uid="{A4CB721E-4C57-46C7-85BA-332EA5413B68}"/>
  <mergeCells count="3">
    <mergeCell ref="H1:K1"/>
    <mergeCell ref="D1:F1"/>
    <mergeCell ref="L1:O1"/>
  </mergeCells>
  <conditionalFormatting sqref="A14">
    <cfRule type="duplicateValues" dxfId="263" priority="13"/>
    <cfRule type="duplicateValues" dxfId="262" priority="14"/>
  </conditionalFormatting>
  <conditionalFormatting sqref="A58">
    <cfRule type="duplicateValues" dxfId="261" priority="17"/>
    <cfRule type="duplicateValues" dxfId="260" priority="18"/>
  </conditionalFormatting>
  <conditionalFormatting sqref="A62 A22:A53 A59 A55:A57 A7">
    <cfRule type="duplicateValues" dxfId="259" priority="224"/>
    <cfRule type="duplicateValues" dxfId="258" priority="225"/>
  </conditionalFormatting>
  <conditionalFormatting sqref="A64:A71">
    <cfRule type="duplicateValues" dxfId="257" priority="126"/>
    <cfRule type="duplicateValues" dxfId="256" priority="127"/>
  </conditionalFormatting>
  <conditionalFormatting sqref="A72:A1048576 A1:A6 A8:A13 A15:A21 A63 A54">
    <cfRule type="duplicateValues" dxfId="255" priority="80"/>
    <cfRule type="duplicateValues" dxfId="254" priority="81"/>
  </conditionalFormatting>
  <conditionalFormatting sqref="D1:D24 E2:G24 G15:G73 D79:G1048576 D25:G74">
    <cfRule type="cellIs" dxfId="253" priority="35" operator="lessThan">
      <formula>-0.0001</formula>
    </cfRule>
  </conditionalFormatting>
  <conditionalFormatting sqref="D79:G1048576 D3:G74">
    <cfRule type="cellIs" dxfId="252" priority="36" operator="greaterThan">
      <formula>0.1</formula>
    </cfRule>
  </conditionalFormatting>
  <conditionalFormatting sqref="H8:O8">
    <cfRule type="duplicateValues" dxfId="251" priority="9"/>
    <cfRule type="duplicateValues" dxfId="250" priority="10"/>
  </conditionalFormatting>
  <conditionalFormatting sqref="H21:O21">
    <cfRule type="duplicateValues" dxfId="249" priority="1"/>
    <cfRule type="duplicateValues" dxfId="248" priority="2"/>
  </conditionalFormatting>
  <conditionalFormatting sqref="H54:O54">
    <cfRule type="duplicateValues" dxfId="247" priority="5"/>
    <cfRule type="duplicateValues" dxfId="246" priority="6"/>
  </conditionalFormatting>
  <conditionalFormatting sqref="H63:O63">
    <cfRule type="duplicateValues" dxfId="245" priority="3"/>
    <cfRule type="duplicateValues" dxfId="244" priority="4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8895-D3E4-49E3-AA83-C6D39DC12A72}">
  <sheetPr>
    <tabColor theme="4" tint="0.39997558519241921"/>
  </sheetPr>
  <dimension ref="A1:P85"/>
  <sheetViews>
    <sheetView rightToLeft="1" workbookViewId="0">
      <pane ySplit="2" topLeftCell="A62" activePane="bottomLeft" state="frozen"/>
      <selection pane="bottomLeft" activeCell="I79" sqref="I79"/>
    </sheetView>
  </sheetViews>
  <sheetFormatPr defaultColWidth="18.875" defaultRowHeight="15" x14ac:dyDescent="0.2"/>
  <cols>
    <col min="1" max="1" width="30" style="1" bestFit="1" customWidth="1"/>
    <col min="2" max="2" width="8.75" style="1" bestFit="1" customWidth="1"/>
    <col min="3" max="3" width="7.75" style="1" bestFit="1" customWidth="1"/>
    <col min="4" max="4" width="7.75" style="3" bestFit="1" customWidth="1"/>
    <col min="5" max="5" width="8" style="3" bestFit="1" customWidth="1"/>
    <col min="6" max="6" width="8.875" style="3" bestFit="1" customWidth="1"/>
    <col min="7" max="7" width="11" style="3" bestFit="1" customWidth="1"/>
    <col min="8" max="9" width="15.25" style="2" bestFit="1" customWidth="1"/>
    <col min="10" max="11" width="16.875" style="2" bestFit="1" customWidth="1"/>
    <col min="12" max="13" width="15.25" style="2" bestFit="1" customWidth="1"/>
    <col min="14" max="15" width="16.875" style="2" bestFit="1" customWidth="1"/>
    <col min="16" max="16384" width="18.875" style="2"/>
  </cols>
  <sheetData>
    <row r="1" spans="1:16" ht="21" x14ac:dyDescent="0.35">
      <c r="A1" s="26"/>
      <c r="B1" s="26"/>
      <c r="C1" s="26"/>
      <c r="D1" s="228" t="s">
        <v>62</v>
      </c>
      <c r="E1" s="229"/>
      <c r="F1" s="229"/>
      <c r="G1" s="230"/>
      <c r="H1" s="231" t="s">
        <v>126</v>
      </c>
      <c r="I1" s="232"/>
      <c r="J1" s="232"/>
      <c r="K1" s="233"/>
      <c r="L1" s="227" t="s">
        <v>124</v>
      </c>
      <c r="M1" s="227"/>
      <c r="N1" s="227"/>
      <c r="O1" s="227"/>
    </row>
    <row r="2" spans="1:16" ht="21" x14ac:dyDescent="0.2">
      <c r="A2" s="11" t="s">
        <v>0</v>
      </c>
      <c r="B2" s="23" t="s">
        <v>53</v>
      </c>
      <c r="C2" s="23" t="s">
        <v>109</v>
      </c>
      <c r="D2" s="24" t="s">
        <v>46</v>
      </c>
      <c r="E2" s="24" t="s">
        <v>50</v>
      </c>
      <c r="F2" s="24" t="s">
        <v>51</v>
      </c>
      <c r="G2" s="24" t="s">
        <v>49</v>
      </c>
      <c r="H2" s="60" t="s">
        <v>46</v>
      </c>
      <c r="I2" s="60" t="s">
        <v>50</v>
      </c>
      <c r="J2" s="60" t="s">
        <v>51</v>
      </c>
      <c r="K2" s="60" t="s">
        <v>49</v>
      </c>
      <c r="L2" s="25" t="s">
        <v>46</v>
      </c>
      <c r="M2" s="25" t="s">
        <v>47</v>
      </c>
      <c r="N2" s="25" t="s">
        <v>48</v>
      </c>
      <c r="O2" s="25" t="s">
        <v>49</v>
      </c>
    </row>
    <row r="3" spans="1:16" ht="15.75" x14ac:dyDescent="0.2">
      <c r="A3" s="26" t="s">
        <v>1</v>
      </c>
      <c r="B3" s="26" t="s">
        <v>108</v>
      </c>
      <c r="C3" s="26" t="s">
        <v>58</v>
      </c>
      <c r="D3" s="61">
        <f t="shared" ref="D3:D65" si="0">IF(L3=0,0%,IF(H3=0,100%,L3/H3-1))</f>
        <v>-0.23621823095311301</v>
      </c>
      <c r="E3" s="61">
        <f t="shared" ref="E3:E65" si="1">IF(M3=0,0%,IF(I3=0,100%,M3/I3-1))</f>
        <v>-0.61636666955529296</v>
      </c>
      <c r="F3" s="61">
        <f>IF(N3=0,0%,IF(J3=0,100%,N3/J3-1))</f>
        <v>-0.28821968350041027</v>
      </c>
      <c r="G3" s="61">
        <f>IF(O3=0,0%,IF(K3=0,100%,O3/K3-1))</f>
        <v>-8.2613102201257949E-2</v>
      </c>
      <c r="H3" s="12">
        <v>5814000</v>
      </c>
      <c r="I3" s="12">
        <v>449800.00000000006</v>
      </c>
      <c r="J3" s="12">
        <v>15900000</v>
      </c>
      <c r="K3" s="12">
        <v>31800000</v>
      </c>
      <c r="L3" s="59">
        <f>VLOOKUP(A3,'תפוקה מצטברת מול אשתקד'!A:K,8,0)</f>
        <v>4440627.2052386012</v>
      </c>
      <c r="M3" s="62">
        <f>VLOOKUP(A3,'תפוקה מצטברת מול אשתקד'!A:K,9,0)</f>
        <v>172558.27203402924</v>
      </c>
      <c r="N3" s="62">
        <f>VLOOKUP(A3,'תפוקה מצטברת מול אשתקד'!A:K,10,0)</f>
        <v>11317307.032343477</v>
      </c>
      <c r="O3" s="62">
        <f>VLOOKUP(A3,'תפוקה מצטברת מול אשתקד'!A:K,11,0)</f>
        <v>29172903.349999998</v>
      </c>
    </row>
    <row r="4" spans="1:16" ht="15.75" x14ac:dyDescent="0.2">
      <c r="A4" s="26" t="s">
        <v>2</v>
      </c>
      <c r="B4" s="26" t="s">
        <v>108</v>
      </c>
      <c r="C4" s="26" t="s">
        <v>58</v>
      </c>
      <c r="D4" s="61">
        <f t="shared" si="0"/>
        <v>-0.33945646322835288</v>
      </c>
      <c r="E4" s="61">
        <f t="shared" si="1"/>
        <v>1</v>
      </c>
      <c r="F4" s="61">
        <f t="shared" ref="F4:F66" si="2">IF(N4=0,0%,IF(J4=0,100%,N4/J4-1))</f>
        <v>-0.75169195401806388</v>
      </c>
      <c r="G4" s="61">
        <f t="shared" ref="G4:G66" si="3">IF(O4=0,0%,IF(K4=0,100%,O4/K4-1))</f>
        <v>-0.81199549842767293</v>
      </c>
      <c r="H4" s="12">
        <v>484500</v>
      </c>
      <c r="I4" s="12">
        <v>0</v>
      </c>
      <c r="J4" s="12">
        <v>7950000</v>
      </c>
      <c r="K4" s="12">
        <v>6360000</v>
      </c>
      <c r="L4" s="59">
        <f>VLOOKUP(A4,'תפוקה מצטברת מול אשתקד'!A:K,8,0)</f>
        <v>320033.34356586303</v>
      </c>
      <c r="M4" s="62">
        <f>VLOOKUP(A4,'תפוקה מצטברת מול אשתקד'!A:K,9,0)</f>
        <v>3936.059176882663</v>
      </c>
      <c r="N4" s="62">
        <f>VLOOKUP(A4,'תפוקה מצטברת מול אשתקד'!A:K,10,0)</f>
        <v>1974048.9655563922</v>
      </c>
      <c r="O4" s="62">
        <f>VLOOKUP(A4,'תפוקה מצטברת מול אשתקד'!A:K,11,0)</f>
        <v>1195708.6299999999</v>
      </c>
    </row>
    <row r="5" spans="1:16" ht="15.75" x14ac:dyDescent="0.2">
      <c r="A5" s="26" t="s">
        <v>104</v>
      </c>
      <c r="B5" s="26" t="s">
        <v>108</v>
      </c>
      <c r="C5" s="26" t="s">
        <v>58</v>
      </c>
      <c r="D5" s="61">
        <f t="shared" si="0"/>
        <v>0</v>
      </c>
      <c r="E5" s="61">
        <f t="shared" si="1"/>
        <v>-0.60536931312485542</v>
      </c>
      <c r="F5" s="61">
        <f t="shared" si="2"/>
        <v>0</v>
      </c>
      <c r="G5" s="61">
        <f t="shared" si="3"/>
        <v>0</v>
      </c>
      <c r="H5" s="12">
        <v>0</v>
      </c>
      <c r="I5" s="12">
        <v>103800.00000000001</v>
      </c>
      <c r="J5" s="12">
        <v>0</v>
      </c>
      <c r="K5" s="12">
        <v>0</v>
      </c>
      <c r="L5" s="59">
        <f>VLOOKUP(A5,'תפוקה מצטברת מול אשתקד'!A:K,8,0)</f>
        <v>0</v>
      </c>
      <c r="M5" s="62">
        <f>VLOOKUP(A5,'תפוקה מצטברת מול אשתקד'!A:K,9,0)</f>
        <v>40962.665297640015</v>
      </c>
      <c r="N5" s="62">
        <f>VLOOKUP(A5,'תפוקה מצטברת מול אשתקד'!A:K,10,0)</f>
        <v>0</v>
      </c>
      <c r="O5" s="62">
        <f>VLOOKUP(A5,'תפוקה מצטברת מול אשתקד'!A:K,11,0)</f>
        <v>0</v>
      </c>
    </row>
    <row r="6" spans="1:16" ht="15.75" x14ac:dyDescent="0.2">
      <c r="A6" s="28" t="s">
        <v>105</v>
      </c>
      <c r="B6" s="28" t="s">
        <v>108</v>
      </c>
      <c r="C6" s="28" t="s">
        <v>58</v>
      </c>
      <c r="D6" s="145">
        <f t="shared" si="0"/>
        <v>0.18423450923619078</v>
      </c>
      <c r="E6" s="145">
        <f t="shared" si="1"/>
        <v>-0.64129986908587522</v>
      </c>
      <c r="F6" s="145">
        <f t="shared" si="2"/>
        <v>-0.28745081761006286</v>
      </c>
      <c r="G6" s="145">
        <f t="shared" si="3"/>
        <v>-0.58736707547169797</v>
      </c>
      <c r="H6" s="12">
        <v>161500</v>
      </c>
      <c r="I6" s="12">
        <v>86500.000000000015</v>
      </c>
      <c r="J6" s="12">
        <v>636000</v>
      </c>
      <c r="K6" s="12">
        <v>318000</v>
      </c>
      <c r="L6" s="59">
        <f>VLOOKUP(A6,'תפוקה מצטברת מול אשתקד'!A:K,8,0)</f>
        <v>191253.87324164482</v>
      </c>
      <c r="M6" s="62">
        <f>VLOOKUP(A6,'תפוקה מצטברת מול אשתקד'!A:K,9,0)</f>
        <v>31027.561324071801</v>
      </c>
      <c r="N6" s="62">
        <f>VLOOKUP(A6,'תפוקה מצטברת מול אשתקד'!A:K,10,0)</f>
        <v>453181.28</v>
      </c>
      <c r="O6" s="62">
        <f>VLOOKUP(A6,'תפוקה מצטברת מול אשתקד'!A:K,11,0)</f>
        <v>131217.27000000005</v>
      </c>
    </row>
    <row r="7" spans="1:16" ht="16.5" thickBot="1" x14ac:dyDescent="0.25">
      <c r="A7" s="26" t="s">
        <v>34</v>
      </c>
      <c r="B7" s="26" t="s">
        <v>108</v>
      </c>
      <c r="C7" s="27" t="s">
        <v>58</v>
      </c>
      <c r="D7" s="61">
        <f>IF(L7=0,0%,IF(H7=0,100%,L7/H7-1))</f>
        <v>1</v>
      </c>
      <c r="E7" s="61">
        <f>IF(M7=0,0%,IF(I7=0,100%,M7/I7-1))</f>
        <v>1</v>
      </c>
      <c r="F7" s="61">
        <f>IF(N7=0,0%,IF(J7=0,100%,N7/J7-1))</f>
        <v>-0.96195518867924523</v>
      </c>
      <c r="G7" s="61">
        <f>IF(O7=0,0%,IF(K7=0,100%,O7/K7-1))</f>
        <v>-0.66927000000000003</v>
      </c>
      <c r="H7" s="12">
        <v>0</v>
      </c>
      <c r="I7" s="12">
        <v>0</v>
      </c>
      <c r="J7" s="12">
        <v>318000</v>
      </c>
      <c r="K7" s="12">
        <v>159000</v>
      </c>
      <c r="L7" s="59">
        <f>VLOOKUP(A7,'תפוקה מצטברת מול אשתקד'!A:K,8,0)</f>
        <v>19299.96</v>
      </c>
      <c r="M7" s="62">
        <f>VLOOKUP(A7,'תפוקה מצטברת מול אשתקד'!A:K,9,0)</f>
        <v>1236.72</v>
      </c>
      <c r="N7" s="62">
        <f>VLOOKUP(A7,'תפוקה מצטברת מול אשתקד'!A:K,10,0)</f>
        <v>12098.25</v>
      </c>
      <c r="O7" s="62">
        <f>VLOOKUP(A7,'תפוקה מצטברת מול אשתקד'!A:K,11,0)</f>
        <v>52586.07</v>
      </c>
    </row>
    <row r="8" spans="1:16" ht="21.75" thickBot="1" x14ac:dyDescent="0.25">
      <c r="A8" s="17" t="s">
        <v>3</v>
      </c>
      <c r="B8" s="57"/>
      <c r="C8" s="147"/>
      <c r="D8" s="148">
        <f t="shared" si="0"/>
        <v>-0.23046216996190272</v>
      </c>
      <c r="E8" s="148">
        <f t="shared" si="1"/>
        <v>-0.60987146097074874</v>
      </c>
      <c r="F8" s="148">
        <f t="shared" si="2"/>
        <v>-0.44538640832527543</v>
      </c>
      <c r="G8" s="148">
        <f t="shared" si="3"/>
        <v>-0.20924462768848517</v>
      </c>
      <c r="H8" s="173">
        <f>SUM(H3:H7)</f>
        <v>6460000</v>
      </c>
      <c r="I8" s="173">
        <f>SUM(I3:I7)</f>
        <v>640100.00000000012</v>
      </c>
      <c r="J8" s="173">
        <f>SUM(J3:J7)</f>
        <v>24804000</v>
      </c>
      <c r="K8" s="173">
        <f>SUM(K3:K7)</f>
        <v>38637000</v>
      </c>
      <c r="L8" s="173">
        <f>SUM(L3:L7)</f>
        <v>4971214.3820461081</v>
      </c>
      <c r="M8" s="173">
        <f t="shared" ref="M8:O8" si="4">SUM(M3:M7)</f>
        <v>249721.27783262375</v>
      </c>
      <c r="N8" s="173">
        <f t="shared" si="4"/>
        <v>13756635.527899869</v>
      </c>
      <c r="O8" s="173">
        <f t="shared" si="4"/>
        <v>30552415.319999997</v>
      </c>
    </row>
    <row r="9" spans="1:16" ht="15.75" x14ac:dyDescent="0.2">
      <c r="A9" s="27" t="s">
        <v>4</v>
      </c>
      <c r="B9" s="27" t="s">
        <v>108</v>
      </c>
      <c r="C9" s="27" t="s">
        <v>106</v>
      </c>
      <c r="D9" s="146">
        <f t="shared" si="0"/>
        <v>1</v>
      </c>
      <c r="E9" s="146">
        <f t="shared" si="1"/>
        <v>1</v>
      </c>
      <c r="F9" s="146">
        <f t="shared" si="2"/>
        <v>0</v>
      </c>
      <c r="G9" s="146">
        <f t="shared" si="3"/>
        <v>1</v>
      </c>
      <c r="H9" s="12">
        <v>0</v>
      </c>
      <c r="I9" s="12">
        <v>0</v>
      </c>
      <c r="J9" s="12">
        <v>0</v>
      </c>
      <c r="K9" s="12">
        <v>0</v>
      </c>
      <c r="L9" s="59">
        <f>VLOOKUP(A9,'תפוקה מצטברת מול אשתקד'!A:K,8,0)</f>
        <v>24918.939624457689</v>
      </c>
      <c r="M9" s="62">
        <f>VLOOKUP(A9,'תפוקה מצטברת מול אשתקד'!A:K,9,0)</f>
        <v>1160.585</v>
      </c>
      <c r="N9" s="62">
        <f>VLOOKUP(A9,'תפוקה מצטברת מול אשתקד'!A:K,10,0)</f>
        <v>0</v>
      </c>
      <c r="O9" s="62">
        <f>VLOOKUP(A9,'תפוקה מצטברת מול אשתקד'!A:K,11,0)</f>
        <v>-191018.59999999998</v>
      </c>
    </row>
    <row r="10" spans="1:16" ht="15.75" x14ac:dyDescent="0.2">
      <c r="A10" s="26" t="s">
        <v>5</v>
      </c>
      <c r="B10" s="26" t="s">
        <v>108</v>
      </c>
      <c r="C10" s="26" t="s">
        <v>106</v>
      </c>
      <c r="D10" s="61">
        <f t="shared" si="0"/>
        <v>-0.37358498934582063</v>
      </c>
      <c r="E10" s="61">
        <f t="shared" si="1"/>
        <v>0.60782257500718928</v>
      </c>
      <c r="F10" s="61">
        <f t="shared" si="2"/>
        <v>-2.6063808390884402E-2</v>
      </c>
      <c r="G10" s="61">
        <f t="shared" si="3"/>
        <v>0.39676870440251588</v>
      </c>
      <c r="H10" s="12">
        <v>807500</v>
      </c>
      <c r="I10" s="12">
        <v>346000.00000000006</v>
      </c>
      <c r="J10" s="12">
        <v>318000</v>
      </c>
      <c r="K10" s="12">
        <v>795000</v>
      </c>
      <c r="L10" s="59">
        <f>VLOOKUP(A10,'תפוקה מצטברת מול אשתקד'!A:K,8,0)</f>
        <v>505830.12110324984</v>
      </c>
      <c r="M10" s="62">
        <f>VLOOKUP(A10,'תפוקה מצטברת מול אשתקד'!A:K,9,0)</f>
        <v>556306.61095248756</v>
      </c>
      <c r="N10" s="62">
        <f>VLOOKUP(A10,'תפוקה מצטברת מול אשתקד'!A:K,10,0)</f>
        <v>309711.70893169875</v>
      </c>
      <c r="O10" s="62">
        <f>VLOOKUP(A10,'תפוקה מצטברת מול אשתקד'!A:K,11,0)</f>
        <v>1110431.1200000001</v>
      </c>
    </row>
    <row r="11" spans="1:16" ht="15.75" x14ac:dyDescent="0.2">
      <c r="A11" s="26" t="s">
        <v>6</v>
      </c>
      <c r="B11" s="26" t="s">
        <v>108</v>
      </c>
      <c r="C11" s="26" t="s">
        <v>106</v>
      </c>
      <c r="D11" s="61">
        <f t="shared" si="0"/>
        <v>-0.49059978580474639</v>
      </c>
      <c r="E11" s="61">
        <f t="shared" si="1"/>
        <v>-0.70391910645182565</v>
      </c>
      <c r="F11" s="61">
        <f t="shared" si="2"/>
        <v>1</v>
      </c>
      <c r="G11" s="61">
        <f t="shared" si="3"/>
        <v>1</v>
      </c>
      <c r="H11" s="12">
        <v>161500</v>
      </c>
      <c r="I11" s="12">
        <v>69200</v>
      </c>
      <c r="J11" s="12">
        <v>0</v>
      </c>
      <c r="K11" s="12">
        <v>0</v>
      </c>
      <c r="L11" s="59">
        <f>VLOOKUP(A11,'תפוקה מצטברת מול אשתקד'!A:K,8,0)</f>
        <v>82268.134592533461</v>
      </c>
      <c r="M11" s="62">
        <f>VLOOKUP(A11,'תפוקה מצטברת מול אשתקד'!A:K,9,0)</f>
        <v>20488.797833533667</v>
      </c>
      <c r="N11" s="62">
        <f>VLOOKUP(A11,'תפוקה מצטברת מול אשתקד'!A:K,10,0)</f>
        <v>561287.05948263151</v>
      </c>
      <c r="O11" s="62">
        <f>VLOOKUP(A11,'תפוקה מצטברת מול אשתקד'!A:K,11,0)</f>
        <v>-13840.25</v>
      </c>
    </row>
    <row r="12" spans="1:16" ht="15.75" x14ac:dyDescent="0.2">
      <c r="A12" s="26" t="s">
        <v>7</v>
      </c>
      <c r="B12" s="26" t="s">
        <v>108</v>
      </c>
      <c r="C12" s="26" t="s">
        <v>106</v>
      </c>
      <c r="D12" s="61">
        <f t="shared" si="0"/>
        <v>1</v>
      </c>
      <c r="E12" s="61">
        <f t="shared" si="1"/>
        <v>1</v>
      </c>
      <c r="F12" s="61">
        <f t="shared" si="2"/>
        <v>1</v>
      </c>
      <c r="G12" s="61">
        <f t="shared" si="3"/>
        <v>1</v>
      </c>
      <c r="H12" s="12">
        <v>0</v>
      </c>
      <c r="I12" s="12">
        <v>0</v>
      </c>
      <c r="J12" s="12">
        <v>0</v>
      </c>
      <c r="K12" s="12">
        <v>0</v>
      </c>
      <c r="L12" s="59">
        <f>VLOOKUP(A12,'תפוקה מצטברת מול אשתקד'!A:K,8,0)</f>
        <v>94573.23</v>
      </c>
      <c r="M12" s="62">
        <f>VLOOKUP(A12,'תפוקה מצטברת מול אשתקד'!A:K,9,0)</f>
        <v>4178.46</v>
      </c>
      <c r="N12" s="62">
        <f>VLOOKUP(A12,'תפוקה מצטברת מול אשתקד'!A:K,10,0)</f>
        <v>153225.85999999999</v>
      </c>
      <c r="O12" s="62">
        <f>VLOOKUP(A12,'תפוקה מצטברת מול אשתקד'!A:K,11,0)</f>
        <v>-62204</v>
      </c>
    </row>
    <row r="13" spans="1:16" ht="15.75" x14ac:dyDescent="0.2">
      <c r="A13" s="26" t="s">
        <v>8</v>
      </c>
      <c r="B13" s="26" t="s">
        <v>108</v>
      </c>
      <c r="C13" s="26" t="s">
        <v>106</v>
      </c>
      <c r="D13" s="61">
        <f t="shared" si="0"/>
        <v>1</v>
      </c>
      <c r="E13" s="61">
        <f t="shared" si="1"/>
        <v>-0.68317887418111756</v>
      </c>
      <c r="F13" s="61">
        <f t="shared" si="2"/>
        <v>0</v>
      </c>
      <c r="G13" s="61">
        <f t="shared" si="3"/>
        <v>0</v>
      </c>
      <c r="H13" s="12">
        <v>0</v>
      </c>
      <c r="I13" s="12">
        <v>207600.00000000003</v>
      </c>
      <c r="J13" s="12">
        <v>0</v>
      </c>
      <c r="K13" s="12">
        <v>0</v>
      </c>
      <c r="L13" s="59">
        <f>VLOOKUP(A13,'תפוקה מצטברת מול אשתקד'!A:K,8,0)</f>
        <v>15877.417884999999</v>
      </c>
      <c r="M13" s="62">
        <f>VLOOKUP(A13,'תפוקה מצטברת מול אשתקד'!A:K,9,0)</f>
        <v>65772.065719999999</v>
      </c>
      <c r="N13" s="62">
        <f>VLOOKUP(A13,'תפוקה מצטברת מול אשתקד'!A:K,10,0)</f>
        <v>0</v>
      </c>
      <c r="O13" s="62">
        <f>VLOOKUP(A13,'תפוקה מצטברת מול אשתקד'!A:K,11,0)</f>
        <v>0</v>
      </c>
    </row>
    <row r="14" spans="1:16" ht="15.75" x14ac:dyDescent="0.2">
      <c r="A14" s="26" t="s">
        <v>9</v>
      </c>
      <c r="B14" s="26" t="s">
        <v>108</v>
      </c>
      <c r="C14" s="26" t="s">
        <v>106</v>
      </c>
      <c r="D14" s="61">
        <f t="shared" si="0"/>
        <v>0.69124983000671403</v>
      </c>
      <c r="E14" s="61">
        <f t="shared" si="1"/>
        <v>-0.48451082851637772</v>
      </c>
      <c r="F14" s="61">
        <f t="shared" si="2"/>
        <v>-8.3260707547169854E-2</v>
      </c>
      <c r="G14" s="61">
        <f t="shared" si="3"/>
        <v>-0.81932985062893082</v>
      </c>
      <c r="H14" s="12">
        <v>96900</v>
      </c>
      <c r="I14" s="12">
        <v>51900.000000000007</v>
      </c>
      <c r="J14" s="12">
        <v>1272000</v>
      </c>
      <c r="K14" s="12">
        <v>3816000</v>
      </c>
      <c r="L14" s="59">
        <f>VLOOKUP(A14,'תפוקה מצטברת מול אשתקד'!A:K,8,0)</f>
        <v>163882.10852765059</v>
      </c>
      <c r="M14" s="62">
        <f>VLOOKUP(A14,'תפוקה מצטברת מול אשתקד'!A:K,9,0)</f>
        <v>26753.887999999999</v>
      </c>
      <c r="N14" s="62">
        <f>VLOOKUP(A14,'תפוקה מצטברת מול אשתקד'!A:K,10,0)</f>
        <v>1166092.3799999999</v>
      </c>
      <c r="O14" s="62">
        <f>VLOOKUP(A14,'תפוקה מצטברת מול אשתקד'!A:K,11,0)</f>
        <v>689437.29</v>
      </c>
    </row>
    <row r="15" spans="1:16" ht="31.5" x14ac:dyDescent="0.2">
      <c r="A15" s="26" t="s">
        <v>31</v>
      </c>
      <c r="B15" s="26" t="s">
        <v>55</v>
      </c>
      <c r="C15" s="26" t="s">
        <v>106</v>
      </c>
      <c r="D15" s="61">
        <f t="shared" si="0"/>
        <v>0</v>
      </c>
      <c r="E15" s="61">
        <f t="shared" si="1"/>
        <v>0</v>
      </c>
      <c r="F15" s="61">
        <f t="shared" si="2"/>
        <v>1</v>
      </c>
      <c r="G15" s="61">
        <f t="shared" si="3"/>
        <v>0</v>
      </c>
      <c r="H15" s="12">
        <v>0</v>
      </c>
      <c r="I15" s="12">
        <v>0</v>
      </c>
      <c r="J15" s="12">
        <v>0</v>
      </c>
      <c r="K15" s="12">
        <v>0</v>
      </c>
      <c r="L15" s="59">
        <f>VLOOKUP(A15,'תפוקה מצטברת מול אשתקד'!A:K,8,0)</f>
        <v>0</v>
      </c>
      <c r="M15" s="62">
        <f>VLOOKUP(A15,'תפוקה מצטברת מול אשתקד'!A:K,9,0)</f>
        <v>0</v>
      </c>
      <c r="N15" s="62">
        <f>VLOOKUP(A15,'תפוקה מצטברת מול אשתקד'!A:K,10,0)</f>
        <v>302145.53000000003</v>
      </c>
      <c r="O15" s="62">
        <f>VLOOKUP(A15,'תפוקה מצטברת מול אשתקד'!A:K,11,0)</f>
        <v>0</v>
      </c>
    </row>
    <row r="16" spans="1:16" customFormat="1" ht="15.75" x14ac:dyDescent="0.2">
      <c r="A16" s="26" t="s">
        <v>96</v>
      </c>
      <c r="B16" s="26" t="s">
        <v>108</v>
      </c>
      <c r="C16" s="26" t="s">
        <v>106</v>
      </c>
      <c r="D16" s="61">
        <f t="shared" si="0"/>
        <v>1</v>
      </c>
      <c r="E16" s="61">
        <f t="shared" si="1"/>
        <v>1</v>
      </c>
      <c r="F16" s="61">
        <f t="shared" si="2"/>
        <v>1</v>
      </c>
      <c r="G16" s="61">
        <f t="shared" si="3"/>
        <v>1</v>
      </c>
      <c r="H16" s="12">
        <v>0</v>
      </c>
      <c r="I16" s="12">
        <v>0</v>
      </c>
      <c r="J16" s="12">
        <v>0</v>
      </c>
      <c r="K16" s="12">
        <v>0</v>
      </c>
      <c r="L16" s="59">
        <f>VLOOKUP(A16,'תפוקה מצטברת מול אשתקד'!A:K,8,0)</f>
        <v>59862.025599999994</v>
      </c>
      <c r="M16" s="62">
        <f>VLOOKUP(A16,'תפוקה מצטברת מול אשתקד'!A:K,9,0)</f>
        <v>31196.361000000001</v>
      </c>
      <c r="N16" s="62">
        <f>VLOOKUP(A16,'תפוקה מצטברת מול אשתקד'!A:K,10,0)</f>
        <v>6046.79</v>
      </c>
      <c r="O16" s="62">
        <f>VLOOKUP(A16,'תפוקה מצטברת מול אשתקד'!A:K,11,0)</f>
        <v>4997</v>
      </c>
      <c r="P16" s="2"/>
    </row>
    <row r="17" spans="1:15" ht="15.75" x14ac:dyDescent="0.2">
      <c r="A17" s="26" t="s">
        <v>42</v>
      </c>
      <c r="B17" s="26" t="s">
        <v>108</v>
      </c>
      <c r="C17" s="26" t="s">
        <v>106</v>
      </c>
      <c r="D17" s="61">
        <f t="shared" si="0"/>
        <v>-0.25524900207665546</v>
      </c>
      <c r="E17" s="61">
        <f t="shared" si="1"/>
        <v>-0.19218025919655279</v>
      </c>
      <c r="F17" s="61">
        <f t="shared" si="2"/>
        <v>-0.32420521366391675</v>
      </c>
      <c r="G17" s="61">
        <f t="shared" si="3"/>
        <v>-0.58000135220125792</v>
      </c>
      <c r="H17" s="12">
        <v>484500</v>
      </c>
      <c r="I17" s="12">
        <v>207600.00000000003</v>
      </c>
      <c r="J17" s="12">
        <v>3816000</v>
      </c>
      <c r="K17" s="12">
        <v>1908000</v>
      </c>
      <c r="L17" s="59">
        <f>VLOOKUP(A17,'תפוקה מצטברת מול אשתקד'!A:K,8,0)</f>
        <v>360831.8584938604</v>
      </c>
      <c r="M17" s="62">
        <f>VLOOKUP(A17,'תפוקה מצטברת מול אשתקד'!A:K,9,0)</f>
        <v>167703.37819079566</v>
      </c>
      <c r="N17" s="62">
        <f>VLOOKUP(A17,'תפוקה מצטברת מול אשתקד'!A:K,10,0)</f>
        <v>2578832.9046584936</v>
      </c>
      <c r="O17" s="62">
        <f>VLOOKUP(A17,'תפוקה מצטברת מול אשתקד'!A:K,11,0)</f>
        <v>801357.41999999993</v>
      </c>
    </row>
    <row r="18" spans="1:15" ht="15.75" x14ac:dyDescent="0.2">
      <c r="A18" s="26" t="s">
        <v>43</v>
      </c>
      <c r="B18" s="26" t="s">
        <v>108</v>
      </c>
      <c r="C18" s="26" t="s">
        <v>106</v>
      </c>
      <c r="D18" s="61">
        <f t="shared" si="0"/>
        <v>-0.57357495321693519</v>
      </c>
      <c r="E18" s="61">
        <f t="shared" si="1"/>
        <v>-0.17604552885763058</v>
      </c>
      <c r="F18" s="61">
        <f t="shared" si="2"/>
        <v>-0.63283792661089155</v>
      </c>
      <c r="G18" s="61">
        <f t="shared" si="3"/>
        <v>-0.30202501886792454</v>
      </c>
      <c r="H18" s="12">
        <v>969000</v>
      </c>
      <c r="I18" s="12">
        <v>121100.00000000001</v>
      </c>
      <c r="J18" s="12">
        <v>11130000</v>
      </c>
      <c r="K18" s="12">
        <v>3180000</v>
      </c>
      <c r="L18" s="59">
        <f>VLOOKUP(A18,'תפוקה מצטברת מול אשתקד'!A:K,8,0)</f>
        <v>413205.87033278984</v>
      </c>
      <c r="M18" s="62">
        <f>VLOOKUP(A18,'תפוקה מצטברת מול אשתקד'!A:K,9,0)</f>
        <v>99780.886455340951</v>
      </c>
      <c r="N18" s="62">
        <f>VLOOKUP(A18,'תפוקה מצטברת מול אשתקד'!A:K,10,0)</f>
        <v>4086513.8768207771</v>
      </c>
      <c r="O18" s="62">
        <f>VLOOKUP(A18,'תפוקה מצטברת מול אשתקד'!A:K,11,0)</f>
        <v>2219560.44</v>
      </c>
    </row>
    <row r="19" spans="1:15" ht="15.75" x14ac:dyDescent="0.2">
      <c r="A19" s="26" t="s">
        <v>30</v>
      </c>
      <c r="B19" s="26" t="s">
        <v>108</v>
      </c>
      <c r="C19" s="26" t="s">
        <v>106</v>
      </c>
      <c r="D19" s="61">
        <f t="shared" si="0"/>
        <v>1</v>
      </c>
      <c r="E19" s="61">
        <f t="shared" si="1"/>
        <v>0</v>
      </c>
      <c r="F19" s="61">
        <f t="shared" si="2"/>
        <v>0</v>
      </c>
      <c r="G19" s="61">
        <f t="shared" si="3"/>
        <v>1</v>
      </c>
      <c r="H19" s="12">
        <v>0</v>
      </c>
      <c r="I19" s="12">
        <v>0</v>
      </c>
      <c r="J19" s="12">
        <v>0</v>
      </c>
      <c r="K19" s="12">
        <v>0</v>
      </c>
      <c r="L19" s="59">
        <f>VLOOKUP(A19,'תפוקה מצטברת מול אשתקד'!A:K,8,0)</f>
        <v>8654.0998248686519</v>
      </c>
      <c r="M19" s="62">
        <f>VLOOKUP(A19,'תפוקה מצטברת מול אשתקד'!A:K,9,0)</f>
        <v>0</v>
      </c>
      <c r="N19" s="62">
        <f>VLOOKUP(A19,'תפוקה מצטברת מול אשתקד'!A:K,10,0)</f>
        <v>0</v>
      </c>
      <c r="O19" s="62">
        <f>VLOOKUP(A19,'תפוקה מצטברת מול אשתקד'!A:K,11,0)</f>
        <v>-190731.89499999999</v>
      </c>
    </row>
    <row r="20" spans="1:15" ht="16.5" thickBot="1" x14ac:dyDescent="0.25">
      <c r="A20" s="28" t="s">
        <v>38</v>
      </c>
      <c r="B20" s="28" t="s">
        <v>108</v>
      </c>
      <c r="C20" s="28" t="s">
        <v>106</v>
      </c>
      <c r="D20" s="145">
        <f t="shared" si="0"/>
        <v>0</v>
      </c>
      <c r="E20" s="145">
        <f t="shared" si="1"/>
        <v>0</v>
      </c>
      <c r="F20" s="145">
        <f t="shared" si="2"/>
        <v>0</v>
      </c>
      <c r="G20" s="145">
        <f t="shared" si="3"/>
        <v>0</v>
      </c>
      <c r="H20" s="12">
        <v>0</v>
      </c>
      <c r="I20" s="12">
        <v>0</v>
      </c>
      <c r="J20" s="12">
        <v>0</v>
      </c>
      <c r="K20" s="12">
        <v>0</v>
      </c>
      <c r="L20" s="59">
        <f>VLOOKUP(A20,'תפוקה מצטברת מול אשתקד'!A:K,8,0)</f>
        <v>0</v>
      </c>
      <c r="M20" s="62">
        <f>VLOOKUP(A20,'תפוקה מצטברת מול אשתקד'!A:K,9,0)</f>
        <v>0</v>
      </c>
      <c r="N20" s="62">
        <f>VLOOKUP(A20,'תפוקה מצטברת מול אשתקד'!A:K,10,0)</f>
        <v>0</v>
      </c>
      <c r="O20" s="62">
        <f>VLOOKUP(A20,'תפוקה מצטברת מול אשתקד'!A:K,11,0)</f>
        <v>0</v>
      </c>
    </row>
    <row r="21" spans="1:15" ht="21.75" thickBot="1" x14ac:dyDescent="0.25">
      <c r="A21" s="17" t="s">
        <v>10</v>
      </c>
      <c r="B21" s="57"/>
      <c r="C21" s="147"/>
      <c r="D21" s="148">
        <f t="shared" si="0"/>
        <v>-0.31336675161371341</v>
      </c>
      <c r="E21" s="148">
        <f t="shared" si="1"/>
        <v>-2.9957112664782182E-2</v>
      </c>
      <c r="F21" s="148">
        <f t="shared" si="2"/>
        <v>-0.44582389272535061</v>
      </c>
      <c r="G21" s="148">
        <f t="shared" si="3"/>
        <v>-0.54964547633776673</v>
      </c>
      <c r="H21" s="149">
        <f>SUM(H9:H20)</f>
        <v>2519400</v>
      </c>
      <c r="I21" s="149">
        <f>SUM(I9:I20)</f>
        <v>1003400.0000000001</v>
      </c>
      <c r="J21" s="149">
        <f>SUM(J9:J20)</f>
        <v>16536000</v>
      </c>
      <c r="K21" s="149">
        <f>SUM(K9:K20)</f>
        <v>9699000</v>
      </c>
      <c r="L21" s="149">
        <f>SUM(L9:L20)</f>
        <v>1729903.8059844105</v>
      </c>
      <c r="M21" s="149">
        <f t="shared" ref="M21:O21" si="5">SUM(M9:M20)</f>
        <v>973341.03315215767</v>
      </c>
      <c r="N21" s="149">
        <f t="shared" si="5"/>
        <v>9163856.1098936014</v>
      </c>
      <c r="O21" s="149">
        <f t="shared" si="5"/>
        <v>4367988.5250000004</v>
      </c>
    </row>
    <row r="22" spans="1:15" ht="15.75" x14ac:dyDescent="0.2">
      <c r="A22" s="27" t="s">
        <v>11</v>
      </c>
      <c r="B22" s="27" t="s">
        <v>56</v>
      </c>
      <c r="C22" s="27" t="s">
        <v>107</v>
      </c>
      <c r="D22" s="146">
        <f t="shared" si="0"/>
        <v>-3.3651969272445847E-2</v>
      </c>
      <c r="E22" s="146">
        <f t="shared" si="1"/>
        <v>-0.85148418905134315</v>
      </c>
      <c r="F22" s="146">
        <f t="shared" si="2"/>
        <v>-0.75902264150943399</v>
      </c>
      <c r="G22" s="146">
        <f t="shared" si="3"/>
        <v>0.47160775471698124</v>
      </c>
      <c r="H22" s="12">
        <v>516800</v>
      </c>
      <c r="I22" s="12">
        <v>58820.000000000007</v>
      </c>
      <c r="J22" s="12">
        <v>795000</v>
      </c>
      <c r="K22" s="12">
        <v>1590000</v>
      </c>
      <c r="L22" s="59">
        <f>VLOOKUP(A22,'תפוקה מצטברת מול אשתקד'!A:K,8,0)</f>
        <v>499408.66227999999</v>
      </c>
      <c r="M22" s="62">
        <f>VLOOKUP(A22,'תפוקה מצטברת מול אשתקד'!A:K,9,0)</f>
        <v>8735.7000000000007</v>
      </c>
      <c r="N22" s="62">
        <f>VLOOKUP(A22,'תפוקה מצטברת מול אשתקד'!A:K,10,0)</f>
        <v>191577</v>
      </c>
      <c r="O22" s="62">
        <f>VLOOKUP(A22,'תפוקה מצטברת מול אשתקד'!A:K,11,0)</f>
        <v>2339856.33</v>
      </c>
    </row>
    <row r="23" spans="1:15" ht="15.75" x14ac:dyDescent="0.2">
      <c r="A23" s="30" t="s">
        <v>12</v>
      </c>
      <c r="B23" s="26" t="s">
        <v>56</v>
      </c>
      <c r="C23" s="27" t="s">
        <v>107</v>
      </c>
      <c r="D23" s="61">
        <f t="shared" si="0"/>
        <v>0</v>
      </c>
      <c r="E23" s="61">
        <f t="shared" si="1"/>
        <v>1</v>
      </c>
      <c r="F23" s="61">
        <f t="shared" si="2"/>
        <v>0</v>
      </c>
      <c r="G23" s="61">
        <f t="shared" si="3"/>
        <v>1</v>
      </c>
      <c r="H23" s="12">
        <v>0</v>
      </c>
      <c r="I23" s="12">
        <v>0</v>
      </c>
      <c r="J23" s="12">
        <v>0</v>
      </c>
      <c r="K23" s="12">
        <v>0</v>
      </c>
      <c r="L23" s="59">
        <f>VLOOKUP(A23,'תפוקה מצטברת מול אשתקד'!A:K,8,0)</f>
        <v>0</v>
      </c>
      <c r="M23" s="62">
        <f>VLOOKUP(A23,'תפוקה מצטברת מול אשתקד'!A:K,9,0)</f>
        <v>3071.9442883237321</v>
      </c>
      <c r="N23" s="62">
        <f>VLOOKUP(A23,'תפוקה מצטברת מול אשתקד'!A:K,10,0)</f>
        <v>0</v>
      </c>
      <c r="O23" s="62">
        <f>VLOOKUP(A23,'תפוקה מצטברת מול אשתקד'!A:K,11,0)</f>
        <v>-11711.17</v>
      </c>
    </row>
    <row r="24" spans="1:15" ht="15.75" x14ac:dyDescent="0.2">
      <c r="A24" s="30" t="s">
        <v>13</v>
      </c>
      <c r="B24" s="26" t="s">
        <v>56</v>
      </c>
      <c r="C24" s="27" t="s">
        <v>107</v>
      </c>
      <c r="D24" s="61">
        <f t="shared" si="0"/>
        <v>-0.59628452437685198</v>
      </c>
      <c r="E24" s="61">
        <f t="shared" si="1"/>
        <v>-0.51982184971098266</v>
      </c>
      <c r="F24" s="61">
        <f t="shared" si="2"/>
        <v>0</v>
      </c>
      <c r="G24" s="61">
        <f t="shared" si="3"/>
        <v>0</v>
      </c>
      <c r="H24" s="12">
        <v>32300</v>
      </c>
      <c r="I24" s="12">
        <v>17300</v>
      </c>
      <c r="J24" s="12">
        <v>95400</v>
      </c>
      <c r="K24" s="12">
        <v>31800</v>
      </c>
      <c r="L24" s="59">
        <f>VLOOKUP(A24,'תפוקה מצטברת מול אשתקד'!A:K,8,0)</f>
        <v>13040.009862627679</v>
      </c>
      <c r="M24" s="62">
        <f>VLOOKUP(A24,'תפוקה מצטברת מול אשתקד'!A:K,9,0)</f>
        <v>8307.0820000000003</v>
      </c>
      <c r="N24" s="62">
        <f>VLOOKUP(A24,'תפוקה מצטברת מול אשתקד'!A:K,10,0)</f>
        <v>0</v>
      </c>
      <c r="O24" s="62">
        <f>VLOOKUP(A24,'תפוקה מצטברת מול אשתקד'!A:K,11,0)</f>
        <v>0</v>
      </c>
    </row>
    <row r="25" spans="1:15" ht="31.5" x14ac:dyDescent="0.2">
      <c r="A25" s="26" t="s">
        <v>14</v>
      </c>
      <c r="B25" s="26" t="s">
        <v>55</v>
      </c>
      <c r="C25" s="27" t="s">
        <v>107</v>
      </c>
      <c r="D25" s="61">
        <f t="shared" si="0"/>
        <v>0</v>
      </c>
      <c r="E25" s="61">
        <f t="shared" si="1"/>
        <v>0</v>
      </c>
      <c r="F25" s="61">
        <f t="shared" si="2"/>
        <v>0</v>
      </c>
      <c r="G25" s="61">
        <f t="shared" si="3"/>
        <v>0</v>
      </c>
      <c r="H25" s="12">
        <v>0</v>
      </c>
      <c r="I25" s="12">
        <v>0</v>
      </c>
      <c r="J25" s="12">
        <v>0</v>
      </c>
      <c r="K25" s="12">
        <v>0</v>
      </c>
      <c r="L25" s="59">
        <f>VLOOKUP(A25,'תפוקה מצטברת מול אשתקד'!A:K,8,0)</f>
        <v>0</v>
      </c>
      <c r="M25" s="62">
        <f>VLOOKUP(A25,'תפוקה מצטברת מול אשתקד'!A:K,9,0)</f>
        <v>0</v>
      </c>
      <c r="N25" s="62">
        <f>VLOOKUP(A25,'תפוקה מצטברת מול אשתקד'!A:K,10,0)</f>
        <v>0</v>
      </c>
      <c r="O25" s="62">
        <f>VLOOKUP(A25,'תפוקה מצטברת מול אשתקד'!A:K,11,0)</f>
        <v>0</v>
      </c>
    </row>
    <row r="26" spans="1:15" ht="15.75" x14ac:dyDescent="0.2">
      <c r="A26" s="30" t="s">
        <v>15</v>
      </c>
      <c r="B26" s="26" t="s">
        <v>56</v>
      </c>
      <c r="C26" s="27" t="s">
        <v>107</v>
      </c>
      <c r="D26" s="61">
        <f t="shared" si="0"/>
        <v>-7.397058341815177E-2</v>
      </c>
      <c r="E26" s="61">
        <f t="shared" si="1"/>
        <v>-0.26627900433526031</v>
      </c>
      <c r="F26" s="61">
        <f t="shared" si="2"/>
        <v>-0.64388972392033539</v>
      </c>
      <c r="G26" s="61">
        <f t="shared" si="3"/>
        <v>-0.54069648584905661</v>
      </c>
      <c r="H26" s="12">
        <v>807500</v>
      </c>
      <c r="I26" s="12">
        <v>103800.00000000001</v>
      </c>
      <c r="J26" s="12">
        <v>954000</v>
      </c>
      <c r="K26" s="12">
        <v>1272000</v>
      </c>
      <c r="L26" s="59">
        <f>VLOOKUP(A26,'תפוקה מצטברת מול אשתקד'!A:K,8,0)</f>
        <v>747768.75388984242</v>
      </c>
      <c r="M26" s="62">
        <f>VLOOKUP(A26,'תפוקה מצטברת מול אשתקד'!A:K,9,0)</f>
        <v>76160.239349999989</v>
      </c>
      <c r="N26" s="62">
        <f>VLOOKUP(A26,'תפוקה מצטברת מול אשתקד'!A:K,10,0)</f>
        <v>339729.20337999996</v>
      </c>
      <c r="O26" s="62">
        <f>VLOOKUP(A26,'תפוקה מצטברת מול אשתקד'!A:K,11,0)</f>
        <v>584234.07000000007</v>
      </c>
    </row>
    <row r="27" spans="1:15" ht="15.75" x14ac:dyDescent="0.2">
      <c r="A27" s="30" t="s">
        <v>17</v>
      </c>
      <c r="B27" s="26" t="s">
        <v>56</v>
      </c>
      <c r="C27" s="27" t="s">
        <v>107</v>
      </c>
      <c r="D27" s="61">
        <f t="shared" si="0"/>
        <v>-0.5253929022391981</v>
      </c>
      <c r="E27" s="61">
        <f t="shared" si="1"/>
        <v>-0.17299553964701131</v>
      </c>
      <c r="F27" s="61">
        <f t="shared" si="2"/>
        <v>2.1446540880503147</v>
      </c>
      <c r="G27" s="61">
        <f t="shared" si="3"/>
        <v>1.8290723270440252</v>
      </c>
      <c r="H27" s="12">
        <v>96900</v>
      </c>
      <c r="I27" s="12">
        <v>69200</v>
      </c>
      <c r="J27" s="12">
        <v>31800</v>
      </c>
      <c r="K27" s="12">
        <v>63600</v>
      </c>
      <c r="L27" s="59">
        <f>VLOOKUP(A27,'תפוקה מצטברת מול אשתקד'!A:K,8,0)</f>
        <v>45989.4277730217</v>
      </c>
      <c r="M27" s="62">
        <f>VLOOKUP(A27,'תפוקה מצטברת מול אשתקד'!A:K,9,0)</f>
        <v>57228.708656426817</v>
      </c>
      <c r="N27" s="62">
        <f>VLOOKUP(A27,'תפוקה מצטברת מול אשתקד'!A:K,10,0)</f>
        <v>100000</v>
      </c>
      <c r="O27" s="62">
        <f>VLOOKUP(A27,'תפוקה מצטברת מול אשתקד'!A:K,11,0)</f>
        <v>179929</v>
      </c>
    </row>
    <row r="28" spans="1:15" ht="15.75" x14ac:dyDescent="0.2">
      <c r="A28" s="30" t="s">
        <v>18</v>
      </c>
      <c r="B28" s="26" t="s">
        <v>56</v>
      </c>
      <c r="C28" s="27" t="s">
        <v>107</v>
      </c>
      <c r="D28" s="61">
        <f t="shared" si="0"/>
        <v>-0.89678998968008261</v>
      </c>
      <c r="E28" s="61">
        <f t="shared" si="1"/>
        <v>-0.23223834296724477</v>
      </c>
      <c r="F28" s="61">
        <f t="shared" si="2"/>
        <v>-0.71891914046121597</v>
      </c>
      <c r="G28" s="61">
        <f t="shared" si="3"/>
        <v>-0.38708794549266246</v>
      </c>
      <c r="H28" s="12">
        <v>96900</v>
      </c>
      <c r="I28" s="12">
        <v>51900.000000000007</v>
      </c>
      <c r="J28" s="12">
        <v>477000</v>
      </c>
      <c r="K28" s="12">
        <v>95400</v>
      </c>
      <c r="L28" s="59">
        <f>VLOOKUP(A28,'תפוקה מצטברת מול אשתקד'!A:K,8,0)</f>
        <v>10001.049999999999</v>
      </c>
      <c r="M28" s="62">
        <f>VLOOKUP(A28,'תפוקה מצטברת מול אשתקד'!A:K,9,0)</f>
        <v>39846.83</v>
      </c>
      <c r="N28" s="62">
        <f>VLOOKUP(A28,'תפוקה מצטברת מול אשתקד'!A:K,10,0)</f>
        <v>134075.56999999998</v>
      </c>
      <c r="O28" s="62">
        <f>VLOOKUP(A28,'תפוקה מצטברת מול אשתקד'!A:K,11,0)</f>
        <v>58471.81</v>
      </c>
    </row>
    <row r="29" spans="1:15" ht="15.75" x14ac:dyDescent="0.2">
      <c r="A29" s="26" t="s">
        <v>19</v>
      </c>
      <c r="B29" s="26" t="s">
        <v>56</v>
      </c>
      <c r="C29" s="27" t="s">
        <v>107</v>
      </c>
      <c r="D29" s="61">
        <f t="shared" si="0"/>
        <v>-0.58383890180507469</v>
      </c>
      <c r="E29" s="61">
        <f t="shared" si="1"/>
        <v>-6.273082851637779E-2</v>
      </c>
      <c r="F29" s="61">
        <f t="shared" si="2"/>
        <v>-0.29072046121593287</v>
      </c>
      <c r="G29" s="61">
        <f t="shared" si="3"/>
        <v>-0.5192308805031447</v>
      </c>
      <c r="H29" s="12">
        <v>565250</v>
      </c>
      <c r="I29" s="12">
        <v>51900.000000000007</v>
      </c>
      <c r="J29" s="12">
        <v>954000</v>
      </c>
      <c r="K29" s="12">
        <v>1590000</v>
      </c>
      <c r="L29" s="59">
        <f>VLOOKUP(A29,'תפוקה מצטברת מול אשתקד'!A:K,8,0)</f>
        <v>235235.0607546815</v>
      </c>
      <c r="M29" s="62">
        <f>VLOOKUP(A29,'תפוקה מצטברת מול אשתקד'!A:K,9,0)</f>
        <v>48644.27</v>
      </c>
      <c r="N29" s="62">
        <f>VLOOKUP(A29,'תפוקה מצטברת מול אשתקד'!A:K,10,0)</f>
        <v>676652.68</v>
      </c>
      <c r="O29" s="62">
        <f>VLOOKUP(A29,'תפוקה מצטברת מול אשתקד'!A:K,11,0)</f>
        <v>764422.89999999991</v>
      </c>
    </row>
    <row r="30" spans="1:15" ht="15.75" x14ac:dyDescent="0.2">
      <c r="A30" s="26" t="s">
        <v>20</v>
      </c>
      <c r="B30" s="26" t="s">
        <v>56</v>
      </c>
      <c r="C30" s="27" t="s">
        <v>107</v>
      </c>
      <c r="D30" s="61">
        <f t="shared" si="0"/>
        <v>0.67007238390092883</v>
      </c>
      <c r="E30" s="61">
        <f t="shared" si="1"/>
        <v>4.0480805716491819E-3</v>
      </c>
      <c r="F30" s="61">
        <f t="shared" si="2"/>
        <v>0.31162431603773566</v>
      </c>
      <c r="G30" s="61">
        <f t="shared" si="3"/>
        <v>1.4653190062893082</v>
      </c>
      <c r="H30" s="12">
        <v>323000</v>
      </c>
      <c r="I30" s="12">
        <v>69200</v>
      </c>
      <c r="J30" s="12">
        <v>1272000</v>
      </c>
      <c r="K30" s="12">
        <v>795000</v>
      </c>
      <c r="L30" s="59">
        <f>VLOOKUP(A30,'תפוקה מצטברת מול אשתקד'!A:K,8,0)</f>
        <v>539433.38</v>
      </c>
      <c r="M30" s="62">
        <f>VLOOKUP(A30,'תפוקה מצטברת מול אשתקד'!A:K,9,0)</f>
        <v>69480.127175558126</v>
      </c>
      <c r="N30" s="62">
        <f>VLOOKUP(A30,'תפוקה מצטברת מול אשתקד'!A:K,10,0)</f>
        <v>1668386.13</v>
      </c>
      <c r="O30" s="62">
        <f>VLOOKUP(A30,'תפוקה מצטברת מול אשתקד'!A:K,11,0)</f>
        <v>1959928.61</v>
      </c>
    </row>
    <row r="31" spans="1:15" ht="15.75" x14ac:dyDescent="0.2">
      <c r="A31" s="26" t="s">
        <v>21</v>
      </c>
      <c r="B31" s="26" t="s">
        <v>56</v>
      </c>
      <c r="C31" s="27" t="s">
        <v>107</v>
      </c>
      <c r="D31" s="61">
        <f t="shared" si="0"/>
        <v>1</v>
      </c>
      <c r="E31" s="61">
        <f t="shared" si="1"/>
        <v>1</v>
      </c>
      <c r="F31" s="61">
        <f t="shared" si="2"/>
        <v>0</v>
      </c>
      <c r="G31" s="61">
        <f t="shared" si="3"/>
        <v>0</v>
      </c>
      <c r="H31" s="12">
        <v>0</v>
      </c>
      <c r="I31" s="12">
        <v>0</v>
      </c>
      <c r="J31" s="12">
        <v>0</v>
      </c>
      <c r="K31" s="12">
        <v>0</v>
      </c>
      <c r="L31" s="59">
        <f>VLOOKUP(A31,'תפוקה מצטברת מול אשתקד'!A:K,8,0)</f>
        <v>4522.07</v>
      </c>
      <c r="M31" s="62">
        <f>VLOOKUP(A31,'תפוקה מצטברת מול אשתקד'!A:K,9,0)</f>
        <v>9.66</v>
      </c>
      <c r="N31" s="62">
        <f>VLOOKUP(A31,'תפוקה מצטברת מול אשתקד'!A:K,10,0)</f>
        <v>0</v>
      </c>
      <c r="O31" s="62">
        <f>VLOOKUP(A31,'תפוקה מצטברת מול אשתקד'!A:K,11,0)</f>
        <v>0</v>
      </c>
    </row>
    <row r="32" spans="1:15" ht="15.75" x14ac:dyDescent="0.2">
      <c r="A32" s="26" t="s">
        <v>22</v>
      </c>
      <c r="B32" s="26" t="s">
        <v>56</v>
      </c>
      <c r="C32" s="27" t="s">
        <v>107</v>
      </c>
      <c r="D32" s="61">
        <f t="shared" si="0"/>
        <v>1</v>
      </c>
      <c r="E32" s="61">
        <f t="shared" si="1"/>
        <v>0</v>
      </c>
      <c r="F32" s="61">
        <f t="shared" si="2"/>
        <v>1</v>
      </c>
      <c r="G32" s="61">
        <f t="shared" si="3"/>
        <v>0</v>
      </c>
      <c r="H32" s="12">
        <v>0</v>
      </c>
      <c r="I32" s="12">
        <v>0</v>
      </c>
      <c r="J32" s="12">
        <v>0</v>
      </c>
      <c r="K32" s="12">
        <v>0</v>
      </c>
      <c r="L32" s="59">
        <f>VLOOKUP(A32,'תפוקה מצטברת מול אשתקד'!A:K,8,0)</f>
        <v>1430.7864342713151</v>
      </c>
      <c r="M32" s="62">
        <f>VLOOKUP(A32,'תפוקה מצטברת מול אשתקד'!A:K,9,0)</f>
        <v>0</v>
      </c>
      <c r="N32" s="62">
        <f>VLOOKUP(A32,'תפוקה מצטברת מול אשתקד'!A:K,10,0)</f>
        <v>14899.64635435012</v>
      </c>
      <c r="O32" s="62">
        <f>VLOOKUP(A32,'תפוקה מצטברת מול אשתקד'!A:K,11,0)</f>
        <v>0</v>
      </c>
    </row>
    <row r="33" spans="1:15" ht="15.75" x14ac:dyDescent="0.2">
      <c r="A33" s="26" t="s">
        <v>23</v>
      </c>
      <c r="B33" s="26" t="s">
        <v>56</v>
      </c>
      <c r="C33" s="27" t="s">
        <v>107</v>
      </c>
      <c r="D33" s="61">
        <f t="shared" si="0"/>
        <v>0</v>
      </c>
      <c r="E33" s="61">
        <f t="shared" si="1"/>
        <v>0</v>
      </c>
      <c r="F33" s="61">
        <f t="shared" si="2"/>
        <v>0</v>
      </c>
      <c r="G33" s="61">
        <f t="shared" si="3"/>
        <v>0</v>
      </c>
      <c r="H33" s="12">
        <v>0</v>
      </c>
      <c r="I33" s="12">
        <v>0</v>
      </c>
      <c r="J33" s="12">
        <v>0</v>
      </c>
      <c r="K33" s="12">
        <v>0</v>
      </c>
      <c r="L33" s="59">
        <f>VLOOKUP(A33,'תפוקה מצטברת מול אשתקד'!A:K,8,0)</f>
        <v>0</v>
      </c>
      <c r="M33" s="62">
        <f>VLOOKUP(A33,'תפוקה מצטברת מול אשתקד'!A:K,9,0)</f>
        <v>0</v>
      </c>
      <c r="N33" s="62">
        <f>VLOOKUP(A33,'תפוקה מצטברת מול אשתקד'!A:K,10,0)</f>
        <v>0</v>
      </c>
      <c r="O33" s="62">
        <f>VLOOKUP(A33,'תפוקה מצטברת מול אשתקד'!A:K,11,0)</f>
        <v>0</v>
      </c>
    </row>
    <row r="34" spans="1:15" ht="15.75" x14ac:dyDescent="0.2">
      <c r="A34" s="26" t="s">
        <v>24</v>
      </c>
      <c r="B34" s="26" t="s">
        <v>56</v>
      </c>
      <c r="C34" s="27" t="s">
        <v>107</v>
      </c>
      <c r="D34" s="61">
        <f t="shared" si="0"/>
        <v>0</v>
      </c>
      <c r="E34" s="61">
        <f t="shared" si="1"/>
        <v>1</v>
      </c>
      <c r="F34" s="61">
        <f t="shared" si="2"/>
        <v>0</v>
      </c>
      <c r="G34" s="61">
        <f t="shared" si="3"/>
        <v>0</v>
      </c>
      <c r="H34" s="12">
        <v>0</v>
      </c>
      <c r="I34" s="12">
        <v>0</v>
      </c>
      <c r="J34" s="12">
        <v>0</v>
      </c>
      <c r="K34" s="12">
        <v>0</v>
      </c>
      <c r="L34" s="59">
        <f>VLOOKUP(A34,'תפוקה מצטברת מול אשתקד'!A:K,8,0)</f>
        <v>0</v>
      </c>
      <c r="M34" s="62">
        <f>VLOOKUP(A34,'תפוקה מצטברת מול אשתקד'!A:K,9,0)</f>
        <v>6659.3960000000006</v>
      </c>
      <c r="N34" s="62">
        <f>VLOOKUP(A34,'תפוקה מצטברת מול אשתקד'!A:K,10,0)</f>
        <v>0</v>
      </c>
      <c r="O34" s="62">
        <f>VLOOKUP(A34,'תפוקה מצטברת מול אשתקד'!A:K,11,0)</f>
        <v>0</v>
      </c>
    </row>
    <row r="35" spans="1:15" ht="15.75" x14ac:dyDescent="0.2">
      <c r="A35" s="30" t="s">
        <v>25</v>
      </c>
      <c r="B35" s="26" t="s">
        <v>56</v>
      </c>
      <c r="C35" s="27" t="s">
        <v>107</v>
      </c>
      <c r="D35" s="61">
        <f t="shared" si="0"/>
        <v>0.52286287149059585</v>
      </c>
      <c r="E35" s="61">
        <f t="shared" si="1"/>
        <v>5.4457483353562708E-3</v>
      </c>
      <c r="F35" s="61">
        <f t="shared" si="2"/>
        <v>-0.18076025776929405</v>
      </c>
      <c r="G35" s="61">
        <f t="shared" si="3"/>
        <v>1.160102099056604</v>
      </c>
      <c r="H35" s="12">
        <v>807500</v>
      </c>
      <c r="I35" s="12">
        <v>155700</v>
      </c>
      <c r="J35" s="12">
        <v>1908000</v>
      </c>
      <c r="K35" s="12">
        <v>1272000</v>
      </c>
      <c r="L35" s="59">
        <f>VLOOKUP(A35,'תפוקה מצטברת מול אשתקד'!A:K,8,0)</f>
        <v>1229711.7687286562</v>
      </c>
      <c r="M35" s="62">
        <f>VLOOKUP(A35,'תפוקה מצטברת מול אשתקד'!A:K,9,0)</f>
        <v>156547.90301581498</v>
      </c>
      <c r="N35" s="62">
        <f>VLOOKUP(A35,'תפוקה מצטברת מול אשתקד'!A:K,10,0)</f>
        <v>1563109.428176187</v>
      </c>
      <c r="O35" s="62">
        <f>VLOOKUP(A35,'תפוקה מצטברת מול אשתקד'!A:K,11,0)</f>
        <v>2747649.87</v>
      </c>
    </row>
    <row r="36" spans="1:15" ht="15.75" x14ac:dyDescent="0.2">
      <c r="A36" s="26" t="s">
        <v>26</v>
      </c>
      <c r="B36" s="26" t="s">
        <v>56</v>
      </c>
      <c r="C36" s="27" t="s">
        <v>107</v>
      </c>
      <c r="D36" s="61">
        <f t="shared" si="0"/>
        <v>0</v>
      </c>
      <c r="E36" s="61">
        <f t="shared" si="1"/>
        <v>0</v>
      </c>
      <c r="F36" s="61">
        <f t="shared" si="2"/>
        <v>0</v>
      </c>
      <c r="G36" s="61">
        <f t="shared" si="3"/>
        <v>0</v>
      </c>
      <c r="H36" s="12">
        <v>0</v>
      </c>
      <c r="I36" s="12">
        <v>0</v>
      </c>
      <c r="J36" s="12">
        <v>0</v>
      </c>
      <c r="K36" s="12">
        <v>0</v>
      </c>
      <c r="L36" s="59">
        <f>VLOOKUP(A36,'תפוקה מצטברת מול אשתקד'!A:K,8,0)</f>
        <v>0</v>
      </c>
      <c r="M36" s="62">
        <f>VLOOKUP(A36,'תפוקה מצטברת מול אשתקד'!A:K,9,0)</f>
        <v>0</v>
      </c>
      <c r="N36" s="62">
        <f>VLOOKUP(A36,'תפוקה מצטברת מול אשתקד'!A:K,10,0)</f>
        <v>0</v>
      </c>
      <c r="O36" s="62">
        <f>VLOOKUP(A36,'תפוקה מצטברת מול אשתקד'!A:K,11,0)</f>
        <v>0</v>
      </c>
    </row>
    <row r="37" spans="1:15" ht="15.75" x14ac:dyDescent="0.2">
      <c r="A37" s="26" t="s">
        <v>27</v>
      </c>
      <c r="B37" s="26" t="s">
        <v>56</v>
      </c>
      <c r="C37" s="27" t="s">
        <v>107</v>
      </c>
      <c r="D37" s="61">
        <f t="shared" si="0"/>
        <v>0</v>
      </c>
      <c r="E37" s="61">
        <f t="shared" si="1"/>
        <v>1</v>
      </c>
      <c r="F37" s="61">
        <f t="shared" si="2"/>
        <v>1</v>
      </c>
      <c r="G37" s="61">
        <f t="shared" si="3"/>
        <v>1</v>
      </c>
      <c r="H37" s="12">
        <v>0</v>
      </c>
      <c r="I37" s="12">
        <v>0</v>
      </c>
      <c r="J37" s="12">
        <v>0</v>
      </c>
      <c r="K37" s="12">
        <v>0</v>
      </c>
      <c r="L37" s="59">
        <f>VLOOKUP(A37,'תפוקה מצטברת מול אשתקד'!A:K,8,0)</f>
        <v>0</v>
      </c>
      <c r="M37" s="62">
        <f>VLOOKUP(A37,'תפוקה מצטברת מול אשתקד'!A:K,9,0)</f>
        <v>-745.94</v>
      </c>
      <c r="N37" s="62">
        <f>VLOOKUP(A37,'תפוקה מצטברת מול אשתקד'!A:K,10,0)</f>
        <v>21102.44</v>
      </c>
      <c r="O37" s="62">
        <f>VLOOKUP(A37,'תפוקה מצטברת מול אשתקד'!A:K,11,0)</f>
        <v>-580576.23</v>
      </c>
    </row>
    <row r="38" spans="1:15" ht="15.75" x14ac:dyDescent="0.2">
      <c r="A38" s="26" t="s">
        <v>28</v>
      </c>
      <c r="B38" s="26" t="s">
        <v>56</v>
      </c>
      <c r="C38" s="27" t="s">
        <v>107</v>
      </c>
      <c r="D38" s="61">
        <f t="shared" si="0"/>
        <v>0</v>
      </c>
      <c r="E38" s="61">
        <f t="shared" si="1"/>
        <v>0</v>
      </c>
      <c r="F38" s="61">
        <f t="shared" si="2"/>
        <v>0</v>
      </c>
      <c r="G38" s="61">
        <f t="shared" si="3"/>
        <v>0</v>
      </c>
      <c r="H38" s="12">
        <v>0</v>
      </c>
      <c r="I38" s="12">
        <v>0</v>
      </c>
      <c r="J38" s="12">
        <v>0</v>
      </c>
      <c r="K38" s="12">
        <v>0</v>
      </c>
      <c r="L38" s="59">
        <f>VLOOKUP(A38,'תפוקה מצטברת מול אשתקד'!A:K,8,0)</f>
        <v>0</v>
      </c>
      <c r="M38" s="62">
        <f>VLOOKUP(A38,'תפוקה מצטברת מול אשתקד'!A:K,9,0)</f>
        <v>0</v>
      </c>
      <c r="N38" s="62">
        <f>VLOOKUP(A38,'תפוקה מצטברת מול אשתקד'!A:K,10,0)</f>
        <v>0</v>
      </c>
      <c r="O38" s="62">
        <f>VLOOKUP(A38,'תפוקה מצטברת מול אשתקד'!A:K,11,0)</f>
        <v>0</v>
      </c>
    </row>
    <row r="39" spans="1:15" ht="15.75" x14ac:dyDescent="0.2">
      <c r="A39" s="26" t="s">
        <v>29</v>
      </c>
      <c r="B39" s="26" t="s">
        <v>56</v>
      </c>
      <c r="C39" s="27" t="s">
        <v>107</v>
      </c>
      <c r="D39" s="61">
        <f t="shared" si="0"/>
        <v>1</v>
      </c>
      <c r="E39" s="61">
        <f t="shared" si="1"/>
        <v>-0.25258092485549133</v>
      </c>
      <c r="F39" s="61">
        <f t="shared" si="2"/>
        <v>1</v>
      </c>
      <c r="G39" s="61">
        <f t="shared" si="3"/>
        <v>1</v>
      </c>
      <c r="H39" s="12">
        <v>0</v>
      </c>
      <c r="I39" s="12">
        <v>3460.0000000000005</v>
      </c>
      <c r="J39" s="12">
        <v>0</v>
      </c>
      <c r="K39" s="12">
        <v>0</v>
      </c>
      <c r="L39" s="59">
        <f>VLOOKUP(A39,'תפוקה מצטברת מול אשתקד'!A:K,8,0)</f>
        <v>7357.82</v>
      </c>
      <c r="M39" s="62">
        <f>VLOOKUP(A39,'תפוקה מצטברת מול אשתקד'!A:K,9,0)</f>
        <v>2586.0700000000002</v>
      </c>
      <c r="N39" s="62">
        <f>VLOOKUP(A39,'תפוקה מצטברת מול אשתקד'!A:K,10,0)</f>
        <v>245375.98</v>
      </c>
      <c r="O39" s="62">
        <f>VLOOKUP(A39,'תפוקה מצטברת מול אשתקד'!A:K,11,0)</f>
        <v>227555.07</v>
      </c>
    </row>
    <row r="40" spans="1:15" ht="31.5" x14ac:dyDescent="0.2">
      <c r="A40" s="26" t="s">
        <v>98</v>
      </c>
      <c r="B40" s="26" t="s">
        <v>55</v>
      </c>
      <c r="C40" s="27" t="s">
        <v>107</v>
      </c>
      <c r="D40" s="61">
        <f t="shared" si="0"/>
        <v>-0.81127113003095974</v>
      </c>
      <c r="E40" s="61">
        <f t="shared" si="1"/>
        <v>-0.74251907514450866</v>
      </c>
      <c r="F40" s="61">
        <f t="shared" si="2"/>
        <v>0</v>
      </c>
      <c r="G40" s="61">
        <f t="shared" si="3"/>
        <v>0</v>
      </c>
      <c r="H40" s="12">
        <v>129200</v>
      </c>
      <c r="I40" s="12">
        <v>34600</v>
      </c>
      <c r="J40" s="12">
        <v>318000</v>
      </c>
      <c r="K40" s="12">
        <v>318000</v>
      </c>
      <c r="L40" s="59">
        <f>VLOOKUP(A40,'תפוקה מצטברת מול אשתקד'!A:K,8,0)</f>
        <v>24383.77</v>
      </c>
      <c r="M40" s="62">
        <f>VLOOKUP(A40,'תפוקה מצטברת מול אשתקד'!A:K,9,0)</f>
        <v>8908.84</v>
      </c>
      <c r="N40" s="62">
        <f>VLOOKUP(A40,'תפוקה מצטברת מול אשתקד'!A:K,10,0)</f>
        <v>0</v>
      </c>
      <c r="O40" s="62">
        <f>VLOOKUP(A40,'תפוקה מצטברת מול אשתקד'!A:K,11,0)</f>
        <v>0</v>
      </c>
    </row>
    <row r="41" spans="1:15" ht="31.5" x14ac:dyDescent="0.2">
      <c r="A41" s="26" t="s">
        <v>32</v>
      </c>
      <c r="B41" s="26" t="s">
        <v>55</v>
      </c>
      <c r="C41" s="27" t="s">
        <v>107</v>
      </c>
      <c r="D41" s="61">
        <f t="shared" si="0"/>
        <v>0</v>
      </c>
      <c r="E41" s="61">
        <f t="shared" si="1"/>
        <v>0</v>
      </c>
      <c r="F41" s="61">
        <f t="shared" si="2"/>
        <v>0</v>
      </c>
      <c r="G41" s="61">
        <f t="shared" si="3"/>
        <v>0</v>
      </c>
      <c r="H41" s="12">
        <v>0</v>
      </c>
      <c r="I41" s="12">
        <v>0</v>
      </c>
      <c r="J41" s="12">
        <v>0</v>
      </c>
      <c r="K41" s="12">
        <v>0</v>
      </c>
      <c r="L41" s="59">
        <f>VLOOKUP(A41,'תפוקה מצטברת מול אשתקד'!A:K,8,0)</f>
        <v>0</v>
      </c>
      <c r="M41" s="62">
        <f>VLOOKUP(A41,'תפוקה מצטברת מול אשתקד'!A:K,9,0)</f>
        <v>0</v>
      </c>
      <c r="N41" s="62">
        <f>VLOOKUP(A41,'תפוקה מצטברת מול אשתקד'!A:K,10,0)</f>
        <v>0</v>
      </c>
      <c r="O41" s="62">
        <f>VLOOKUP(A41,'תפוקה מצטברת מול אשתקד'!A:K,11,0)</f>
        <v>0</v>
      </c>
    </row>
    <row r="42" spans="1:15" ht="15.75" x14ac:dyDescent="0.2">
      <c r="A42" s="30" t="s">
        <v>95</v>
      </c>
      <c r="B42" s="26" t="s">
        <v>56</v>
      </c>
      <c r="C42" s="27" t="s">
        <v>107</v>
      </c>
      <c r="D42" s="61">
        <f t="shared" si="0"/>
        <v>1</v>
      </c>
      <c r="E42" s="61">
        <f t="shared" si="1"/>
        <v>1</v>
      </c>
      <c r="F42" s="61">
        <f t="shared" si="2"/>
        <v>1</v>
      </c>
      <c r="G42" s="61">
        <f t="shared" si="3"/>
        <v>1</v>
      </c>
      <c r="H42" s="12">
        <v>0</v>
      </c>
      <c r="I42" s="12">
        <v>0</v>
      </c>
      <c r="J42" s="12">
        <v>0</v>
      </c>
      <c r="K42" s="12">
        <v>0</v>
      </c>
      <c r="L42" s="59">
        <f>VLOOKUP(A42,'תפוקה מצטברת מול אשתקד'!A:K,8,0)</f>
        <v>200471.46837361451</v>
      </c>
      <c r="M42" s="62">
        <f>VLOOKUP(A42,'תפוקה מצטברת מול אשתקד'!A:K,9,0)</f>
        <v>20622.99152261945</v>
      </c>
      <c r="N42" s="62">
        <f>VLOOKUP(A42,'תפוקה מצטברת מול אשתקד'!A:K,10,0)</f>
        <v>216871.58326689361</v>
      </c>
      <c r="O42" s="62">
        <f>VLOOKUP(A42,'תפוקה מצטברת מול אשתקד'!A:K,11,0)</f>
        <v>637757.88</v>
      </c>
    </row>
    <row r="43" spans="1:15" ht="15.75" x14ac:dyDescent="0.2">
      <c r="A43" s="26" t="s">
        <v>83</v>
      </c>
      <c r="B43" s="26" t="s">
        <v>56</v>
      </c>
      <c r="C43" s="27" t="s">
        <v>107</v>
      </c>
      <c r="D43" s="61">
        <f t="shared" si="0"/>
        <v>-0.89690402476780184</v>
      </c>
      <c r="E43" s="61">
        <f t="shared" si="1"/>
        <v>-0.6855815028901735</v>
      </c>
      <c r="F43" s="61">
        <f t="shared" si="2"/>
        <v>-0.90174444444444446</v>
      </c>
      <c r="G43" s="61">
        <f t="shared" si="3"/>
        <v>0</v>
      </c>
      <c r="H43" s="12">
        <v>96900</v>
      </c>
      <c r="I43" s="12">
        <v>27680.000000000004</v>
      </c>
      <c r="J43" s="12">
        <v>95400</v>
      </c>
      <c r="K43" s="12">
        <v>95400</v>
      </c>
      <c r="L43" s="59">
        <f>VLOOKUP(A43,'תפוקה מצטברת מול אשתקד'!A:K,8,0)</f>
        <v>9990</v>
      </c>
      <c r="M43" s="62">
        <f>VLOOKUP(A43,'תפוקה מצטברת מול אשתקד'!A:K,9,0)</f>
        <v>8703.1039999999994</v>
      </c>
      <c r="N43" s="62">
        <f>VLOOKUP(A43,'תפוקה מצטברת מול אשתקד'!A:K,10,0)</f>
        <v>9373.58</v>
      </c>
      <c r="O43" s="62">
        <f>VLOOKUP(A43,'תפוקה מצטברת מול אשתקד'!A:K,11,0)</f>
        <v>0</v>
      </c>
    </row>
    <row r="44" spans="1:15" ht="15.75" x14ac:dyDescent="0.2">
      <c r="A44" s="26" t="s">
        <v>82</v>
      </c>
      <c r="B44" s="26" t="s">
        <v>56</v>
      </c>
      <c r="C44" s="27" t="s">
        <v>107</v>
      </c>
      <c r="D44" s="61">
        <f t="shared" si="0"/>
        <v>-0.68161733746130038</v>
      </c>
      <c r="E44" s="61">
        <f t="shared" si="1"/>
        <v>-0.67175028901734102</v>
      </c>
      <c r="F44" s="61">
        <f t="shared" si="2"/>
        <v>4.0632547169811319</v>
      </c>
      <c r="G44" s="61">
        <f t="shared" si="3"/>
        <v>0.95502893081760964</v>
      </c>
      <c r="H44" s="12">
        <v>16150</v>
      </c>
      <c r="I44" s="12">
        <v>17300</v>
      </c>
      <c r="J44" s="12">
        <v>95400</v>
      </c>
      <c r="K44" s="12">
        <v>63600</v>
      </c>
      <c r="L44" s="59">
        <f>VLOOKUP(A44,'תפוקה מצטברת מול אשתקד'!A:K,8,0)</f>
        <v>5141.88</v>
      </c>
      <c r="M44" s="62">
        <f>VLOOKUP(A44,'תפוקה מצטברת מול אשתקד'!A:K,9,0)</f>
        <v>5678.72</v>
      </c>
      <c r="N44" s="62">
        <f>VLOOKUP(A44,'תפוקה מצטברת מול אשתקד'!A:K,10,0)</f>
        <v>483034.5</v>
      </c>
      <c r="O44" s="62">
        <f>VLOOKUP(A44,'תפוקה מצטברת מול אשתקד'!A:K,11,0)</f>
        <v>124339.83999999997</v>
      </c>
    </row>
    <row r="45" spans="1:15" ht="31.5" x14ac:dyDescent="0.2">
      <c r="A45" s="26" t="s">
        <v>36</v>
      </c>
      <c r="B45" s="26" t="s">
        <v>55</v>
      </c>
      <c r="C45" s="27" t="s">
        <v>107</v>
      </c>
      <c r="D45" s="61">
        <f t="shared" si="0"/>
        <v>0</v>
      </c>
      <c r="E45" s="61">
        <f t="shared" si="1"/>
        <v>0</v>
      </c>
      <c r="F45" s="61">
        <f t="shared" si="2"/>
        <v>0</v>
      </c>
      <c r="G45" s="61">
        <f t="shared" si="3"/>
        <v>0</v>
      </c>
      <c r="H45" s="12">
        <v>0</v>
      </c>
      <c r="I45" s="12">
        <v>0</v>
      </c>
      <c r="J45" s="12">
        <v>0</v>
      </c>
      <c r="K45" s="12">
        <v>0</v>
      </c>
      <c r="L45" s="59">
        <f>VLOOKUP(A45,'תפוקה מצטברת מול אשתקד'!A:K,8,0)</f>
        <v>0</v>
      </c>
      <c r="M45" s="62">
        <f>VLOOKUP(A45,'תפוקה מצטברת מול אשתקד'!A:K,9,0)</f>
        <v>0</v>
      </c>
      <c r="N45" s="62">
        <f>VLOOKUP(A45,'תפוקה מצטברת מול אשתקד'!A:K,10,0)</f>
        <v>0</v>
      </c>
      <c r="O45" s="62">
        <f>VLOOKUP(A45,'תפוקה מצטברת מול אשתקד'!A:K,11,0)</f>
        <v>0</v>
      </c>
    </row>
    <row r="46" spans="1:15" ht="31.5" x14ac:dyDescent="0.2">
      <c r="A46" s="26" t="s">
        <v>94</v>
      </c>
      <c r="B46" s="26" t="s">
        <v>55</v>
      </c>
      <c r="C46" s="27" t="s">
        <v>107</v>
      </c>
      <c r="D46" s="61">
        <f t="shared" si="0"/>
        <v>0</v>
      </c>
      <c r="E46" s="61">
        <f t="shared" si="1"/>
        <v>0</v>
      </c>
      <c r="F46" s="61">
        <f t="shared" si="2"/>
        <v>0</v>
      </c>
      <c r="G46" s="61">
        <f t="shared" si="3"/>
        <v>0</v>
      </c>
      <c r="H46" s="12">
        <v>0</v>
      </c>
      <c r="I46" s="12">
        <v>0</v>
      </c>
      <c r="J46" s="12">
        <v>0</v>
      </c>
      <c r="K46" s="12">
        <v>0</v>
      </c>
      <c r="L46" s="59">
        <f>VLOOKUP(A46,'תפוקה מצטברת מול אשתקד'!A:K,8,0)</f>
        <v>0</v>
      </c>
      <c r="M46" s="62">
        <f>VLOOKUP(A46,'תפוקה מצטברת מול אשתקד'!A:K,9,0)</f>
        <v>0</v>
      </c>
      <c r="N46" s="62">
        <f>VLOOKUP(A46,'תפוקה מצטברת מול אשתקד'!A:K,10,0)</f>
        <v>0</v>
      </c>
      <c r="O46" s="62">
        <f>VLOOKUP(A46,'תפוקה מצטברת מול אשתקד'!A:K,11,0)</f>
        <v>0</v>
      </c>
    </row>
    <row r="47" spans="1:15" ht="15.75" x14ac:dyDescent="0.2">
      <c r="A47" s="28" t="s">
        <v>85</v>
      </c>
      <c r="B47" s="26" t="s">
        <v>56</v>
      </c>
      <c r="C47" s="27" t="s">
        <v>107</v>
      </c>
      <c r="D47" s="61">
        <f t="shared" si="0"/>
        <v>0</v>
      </c>
      <c r="E47" s="61">
        <f t="shared" si="1"/>
        <v>-0.6791043352601156</v>
      </c>
      <c r="F47" s="61">
        <f t="shared" si="2"/>
        <v>0</v>
      </c>
      <c r="G47" s="61">
        <f t="shared" si="3"/>
        <v>0</v>
      </c>
      <c r="H47" s="12">
        <v>16150</v>
      </c>
      <c r="I47" s="12">
        <v>17300</v>
      </c>
      <c r="J47" s="12">
        <v>159000</v>
      </c>
      <c r="K47" s="12">
        <v>63600</v>
      </c>
      <c r="L47" s="59">
        <f>VLOOKUP(A47,'תפוקה מצטברת מול אשתקד'!A:K,8,0)</f>
        <v>0</v>
      </c>
      <c r="M47" s="62">
        <f>VLOOKUP(A47,'תפוקה מצטברת מול אשתקד'!A:K,9,0)</f>
        <v>5551.4950000000008</v>
      </c>
      <c r="N47" s="62">
        <f>VLOOKUP(A47,'תפוקה מצטברת מול אשתקד'!A:K,10,0)</f>
        <v>0</v>
      </c>
      <c r="O47" s="62">
        <f>VLOOKUP(A47,'תפוקה מצטברת מול אשתקד'!A:K,11,0)</f>
        <v>0</v>
      </c>
    </row>
    <row r="48" spans="1:15" ht="15.75" x14ac:dyDescent="0.2">
      <c r="A48" s="28" t="s">
        <v>87</v>
      </c>
      <c r="B48" s="26" t="s">
        <v>56</v>
      </c>
      <c r="C48" s="27" t="s">
        <v>107</v>
      </c>
      <c r="D48" s="61">
        <f t="shared" si="0"/>
        <v>-0.89630959752321981</v>
      </c>
      <c r="E48" s="61">
        <f t="shared" si="1"/>
        <v>0</v>
      </c>
      <c r="F48" s="61">
        <f t="shared" si="2"/>
        <v>0.55636006289308182</v>
      </c>
      <c r="G48" s="61">
        <f t="shared" si="3"/>
        <v>5.0120969811320757</v>
      </c>
      <c r="H48" s="12">
        <v>32300</v>
      </c>
      <c r="I48" s="12">
        <v>17300</v>
      </c>
      <c r="J48" s="12">
        <v>636000</v>
      </c>
      <c r="K48" s="12">
        <v>159000</v>
      </c>
      <c r="L48" s="59">
        <f>VLOOKUP(A48,'תפוקה מצטברת מול אשתקד'!A:K,8,0)</f>
        <v>3349.2</v>
      </c>
      <c r="M48" s="62">
        <f>VLOOKUP(A48,'תפוקה מצטברת מול אשתקד'!A:K,9,0)</f>
        <v>0</v>
      </c>
      <c r="N48" s="62">
        <f>VLOOKUP(A48,'תפוקה מצטברת מול אשתקד'!A:K,10,0)</f>
        <v>989845</v>
      </c>
      <c r="O48" s="62">
        <f>VLOOKUP(A48,'תפוקה מצטברת מול אשתקד'!A:K,11,0)</f>
        <v>955923.42</v>
      </c>
    </row>
    <row r="49" spans="1:15" ht="15.75" x14ac:dyDescent="0.2">
      <c r="A49" s="26" t="s">
        <v>97</v>
      </c>
      <c r="B49" s="26" t="s">
        <v>56</v>
      </c>
      <c r="C49" s="26" t="s">
        <v>107</v>
      </c>
      <c r="D49" s="61">
        <f t="shared" si="0"/>
        <v>1</v>
      </c>
      <c r="E49" s="61">
        <f t="shared" si="1"/>
        <v>1</v>
      </c>
      <c r="F49" s="61">
        <f t="shared" si="2"/>
        <v>1</v>
      </c>
      <c r="G49" s="61">
        <f t="shared" si="3"/>
        <v>0</v>
      </c>
      <c r="H49" s="12">
        <v>0</v>
      </c>
      <c r="I49" s="12">
        <v>0</v>
      </c>
      <c r="J49" s="12">
        <v>0</v>
      </c>
      <c r="K49" s="12">
        <v>0</v>
      </c>
      <c r="L49" s="59">
        <f>VLOOKUP(A49,'תפוקה מצטברת מול אשתקד'!A:K,8,0)</f>
        <v>117900.19016</v>
      </c>
      <c r="M49" s="62">
        <f>VLOOKUP(A49,'תפוקה מצטברת מול אשתקד'!A:K,9,0)</f>
        <v>1591.99</v>
      </c>
      <c r="N49" s="62">
        <f>VLOOKUP(A49,'תפוקה מצטברת מול אשתקד'!A:K,10,0)</f>
        <v>925379.02999999991</v>
      </c>
      <c r="O49" s="62">
        <f>VLOOKUP(A49,'תפוקה מצטברת מול אשתקד'!A:K,11,0)</f>
        <v>0</v>
      </c>
    </row>
    <row r="50" spans="1:15" ht="15.75" x14ac:dyDescent="0.2">
      <c r="A50" s="26" t="s">
        <v>39</v>
      </c>
      <c r="B50" s="26" t="s">
        <v>56</v>
      </c>
      <c r="C50" s="26" t="s">
        <v>107</v>
      </c>
      <c r="D50" s="61">
        <f t="shared" si="0"/>
        <v>1</v>
      </c>
      <c r="E50" s="61">
        <f t="shared" si="1"/>
        <v>1</v>
      </c>
      <c r="F50" s="61">
        <f t="shared" si="2"/>
        <v>0</v>
      </c>
      <c r="G50" s="61">
        <f t="shared" si="3"/>
        <v>1</v>
      </c>
      <c r="H50" s="12">
        <v>0</v>
      </c>
      <c r="I50" s="12">
        <v>0</v>
      </c>
      <c r="J50" s="12">
        <v>0</v>
      </c>
      <c r="K50" s="12">
        <v>0</v>
      </c>
      <c r="L50" s="59">
        <f>VLOOKUP(A50,'תפוקה מצטברת מול אשתקד'!A:K,8,0)</f>
        <v>7357.82</v>
      </c>
      <c r="M50" s="62">
        <f>VLOOKUP(A50,'תפוקה מצטברת מול אשתקד'!A:K,9,0)</f>
        <v>9703.9</v>
      </c>
      <c r="N50" s="62">
        <f>VLOOKUP(A50,'תפוקה מצטברת מול אשתקד'!A:K,10,0)</f>
        <v>0</v>
      </c>
      <c r="O50" s="62">
        <f>VLOOKUP(A50,'תפוקה מצטברת מול אשתקד'!A:K,11,0)</f>
        <v>139301.68</v>
      </c>
    </row>
    <row r="51" spans="1:15" ht="15.75" x14ac:dyDescent="0.2">
      <c r="A51" s="26" t="s">
        <v>91</v>
      </c>
      <c r="B51" s="26" t="s">
        <v>56</v>
      </c>
      <c r="C51" s="26" t="s">
        <v>107</v>
      </c>
      <c r="D51" s="61">
        <f t="shared" si="0"/>
        <v>1</v>
      </c>
      <c r="E51" s="61">
        <f t="shared" si="1"/>
        <v>1</v>
      </c>
      <c r="F51" s="61">
        <f t="shared" si="2"/>
        <v>1</v>
      </c>
      <c r="G51" s="61">
        <f t="shared" si="3"/>
        <v>1</v>
      </c>
      <c r="H51" s="12">
        <v>0</v>
      </c>
      <c r="I51" s="12">
        <v>0</v>
      </c>
      <c r="J51" s="12">
        <v>0</v>
      </c>
      <c r="K51" s="12">
        <v>0</v>
      </c>
      <c r="L51" s="59">
        <f>VLOOKUP(A51,'תפוקה מצטברת מול אשתקד'!A:K,8,0)</f>
        <v>172018.52611999999</v>
      </c>
      <c r="M51" s="62">
        <f>VLOOKUP(A51,'תפוקה מצטברת מול אשתקד'!A:K,9,0)</f>
        <v>6581.741</v>
      </c>
      <c r="N51" s="62">
        <f>VLOOKUP(A51,'תפוקה מצטברת מול אשתקד'!A:K,10,0)</f>
        <v>124311.49</v>
      </c>
      <c r="O51" s="62">
        <f>VLOOKUP(A51,'תפוקה מצטברת מול אשתקד'!A:K,11,0)</f>
        <v>591122.58000000007</v>
      </c>
    </row>
    <row r="52" spans="1:15" ht="15.75" x14ac:dyDescent="0.2">
      <c r="A52" s="26" t="s">
        <v>41</v>
      </c>
      <c r="B52" s="26" t="s">
        <v>56</v>
      </c>
      <c r="C52" s="26" t="s">
        <v>107</v>
      </c>
      <c r="D52" s="61">
        <f t="shared" si="0"/>
        <v>1</v>
      </c>
      <c r="E52" s="61">
        <f t="shared" si="1"/>
        <v>1</v>
      </c>
      <c r="F52" s="61">
        <f t="shared" si="2"/>
        <v>0</v>
      </c>
      <c r="G52" s="61">
        <f t="shared" si="3"/>
        <v>0</v>
      </c>
      <c r="H52" s="12">
        <v>0</v>
      </c>
      <c r="I52" s="12">
        <v>0</v>
      </c>
      <c r="J52" s="12">
        <v>0</v>
      </c>
      <c r="K52" s="12">
        <v>0</v>
      </c>
      <c r="L52" s="59">
        <f>VLOOKUP(A52,'תפוקה מצטברת מול אשתקד'!A:K,8,0)</f>
        <v>12059</v>
      </c>
      <c r="M52" s="62">
        <f>VLOOKUP(A52,'תפוקה מצטברת מול אשתקד'!A:K,9,0)</f>
        <v>860.7</v>
      </c>
      <c r="N52" s="62">
        <f>VLOOKUP(A52,'תפוקה מצטברת מול אשתקד'!A:K,10,0)</f>
        <v>0</v>
      </c>
      <c r="O52" s="62">
        <f>VLOOKUP(A52,'תפוקה מצטברת מול אשתקד'!A:K,11,0)</f>
        <v>0</v>
      </c>
    </row>
    <row r="53" spans="1:15" ht="16.5" thickBot="1" x14ac:dyDescent="0.25">
      <c r="A53" s="28" t="s">
        <v>88</v>
      </c>
      <c r="B53" s="28" t="s">
        <v>56</v>
      </c>
      <c r="C53" s="28" t="s">
        <v>107</v>
      </c>
      <c r="D53" s="145">
        <f t="shared" si="0"/>
        <v>0</v>
      </c>
      <c r="E53" s="145">
        <f t="shared" si="1"/>
        <v>1</v>
      </c>
      <c r="F53" s="145">
        <f t="shared" si="2"/>
        <v>0</v>
      </c>
      <c r="G53" s="145">
        <f t="shared" si="3"/>
        <v>1</v>
      </c>
      <c r="H53" s="12">
        <v>0</v>
      </c>
      <c r="I53" s="12">
        <v>0</v>
      </c>
      <c r="J53" s="12">
        <v>0</v>
      </c>
      <c r="K53" s="12">
        <v>0</v>
      </c>
      <c r="L53" s="59">
        <f>VLOOKUP(A53,'תפוקה מצטברת מול אשתקד'!A:K,8,0)</f>
        <v>0</v>
      </c>
      <c r="M53" s="62">
        <f>VLOOKUP(A53,'תפוקה מצטברת מול אשתקד'!A:K,9,0)</f>
        <v>3237.9700000000003</v>
      </c>
      <c r="N53" s="62">
        <f>VLOOKUP(A53,'תפוקה מצטברת מול אשתקד'!A:K,10,0)</f>
        <v>0</v>
      </c>
      <c r="O53" s="62">
        <f>VLOOKUP(A53,'תפוקה מצטברת מול אשתקד'!A:K,11,0)</f>
        <v>-2016</v>
      </c>
    </row>
    <row r="54" spans="1:15" ht="21.75" thickBot="1" x14ac:dyDescent="0.25">
      <c r="A54" s="150" t="s">
        <v>116</v>
      </c>
      <c r="B54" s="57"/>
      <c r="C54" s="147"/>
      <c r="D54" s="151">
        <f t="shared" ref="D54" si="6">IF(L54=0,0%,IF(H54=0,100%,L54/H54-1))</f>
        <v>9.8879128144172101E-2</v>
      </c>
      <c r="E54" s="151">
        <f t="shared" ref="E54" si="7">IF(M54=0,0%,IF(I54=0,100%,M54/I54-1))</f>
        <v>-0.21207051159125889</v>
      </c>
      <c r="F54" s="151">
        <f t="shared" ref="F54" si="8">IF(N54=0,0%,IF(J54=0,100%,N54/J54-1))</f>
        <v>-1.1202251164493471E-2</v>
      </c>
      <c r="G54" s="151">
        <f t="shared" ref="G54" si="9">IF(O54=0,0%,IF(K54=0,100%,O54/K54-1))</f>
        <v>0.44629655032796212</v>
      </c>
      <c r="H54" s="129">
        <f>SUM(H22:H53)</f>
        <v>3536850</v>
      </c>
      <c r="I54" s="129">
        <f>SUM(I22:I53)</f>
        <v>695460</v>
      </c>
      <c r="J54" s="129">
        <f>SUM(J22:J53)</f>
        <v>7791000</v>
      </c>
      <c r="K54" s="129">
        <f>SUM(K22:K53)</f>
        <v>7409400</v>
      </c>
      <c r="L54" s="129">
        <f>SUM(L22:L53)</f>
        <v>3886570.6443767147</v>
      </c>
      <c r="M54" s="129">
        <f t="shared" ref="M54:O54" si="10">SUM(M22:M53)</f>
        <v>547973.44200874306</v>
      </c>
      <c r="N54" s="129">
        <f t="shared" si="10"/>
        <v>7703723.2611774318</v>
      </c>
      <c r="O54" s="129">
        <f t="shared" si="10"/>
        <v>10716189.660000002</v>
      </c>
    </row>
    <row r="55" spans="1:15" ht="15.75" x14ac:dyDescent="0.2">
      <c r="A55" s="26" t="s">
        <v>37</v>
      </c>
      <c r="B55" s="26" t="s">
        <v>115</v>
      </c>
      <c r="C55" s="27" t="s">
        <v>107</v>
      </c>
      <c r="D55" s="61">
        <f t="shared" ref="D55:G62" si="11">IF(L55=0,0%,IF(H55=0,100%,L55/H55-1))</f>
        <v>-0.49373062693498448</v>
      </c>
      <c r="E55" s="61">
        <f t="shared" si="11"/>
        <v>-0.62367530966143681</v>
      </c>
      <c r="F55" s="61">
        <f t="shared" si="11"/>
        <v>-0.2520786163522013</v>
      </c>
      <c r="G55" s="61">
        <f t="shared" si="11"/>
        <v>-0.71962389937106919</v>
      </c>
      <c r="H55" s="12">
        <v>1292000</v>
      </c>
      <c r="I55" s="12">
        <v>121100.00000000001</v>
      </c>
      <c r="J55" s="12">
        <v>1272000</v>
      </c>
      <c r="K55" s="12">
        <v>1272000</v>
      </c>
      <c r="L55" s="59">
        <f>VLOOKUP(A55,'תפוקה מצטברת מול אשתקד'!A:K,8,0)</f>
        <v>654100.03</v>
      </c>
      <c r="M55" s="62">
        <f>VLOOKUP(A55,'תפוקה מצטברת מול אשתקד'!A:K,9,0)</f>
        <v>45572.920000000006</v>
      </c>
      <c r="N55" s="62">
        <f>VLOOKUP(A55,'תפוקה מצטברת מול אשתקד'!A:K,10,0)</f>
        <v>951356</v>
      </c>
      <c r="O55" s="62">
        <f>VLOOKUP(A55,'תפוקה מצטברת מול אשתקד'!A:K,11,0)</f>
        <v>356638.4</v>
      </c>
    </row>
    <row r="56" spans="1:15" ht="15.75" x14ac:dyDescent="0.2">
      <c r="A56" s="30" t="s">
        <v>33</v>
      </c>
      <c r="B56" s="26" t="s">
        <v>115</v>
      </c>
      <c r="C56" s="26" t="s">
        <v>107</v>
      </c>
      <c r="D56" s="61">
        <f t="shared" si="11"/>
        <v>-0.86912074303405573</v>
      </c>
      <c r="E56" s="61">
        <f t="shared" si="11"/>
        <v>-0.93721134393063588</v>
      </c>
      <c r="F56" s="61">
        <f t="shared" si="11"/>
        <v>-0.56615721144632059</v>
      </c>
      <c r="G56" s="61">
        <f t="shared" si="11"/>
        <v>0</v>
      </c>
      <c r="H56" s="12">
        <v>161500</v>
      </c>
      <c r="I56" s="12">
        <v>27680.000000000004</v>
      </c>
      <c r="J56" s="12">
        <v>2226000</v>
      </c>
      <c r="K56" s="12">
        <v>318000</v>
      </c>
      <c r="L56" s="59">
        <f>VLOOKUP(A56,'תפוקה מצטברת מול אשתקד'!A:K,8,0)</f>
        <v>21137</v>
      </c>
      <c r="M56" s="62">
        <f>VLOOKUP(A56,'תפוקה מצטברת מול אשתקד'!A:K,9,0)</f>
        <v>1737.99</v>
      </c>
      <c r="N56" s="62">
        <f>VLOOKUP(A56,'תפוקה מצטברת מול אשתקד'!A:K,10,0)</f>
        <v>965734.04732049035</v>
      </c>
      <c r="O56" s="62">
        <f>VLOOKUP(A56,'תפוקה מצטברת מול אשתקד'!A:K,11,0)</f>
        <v>0</v>
      </c>
    </row>
    <row r="57" spans="1:15" ht="15.75" x14ac:dyDescent="0.2">
      <c r="A57" s="26" t="s">
        <v>35</v>
      </c>
      <c r="B57" s="26" t="s">
        <v>115</v>
      </c>
      <c r="C57" s="27" t="s">
        <v>107</v>
      </c>
      <c r="D57" s="61">
        <f t="shared" si="11"/>
        <v>1</v>
      </c>
      <c r="E57" s="61">
        <f t="shared" si="11"/>
        <v>0</v>
      </c>
      <c r="F57" s="61">
        <f t="shared" si="11"/>
        <v>0</v>
      </c>
      <c r="G57" s="61">
        <f t="shared" si="11"/>
        <v>0</v>
      </c>
      <c r="H57" s="12">
        <v>0</v>
      </c>
      <c r="I57" s="12">
        <v>13840.000000000002</v>
      </c>
      <c r="J57" s="12">
        <v>0</v>
      </c>
      <c r="K57" s="12">
        <v>0</v>
      </c>
      <c r="L57" s="59">
        <f>VLOOKUP(A57,'תפוקה מצטברת מול אשתקד'!A:K,8,0)</f>
        <v>17510.71</v>
      </c>
      <c r="M57" s="62">
        <f>VLOOKUP(A57,'תפוקה מצטברת מול אשתקד'!A:K,9,0)</f>
        <v>0</v>
      </c>
      <c r="N57" s="62">
        <f>VLOOKUP(A57,'תפוקה מצטברת מול אשתקד'!A:K,10,0)</f>
        <v>0</v>
      </c>
      <c r="O57" s="62">
        <f>VLOOKUP(A57,'תפוקה מצטברת מול אשתקד'!A:K,11,0)</f>
        <v>0</v>
      </c>
    </row>
    <row r="58" spans="1:15" ht="15.75" x14ac:dyDescent="0.2">
      <c r="A58" s="27" t="s">
        <v>86</v>
      </c>
      <c r="B58" s="27" t="s">
        <v>115</v>
      </c>
      <c r="C58" s="27" t="s">
        <v>107</v>
      </c>
      <c r="D58" s="61">
        <f t="shared" si="11"/>
        <v>0.93749725709741583</v>
      </c>
      <c r="E58" s="61">
        <f t="shared" si="11"/>
        <v>9.1853289625770662E-2</v>
      </c>
      <c r="F58" s="61">
        <f t="shared" si="11"/>
        <v>2.1399195529695332</v>
      </c>
      <c r="G58" s="61">
        <f t="shared" si="11"/>
        <v>6.3234918238993743E-2</v>
      </c>
      <c r="H58" s="12">
        <v>323000</v>
      </c>
      <c r="I58" s="12">
        <v>69200</v>
      </c>
      <c r="J58" s="12">
        <v>795000</v>
      </c>
      <c r="K58" s="12">
        <v>3180000</v>
      </c>
      <c r="L58" s="59">
        <f>VLOOKUP(A58,'תפוקה מצטברת מול אשתקד'!A:K,8,0)</f>
        <v>625811.61404246534</v>
      </c>
      <c r="M58" s="62">
        <f>VLOOKUP(A58,'תפוקה מצטברת מול אשתקד'!A:K,9,0)</f>
        <v>75556.247642103335</v>
      </c>
      <c r="N58" s="62">
        <f>VLOOKUP(A58,'תפוקה מצטברת מול אשתקד'!A:K,10,0)</f>
        <v>2496236.0446107788</v>
      </c>
      <c r="O58" s="62">
        <f>VLOOKUP(A58,'תפוקה מצטברת מול אשתקד'!A:K,11,0)</f>
        <v>3381087.04</v>
      </c>
    </row>
    <row r="59" spans="1:15" ht="15.75" x14ac:dyDescent="0.2">
      <c r="A59" s="26" t="s">
        <v>84</v>
      </c>
      <c r="B59" s="26" t="s">
        <v>115</v>
      </c>
      <c r="C59" s="26" t="s">
        <v>107</v>
      </c>
      <c r="D59" s="61">
        <f t="shared" si="11"/>
        <v>-0.15923856532147707</v>
      </c>
      <c r="E59" s="61">
        <f t="shared" si="11"/>
        <v>-0.29106742940945318</v>
      </c>
      <c r="F59" s="61">
        <f t="shared" si="11"/>
        <v>2.2591272075471704</v>
      </c>
      <c r="G59" s="61">
        <f t="shared" si="11"/>
        <v>0.18977920335429754</v>
      </c>
      <c r="H59" s="12">
        <v>323000</v>
      </c>
      <c r="I59" s="12">
        <v>34600</v>
      </c>
      <c r="J59" s="12">
        <v>795000</v>
      </c>
      <c r="K59" s="12">
        <v>477000</v>
      </c>
      <c r="L59" s="59">
        <f>VLOOKUP(A59,'תפוקה מצטברת מול אשתקד'!A:K,8,0)</f>
        <v>271565.94340116292</v>
      </c>
      <c r="M59" s="62">
        <f>VLOOKUP(A59,'תפוקה מצטברת מול אשתקד'!A:K,9,0)</f>
        <v>24529.066942432921</v>
      </c>
      <c r="N59" s="62">
        <f>VLOOKUP(A59,'תפוקה מצטברת מול אשתקד'!A:K,10,0)</f>
        <v>2591006.1300000004</v>
      </c>
      <c r="O59" s="62">
        <f>VLOOKUP(A59,'תפוקה מצטברת מול אשתקד'!A:K,11,0)</f>
        <v>567524.67999999993</v>
      </c>
    </row>
    <row r="60" spans="1:15" ht="15.75" x14ac:dyDescent="0.2">
      <c r="A60" s="107" t="s">
        <v>99</v>
      </c>
      <c r="B60" s="26" t="s">
        <v>115</v>
      </c>
      <c r="C60" s="27" t="s">
        <v>107</v>
      </c>
      <c r="D60" s="61">
        <f t="shared" si="11"/>
        <v>2.5487061919504646</v>
      </c>
      <c r="E60" s="61">
        <f t="shared" si="11"/>
        <v>-0.5874063583815029</v>
      </c>
      <c r="F60" s="61">
        <f t="shared" si="11"/>
        <v>-0.20329963836477993</v>
      </c>
      <c r="G60" s="61">
        <f t="shared" si="11"/>
        <v>-0.92433597484276731</v>
      </c>
      <c r="H60" s="12">
        <v>32300</v>
      </c>
      <c r="I60" s="12">
        <v>34600</v>
      </c>
      <c r="J60" s="12">
        <v>636000</v>
      </c>
      <c r="K60" s="12">
        <v>477000</v>
      </c>
      <c r="L60" s="59">
        <f>VLOOKUP(A60,'תפוקה מצטברת מול אשתקד'!A:K,8,0)</f>
        <v>114623.21</v>
      </c>
      <c r="M60" s="62">
        <f>VLOOKUP(A60,'תפוקה מצטברת מול אשתקד'!A:K,9,0)</f>
        <v>14275.74</v>
      </c>
      <c r="N60" s="62">
        <f>VLOOKUP(A60,'תפוקה מצטברת מול אשתקד'!A:K,10,0)</f>
        <v>506701.43</v>
      </c>
      <c r="O60" s="62">
        <f>VLOOKUP(A60,'תפוקה מצטברת מול אשתקד'!A:K,11,0)</f>
        <v>36091.74</v>
      </c>
    </row>
    <row r="61" spans="1:15" ht="15.75" x14ac:dyDescent="0.2">
      <c r="A61" s="246" t="s">
        <v>136</v>
      </c>
      <c r="B61" s="26" t="s">
        <v>115</v>
      </c>
      <c r="C61" s="27" t="s">
        <v>107</v>
      </c>
      <c r="D61" s="61">
        <f t="shared" si="11"/>
        <v>0</v>
      </c>
      <c r="E61" s="61">
        <f t="shared" si="11"/>
        <v>0</v>
      </c>
      <c r="F61" s="61">
        <f t="shared" si="11"/>
        <v>0</v>
      </c>
      <c r="G61" s="61">
        <f t="shared" si="11"/>
        <v>0</v>
      </c>
      <c r="H61" s="12">
        <v>323000</v>
      </c>
      <c r="I61" s="12">
        <v>51900.000000000007</v>
      </c>
      <c r="J61" s="12">
        <v>1590000</v>
      </c>
      <c r="K61" s="12">
        <v>636000</v>
      </c>
      <c r="L61" s="59">
        <f>VLOOKUP(A61,'תפוקה מצטברת מול אשתקד'!A:K,8,0)</f>
        <v>0</v>
      </c>
      <c r="M61" s="62">
        <f>VLOOKUP(A61,'תפוקה מצטברת מול אשתקד'!A:K,9,0)</f>
        <v>0</v>
      </c>
      <c r="N61" s="62">
        <f>VLOOKUP(A61,'תפוקה מצטברת מול אשתקד'!A:K,10,0)</f>
        <v>0</v>
      </c>
      <c r="O61" s="62">
        <f>VLOOKUP(A61,'תפוקה מצטברת מול אשתקד'!A:K,11,0)</f>
        <v>0</v>
      </c>
    </row>
    <row r="62" spans="1:15" ht="16.5" thickBot="1" x14ac:dyDescent="0.25">
      <c r="A62" s="30" t="s">
        <v>16</v>
      </c>
      <c r="B62" s="26" t="s">
        <v>115</v>
      </c>
      <c r="C62" s="27" t="s">
        <v>107</v>
      </c>
      <c r="D62" s="61">
        <f t="shared" si="11"/>
        <v>0</v>
      </c>
      <c r="E62" s="61">
        <f t="shared" si="11"/>
        <v>0</v>
      </c>
      <c r="F62" s="61">
        <f t="shared" si="11"/>
        <v>0</v>
      </c>
      <c r="G62" s="61">
        <f t="shared" si="11"/>
        <v>0</v>
      </c>
      <c r="H62" s="12">
        <v>0</v>
      </c>
      <c r="I62" s="12">
        <v>34600</v>
      </c>
      <c r="J62" s="12">
        <v>0</v>
      </c>
      <c r="K62" s="12">
        <v>0</v>
      </c>
      <c r="L62" s="59">
        <f>VLOOKUP(A62,'תפוקה מצטברת מול אשתקד'!A:K,8,0)</f>
        <v>0</v>
      </c>
      <c r="M62" s="62">
        <f>VLOOKUP(A62,'תפוקה מצטברת מול אשתקד'!A:K,9,0)</f>
        <v>0</v>
      </c>
      <c r="N62" s="62">
        <f>VLOOKUP(A62,'תפוקה מצטברת מול אשתקד'!A:K,10,0)</f>
        <v>0</v>
      </c>
      <c r="O62" s="62">
        <f>VLOOKUP(A62,'תפוקה מצטברת מול אשתקד'!A:K,11,0)</f>
        <v>0</v>
      </c>
    </row>
    <row r="63" spans="1:15" ht="21.75" thickBot="1" x14ac:dyDescent="0.25">
      <c r="A63" s="150" t="s">
        <v>117</v>
      </c>
      <c r="B63" s="57"/>
      <c r="C63" s="147"/>
      <c r="D63" s="151">
        <f t="shared" si="0"/>
        <v>-0.30554484787207581</v>
      </c>
      <c r="E63" s="151">
        <f t="shared" si="1"/>
        <v>-0.58280355959812069</v>
      </c>
      <c r="F63" s="151">
        <f t="shared" si="2"/>
        <v>2.6939246914310822E-2</v>
      </c>
      <c r="G63" s="151">
        <f t="shared" si="3"/>
        <v>-0.31739907861635219</v>
      </c>
      <c r="H63" s="129">
        <f>SUM(H55:H62)</f>
        <v>2454800</v>
      </c>
      <c r="I63" s="129">
        <f>SUM(I55:I62)</f>
        <v>387520</v>
      </c>
      <c r="J63" s="129">
        <f>SUM(J55:J62)</f>
        <v>7314000</v>
      </c>
      <c r="K63" s="129">
        <f>SUM(K55:K62)</f>
        <v>6360000</v>
      </c>
      <c r="L63" s="129">
        <f>SUM(L55:L62)</f>
        <v>1704748.5074436283</v>
      </c>
      <c r="M63" s="129">
        <f t="shared" ref="M63:O63" si="12">SUM(M55:M62)</f>
        <v>161671.96458453624</v>
      </c>
      <c r="N63" s="129">
        <f t="shared" si="12"/>
        <v>7511033.6519312691</v>
      </c>
      <c r="O63" s="129">
        <f t="shared" si="12"/>
        <v>4341341.8600000003</v>
      </c>
    </row>
    <row r="64" spans="1:15" ht="15.75" x14ac:dyDescent="0.2">
      <c r="A64" s="27" t="s">
        <v>77</v>
      </c>
      <c r="B64" s="27" t="s">
        <v>108</v>
      </c>
      <c r="C64" s="27" t="s">
        <v>102</v>
      </c>
      <c r="D64" s="146">
        <f t="shared" si="0"/>
        <v>-0.29402071851910649</v>
      </c>
      <c r="E64" s="146">
        <f t="shared" si="1"/>
        <v>-0.74853631951449806</v>
      </c>
      <c r="F64" s="146">
        <f t="shared" si="2"/>
        <v>-0.10291521698113215</v>
      </c>
      <c r="G64" s="146">
        <f t="shared" si="3"/>
        <v>1.2397526226415092</v>
      </c>
      <c r="H64" s="12">
        <v>323000</v>
      </c>
      <c r="I64" s="12">
        <v>51900.000000000007</v>
      </c>
      <c r="J64" s="12">
        <v>3180000</v>
      </c>
      <c r="K64" s="12">
        <v>1590000</v>
      </c>
      <c r="L64" s="59">
        <f>VLOOKUP(A64,'תפוקה מצטברת מול אשתקד'!A:K,8,0)</f>
        <v>228031.30791832862</v>
      </c>
      <c r="M64" s="62">
        <f>VLOOKUP(A64,'תפוקה מצטברת מול אשתקד'!A:K,9,0)</f>
        <v>13050.965017197555</v>
      </c>
      <c r="N64" s="62">
        <f>VLOOKUP(A64,'תפוקה מצטברת מול אשתקד'!A:K,10,0)</f>
        <v>2852729.61</v>
      </c>
      <c r="O64" s="62">
        <f>VLOOKUP(A64,'תפוקה מצטברת מול אשתקד'!A:K,11,0)</f>
        <v>3561206.67</v>
      </c>
    </row>
    <row r="65" spans="1:15" ht="15.75" x14ac:dyDescent="0.2">
      <c r="A65" s="30" t="s">
        <v>40</v>
      </c>
      <c r="B65" s="26" t="s">
        <v>56</v>
      </c>
      <c r="C65" s="26" t="s">
        <v>103</v>
      </c>
      <c r="D65" s="61">
        <f t="shared" si="0"/>
        <v>0.1055481314506852</v>
      </c>
      <c r="E65" s="61">
        <f t="shared" si="1"/>
        <v>0.35358040462427742</v>
      </c>
      <c r="F65" s="61">
        <f t="shared" si="2"/>
        <v>1.9354147798742227E-2</v>
      </c>
      <c r="G65" s="61">
        <f t="shared" si="3"/>
        <v>1.5354806865828095</v>
      </c>
      <c r="H65" s="12">
        <v>969000</v>
      </c>
      <c r="I65" s="12">
        <v>207600.00000000003</v>
      </c>
      <c r="J65" s="12">
        <v>3180000</v>
      </c>
      <c r="K65" s="12">
        <v>1908000</v>
      </c>
      <c r="L65" s="59">
        <f>VLOOKUP(A65,'תפוקה מצטברת מול אשתקד'!A:K,8,0)</f>
        <v>1071276.1393757139</v>
      </c>
      <c r="M65" s="62">
        <f>VLOOKUP(A65,'תפוקה מצטברת מול אשתקד'!A:K,9,0)</f>
        <v>281003.29200000002</v>
      </c>
      <c r="N65" s="62">
        <f>VLOOKUP(A65,'תפוקה מצטברת מול אשתקד'!A:K,10,0)</f>
        <v>3241546.19</v>
      </c>
      <c r="O65" s="62">
        <f>VLOOKUP(A65,'תפוקה מצטברת מול אשתקד'!A:K,11,0)</f>
        <v>4837697.1500000004</v>
      </c>
    </row>
    <row r="66" spans="1:15" ht="15.75" x14ac:dyDescent="0.2">
      <c r="A66" s="26" t="s">
        <v>90</v>
      </c>
      <c r="B66" s="26" t="s">
        <v>108</v>
      </c>
      <c r="C66" s="26" t="s">
        <v>103</v>
      </c>
      <c r="D66" s="61">
        <f t="shared" ref="D66:E73" si="13">IF(L66=0,0%,IF(H66=0,100%,L66/H66-1))</f>
        <v>0</v>
      </c>
      <c r="E66" s="61">
        <f t="shared" si="13"/>
        <v>1</v>
      </c>
      <c r="F66" s="61">
        <f t="shared" si="2"/>
        <v>1</v>
      </c>
      <c r="G66" s="61">
        <f t="shared" si="3"/>
        <v>0</v>
      </c>
      <c r="H66" s="12">
        <v>0</v>
      </c>
      <c r="I66" s="12">
        <v>0</v>
      </c>
      <c r="J66" s="12">
        <v>0</v>
      </c>
      <c r="K66" s="12">
        <v>0</v>
      </c>
      <c r="L66" s="59">
        <f>VLOOKUP(A66,'תפוקה מצטברת מול אשתקד'!A:K,8,0)</f>
        <v>0</v>
      </c>
      <c r="M66" s="62">
        <f>VLOOKUP(A66,'תפוקה מצטברת מול אשתקד'!A:K,9,0)</f>
        <v>-1585.5195168282939</v>
      </c>
      <c r="N66" s="62">
        <f>VLOOKUP(A66,'תפוקה מצטברת מול אשתקד'!A:K,10,0)</f>
        <v>2500</v>
      </c>
      <c r="O66" s="62">
        <f>VLOOKUP(A66,'תפוקה מצטברת מול אשתקד'!A:K,11,0)</f>
        <v>0</v>
      </c>
    </row>
    <row r="67" spans="1:15" ht="15.75" x14ac:dyDescent="0.2">
      <c r="A67" s="26" t="s">
        <v>92</v>
      </c>
      <c r="B67" s="26" t="s">
        <v>56</v>
      </c>
      <c r="C67" s="26" t="s">
        <v>103</v>
      </c>
      <c r="D67" s="61">
        <f t="shared" si="13"/>
        <v>1</v>
      </c>
      <c r="E67" s="61">
        <f t="shared" si="13"/>
        <v>1</v>
      </c>
      <c r="F67" s="61">
        <f t="shared" ref="F67:F73" si="14">IF(N67=0,0%,IF(J67=0,100%,N67/J67-1))</f>
        <v>1</v>
      </c>
      <c r="G67" s="61">
        <f t="shared" ref="G67:G73" si="15">IF(O67=0,0%,IF(K67=0,100%,O67/K67-1))</f>
        <v>1</v>
      </c>
      <c r="H67" s="12">
        <v>0</v>
      </c>
      <c r="I67" s="12">
        <v>0</v>
      </c>
      <c r="J67" s="12">
        <v>0</v>
      </c>
      <c r="K67" s="12">
        <v>0</v>
      </c>
      <c r="L67" s="59">
        <f>VLOOKUP(A67,'תפוקה מצטברת מול אשתקד'!A:K,8,0)</f>
        <v>79345.11</v>
      </c>
      <c r="M67" s="62">
        <f>VLOOKUP(A67,'תפוקה מצטברת מול אשתקד'!A:K,9,0)</f>
        <v>-478.12349989090097</v>
      </c>
      <c r="N67" s="62">
        <f>VLOOKUP(A67,'תפוקה מצטברת מול אשתקד'!A:K,10,0)</f>
        <v>30968.63</v>
      </c>
      <c r="O67" s="62">
        <f>VLOOKUP(A67,'תפוקה מצטברת מול אשתקד'!A:K,11,0)</f>
        <v>1414449.72</v>
      </c>
    </row>
    <row r="68" spans="1:15" ht="15.75" x14ac:dyDescent="0.2">
      <c r="A68" s="26" t="s">
        <v>93</v>
      </c>
      <c r="B68" s="26" t="s">
        <v>56</v>
      </c>
      <c r="C68" s="26" t="s">
        <v>103</v>
      </c>
      <c r="D68" s="61">
        <f t="shared" si="13"/>
        <v>0</v>
      </c>
      <c r="E68" s="61">
        <f t="shared" si="13"/>
        <v>0.62554193641618494</v>
      </c>
      <c r="F68" s="61">
        <f t="shared" si="14"/>
        <v>0</v>
      </c>
      <c r="G68" s="61">
        <f t="shared" si="15"/>
        <v>0</v>
      </c>
      <c r="H68" s="12">
        <v>64600</v>
      </c>
      <c r="I68" s="12">
        <v>34600</v>
      </c>
      <c r="J68" s="12">
        <v>159000</v>
      </c>
      <c r="K68" s="12">
        <v>190800</v>
      </c>
      <c r="L68" s="59">
        <f>VLOOKUP(A68,'תפוקה מצטברת מול אשתקד'!A:K,8,0)</f>
        <v>0</v>
      </c>
      <c r="M68" s="62">
        <f>VLOOKUP(A68,'תפוקה מצטברת מול אשתקד'!A:K,9,0)</f>
        <v>56243.750999999997</v>
      </c>
      <c r="N68" s="62">
        <f>VLOOKUP(A68,'תפוקה מצטברת מול אשתקד'!A:K,10,0)</f>
        <v>0</v>
      </c>
      <c r="O68" s="62">
        <f>VLOOKUP(A68,'תפוקה מצטברת מול אשתקד'!A:K,11,0)</f>
        <v>0</v>
      </c>
    </row>
    <row r="69" spans="1:15" ht="15.75" x14ac:dyDescent="0.2">
      <c r="A69" s="26" t="s">
        <v>100</v>
      </c>
      <c r="B69" s="26" t="s">
        <v>56</v>
      </c>
      <c r="C69" s="26" t="s">
        <v>103</v>
      </c>
      <c r="D69" s="61">
        <f t="shared" si="13"/>
        <v>-0.27666488821569679</v>
      </c>
      <c r="E69" s="61">
        <f t="shared" si="13"/>
        <v>-0.22038579961464366</v>
      </c>
      <c r="F69" s="61">
        <f t="shared" si="14"/>
        <v>-3.6299268867924672E-2</v>
      </c>
      <c r="G69" s="61">
        <f t="shared" si="15"/>
        <v>-0.31605698113207559</v>
      </c>
      <c r="H69" s="12">
        <v>323000</v>
      </c>
      <c r="I69" s="12">
        <v>51900.000000000007</v>
      </c>
      <c r="J69" s="12">
        <v>2544000</v>
      </c>
      <c r="K69" s="12">
        <v>1908000</v>
      </c>
      <c r="L69" s="59">
        <f>VLOOKUP(A69,'תפוקה מצטברת מול אשתקד'!A:K,8,0)</f>
        <v>233637.24110632992</v>
      </c>
      <c r="M69" s="62">
        <f>VLOOKUP(A69,'תפוקה מצטברת מול אשתקד'!A:K,9,0)</f>
        <v>40461.976999999999</v>
      </c>
      <c r="N69" s="62">
        <f>VLOOKUP(A69,'תפוקה מצטברת מול אשתקד'!A:K,10,0)</f>
        <v>2451654.6599999997</v>
      </c>
      <c r="O69" s="62">
        <f>VLOOKUP(A69,'תפוקה מצטברת מול אשתקד'!A:K,11,0)</f>
        <v>1304963.2799999998</v>
      </c>
    </row>
    <row r="70" spans="1:15" ht="15.75" x14ac:dyDescent="0.2">
      <c r="A70" s="98" t="s">
        <v>101</v>
      </c>
      <c r="B70" s="26" t="s">
        <v>56</v>
      </c>
      <c r="C70" s="26" t="s">
        <v>103</v>
      </c>
      <c r="D70" s="61">
        <f t="shared" si="13"/>
        <v>0.4059931483548147</v>
      </c>
      <c r="E70" s="61">
        <f t="shared" si="13"/>
        <v>0.71274167400169097</v>
      </c>
      <c r="F70" s="61">
        <f t="shared" si="14"/>
        <v>1.1482529562446993</v>
      </c>
      <c r="G70" s="61">
        <f t="shared" si="15"/>
        <v>6.6732005241090144</v>
      </c>
      <c r="H70" s="12">
        <v>969000</v>
      </c>
      <c r="I70" s="12">
        <v>86500.000000000015</v>
      </c>
      <c r="J70" s="12">
        <v>6360000</v>
      </c>
      <c r="K70" s="12">
        <v>1908000</v>
      </c>
      <c r="L70" s="59">
        <f>VLOOKUP(A70,'תפוקה מצטברת מול אשתקד'!A:K,8,0)</f>
        <v>1362407.3607558154</v>
      </c>
      <c r="M70" s="62">
        <f>VLOOKUP(A70,'תפוקה מצטברת מול אשתקד'!A:K,9,0)</f>
        <v>148152.1548011463</v>
      </c>
      <c r="N70" s="62">
        <f>VLOOKUP(A70,'תפוקה מצטברת מול אשתקד'!A:K,10,0)</f>
        <v>13662888.801716287</v>
      </c>
      <c r="O70" s="62">
        <f>VLOOKUP(A70,'תפוקה מצטברת מול אשתקד'!A:K,11,0)</f>
        <v>14640466.6</v>
      </c>
    </row>
    <row r="71" spans="1:15" ht="16.5" thickBot="1" x14ac:dyDescent="0.25">
      <c r="A71" s="26" t="s">
        <v>81</v>
      </c>
      <c r="B71" s="26" t="s">
        <v>56</v>
      </c>
      <c r="C71" s="26" t="s">
        <v>103</v>
      </c>
      <c r="D71" s="61">
        <f t="shared" si="13"/>
        <v>-0.48009058823529416</v>
      </c>
      <c r="E71" s="61">
        <f t="shared" si="13"/>
        <v>-0.68995728323699423</v>
      </c>
      <c r="F71" s="61">
        <f t="shared" si="14"/>
        <v>0</v>
      </c>
      <c r="G71" s="61">
        <f t="shared" si="15"/>
        <v>0</v>
      </c>
      <c r="H71" s="12">
        <v>161500</v>
      </c>
      <c r="I71" s="12">
        <v>51900.000000000007</v>
      </c>
      <c r="J71" s="12">
        <v>318000</v>
      </c>
      <c r="K71" s="12">
        <v>636000</v>
      </c>
      <c r="L71" s="59">
        <f>VLOOKUP(A71,'תפוקה מצטברת מול אשתקד'!A:K,8,0)</f>
        <v>83965.37</v>
      </c>
      <c r="M71" s="62">
        <f>VLOOKUP(A71,'תפוקה מצטברת מול אשתקד'!A:K,9,0)</f>
        <v>16091.217000000001</v>
      </c>
      <c r="N71" s="62">
        <f>VLOOKUP(A71,'תפוקה מצטברת מול אשתקד'!A:K,10,0)</f>
        <v>0</v>
      </c>
      <c r="O71" s="62">
        <f>VLOOKUP(A71,'תפוקה מצטברת מול אשתקד'!A:K,11,0)</f>
        <v>0</v>
      </c>
    </row>
    <row r="72" spans="1:15" ht="21.75" thickBot="1" x14ac:dyDescent="0.25">
      <c r="A72" s="17" t="s">
        <v>44</v>
      </c>
      <c r="B72" s="57"/>
      <c r="C72" s="99"/>
      <c r="D72" s="127">
        <f t="shared" si="13"/>
        <v>8.8453268266676544E-2</v>
      </c>
      <c r="E72" s="127">
        <f t="shared" si="13"/>
        <v>0.14149404170442725</v>
      </c>
      <c r="F72" s="127">
        <f t="shared" si="14"/>
        <v>0.41301619285409363</v>
      </c>
      <c r="G72" s="127">
        <f t="shared" si="15"/>
        <v>2.1641587337853774</v>
      </c>
      <c r="H72" s="63">
        <f>SUM(H64:H71)</f>
        <v>2810100</v>
      </c>
      <c r="I72" s="63">
        <f>SUM(I64:I71)</f>
        <v>484400</v>
      </c>
      <c r="J72" s="63">
        <f>SUM(J64:J71)</f>
        <v>15741000</v>
      </c>
      <c r="K72" s="63">
        <f>SUM(K64:K71)</f>
        <v>8140800</v>
      </c>
      <c r="L72" s="63">
        <f>SUM(L64:L71)</f>
        <v>3058662.529156188</v>
      </c>
      <c r="M72" s="63">
        <f t="shared" ref="M72:O72" si="16">SUM(M64:M71)</f>
        <v>552939.7138016246</v>
      </c>
      <c r="N72" s="63">
        <f t="shared" si="16"/>
        <v>22242287.891716287</v>
      </c>
      <c r="O72" s="63">
        <f t="shared" si="16"/>
        <v>25758783.420000002</v>
      </c>
    </row>
    <row r="73" spans="1:15" ht="21.75" thickBot="1" x14ac:dyDescent="0.25">
      <c r="A73" s="17" t="s">
        <v>45</v>
      </c>
      <c r="B73" s="57"/>
      <c r="C73" s="99"/>
      <c r="D73" s="127">
        <f t="shared" si="13"/>
        <v>-0.13666439634067251</v>
      </c>
      <c r="E73" s="127">
        <f t="shared" si="13"/>
        <v>-0.2258672291148579</v>
      </c>
      <c r="F73" s="127">
        <f t="shared" si="14"/>
        <v>-0.16358384669300885</v>
      </c>
      <c r="G73" s="127">
        <f t="shared" si="15"/>
        <v>7.8161078962278419E-2</v>
      </c>
      <c r="H73" s="129">
        <f>H72+H63+H54+H21+H8</f>
        <v>17781150</v>
      </c>
      <c r="I73" s="129">
        <f t="shared" ref="I73:O73" si="17">I72+I63+I54+I21+I8</f>
        <v>3210880</v>
      </c>
      <c r="J73" s="129">
        <f>J72+J63+J54+J21+J8</f>
        <v>72186000</v>
      </c>
      <c r="K73" s="129">
        <f>K72+K63+K54+K21+K8</f>
        <v>70246200</v>
      </c>
      <c r="L73" s="129">
        <f>L72+L63+L54+L21+L8</f>
        <v>15351099.869007051</v>
      </c>
      <c r="M73" s="129">
        <f t="shared" si="17"/>
        <v>2485647.4313796852</v>
      </c>
      <c r="N73" s="129">
        <f t="shared" si="17"/>
        <v>60377536.442618467</v>
      </c>
      <c r="O73" s="129">
        <f t="shared" si="17"/>
        <v>75736718.784999996</v>
      </c>
    </row>
    <row r="74" spans="1:15" x14ac:dyDescent="0.2">
      <c r="H74" s="87"/>
    </row>
    <row r="75" spans="1:15" x14ac:dyDescent="0.2">
      <c r="H75" s="87"/>
      <c r="I75" s="87"/>
    </row>
    <row r="76" spans="1:15" x14ac:dyDescent="0.2">
      <c r="J76" s="245"/>
      <c r="N76" s="87"/>
    </row>
    <row r="77" spans="1:15" x14ac:dyDescent="0.2">
      <c r="J77" s="87"/>
      <c r="K77"/>
      <c r="L77"/>
      <c r="M77"/>
      <c r="N77"/>
      <c r="O77"/>
    </row>
    <row r="78" spans="1:15" x14ac:dyDescent="0.2">
      <c r="K78"/>
      <c r="L78" s="6"/>
      <c r="M78" s="6"/>
      <c r="N78" s="6"/>
      <c r="O78" s="6"/>
    </row>
    <row r="79" spans="1:15" x14ac:dyDescent="0.2">
      <c r="K79"/>
      <c r="L79"/>
      <c r="M79"/>
      <c r="N79"/>
      <c r="O79"/>
    </row>
    <row r="80" spans="1:15" x14ac:dyDescent="0.2">
      <c r="K80"/>
      <c r="L80"/>
      <c r="M80"/>
      <c r="N80"/>
      <c r="O80"/>
    </row>
    <row r="81" spans="11:15" x14ac:dyDescent="0.2">
      <c r="K81"/>
      <c r="L81"/>
      <c r="M81"/>
      <c r="N81"/>
      <c r="O81"/>
    </row>
    <row r="82" spans="11:15" x14ac:dyDescent="0.2">
      <c r="K82"/>
      <c r="L82"/>
      <c r="M82"/>
      <c r="N82"/>
      <c r="O82"/>
    </row>
    <row r="85" spans="11:15" x14ac:dyDescent="0.2">
      <c r="L85" s="87"/>
      <c r="M85" s="87"/>
      <c r="N85" s="87"/>
      <c r="O85" s="87"/>
    </row>
  </sheetData>
  <autoFilter ref="A2:P73" xr:uid="{C3908895-D3E4-49E3-AA83-C6D39DC12A72}"/>
  <mergeCells count="3">
    <mergeCell ref="L1:O1"/>
    <mergeCell ref="D1:G1"/>
    <mergeCell ref="H1:K1"/>
  </mergeCells>
  <conditionalFormatting sqref="A14">
    <cfRule type="duplicateValues" dxfId="243" priority="3"/>
    <cfRule type="duplicateValues" dxfId="242" priority="4"/>
  </conditionalFormatting>
  <conditionalFormatting sqref="A56">
    <cfRule type="duplicateValues" dxfId="241" priority="7"/>
    <cfRule type="duplicateValues" dxfId="240" priority="8"/>
  </conditionalFormatting>
  <conditionalFormatting sqref="A58">
    <cfRule type="duplicateValues" dxfId="239" priority="1"/>
    <cfRule type="duplicateValues" dxfId="238" priority="2"/>
  </conditionalFormatting>
  <conditionalFormatting sqref="A59 A55 A57 A7 A22:A53 A62">
    <cfRule type="duplicateValues" dxfId="237" priority="232"/>
    <cfRule type="duplicateValues" dxfId="236" priority="233"/>
  </conditionalFormatting>
  <conditionalFormatting sqref="A64:A71">
    <cfRule type="duplicateValues" dxfId="235" priority="11"/>
    <cfRule type="duplicateValues" dxfId="234" priority="12"/>
  </conditionalFormatting>
  <conditionalFormatting sqref="A72:A73 A1:A6 A8:A13 A15:A21 A54 A63">
    <cfRule type="duplicateValues" dxfId="233" priority="9"/>
    <cfRule type="duplicateValues" dxfId="232" priority="10"/>
  </conditionalFormatting>
  <conditionalFormatting sqref="D1 D2:G1048576">
    <cfRule type="cellIs" dxfId="231" priority="30" operator="lessThan">
      <formula>-0.0001</formula>
    </cfRule>
  </conditionalFormatting>
  <conditionalFormatting sqref="D3:G1048576">
    <cfRule type="cellIs" dxfId="230" priority="36" operator="greaterThan">
      <formula>0.1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0A0E-83EC-4DBB-BD3E-7E64456E7812}">
  <sheetPr>
    <tabColor theme="4" tint="0.39997558519241921"/>
  </sheetPr>
  <dimension ref="A1:O80"/>
  <sheetViews>
    <sheetView rightToLeft="1" topLeftCell="A56" workbookViewId="0">
      <selection activeCell="A60" sqref="A60:C60"/>
    </sheetView>
  </sheetViews>
  <sheetFormatPr defaultRowHeight="15" x14ac:dyDescent="0.2"/>
  <cols>
    <col min="1" max="1" width="27.625" style="1" bestFit="1" customWidth="1"/>
    <col min="2" max="2" width="10.125" style="1" bestFit="1" customWidth="1"/>
    <col min="3" max="3" width="10.375" style="1" bestFit="1" customWidth="1"/>
    <col min="4" max="4" width="10.75" style="3" bestFit="1" customWidth="1"/>
    <col min="5" max="5" width="11" style="3" bestFit="1" customWidth="1"/>
    <col min="6" max="6" width="11.75" style="3" bestFit="1" customWidth="1"/>
    <col min="7" max="8" width="13.625" style="3" bestFit="1" customWidth="1"/>
    <col min="9" max="9" width="12" style="3" bestFit="1" customWidth="1"/>
    <col min="10" max="12" width="15" style="3" bestFit="1" customWidth="1"/>
    <col min="13" max="13" width="13.625" style="3" bestFit="1" customWidth="1"/>
    <col min="14" max="15" width="15" style="3" bestFit="1" customWidth="1"/>
    <col min="16" max="16" width="19" bestFit="1" customWidth="1"/>
    <col min="18" max="19" width="9.875" bestFit="1" customWidth="1"/>
    <col min="20" max="20" width="12.375" bestFit="1" customWidth="1"/>
    <col min="21" max="21" width="10.875" bestFit="1" customWidth="1"/>
    <col min="22" max="22" width="9.875" bestFit="1" customWidth="1"/>
    <col min="23" max="23" width="12.375" bestFit="1" customWidth="1"/>
  </cols>
  <sheetData>
    <row r="1" spans="1:15" ht="21" x14ac:dyDescent="0.2">
      <c r="A1" s="26"/>
      <c r="B1" s="26"/>
      <c r="C1" s="26"/>
      <c r="D1" s="228" t="s">
        <v>62</v>
      </c>
      <c r="E1" s="229"/>
      <c r="F1" s="229"/>
      <c r="G1" s="230"/>
      <c r="H1" s="234" t="s">
        <v>127</v>
      </c>
      <c r="I1" s="235"/>
      <c r="J1" s="235"/>
      <c r="K1" s="236"/>
      <c r="L1" s="227" t="s">
        <v>128</v>
      </c>
      <c r="M1" s="227"/>
      <c r="N1" s="227"/>
      <c r="O1" s="227"/>
    </row>
    <row r="2" spans="1:15" ht="21" x14ac:dyDescent="0.2">
      <c r="A2" s="11" t="s">
        <v>0</v>
      </c>
      <c r="B2" s="23" t="s">
        <v>53</v>
      </c>
      <c r="C2" s="23" t="s">
        <v>109</v>
      </c>
      <c r="D2" s="24" t="s">
        <v>46</v>
      </c>
      <c r="E2" s="24" t="s">
        <v>50</v>
      </c>
      <c r="F2" s="24" t="s">
        <v>51</v>
      </c>
      <c r="G2" s="24" t="s">
        <v>49</v>
      </c>
      <c r="H2" s="60" t="s">
        <v>46</v>
      </c>
      <c r="I2" s="60" t="s">
        <v>47</v>
      </c>
      <c r="J2" s="60" t="s">
        <v>51</v>
      </c>
      <c r="K2" s="60" t="s">
        <v>49</v>
      </c>
      <c r="L2" s="25" t="s">
        <v>46</v>
      </c>
      <c r="M2" s="25" t="s">
        <v>47</v>
      </c>
      <c r="N2" s="25" t="s">
        <v>48</v>
      </c>
      <c r="O2" s="25" t="s">
        <v>49</v>
      </c>
    </row>
    <row r="3" spans="1:15" ht="15.75" x14ac:dyDescent="0.2">
      <c r="A3" s="26" t="s">
        <v>1</v>
      </c>
      <c r="B3" s="26" t="s">
        <v>108</v>
      </c>
      <c r="C3" s="26" t="s">
        <v>58</v>
      </c>
      <c r="D3" s="19">
        <f>IF(L3=0,0%,IF(H3=0,100%,L3/H3-1))</f>
        <v>-0.13371252219250895</v>
      </c>
      <c r="E3" s="19">
        <f>IF(M3=0,0%,IF(I3=0,100%,M3/I3-1))</f>
        <v>-0.28717826306641803</v>
      </c>
      <c r="F3" s="19">
        <f>IF(N3=0,0%,IF(J3=0,100%,N3/J3-1))</f>
        <v>1.0437192904519961</v>
      </c>
      <c r="G3" s="19">
        <f>IF(O3=0,0%,IF(K3=0,100%,O3/K3-1))</f>
        <v>-0.84185244142857196</v>
      </c>
      <c r="H3" s="12">
        <v>1296000</v>
      </c>
      <c r="I3" s="12">
        <v>101400</v>
      </c>
      <c r="J3" s="12">
        <v>3500000.0000000005</v>
      </c>
      <c r="K3" s="12">
        <v>7000000.0000000009</v>
      </c>
      <c r="L3" s="58">
        <v>1122708.5712385084</v>
      </c>
      <c r="M3" s="58">
        <v>72280.124125065209</v>
      </c>
      <c r="N3" s="58">
        <v>7153017.516581988</v>
      </c>
      <c r="O3" s="58">
        <v>1107032.9099999964</v>
      </c>
    </row>
    <row r="4" spans="1:15" ht="15.75" x14ac:dyDescent="0.2">
      <c r="A4" s="26" t="s">
        <v>2</v>
      </c>
      <c r="B4" s="26" t="s">
        <v>108</v>
      </c>
      <c r="C4" s="26" t="s">
        <v>58</v>
      </c>
      <c r="D4" s="19">
        <f t="shared" ref="D4:D66" si="0">IF(L4=0,0%,IF(H4=0,100%,L4/H4-1))</f>
        <v>-2.2800512382790461</v>
      </c>
      <c r="E4" s="19">
        <f t="shared" ref="E4:E66" si="1">IF(M4=0,0%,IF(I4=0,100%,M4/I4-1))</f>
        <v>1</v>
      </c>
      <c r="F4" s="19">
        <f t="shared" ref="F4:F66" si="2">IF(N4=0,0%,IF(J4=0,100%,N4/J4-1))</f>
        <v>-0.25433393968206164</v>
      </c>
      <c r="G4" s="19">
        <f t="shared" ref="G4:G66" si="3">IF(O4=0,0%,IF(K4=0,100%,O4/K4-1))</f>
        <v>-0.64658470714285721</v>
      </c>
      <c r="H4" s="12">
        <v>107999.99999999999</v>
      </c>
      <c r="I4" s="12">
        <v>0</v>
      </c>
      <c r="J4" s="12">
        <v>1750000.0000000002</v>
      </c>
      <c r="K4" s="12">
        <v>1400000.0000000002</v>
      </c>
      <c r="L4" s="58">
        <v>-138245.53373413696</v>
      </c>
      <c r="M4" s="58">
        <v>3929.7991768826628</v>
      </c>
      <c r="N4" s="58">
        <v>1304915.6055563923</v>
      </c>
      <c r="O4" s="58">
        <v>494781.40999999992</v>
      </c>
    </row>
    <row r="5" spans="1:15" ht="15.75" x14ac:dyDescent="0.2">
      <c r="A5" s="26" t="s">
        <v>104</v>
      </c>
      <c r="B5" s="26" t="s">
        <v>108</v>
      </c>
      <c r="C5" s="26" t="s">
        <v>58</v>
      </c>
      <c r="D5" s="19">
        <f t="shared" si="0"/>
        <v>0</v>
      </c>
      <c r="E5" s="19">
        <f t="shared" si="1"/>
        <v>0.15853954263418868</v>
      </c>
      <c r="F5" s="19">
        <f t="shared" si="2"/>
        <v>0</v>
      </c>
      <c r="G5" s="19">
        <f t="shared" si="3"/>
        <v>0</v>
      </c>
      <c r="H5" s="12">
        <v>0</v>
      </c>
      <c r="I5" s="12">
        <v>23400</v>
      </c>
      <c r="J5" s="12">
        <v>0</v>
      </c>
      <c r="K5" s="12">
        <v>0</v>
      </c>
      <c r="L5" s="58">
        <v>0</v>
      </c>
      <c r="M5" s="58">
        <v>27109.825297640014</v>
      </c>
      <c r="N5" s="58">
        <v>0</v>
      </c>
      <c r="O5" s="58">
        <v>0</v>
      </c>
    </row>
    <row r="6" spans="1:15" ht="15.75" x14ac:dyDescent="0.2">
      <c r="A6" s="26" t="s">
        <v>105</v>
      </c>
      <c r="B6" s="26" t="s">
        <v>108</v>
      </c>
      <c r="C6" s="26" t="s">
        <v>58</v>
      </c>
      <c r="D6" s="19">
        <f t="shared" si="0"/>
        <v>0.35878620115680038</v>
      </c>
      <c r="E6" s="19">
        <f t="shared" si="1"/>
        <v>-0.61964342312452303</v>
      </c>
      <c r="F6" s="19">
        <f t="shared" si="2"/>
        <v>-0.30730000000000002</v>
      </c>
      <c r="G6" s="19">
        <f t="shared" si="3"/>
        <v>-12.867777857142856</v>
      </c>
      <c r="H6" s="12">
        <v>36000</v>
      </c>
      <c r="I6" s="12">
        <v>19500</v>
      </c>
      <c r="J6" s="12">
        <v>140000</v>
      </c>
      <c r="K6" s="12">
        <v>70000</v>
      </c>
      <c r="L6" s="58">
        <v>48916.303241644811</v>
      </c>
      <c r="M6" s="58">
        <v>7416.9532490718011</v>
      </c>
      <c r="N6" s="58">
        <v>96978</v>
      </c>
      <c r="O6" s="58">
        <v>-830744.45</v>
      </c>
    </row>
    <row r="7" spans="1:15" ht="15.75" x14ac:dyDescent="0.2">
      <c r="A7" s="26" t="s">
        <v>34</v>
      </c>
      <c r="B7" s="26" t="s">
        <v>108</v>
      </c>
      <c r="C7" s="27" t="s">
        <v>58</v>
      </c>
      <c r="D7" s="19">
        <f>IF(L7=0,0%,IF(H7=0,100%,L7/H7-1))</f>
        <v>1</v>
      </c>
      <c r="E7" s="19">
        <f>IF(M7=0,0%,IF(I7=0,100%,M7/I7-1))</f>
        <v>1</v>
      </c>
      <c r="F7" s="19">
        <f>IF(N7=0,0%,IF(J7=0,100%,N7/J7-1))</f>
        <v>-0.99915657142857139</v>
      </c>
      <c r="G7" s="19">
        <f>IF(O7=0,0%,IF(K7=0,100%,O7/K7-1))</f>
        <v>-0.99266828571428567</v>
      </c>
      <c r="H7" s="12">
        <v>0</v>
      </c>
      <c r="I7" s="12">
        <v>0</v>
      </c>
      <c r="J7" s="12">
        <v>70000</v>
      </c>
      <c r="K7" s="12">
        <v>35000</v>
      </c>
      <c r="L7" s="58">
        <v>11140.009999999998</v>
      </c>
      <c r="M7" s="58">
        <v>842.65000000000009</v>
      </c>
      <c r="N7" s="58">
        <v>59.040000000000873</v>
      </c>
      <c r="O7" s="58">
        <v>256.61000000000058</v>
      </c>
    </row>
    <row r="8" spans="1:15" ht="21" x14ac:dyDescent="0.2">
      <c r="A8" s="104" t="s">
        <v>3</v>
      </c>
      <c r="B8" s="105"/>
      <c r="C8" s="99"/>
      <c r="D8" s="19">
        <f t="shared" si="0"/>
        <v>-0.27463933975971089</v>
      </c>
      <c r="E8" s="19">
        <f t="shared" si="1"/>
        <v>-0.22675431844310689</v>
      </c>
      <c r="F8" s="19">
        <f t="shared" si="2"/>
        <v>0.56684435203999617</v>
      </c>
      <c r="G8" s="19">
        <f t="shared" si="3"/>
        <v>-0.90930905584950072</v>
      </c>
      <c r="H8" s="130">
        <f>SUM(H3:H7)</f>
        <v>1440000</v>
      </c>
      <c r="I8" s="130">
        <f t="shared" ref="I8:O8" si="4">SUM(I3:I7)</f>
        <v>144300</v>
      </c>
      <c r="J8" s="130">
        <f t="shared" si="4"/>
        <v>5460000.0000000009</v>
      </c>
      <c r="K8" s="130">
        <f t="shared" si="4"/>
        <v>8505000.0000000019</v>
      </c>
      <c r="L8" s="130">
        <f t="shared" si="4"/>
        <v>1044519.3507460163</v>
      </c>
      <c r="M8" s="130">
        <f t="shared" si="4"/>
        <v>111579.35184865967</v>
      </c>
      <c r="N8" s="130">
        <f t="shared" si="4"/>
        <v>8554970.1621383801</v>
      </c>
      <c r="O8" s="130">
        <f t="shared" si="4"/>
        <v>771326.47999999637</v>
      </c>
    </row>
    <row r="9" spans="1:15" ht="15.75" x14ac:dyDescent="0.2">
      <c r="A9" s="26" t="s">
        <v>4</v>
      </c>
      <c r="B9" s="26" t="s">
        <v>108</v>
      </c>
      <c r="C9" s="26" t="s">
        <v>106</v>
      </c>
      <c r="D9" s="19">
        <f t="shared" si="0"/>
        <v>1</v>
      </c>
      <c r="E9" s="19">
        <f t="shared" si="1"/>
        <v>1</v>
      </c>
      <c r="F9" s="19">
        <f t="shared" si="2"/>
        <v>0</v>
      </c>
      <c r="G9" s="19">
        <f t="shared" si="3"/>
        <v>1</v>
      </c>
      <c r="H9" s="12">
        <v>0</v>
      </c>
      <c r="I9" s="12">
        <v>0</v>
      </c>
      <c r="J9" s="12">
        <v>0</v>
      </c>
      <c r="K9" s="12">
        <v>0</v>
      </c>
      <c r="L9" s="58">
        <v>1054.3175850071821</v>
      </c>
      <c r="M9" s="58">
        <v>1133.385</v>
      </c>
      <c r="N9" s="58">
        <v>0</v>
      </c>
      <c r="O9" s="58">
        <v>-212769.05999999997</v>
      </c>
    </row>
    <row r="10" spans="1:15" ht="15.75" x14ac:dyDescent="0.2">
      <c r="A10" s="26" t="s">
        <v>5</v>
      </c>
      <c r="B10" s="26" t="s">
        <v>108</v>
      </c>
      <c r="C10" s="26" t="s">
        <v>106</v>
      </c>
      <c r="D10" s="19">
        <f t="shared" si="0"/>
        <v>-2.7537709700700352E-2</v>
      </c>
      <c r="E10" s="19">
        <f t="shared" si="1"/>
        <v>-2.9410026250536605</v>
      </c>
      <c r="F10" s="19">
        <f t="shared" si="2"/>
        <v>-1.3484617142491708</v>
      </c>
      <c r="G10" s="19">
        <f t="shared" si="3"/>
        <v>1.2545323428571433</v>
      </c>
      <c r="H10" s="12">
        <v>180000</v>
      </c>
      <c r="I10" s="12">
        <v>78000</v>
      </c>
      <c r="J10" s="12">
        <v>70000</v>
      </c>
      <c r="K10" s="12">
        <v>175000.00000000003</v>
      </c>
      <c r="L10" s="58">
        <v>175043.21225387393</v>
      </c>
      <c r="M10" s="58">
        <v>-151398.20475418551</v>
      </c>
      <c r="N10" s="58">
        <v>-24392.319997441955</v>
      </c>
      <c r="O10" s="58">
        <v>394543.16000000015</v>
      </c>
    </row>
    <row r="11" spans="1:15" ht="15.75" x14ac:dyDescent="0.2">
      <c r="A11" s="26" t="s">
        <v>6</v>
      </c>
      <c r="B11" s="26" t="s">
        <v>108</v>
      </c>
      <c r="C11" s="26" t="s">
        <v>106</v>
      </c>
      <c r="D11" s="19">
        <f t="shared" si="0"/>
        <v>-1.2125080047988506</v>
      </c>
      <c r="E11" s="19">
        <f t="shared" si="1"/>
        <v>-0.43623536644867433</v>
      </c>
      <c r="F11" s="19">
        <f t="shared" si="2"/>
        <v>1</v>
      </c>
      <c r="G11" s="19">
        <f t="shared" si="3"/>
        <v>1</v>
      </c>
      <c r="H11" s="12">
        <v>36000</v>
      </c>
      <c r="I11" s="12">
        <v>15600</v>
      </c>
      <c r="J11" s="12">
        <v>0</v>
      </c>
      <c r="K11" s="12">
        <v>0</v>
      </c>
      <c r="L11" s="58">
        <v>-7650.2881727586209</v>
      </c>
      <c r="M11" s="58">
        <v>8794.7282834006801</v>
      </c>
      <c r="N11" s="58">
        <v>353803.78950691561</v>
      </c>
      <c r="O11" s="58">
        <v>-427427.1</v>
      </c>
    </row>
    <row r="12" spans="1:15" ht="15.75" x14ac:dyDescent="0.2">
      <c r="A12" s="26" t="s">
        <v>7</v>
      </c>
      <c r="B12" s="26" t="s">
        <v>108</v>
      </c>
      <c r="C12" s="26" t="s">
        <v>106</v>
      </c>
      <c r="D12" s="19">
        <f t="shared" si="0"/>
        <v>1</v>
      </c>
      <c r="E12" s="19">
        <f t="shared" si="1"/>
        <v>1</v>
      </c>
      <c r="F12" s="19">
        <f t="shared" si="2"/>
        <v>1</v>
      </c>
      <c r="G12" s="19">
        <f t="shared" si="3"/>
        <v>1</v>
      </c>
      <c r="H12" s="12">
        <v>0</v>
      </c>
      <c r="I12" s="12">
        <v>0</v>
      </c>
      <c r="J12" s="12">
        <v>0</v>
      </c>
      <c r="K12" s="12">
        <v>0</v>
      </c>
      <c r="L12" s="58">
        <v>94573.23</v>
      </c>
      <c r="M12" s="58">
        <v>4118.34</v>
      </c>
      <c r="N12" s="58">
        <v>153225.85999999999</v>
      </c>
      <c r="O12" s="58">
        <v>-62204</v>
      </c>
    </row>
    <row r="13" spans="1:15" ht="15.75" x14ac:dyDescent="0.2">
      <c r="A13" s="26" t="s">
        <v>8</v>
      </c>
      <c r="B13" s="26" t="s">
        <v>108</v>
      </c>
      <c r="C13" s="26" t="s">
        <v>106</v>
      </c>
      <c r="D13" s="19">
        <f t="shared" si="0"/>
        <v>1</v>
      </c>
      <c r="E13" s="19">
        <f t="shared" si="1"/>
        <v>-1.2880760367151656</v>
      </c>
      <c r="F13" s="19">
        <f t="shared" si="2"/>
        <v>0</v>
      </c>
      <c r="G13" s="19">
        <f t="shared" si="3"/>
        <v>0</v>
      </c>
      <c r="H13" s="12">
        <v>0</v>
      </c>
      <c r="I13" s="12">
        <v>46800</v>
      </c>
      <c r="J13" s="12">
        <v>0</v>
      </c>
      <c r="K13" s="12">
        <v>0</v>
      </c>
      <c r="L13" s="58">
        <v>15877.417884999999</v>
      </c>
      <c r="M13" s="58">
        <v>-13481.958518269748</v>
      </c>
      <c r="N13" s="58">
        <v>0</v>
      </c>
      <c r="O13" s="58">
        <v>0</v>
      </c>
    </row>
    <row r="14" spans="1:15" ht="15.75" x14ac:dyDescent="0.2">
      <c r="A14" s="26" t="s">
        <v>9</v>
      </c>
      <c r="B14" s="26" t="s">
        <v>108</v>
      </c>
      <c r="C14" s="26" t="s">
        <v>106</v>
      </c>
      <c r="D14" s="19">
        <f t="shared" si="0"/>
        <v>-0.11695266868224286</v>
      </c>
      <c r="E14" s="19">
        <f t="shared" si="1"/>
        <v>0.9055083760683762</v>
      </c>
      <c r="F14" s="19">
        <f t="shared" si="2"/>
        <v>2.0100063571428568</v>
      </c>
      <c r="G14" s="19">
        <f t="shared" si="3"/>
        <v>-1.3392882261904759</v>
      </c>
      <c r="H14" s="12">
        <v>21600</v>
      </c>
      <c r="I14" s="12">
        <v>11700</v>
      </c>
      <c r="J14" s="12">
        <v>280000</v>
      </c>
      <c r="K14" s="12">
        <v>840000.00000000012</v>
      </c>
      <c r="L14" s="58">
        <v>19073.822356463555</v>
      </c>
      <c r="M14" s="58">
        <v>22294.448</v>
      </c>
      <c r="N14" s="58">
        <v>842801.77999999991</v>
      </c>
      <c r="O14" s="58">
        <v>-285002.10999999987</v>
      </c>
    </row>
    <row r="15" spans="1:15" ht="15.75" x14ac:dyDescent="0.2">
      <c r="A15" s="26" t="s">
        <v>31</v>
      </c>
      <c r="B15" s="26" t="s">
        <v>108</v>
      </c>
      <c r="C15" s="26" t="s">
        <v>106</v>
      </c>
      <c r="D15" s="19">
        <f t="shared" si="0"/>
        <v>0</v>
      </c>
      <c r="E15" s="19">
        <f t="shared" si="1"/>
        <v>0</v>
      </c>
      <c r="F15" s="19">
        <f t="shared" si="2"/>
        <v>1</v>
      </c>
      <c r="G15" s="19">
        <f t="shared" si="3"/>
        <v>0</v>
      </c>
      <c r="H15" s="12">
        <v>0</v>
      </c>
      <c r="I15" s="12">
        <v>0</v>
      </c>
      <c r="J15" s="12">
        <v>0</v>
      </c>
      <c r="K15" s="12">
        <v>0</v>
      </c>
      <c r="L15" s="58">
        <v>0</v>
      </c>
      <c r="M15" s="58">
        <v>0</v>
      </c>
      <c r="N15" s="58">
        <v>59546.050000000017</v>
      </c>
      <c r="O15" s="58">
        <v>0</v>
      </c>
    </row>
    <row r="16" spans="1:15" ht="15.75" x14ac:dyDescent="0.2">
      <c r="A16" s="26" t="s">
        <v>96</v>
      </c>
      <c r="B16" s="26" t="s">
        <v>108</v>
      </c>
      <c r="C16" s="26" t="s">
        <v>106</v>
      </c>
      <c r="D16" s="19">
        <f t="shared" si="0"/>
        <v>1</v>
      </c>
      <c r="E16" s="19">
        <f t="shared" si="1"/>
        <v>1</v>
      </c>
      <c r="F16" s="19">
        <f t="shared" si="2"/>
        <v>1</v>
      </c>
      <c r="G16" s="19">
        <f t="shared" si="3"/>
        <v>1</v>
      </c>
      <c r="H16" s="12">
        <v>0</v>
      </c>
      <c r="I16" s="12">
        <v>0</v>
      </c>
      <c r="J16" s="12">
        <v>0</v>
      </c>
      <c r="K16" s="12">
        <v>0</v>
      </c>
      <c r="L16" s="58">
        <v>36510.566619999998</v>
      </c>
      <c r="M16" s="58">
        <v>13781.071</v>
      </c>
      <c r="N16" s="58">
        <v>29.510000000000218</v>
      </c>
      <c r="O16" s="58">
        <v>4997</v>
      </c>
    </row>
    <row r="17" spans="1:15" ht="15.75" x14ac:dyDescent="0.2">
      <c r="A17" s="26" t="s">
        <v>42</v>
      </c>
      <c r="B17" s="26" t="s">
        <v>108</v>
      </c>
      <c r="C17" s="26" t="s">
        <v>106</v>
      </c>
      <c r="D17" s="19">
        <f t="shared" si="0"/>
        <v>-0.12257048602414322</v>
      </c>
      <c r="E17" s="19">
        <f t="shared" si="1"/>
        <v>0.23351287039012836</v>
      </c>
      <c r="F17" s="19">
        <f t="shared" si="2"/>
        <v>1.3294598388791585</v>
      </c>
      <c r="G17" s="19">
        <f t="shared" si="3"/>
        <v>-3.3957953571428567</v>
      </c>
      <c r="H17" s="12">
        <v>107999.99999999999</v>
      </c>
      <c r="I17" s="12">
        <v>46800</v>
      </c>
      <c r="J17" s="12">
        <v>840000.00000000012</v>
      </c>
      <c r="K17" s="12">
        <v>420000.00000000006</v>
      </c>
      <c r="L17" s="58">
        <v>94762.387509392516</v>
      </c>
      <c r="M17" s="58">
        <v>57728.402334258004</v>
      </c>
      <c r="N17" s="58">
        <v>1956746.2646584935</v>
      </c>
      <c r="O17" s="58">
        <v>-1006234.05</v>
      </c>
    </row>
    <row r="18" spans="1:15" ht="15.75" x14ac:dyDescent="0.2">
      <c r="A18" s="26" t="s">
        <v>43</v>
      </c>
      <c r="B18" s="26" t="s">
        <v>108</v>
      </c>
      <c r="C18" s="26" t="s">
        <v>106</v>
      </c>
      <c r="D18" s="19">
        <f t="shared" si="0"/>
        <v>-8.6862657237721503</v>
      </c>
      <c r="E18" s="19">
        <f t="shared" si="1"/>
        <v>-0.88781497304469204</v>
      </c>
      <c r="F18" s="19">
        <f t="shared" si="2"/>
        <v>0.19891733830991321</v>
      </c>
      <c r="G18" s="19">
        <f t="shared" si="3"/>
        <v>-2.0256984142857144</v>
      </c>
      <c r="H18" s="12">
        <v>215999.99999999997</v>
      </c>
      <c r="I18" s="12">
        <v>27300</v>
      </c>
      <c r="J18" s="12">
        <v>2450000.0000000005</v>
      </c>
      <c r="K18" s="12">
        <v>700000.00000000012</v>
      </c>
      <c r="L18" s="58">
        <v>-1660233.3963347843</v>
      </c>
      <c r="M18" s="58">
        <v>3062.6512358799082</v>
      </c>
      <c r="N18" s="58">
        <v>2937347.4788592877</v>
      </c>
      <c r="O18" s="58">
        <v>-717988.89000000013</v>
      </c>
    </row>
    <row r="19" spans="1:15" ht="15.75" x14ac:dyDescent="0.2">
      <c r="A19" s="26" t="s">
        <v>30</v>
      </c>
      <c r="B19" s="26" t="s">
        <v>108</v>
      </c>
      <c r="C19" s="26" t="s">
        <v>106</v>
      </c>
      <c r="D19" s="19">
        <f t="shared" si="0"/>
        <v>1</v>
      </c>
      <c r="E19" s="19">
        <f t="shared" si="1"/>
        <v>0</v>
      </c>
      <c r="F19" s="19">
        <f t="shared" si="2"/>
        <v>0</v>
      </c>
      <c r="G19" s="19">
        <f t="shared" si="3"/>
        <v>1</v>
      </c>
      <c r="H19" s="12">
        <v>0</v>
      </c>
      <c r="I19" s="12">
        <v>0</v>
      </c>
      <c r="J19" s="12">
        <v>0</v>
      </c>
      <c r="K19" s="12">
        <v>0</v>
      </c>
      <c r="L19" s="58">
        <v>8190.5698248686522</v>
      </c>
      <c r="M19" s="58">
        <v>0</v>
      </c>
      <c r="N19" s="58">
        <v>0</v>
      </c>
      <c r="O19" s="58">
        <v>-190731.89499999999</v>
      </c>
    </row>
    <row r="20" spans="1:15" ht="15.75" x14ac:dyDescent="0.2">
      <c r="A20" s="26" t="s">
        <v>38</v>
      </c>
      <c r="B20" s="26" t="s">
        <v>108</v>
      </c>
      <c r="C20" s="26" t="s">
        <v>106</v>
      </c>
      <c r="D20" s="19">
        <f t="shared" si="0"/>
        <v>0</v>
      </c>
      <c r="E20" s="19">
        <f t="shared" si="1"/>
        <v>0</v>
      </c>
      <c r="F20" s="19">
        <f t="shared" si="2"/>
        <v>0</v>
      </c>
      <c r="G20" s="19">
        <f t="shared" si="3"/>
        <v>0</v>
      </c>
      <c r="H20" s="12">
        <v>0</v>
      </c>
      <c r="I20" s="12">
        <v>0</v>
      </c>
      <c r="J20" s="12">
        <v>0</v>
      </c>
      <c r="K20" s="12">
        <v>0</v>
      </c>
      <c r="L20" s="58">
        <v>0</v>
      </c>
      <c r="M20" s="58">
        <v>0</v>
      </c>
      <c r="N20" s="58">
        <v>0</v>
      </c>
      <c r="O20" s="58">
        <v>0</v>
      </c>
    </row>
    <row r="21" spans="1:15" ht="21.75" thickBot="1" x14ac:dyDescent="0.25">
      <c r="A21" s="16" t="s">
        <v>10</v>
      </c>
      <c r="B21" s="102"/>
      <c r="C21" s="99"/>
      <c r="D21" s="19">
        <f t="shared" si="0"/>
        <v>-3.1773471518392755</v>
      </c>
      <c r="E21" s="19">
        <f t="shared" si="1"/>
        <v>-1.2385815093674477</v>
      </c>
      <c r="F21" s="19">
        <f t="shared" si="2"/>
        <v>0.72502978379869609</v>
      </c>
      <c r="G21" s="19">
        <f t="shared" si="3"/>
        <v>-2.1722795995316155</v>
      </c>
      <c r="H21" s="128">
        <f>SUM(H9:H20)</f>
        <v>561600</v>
      </c>
      <c r="I21" s="128">
        <f t="shared" ref="I21:O21" si="5">SUM(I9:I20)</f>
        <v>226200</v>
      </c>
      <c r="J21" s="128">
        <f t="shared" si="5"/>
        <v>3640000.0000000005</v>
      </c>
      <c r="K21" s="128">
        <f t="shared" si="5"/>
        <v>2135000.0000000005</v>
      </c>
      <c r="L21" s="128">
        <f t="shared" si="5"/>
        <v>-1222798.1604729372</v>
      </c>
      <c r="M21" s="128">
        <f t="shared" si="5"/>
        <v>-53967.137418916682</v>
      </c>
      <c r="N21" s="128">
        <f t="shared" si="5"/>
        <v>6279108.4130272549</v>
      </c>
      <c r="O21" s="128">
        <f t="shared" si="5"/>
        <v>-2502816.9449999998</v>
      </c>
    </row>
    <row r="22" spans="1:15" ht="15.75" x14ac:dyDescent="0.2">
      <c r="A22" s="27" t="s">
        <v>11</v>
      </c>
      <c r="B22" s="27" t="s">
        <v>56</v>
      </c>
      <c r="C22" s="27" t="s">
        <v>107</v>
      </c>
      <c r="D22" s="19">
        <f t="shared" si="0"/>
        <v>3.3351446378472227</v>
      </c>
      <c r="E22" s="19">
        <f t="shared" si="1"/>
        <v>-3.0728619909502259</v>
      </c>
      <c r="F22" s="19">
        <f t="shared" si="2"/>
        <v>-0.25977142857142865</v>
      </c>
      <c r="G22" s="19">
        <f t="shared" si="3"/>
        <v>3.7347780857142849</v>
      </c>
      <c r="H22" s="12">
        <v>115199.99999999999</v>
      </c>
      <c r="I22" s="12">
        <v>13260</v>
      </c>
      <c r="J22" s="12">
        <v>175000.00000000003</v>
      </c>
      <c r="K22" s="12">
        <v>350000.00000000006</v>
      </c>
      <c r="L22" s="58">
        <v>499408.66227999999</v>
      </c>
      <c r="M22" s="58">
        <v>-27486.149999999998</v>
      </c>
      <c r="N22" s="58">
        <v>129540</v>
      </c>
      <c r="O22" s="58">
        <v>1657172.33</v>
      </c>
    </row>
    <row r="23" spans="1:15" ht="15.75" x14ac:dyDescent="0.2">
      <c r="A23" s="30" t="s">
        <v>12</v>
      </c>
      <c r="B23" s="26" t="s">
        <v>56</v>
      </c>
      <c r="C23" s="27" t="s">
        <v>107</v>
      </c>
      <c r="D23" s="19">
        <f t="shared" si="0"/>
        <v>0</v>
      </c>
      <c r="E23" s="19">
        <f t="shared" si="1"/>
        <v>1</v>
      </c>
      <c r="F23" s="19">
        <f t="shared" si="2"/>
        <v>0</v>
      </c>
      <c r="G23" s="19">
        <f t="shared" si="3"/>
        <v>1</v>
      </c>
      <c r="H23" s="12">
        <v>0</v>
      </c>
      <c r="I23" s="12">
        <v>0</v>
      </c>
      <c r="J23" s="12">
        <v>0</v>
      </c>
      <c r="K23" s="12">
        <v>0</v>
      </c>
      <c r="L23" s="58">
        <v>0</v>
      </c>
      <c r="M23" s="58">
        <v>47.668101025712986</v>
      </c>
      <c r="N23" s="58">
        <v>0</v>
      </c>
      <c r="O23" s="58">
        <v>-11711.17</v>
      </c>
    </row>
    <row r="24" spans="1:15" ht="15.75" x14ac:dyDescent="0.2">
      <c r="A24" s="30" t="s">
        <v>13</v>
      </c>
      <c r="B24" s="26" t="s">
        <v>56</v>
      </c>
      <c r="C24" s="27" t="s">
        <v>107</v>
      </c>
      <c r="D24" s="19">
        <f t="shared" si="0"/>
        <v>0.81111248092051125</v>
      </c>
      <c r="E24" s="19">
        <f t="shared" si="1"/>
        <v>1.1300210256410259</v>
      </c>
      <c r="F24" s="19">
        <f t="shared" si="2"/>
        <v>0</v>
      </c>
      <c r="G24" s="19">
        <f t="shared" si="3"/>
        <v>0</v>
      </c>
      <c r="H24" s="12">
        <v>7199.9999999999991</v>
      </c>
      <c r="I24" s="12">
        <v>3900</v>
      </c>
      <c r="J24" s="12">
        <v>21000.000000000004</v>
      </c>
      <c r="K24" s="12">
        <v>7000.0000000000009</v>
      </c>
      <c r="L24" s="58">
        <v>13040.009862627679</v>
      </c>
      <c r="M24" s="58">
        <v>8307.0820000000003</v>
      </c>
      <c r="N24" s="58">
        <v>0</v>
      </c>
      <c r="O24" s="58">
        <v>0</v>
      </c>
    </row>
    <row r="25" spans="1:15" ht="15.75" x14ac:dyDescent="0.2">
      <c r="A25" s="26" t="s">
        <v>14</v>
      </c>
      <c r="B25" s="26" t="s">
        <v>55</v>
      </c>
      <c r="C25" s="27" t="s">
        <v>107</v>
      </c>
      <c r="D25" s="19">
        <f t="shared" si="0"/>
        <v>0</v>
      </c>
      <c r="E25" s="19">
        <f t="shared" si="1"/>
        <v>0</v>
      </c>
      <c r="F25" s="19">
        <f t="shared" si="2"/>
        <v>0</v>
      </c>
      <c r="G25" s="19">
        <f t="shared" si="3"/>
        <v>0</v>
      </c>
      <c r="H25" s="12">
        <v>0</v>
      </c>
      <c r="I25" s="12">
        <v>0</v>
      </c>
      <c r="J25" s="12">
        <v>0</v>
      </c>
      <c r="K25" s="12">
        <v>0</v>
      </c>
      <c r="L25" s="58">
        <v>0</v>
      </c>
      <c r="M25" s="58">
        <v>0</v>
      </c>
      <c r="N25" s="58">
        <v>0</v>
      </c>
      <c r="O25" s="58">
        <v>0</v>
      </c>
    </row>
    <row r="26" spans="1:15" ht="15.75" x14ac:dyDescent="0.2">
      <c r="A26" s="30" t="s">
        <v>15</v>
      </c>
      <c r="B26" s="26" t="s">
        <v>56</v>
      </c>
      <c r="C26" s="27" t="s">
        <v>107</v>
      </c>
      <c r="D26" s="19">
        <f t="shared" si="0"/>
        <v>3.1542708549435687</v>
      </c>
      <c r="E26" s="19">
        <f t="shared" si="1"/>
        <v>1.536446553418803</v>
      </c>
      <c r="F26" s="19">
        <f t="shared" si="2"/>
        <v>-0.22736760295238123</v>
      </c>
      <c r="G26" s="19">
        <f t="shared" si="3"/>
        <v>0.92954992857142882</v>
      </c>
      <c r="H26" s="12">
        <v>180000</v>
      </c>
      <c r="I26" s="12">
        <v>23400</v>
      </c>
      <c r="J26" s="12">
        <v>210000.00000000003</v>
      </c>
      <c r="K26" s="12">
        <v>280000</v>
      </c>
      <c r="L26" s="58">
        <v>747768.75388984242</v>
      </c>
      <c r="M26" s="58">
        <v>59352.849349999989</v>
      </c>
      <c r="N26" s="58">
        <v>162252.80337999997</v>
      </c>
      <c r="O26" s="58">
        <v>540273.9800000001</v>
      </c>
    </row>
    <row r="27" spans="1:15" ht="15.75" x14ac:dyDescent="0.2">
      <c r="A27" s="30" t="s">
        <v>17</v>
      </c>
      <c r="B27" s="26" t="s">
        <v>56</v>
      </c>
      <c r="C27" s="27" t="s">
        <v>107</v>
      </c>
      <c r="D27" s="19">
        <f t="shared" si="0"/>
        <v>-4.8377023587198913</v>
      </c>
      <c r="E27" s="19">
        <f t="shared" si="1"/>
        <v>1.1115525145538099</v>
      </c>
      <c r="F27" s="19">
        <f t="shared" si="2"/>
        <v>13.285714285714285</v>
      </c>
      <c r="G27" s="19">
        <f t="shared" si="3"/>
        <v>11.852071428571428</v>
      </c>
      <c r="H27" s="12">
        <v>21600</v>
      </c>
      <c r="I27" s="12">
        <v>15600</v>
      </c>
      <c r="J27" s="12">
        <v>7000.0000000000009</v>
      </c>
      <c r="K27" s="12">
        <v>14000.000000000002</v>
      </c>
      <c r="L27" s="58">
        <v>-82894.370948349664</v>
      </c>
      <c r="M27" s="58">
        <v>32940.219227039437</v>
      </c>
      <c r="N27" s="58">
        <v>100000</v>
      </c>
      <c r="O27" s="58">
        <v>179929</v>
      </c>
    </row>
    <row r="28" spans="1:15" ht="15.75" x14ac:dyDescent="0.2">
      <c r="A28" s="30" t="s">
        <v>18</v>
      </c>
      <c r="B28" s="26" t="s">
        <v>56</v>
      </c>
      <c r="C28" s="27" t="s">
        <v>107</v>
      </c>
      <c r="D28" s="19">
        <f t="shared" si="0"/>
        <v>-0.97511018518518522</v>
      </c>
      <c r="E28" s="19">
        <f t="shared" si="1"/>
        <v>1.8259128205128206</v>
      </c>
      <c r="F28" s="19">
        <f t="shared" si="2"/>
        <v>-0.84103676190476218</v>
      </c>
      <c r="G28" s="19">
        <f t="shared" si="3"/>
        <v>1.7843719047619042</v>
      </c>
      <c r="H28" s="12">
        <v>21600</v>
      </c>
      <c r="I28" s="12">
        <v>11700</v>
      </c>
      <c r="J28" s="12">
        <v>105000.00000000001</v>
      </c>
      <c r="K28" s="12">
        <v>21000.000000000004</v>
      </c>
      <c r="L28" s="58">
        <v>537.61999999999898</v>
      </c>
      <c r="M28" s="58">
        <v>33063.18</v>
      </c>
      <c r="N28" s="58">
        <v>16691.13999999997</v>
      </c>
      <c r="O28" s="58">
        <v>58471.81</v>
      </c>
    </row>
    <row r="29" spans="1:15" ht="15.75" x14ac:dyDescent="0.2">
      <c r="A29" s="26" t="s">
        <v>19</v>
      </c>
      <c r="B29" s="26" t="s">
        <v>56</v>
      </c>
      <c r="C29" s="27" t="s">
        <v>107</v>
      </c>
      <c r="D29" s="19">
        <f t="shared" si="0"/>
        <v>-0.35262502125352857</v>
      </c>
      <c r="E29" s="19">
        <f t="shared" si="1"/>
        <v>-0.35028803418803445</v>
      </c>
      <c r="F29" s="19">
        <f t="shared" si="2"/>
        <v>-0.27949876190476197</v>
      </c>
      <c r="G29" s="19">
        <f t="shared" si="3"/>
        <v>-0.29268608571428623</v>
      </c>
      <c r="H29" s="12">
        <v>125999.99999999999</v>
      </c>
      <c r="I29" s="12">
        <v>11700</v>
      </c>
      <c r="J29" s="12">
        <v>210000.00000000003</v>
      </c>
      <c r="K29" s="12">
        <v>350000.00000000006</v>
      </c>
      <c r="L29" s="58">
        <v>81569.247322055395</v>
      </c>
      <c r="M29" s="58">
        <v>7601.6299999999974</v>
      </c>
      <c r="N29" s="58">
        <v>151305.26</v>
      </c>
      <c r="O29" s="58">
        <v>247559.86999999988</v>
      </c>
    </row>
    <row r="30" spans="1:15" ht="15.75" x14ac:dyDescent="0.2">
      <c r="A30" s="26" t="s">
        <v>20</v>
      </c>
      <c r="B30" s="26" t="s">
        <v>56</v>
      </c>
      <c r="C30" s="27" t="s">
        <v>107</v>
      </c>
      <c r="D30" s="19">
        <f t="shared" si="0"/>
        <v>3.3195862499999995</v>
      </c>
      <c r="E30" s="19">
        <f t="shared" si="1"/>
        <v>0.31233491119538837</v>
      </c>
      <c r="F30" s="19">
        <f t="shared" si="2"/>
        <v>3.8419714285714281</v>
      </c>
      <c r="G30" s="19">
        <f t="shared" si="3"/>
        <v>-0.7977403428571419</v>
      </c>
      <c r="H30" s="12">
        <v>72000</v>
      </c>
      <c r="I30" s="12">
        <v>15600</v>
      </c>
      <c r="J30" s="12">
        <v>280000</v>
      </c>
      <c r="K30" s="12">
        <v>175000.00000000003</v>
      </c>
      <c r="L30" s="58">
        <v>311010.20999999996</v>
      </c>
      <c r="M30" s="58">
        <v>20472.424614648058</v>
      </c>
      <c r="N30" s="58">
        <v>1355752</v>
      </c>
      <c r="O30" s="58">
        <v>35395.440000000177</v>
      </c>
    </row>
    <row r="31" spans="1:15" ht="15.75" x14ac:dyDescent="0.2">
      <c r="A31" s="26" t="s">
        <v>21</v>
      </c>
      <c r="B31" s="26" t="s">
        <v>56</v>
      </c>
      <c r="C31" s="27" t="s">
        <v>107</v>
      </c>
      <c r="D31" s="19">
        <f t="shared" si="0"/>
        <v>1</v>
      </c>
      <c r="E31" s="19">
        <f t="shared" si="1"/>
        <v>1</v>
      </c>
      <c r="F31" s="19">
        <f t="shared" si="2"/>
        <v>0</v>
      </c>
      <c r="G31" s="19">
        <f t="shared" si="3"/>
        <v>0</v>
      </c>
      <c r="H31" s="12">
        <v>0</v>
      </c>
      <c r="I31" s="12">
        <v>0</v>
      </c>
      <c r="J31" s="12">
        <v>0</v>
      </c>
      <c r="K31" s="12">
        <v>0</v>
      </c>
      <c r="L31" s="58">
        <v>4522.07</v>
      </c>
      <c r="M31" s="58">
        <v>9.66</v>
      </c>
      <c r="N31" s="58">
        <v>0</v>
      </c>
      <c r="O31" s="58">
        <v>0</v>
      </c>
    </row>
    <row r="32" spans="1:15" ht="15.75" x14ac:dyDescent="0.2">
      <c r="A32" s="26" t="s">
        <v>22</v>
      </c>
      <c r="B32" s="26" t="s">
        <v>56</v>
      </c>
      <c r="C32" s="27" t="s">
        <v>107</v>
      </c>
      <c r="D32" s="19">
        <f t="shared" si="0"/>
        <v>1</v>
      </c>
      <c r="E32" s="19">
        <f t="shared" si="1"/>
        <v>0</v>
      </c>
      <c r="F32" s="19">
        <f t="shared" si="2"/>
        <v>1</v>
      </c>
      <c r="G32" s="19">
        <f t="shared" si="3"/>
        <v>0</v>
      </c>
      <c r="H32" s="12">
        <v>0</v>
      </c>
      <c r="I32" s="12">
        <v>0</v>
      </c>
      <c r="J32" s="12">
        <v>0</v>
      </c>
      <c r="K32" s="12">
        <v>0</v>
      </c>
      <c r="L32" s="58">
        <v>141895.41981600522</v>
      </c>
      <c r="M32" s="58">
        <v>0</v>
      </c>
      <c r="N32" s="58">
        <v>231.20140894681026</v>
      </c>
      <c r="O32" s="58">
        <v>0</v>
      </c>
    </row>
    <row r="33" spans="1:15" ht="15.75" x14ac:dyDescent="0.2">
      <c r="A33" s="26" t="s">
        <v>23</v>
      </c>
      <c r="B33" s="26" t="s">
        <v>56</v>
      </c>
      <c r="C33" s="27" t="s">
        <v>107</v>
      </c>
      <c r="D33" s="19">
        <f t="shared" si="0"/>
        <v>0</v>
      </c>
      <c r="E33" s="19">
        <f t="shared" si="1"/>
        <v>0</v>
      </c>
      <c r="F33" s="19">
        <f t="shared" si="2"/>
        <v>0</v>
      </c>
      <c r="G33" s="19">
        <f t="shared" si="3"/>
        <v>0</v>
      </c>
      <c r="H33" s="12">
        <v>0</v>
      </c>
      <c r="I33" s="12">
        <v>0</v>
      </c>
      <c r="J33" s="12">
        <v>0</v>
      </c>
      <c r="K33" s="12">
        <v>0</v>
      </c>
      <c r="L33" s="58">
        <v>0</v>
      </c>
      <c r="M33" s="58">
        <v>0</v>
      </c>
      <c r="N33" s="58">
        <v>0</v>
      </c>
      <c r="O33" s="58">
        <v>0</v>
      </c>
    </row>
    <row r="34" spans="1:15" ht="15.75" x14ac:dyDescent="0.2">
      <c r="A34" s="26" t="s">
        <v>24</v>
      </c>
      <c r="B34" s="26" t="s">
        <v>56</v>
      </c>
      <c r="C34" s="27" t="s">
        <v>107</v>
      </c>
      <c r="D34" s="19">
        <f t="shared" si="0"/>
        <v>0</v>
      </c>
      <c r="E34" s="19">
        <f t="shared" si="1"/>
        <v>1</v>
      </c>
      <c r="F34" s="19">
        <f t="shared" si="2"/>
        <v>0</v>
      </c>
      <c r="G34" s="19">
        <f t="shared" si="3"/>
        <v>0</v>
      </c>
      <c r="H34" s="12">
        <v>0</v>
      </c>
      <c r="I34" s="12">
        <v>0</v>
      </c>
      <c r="J34" s="12">
        <v>0</v>
      </c>
      <c r="K34" s="12">
        <v>0</v>
      </c>
      <c r="L34" s="58">
        <v>0</v>
      </c>
      <c r="M34" s="58">
        <v>32.08600000000115</v>
      </c>
      <c r="N34" s="58">
        <v>0</v>
      </c>
      <c r="O34" s="58">
        <v>0</v>
      </c>
    </row>
    <row r="35" spans="1:15" ht="15.75" x14ac:dyDescent="0.2">
      <c r="A35" s="30" t="s">
        <v>25</v>
      </c>
      <c r="B35" s="26" t="s">
        <v>56</v>
      </c>
      <c r="C35" s="27" t="s">
        <v>107</v>
      </c>
      <c r="D35" s="19">
        <f t="shared" si="0"/>
        <v>2.5735547626031878</v>
      </c>
      <c r="E35" s="19">
        <f t="shared" si="1"/>
        <v>-0.10820428438173146</v>
      </c>
      <c r="F35" s="19">
        <f t="shared" si="2"/>
        <v>3.6515500829873648E-2</v>
      </c>
      <c r="G35" s="19">
        <f t="shared" si="3"/>
        <v>8.8130352500000004</v>
      </c>
      <c r="H35" s="12">
        <v>180000</v>
      </c>
      <c r="I35" s="12">
        <v>35100</v>
      </c>
      <c r="J35" s="12">
        <v>420000.00000000006</v>
      </c>
      <c r="K35" s="12">
        <v>280000</v>
      </c>
      <c r="L35" s="58">
        <v>643239.85726857383</v>
      </c>
      <c r="M35" s="58">
        <v>31302.029618201224</v>
      </c>
      <c r="N35" s="58">
        <v>435336.51034854702</v>
      </c>
      <c r="O35" s="58">
        <v>2747649.87</v>
      </c>
    </row>
    <row r="36" spans="1:15" ht="15.75" x14ac:dyDescent="0.2">
      <c r="A36" s="26" t="s">
        <v>26</v>
      </c>
      <c r="B36" s="26" t="s">
        <v>56</v>
      </c>
      <c r="C36" s="27" t="s">
        <v>107</v>
      </c>
      <c r="D36" s="19">
        <f t="shared" si="0"/>
        <v>0</v>
      </c>
      <c r="E36" s="19">
        <f t="shared" si="1"/>
        <v>0</v>
      </c>
      <c r="F36" s="19">
        <f t="shared" si="2"/>
        <v>0</v>
      </c>
      <c r="G36" s="19">
        <f t="shared" si="3"/>
        <v>0</v>
      </c>
      <c r="H36" s="12">
        <v>0</v>
      </c>
      <c r="I36" s="12">
        <v>0</v>
      </c>
      <c r="J36" s="12">
        <v>0</v>
      </c>
      <c r="K36" s="12">
        <v>0</v>
      </c>
      <c r="L36" s="58">
        <v>0</v>
      </c>
      <c r="M36" s="58">
        <v>0</v>
      </c>
      <c r="N36" s="58">
        <v>0</v>
      </c>
      <c r="O36" s="58">
        <v>0</v>
      </c>
    </row>
    <row r="37" spans="1:15" ht="15.75" x14ac:dyDescent="0.2">
      <c r="A37" s="26" t="s">
        <v>27</v>
      </c>
      <c r="B37" s="26" t="s">
        <v>56</v>
      </c>
      <c r="C37" s="27" t="s">
        <v>107</v>
      </c>
      <c r="D37" s="19">
        <f t="shared" si="0"/>
        <v>1</v>
      </c>
      <c r="E37" s="19">
        <f t="shared" si="1"/>
        <v>1</v>
      </c>
      <c r="F37" s="19">
        <f t="shared" si="2"/>
        <v>1</v>
      </c>
      <c r="G37" s="19">
        <f t="shared" si="3"/>
        <v>1</v>
      </c>
      <c r="H37" s="12">
        <v>0</v>
      </c>
      <c r="I37" s="12">
        <v>0</v>
      </c>
      <c r="J37" s="12">
        <v>0</v>
      </c>
      <c r="K37" s="12">
        <v>0</v>
      </c>
      <c r="L37" s="58">
        <v>-18288</v>
      </c>
      <c r="M37" s="58">
        <v>-13745.94</v>
      </c>
      <c r="N37" s="58">
        <v>21102.44</v>
      </c>
      <c r="O37" s="58">
        <v>-580576.23</v>
      </c>
    </row>
    <row r="38" spans="1:15" ht="15.75" x14ac:dyDescent="0.2">
      <c r="A38" s="26" t="s">
        <v>28</v>
      </c>
      <c r="B38" s="26" t="s">
        <v>56</v>
      </c>
      <c r="C38" s="27" t="s">
        <v>107</v>
      </c>
      <c r="D38" s="19">
        <f t="shared" si="0"/>
        <v>0</v>
      </c>
      <c r="E38" s="19">
        <f t="shared" si="1"/>
        <v>0</v>
      </c>
      <c r="F38" s="19">
        <f t="shared" si="2"/>
        <v>0</v>
      </c>
      <c r="G38" s="19">
        <f t="shared" si="3"/>
        <v>0</v>
      </c>
      <c r="H38" s="12">
        <v>0</v>
      </c>
      <c r="I38" s="12">
        <v>0</v>
      </c>
      <c r="J38" s="12">
        <v>0</v>
      </c>
      <c r="K38" s="12">
        <v>0</v>
      </c>
      <c r="L38" s="58">
        <v>0</v>
      </c>
      <c r="M38" s="58">
        <v>0</v>
      </c>
      <c r="N38" s="58">
        <v>0</v>
      </c>
      <c r="O38" s="58">
        <v>0</v>
      </c>
    </row>
    <row r="39" spans="1:15" ht="15.75" x14ac:dyDescent="0.2">
      <c r="A39" s="26" t="s">
        <v>29</v>
      </c>
      <c r="B39" s="26" t="s">
        <v>56</v>
      </c>
      <c r="C39" s="27" t="s">
        <v>107</v>
      </c>
      <c r="D39" s="19">
        <f t="shared" si="0"/>
        <v>1</v>
      </c>
      <c r="E39" s="19">
        <f t="shared" si="1"/>
        <v>-0.14811538461538432</v>
      </c>
      <c r="F39" s="19">
        <f t="shared" si="2"/>
        <v>1</v>
      </c>
      <c r="G39" s="19">
        <f t="shared" si="3"/>
        <v>1</v>
      </c>
      <c r="H39" s="12">
        <v>0</v>
      </c>
      <c r="I39" s="12">
        <v>780</v>
      </c>
      <c r="J39" s="12">
        <v>0</v>
      </c>
      <c r="K39" s="12">
        <v>0</v>
      </c>
      <c r="L39" s="58">
        <v>528.61999999999989</v>
      </c>
      <c r="M39" s="58">
        <v>664.47000000000025</v>
      </c>
      <c r="N39" s="58">
        <v>-156.55999999999767</v>
      </c>
      <c r="O39" s="58">
        <v>1110.4100000000035</v>
      </c>
    </row>
    <row r="40" spans="1:15" ht="15.75" x14ac:dyDescent="0.2">
      <c r="A40" s="26" t="s">
        <v>98</v>
      </c>
      <c r="B40" s="26" t="s">
        <v>55</v>
      </c>
      <c r="C40" s="27" t="s">
        <v>107</v>
      </c>
      <c r="D40" s="19">
        <f t="shared" si="0"/>
        <v>-0.83180590277777766</v>
      </c>
      <c r="E40" s="19">
        <f t="shared" si="1"/>
        <v>-0.75888589743589741</v>
      </c>
      <c r="F40" s="19">
        <f t="shared" si="2"/>
        <v>0</v>
      </c>
      <c r="G40" s="19">
        <f t="shared" si="3"/>
        <v>0</v>
      </c>
      <c r="H40" s="12">
        <v>28799.999999999996</v>
      </c>
      <c r="I40" s="12">
        <v>7800</v>
      </c>
      <c r="J40" s="12">
        <v>70000</v>
      </c>
      <c r="K40" s="12">
        <v>70000</v>
      </c>
      <c r="L40" s="58">
        <v>4843.9900000000016</v>
      </c>
      <c r="M40" s="58">
        <v>1880.6900000000005</v>
      </c>
      <c r="N40" s="58">
        <v>0</v>
      </c>
      <c r="O40" s="58">
        <v>0</v>
      </c>
    </row>
    <row r="41" spans="1:15" ht="15.75" x14ac:dyDescent="0.2">
      <c r="A41" s="26" t="s">
        <v>32</v>
      </c>
      <c r="B41" s="26" t="s">
        <v>55</v>
      </c>
      <c r="C41" s="27" t="s">
        <v>107</v>
      </c>
      <c r="D41" s="19">
        <f t="shared" si="0"/>
        <v>0</v>
      </c>
      <c r="E41" s="19">
        <f t="shared" si="1"/>
        <v>0</v>
      </c>
      <c r="F41" s="19">
        <f t="shared" si="2"/>
        <v>0</v>
      </c>
      <c r="G41" s="19">
        <f t="shared" si="3"/>
        <v>0</v>
      </c>
      <c r="H41" s="12">
        <v>0</v>
      </c>
      <c r="I41" s="12">
        <v>0</v>
      </c>
      <c r="J41" s="12">
        <v>0</v>
      </c>
      <c r="K41" s="12">
        <v>0</v>
      </c>
      <c r="L41" s="58">
        <v>0</v>
      </c>
      <c r="M41" s="58">
        <v>0</v>
      </c>
      <c r="N41" s="58">
        <v>0</v>
      </c>
      <c r="O41" s="58">
        <v>0</v>
      </c>
    </row>
    <row r="42" spans="1:15" ht="15.75" x14ac:dyDescent="0.2">
      <c r="A42" s="30" t="s">
        <v>95</v>
      </c>
      <c r="B42" s="26" t="s">
        <v>56</v>
      </c>
      <c r="C42" s="27" t="s">
        <v>107</v>
      </c>
      <c r="D42" s="19">
        <f t="shared" si="0"/>
        <v>1</v>
      </c>
      <c r="E42" s="19">
        <f t="shared" si="1"/>
        <v>1</v>
      </c>
      <c r="F42" s="19">
        <f t="shared" si="2"/>
        <v>1</v>
      </c>
      <c r="G42" s="19">
        <f t="shared" si="3"/>
        <v>1</v>
      </c>
      <c r="H42" s="12">
        <v>0</v>
      </c>
      <c r="I42" s="12">
        <v>0</v>
      </c>
      <c r="J42" s="12">
        <v>0</v>
      </c>
      <c r="K42" s="12">
        <v>0</v>
      </c>
      <c r="L42" s="58">
        <v>67769.326285107818</v>
      </c>
      <c r="M42" s="58">
        <v>-2830.7521752109387</v>
      </c>
      <c r="N42" s="58">
        <v>24743.080858603294</v>
      </c>
      <c r="O42" s="58">
        <v>572821.31000000006</v>
      </c>
    </row>
    <row r="43" spans="1:15" ht="15.75" x14ac:dyDescent="0.2">
      <c r="A43" s="26" t="s">
        <v>83</v>
      </c>
      <c r="B43" s="26" t="s">
        <v>56</v>
      </c>
      <c r="C43" s="27" t="s">
        <v>107</v>
      </c>
      <c r="D43" s="19">
        <f t="shared" si="0"/>
        <v>-0.99633186786815942</v>
      </c>
      <c r="E43" s="19">
        <f t="shared" si="1"/>
        <v>-0.98775256410256429</v>
      </c>
      <c r="F43" s="19">
        <f t="shared" si="2"/>
        <v>0</v>
      </c>
      <c r="G43" s="19">
        <f t="shared" si="3"/>
        <v>0</v>
      </c>
      <c r="H43" s="12">
        <v>21600</v>
      </c>
      <c r="I43" s="12">
        <v>6240</v>
      </c>
      <c r="J43" s="12">
        <v>21000.000000000004</v>
      </c>
      <c r="K43" s="12">
        <v>21000.000000000004</v>
      </c>
      <c r="L43" s="58">
        <v>79.23165404775682</v>
      </c>
      <c r="M43" s="58">
        <v>76.423999999999069</v>
      </c>
      <c r="N43" s="58">
        <v>0</v>
      </c>
      <c r="O43" s="58">
        <v>0</v>
      </c>
    </row>
    <row r="44" spans="1:15" ht="15.75" x14ac:dyDescent="0.2">
      <c r="A44" s="26" t="s">
        <v>82</v>
      </c>
      <c r="B44" s="26" t="s">
        <v>56</v>
      </c>
      <c r="C44" s="27" t="s">
        <v>107</v>
      </c>
      <c r="D44" s="19">
        <f t="shared" si="0"/>
        <v>-7.938366666666667</v>
      </c>
      <c r="E44" s="19">
        <f t="shared" si="1"/>
        <v>-6.9792307692307598E-2</v>
      </c>
      <c r="F44" s="19">
        <f t="shared" si="2"/>
        <v>20.913573333333328</v>
      </c>
      <c r="G44" s="19">
        <f t="shared" si="3"/>
        <v>-28.14307214285714</v>
      </c>
      <c r="H44" s="12">
        <v>3599.9999999999995</v>
      </c>
      <c r="I44" s="12">
        <v>3900</v>
      </c>
      <c r="J44" s="12">
        <v>21000.000000000004</v>
      </c>
      <c r="K44" s="12">
        <v>14000.000000000002</v>
      </c>
      <c r="L44" s="58">
        <v>-24978.12</v>
      </c>
      <c r="M44" s="58">
        <v>3627.8100000000004</v>
      </c>
      <c r="N44" s="58">
        <v>460185.04</v>
      </c>
      <c r="O44" s="58">
        <v>-380003.01</v>
      </c>
    </row>
    <row r="45" spans="1:15" ht="15.75" x14ac:dyDescent="0.2">
      <c r="A45" s="26" t="s">
        <v>36</v>
      </c>
      <c r="B45" s="26" t="s">
        <v>55</v>
      </c>
      <c r="C45" s="27" t="s">
        <v>107</v>
      </c>
      <c r="D45" s="19">
        <f t="shared" si="0"/>
        <v>0</v>
      </c>
      <c r="E45" s="19">
        <f t="shared" si="1"/>
        <v>0</v>
      </c>
      <c r="F45" s="19">
        <f t="shared" si="2"/>
        <v>0</v>
      </c>
      <c r="G45" s="19">
        <f t="shared" si="3"/>
        <v>0</v>
      </c>
      <c r="H45" s="12">
        <v>0</v>
      </c>
      <c r="I45" s="12">
        <v>0</v>
      </c>
      <c r="J45" s="12">
        <v>0</v>
      </c>
      <c r="K45" s="12">
        <v>0</v>
      </c>
      <c r="L45" s="58">
        <v>0</v>
      </c>
      <c r="M45" s="58">
        <v>0</v>
      </c>
      <c r="N45" s="58">
        <v>0</v>
      </c>
      <c r="O45" s="58">
        <v>0</v>
      </c>
    </row>
    <row r="46" spans="1:15" ht="15.75" x14ac:dyDescent="0.2">
      <c r="A46" s="26" t="s">
        <v>94</v>
      </c>
      <c r="B46" s="26" t="s">
        <v>55</v>
      </c>
      <c r="C46" s="27" t="s">
        <v>107</v>
      </c>
      <c r="D46" s="19">
        <f t="shared" si="0"/>
        <v>0</v>
      </c>
      <c r="E46" s="19">
        <f t="shared" si="1"/>
        <v>0</v>
      </c>
      <c r="F46" s="19">
        <f t="shared" si="2"/>
        <v>0</v>
      </c>
      <c r="G46" s="19">
        <f t="shared" si="3"/>
        <v>0</v>
      </c>
      <c r="H46" s="12">
        <v>0</v>
      </c>
      <c r="I46" s="12">
        <v>0</v>
      </c>
      <c r="J46" s="12">
        <v>0</v>
      </c>
      <c r="K46" s="12">
        <v>0</v>
      </c>
      <c r="L46" s="58">
        <v>0</v>
      </c>
      <c r="M46" s="58">
        <v>0</v>
      </c>
      <c r="N46" s="58">
        <v>0</v>
      </c>
      <c r="O46" s="58">
        <v>0</v>
      </c>
    </row>
    <row r="47" spans="1:15" ht="15.75" x14ac:dyDescent="0.2">
      <c r="A47" s="28" t="s">
        <v>85</v>
      </c>
      <c r="B47" s="26" t="s">
        <v>56</v>
      </c>
      <c r="C47" s="27" t="s">
        <v>107</v>
      </c>
      <c r="D47" s="19">
        <f t="shared" si="0"/>
        <v>0</v>
      </c>
      <c r="E47" s="19">
        <f t="shared" si="1"/>
        <v>-0.32737564102564087</v>
      </c>
      <c r="F47" s="19">
        <f t="shared" si="2"/>
        <v>0</v>
      </c>
      <c r="G47" s="19">
        <f t="shared" si="3"/>
        <v>0</v>
      </c>
      <c r="H47" s="12">
        <v>3599.9999999999995</v>
      </c>
      <c r="I47" s="12">
        <v>3900</v>
      </c>
      <c r="J47" s="12">
        <v>35000</v>
      </c>
      <c r="K47" s="12">
        <v>14000.000000000002</v>
      </c>
      <c r="L47" s="58">
        <v>0</v>
      </c>
      <c r="M47" s="58">
        <v>2623.2350000000006</v>
      </c>
      <c r="N47" s="58">
        <v>0</v>
      </c>
      <c r="O47" s="58">
        <v>0</v>
      </c>
    </row>
    <row r="48" spans="1:15" ht="15.75" x14ac:dyDescent="0.2">
      <c r="A48" s="28" t="s">
        <v>87</v>
      </c>
      <c r="B48" s="26" t="s">
        <v>56</v>
      </c>
      <c r="C48" s="27" t="s">
        <v>107</v>
      </c>
      <c r="D48" s="19">
        <f t="shared" si="0"/>
        <v>-2.7662222222222224</v>
      </c>
      <c r="E48" s="19">
        <f t="shared" si="1"/>
        <v>0</v>
      </c>
      <c r="F48" s="19">
        <f t="shared" si="2"/>
        <v>-5.7305377142857141</v>
      </c>
      <c r="G48" s="19">
        <f t="shared" si="3"/>
        <v>-0.99999942857142798</v>
      </c>
      <c r="H48" s="12">
        <v>7199.9999999999991</v>
      </c>
      <c r="I48" s="12">
        <v>3900</v>
      </c>
      <c r="J48" s="12">
        <v>140000</v>
      </c>
      <c r="K48" s="12">
        <v>35000</v>
      </c>
      <c r="L48" s="58">
        <v>-12716.8</v>
      </c>
      <c r="M48" s="58">
        <v>0</v>
      </c>
      <c r="N48" s="58">
        <v>-662275.28</v>
      </c>
      <c r="O48" s="58">
        <v>2.0000000018626451E-2</v>
      </c>
    </row>
    <row r="49" spans="1:15" ht="15.75" x14ac:dyDescent="0.2">
      <c r="A49" s="26" t="s">
        <v>97</v>
      </c>
      <c r="B49" s="26" t="s">
        <v>56</v>
      </c>
      <c r="C49" s="26" t="s">
        <v>107</v>
      </c>
      <c r="D49" s="19">
        <f t="shared" si="0"/>
        <v>1</v>
      </c>
      <c r="E49" s="19">
        <f t="shared" si="1"/>
        <v>1</v>
      </c>
      <c r="F49" s="19">
        <f t="shared" si="2"/>
        <v>1</v>
      </c>
      <c r="G49" s="19">
        <f t="shared" si="3"/>
        <v>0</v>
      </c>
      <c r="H49" s="12">
        <v>0</v>
      </c>
      <c r="I49" s="12">
        <v>0</v>
      </c>
      <c r="J49" s="12">
        <v>0</v>
      </c>
      <c r="K49" s="12">
        <v>0</v>
      </c>
      <c r="L49" s="58">
        <v>-141500.51784000001</v>
      </c>
      <c r="M49" s="58">
        <v>154.59999999999991</v>
      </c>
      <c r="N49" s="58">
        <v>360799.46999999986</v>
      </c>
      <c r="O49" s="58">
        <v>0</v>
      </c>
    </row>
    <row r="50" spans="1:15" ht="15.75" x14ac:dyDescent="0.2">
      <c r="A50" s="26" t="s">
        <v>39</v>
      </c>
      <c r="B50" s="26" t="s">
        <v>56</v>
      </c>
      <c r="C50" s="26" t="s">
        <v>107</v>
      </c>
      <c r="D50" s="19">
        <f t="shared" si="0"/>
        <v>1</v>
      </c>
      <c r="E50" s="19">
        <f t="shared" si="1"/>
        <v>1</v>
      </c>
      <c r="F50" s="19">
        <f t="shared" si="2"/>
        <v>0</v>
      </c>
      <c r="G50" s="19">
        <f t="shared" si="3"/>
        <v>1</v>
      </c>
      <c r="H50" s="12">
        <v>0</v>
      </c>
      <c r="I50" s="12">
        <v>0</v>
      </c>
      <c r="J50" s="12">
        <v>0</v>
      </c>
      <c r="K50" s="12">
        <v>0</v>
      </c>
      <c r="L50" s="58">
        <v>528.61999999999989</v>
      </c>
      <c r="M50" s="58">
        <v>1313</v>
      </c>
      <c r="N50" s="58">
        <v>0</v>
      </c>
      <c r="O50" s="58">
        <v>679.75999999998021</v>
      </c>
    </row>
    <row r="51" spans="1:15" ht="15.75" x14ac:dyDescent="0.2">
      <c r="A51" s="26" t="s">
        <v>91</v>
      </c>
      <c r="B51" s="26" t="s">
        <v>56</v>
      </c>
      <c r="C51" s="26" t="s">
        <v>107</v>
      </c>
      <c r="D51" s="19">
        <f t="shared" si="0"/>
        <v>1</v>
      </c>
      <c r="E51" s="19">
        <f t="shared" si="1"/>
        <v>1</v>
      </c>
      <c r="F51" s="19">
        <f t="shared" si="2"/>
        <v>1</v>
      </c>
      <c r="G51" s="19">
        <f t="shared" si="3"/>
        <v>1</v>
      </c>
      <c r="H51" s="12">
        <v>0</v>
      </c>
      <c r="I51" s="12">
        <v>0</v>
      </c>
      <c r="J51" s="12">
        <v>0</v>
      </c>
      <c r="K51" s="12">
        <v>0</v>
      </c>
      <c r="L51" s="58">
        <v>58383.011369999993</v>
      </c>
      <c r="M51" s="58">
        <v>-133.65900000000056</v>
      </c>
      <c r="N51" s="58">
        <v>35274.410000000003</v>
      </c>
      <c r="O51" s="58">
        <v>120949.00000000006</v>
      </c>
    </row>
    <row r="52" spans="1:15" ht="15.75" x14ac:dyDescent="0.2">
      <c r="A52" s="26" t="s">
        <v>41</v>
      </c>
      <c r="B52" s="26" t="s">
        <v>56</v>
      </c>
      <c r="C52" s="26" t="s">
        <v>107</v>
      </c>
      <c r="D52" s="19">
        <f t="shared" si="0"/>
        <v>1</v>
      </c>
      <c r="E52" s="19">
        <f t="shared" si="1"/>
        <v>1</v>
      </c>
      <c r="F52" s="19">
        <f t="shared" si="2"/>
        <v>0</v>
      </c>
      <c r="G52" s="19">
        <f t="shared" si="3"/>
        <v>0</v>
      </c>
      <c r="H52" s="12">
        <v>0</v>
      </c>
      <c r="I52" s="12">
        <v>0</v>
      </c>
      <c r="J52" s="12">
        <v>0</v>
      </c>
      <c r="K52" s="12">
        <v>0</v>
      </c>
      <c r="L52" s="58">
        <v>12059</v>
      </c>
      <c r="M52" s="58">
        <v>-3.2999999999999545</v>
      </c>
      <c r="N52" s="58">
        <v>0</v>
      </c>
      <c r="O52" s="58">
        <v>0</v>
      </c>
    </row>
    <row r="53" spans="1:15" ht="15.75" x14ac:dyDescent="0.2">
      <c r="A53" s="26" t="s">
        <v>88</v>
      </c>
      <c r="B53" s="26" t="s">
        <v>56</v>
      </c>
      <c r="C53" s="26" t="s">
        <v>107</v>
      </c>
      <c r="D53" s="19">
        <f t="shared" si="0"/>
        <v>0</v>
      </c>
      <c r="E53" s="19">
        <f t="shared" si="1"/>
        <v>1</v>
      </c>
      <c r="F53" s="19">
        <f t="shared" si="2"/>
        <v>0</v>
      </c>
      <c r="G53" s="19">
        <f t="shared" si="3"/>
        <v>1</v>
      </c>
      <c r="H53" s="12">
        <v>0</v>
      </c>
      <c r="I53" s="12">
        <v>0</v>
      </c>
      <c r="J53" s="12">
        <v>0</v>
      </c>
      <c r="K53" s="12">
        <v>0</v>
      </c>
      <c r="L53" s="58">
        <v>0</v>
      </c>
      <c r="M53" s="58">
        <v>3237.9700000000003</v>
      </c>
      <c r="N53" s="58">
        <v>0</v>
      </c>
      <c r="O53" s="58">
        <v>-2016</v>
      </c>
    </row>
    <row r="54" spans="1:15" ht="21.75" thickBot="1" x14ac:dyDescent="0.25">
      <c r="A54" s="108" t="s">
        <v>116</v>
      </c>
      <c r="B54" s="102"/>
      <c r="C54" s="99"/>
      <c r="D54" s="19">
        <f t="shared" ref="D54" si="6">IF(L54=0,0%,IF(H54=0,100%,L54/H54-1))</f>
        <v>1.9259333345508773</v>
      </c>
      <c r="E54" s="19">
        <f t="shared" ref="E54" si="7">IF(M54=0,0%,IF(I54=0,100%,M54/I54-1))</f>
        <v>3.6530340194562472E-2</v>
      </c>
      <c r="F54" s="19">
        <f t="shared" ref="F54" si="8">IF(N54=0,0%,IF(J54=0,100%,N54/J54-1))</f>
        <v>0.51065977609101831</v>
      </c>
      <c r="G54" s="19">
        <f t="shared" ref="G54" si="9">IF(O54=0,0%,IF(K54=0,100%,O54/K54-1))</f>
        <v>2.180690613120785</v>
      </c>
      <c r="H54" s="128">
        <f>SUM(H22:H53)</f>
        <v>788400</v>
      </c>
      <c r="I54" s="128">
        <f t="shared" ref="I54:O54" si="10">SUM(I22:I53)</f>
        <v>156780</v>
      </c>
      <c r="J54" s="128">
        <f t="shared" si="10"/>
        <v>1715000.0000000002</v>
      </c>
      <c r="K54" s="128">
        <f t="shared" si="10"/>
        <v>1631000</v>
      </c>
      <c r="L54" s="128">
        <f t="shared" si="10"/>
        <v>2306805.8409599117</v>
      </c>
      <c r="M54" s="128">
        <f t="shared" si="10"/>
        <v>162507.2267357035</v>
      </c>
      <c r="N54" s="128">
        <f t="shared" si="10"/>
        <v>2590781.5159960967</v>
      </c>
      <c r="O54" s="128">
        <f t="shared" si="10"/>
        <v>5187706.3900000006</v>
      </c>
    </row>
    <row r="55" spans="1:15" ht="15.75" x14ac:dyDescent="0.2">
      <c r="A55" s="30" t="s">
        <v>33</v>
      </c>
      <c r="B55" s="26" t="s">
        <v>115</v>
      </c>
      <c r="C55" s="26" t="s">
        <v>107</v>
      </c>
      <c r="D55" s="19">
        <f t="shared" ref="D55:G62" si="11">IF(L55=0,0%,IF(H55=0,100%,L55/H55-1))</f>
        <v>-0.60759111111111108</v>
      </c>
      <c r="E55" s="19">
        <f t="shared" si="11"/>
        <v>-0.80443429487179485</v>
      </c>
      <c r="F55" s="19">
        <f t="shared" si="11"/>
        <v>-0.35408820955001985</v>
      </c>
      <c r="G55" s="19">
        <f t="shared" si="11"/>
        <v>0</v>
      </c>
      <c r="H55" s="12">
        <v>36000</v>
      </c>
      <c r="I55" s="12">
        <v>6240</v>
      </c>
      <c r="J55" s="12">
        <v>490000.00000000006</v>
      </c>
      <c r="K55" s="12">
        <v>70000</v>
      </c>
      <c r="L55" s="58">
        <v>14126.720000000001</v>
      </c>
      <c r="M55" s="58">
        <v>1220.33</v>
      </c>
      <c r="N55" s="58">
        <v>316496.77732049034</v>
      </c>
      <c r="O55" s="58">
        <v>0</v>
      </c>
    </row>
    <row r="56" spans="1:15" ht="15.75" x14ac:dyDescent="0.2">
      <c r="A56" s="26" t="s">
        <v>37</v>
      </c>
      <c r="B56" s="26" t="s">
        <v>115</v>
      </c>
      <c r="C56" s="27" t="s">
        <v>107</v>
      </c>
      <c r="D56" s="19">
        <f t="shared" si="11"/>
        <v>-0.54808253472222201</v>
      </c>
      <c r="E56" s="19">
        <f t="shared" si="11"/>
        <v>-0.68007179487179492</v>
      </c>
      <c r="F56" s="19">
        <f t="shared" si="11"/>
        <v>-0.40647339285714301</v>
      </c>
      <c r="G56" s="19">
        <f t="shared" si="11"/>
        <v>-5.3680438571428564</v>
      </c>
      <c r="H56" s="12">
        <v>288000</v>
      </c>
      <c r="I56" s="12">
        <v>27300</v>
      </c>
      <c r="J56" s="12">
        <v>280000</v>
      </c>
      <c r="K56" s="12">
        <v>280000</v>
      </c>
      <c r="L56" s="58">
        <v>130152.23000000004</v>
      </c>
      <c r="M56" s="58">
        <v>8734.0400000000009</v>
      </c>
      <c r="N56" s="58">
        <v>166187.44999999995</v>
      </c>
      <c r="O56" s="58">
        <v>-1223052.2799999998</v>
      </c>
    </row>
    <row r="57" spans="1:15" ht="15.75" x14ac:dyDescent="0.2">
      <c r="A57" s="26" t="s">
        <v>35</v>
      </c>
      <c r="B57" s="26" t="s">
        <v>115</v>
      </c>
      <c r="C57" s="27" t="s">
        <v>107</v>
      </c>
      <c r="D57" s="19">
        <f t="shared" si="11"/>
        <v>1</v>
      </c>
      <c r="E57" s="19">
        <f t="shared" si="11"/>
        <v>0</v>
      </c>
      <c r="F57" s="19">
        <f t="shared" si="11"/>
        <v>0</v>
      </c>
      <c r="G57" s="19">
        <f t="shared" si="11"/>
        <v>0</v>
      </c>
      <c r="H57" s="12">
        <v>0</v>
      </c>
      <c r="I57" s="12">
        <v>3120</v>
      </c>
      <c r="J57" s="12">
        <v>0</v>
      </c>
      <c r="K57" s="12">
        <v>0</v>
      </c>
      <c r="L57" s="58">
        <v>4955</v>
      </c>
      <c r="M57" s="58">
        <v>0</v>
      </c>
      <c r="N57" s="58">
        <v>0</v>
      </c>
      <c r="O57" s="58">
        <v>0</v>
      </c>
    </row>
    <row r="58" spans="1:15" ht="15.75" x14ac:dyDescent="0.2">
      <c r="A58" s="27" t="s">
        <v>86</v>
      </c>
      <c r="B58" s="27" t="s">
        <v>115</v>
      </c>
      <c r="C58" s="27" t="s">
        <v>107</v>
      </c>
      <c r="D58" s="19">
        <f t="shared" si="11"/>
        <v>1.8056554617756291</v>
      </c>
      <c r="E58" s="19">
        <f t="shared" si="11"/>
        <v>0.74584491153647403</v>
      </c>
      <c r="F58" s="19">
        <f t="shared" si="11"/>
        <v>10.408245604448247</v>
      </c>
      <c r="G58" s="19">
        <f t="shared" si="11"/>
        <v>1.404514857142857</v>
      </c>
      <c r="H58" s="12">
        <v>72000</v>
      </c>
      <c r="I58" s="12">
        <v>15600</v>
      </c>
      <c r="J58" s="12">
        <v>175000.00000000003</v>
      </c>
      <c r="K58" s="12">
        <v>700000.00000000012</v>
      </c>
      <c r="L58" s="58">
        <v>202007.19324784528</v>
      </c>
      <c r="M58" s="58">
        <v>27235.180619968996</v>
      </c>
      <c r="N58" s="58">
        <v>1996442.9807784436</v>
      </c>
      <c r="O58" s="58">
        <v>1683160.4000000001</v>
      </c>
    </row>
    <row r="59" spans="1:15" ht="15.75" x14ac:dyDescent="0.2">
      <c r="A59" s="26" t="s">
        <v>84</v>
      </c>
      <c r="B59" s="26" t="s">
        <v>115</v>
      </c>
      <c r="C59" s="26" t="s">
        <v>107</v>
      </c>
      <c r="D59" s="19">
        <f t="shared" si="11"/>
        <v>-9.1763783873911375E-2</v>
      </c>
      <c r="E59" s="19">
        <f t="shared" si="11"/>
        <v>1.6328118819264326E-4</v>
      </c>
      <c r="F59" s="19">
        <f t="shared" si="11"/>
        <v>2.07256942857143</v>
      </c>
      <c r="G59" s="19">
        <f t="shared" si="11"/>
        <v>2.5971130476190467</v>
      </c>
      <c r="H59" s="12">
        <v>72000</v>
      </c>
      <c r="I59" s="12">
        <v>7800</v>
      </c>
      <c r="J59" s="12">
        <v>175000.00000000003</v>
      </c>
      <c r="K59" s="12">
        <v>105000.00000000001</v>
      </c>
      <c r="L59" s="58">
        <v>65393.007561078382</v>
      </c>
      <c r="M59" s="58">
        <v>7801.2735932679025</v>
      </c>
      <c r="N59" s="58">
        <v>537699.65000000037</v>
      </c>
      <c r="O59" s="58">
        <v>377696.86999999994</v>
      </c>
    </row>
    <row r="60" spans="1:15" ht="15.75" x14ac:dyDescent="0.2">
      <c r="A60" s="246" t="s">
        <v>136</v>
      </c>
      <c r="B60" s="26" t="s">
        <v>115</v>
      </c>
      <c r="C60" s="27" t="s">
        <v>107</v>
      </c>
      <c r="D60" s="19">
        <f t="shared" si="11"/>
        <v>0</v>
      </c>
      <c r="E60" s="19">
        <f t="shared" si="11"/>
        <v>0</v>
      </c>
      <c r="F60" s="19">
        <f t="shared" si="11"/>
        <v>0</v>
      </c>
      <c r="G60" s="19">
        <f t="shared" si="11"/>
        <v>0</v>
      </c>
      <c r="H60" s="12">
        <v>72000</v>
      </c>
      <c r="I60" s="12">
        <v>11700</v>
      </c>
      <c r="J60" s="12">
        <v>350000.00000000006</v>
      </c>
      <c r="K60" s="12">
        <v>140000</v>
      </c>
      <c r="L60" s="58"/>
      <c r="M60" s="58"/>
      <c r="N60" s="58"/>
      <c r="O60" s="58"/>
    </row>
    <row r="61" spans="1:15" ht="15.75" x14ac:dyDescent="0.2">
      <c r="A61" s="107" t="s">
        <v>99</v>
      </c>
      <c r="B61" s="26" t="s">
        <v>115</v>
      </c>
      <c r="C61" s="27" t="s">
        <v>107</v>
      </c>
      <c r="D61" s="19">
        <f t="shared" si="11"/>
        <v>6.4794097222222238</v>
      </c>
      <c r="E61" s="19">
        <f t="shared" si="11"/>
        <v>-0.96030128205128207</v>
      </c>
      <c r="F61" s="19">
        <f t="shared" si="11"/>
        <v>1.9941150714285714</v>
      </c>
      <c r="G61" s="19">
        <f t="shared" si="11"/>
        <v>-1.0112153333333334</v>
      </c>
      <c r="H61" s="12">
        <v>7199.9999999999991</v>
      </c>
      <c r="I61" s="12">
        <v>7800</v>
      </c>
      <c r="J61" s="12">
        <v>140000</v>
      </c>
      <c r="K61" s="12">
        <v>105000.00000000001</v>
      </c>
      <c r="L61" s="58">
        <v>53851.750000000007</v>
      </c>
      <c r="M61" s="58">
        <v>309.64999999999964</v>
      </c>
      <c r="N61" s="58">
        <v>419176.11</v>
      </c>
      <c r="O61" s="58">
        <v>-1177.6100000000006</v>
      </c>
    </row>
    <row r="62" spans="1:15" ht="15.75" x14ac:dyDescent="0.2">
      <c r="A62" s="30" t="s">
        <v>16</v>
      </c>
      <c r="B62" s="26" t="s">
        <v>115</v>
      </c>
      <c r="C62" s="27" t="s">
        <v>107</v>
      </c>
      <c r="D62" s="19">
        <f t="shared" si="11"/>
        <v>0</v>
      </c>
      <c r="E62" s="19">
        <f t="shared" si="11"/>
        <v>0</v>
      </c>
      <c r="F62" s="19">
        <f t="shared" si="11"/>
        <v>0</v>
      </c>
      <c r="G62" s="19">
        <f t="shared" si="11"/>
        <v>0</v>
      </c>
      <c r="H62" s="12">
        <v>0</v>
      </c>
      <c r="I62" s="12">
        <v>7800</v>
      </c>
      <c r="J62" s="12">
        <v>0</v>
      </c>
      <c r="K62" s="12">
        <v>0</v>
      </c>
      <c r="L62" s="58">
        <v>0</v>
      </c>
      <c r="M62" s="58">
        <v>0</v>
      </c>
      <c r="N62" s="58">
        <v>0</v>
      </c>
      <c r="O62" s="58">
        <v>0</v>
      </c>
    </row>
    <row r="63" spans="1:15" ht="21.75" thickBot="1" x14ac:dyDescent="0.25">
      <c r="A63" s="108" t="s">
        <v>120</v>
      </c>
      <c r="B63" s="102"/>
      <c r="C63" s="99"/>
      <c r="D63" s="19">
        <f t="shared" si="0"/>
        <v>-0.14019389472053401</v>
      </c>
      <c r="E63" s="19">
        <f t="shared" si="1"/>
        <v>-0.48145061569096947</v>
      </c>
      <c r="F63" s="19">
        <f t="shared" si="2"/>
        <v>1.1341633342229405</v>
      </c>
      <c r="G63" s="19">
        <f t="shared" si="3"/>
        <v>-0.40240901428571407</v>
      </c>
      <c r="H63" s="128">
        <f>SUM(H55:H62)</f>
        <v>547200</v>
      </c>
      <c r="I63" s="128">
        <f t="shared" ref="I63:O63" si="12">SUM(I55:I62)</f>
        <v>87360</v>
      </c>
      <c r="J63" s="128">
        <f t="shared" si="12"/>
        <v>1610000</v>
      </c>
      <c r="K63" s="128">
        <f t="shared" si="12"/>
        <v>1400000</v>
      </c>
      <c r="L63" s="128">
        <f t="shared" si="12"/>
        <v>470485.90080892376</v>
      </c>
      <c r="M63" s="128">
        <f t="shared" si="12"/>
        <v>45300.474213236907</v>
      </c>
      <c r="N63" s="128">
        <f t="shared" si="12"/>
        <v>3436002.9680989343</v>
      </c>
      <c r="O63" s="128">
        <f t="shared" si="12"/>
        <v>836627.38000000024</v>
      </c>
    </row>
    <row r="64" spans="1:15" ht="15.75" x14ac:dyDescent="0.2">
      <c r="A64" s="26" t="s">
        <v>77</v>
      </c>
      <c r="B64" s="26" t="s">
        <v>108</v>
      </c>
      <c r="C64" s="26" t="s">
        <v>102</v>
      </c>
      <c r="D64" s="19">
        <f t="shared" si="0"/>
        <v>-5.166430028912103</v>
      </c>
      <c r="E64" s="19">
        <f t="shared" si="1"/>
        <v>-1.8961625455290632</v>
      </c>
      <c r="F64" s="19">
        <f t="shared" si="2"/>
        <v>2.031788042857142</v>
      </c>
      <c r="G64" s="19">
        <f t="shared" si="3"/>
        <v>1.1104186857142855</v>
      </c>
      <c r="H64" s="12">
        <v>72000</v>
      </c>
      <c r="I64" s="12">
        <v>11700</v>
      </c>
      <c r="J64" s="12">
        <v>700000.00000000012</v>
      </c>
      <c r="K64" s="12">
        <v>350000.00000000006</v>
      </c>
      <c r="L64" s="58">
        <f>VLOOKUP(A64,[1]גיליון1!$A:$N,11,0)</f>
        <v>-299982.9620816714</v>
      </c>
      <c r="M64" s="58">
        <f>VLOOKUP(A64,[1]גיליון1!$A:$N,12,0)</f>
        <v>-10485.101782690039</v>
      </c>
      <c r="N64" s="58">
        <f>VLOOKUP(A64,[1]גיליון1!$A:$N,13,0)</f>
        <v>2122251.63</v>
      </c>
      <c r="O64" s="58">
        <f>VLOOKUP(A64,[1]גיליון1!$A:$N,14,0)</f>
        <v>738646.54</v>
      </c>
    </row>
    <row r="65" spans="1:15" ht="15.75" x14ac:dyDescent="0.2">
      <c r="A65" s="30" t="s">
        <v>40</v>
      </c>
      <c r="B65" s="26" t="s">
        <v>56</v>
      </c>
      <c r="C65" s="26" t="s">
        <v>103</v>
      </c>
      <c r="D65" s="19">
        <f t="shared" si="0"/>
        <v>0.75649761131474902</v>
      </c>
      <c r="E65" s="19">
        <f t="shared" si="1"/>
        <v>1.7943541025641032</v>
      </c>
      <c r="F65" s="19">
        <f t="shared" si="2"/>
        <v>1.0638394857142854</v>
      </c>
      <c r="G65" s="19">
        <f t="shared" si="3"/>
        <v>2.2890085702380958</v>
      </c>
      <c r="H65" s="12">
        <v>215999.99999999997</v>
      </c>
      <c r="I65" s="12">
        <v>46800</v>
      </c>
      <c r="J65" s="12">
        <v>700000.00000000012</v>
      </c>
      <c r="K65" s="12">
        <v>420000.00000000006</v>
      </c>
      <c r="L65" s="58">
        <f>VLOOKUP(A65,[1]גיליון1!$A:$N,11,0)</f>
        <v>379403.48404398572</v>
      </c>
      <c r="M65" s="58">
        <f>VLOOKUP(A65,[1]גיליון1!$A:$N,12,0)</f>
        <v>130775.77200000003</v>
      </c>
      <c r="N65" s="58">
        <f>VLOOKUP(A65,[1]גיליון1!$A:$N,13,0)</f>
        <v>1444687.64</v>
      </c>
      <c r="O65" s="58">
        <f>VLOOKUP(A65,[1]גיליון1!$A:$N,14,0)</f>
        <v>1381383.5995000005</v>
      </c>
    </row>
    <row r="66" spans="1:15" ht="15.75" x14ac:dyDescent="0.2">
      <c r="A66" s="26" t="s">
        <v>90</v>
      </c>
      <c r="B66" s="26" t="s">
        <v>108</v>
      </c>
      <c r="C66" s="26" t="s">
        <v>103</v>
      </c>
      <c r="D66" s="19">
        <f t="shared" si="0"/>
        <v>0</v>
      </c>
      <c r="E66" s="19">
        <f t="shared" si="1"/>
        <v>1</v>
      </c>
      <c r="F66" s="19">
        <f t="shared" si="2"/>
        <v>1</v>
      </c>
      <c r="G66" s="19">
        <f t="shared" si="3"/>
        <v>0</v>
      </c>
      <c r="H66" s="12">
        <v>0</v>
      </c>
      <c r="I66" s="12">
        <v>0</v>
      </c>
      <c r="J66" s="12">
        <v>0</v>
      </c>
      <c r="K66" s="12">
        <v>0</v>
      </c>
      <c r="L66" s="58">
        <f>VLOOKUP(A66,[1]גיליון1!$A:$N,11,0)</f>
        <v>0</v>
      </c>
      <c r="M66" s="58">
        <f>VLOOKUP(A66,[1]גיליון1!$A:$N,12,0)</f>
        <v>-3626.0695168282937</v>
      </c>
      <c r="N66" s="58">
        <f>VLOOKUP(A66,[1]גיליון1!$A:$N,13,0)</f>
        <v>2000</v>
      </c>
      <c r="O66" s="58">
        <f>VLOOKUP(A66,[1]גיליון1!$A:$N,14,0)</f>
        <v>0</v>
      </c>
    </row>
    <row r="67" spans="1:15" ht="15.75" x14ac:dyDescent="0.2">
      <c r="A67" s="26" t="s">
        <v>92</v>
      </c>
      <c r="B67" s="26" t="s">
        <v>56</v>
      </c>
      <c r="C67" s="26" t="s">
        <v>103</v>
      </c>
      <c r="D67" s="19">
        <f t="shared" ref="D67:D73" si="13">IF(L67=0,0%,IF(H67=0,100%,L67/H67-1))</f>
        <v>1</v>
      </c>
      <c r="E67" s="19">
        <f t="shared" ref="E67:E73" si="14">IF(M67=0,0%,IF(I67=0,100%,M67/I67-1))</f>
        <v>1</v>
      </c>
      <c r="F67" s="19">
        <f t="shared" ref="F67:F73" si="15">IF(N67=0,0%,IF(J67=0,100%,N67/J67-1))</f>
        <v>1</v>
      </c>
      <c r="G67" s="19">
        <f t="shared" ref="G67:G73" si="16">IF(O67=0,0%,IF(K67=0,100%,O67/K67-1))</f>
        <v>1</v>
      </c>
      <c r="H67" s="12">
        <v>0</v>
      </c>
      <c r="I67" s="12">
        <v>0</v>
      </c>
      <c r="J67" s="12">
        <v>0</v>
      </c>
      <c r="K67" s="12">
        <v>0</v>
      </c>
      <c r="L67" s="58">
        <f>VLOOKUP(A67,[1]גיליון1!$A:$N,11,0)</f>
        <v>-10847.850000000006</v>
      </c>
      <c r="M67" s="58">
        <f>VLOOKUP(A67,[1]גיליון1!$A:$N,12,0)</f>
        <v>-478.12349989090097</v>
      </c>
      <c r="N67" s="58">
        <f>VLOOKUP(A67,[1]גיליון1!$A:$N,13,0)</f>
        <v>27968.63</v>
      </c>
      <c r="O67" s="58">
        <f>VLOOKUP(A67,[1]גיליון1!$A:$N,14,0)</f>
        <v>6902.1599999999162</v>
      </c>
    </row>
    <row r="68" spans="1:15" ht="15.75" x14ac:dyDescent="0.2">
      <c r="A68" s="26" t="s">
        <v>93</v>
      </c>
      <c r="B68" s="26" t="s">
        <v>56</v>
      </c>
      <c r="C68" s="26" t="s">
        <v>103</v>
      </c>
      <c r="D68" s="19">
        <f t="shared" si="13"/>
        <v>0</v>
      </c>
      <c r="E68" s="19">
        <f t="shared" si="14"/>
        <v>0.5533039743589736</v>
      </c>
      <c r="F68" s="19">
        <f t="shared" si="15"/>
        <v>0</v>
      </c>
      <c r="G68" s="19">
        <f t="shared" si="16"/>
        <v>0</v>
      </c>
      <c r="H68" s="12">
        <v>14399.999999999998</v>
      </c>
      <c r="I68" s="12">
        <v>7800</v>
      </c>
      <c r="J68" s="12">
        <v>35000</v>
      </c>
      <c r="K68" s="12">
        <v>42000.000000000007</v>
      </c>
      <c r="L68" s="58">
        <f>VLOOKUP(A68,[1]גיליון1!$A:$N,11,0)</f>
        <v>0</v>
      </c>
      <c r="M68" s="58">
        <f>VLOOKUP(A68,[1]גיליון1!$A:$N,12,0)</f>
        <v>12115.770999999993</v>
      </c>
      <c r="N68" s="58">
        <f>VLOOKUP(A68,[1]גיליון1!$A:$N,13,0)</f>
        <v>0</v>
      </c>
      <c r="O68" s="58">
        <f>VLOOKUP(A68,[1]גיליון1!$A:$N,14,0)</f>
        <v>0</v>
      </c>
    </row>
    <row r="69" spans="1:15" ht="15.75" x14ac:dyDescent="0.2">
      <c r="A69" s="26" t="s">
        <v>100</v>
      </c>
      <c r="B69" s="26" t="s">
        <v>56</v>
      </c>
      <c r="C69" s="26" t="s">
        <v>103</v>
      </c>
      <c r="D69" s="19">
        <f t="shared" si="13"/>
        <v>1.0714995691141516</v>
      </c>
      <c r="E69" s="19">
        <f t="shared" si="14"/>
        <v>-3.1786709401709468E-2</v>
      </c>
      <c r="F69" s="19">
        <f t="shared" si="15"/>
        <v>-6.3609589285714918E-2</v>
      </c>
      <c r="G69" s="19">
        <f t="shared" si="16"/>
        <v>0.12791357142857063</v>
      </c>
      <c r="H69" s="12">
        <v>72000</v>
      </c>
      <c r="I69" s="12">
        <v>11700</v>
      </c>
      <c r="J69" s="12">
        <v>560000</v>
      </c>
      <c r="K69" s="12">
        <v>420000.00000000006</v>
      </c>
      <c r="L69" s="58">
        <f>VLOOKUP(A69,[1]גיליון1!$A:$N,11,0)</f>
        <v>149147.96897621892</v>
      </c>
      <c r="M69" s="58">
        <f>VLOOKUP(A69,[1]גיליון1!$A:$N,12,0)</f>
        <v>11328.095499999999</v>
      </c>
      <c r="N69" s="58">
        <f>VLOOKUP(A69,[1]גיליון1!$A:$N,13,0)</f>
        <v>524378.62999999966</v>
      </c>
      <c r="O69" s="58">
        <f>VLOOKUP(A69,[1]גיליון1!$A:$N,14,0)</f>
        <v>473723.69999999972</v>
      </c>
    </row>
    <row r="70" spans="1:15" ht="15.75" x14ac:dyDescent="0.2">
      <c r="A70" s="98" t="s">
        <v>101</v>
      </c>
      <c r="B70" s="26" t="s">
        <v>56</v>
      </c>
      <c r="C70" s="26" t="s">
        <v>103</v>
      </c>
      <c r="D70" s="19">
        <f t="shared" si="13"/>
        <v>-3.9968269230715183</v>
      </c>
      <c r="E70" s="19">
        <f t="shared" si="14"/>
        <v>-1.2345954738118334</v>
      </c>
      <c r="F70" s="19">
        <f t="shared" si="15"/>
        <v>0.70593346551163361</v>
      </c>
      <c r="G70" s="19">
        <f t="shared" si="16"/>
        <v>-8.9205214285713152E-2</v>
      </c>
      <c r="H70" s="12">
        <v>215999.99999999997</v>
      </c>
      <c r="I70" s="12">
        <v>19500</v>
      </c>
      <c r="J70" s="12">
        <v>1400000.0000000002</v>
      </c>
      <c r="K70" s="12">
        <v>420000.00000000006</v>
      </c>
      <c r="L70" s="58">
        <f>VLOOKUP(A70,[1]גיליון1!$A:$N,11,0)</f>
        <v>-647314.61538344785</v>
      </c>
      <c r="M70" s="58">
        <f>VLOOKUP(A70,[1]גיליון1!$A:$N,12,0)</f>
        <v>-4574.6117393307504</v>
      </c>
      <c r="N70" s="58">
        <f>VLOOKUP(A70,[1]גיליון1!$A:$N,13,0)</f>
        <v>2388306.8517162874</v>
      </c>
      <c r="O70" s="58">
        <f>VLOOKUP(A70,[1]גיליון1!$A:$N,14,0)</f>
        <v>382533.81000000052</v>
      </c>
    </row>
    <row r="71" spans="1:15" ht="16.5" thickBot="1" x14ac:dyDescent="0.25">
      <c r="A71" s="26" t="s">
        <v>81</v>
      </c>
      <c r="B71" s="26" t="s">
        <v>56</v>
      </c>
      <c r="C71" s="26" t="s">
        <v>103</v>
      </c>
      <c r="D71" s="19">
        <f t="shared" si="13"/>
        <v>-0.56066555555555575</v>
      </c>
      <c r="E71" s="19">
        <f t="shared" si="14"/>
        <v>0.29663222222222219</v>
      </c>
      <c r="F71" s="19">
        <f t="shared" si="15"/>
        <v>0</v>
      </c>
      <c r="G71" s="19">
        <f t="shared" si="16"/>
        <v>0</v>
      </c>
      <c r="H71" s="12">
        <v>36000</v>
      </c>
      <c r="I71" s="12">
        <v>11700</v>
      </c>
      <c r="J71" s="12">
        <v>70000</v>
      </c>
      <c r="K71" s="12">
        <v>140000</v>
      </c>
      <c r="L71" s="58">
        <f>VLOOKUP(A71,[1]גיליון1!$A:$N,11,0)</f>
        <v>15816.039999999994</v>
      </c>
      <c r="M71" s="58">
        <f>VLOOKUP(A71,[1]גיליון1!$A:$N,12,0)</f>
        <v>15170.597</v>
      </c>
      <c r="N71" s="58">
        <f>VLOOKUP(A71,[1]גיליון1!$A:$N,13,0)</f>
        <v>0</v>
      </c>
      <c r="O71" s="58">
        <f>VLOOKUP(A71,[1]גיליון1!$A:$N,14,0)</f>
        <v>0</v>
      </c>
    </row>
    <row r="72" spans="1:15" ht="21.75" thickBot="1" x14ac:dyDescent="0.25">
      <c r="A72" s="17" t="s">
        <v>44</v>
      </c>
      <c r="B72" s="147"/>
      <c r="C72" s="166"/>
      <c r="D72" s="19">
        <f t="shared" si="13"/>
        <v>-1.6605650294459045</v>
      </c>
      <c r="E72" s="19">
        <f t="shared" si="14"/>
        <v>0.3756989831617219</v>
      </c>
      <c r="F72" s="19">
        <f t="shared" si="15"/>
        <v>0.87867052863384876</v>
      </c>
      <c r="G72" s="19">
        <f t="shared" si="16"/>
        <v>0.66472645619419679</v>
      </c>
      <c r="H72" s="88">
        <f>SUM(H64:H71)</f>
        <v>626400</v>
      </c>
      <c r="I72" s="88">
        <f t="shared" ref="I72:O72" si="17">SUM(I64:I71)</f>
        <v>109200</v>
      </c>
      <c r="J72" s="88">
        <f t="shared" si="17"/>
        <v>3465000.0000000005</v>
      </c>
      <c r="K72" s="88">
        <f t="shared" si="17"/>
        <v>1792000.0000000002</v>
      </c>
      <c r="L72" s="88">
        <f t="shared" si="17"/>
        <v>-413777.93444491463</v>
      </c>
      <c r="M72" s="88">
        <f t="shared" si="17"/>
        <v>150226.32896126003</v>
      </c>
      <c r="N72" s="88">
        <f t="shared" si="17"/>
        <v>6509593.3817162868</v>
      </c>
      <c r="O72" s="88">
        <f t="shared" si="17"/>
        <v>2983189.8095000009</v>
      </c>
    </row>
    <row r="73" spans="1:15" ht="21.75" thickBot="1" x14ac:dyDescent="0.25">
      <c r="A73" s="17" t="s">
        <v>45</v>
      </c>
      <c r="B73" s="147"/>
      <c r="C73" s="166"/>
      <c r="D73" s="19">
        <f t="shared" si="13"/>
        <v>-0.44867418569053386</v>
      </c>
      <c r="E73" s="19">
        <f t="shared" si="14"/>
        <v>-0.42577607711656795</v>
      </c>
      <c r="F73" s="19">
        <f t="shared" si="15"/>
        <v>0.7224956853981721</v>
      </c>
      <c r="G73" s="19">
        <f t="shared" si="16"/>
        <v>-0.52945527294186145</v>
      </c>
      <c r="H73" s="88">
        <f>H72+H63+H54+H21+H8</f>
        <v>3963600</v>
      </c>
      <c r="I73" s="88">
        <f t="shared" ref="I73:O73" si="18">I72+I63+I54+I21+I8</f>
        <v>723840</v>
      </c>
      <c r="J73" s="88">
        <f t="shared" si="18"/>
        <v>15890000</v>
      </c>
      <c r="K73" s="88">
        <f t="shared" si="18"/>
        <v>15463000.000000002</v>
      </c>
      <c r="L73" s="88">
        <f t="shared" si="18"/>
        <v>2185234.9975970001</v>
      </c>
      <c r="M73" s="88">
        <f t="shared" si="18"/>
        <v>415646.24433994346</v>
      </c>
      <c r="N73" s="88">
        <f t="shared" si="18"/>
        <v>27370456.440976955</v>
      </c>
      <c r="O73" s="88">
        <f t="shared" si="18"/>
        <v>7276033.1144999973</v>
      </c>
    </row>
    <row r="74" spans="1:15" x14ac:dyDescent="0.2">
      <c r="D74" s="5"/>
      <c r="E74" s="5"/>
      <c r="F74" s="5"/>
      <c r="G74" s="5"/>
      <c r="H74" s="74"/>
      <c r="I74" s="74"/>
      <c r="J74" s="74"/>
      <c r="K74" s="74"/>
      <c r="L74" s="6"/>
      <c r="M74" s="6"/>
      <c r="N74" s="6"/>
      <c r="O74" s="6"/>
    </row>
    <row r="75" spans="1:15" x14ac:dyDescent="0.2">
      <c r="I75" s="10"/>
      <c r="J75" s="10"/>
      <c r="K75" s="9"/>
      <c r="L75"/>
      <c r="M75"/>
      <c r="N75"/>
      <c r="O75"/>
    </row>
    <row r="76" spans="1:15" x14ac:dyDescent="0.2">
      <c r="B76" s="3"/>
      <c r="C76" s="3"/>
      <c r="H76" s="74"/>
      <c r="I76" s="74"/>
      <c r="J76" s="74"/>
      <c r="K76" s="74"/>
      <c r="L76"/>
      <c r="M76"/>
      <c r="N76"/>
      <c r="O76"/>
    </row>
    <row r="77" spans="1:15" x14ac:dyDescent="0.2">
      <c r="B77" s="3"/>
      <c r="C77" s="3"/>
      <c r="H77" s="10"/>
      <c r="K77"/>
      <c r="L77"/>
      <c r="M77"/>
      <c r="N77"/>
      <c r="O77"/>
    </row>
    <row r="78" spans="1:15" x14ac:dyDescent="0.2">
      <c r="H78" s="10"/>
      <c r="I78" s="10"/>
      <c r="J78" s="10"/>
      <c r="K78"/>
      <c r="L78"/>
      <c r="M78"/>
      <c r="N78"/>
      <c r="O78"/>
    </row>
    <row r="79" spans="1:15" x14ac:dyDescent="0.2">
      <c r="K79"/>
      <c r="L79" s="9"/>
      <c r="M79" s="9"/>
      <c r="N79" s="9"/>
      <c r="O79" s="9"/>
    </row>
    <row r="80" spans="1:15" x14ac:dyDescent="0.2">
      <c r="K80"/>
      <c r="L80"/>
      <c r="M80"/>
      <c r="N80"/>
      <c r="O80"/>
    </row>
  </sheetData>
  <autoFilter ref="A2:O73" xr:uid="{20100A0E-83EC-4DBB-BD3E-7E64456E7812}"/>
  <mergeCells count="3">
    <mergeCell ref="L1:O1"/>
    <mergeCell ref="H1:K1"/>
    <mergeCell ref="D1:G1"/>
  </mergeCells>
  <conditionalFormatting sqref="A14">
    <cfRule type="duplicateValues" dxfId="229" priority="3"/>
    <cfRule type="duplicateValues" dxfId="228" priority="4"/>
  </conditionalFormatting>
  <conditionalFormatting sqref="A55">
    <cfRule type="duplicateValues" dxfId="227" priority="7"/>
    <cfRule type="duplicateValues" dxfId="226" priority="8"/>
  </conditionalFormatting>
  <conditionalFormatting sqref="A58">
    <cfRule type="duplicateValues" dxfId="225" priority="1"/>
    <cfRule type="duplicateValues" dxfId="224" priority="2"/>
  </conditionalFormatting>
  <conditionalFormatting sqref="A59 A56:A57 A7 A22:A53 A62">
    <cfRule type="duplicateValues" dxfId="223" priority="250"/>
    <cfRule type="duplicateValues" dxfId="222" priority="251"/>
  </conditionalFormatting>
  <conditionalFormatting sqref="A64:A71">
    <cfRule type="duplicateValues" dxfId="221" priority="11"/>
    <cfRule type="duplicateValues" dxfId="220" priority="12"/>
  </conditionalFormatting>
  <conditionalFormatting sqref="A72:A73 A1:A6 A8:A13 A15:A21 A54 A63">
    <cfRule type="duplicateValues" dxfId="219" priority="9"/>
    <cfRule type="duplicateValues" dxfId="218" priority="10"/>
  </conditionalFormatting>
  <conditionalFormatting sqref="D1 B76:C77 E76:G77 D78:G1048576 D2:G75">
    <cfRule type="cellIs" dxfId="217" priority="35" operator="lessThan">
      <formula>-0.0001</formula>
    </cfRule>
  </conditionalFormatting>
  <conditionalFormatting sqref="B76:C77 E76:G77 D78:G1048576 D3:G75">
    <cfRule type="cellIs" dxfId="216" priority="28" operator="greaterThan">
      <formula>0.1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56E0-BEA5-4A33-8A86-06A0464561C3}">
  <sheetPr>
    <tabColor theme="4" tint="0.39997558519241921"/>
  </sheetPr>
  <dimension ref="A1:F66"/>
  <sheetViews>
    <sheetView rightToLeft="1" topLeftCell="A46" workbookViewId="0">
      <selection activeCell="G53" sqref="G53"/>
    </sheetView>
  </sheetViews>
  <sheetFormatPr defaultColWidth="21.75" defaultRowHeight="15" x14ac:dyDescent="0.2"/>
  <cols>
    <col min="1" max="1" width="30" style="8" bestFit="1" customWidth="1"/>
    <col min="2" max="2" width="11.5" style="7" customWidth="1"/>
    <col min="3" max="3" width="14.625" style="7" bestFit="1" customWidth="1"/>
    <col min="4" max="4" width="26.375" style="7" customWidth="1"/>
    <col min="5" max="5" width="27.5" style="7" customWidth="1"/>
  </cols>
  <sheetData>
    <row r="1" spans="1:6" ht="21" x14ac:dyDescent="0.2">
      <c r="A1" s="11" t="s">
        <v>0</v>
      </c>
      <c r="B1" s="93" t="s">
        <v>74</v>
      </c>
      <c r="C1" s="92" t="s">
        <v>75</v>
      </c>
      <c r="D1" s="91" t="s">
        <v>118</v>
      </c>
      <c r="E1" s="90" t="s">
        <v>119</v>
      </c>
    </row>
    <row r="2" spans="1:6" ht="15.75" x14ac:dyDescent="0.25">
      <c r="A2" s="30" t="s">
        <v>18</v>
      </c>
      <c r="B2" s="19">
        <f t="shared" ref="B2:B33" si="0">IF(D2=0,0%,IF(E2=0,100%,D2/E2-1))</f>
        <v>1.1373230222692525</v>
      </c>
      <c r="C2" s="20">
        <f t="shared" ref="C2:C33" si="1">D2-E2</f>
        <v>78835.466000475804</v>
      </c>
      <c r="D2" s="21">
        <f>IFERROR(VLOOKUP(A2,הכשרה!A:K,5,0)+VLOOKUP('עולים יורדים'!A46,מגדל!A:G,5,0)+VLOOKUP('עולים יורדים'!A46,מנורה!A:G,5,0)+VLOOKUP('עולים יורדים'!A46,איילון!A:G,5,0)+VLOOKUP('עולים יורדים'!A46,הראל!A:G,5,0)+VLOOKUP('עולים יורדים'!A46,הפניקס!A:G,5,0)+VLOOKUP('עולים יורדים'!A46,כלל!A:G,5,0)+VLOOKUP('עולים יורדים'!A46,מור!A:G,5,0)+VLOOKUP('עולים יורדים'!A46,'אלטשולר שחם'!A:G,5,0)+VLOOKUP('עולים יורדים'!A46,'מדיהו '!A:G,5,0)+VLOOKUP('עולים יורדים'!A46,'אנליסט '!A:G,5,0)+VLOOKUP('עולים יורדים'!A46,'מיטב דש'!A:G,5,0)+VLOOKUP('עולים יורדים'!A46,אינפניטי!A:G,5,0),0)</f>
        <v>148152.1548011463</v>
      </c>
      <c r="E2" s="22">
        <f>IFERROR(VLOOKUP(A2,הכשרה!A:K,9,0)+VLOOKUP('עולים יורדים'!A46,מגדל!A:K,9,0)+VLOOKUP('עולים יורדים'!A46,מנורה!A:K,9,0)+VLOOKUP('עולים יורדים'!A46,איילון!A:K,9,0)+VLOOKUP('עולים יורדים'!A46,הראל!A:K,9,0)+VLOOKUP('עולים יורדים'!A46,הפניקס!A:K,9,0)+VLOOKUP('עולים יורדים'!A46,כלל!A:K,9,0)+VLOOKUP('עולים יורדים'!A46,מור!A:K,9,0)+VLOOKUP('עולים יורדים'!A46,'אלטשולר שחם'!A:K,9,0)+VLOOKUP('עולים יורדים'!A46,'מדיהו '!A:K,9,0)+VLOOKUP('עולים יורדים'!A46,'אנליסט '!A:K,9,0)+VLOOKUP('עולים יורדים'!A46,'מיטב דש'!A:K,9,0)+VLOOKUP('עולים יורדים'!A46,אינפניטי!A:K,9,0),0)</f>
        <v>69316.688800670498</v>
      </c>
    </row>
    <row r="3" spans="1:6" ht="15.75" x14ac:dyDescent="0.25">
      <c r="A3" s="26" t="s">
        <v>26</v>
      </c>
      <c r="B3" s="19">
        <f t="shared" si="0"/>
        <v>0</v>
      </c>
      <c r="C3" s="20">
        <f t="shared" si="1"/>
        <v>0</v>
      </c>
      <c r="D3" s="21">
        <f>IFERROR(VLOOKUP(A3,הכשרה!A:K,5,0)+VLOOKUP('עולים יורדים'!A7,מגדל!A:G,5,0)+VLOOKUP('עולים יורדים'!A7,מנורה!A:G,5,0)+VLOOKUP('עולים יורדים'!A7,איילון!A:G,5,0)+VLOOKUP('עולים יורדים'!A7,הראל!A:G,5,0)+VLOOKUP('עולים יורדים'!A7,הפניקס!A:G,5,0)+VLOOKUP('עולים יורדים'!A7,כלל!A:G,5,0)+VLOOKUP('עולים יורדים'!A7,מור!A:G,5,0)+VLOOKUP('עולים יורדים'!A7,'אלטשולר שחם'!A:G,5,0)+VLOOKUP('עולים יורדים'!A7,'מדיהו '!A:G,5,0)+VLOOKUP('עולים יורדים'!A7,'אנליסט '!A:G,5,0)+VLOOKUP('עולים יורדים'!A7,'מיטב דש'!A:G,5,0)+VLOOKUP('עולים יורדים'!A7,אינפניטי!A:G,5,0),0)</f>
        <v>0</v>
      </c>
      <c r="E3" s="22">
        <f>IFERROR(VLOOKUP(A3,הכשרה!A:K,9,0)+VLOOKUP('עולים יורדים'!A7,מגדל!A:K,9,0)+VLOOKUP('עולים יורדים'!A7,מנורה!A:K,9,0)+VLOOKUP('עולים יורדים'!A7,איילון!A:K,9,0)+VLOOKUP('עולים יורדים'!A7,הראל!A:K,9,0)+VLOOKUP('עולים יורדים'!A7,הפניקס!A:K,9,0)+VLOOKUP('עולים יורדים'!A7,כלל!A:K,9,0)+VLOOKUP('עולים יורדים'!A7,מור!A:K,9,0)+VLOOKUP('עולים יורדים'!A7,'אלטשולר שחם'!A:K,9,0)+VLOOKUP('עולים יורדים'!A7,'מדיהו '!A:K,9,0)+VLOOKUP('עולים יורדים'!A7,'אנליסט '!A:K,9,0)+VLOOKUP('עולים יורדים'!A7,'מיטב דש'!A:K,9,0)+VLOOKUP('עולים יורדים'!A7,אינפניטי!A:K,9,0),0)</f>
        <v>0</v>
      </c>
    </row>
    <row r="4" spans="1:6" ht="15.75" x14ac:dyDescent="0.25">
      <c r="A4" s="26" t="s">
        <v>32</v>
      </c>
      <c r="B4" s="19">
        <f t="shared" si="0"/>
        <v>-0.19379359622340864</v>
      </c>
      <c r="C4" s="20">
        <f t="shared" si="1"/>
        <v>-946.13868019785195</v>
      </c>
      <c r="D4" s="21">
        <f>IFERROR(VLOOKUP(A4,הכשרה!A:K,5,0)+VLOOKUP('עולים יורדים'!A61,מגדל!A:G,5,0)+VLOOKUP('עולים יורדים'!A61,מנורה!A:G,5,0)+VLOOKUP('עולים יורדים'!A61,איילון!A:G,5,0)+VLOOKUP('עולים יורדים'!A61,הראל!A:G,5,0)+VLOOKUP('עולים יורדים'!A61,הפניקס!A:G,5,0)+VLOOKUP('עולים יורדים'!A61,כלל!A:G,5,0)+VLOOKUP('עולים יורדים'!A61,מור!A:G,5,0)+VLOOKUP('עולים יורדים'!A61,'אלטשולר שחם'!A:G,5,0)+VLOOKUP('עולים יורדים'!A61,'מדיהו '!A:G,5,0)+VLOOKUP('עולים יורדים'!A61,'אנליסט '!A:G,5,0)+VLOOKUP('עולים יורדים'!A61,'מיטב דש'!A:G,5,0)+VLOOKUP('עולים יורדים'!A61,אינפניטי!A:G,5,0),0)</f>
        <v>3936.059176882663</v>
      </c>
      <c r="E4" s="22">
        <f>IFERROR(VLOOKUP(A4,הכשרה!A:K,9,0)+VLOOKUP('עולים יורדים'!A61,מגדל!A:K,9,0)+VLOOKUP('עולים יורדים'!A61,מנורה!A:K,9,0)+VLOOKUP('עולים יורדים'!A61,איילון!A:K,9,0)+VLOOKUP('עולים יורדים'!A61,הראל!A:K,9,0)+VLOOKUP('עולים יורדים'!A61,הפניקס!A:K,9,0)+VLOOKUP('עולים יורדים'!A61,כלל!A:K,9,0)+VLOOKUP('עולים יורדים'!A61,מור!A:K,9,0)+VLOOKUP('עולים יורדים'!A61,'אלטשולר שחם'!A:K,9,0)+VLOOKUP('עולים יורדים'!A61,'מדיהו '!A:K,9,0)+VLOOKUP('עולים יורדים'!A61,'אנליסט '!A:K,9,0)+VLOOKUP('עולים יורדים'!A61,'מיטב דש'!A:K,9,0)+VLOOKUP('עולים יורדים'!A61,אינפניטי!A:K,9,0),0)</f>
        <v>4882.197857080515</v>
      </c>
    </row>
    <row r="5" spans="1:6" ht="15.75" x14ac:dyDescent="0.25">
      <c r="A5" s="26" t="s">
        <v>19</v>
      </c>
      <c r="B5" s="19">
        <f t="shared" si="0"/>
        <v>2.4472946956146755</v>
      </c>
      <c r="C5" s="20">
        <f t="shared" si="1"/>
        <v>70836.193510385347</v>
      </c>
      <c r="D5" s="21">
        <f>IFERROR(VLOOKUP(A5,הכשרה!A:K,5,0)+VLOOKUP('עולים יורדים'!A23,מגדל!A:G,5,0)+VLOOKUP('עולים יורדים'!A23,מנורה!A:G,5,0)+VLOOKUP('עולים יורדים'!A23,איילון!A:G,5,0)+VLOOKUP('עולים יורדים'!A23,הראל!A:G,5,0)+VLOOKUP('עולים יורדים'!A23,הפניקס!A:G,5,0)+VLOOKUP('עולים יורדים'!A23,כלל!A:G,5,0)+VLOOKUP('עולים יורדים'!A23,מור!A:G,5,0)+VLOOKUP('עולים יורדים'!A23,'אלטשולר שחם'!A:G,5,0)+VLOOKUP('עולים יורדים'!A23,'מדיהו '!A:G,5,0)+VLOOKUP('עולים יורדים'!A23,'אנליסט '!A:G,5,0)+VLOOKUP('עולים יורדים'!A23,'מיטב דש'!A:G,5,0)+VLOOKUP('עולים יורדים'!A23,אינפניטי!A:G,5,0),0)</f>
        <v>99780.886455340951</v>
      </c>
      <c r="E5" s="22">
        <f>IFERROR(VLOOKUP(A5,הכשרה!A:K,9,0)+VLOOKUP('עולים יורדים'!A23,מגדל!A:K,9,0)+VLOOKUP('עולים יורדים'!A23,מנורה!A:K,9,0)+VLOOKUP('עולים יורדים'!A23,איילון!A:K,9,0)+VLOOKUP('עולים יורדים'!A23,הראל!A:K,9,0)+VLOOKUP('עולים יורדים'!A23,הפניקס!A:K,9,0)+VLOOKUP('עולים יורדים'!A23,כלל!A:K,9,0)+VLOOKUP('עולים יורדים'!A23,מור!A:K,9,0)+VLOOKUP('עולים יורדים'!A23,'אלטשולר שחם'!A:K,9,0)+VLOOKUP('עולים יורדים'!A23,'מדיהו '!A:K,9,0)+VLOOKUP('עולים יורדים'!A23,'אנליסט '!A:K,9,0)+VLOOKUP('עולים יורדים'!A23,'מיטב דש'!A:K,9,0)+VLOOKUP('עולים יורדים'!A23,אינפניטי!A:K,9,0),0)</f>
        <v>28944.692944955597</v>
      </c>
    </row>
    <row r="6" spans="1:6" ht="15.75" x14ac:dyDescent="0.25">
      <c r="A6" s="26" t="s">
        <v>87</v>
      </c>
      <c r="B6" s="19">
        <f t="shared" si="0"/>
        <v>-0.71824315643726244</v>
      </c>
      <c r="C6" s="20">
        <f t="shared" si="1"/>
        <v>-22185.600919999997</v>
      </c>
      <c r="D6" s="21">
        <f>IFERROR(VLOOKUP(A6,הכשרה!A:K,5,0)+VLOOKUP('עולים יורדים'!A45,מגדל!A:G,5,0)+VLOOKUP('עולים יורדים'!A45,מנורה!A:G,5,0)+VLOOKUP('עולים יורדים'!A45,איילון!A:G,5,0)+VLOOKUP('עולים יורדים'!A45,הראל!A:G,5,0)+VLOOKUP('עולים יורדים'!A45,הפניקס!A:G,5,0)+VLOOKUP('עולים יורדים'!A45,כלל!A:G,5,0)+VLOOKUP('עולים יורדים'!A45,מור!A:G,5,0)+VLOOKUP('עולים יורדים'!A45,'אלטשולר שחם'!A:G,5,0)+VLOOKUP('עולים יורדים'!A45,'מדיהו '!A:G,5,0)+VLOOKUP('עולים יורדים'!A45,'אנליסט '!A:G,5,0)+VLOOKUP('עולים יורדים'!A45,'מיטב דש'!A:G,5,0)+VLOOKUP('עולים יורדים'!A45,אינפניטי!A:G,5,0),0)</f>
        <v>8703.1039999999994</v>
      </c>
      <c r="E6" s="22">
        <f>IFERROR(VLOOKUP(A6,הכשרה!A:K,9,0)+VLOOKUP('עולים יורדים'!A45,מגדל!A:K,9,0)+VLOOKUP('עולים יורדים'!A45,מנורה!A:K,9,0)+VLOOKUP('עולים יורדים'!A45,איילון!A:K,9,0)+VLOOKUP('עולים יורדים'!A45,הראל!A:K,9,0)+VLOOKUP('עולים יורדים'!A45,הפניקס!A:K,9,0)+VLOOKUP('עולים יורדים'!A45,כלל!A:K,9,0)+VLOOKUP('עולים יורדים'!A45,מור!A:K,9,0)+VLOOKUP('עולים יורדים'!A45,'אלטשולר שחם'!A:K,9,0)+VLOOKUP('עולים יורדים'!A45,'מדיהו '!A:K,9,0)+VLOOKUP('עולים יורדים'!A45,'אנליסט '!A:K,9,0)+VLOOKUP('עולים יורדים'!A45,'מיטב דש'!A:K,9,0)+VLOOKUP('עולים יורדים'!A45,אינפניטי!A:K,9,0),0)</f>
        <v>30888.704919999996</v>
      </c>
      <c r="F6" s="7"/>
    </row>
    <row r="7" spans="1:6" ht="15.75" x14ac:dyDescent="0.25">
      <c r="A7" s="26" t="s">
        <v>14</v>
      </c>
      <c r="B7" s="19">
        <f t="shared" si="0"/>
        <v>-1.1049551076730717</v>
      </c>
      <c r="C7" s="20">
        <f t="shared" si="1"/>
        <v>-5033.6283294435962</v>
      </c>
      <c r="D7" s="21">
        <f>IFERROR(VLOOKUP(A7,הכשרה!A:K,5,0)+VLOOKUP('עולים יורדים'!A37,מגדל!A:G,5,0)+VLOOKUP('עולים יורדים'!A37,מנורה!A:G,5,0)+VLOOKUP('עולים יורדים'!A37,איילון!A:G,5,0)+VLOOKUP('עולים יורדים'!A37,הראל!A:G,5,0)+VLOOKUP('עולים יורדים'!A37,הפניקס!A:G,5,0)+VLOOKUP('עולים יורדים'!A37,כלל!A:G,5,0)+VLOOKUP('עולים יורדים'!A37,מור!A:G,5,0)+VLOOKUP('עולים יורדים'!A37,'אלטשולר שחם'!A:G,5,0)+VLOOKUP('עולים יורדים'!A37,'מדיהו '!A:G,5,0)+VLOOKUP('עולים יורדים'!A37,'אנליסט '!A:G,5,0)+VLOOKUP('עולים יורדים'!A37,'מיטב דש'!A:G,5,0)+VLOOKUP('עולים יורדים'!A37,אינפניטי!A:G,5,0),0)</f>
        <v>-478.12349989090097</v>
      </c>
      <c r="E7" s="22">
        <f>IFERROR(VLOOKUP(A7,הכשרה!A:K,9,0)+VLOOKUP('עולים יורדים'!A37,מגדל!A:K,9,0)+VLOOKUP('עולים יורדים'!A37,מנורה!A:K,9,0)+VLOOKUP('עולים יורדים'!A37,איילון!A:K,9,0)+VLOOKUP('עולים יורדים'!A37,הראל!A:K,9,0)+VLOOKUP('עולים יורדים'!A37,הפניקס!A:K,9,0)+VLOOKUP('עולים יורדים'!A37,כלל!A:K,9,0)+VLOOKUP('עולים יורדים'!A37,מור!A:K,9,0)+VLOOKUP('עולים יורדים'!A37,'אלטשולר שחם'!A:K,9,0)+VLOOKUP('עולים יורדים'!A37,'מדיהו '!A:K,9,0)+VLOOKUP('עולים יורדים'!A37,'אנליסט '!A:K,9,0)+VLOOKUP('עולים יורדים'!A37,'מיטב דש'!A:K,9,0)+VLOOKUP('עולים יורדים'!A37,אינפניטי!A:K,9,0),0)</f>
        <v>4555.5048295526949</v>
      </c>
    </row>
    <row r="8" spans="1:6" ht="15.75" x14ac:dyDescent="0.25">
      <c r="A8" s="26" t="s">
        <v>105</v>
      </c>
      <c r="B8" s="19">
        <f t="shared" si="0"/>
        <v>-14.297011495170912</v>
      </c>
      <c r="C8" s="20">
        <f t="shared" si="1"/>
        <v>7160.2150000000011</v>
      </c>
      <c r="D8" s="21">
        <f>IFERROR(VLOOKUP(A8,הכשרה!A:K,5,0)+VLOOKUP('עולים יורדים'!A48,מגדל!A:G,5,0)+VLOOKUP('עולים יורדים'!A48,מנורה!A:G,5,0)+VLOOKUP('עולים יורדים'!A48,איילון!A:G,5,0)+VLOOKUP('עולים יורדים'!A48,הראל!A:G,5,0)+VLOOKUP('עולים יורדים'!A48,הפניקס!A:G,5,0)+VLOOKUP('עולים יורדים'!A48,כלל!A:G,5,0)+VLOOKUP('עולים יורדים'!A48,מור!A:G,5,0)+VLOOKUP('עולים יורדים'!A48,'אלטשולר שחם'!A:G,5,0)+VLOOKUP('עולים יורדים'!A48,'מדיהו '!A:G,5,0)+VLOOKUP('עולים יורדים'!A48,'אנליסט '!A:G,5,0)+VLOOKUP('עולים יורדים'!A48,'מיטב דש'!A:G,5,0)+VLOOKUP('עולים יורדים'!A48,אינפניטי!A:G,5,0),0)</f>
        <v>6659.3960000000006</v>
      </c>
      <c r="E8" s="22">
        <f>IFERROR(VLOOKUP(A8,הכשרה!A:K,9,0)+VLOOKUP('עולים יורדים'!A48,מגדל!A:K,9,0)+VLOOKUP('עולים יורדים'!A48,מנורה!A:K,9,0)+VLOOKUP('עולים יורדים'!A48,איילון!A:K,9,0)+VLOOKUP('עולים יורדים'!A48,הראל!A:K,9,0)+VLOOKUP('עולים יורדים'!A48,הפניקס!A:K,9,0)+VLOOKUP('עולים יורדים'!A48,כלל!A:K,9,0)+VLOOKUP('עולים יורדים'!A48,מור!A:K,9,0)+VLOOKUP('עולים יורדים'!A48,'אלטשולר שחם'!A:K,9,0)+VLOOKUP('עולים יורדים'!A48,'מדיהו '!A:K,9,0)+VLOOKUP('עולים יורדים'!A48,'אנליסט '!A:K,9,0)+VLOOKUP('עולים יורדים'!A48,'מיטב דש'!A:K,9,0)+VLOOKUP('עולים יורדים'!A48,אינפניטי!A:K,9,0),0)</f>
        <v>-500.81900000000002</v>
      </c>
    </row>
    <row r="9" spans="1:6" ht="15.75" x14ac:dyDescent="0.25">
      <c r="A9" s="30" t="s">
        <v>25</v>
      </c>
      <c r="B9" s="19">
        <f t="shared" si="0"/>
        <v>46.181123296776342</v>
      </c>
      <c r="C9" s="20">
        <f t="shared" si="1"/>
        <v>5558.3600000000006</v>
      </c>
      <c r="D9" s="21">
        <f>IFERROR(VLOOKUP(A9,הכשרה!A:K,5,0)+VLOOKUP('עולים יורדים'!A65,מגדל!A:G,5,0)+VLOOKUP('עולים יורדים'!A65,מנורה!A:G,5,0)+VLOOKUP('עולים יורדים'!A65,איילון!A:G,5,0)+VLOOKUP('עולים יורדים'!A65,הראל!A:G,5,0)+VLOOKUP('עולים יורדים'!A65,הפניקס!A:G,5,0)+VLOOKUP('עולים יורדים'!A65,כלל!A:G,5,0)+VLOOKUP('עולים יורדים'!A65,מור!A:G,5,0)+VLOOKUP('עולים יורדים'!A65,'אלטשולר שחם'!A:G,5,0)+VLOOKUP('עולים יורדים'!A65,'מדיהו '!A:G,5,0)+VLOOKUP('עולים יורדים'!A65,'אנליסט '!A:G,5,0)+VLOOKUP('עולים יורדים'!A65,'מיטב דש'!A:G,5,0)+VLOOKUP('עולים יורדים'!A65,אינפניטי!A:G,5,0),0)</f>
        <v>5678.72</v>
      </c>
      <c r="E9" s="22">
        <f>IFERROR(VLOOKUP(A9,הכשרה!A:K,9,0)+VLOOKUP('עולים יורדים'!A65,מגדל!A:K,9,0)+VLOOKUP('עולים יורדים'!A65,מנורה!A:K,9,0)+VLOOKUP('עולים יורדים'!A65,איילון!A:K,9,0)+VLOOKUP('עולים יורדים'!A65,הראל!A:K,9,0)+VLOOKUP('עולים יורדים'!A65,הפניקס!A:K,9,0)+VLOOKUP('עולים יורדים'!A65,כלל!A:K,9,0)+VLOOKUP('עולים יורדים'!A65,מור!A:K,9,0)+VLOOKUP('עולים יורדים'!A65,'אלטשולר שחם'!A:K,9,0)+VLOOKUP('עולים יורדים'!A65,'מדיהו '!A:K,9,0)+VLOOKUP('עולים יורדים'!A65,'אנליסט '!A:K,9,0)+VLOOKUP('עולים יורדים'!A65,'מיטב דש'!A:K,9,0)+VLOOKUP('עולים יורדים'!A65,אינפניטי!A:K,9,0),0)</f>
        <v>120.36</v>
      </c>
    </row>
    <row r="10" spans="1:6" ht="15.75" x14ac:dyDescent="0.25">
      <c r="A10" s="26" t="s">
        <v>42</v>
      </c>
      <c r="B10" s="19">
        <f t="shared" si="0"/>
        <v>0</v>
      </c>
      <c r="C10" s="20">
        <f t="shared" si="1"/>
        <v>-2442.63</v>
      </c>
      <c r="D10" s="21">
        <f>IFERROR(VLOOKUP(A10,הכשרה!A:K,5,0)+VLOOKUP('עולים יורדים'!A16,מגדל!A:G,5,0)+VLOOKUP('עולים יורדים'!A16,מנורה!A:G,5,0)+VLOOKUP('עולים יורדים'!A16,איילון!A:G,5,0)+VLOOKUP('עולים יורדים'!A16,הראל!A:G,5,0)+VLOOKUP('עולים יורדים'!A16,הפניקס!A:G,5,0)+VLOOKUP('עולים יורדים'!A16,כלל!A:G,5,0)+VLOOKUP('עולים יורדים'!A16,מור!A:G,5,0)+VLOOKUP('עולים יורדים'!A16,'אלטשולר שחם'!A:G,5,0)+VLOOKUP('עולים יורדים'!A16,'מדיהו '!A:G,5,0)+VLOOKUP('עולים יורדים'!A16,'אנליסט '!A:G,5,0)+VLOOKUP('עולים יורדים'!A16,'מיטב דש'!A:G,5,0)+VLOOKUP('עולים יורדים'!A16,אינפניטי!A:G,5,0),0)</f>
        <v>0</v>
      </c>
      <c r="E10" s="22">
        <f>IFERROR(VLOOKUP(A10,הכשרה!A:K,9,0)+VLOOKUP('עולים יורדים'!A16,מגדל!A:K,9,0)+VLOOKUP('עולים יורדים'!A16,מנורה!A:K,9,0)+VLOOKUP('עולים יורדים'!A16,איילון!A:K,9,0)+VLOOKUP('עולים יורדים'!A16,הראל!A:K,9,0)+VLOOKUP('עולים יורדים'!A16,הפניקס!A:K,9,0)+VLOOKUP('עולים יורדים'!A16,כלל!A:K,9,0)+VLOOKUP('עולים יורדים'!A16,מור!A:K,9,0)+VLOOKUP('עולים יורדים'!A16,'אלטשולר שחם'!A:K,9,0)+VLOOKUP('עולים יורדים'!A16,'מדיהו '!A:K,9,0)+VLOOKUP('עולים יורדים'!A16,'אנליסט '!A:K,9,0)+VLOOKUP('עולים יורדים'!A16,'מיטב דש'!A:K,9,0)+VLOOKUP('עולים יורדים'!A16,אינפניטי!A:K,9,0),0)</f>
        <v>2442.63</v>
      </c>
    </row>
    <row r="11" spans="1:6" ht="15.75" x14ac:dyDescent="0.25">
      <c r="A11" s="26" t="s">
        <v>23</v>
      </c>
      <c r="B11" s="19">
        <f t="shared" si="0"/>
        <v>0</v>
      </c>
      <c r="C11" s="20">
        <f t="shared" si="1"/>
        <v>-7.37</v>
      </c>
      <c r="D11" s="21">
        <f>IFERROR(VLOOKUP(A11,הכשרה!A:K,5,0)+VLOOKUP('עולים יורדים'!A11,מגדל!A:G,5,0)+VLOOKUP('עולים יורדים'!A11,מנורה!A:G,5,0)+VLOOKUP('עולים יורדים'!A11,איילון!A:G,5,0)+VLOOKUP('עולים יורדים'!A11,הראל!A:G,5,0)+VLOOKUP('עולים יורדים'!A11,הפניקס!A:G,5,0)+VLOOKUP('עולים יורדים'!A11,כלל!A:G,5,0)+VLOOKUP('עולים יורדים'!A11,מור!A:G,5,0)+VLOOKUP('עולים יורדים'!A11,'אלטשולר שחם'!A:G,5,0)+VLOOKUP('עולים יורדים'!A11,'מדיהו '!A:G,5,0)+VLOOKUP('עולים יורדים'!A11,'אנליסט '!A:G,5,0)+VLOOKUP('עולים יורדים'!A11,'מיטב דש'!A:G,5,0)+VLOOKUP('עולים יורדים'!A11,אינפניטי!A:G,5,0),0)</f>
        <v>0</v>
      </c>
      <c r="E11" s="22">
        <f>IFERROR(VLOOKUP(A11,הכשרה!A:K,9,0)+VLOOKUP('עולים יורדים'!A11,מגדל!A:K,9,0)+VLOOKUP('עולים יורדים'!A11,מנורה!A:K,9,0)+VLOOKUP('עולים יורדים'!A11,איילון!A:K,9,0)+VLOOKUP('עולים יורדים'!A11,הראל!A:K,9,0)+VLOOKUP('עולים יורדים'!A11,הפניקס!A:K,9,0)+VLOOKUP('עולים יורדים'!A11,כלל!A:K,9,0)+VLOOKUP('עולים יורדים'!A11,מור!A:K,9,0)+VLOOKUP('עולים יורדים'!A11,'אלטשולר שחם'!A:K,9,0)+VLOOKUP('עולים יורדים'!A11,'מדיהו '!A:K,9,0)+VLOOKUP('עולים יורדים'!A11,'אנליסט '!A:K,9,0)+VLOOKUP('עולים יורדים'!A11,'מיטב דש'!A:K,9,0)+VLOOKUP('עולים יורדים'!A11,אינפניטי!A:K,9,0),0)</f>
        <v>7.37</v>
      </c>
    </row>
    <row r="12" spans="1:6" ht="15.75" x14ac:dyDescent="0.25">
      <c r="A12" s="26" t="s">
        <v>85</v>
      </c>
      <c r="B12" s="19">
        <f t="shared" si="0"/>
        <v>1</v>
      </c>
      <c r="C12" s="20">
        <f t="shared" si="1"/>
        <v>5551.4950000000008</v>
      </c>
      <c r="D12" s="21">
        <f>IFERROR(VLOOKUP(A12,הכשרה!A:K,5,0)+VLOOKUP('עולים יורדים'!A12,מגדל!A:G,5,0)+VLOOKUP('עולים יורדים'!A12,מנורה!A:G,5,0)+VLOOKUP('עולים יורדים'!A12,איילון!A:G,5,0)+VLOOKUP('עולים יורדים'!A12,הראל!A:G,5,0)+VLOOKUP('עולים יורדים'!A12,הפניקס!A:G,5,0)+VLOOKUP('עולים יורדים'!A12,כלל!A:G,5,0)+VLOOKUP('עולים יורדים'!A12,מור!A:G,5,0)+VLOOKUP('עולים יורדים'!A12,'אלטשולר שחם'!A:G,5,0)+VLOOKUP('עולים יורדים'!A12,'מדיהו '!A:G,5,0)+VLOOKUP('עולים יורדים'!A12,'אנליסט '!A:G,5,0)+VLOOKUP('עולים יורדים'!A12,'מיטב דש'!A:G,5,0)+VLOOKUP('עולים יורדים'!A12,אינפניטי!A:G,5,0),0)</f>
        <v>5551.4950000000008</v>
      </c>
      <c r="E12" s="22">
        <f>IFERROR(VLOOKUP(A12,הכשרה!A:K,9,0)+VLOOKUP('עולים יורדים'!A12,מגדל!A:K,9,0)+VLOOKUP('עולים יורדים'!A12,מנורה!A:K,9,0)+VLOOKUP('עולים יורדים'!A12,איילון!A:K,9,0)+VLOOKUP('עולים יורדים'!A12,הראל!A:K,9,0)+VLOOKUP('עולים יורדים'!A12,הפניקס!A:K,9,0)+VLOOKUP('עולים יורדים'!A12,כלל!A:K,9,0)+VLOOKUP('עולים יורדים'!A12,מור!A:K,9,0)+VLOOKUP('עולים יורדים'!A12,'אלטשולר שחם'!A:K,9,0)+VLOOKUP('עולים יורדים'!A12,'מדיהו '!A:K,9,0)+VLOOKUP('עולים יורדים'!A12,'אנליסט '!A:K,9,0)+VLOOKUP('עולים יורדים'!A12,'מיטב דש'!A:K,9,0)+VLOOKUP('עולים יורדים'!A12,אינפניטי!A:K,9,0),0)</f>
        <v>0</v>
      </c>
    </row>
    <row r="13" spans="1:6" ht="15.75" x14ac:dyDescent="0.25">
      <c r="A13" s="26" t="s">
        <v>38</v>
      </c>
      <c r="B13" s="19">
        <f t="shared" si="0"/>
        <v>0</v>
      </c>
      <c r="C13" s="20">
        <f t="shared" si="1"/>
        <v>-3052.74</v>
      </c>
      <c r="D13" s="21">
        <f>IFERROR(VLOOKUP(A13,הכשרה!A:K,5,0)+VLOOKUP('עולים יורדים'!A66,מגדל!A:G,5,0)+VLOOKUP('עולים יורדים'!A66,מנורה!A:G,5,0)+VLOOKUP('עולים יורדים'!A66,איילון!A:G,5,0)+VLOOKUP('עולים יורדים'!A66,הראל!A:G,5,0)+VLOOKUP('עולים יורדים'!A66,הפניקס!A:G,5,0)+VLOOKUP('עולים יורדים'!A66,כלל!A:G,5,0)+VLOOKUP('עולים יורדים'!A66,מור!A:G,5,0)+VLOOKUP('עולים יורדים'!A66,'אלטשולר שחם'!A:G,5,0)+VLOOKUP('עולים יורדים'!A66,'מדיהו '!A:G,5,0)+VLOOKUP('עולים יורדים'!A66,'אנליסט '!A:G,5,0)+VLOOKUP('עולים יורדים'!A66,'מיטב דש'!A:G,5,0)+VLOOKUP('עולים יורדים'!A66,אינפניטי!A:G,5,0),0)</f>
        <v>0</v>
      </c>
      <c r="E13" s="22">
        <f>IFERROR(VLOOKUP(A13,הכשרה!A:K,9,0)+VLOOKUP('עולים יורדים'!A66,מגדל!A:K,9,0)+VLOOKUP('עולים יורדים'!A66,מנורה!A:K,9,0)+VLOOKUP('עולים יורדים'!A66,איילון!A:K,9,0)+VLOOKUP('עולים יורדים'!A66,הראל!A:K,9,0)+VLOOKUP('עולים יורדים'!A66,הפניקס!A:K,9,0)+VLOOKUP('עולים יורדים'!A66,כלל!A:K,9,0)+VLOOKUP('עולים יורדים'!A66,מור!A:K,9,0)+VLOOKUP('עולים יורדים'!A66,'אלטשולר שחם'!A:K,9,0)+VLOOKUP('עולים יורדים'!A66,'מדיהו '!A:K,9,0)+VLOOKUP('עולים יורדים'!A66,'אנליסט '!A:K,9,0)+VLOOKUP('עולים יורדים'!A66,'מיטב דש'!A:K,9,0)+VLOOKUP('עולים יורדים'!A66,אינפניטי!A:K,9,0),0)</f>
        <v>3052.74</v>
      </c>
    </row>
    <row r="14" spans="1:6" ht="15.75" x14ac:dyDescent="0.25">
      <c r="A14" s="26" t="s">
        <v>39</v>
      </c>
      <c r="B14" s="19">
        <f t="shared" si="0"/>
        <v>0.65403236592216119</v>
      </c>
      <c r="C14" s="20">
        <f t="shared" si="1"/>
        <v>489.02</v>
      </c>
      <c r="D14" s="21">
        <f>IFERROR(VLOOKUP(A14,הכשרה!A:K,5,0)+VLOOKUP('עולים יורדים'!A31,מגדל!A:G,5,0)+VLOOKUP('עולים יורדים'!A31,מנורה!A:G,5,0)+VLOOKUP('עולים יורדים'!A31,איילון!A:G,5,0)+VLOOKUP('עולים יורדים'!A31,הראל!A:G,5,0)+VLOOKUP('עולים יורדים'!A31,הפניקס!A:G,5,0)+VLOOKUP('עולים יורדים'!A31,כלל!A:G,5,0)+VLOOKUP('עולים יורדים'!A31,מור!A:G,5,0)+VLOOKUP('עולים יורדים'!A31,'אלטשולר שחם'!A:G,5,0)+VLOOKUP('עולים יורדים'!A31,'מדיהו '!A:G,5,0)+VLOOKUP('עולים יורדים'!A31,'אנליסט '!A:G,5,0)+VLOOKUP('עולים יורדים'!A31,'מיטב דש'!A:G,5,0)+VLOOKUP('עולים יורדים'!A31,אינפניטי!A:G,5,0),0)</f>
        <v>1236.72</v>
      </c>
      <c r="E14" s="22">
        <f>IFERROR(VLOOKUP(A14,הכשרה!A:K,9,0)+VLOOKUP('עולים יורדים'!A31,מגדל!A:K,9,0)+VLOOKUP('עולים יורדים'!A31,מנורה!A:K,9,0)+VLOOKUP('עולים יורדים'!A31,איילון!A:K,9,0)+VLOOKUP('עולים יורדים'!A31,הראל!A:K,9,0)+VLOOKUP('עולים יורדים'!A31,הפניקס!A:K,9,0)+VLOOKUP('עולים יורדים'!A31,כלל!A:K,9,0)+VLOOKUP('עולים יורדים'!A31,מור!A:K,9,0)+VLOOKUP('עולים יורדים'!A31,'אלטשולר שחם'!A:K,9,0)+VLOOKUP('עולים יורדים'!A31,'מדיהו '!A:K,9,0)+VLOOKUP('עולים יורדים'!A31,'אנליסט '!A:K,9,0)+VLOOKUP('עולים יורדים'!A31,'מיטב דש'!A:K,9,0)+VLOOKUP('עולים יורדים'!A31,אינפניטי!A:K,9,0),0)</f>
        <v>747.7</v>
      </c>
    </row>
    <row r="15" spans="1:6" ht="15.75" x14ac:dyDescent="0.25">
      <c r="A15" s="26" t="s">
        <v>77</v>
      </c>
      <c r="B15" s="19">
        <f t="shared" si="0"/>
        <v>0.43635826622659768</v>
      </c>
      <c r="C15" s="20">
        <f t="shared" si="1"/>
        <v>6265.1589347948757</v>
      </c>
      <c r="D15" s="21">
        <f>IFERROR(VLOOKUP(A15,הכשרה!A:K,5,0)+VLOOKUP('עולים יורדים'!A22,מגדל!A:G,5,0)+VLOOKUP('עולים יורדים'!A22,מנורה!A:G,5,0)+VLOOKUP('עולים יורדים'!A22,איילון!A:G,5,0)+VLOOKUP('עולים יורדים'!A22,הראל!A:G,5,0)+VLOOKUP('עולים יורדים'!A22,הפניקס!A:G,5,0)+VLOOKUP('עולים יורדים'!A22,כלל!A:G,5,0)+VLOOKUP('עולים יורדים'!A22,מור!A:G,5,0)+VLOOKUP('עולים יורדים'!A22,'אלטשולר שחם'!A:G,5,0)+VLOOKUP('עולים יורדים'!A22,'מדיהו '!A:G,5,0)+VLOOKUP('עולים יורדים'!A22,'אנליסט '!A:G,5,0)+VLOOKUP('עולים יורדים'!A22,'מיטב דש'!A:G,5,0)+VLOOKUP('עולים יורדים'!A22,אינפניטי!A:G,5,0),0)</f>
        <v>20622.99152261945</v>
      </c>
      <c r="E15" s="22">
        <f>IFERROR(VLOOKUP(A15,הכשרה!A:K,9,0)+VLOOKUP('עולים יורדים'!A22,מגדל!A:K,9,0)+VLOOKUP('עולים יורדים'!A22,מנורה!A:K,9,0)+VLOOKUP('עולים יורדים'!A22,איילון!A:K,9,0)+VLOOKUP('עולים יורדים'!A22,הראל!A:K,9,0)+VLOOKUP('עולים יורדים'!A22,הפניקס!A:K,9,0)+VLOOKUP('עולים יורדים'!A22,כלל!A:K,9,0)+VLOOKUP('עולים יורדים'!A22,מור!A:K,9,0)+VLOOKUP('עולים יורדים'!A22,'אלטשולר שחם'!A:K,9,0)+VLOOKUP('עולים יורדים'!A22,'מדיהו '!A:K,9,0)+VLOOKUP('עולים יורדים'!A22,'אנליסט '!A:K,9,0)+VLOOKUP('עולים יורדים'!A22,'מיטב דש'!A:K,9,0)+VLOOKUP('עולים יורדים'!A22,אינפניטי!A:K,9,0),0)</f>
        <v>14357.832587824574</v>
      </c>
    </row>
    <row r="16" spans="1:6" ht="15.75" x14ac:dyDescent="0.25">
      <c r="A16" s="26" t="s">
        <v>35</v>
      </c>
      <c r="B16" s="19">
        <f t="shared" si="0"/>
        <v>1.4313468170478707</v>
      </c>
      <c r="C16" s="20">
        <f t="shared" si="1"/>
        <v>98727.871687605686</v>
      </c>
      <c r="D16" s="21">
        <f>IFERROR(VLOOKUP(A16,הכשרה!A:K,5,0)+VLOOKUP('עולים יורדים'!A10,מגדל!A:G,5,0)+VLOOKUP('עולים יורדים'!A10,מנורה!A:G,5,0)+VLOOKUP('עולים יורדים'!A10,איילון!A:G,5,0)+VLOOKUP('עולים יורדים'!A10,הראל!A:G,5,0)+VLOOKUP('עולים יורדים'!A10,הפניקס!A:G,5,0)+VLOOKUP('עולים יורדים'!A10,כלל!A:G,5,0)+VLOOKUP('עולים יורדים'!A10,מור!A:G,5,0)+VLOOKUP('עולים יורדים'!A10,'אלטשולר שחם'!A:G,5,0)+VLOOKUP('עולים יורדים'!A10,'מדיהו '!A:G,5,0)+VLOOKUP('עולים יורדים'!A10,'אנליסט '!A:G,5,0)+VLOOKUP('עולים יורדים'!A10,'מיטב דש'!A:G,5,0)+VLOOKUP('עולים יורדים'!A10,אינפניטי!A:G,5,0),0)</f>
        <v>167703.37819079566</v>
      </c>
      <c r="E16" s="22">
        <f>IFERROR(VLOOKUP(A16,הכשרה!A:K,9,0)+VLOOKUP('עולים יורדים'!A10,מגדל!A:K,9,0)+VLOOKUP('עולים יורדים'!A10,מנורה!A:K,9,0)+VLOOKUP('עולים יורדים'!A10,איילון!A:K,9,0)+VLOOKUP('עולים יורדים'!A10,הראל!A:K,9,0)+VLOOKUP('עולים יורדים'!A10,הפניקס!A:K,9,0)+VLOOKUP('עולים יורדים'!A10,כלל!A:K,9,0)+VLOOKUP('עולים יורדים'!A10,מור!A:K,9,0)+VLOOKUP('עולים יורדים'!A10,'אלטשולר שחם'!A:K,9,0)+VLOOKUP('עולים יורדים'!A10,'מדיהו '!A:K,9,0)+VLOOKUP('עולים יורדים'!A10,'אנליסט '!A:K,9,0)+VLOOKUP('עולים יורדים'!A10,'מיטב דש'!A:K,9,0)+VLOOKUP('עולים יורדים'!A10,אינפניטי!A:K,9,0),0)</f>
        <v>68975.506503189972</v>
      </c>
    </row>
    <row r="17" spans="1:5" ht="15.75" x14ac:dyDescent="0.25">
      <c r="A17" s="27" t="s">
        <v>97</v>
      </c>
      <c r="B17" s="19">
        <f t="shared" si="0"/>
        <v>-0.22391317075915163</v>
      </c>
      <c r="C17" s="20">
        <f t="shared" si="1"/>
        <v>-2396.7228927151755</v>
      </c>
      <c r="D17" s="21">
        <f>IFERROR(VLOOKUP(A17,הכשרה!A:K,5,0)+VLOOKUP('עולים יורדים'!A59,מגדל!A:G,5,0)+VLOOKUP('עולים יורדים'!A59,מנורה!A:G,5,0)+VLOOKUP('עולים יורדים'!A59,איילון!A:G,5,0)+VLOOKUP('עולים יורדים'!A59,הראל!A:G,5,0)+VLOOKUP('עולים יורדים'!A59,הפניקס!A:G,5,0)+VLOOKUP('עולים יורדים'!A59,כלל!A:G,5,0)+VLOOKUP('עולים יורדים'!A59,מור!A:G,5,0)+VLOOKUP('עולים יורדים'!A59,'אלטשולר שחם'!A:G,5,0)+VLOOKUP('עולים יורדים'!A59,'מדיהו '!A:G,5,0)+VLOOKUP('עולים יורדים'!A59,'אנליסט '!A:G,5,0)+VLOOKUP('עולים יורדים'!A59,'מיטב דש'!A:G,5,0)+VLOOKUP('עולים יורדים'!A59,אינפניטי!A:G,5,0),0)</f>
        <v>8307.0820000000003</v>
      </c>
      <c r="E17" s="22">
        <f>IFERROR(VLOOKUP(A17,הכשרה!A:K,9,0)+VLOOKUP('עולים יורדים'!A59,מגדל!A:K,9,0)+VLOOKUP('עולים יורדים'!A59,מנורה!A:K,9,0)+VLOOKUP('עולים יורדים'!A59,איילון!A:K,9,0)+VLOOKUP('עולים יורדים'!A59,הראל!A:K,9,0)+VLOOKUP('עולים יורדים'!A59,הפניקס!A:K,9,0)+VLOOKUP('עולים יורדים'!A59,כלל!A:K,9,0)+VLOOKUP('עולים יורדים'!A59,מור!A:K,9,0)+VLOOKUP('עולים יורדים'!A59,'אלטשולר שחם'!A:K,9,0)+VLOOKUP('עולים יורדים'!A59,'מדיהו '!A:K,9,0)+VLOOKUP('עולים יורדים'!A59,'אנליסט '!A:K,9,0)+VLOOKUP('עולים יורדים'!A59,'מיטב דש'!A:K,9,0)+VLOOKUP('עולים יורדים'!A59,אינפניטי!A:K,9,0),0)</f>
        <v>10703.804892715176</v>
      </c>
    </row>
    <row r="18" spans="1:5" ht="15.75" x14ac:dyDescent="0.25">
      <c r="A18" s="26" t="s">
        <v>20</v>
      </c>
      <c r="B18" s="19">
        <f t="shared" si="0"/>
        <v>0</v>
      </c>
      <c r="C18" s="20">
        <f t="shared" si="1"/>
        <v>0</v>
      </c>
      <c r="D18" s="21">
        <f>IFERROR(VLOOKUP(A18,הכשרה!A:K,5,0)+VLOOKUP('עולים יורדים'!A27,מגדל!A:G,5,0)+VLOOKUP('עולים יורדים'!A27,מנורה!A:G,5,0)+VLOOKUP('עולים יורדים'!A27,איילון!A:G,5,0)+VLOOKUP('עולים יורדים'!A27,הראל!A:G,5,0)+VLOOKUP('עולים יורדים'!A27,הפניקס!A:G,5,0)+VLOOKUP('עולים יורדים'!A27,כלל!A:G,5,0)+VLOOKUP('עולים יורדים'!A27,מור!A:G,5,0)+VLOOKUP('עולים יורדים'!A27,'אלטשולר שחם'!A:G,5,0)+VLOOKUP('עולים יורדים'!A27,'מדיהו '!A:G,5,0)+VLOOKUP('עולים יורדים'!A27,'אנליסט '!A:G,5,0)+VLOOKUP('עולים יורדים'!A27,'מיטב דש'!A:G,5,0)+VLOOKUP('עולים יורדים'!A27,אינפניטי!A:G,5,0),0)</f>
        <v>0</v>
      </c>
      <c r="E18" s="22">
        <f>IFERROR(VLOOKUP(A18,הכשרה!A:K,9,0)+VLOOKUP('עולים יורדים'!A27,מגדל!A:K,9,0)+VLOOKUP('עולים יורדים'!A27,מנורה!A:K,9,0)+VLOOKUP('עולים יורדים'!A27,איילון!A:K,9,0)+VLOOKUP('עולים יורדים'!A27,הראל!A:K,9,0)+VLOOKUP('עולים יורדים'!A27,הפניקס!A:K,9,0)+VLOOKUP('עולים יורדים'!A27,כלל!A:K,9,0)+VLOOKUP('עולים יורדים'!A27,מור!A:K,9,0)+VLOOKUP('עולים יורדים'!A27,'אלטשולר שחם'!A:K,9,0)+VLOOKUP('עולים יורדים'!A27,'מדיהו '!A:K,9,0)+VLOOKUP('עולים יורדים'!A27,'אנליסט '!A:K,9,0)+VLOOKUP('עולים יורדים'!A27,'מיטב דש'!A:K,9,0)+VLOOKUP('עולים יורדים'!A27,אינפניטי!A:K,9,0),0)</f>
        <v>0</v>
      </c>
    </row>
    <row r="19" spans="1:5" ht="15.75" x14ac:dyDescent="0.25">
      <c r="A19" s="26" t="s">
        <v>84</v>
      </c>
      <c r="B19" s="19">
        <f t="shared" si="0"/>
        <v>0.8117086511176792</v>
      </c>
      <c r="C19" s="20">
        <f t="shared" si="1"/>
        <v>11986.674748854462</v>
      </c>
      <c r="D19" s="21">
        <f>IFERROR(VLOOKUP(A19,הכשרה!A:K,5,0)+VLOOKUP('עולים יורדים'!A42,מגדל!A:G,5,0)+VLOOKUP('עולים יורדים'!A42,מנורה!A:G,5,0)+VLOOKUP('עולים יורדים'!A42,איילון!A:G,5,0)+VLOOKUP('עולים יורדים'!A42,הראל!A:G,5,0)+VLOOKUP('עולים יורדים'!A42,הפניקס!A:G,5,0)+VLOOKUP('עולים יורדים'!A42,כלל!A:G,5,0)+VLOOKUP('עולים יורדים'!A42,מור!A:G,5,0)+VLOOKUP('עולים יורדים'!A42,'אלטשולר שחם'!A:G,5,0)+VLOOKUP('עולים יורדים'!A42,'מדיהו '!A:G,5,0)+VLOOKUP('עולים יורדים'!A42,'אנליסט '!A:G,5,0)+VLOOKUP('עולים יורדים'!A42,'מיטב דש'!A:G,5,0)+VLOOKUP('עולים יורדים'!A42,אינפניטי!A:G,5,0),0)</f>
        <v>26753.887999999999</v>
      </c>
      <c r="E19" s="22">
        <f>IFERROR(VLOOKUP(A19,הכשרה!A:K,9,0)+VLOOKUP('עולים יורדים'!A42,מגדל!A:K,9,0)+VLOOKUP('עולים יורדים'!A42,מנורה!A:K,9,0)+VLOOKUP('עולים יורדים'!A42,איילון!A:K,9,0)+VLOOKUP('עולים יורדים'!A42,הראל!A:K,9,0)+VLOOKUP('עולים יורדים'!A42,הפניקס!A:K,9,0)+VLOOKUP('עולים יורדים'!A42,כלל!A:K,9,0)+VLOOKUP('עולים יורדים'!A42,מור!A:K,9,0)+VLOOKUP('עולים יורדים'!A42,'אלטשולר שחם'!A:K,9,0)+VLOOKUP('עולים יורדים'!A42,'מדיהו '!A:K,9,0)+VLOOKUP('עולים יורדים'!A42,'אנליסט '!A:K,9,0)+VLOOKUP('עולים יורדים'!A42,'מיטב דש'!A:K,9,0)+VLOOKUP('עולים יורדים'!A42,אינפניטי!A:K,9,0),0)</f>
        <v>14767.213251145537</v>
      </c>
    </row>
    <row r="20" spans="1:5" ht="15.75" x14ac:dyDescent="0.25">
      <c r="A20" s="26" t="s">
        <v>88</v>
      </c>
      <c r="B20" s="19">
        <f t="shared" si="0"/>
        <v>0</v>
      </c>
      <c r="C20" s="20">
        <f t="shared" si="1"/>
        <v>-3462.63</v>
      </c>
      <c r="D20" s="21">
        <f>IFERROR(VLOOKUP(A20,הכשרה!A:K,5,0)+VLOOKUP('עולים יורדים'!A6,מגדל!A:G,5,0)+VLOOKUP('עולים יורדים'!A6,מנורה!A:G,5,0)+VLOOKUP('עולים יורדים'!A6,איילון!A:G,5,0)+VLOOKUP('עולים יורדים'!A6,הראל!A:G,5,0)+VLOOKUP('עולים יורדים'!A6,הפניקס!A:G,5,0)+VLOOKUP('עולים יורדים'!A6,כלל!A:G,5,0)+VLOOKUP('עולים יורדים'!A6,מור!A:G,5,0)+VLOOKUP('עולים יורדים'!A6,'אלטשולר שחם'!A:G,5,0)+VLOOKUP('עולים יורדים'!A6,'מדיהו '!A:G,5,0)+VLOOKUP('עולים יורדים'!A6,'אנליסט '!A:G,5,0)+VLOOKUP('עולים יורדים'!A6,'מיטב דש'!A:G,5,0)+VLOOKUP('עולים יורדים'!A6,אינפניטי!A:G,5,0),0)</f>
        <v>0</v>
      </c>
      <c r="E20" s="22">
        <f>IFERROR(VLOOKUP(A20,הכשרה!A:K,9,0)+VLOOKUP('עולים יורדים'!A6,מגדל!A:K,9,0)+VLOOKUP('עולים יורדים'!A6,מנורה!A:K,9,0)+VLOOKUP('עולים יורדים'!A6,איילון!A:K,9,0)+VLOOKUP('עולים יורדים'!A6,הראל!A:K,9,0)+VLOOKUP('עולים יורדים'!A6,הפניקס!A:K,9,0)+VLOOKUP('עולים יורדים'!A6,כלל!A:K,9,0)+VLOOKUP('עולים יורדים'!A6,מור!A:K,9,0)+VLOOKUP('עולים יורדים'!A6,'אלטשולר שחם'!A:K,9,0)+VLOOKUP('עולים יורדים'!A6,'מדיהו '!A:K,9,0)+VLOOKUP('עולים יורדים'!A6,'אנליסט '!A:K,9,0)+VLOOKUP('עולים יורדים'!A6,'מיטב דש'!A:K,9,0)+VLOOKUP('עולים יורדים'!A6,אינפניטי!A:K,9,0),0)</f>
        <v>3462.63</v>
      </c>
    </row>
    <row r="21" spans="1:5" ht="15.75" x14ac:dyDescent="0.25">
      <c r="A21" s="26" t="s">
        <v>41</v>
      </c>
      <c r="B21" s="19">
        <f t="shared" si="0"/>
        <v>0</v>
      </c>
      <c r="C21" s="20">
        <f t="shared" si="1"/>
        <v>-2858.17</v>
      </c>
      <c r="D21" s="21">
        <f>IFERROR(VLOOKUP(A21,הכשרה!A:K,5,0)+VLOOKUP('עולים יורדים'!A3,מגדל!A:G,5,0)+VLOOKUP('עולים יורדים'!A3,מנורה!A:G,5,0)+VLOOKUP('עולים יורדים'!A3,איילון!A:G,5,0)+VLOOKUP('עולים יורדים'!A3,הראל!A:G,5,0)+VLOOKUP('עולים יורדים'!A3,הפניקס!A:G,5,0)+VLOOKUP('עולים יורדים'!A3,כלל!A:G,5,0)+VLOOKUP('עולים יורדים'!A3,מור!A:G,5,0)+VLOOKUP('עולים יורדים'!A3,'אלטשולר שחם'!A:G,5,0)+VLOOKUP('עולים יורדים'!A3,'מדיהו '!A:G,5,0)+VLOOKUP('עולים יורדים'!A3,'אנליסט '!A:G,5,0)+VLOOKUP('עולים יורדים'!A3,'מיטב דש'!A:G,5,0)+VLOOKUP('עולים יורדים'!A3,אינפניטי!A:G,5,0),0)</f>
        <v>0</v>
      </c>
      <c r="E21" s="22">
        <f>IFERROR(VLOOKUP(A21,הכשרה!A:K,9,0)+VLOOKUP('עולים יורדים'!A3,מגדל!A:K,9,0)+VLOOKUP('עולים יורדים'!A3,מנורה!A:K,9,0)+VLOOKUP('עולים יורדים'!A3,איילון!A:K,9,0)+VLOOKUP('עולים יורדים'!A3,הראל!A:K,9,0)+VLOOKUP('עולים יורדים'!A3,הפניקס!A:K,9,0)+VLOOKUP('עולים יורדים'!A3,כלל!A:K,9,0)+VLOOKUP('עולים יורדים'!A3,מור!A:K,9,0)+VLOOKUP('עולים יורדים'!A3,'אלטשולר שחם'!A:K,9,0)+VLOOKUP('עולים יורדים'!A3,'מדיהו '!A:K,9,0)+VLOOKUP('עולים יורדים'!A3,'אנליסט '!A:K,9,0)+VLOOKUP('עולים יורדים'!A3,'מיטב דש'!A:K,9,0)+VLOOKUP('עולים יורדים'!A3,אינפניטי!A:K,9,0),0)</f>
        <v>2858.17</v>
      </c>
    </row>
    <row r="22" spans="1:5" ht="15.75" x14ac:dyDescent="0.25">
      <c r="A22" s="30" t="s">
        <v>95</v>
      </c>
      <c r="B22" s="19">
        <f t="shared" si="0"/>
        <v>-0.90399964708047587</v>
      </c>
      <c r="C22" s="20">
        <f t="shared" si="1"/>
        <v>-82260.840474419194</v>
      </c>
      <c r="D22" s="21">
        <f>IFERROR(VLOOKUP(A22,הכשרה!A:K,5,0)+VLOOKUP('עולים יורדים'!A49,מגדל!A:G,5,0)+VLOOKUP('עולים יורדים'!A49,מנורה!A:G,5,0)+VLOOKUP('עולים יורדים'!A49,איילון!A:G,5,0)+VLOOKUP('עולים יורדים'!A49,הראל!A:G,5,0)+VLOOKUP('עולים יורדים'!A49,הפניקס!A:G,5,0)+VLOOKUP('עולים יורדים'!A49,כלל!A:G,5,0)+VLOOKUP('עולים יורדים'!A49,מור!A:G,5,0)+VLOOKUP('עולים יורדים'!A49,'אלטשולר שחם'!A:G,5,0)+VLOOKUP('עולים יורדים'!A49,'מדיהו '!A:G,5,0)+VLOOKUP('עולים יורדים'!A49,'אנליסט '!A:G,5,0)+VLOOKUP('עולים יורדים'!A49,'מיטב דש'!A:G,5,0)+VLOOKUP('עולים יורדים'!A49,אינפניטי!A:G,5,0),0)</f>
        <v>8735.7000000000007</v>
      </c>
      <c r="E22" s="22">
        <f>IFERROR(VLOOKUP(A22,הכשרה!A:K,9,0)+VLOOKUP('עולים יורדים'!A49,מגדל!A:K,9,0)+VLOOKUP('עולים יורדים'!A49,מנורה!A:K,9,0)+VLOOKUP('עולים יורדים'!A49,איילון!A:K,9,0)+VLOOKUP('עולים יורדים'!A49,הראל!A:K,9,0)+VLOOKUP('עולים יורדים'!A49,הפניקס!A:K,9,0)+VLOOKUP('עולים יורדים'!A49,כלל!A:K,9,0)+VLOOKUP('עולים יורדים'!A49,מור!A:K,9,0)+VLOOKUP('עולים יורדים'!A49,'אלטשולר שחם'!A:K,9,0)+VLOOKUP('עולים יורדים'!A49,'מדיהו '!A:K,9,0)+VLOOKUP('עולים יורדים'!A49,'אנליסט '!A:K,9,0)+VLOOKUP('עולים יורדים'!A49,'מיטב דש'!A:K,9,0)+VLOOKUP('עולים יורדים'!A49,אינפניטי!A:K,9,0),0)</f>
        <v>90996.540474419191</v>
      </c>
    </row>
    <row r="23" spans="1:5" ht="15.75" x14ac:dyDescent="0.25">
      <c r="A23" s="26" t="s">
        <v>43</v>
      </c>
      <c r="B23" s="19">
        <f t="shared" si="0"/>
        <v>0.79331102327140113</v>
      </c>
      <c r="C23" s="20">
        <f t="shared" si="1"/>
        <v>17899.255600904216</v>
      </c>
      <c r="D23" s="21">
        <f>IFERROR(VLOOKUP(A23,הכשרה!A:K,5,0)+VLOOKUP('עולים יורדים'!A34,מגדל!A:G,5,0)+VLOOKUP('עולים יורדים'!A34,מנורה!A:G,5,0)+VLOOKUP('עולים יורדים'!A34,איילון!A:G,5,0)+VLOOKUP('עולים יורדים'!A34,הראל!A:G,5,0)+VLOOKUP('עולים יורדים'!A34,הפניקס!A:G,5,0)+VLOOKUP('עולים יורדים'!A34,כלל!A:G,5,0)+VLOOKUP('עולים יורדים'!A34,מור!A:G,5,0)+VLOOKUP('עולים יורדים'!A34,'אלטשולר שחם'!A:G,5,0)+VLOOKUP('עולים יורדים'!A34,'מדיהו '!A:G,5,0)+VLOOKUP('עולים יורדים'!A34,'אנליסט '!A:G,5,0)+VLOOKUP('עולים יורדים'!A34,'מיטב דש'!A:G,5,0)+VLOOKUP('עולים יורדים'!A34,אינפניטי!A:G,5,0),0)</f>
        <v>40461.976999999999</v>
      </c>
      <c r="E23" s="22">
        <f>IFERROR(VLOOKUP(A23,הכשרה!A:K,9,0)+VLOOKUP('עולים יורדים'!A34,מגדל!A:K,9,0)+VLOOKUP('עולים יורדים'!A34,מנורה!A:K,9,0)+VLOOKUP('עולים יורדים'!A34,איילון!A:K,9,0)+VLOOKUP('עולים יורדים'!A34,הראל!A:K,9,0)+VLOOKUP('עולים יורדים'!A34,הפניקס!A:K,9,0)+VLOOKUP('עולים יורדים'!A34,כלל!A:K,9,0)+VLOOKUP('עולים יורדים'!A34,מור!A:K,9,0)+VLOOKUP('עולים יורדים'!A34,'אלטשולר שחם'!A:K,9,0)+VLOOKUP('עולים יורדים'!A34,'מדיהו '!A:K,9,0)+VLOOKUP('עולים יורדים'!A34,'אנליסט '!A:K,9,0)+VLOOKUP('עולים יורדים'!A34,'מיטב דש'!A:K,9,0)+VLOOKUP('עולים יורדים'!A34,אינפניטי!A:K,9,0),0)</f>
        <v>22562.721399095783</v>
      </c>
    </row>
    <row r="24" spans="1:5" ht="15.75" x14ac:dyDescent="0.25">
      <c r="A24" s="26" t="s">
        <v>28</v>
      </c>
      <c r="B24" s="19">
        <f t="shared" si="0"/>
        <v>1</v>
      </c>
      <c r="C24" s="20">
        <f t="shared" si="1"/>
        <v>3071.9442883237321</v>
      </c>
      <c r="D24" s="21">
        <f>IFERROR(VLOOKUP(A24,הכשרה!A:K,5,0)+VLOOKUP('עולים יורדים'!A38,מגדל!A:G,5,0)+VLOOKUP('עולים יורדים'!A38,מנורה!A:G,5,0)+VLOOKUP('עולים יורדים'!A38,איילון!A:G,5,0)+VLOOKUP('עולים יורדים'!A38,הראל!A:G,5,0)+VLOOKUP('עולים יורדים'!A38,הפניקס!A:G,5,0)+VLOOKUP('עולים יורדים'!A38,כלל!A:G,5,0)+VLOOKUP('עולים יורדים'!A38,מור!A:G,5,0)+VLOOKUP('עולים יורדים'!A38,'אלטשולר שחם'!A:G,5,0)+VLOOKUP('עולים יורדים'!A38,'מדיהו '!A:G,5,0)+VLOOKUP('עולים יורדים'!A38,'אנליסט '!A:G,5,0)+VLOOKUP('עולים יורדים'!A38,'מיטב דש'!A:G,5,0)+VLOOKUP('עולים יורדים'!A38,אינפניטי!A:G,5,0),0)</f>
        <v>3071.9442883237321</v>
      </c>
      <c r="E24" s="22">
        <f>IFERROR(VLOOKUP(A24,הכשרה!A:K,9,0)+VLOOKUP('עולים יורדים'!A38,מגדל!A:K,9,0)+VLOOKUP('עולים יורדים'!A38,מנורה!A:K,9,0)+VLOOKUP('עולים יורדים'!A38,איילון!A:K,9,0)+VLOOKUP('עולים יורדים'!A38,הראל!A:K,9,0)+VLOOKUP('עולים יורדים'!A38,הפניקס!A:K,9,0)+VLOOKUP('עולים יורדים'!A38,כלל!A:K,9,0)+VLOOKUP('עולים יורדים'!A38,מור!A:K,9,0)+VLOOKUP('עולים יורדים'!A38,'אלטשולר שחם'!A:K,9,0)+VLOOKUP('עולים יורדים'!A38,'מדיהו '!A:K,9,0)+VLOOKUP('עולים יורדים'!A38,'אנליסט '!A:K,9,0)+VLOOKUP('עולים יורדים'!A38,'מיטב דש'!A:K,9,0)+VLOOKUP('עולים יורדים'!A38,אינפניטי!A:K,9,0),0)</f>
        <v>0</v>
      </c>
    </row>
    <row r="25" spans="1:5" ht="15.75" x14ac:dyDescent="0.25">
      <c r="A25" s="30" t="s">
        <v>40</v>
      </c>
      <c r="B25" s="19">
        <f t="shared" si="0"/>
        <v>-0.48621523507709774</v>
      </c>
      <c r="C25" s="20">
        <f t="shared" si="1"/>
        <v>-1644.7300000000002</v>
      </c>
      <c r="D25" s="21">
        <f>IFERROR(VLOOKUP(A25,הכשרה!A:K,5,0)+VLOOKUP('עולים יורדים'!A44,מגדל!A:G,5,0)+VLOOKUP('עולים יורדים'!A44,מנורה!A:G,5,0)+VLOOKUP('עולים יורדים'!A44,איילון!A:G,5,0)+VLOOKUP('עולים יורדים'!A44,הראל!A:G,5,0)+VLOOKUP('עולים יורדים'!A44,הפניקס!A:G,5,0)+VLOOKUP('עולים יורדים'!A44,כלל!A:G,5,0)+VLOOKUP('עולים יורדים'!A44,מור!A:G,5,0)+VLOOKUP('עולים יורדים'!A44,'אלטשולר שחם'!A:G,5,0)+VLOOKUP('עולים יורדים'!A44,'מדיהו '!A:G,5,0)+VLOOKUP('עולים יורדים'!A44,'אנליסט '!A:G,5,0)+VLOOKUP('עולים יורדים'!A44,'מיטב דש'!A:G,5,0)+VLOOKUP('עולים יורדים'!A44,אינפניטי!A:G,5,0),0)</f>
        <v>1737.99</v>
      </c>
      <c r="E25" s="22">
        <f>IFERROR(VLOOKUP(A25,הכשרה!A:K,9,0)+VLOOKUP('עולים יורדים'!A44,מגדל!A:K,9,0)+VLOOKUP('עולים יורדים'!A44,מנורה!A:K,9,0)+VLOOKUP('עולים יורדים'!A44,איילון!A:K,9,0)+VLOOKUP('עולים יורדים'!A44,הראל!A:K,9,0)+VLOOKUP('עולים יורדים'!A44,הפניקס!A:K,9,0)+VLOOKUP('עולים יורדים'!A44,כלל!A:K,9,0)+VLOOKUP('עולים יורדים'!A44,מור!A:K,9,0)+VLOOKUP('עולים יורדים'!A44,'אלטשולר שחם'!A:K,9,0)+VLOOKUP('עולים יורדים'!A44,'מדיהו '!A:K,9,0)+VLOOKUP('עולים יורדים'!A44,'אנליסט '!A:K,9,0)+VLOOKUP('עולים יורדים'!A44,'מיטב דש'!A:K,9,0)+VLOOKUP('עולים יורדים'!A44,אינפניטי!A:K,9,0),0)</f>
        <v>3382.7200000000003</v>
      </c>
    </row>
    <row r="26" spans="1:5" ht="15.75" x14ac:dyDescent="0.25">
      <c r="A26" s="26" t="s">
        <v>93</v>
      </c>
      <c r="B26" s="19">
        <f t="shared" si="0"/>
        <v>2.6067116941614166</v>
      </c>
      <c r="C26" s="20">
        <f t="shared" si="1"/>
        <v>22546.830999999998</v>
      </c>
      <c r="D26" s="21">
        <f>IFERROR(VLOOKUP(A26,הכשרה!A:K,5,0)+VLOOKUP('עולים יורדים'!A50,מגדל!A:G,5,0)+VLOOKUP('עולים יורדים'!A50,מנורה!A:G,5,0)+VLOOKUP('עולים יורדים'!A50,איילון!A:G,5,0)+VLOOKUP('עולים יורדים'!A50,הראל!A:G,5,0)+VLOOKUP('עולים יורדים'!A50,הפניקס!A:G,5,0)+VLOOKUP('עולים יורדים'!A50,כלל!A:G,5,0)+VLOOKUP('עולים יורדים'!A50,מור!A:G,5,0)+VLOOKUP('עולים יורדים'!A50,'אלטשולר שחם'!A:G,5,0)+VLOOKUP('עולים יורדים'!A50,'מדיהו '!A:G,5,0)+VLOOKUP('עולים יורדים'!A50,'אנליסט '!A:G,5,0)+VLOOKUP('עולים יורדים'!A50,'מיטב דש'!A:G,5,0)+VLOOKUP('עולים יורדים'!A50,אינפניטי!A:G,5,0),0)</f>
        <v>31196.361000000001</v>
      </c>
      <c r="E26" s="22">
        <f>IFERROR(VLOOKUP(A26,הכשרה!A:K,9,0)+VLOOKUP('עולים יורדים'!A50,מגדל!A:K,9,0)+VLOOKUP('עולים יורדים'!A50,מנורה!A:K,9,0)+VLOOKUP('עולים יורדים'!A50,איילון!A:K,9,0)+VLOOKUP('עולים יורדים'!A50,הראל!A:K,9,0)+VLOOKUP('עולים יורדים'!A50,הפניקס!A:K,9,0)+VLOOKUP('עולים יורדים'!A50,כלל!A:K,9,0)+VLOOKUP('עולים יורדים'!A50,מור!A:K,9,0)+VLOOKUP('עולים יורדים'!A50,'אלטשולר שחם'!A:K,9,0)+VLOOKUP('עולים יורדים'!A50,'מדיהו '!A:K,9,0)+VLOOKUP('עולים יורדים'!A50,'אנליסט '!A:K,9,0)+VLOOKUP('עולים יורדים'!A50,'מיטב דש'!A:K,9,0)+VLOOKUP('עולים יורדים'!A50,אינפניטי!A:K,9,0),0)</f>
        <v>8649.5300000000007</v>
      </c>
    </row>
    <row r="27" spans="1:5" ht="15.75" x14ac:dyDescent="0.25">
      <c r="A27" s="30" t="s">
        <v>16</v>
      </c>
      <c r="B27" s="19">
        <f t="shared" si="0"/>
        <v>1</v>
      </c>
      <c r="C27" s="20">
        <f t="shared" si="1"/>
        <v>40962.665297640015</v>
      </c>
      <c r="D27" s="21">
        <f>IFERROR(VLOOKUP(A27,הכשרה!A:K,5,0)+VLOOKUP('עולים יורדים'!A36,מגדל!A:G,5,0)+VLOOKUP('עולים יורדים'!A36,מנורה!A:G,5,0)+VLOOKUP('עולים יורדים'!A36,איילון!A:G,5,0)+VLOOKUP('עולים יורדים'!A36,הראל!A:G,5,0)+VLOOKUP('עולים יורדים'!A36,הפניקס!A:G,5,0)+VLOOKUP('עולים יורדים'!A36,כלל!A:G,5,0)+VLOOKUP('עולים יורדים'!A36,מור!A:G,5,0)+VLOOKUP('עולים יורדים'!A36,'אלטשולר שחם'!A:G,5,0)+VLOOKUP('עולים יורדים'!A36,'מדיהו '!A:G,5,0)+VLOOKUP('עולים יורדים'!A36,'אנליסט '!A:G,5,0)+VLOOKUP('עולים יורדים'!A36,'מיטב דש'!A:G,5,0)+VLOOKUP('עולים יורדים'!A36,אינפניטי!A:G,5,0),0)</f>
        <v>40962.665297640015</v>
      </c>
      <c r="E27" s="22">
        <f>IFERROR(VLOOKUP(A27,הכשרה!A:K,9,0)+VLOOKUP('עולים יורדים'!A36,מגדל!A:K,9,0)+VLOOKUP('עולים יורדים'!A36,מנורה!A:K,9,0)+VLOOKUP('עולים יורדים'!A36,איילון!A:K,9,0)+VLOOKUP('עולים יורדים'!A36,הראל!A:K,9,0)+VLOOKUP('עולים יורדים'!A36,הפניקס!A:K,9,0)+VLOOKUP('עולים יורדים'!A36,כלל!A:K,9,0)+VLOOKUP('עולים יורדים'!A36,מור!A:K,9,0)+VLOOKUP('עולים יורדים'!A36,'אלטשולר שחם'!A:K,9,0)+VLOOKUP('עולים יורדים'!A36,'מדיהו '!A:K,9,0)+VLOOKUP('עולים יורדים'!A36,'אנליסט '!A:K,9,0)+VLOOKUP('עולים יורדים'!A36,'מיטב דש'!A:K,9,0)+VLOOKUP('עולים יורדים'!A36,אינפניטי!A:K,9,0),0)</f>
        <v>0</v>
      </c>
    </row>
    <row r="28" spans="1:5" ht="15.75" x14ac:dyDescent="0.25">
      <c r="A28" s="26" t="s">
        <v>1</v>
      </c>
      <c r="B28" s="19">
        <f t="shared" si="0"/>
        <v>1.1974422723580949</v>
      </c>
      <c r="C28" s="20">
        <f t="shared" si="1"/>
        <v>2828.146863490208</v>
      </c>
      <c r="D28" s="21">
        <f>IFERROR(VLOOKUP(A28,הכשרה!A:K,5,0)+VLOOKUP('עולים יורדים'!A20,מגדל!A:G,5,0)+VLOOKUP('עולים יורדים'!A20,מנורה!A:G,5,0)+VLOOKUP('עולים יורדים'!A20,איילון!A:G,5,0)+VLOOKUP('עולים יורדים'!A20,הראל!A:G,5,0)+VLOOKUP('עולים יורדים'!A20,הפניקס!A:G,5,0)+VLOOKUP('עולים יורדים'!A20,כלל!A:G,5,0)+VLOOKUP('עולים יורדים'!A20,מור!A:G,5,0)+VLOOKUP('עולים יורדים'!A20,'אלטשולר שחם'!A:G,5,0)+VLOOKUP('עולים יורדים'!A20,'מדיהו '!A:G,5,0)+VLOOKUP('עולים יורדים'!A20,'אנליסט '!A:G,5,0)+VLOOKUP('עולים יורדים'!A20,'מיטב דש'!A:G,5,0)+VLOOKUP('עולים יורדים'!A20,אינפניטי!A:G,5,0),0)</f>
        <v>5189.97</v>
      </c>
      <c r="E28" s="22">
        <f>IFERROR(VLOOKUP(A28,הכשרה!A:K,9,0)+VLOOKUP('עולים יורדים'!A20,מגדל!A:K,9,0)+VLOOKUP('עולים יורדים'!A20,מנורה!A:K,9,0)+VLOOKUP('עולים יורדים'!A20,איילון!A:K,9,0)+VLOOKUP('עולים יורדים'!A20,הראל!A:K,9,0)+VLOOKUP('עולים יורדים'!A20,הפניקס!A:K,9,0)+VLOOKUP('עולים יורדים'!A20,כלל!A:K,9,0)+VLOOKUP('עולים יורדים'!A20,מור!A:K,9,0)+VLOOKUP('עולים יורדים'!A20,'אלטשולר שחם'!A:K,9,0)+VLOOKUP('עולים יורדים'!A20,'מדיהו '!A:K,9,0)+VLOOKUP('עולים יורדים'!A20,'אנליסט '!A:K,9,0)+VLOOKUP('עולים יורדים'!A20,'מיטב דש'!A:K,9,0)+VLOOKUP('עולים יורדים'!A20,אינפניטי!A:K,9,0),0)</f>
        <v>2361.8231365097922</v>
      </c>
    </row>
    <row r="29" spans="1:5" ht="15.75" x14ac:dyDescent="0.25">
      <c r="A29" s="26" t="s">
        <v>81</v>
      </c>
      <c r="B29" s="19">
        <f t="shared" si="0"/>
        <v>-1.0763732598846583</v>
      </c>
      <c r="C29" s="20">
        <f t="shared" si="1"/>
        <v>12130.35120121705</v>
      </c>
      <c r="D29" s="21">
        <f>IFERROR(VLOOKUP(A29,הכשרה!A:K,5,0)+VLOOKUP('עולים יורדים'!A21,מגדל!A:G,5,0)+VLOOKUP('עולים יורדים'!A21,מנורה!A:G,5,0)+VLOOKUP('עולים יורדים'!A21,איילון!A:G,5,0)+VLOOKUP('עולים יורדים'!A21,הראל!A:G,5,0)+VLOOKUP('עולים יורדים'!A21,הפניקס!A:G,5,0)+VLOOKUP('עולים יורדים'!A21,כלל!A:G,5,0)+VLOOKUP('עולים יורדים'!A21,מור!A:G,5,0)+VLOOKUP('עולים יורדים'!A21,'אלטשולר שחם'!A:G,5,0)+VLOOKUP('עולים יורדים'!A21,'מדיהו '!A:G,5,0)+VLOOKUP('עולים יורדים'!A21,'אנליסט '!A:G,5,0)+VLOOKUP('עולים יורדים'!A21,'מיטב דש'!A:G,5,0)+VLOOKUP('עולים יורדים'!A21,אינפניטי!A:G,5,0),0)</f>
        <v>860.7</v>
      </c>
      <c r="E29" s="22">
        <f>IFERROR(VLOOKUP(A29,הכשרה!A:K,9,0)+VLOOKUP('עולים יורדים'!A21,מגדל!A:K,9,0)+VLOOKUP('עולים יורדים'!A21,מנורה!A:K,9,0)+VLOOKUP('עולים יורדים'!A21,איילון!A:K,9,0)+VLOOKUP('עולים יורדים'!A21,הראל!A:K,9,0)+VLOOKUP('עולים יורדים'!A21,הפניקס!A:K,9,0)+VLOOKUP('עולים יורדים'!A21,כלל!A:K,9,0)+VLOOKUP('עולים יורדים'!A21,מור!A:K,9,0)+VLOOKUP('עולים יורדים'!A21,'אלטשולר שחם'!A:K,9,0)+VLOOKUP('עולים יורדים'!A21,'מדיהו '!A:K,9,0)+VLOOKUP('עולים יורדים'!A21,'אנליסט '!A:K,9,0)+VLOOKUP('עולים יורדים'!A21,'מיטב דש'!A:K,9,0)+VLOOKUP('עולים יורדים'!A21,אינפניטי!A:K,9,0),0)</f>
        <v>-11269.65120121705</v>
      </c>
    </row>
    <row r="30" spans="1:5" x14ac:dyDescent="0.25">
      <c r="A30" s="117" t="s">
        <v>99</v>
      </c>
      <c r="B30" s="19">
        <f t="shared" si="0"/>
        <v>1</v>
      </c>
      <c r="C30" s="20">
        <f t="shared" si="1"/>
        <v>-745.94</v>
      </c>
      <c r="D30" s="21">
        <f>IFERROR(VLOOKUP(A30,הכשרה!A:K,5,0)+VLOOKUP('עולים יורדים'!A55,מגדל!A:G,5,0)+VLOOKUP('עולים יורדים'!A55,מנורה!A:G,5,0)+VLOOKUP('עולים יורדים'!A55,איילון!A:G,5,0)+VLOOKUP('עולים יורדים'!A55,הראל!A:G,5,0)+VLOOKUP('עולים יורדים'!A55,הפניקס!A:G,5,0)+VLOOKUP('עולים יורדים'!A55,כלל!A:G,5,0)+VLOOKUP('עולים יורדים'!A55,מור!A:G,5,0)+VLOOKUP('עולים יורדים'!A55,'אלטשולר שחם'!A:G,5,0)+VLOOKUP('עולים יורדים'!A55,'מדיהו '!A:G,5,0)+VLOOKUP('עולים יורדים'!A55,'אנליסט '!A:G,5,0)+VLOOKUP('עולים יורדים'!A55,'מיטב דש'!A:G,5,0)+VLOOKUP('עולים יורדים'!A55,אינפניטי!A:G,5,0),0)</f>
        <v>-745.94</v>
      </c>
      <c r="E30" s="22">
        <f>IFERROR(VLOOKUP(A30,הכשרה!A:K,9,0)+VLOOKUP('עולים יורדים'!A55,מגדל!A:K,9,0)+VLOOKUP('עולים יורדים'!A55,מנורה!A:K,9,0)+VLOOKUP('עולים יורדים'!A55,איילון!A:K,9,0)+VLOOKUP('עולים יורדים'!A55,הראל!A:K,9,0)+VLOOKUP('עולים יורדים'!A55,הפניקס!A:K,9,0)+VLOOKUP('עולים יורדים'!A55,כלל!A:K,9,0)+VLOOKUP('עולים יורדים'!A55,מור!A:K,9,0)+VLOOKUP('עולים יורדים'!A55,'אלטשולר שחם'!A:K,9,0)+VLOOKUP('עולים יורדים'!A55,'מדיהו '!A:K,9,0)+VLOOKUP('עולים יורדים'!A55,'אנליסט '!A:K,9,0)+VLOOKUP('עולים יורדים'!A55,'מיטב דש'!A:K,9,0)+VLOOKUP('עולים יורדים'!A55,אינפניטי!A:K,9,0),0)</f>
        <v>0</v>
      </c>
    </row>
    <row r="31" spans="1:5" ht="15.75" x14ac:dyDescent="0.25">
      <c r="A31" s="26" t="s">
        <v>34</v>
      </c>
      <c r="B31" s="19">
        <f t="shared" si="0"/>
        <v>0.89695119046418581</v>
      </c>
      <c r="C31" s="20">
        <f t="shared" si="1"/>
        <v>32852.865744252522</v>
      </c>
      <c r="D31" s="21">
        <f>IFERROR(VLOOKUP(A31,הכשרה!A:K,5,0)+VLOOKUP('עולים יורדים'!A18,מגדל!A:G,5,0)+VLOOKUP('עולים יורדים'!A18,מנורה!A:G,5,0)+VLOOKUP('עולים יורדים'!A18,איילון!A:G,5,0)+VLOOKUP('עולים יורדים'!A18,הראל!A:G,5,0)+VLOOKUP('עולים יורדים'!A18,הפניקס!A:G,5,0)+VLOOKUP('עולים יורדים'!A18,כלל!A:G,5,0)+VLOOKUP('עולים יורדים'!A18,מור!A:G,5,0)+VLOOKUP('עולים יורדים'!A18,'אלטשולר שחם'!A:G,5,0)+VLOOKUP('עולים יורדים'!A18,'מדיהו '!A:G,5,0)+VLOOKUP('עולים יורדים'!A18,'אנליסט '!A:G,5,0)+VLOOKUP('עולים יורדים'!A18,'מיטב דש'!A:G,5,0)+VLOOKUP('עולים יורדים'!A18,אינפניטי!A:G,5,0),0)</f>
        <v>69480.127175558126</v>
      </c>
      <c r="E31" s="22">
        <f>IFERROR(VLOOKUP(A31,הכשרה!A:K,9,0)+VLOOKUP('עולים יורדים'!A18,מגדל!A:K,9,0)+VLOOKUP('עולים יורדים'!A18,מנורה!A:K,9,0)+VLOOKUP('עולים יורדים'!A18,איילון!A:K,9,0)+VLOOKUP('עולים יורדים'!A18,הראל!A:K,9,0)+VLOOKUP('עולים יורדים'!A18,הפניקס!A:K,9,0)+VLOOKUP('עולים יורדים'!A18,כלל!A:K,9,0)+VLOOKUP('עולים יורדים'!A18,מור!A:K,9,0)+VLOOKUP('עולים יורדים'!A18,'אלטשולר שחם'!A:K,9,0)+VLOOKUP('עולים יורדים'!A18,'מדיהו '!A:K,9,0)+VLOOKUP('עולים יורדים'!A18,'אנליסט '!A:K,9,0)+VLOOKUP('עולים יורדים'!A18,'מיטב דש'!A:K,9,0)+VLOOKUP('עולים יורדים'!A18,אינפניטי!A:K,9,0),0)</f>
        <v>36627.261431305604</v>
      </c>
    </row>
    <row r="32" spans="1:5" ht="15.75" x14ac:dyDescent="0.25">
      <c r="A32" s="26" t="s">
        <v>90</v>
      </c>
      <c r="B32" s="19">
        <f t="shared" si="0"/>
        <v>23.352838326145235</v>
      </c>
      <c r="C32" s="20">
        <f t="shared" si="1"/>
        <v>4006.88</v>
      </c>
      <c r="D32" s="21">
        <f>IFERROR(VLOOKUP(A32,הכשרה!A:K,5,0)+VLOOKUP('עולים יורדים'!A54,מגדל!A:G,5,0)+VLOOKUP('עולים יורדים'!A54,מנורה!A:G,5,0)+VLOOKUP('עולים יורדים'!A54,איילון!A:G,5,0)+VLOOKUP('עולים יורדים'!A54,הראל!A:G,5,0)+VLOOKUP('עולים יורדים'!A54,הפניקס!A:G,5,0)+VLOOKUP('עולים יורדים'!A54,כלל!A:G,5,0)+VLOOKUP('עולים יורדים'!A54,מור!A:G,5,0)+VLOOKUP('עולים יורדים'!A54,'אלטשולר שחם'!A:G,5,0)+VLOOKUP('עולים יורדים'!A54,'מדיהו '!A:G,5,0)+VLOOKUP('עולים יורדים'!A54,'אנליסט '!A:G,5,0)+VLOOKUP('עולים יורדים'!A54,'מיטב דש'!A:G,5,0)+VLOOKUP('עולים יורדים'!A54,אינפניטי!A:G,5,0),0)</f>
        <v>4178.46</v>
      </c>
      <c r="E32" s="22">
        <f>IFERROR(VLOOKUP(A32,הכשרה!A:K,9,0)+VLOOKUP('עולים יורדים'!A54,מגדל!A:K,9,0)+VLOOKUP('עולים יורדים'!A54,מנורה!A:K,9,0)+VLOOKUP('עולים יורדים'!A54,איילון!A:K,9,0)+VLOOKUP('עולים יורדים'!A54,הראל!A:K,9,0)+VLOOKUP('עולים יורדים'!A54,הפניקס!A:K,9,0)+VLOOKUP('עולים יורדים'!A54,כלל!A:K,9,0)+VLOOKUP('עולים יורדים'!A54,מור!A:K,9,0)+VLOOKUP('עולים יורדים'!A54,'אלטשולר שחם'!A:K,9,0)+VLOOKUP('עולים יורדים'!A54,'מדיהו '!A:K,9,0)+VLOOKUP('עולים יורדים'!A54,'אנליסט '!A:K,9,0)+VLOOKUP('עולים יורדים'!A54,'מיטב דש'!A:K,9,0)+VLOOKUP('עולים יורדים'!A54,אינפניטי!A:K,9,0),0)</f>
        <v>171.58</v>
      </c>
    </row>
    <row r="33" spans="1:5" ht="15.75" x14ac:dyDescent="0.25">
      <c r="A33" s="26" t="s">
        <v>29</v>
      </c>
      <c r="B33" s="19">
        <f t="shared" si="0"/>
        <v>0.43313709034702752</v>
      </c>
      <c r="C33" s="20">
        <f t="shared" si="1"/>
        <v>84927.638182432303</v>
      </c>
      <c r="D33" s="21">
        <f>IFERROR(VLOOKUP(A33,הכשרה!A:K,5,0)+VLOOKUP('עולים יורדים'!A25,מגדל!A:G,5,0)+VLOOKUP('עולים יורדים'!A25,מנורה!A:G,5,0)+VLOOKUP('עולים יורדים'!A25,איילון!A:G,5,0)+VLOOKUP('עולים יורדים'!A25,הראל!A:G,5,0)+VLOOKUP('עולים יורדים'!A25,הפניקס!A:G,5,0)+VLOOKUP('עולים יורדים'!A25,כלל!A:G,5,0)+VLOOKUP('עולים יורדים'!A25,מור!A:G,5,0)+VLOOKUP('עולים יורדים'!A25,'אלטשולר שחם'!A:G,5,0)+VLOOKUP('עולים יורדים'!A25,'מדיהו '!A:G,5,0)+VLOOKUP('עולים יורדים'!A25,'אנליסט '!A:G,5,0)+VLOOKUP('עולים יורדים'!A25,'מיטב דש'!A:G,5,0)+VLOOKUP('עולים יורדים'!A25,אינפניטי!A:G,5,0),0)</f>
        <v>281003.29200000002</v>
      </c>
      <c r="E33" s="22">
        <f>IFERROR(VLOOKUP(A33,הכשרה!A:K,9,0)+VLOOKUP('עולים יורדים'!A25,מגדל!A:K,9,0)+VLOOKUP('עולים יורדים'!A25,מנורה!A:K,9,0)+VLOOKUP('עולים יורדים'!A25,איילון!A:K,9,0)+VLOOKUP('עולים יורדים'!A25,הראל!A:K,9,0)+VLOOKUP('עולים יורדים'!A25,הפניקס!A:K,9,0)+VLOOKUP('עולים יורדים'!A25,כלל!A:K,9,0)+VLOOKUP('עולים יורדים'!A25,מור!A:K,9,0)+VLOOKUP('עולים יורדים'!A25,'אלטשולר שחם'!A:K,9,0)+VLOOKUP('עולים יורדים'!A25,'מדיהו '!A:K,9,0)+VLOOKUP('עולים יורדים'!A25,'אנליסט '!A:K,9,0)+VLOOKUP('עולים יורדים'!A25,'מיטב דש'!A:K,9,0)+VLOOKUP('עולים יורדים'!A25,אינפניטי!A:K,9,0),0)</f>
        <v>196075.65381756771</v>
      </c>
    </row>
    <row r="34" spans="1:5" ht="15.75" x14ac:dyDescent="0.25">
      <c r="A34" s="26" t="s">
        <v>100</v>
      </c>
      <c r="B34" s="19">
        <f t="shared" ref="B34:B66" si="2">IF(D34=0,0%,IF(E34=0,100%,D34/E34-1))</f>
        <v>-1.1320515990854774</v>
      </c>
      <c r="C34" s="20">
        <f t="shared" ref="C34:C66" si="3">D34-E34</f>
        <v>-13592.337516828293</v>
      </c>
      <c r="D34" s="21">
        <f>IFERROR(VLOOKUP(A34,הכשרה!A:K,5,0)+VLOOKUP('עולים יורדים'!A32,מגדל!A:G,5,0)+VLOOKUP('עולים יורדים'!A32,מנורה!A:G,5,0)+VLOOKUP('עולים יורדים'!A32,איילון!A:G,5,0)+VLOOKUP('עולים יורדים'!A32,הראל!A:G,5,0)+VLOOKUP('עולים יורדים'!A32,הפניקס!A:G,5,0)+VLOOKUP('עולים יורדים'!A32,כלל!A:G,5,0)+VLOOKUP('עולים יורדים'!A32,מור!A:G,5,0)+VLOOKUP('עולים יורדים'!A32,'אלטשולר שחם'!A:G,5,0)+VLOOKUP('עולים יורדים'!A32,'מדיהו '!A:G,5,0)+VLOOKUP('עולים יורדים'!A32,'אנליסט '!A:G,5,0)+VLOOKUP('עולים יורדים'!A32,'מיטב דש'!A:G,5,0)+VLOOKUP('עולים יורדים'!A32,אינפניטי!A:G,5,0),0)</f>
        <v>-1585.5195168282939</v>
      </c>
      <c r="E34" s="22">
        <f>IFERROR(VLOOKUP(A34,הכשרה!A:K,9,0)+VLOOKUP('עולים יורדים'!A32,מגדל!A:K,9,0)+VLOOKUP('עולים יורדים'!A32,מנורה!A:K,9,0)+VLOOKUP('עולים יורדים'!A32,איילון!A:K,9,0)+VLOOKUP('עולים יורדים'!A32,הראל!A:K,9,0)+VLOOKUP('עולים יורדים'!A32,הפניקס!A:K,9,0)+VLOOKUP('עולים יורדים'!A32,כלל!A:K,9,0)+VLOOKUP('עולים יורדים'!A32,מור!A:K,9,0)+VLOOKUP('עולים יורדים'!A32,'אלטשולר שחם'!A:K,9,0)+VLOOKUP('עולים יורדים'!A32,'מדיהו '!A:K,9,0)+VLOOKUP('עולים יורדים'!A32,'אנליסט '!A:K,9,0)+VLOOKUP('עולים יורדים'!A32,'מיטב דש'!A:K,9,0)+VLOOKUP('עולים יורדים'!A32,אינפניטי!A:K,9,0),0)</f>
        <v>12006.817999999999</v>
      </c>
    </row>
    <row r="35" spans="1:5" ht="15.75" x14ac:dyDescent="0.25">
      <c r="A35" s="26" t="s">
        <v>4</v>
      </c>
      <c r="B35" s="19">
        <f t="shared" si="2"/>
        <v>-0.1669177937685985</v>
      </c>
      <c r="C35" s="20">
        <f t="shared" si="3"/>
        <v>-9746.4501908094753</v>
      </c>
      <c r="D35" s="21">
        <f>IFERROR(VLOOKUP(A35,הכשרה!A:K,5,0)+VLOOKUP('עולים יורדים'!A5,מגדל!A:G,5,0)+VLOOKUP('עולים יורדים'!A5,מנורה!A:G,5,0)+VLOOKUP('עולים יורדים'!A5,איילון!A:G,5,0)+VLOOKUP('עולים יורדים'!A5,הראל!A:G,5,0)+VLOOKUP('עולים יורדים'!A5,הפניקס!A:G,5,0)+VLOOKUP('עולים יורדים'!A5,כלל!A:G,5,0)+VLOOKUP('עולים יורדים'!A5,מור!A:G,5,0)+VLOOKUP('עולים יורדים'!A5,'אלטשולר שחם'!A:G,5,0)+VLOOKUP('עולים יורדים'!A5,'מדיהו '!A:G,5,0)+VLOOKUP('עולים יורדים'!A5,'אנליסט '!A:G,5,0)+VLOOKUP('עולים יורדים'!A5,'מיטב דש'!A:G,5,0)+VLOOKUP('עולים יורדים'!A5,אינפניטי!A:G,5,0),0)</f>
        <v>48644.27</v>
      </c>
      <c r="E35" s="22">
        <f>IFERROR(VLOOKUP(A35,הכשרה!A:K,9,0)+VLOOKUP('עולים יורדים'!A5,מגדל!A:K,9,0)+VLOOKUP('עולים יורדים'!A5,מנורה!A:K,9,0)+VLOOKUP('עולים יורדים'!A5,איילון!A:K,9,0)+VLOOKUP('עולים יורדים'!A5,הראל!A:K,9,0)+VLOOKUP('עולים יורדים'!A5,הפניקס!A:K,9,0)+VLOOKUP('עולים יורדים'!A5,כלל!A:K,9,0)+VLOOKUP('עולים יורדים'!A5,מור!A:K,9,0)+VLOOKUP('עולים יורדים'!A5,'אלטשולר שחם'!A:K,9,0)+VLOOKUP('עולים יורדים'!A5,'מדיהו '!A:K,9,0)+VLOOKUP('עולים יורדים'!A5,'אנליסט '!A:K,9,0)+VLOOKUP('עולים יורדים'!A5,'מיטב דש'!A:K,9,0)+VLOOKUP('עולים יורדים'!A5,אינפניטי!A:K,9,0),0)</f>
        <v>58390.720190809472</v>
      </c>
    </row>
    <row r="36" spans="1:5" ht="15.75" x14ac:dyDescent="0.25">
      <c r="A36" s="26" t="s">
        <v>104</v>
      </c>
      <c r="B36" s="19">
        <f t="shared" si="2"/>
        <v>0.29300615592649448</v>
      </c>
      <c r="C36" s="20">
        <f t="shared" si="3"/>
        <v>10327.210000000006</v>
      </c>
      <c r="D36" s="21">
        <f>IFERROR(VLOOKUP(A36,הכשרה!A:K,5,0)+VLOOKUP('עולים יורדים'!A47,מגדל!A:G,5,0)+VLOOKUP('עולים יורדים'!A47,מנורה!A:G,5,0)+VLOOKUP('עולים יורדים'!A47,איילון!A:G,5,0)+VLOOKUP('עולים יורדים'!A47,הראל!A:G,5,0)+VLOOKUP('עולים יורדים'!A47,הפניקס!A:G,5,0)+VLOOKUP('עולים יורדים'!A47,כלל!A:G,5,0)+VLOOKUP('עולים יורדים'!A47,מור!A:G,5,0)+VLOOKUP('עולים יורדים'!A47,'אלטשולר שחם'!A:G,5,0)+VLOOKUP('עולים יורדים'!A47,'מדיהו '!A:G,5,0)+VLOOKUP('עולים יורדים'!A47,'אנליסט '!A:G,5,0)+VLOOKUP('עולים יורדים'!A47,'מיטב דש'!A:G,5,0)+VLOOKUP('עולים יורדים'!A47,אינפניטי!A:G,5,0),0)</f>
        <v>45572.920000000006</v>
      </c>
      <c r="E36" s="22">
        <f>IFERROR(VLOOKUP(A36,הכשרה!A:K,9,0)+VLOOKUP('עולים יורדים'!A47,מגדל!A:K,9,0)+VLOOKUP('עולים יורדים'!A47,מנורה!A:K,9,0)+VLOOKUP('עולים יורדים'!A47,איילון!A:K,9,0)+VLOOKUP('עולים יורדים'!A47,הראל!A:K,9,0)+VLOOKUP('עולים יורדים'!A47,הפניקס!A:K,9,0)+VLOOKUP('עולים יורדים'!A47,כלל!A:K,9,0)+VLOOKUP('עולים יורדים'!A47,מור!A:K,9,0)+VLOOKUP('עולים יורדים'!A47,'אלטשולר שחם'!A:K,9,0)+VLOOKUP('עולים יורדים'!A47,'מדיהו '!A:K,9,0)+VLOOKUP('עולים יורדים'!A47,'אנליסט '!A:K,9,0)+VLOOKUP('עולים יורדים'!A47,'מיטב דש'!A:K,9,0)+VLOOKUP('עולים יורדים'!A47,אינפניטי!A:K,9,0),0)</f>
        <v>35245.71</v>
      </c>
    </row>
    <row r="37" spans="1:5" ht="15.75" x14ac:dyDescent="0.25">
      <c r="A37" s="26" t="s">
        <v>92</v>
      </c>
      <c r="B37" s="19">
        <f t="shared" si="2"/>
        <v>-0.25089514791426037</v>
      </c>
      <c r="C37" s="20">
        <f t="shared" si="3"/>
        <v>-6862.2435814118071</v>
      </c>
      <c r="D37" s="21">
        <f>IFERROR(VLOOKUP(A37,הכשרה!A:K,5,0)+VLOOKUP('עולים יורדים'!A56,מגדל!A:G,5,0)+VLOOKUP('עולים יורדים'!A56,מנורה!A:G,5,0)+VLOOKUP('עולים יורדים'!A56,איילון!A:G,5,0)+VLOOKUP('עולים יורדים'!A56,הראל!A:G,5,0)+VLOOKUP('עולים יורדים'!A56,הפניקס!A:G,5,0)+VLOOKUP('עולים יורדים'!A56,כלל!A:G,5,0)+VLOOKUP('עולים יורדים'!A56,מור!A:G,5,0)+VLOOKUP('עולים יורדים'!A56,'אלטשולר שחם'!A:G,5,0)+VLOOKUP('עולים יורדים'!A56,'מדיהו '!A:G,5,0)+VLOOKUP('עולים יורדים'!A56,'אנליסט '!A:G,5,0)+VLOOKUP('עולים יורדים'!A56,'מיטב דש'!A:G,5,0)+VLOOKUP('עולים יורדים'!A56,אינפניטי!A:G,5,0),0)</f>
        <v>20488.797833533667</v>
      </c>
      <c r="E37" s="22">
        <f>IFERROR(VLOOKUP(A37,הכשרה!A:K,9,0)+VLOOKUP('עולים יורדים'!A56,מגדל!A:K,9,0)+VLOOKUP('עולים יורדים'!A56,מנורה!A:K,9,0)+VLOOKUP('עולים יורדים'!A56,איילון!A:K,9,0)+VLOOKUP('עולים יורדים'!A56,הראל!A:K,9,0)+VLOOKUP('עולים יורדים'!A56,הפניקס!A:K,9,0)+VLOOKUP('עולים יורדים'!A56,כלל!A:K,9,0)+VLOOKUP('עולים יורדים'!A56,מור!A:K,9,0)+VLOOKUP('עולים יורדים'!A56,'אלטשולר שחם'!A:K,9,0)+VLOOKUP('עולים יורדים'!A56,'מדיהו '!A:K,9,0)+VLOOKUP('עולים יורדים'!A56,'אנליסט '!A:K,9,0)+VLOOKUP('עולים יורדים'!A56,'מיטב דש'!A:K,9,0)+VLOOKUP('עולים יורדים'!A56,אינפניטי!A:K,9,0),0)</f>
        <v>27351.041414945474</v>
      </c>
    </row>
    <row r="38" spans="1:5" ht="15.75" x14ac:dyDescent="0.25">
      <c r="A38" s="30" t="s">
        <v>12</v>
      </c>
      <c r="B38" s="19">
        <f t="shared" si="2"/>
        <v>1.8176875422753187</v>
      </c>
      <c r="C38" s="20">
        <f t="shared" si="3"/>
        <v>358872.86338256969</v>
      </c>
      <c r="D38" s="21">
        <f>IFERROR(VLOOKUP(A38,הכשרה!A:K,5,0)+VLOOKUP('עולים יורדים'!A41,מגדל!A:G,5,0)+VLOOKUP('עולים יורדים'!A41,מנורה!A:G,5,0)+VLOOKUP('עולים יורדים'!A41,איילון!A:G,5,0)+VLOOKUP('עולים יורדים'!A41,הראל!A:G,5,0)+VLOOKUP('עולים יורדים'!A41,הפניקס!A:G,5,0)+VLOOKUP('עולים יורדים'!A41,כלל!A:G,5,0)+VLOOKUP('עולים יורדים'!A41,מור!A:G,5,0)+VLOOKUP('עולים יורדים'!A41,'אלטשולר שחם'!A:G,5,0)+VLOOKUP('עולים יורדים'!A41,'מדיהו '!A:G,5,0)+VLOOKUP('עולים יורדים'!A41,'אנליסט '!A:G,5,0)+VLOOKUP('עולים יורדים'!A41,'מיטב דש'!A:G,5,0)+VLOOKUP('עולים יורדים'!A41,אינפניטי!A:G,5,0),0)</f>
        <v>556306.61095248756</v>
      </c>
      <c r="E38" s="22">
        <f>IFERROR(VLOOKUP(A38,הכשרה!A:K,9,0)+VLOOKUP('עולים יורדים'!A41,מגדל!A:K,9,0)+VLOOKUP('עולים יורדים'!A41,מנורה!A:K,9,0)+VLOOKUP('עולים יורדים'!A41,איילון!A:K,9,0)+VLOOKUP('עולים יורדים'!A41,הראל!A:K,9,0)+VLOOKUP('עולים יורדים'!A41,הפניקס!A:K,9,0)+VLOOKUP('עולים יורדים'!A41,כלל!A:K,9,0)+VLOOKUP('עולים יורדים'!A41,מור!A:K,9,0)+VLOOKUP('עולים יורדים'!A41,'אלטשולר שחם'!A:K,9,0)+VLOOKUP('עולים יורדים'!A41,'מדיהו '!A:K,9,0)+VLOOKUP('עולים יורדים'!A41,'אנליסט '!A:K,9,0)+VLOOKUP('עולים יורדים'!A41,'מיטב דש'!A:K,9,0)+VLOOKUP('עולים יורדים'!A41,אינפניטי!A:K,9,0),0)</f>
        <v>197433.74756991788</v>
      </c>
    </row>
    <row r="39" spans="1:5" ht="15.75" x14ac:dyDescent="0.25">
      <c r="A39" s="26" t="s">
        <v>86</v>
      </c>
      <c r="B39" s="19">
        <f t="shared" si="2"/>
        <v>0.1592440086469975</v>
      </c>
      <c r="C39" s="20">
        <f t="shared" si="3"/>
        <v>10462.043989999976</v>
      </c>
      <c r="D39" s="21">
        <f>IFERROR(VLOOKUP(A39,הכשרה!A:K,5,0)+VLOOKUP('עולים יורדים'!A62,מגדל!A:G,5,0)+VLOOKUP('עולים יורדים'!A62,מנורה!A:G,5,0)+VLOOKUP('עולים יורדים'!A62,איילון!A:G,5,0)+VLOOKUP('עולים יורדים'!A62,הראל!A:G,5,0)+VLOOKUP('עולים יורדים'!A62,הפניקס!A:G,5,0)+VLOOKUP('עולים יורדים'!A62,כלל!A:G,5,0)+VLOOKUP('עולים יורדים'!A62,מור!A:G,5,0)+VLOOKUP('עולים יורדים'!A62,'אלטשולר שחם'!A:G,5,0)+VLOOKUP('עולים יורדים'!A62,'מדיהו '!A:G,5,0)+VLOOKUP('עולים יורדים'!A62,'אנליסט '!A:G,5,0)+VLOOKUP('עולים יורדים'!A62,'מיטב דש'!A:G,5,0)+VLOOKUP('עולים יורדים'!A62,אינפניטי!A:G,5,0),0)</f>
        <v>76160.239349999989</v>
      </c>
      <c r="E39" s="22">
        <f>IFERROR(VLOOKUP(A39,הכשרה!A:K,9,0)+VLOOKUP('עולים יורדים'!A62,מגדל!A:K,9,0)+VLOOKUP('עולים יורדים'!A62,מנורה!A:K,9,0)+VLOOKUP('עולים יורדים'!A62,איילון!A:K,9,0)+VLOOKUP('עולים יורדים'!A62,הראל!A:K,9,0)+VLOOKUP('עולים יורדים'!A62,הפניקס!A:K,9,0)+VLOOKUP('עולים יורדים'!A62,כלל!A:K,9,0)+VLOOKUP('עולים יורדים'!A62,מור!A:K,9,0)+VLOOKUP('עולים יורדים'!A62,'אלטשולר שחם'!A:K,9,0)+VLOOKUP('עולים יורדים'!A62,'מדיהו '!A:K,9,0)+VLOOKUP('עולים יורדים'!A62,'אנליסט '!A:K,9,0)+VLOOKUP('עולים יורדים'!A62,'מיטב דש'!A:K,9,0)+VLOOKUP('עולים יורדים'!A62,אינפניטי!A:K,9,0),0)</f>
        <v>65698.195360000012</v>
      </c>
    </row>
    <row r="40" spans="1:5" ht="15.75" x14ac:dyDescent="0.25">
      <c r="A40" s="26" t="s">
        <v>98</v>
      </c>
      <c r="B40" s="19">
        <f t="shared" si="2"/>
        <v>-0.36496988987843548</v>
      </c>
      <c r="C40" s="20">
        <f t="shared" si="3"/>
        <v>-3782.7139999999999</v>
      </c>
      <c r="D40" s="21">
        <f>IFERROR(VLOOKUP(A40,הכשרה!A:K,5,0)+VLOOKUP('עולים יורדים'!A57,מגדל!A:G,5,0)+VLOOKUP('עולים יורדים'!A57,מנורה!A:G,5,0)+VLOOKUP('עולים יורדים'!A57,איילון!A:G,5,0)+VLOOKUP('עולים יורדים'!A57,הראל!A:G,5,0)+VLOOKUP('עולים יורדים'!A57,הפניקס!A:G,5,0)+VLOOKUP('עולים יורדים'!A57,כלל!A:G,5,0)+VLOOKUP('עולים יורדים'!A57,מור!A:G,5,0)+VLOOKUP('עולים יורדים'!A57,'אלטשולר שחם'!A:G,5,0)+VLOOKUP('עולים יורדים'!A57,'מדיהו '!A:G,5,0)+VLOOKUP('עולים יורדים'!A57,'אנליסט '!A:G,5,0)+VLOOKUP('עולים יורדים'!A57,'מיטב דש'!A:G,5,0)+VLOOKUP('עולים יורדים'!A57,אינפניטי!A:G,5,0),0)</f>
        <v>6581.741</v>
      </c>
      <c r="E40" s="22">
        <f>IFERROR(VLOOKUP(A40,הכשרה!A:K,9,0)+VLOOKUP('עולים יורדים'!A57,מגדל!A:K,9,0)+VLOOKUP('עולים יורדים'!A57,מנורה!A:K,9,0)+VLOOKUP('עולים יורדים'!A57,איילון!A:K,9,0)+VLOOKUP('עולים יורדים'!A57,הראל!A:K,9,0)+VLOOKUP('עולים יורדים'!A57,הפניקס!A:K,9,0)+VLOOKUP('עולים יורדים'!A57,כלל!A:K,9,0)+VLOOKUP('עולים יורדים'!A57,מור!A:K,9,0)+VLOOKUP('עולים יורדים'!A57,'אלטשולר שחם'!A:K,9,0)+VLOOKUP('עולים יורדים'!A57,'מדיהו '!A:K,9,0)+VLOOKUP('עולים יורדים'!A57,'אנליסט '!A:K,9,0)+VLOOKUP('עולים יורדים'!A57,'מיטב דש'!A:K,9,0)+VLOOKUP('עולים יורדים'!A57,אינפניטי!A:K,9,0),0)</f>
        <v>10364.455</v>
      </c>
    </row>
    <row r="41" spans="1:5" ht="15.75" x14ac:dyDescent="0.25">
      <c r="A41" s="26" t="s">
        <v>5</v>
      </c>
      <c r="B41" s="19">
        <f t="shared" si="2"/>
        <v>0.18594004419822352</v>
      </c>
      <c r="C41" s="20">
        <f t="shared" si="3"/>
        <v>11846.241380206244</v>
      </c>
      <c r="D41" s="21">
        <f>IFERROR(VLOOKUP(A41,הכשרה!A:K,5,0)+VLOOKUP('עולים יורדים'!A39,מגדל!A:G,5,0)+VLOOKUP('עולים יורדים'!A39,מנורה!A:G,5,0)+VLOOKUP('עולים יורדים'!A39,איילון!A:G,5,0)+VLOOKUP('עולים יורדים'!A39,הראל!A:G,5,0)+VLOOKUP('עולים יורדים'!A39,הפניקס!A:G,5,0)+VLOOKUP('עולים יורדים'!A39,כלל!A:G,5,0)+VLOOKUP('עולים יורדים'!A39,מור!A:G,5,0)+VLOOKUP('עולים יורדים'!A39,'אלטשולר שחם'!A:G,5,0)+VLOOKUP('עולים יורדים'!A39,'מדיהו '!A:G,5,0)+VLOOKUP('עולים יורדים'!A39,'אנליסט '!A:G,5,0)+VLOOKUP('עולים יורדים'!A39,'מיטב דש'!A:G,5,0)+VLOOKUP('עולים יורדים'!A39,אינפניטי!A:G,5,0),0)</f>
        <v>75556.247642103335</v>
      </c>
      <c r="E41" s="22">
        <f>IFERROR(VLOOKUP(A41,הכשרה!A:K,9,0)+VLOOKUP('עולים יורדים'!A39,מגדל!A:K,9,0)+VLOOKUP('עולים יורדים'!A39,מנורה!A:K,9,0)+VLOOKUP('עולים יורדים'!A39,איילון!A:K,9,0)+VLOOKUP('עולים יורדים'!A39,הראל!A:K,9,0)+VLOOKUP('עולים יורדים'!A39,הפניקס!A:K,9,0)+VLOOKUP('עולים יורדים'!A39,כלל!A:K,9,0)+VLOOKUP('עולים יורדים'!A39,מור!A:K,9,0)+VLOOKUP('עולים יורדים'!A39,'אלטשולר שחם'!A:K,9,0)+VLOOKUP('עולים יורדים'!A39,'מדיהו '!A:K,9,0)+VLOOKUP('עולים יורדים'!A39,'אנליסט '!A:K,9,0)+VLOOKUP('עולים יורדים'!A39,'מיטב דש'!A:K,9,0)+VLOOKUP('עולים יורדים'!A39,אינפניטי!A:K,9,0),0)</f>
        <v>63710.006261897091</v>
      </c>
    </row>
    <row r="42" spans="1:5" ht="15.75" x14ac:dyDescent="0.25">
      <c r="A42" s="26" t="s">
        <v>9</v>
      </c>
      <c r="B42" s="19">
        <f t="shared" si="2"/>
        <v>0.54804762443118982</v>
      </c>
      <c r="C42" s="20">
        <f t="shared" si="3"/>
        <v>19911.696279999996</v>
      </c>
      <c r="D42" s="21">
        <f>IFERROR(VLOOKUP(A42,הכשרה!A:K,5,0)+VLOOKUP('עולים יורדים'!A26,מגדל!A:G,5,0)+VLOOKUP('עולים יורדים'!A26,מנורה!A:G,5,0)+VLOOKUP('עולים יורדים'!A26,איילון!A:G,5,0)+VLOOKUP('עולים יורדים'!A26,הראל!A:G,5,0)+VLOOKUP('עולים יורדים'!A26,הפניקס!A:G,5,0)+VLOOKUP('עולים יורדים'!A26,כלל!A:G,5,0)+VLOOKUP('עולים יורדים'!A26,מור!A:G,5,0)+VLOOKUP('עולים יורדים'!A26,'אלטשולר שחם'!A:G,5,0)+VLOOKUP('עולים יורדים'!A26,'מדיהו '!A:G,5,0)+VLOOKUP('עולים יורדים'!A26,'אנליסט '!A:G,5,0)+VLOOKUP('עולים יורדים'!A26,'מיטב דש'!A:G,5,0)+VLOOKUP('עולים יורדים'!A26,אינפניטי!A:G,5,0),0)</f>
        <v>56243.750999999997</v>
      </c>
      <c r="E42" s="22">
        <f>IFERROR(VLOOKUP(A42,הכשרה!A:K,9,0)+VLOOKUP('עולים יורדים'!A26,מגדל!A:K,9,0)+VLOOKUP('עולים יורדים'!A26,מנורה!A:K,9,0)+VLOOKUP('עולים יורדים'!A26,איילון!A:K,9,0)+VLOOKUP('עולים יורדים'!A26,הראל!A:K,9,0)+VLOOKUP('עולים יורדים'!A26,הפניקס!A:K,9,0)+VLOOKUP('עולים יורדים'!A26,כלל!A:K,9,0)+VLOOKUP('עולים יורדים'!A26,מור!A:K,9,0)+VLOOKUP('עולים יורדים'!A26,'אלטשולר שחם'!A:K,9,0)+VLOOKUP('עולים יורדים'!A26,'מדיהו '!A:K,9,0)+VLOOKUP('עולים יורדים'!A26,'אנליסט '!A:K,9,0)+VLOOKUP('עולים יורדים'!A26,'מיטב דש'!A:K,9,0)+VLOOKUP('עולים יורדים'!A26,אינפניטי!A:K,9,0),0)</f>
        <v>36332.05472</v>
      </c>
    </row>
    <row r="43" spans="1:5" ht="15.75" x14ac:dyDescent="0.25">
      <c r="A43" s="27" t="s">
        <v>31</v>
      </c>
      <c r="B43" s="19">
        <f t="shared" si="2"/>
        <v>1</v>
      </c>
      <c r="C43" s="20">
        <f t="shared" si="3"/>
        <v>2586.0700000000002</v>
      </c>
      <c r="D43" s="21">
        <f>IFERROR(VLOOKUP(A43,הכשרה!A:K,5,0)+VLOOKUP('עולים יורדים'!A33,מגדל!A:G,5,0)+VLOOKUP('עולים יורדים'!A33,מנורה!A:G,5,0)+VLOOKUP('עולים יורדים'!A33,איילון!A:G,5,0)+VLOOKUP('עולים יורדים'!A33,הראל!A:G,5,0)+VLOOKUP('עולים יורדים'!A33,הפניקס!A:G,5,0)+VLOOKUP('עולים יורדים'!A33,כלל!A:G,5,0)+VLOOKUP('עולים יורדים'!A33,מור!A:G,5,0)+VLOOKUP('עולים יורדים'!A33,'אלטשולר שחם'!A:G,5,0)+VLOOKUP('עולים יורדים'!A33,'מדיהו '!A:G,5,0)+VLOOKUP('עולים יורדים'!A33,'אנליסט '!A:G,5,0)+VLOOKUP('עולים יורדים'!A33,'מיטב דש'!A:G,5,0)+VLOOKUP('עולים יורדים'!A33,אינפניטי!A:G,5,0),0)</f>
        <v>2586.0700000000002</v>
      </c>
      <c r="E43" s="22">
        <f>IFERROR(VLOOKUP(A43,הכשרה!A:K,9,0)+VLOOKUP('עולים יורדים'!A33,מגדל!A:K,9,0)+VLOOKUP('עולים יורדים'!A33,מנורה!A:K,9,0)+VLOOKUP('עולים יורדים'!A33,איילון!A:K,9,0)+VLOOKUP('עולים יורדים'!A33,הראל!A:K,9,0)+VLOOKUP('עולים יורדים'!A33,הפניקס!A:K,9,0)+VLOOKUP('עולים יורדים'!A33,כלל!A:K,9,0)+VLOOKUP('עולים יורדים'!A33,מור!A:K,9,0)+VLOOKUP('עולים יורדים'!A33,'אלטשולר שחם'!A:K,9,0)+VLOOKUP('עולים יורדים'!A33,'מדיהו '!A:K,9,0)+VLOOKUP('עולים יורדים'!A33,'אנליסט '!A:K,9,0)+VLOOKUP('עולים יורדים'!A33,'מיטב דש'!A:K,9,0)+VLOOKUP('עולים יורדים'!A33,אינפניטי!A:K,9,0),0)</f>
        <v>0</v>
      </c>
    </row>
    <row r="44" spans="1:5" ht="15.75" x14ac:dyDescent="0.25">
      <c r="A44" s="30" t="s">
        <v>33</v>
      </c>
      <c r="B44" s="19">
        <f t="shared" si="2"/>
        <v>0</v>
      </c>
      <c r="C44" s="20">
        <f t="shared" si="3"/>
        <v>0</v>
      </c>
      <c r="D44" s="21">
        <f>IFERROR(VLOOKUP(A44,הכשרה!A:K,5,0)+VLOOKUP('עולים יורדים'!A4,מגדל!A:G,5,0)+VLOOKUP('עולים יורדים'!A4,מנורה!A:G,5,0)+VLOOKUP('עולים יורדים'!A4,איילון!A:G,5,0)+VLOOKUP('עולים יורדים'!A4,הראל!A:G,5,0)+VLOOKUP('עולים יורדים'!A4,הפניקס!A:G,5,0)+VLOOKUP('עולים יורדים'!A4,כלל!A:G,5,0)+VLOOKUP('עולים יורדים'!A4,מור!A:G,5,0)+VLOOKUP('עולים יורדים'!A4,'אלטשולר שחם'!A:G,5,0)+VLOOKUP('עולים יורדים'!A4,'מדיהו '!A:G,5,0)+VLOOKUP('עולים יורדים'!A4,'אנליסט '!A:G,5,0)+VLOOKUP('עולים יורדים'!A4,'מיטב דש'!A:G,5,0)+VLOOKUP('עולים יורדים'!A4,אינפניטי!A:G,5,0),0)</f>
        <v>0</v>
      </c>
      <c r="E44" s="22">
        <f>IFERROR(VLOOKUP(A44,הכשרה!A:K,9,0)+VLOOKUP('עולים יורדים'!A4,מגדל!A:K,9,0)+VLOOKUP('עולים יורדים'!A4,מנורה!A:K,9,0)+VLOOKUP('עולים יורדים'!A4,איילון!A:K,9,0)+VLOOKUP('עולים יורדים'!A4,הראל!A:K,9,0)+VLOOKUP('עולים יורדים'!A4,הפניקס!A:K,9,0)+VLOOKUP('עולים יורדים'!A4,כלל!A:K,9,0)+VLOOKUP('עולים יורדים'!A4,מור!A:K,9,0)+VLOOKUP('עולים יורדים'!A4,'אלטשולר שחם'!A:K,9,0)+VLOOKUP('עולים יורדים'!A4,'מדיהו '!A:K,9,0)+VLOOKUP('עולים יורדים'!A4,'אנליסט '!A:K,9,0)+VLOOKUP('עולים יורדים'!A4,'מיטב דש'!A:K,9,0)+VLOOKUP('עולים יורדים'!A4,אינפניטי!A:K,9,0),0)</f>
        <v>0</v>
      </c>
    </row>
    <row r="45" spans="1:5" ht="15.75" x14ac:dyDescent="0.25">
      <c r="A45" s="26" t="s">
        <v>83</v>
      </c>
      <c r="B45" s="19">
        <f t="shared" si="2"/>
        <v>-7.5510463500284564E-3</v>
      </c>
      <c r="C45" s="20">
        <f t="shared" si="3"/>
        <v>-122.43000000000029</v>
      </c>
      <c r="D45" s="21">
        <f>IFERROR(VLOOKUP(A45,הכשרה!A:K,5,0)+VLOOKUP('עולים יורדים'!A29,מגדל!A:G,5,0)+VLOOKUP('עולים יורדים'!A29,מנורה!A:G,5,0)+VLOOKUP('עולים יורדים'!A29,איילון!A:G,5,0)+VLOOKUP('עולים יורדים'!A29,הראל!A:G,5,0)+VLOOKUP('עולים יורדים'!A29,הפניקס!A:G,5,0)+VLOOKUP('עולים יורדים'!A29,כלל!A:G,5,0)+VLOOKUP('עולים יורדים'!A29,מור!A:G,5,0)+VLOOKUP('עולים יורדים'!A29,'אלטשולר שחם'!A:G,5,0)+VLOOKUP('עולים יורדים'!A29,'מדיהו '!A:G,5,0)+VLOOKUP('עולים יורדים'!A29,'אנליסט '!A:G,5,0)+VLOOKUP('עולים יורדים'!A29,'מיטב דש'!A:G,5,0)+VLOOKUP('עולים יורדים'!A29,אינפניטי!A:G,5,0),0)</f>
        <v>16091.217000000001</v>
      </c>
      <c r="E45" s="22">
        <f>IFERROR(VLOOKUP(A45,הכשרה!A:K,9,0)+VLOOKUP('עולים יורדים'!A29,מגדל!A:K,9,0)+VLOOKUP('עולים יורדים'!A29,מנורה!A:K,9,0)+VLOOKUP('עולים יורדים'!A29,איילון!A:K,9,0)+VLOOKUP('עולים יורדים'!A29,הראל!A:K,9,0)+VLOOKUP('עולים יורדים'!A29,הפניקס!A:K,9,0)+VLOOKUP('עולים יורדים'!A29,כלל!A:K,9,0)+VLOOKUP('עולים יורדים'!A29,מור!A:K,9,0)+VLOOKUP('עולים יורדים'!A29,'אלטשולר שחם'!A:K,9,0)+VLOOKUP('עולים יורדים'!A29,'מדיהו '!A:K,9,0)+VLOOKUP('עולים יורדים'!A29,'אנליסט '!A:K,9,0)+VLOOKUP('עולים יורדים'!A29,'מיטב דש'!A:K,9,0)+VLOOKUP('עולים יורדים'!A29,אינפניטי!A:K,9,0),0)</f>
        <v>16213.647000000001</v>
      </c>
    </row>
    <row r="46" spans="1:5" x14ac:dyDescent="0.25">
      <c r="A46" s="118" t="s">
        <v>101</v>
      </c>
      <c r="B46" s="19">
        <f t="shared" si="2"/>
        <v>1</v>
      </c>
      <c r="C46" s="20">
        <f t="shared" si="3"/>
        <v>8908.84</v>
      </c>
      <c r="D46" s="21">
        <f>IFERROR(VLOOKUP(A46,הכשרה!A:K,5,0)+VLOOKUP('עולים יורדים'!A40,מגדל!A:G,5,0)+VLOOKUP('עולים יורדים'!A40,מנורה!A:G,5,0)+VLOOKUP('עולים יורדים'!A40,איילון!A:G,5,0)+VLOOKUP('עולים יורדים'!A40,הראל!A:G,5,0)+VLOOKUP('עולים יורדים'!A40,הפניקס!A:G,5,0)+VLOOKUP('עולים יורדים'!A40,כלל!A:G,5,0)+VLOOKUP('עולים יורדים'!A40,מור!A:G,5,0)+VLOOKUP('עולים יורדים'!A40,'אלטשולר שחם'!A:G,5,0)+VLOOKUP('עולים יורדים'!A40,'מדיהו '!A:G,5,0)+VLOOKUP('עולים יורדים'!A40,'אנליסט '!A:G,5,0)+VLOOKUP('עולים יורדים'!A40,'מיטב דש'!A:G,5,0)+VLOOKUP('עולים יורדים'!A40,אינפניטי!A:G,5,0),0)</f>
        <v>8908.84</v>
      </c>
      <c r="E46" s="22">
        <f>IFERROR(VLOOKUP(A46,הכשרה!A:K,9,0)+VLOOKUP('עולים יורדים'!A40,מגדל!A:K,9,0)+VLOOKUP('עולים יורדים'!A40,מנורה!A:K,9,0)+VLOOKUP('עולים יורדים'!A40,איילון!A:K,9,0)+VLOOKUP('עולים יורדים'!A40,הראל!A:K,9,0)+VLOOKUP('עולים יורדים'!A40,הפניקס!A:K,9,0)+VLOOKUP('עולים יורדים'!A40,כלל!A:K,9,0)+VLOOKUP('עולים יורדים'!A40,מור!A:K,9,0)+VLOOKUP('עולים יורדים'!A40,'אלטשולר שחם'!A:K,9,0)+VLOOKUP('עולים יורדים'!A40,'מדיהו '!A:K,9,0)+VLOOKUP('עולים יורדים'!A40,'אנליסט '!A:K,9,0)+VLOOKUP('עולים יורדים'!A40,'מיטב דש'!A:K,9,0)+VLOOKUP('עולים יורדים'!A40,אינפניטי!A:K,9,0),0)</f>
        <v>0</v>
      </c>
    </row>
    <row r="47" spans="1:5" ht="15.75" x14ac:dyDescent="0.25">
      <c r="A47" s="26" t="s">
        <v>37</v>
      </c>
      <c r="B47" s="19">
        <f t="shared" si="2"/>
        <v>1</v>
      </c>
      <c r="C47" s="20">
        <f t="shared" si="3"/>
        <v>14275.74</v>
      </c>
      <c r="D47" s="21">
        <f>IFERROR(VLOOKUP(A47,הכשרה!A:K,5,0)+VLOOKUP('עולים יורדים'!A30,מגדל!A:G,5,0)+VLOOKUP('עולים יורדים'!A30,מנורה!A:G,5,0)+VLOOKUP('עולים יורדים'!A30,איילון!A:G,5,0)+VLOOKUP('עולים יורדים'!A30,הראל!A:G,5,0)+VLOOKUP('עולים יורדים'!A30,הפניקס!A:G,5,0)+VLOOKUP('עולים יורדים'!A30,כלל!A:G,5,0)+VLOOKUP('עולים יורדים'!A30,מור!A:G,5,0)+VLOOKUP('עולים יורדים'!A30,'אלטשולר שחם'!A:G,5,0)+VLOOKUP('עולים יורדים'!A30,'מדיהו '!A:G,5,0)+VLOOKUP('עולים יורדים'!A30,'אנליסט '!A:G,5,0)+VLOOKUP('עולים יורדים'!A30,'מיטב דש'!A:G,5,0)+VLOOKUP('עולים יורדים'!A30,אינפניטי!A:G,5,0),0)</f>
        <v>14275.74</v>
      </c>
      <c r="E47" s="22">
        <f>IFERROR(VLOOKUP(A47,הכשרה!A:K,9,0)+VLOOKUP('עולים יורדים'!A30,מגדל!A:K,9,0)+VLOOKUP('עולים יורדים'!A30,מנורה!A:K,9,0)+VLOOKUP('עולים יורדים'!A30,איילון!A:K,9,0)+VLOOKUP('עולים יורדים'!A30,הראל!A:K,9,0)+VLOOKUP('עולים יורדים'!A30,הפניקס!A:K,9,0)+VLOOKUP('עולים יורדים'!A30,כלל!A:K,9,0)+VLOOKUP('עולים יורדים'!A30,מור!A:K,9,0)+VLOOKUP('עולים יורדים'!A30,'אלטשולר שחם'!A:K,9,0)+VLOOKUP('עולים יורדים'!A30,'מדיהו '!A:K,9,0)+VLOOKUP('עולים יורדים'!A30,'אנליסט '!A:K,9,0)+VLOOKUP('עולים יורדים'!A30,'מיטב דש'!A:K,9,0)+VLOOKUP('עולים יורדים'!A30,אינפניטי!A:K,9,0),0)</f>
        <v>0</v>
      </c>
    </row>
    <row r="48" spans="1:5" ht="15.75" x14ac:dyDescent="0.25">
      <c r="A48" s="26" t="s">
        <v>24</v>
      </c>
      <c r="B48" s="19">
        <f t="shared" si="2"/>
        <v>2.2518866662805959</v>
      </c>
      <c r="C48" s="20">
        <f t="shared" si="3"/>
        <v>9037.6132751072219</v>
      </c>
      <c r="D48" s="21">
        <f>IFERROR(VLOOKUP(A48,הכשרה!A:K,5,0)+VLOOKUP('עולים יורדים'!A15,מגדל!A:G,5,0)+VLOOKUP('עולים יורדים'!A15,מנורה!A:G,5,0)+VLOOKUP('עולים יורדים'!A15,איילון!A:G,5,0)+VLOOKUP('עולים יורדים'!A15,הראל!A:G,5,0)+VLOOKUP('עולים יורדים'!A15,הפניקס!A:G,5,0)+VLOOKUP('עולים יורדים'!A15,כלל!A:G,5,0)+VLOOKUP('עולים יורדים'!A15,מור!A:G,5,0)+VLOOKUP('עולים יורדים'!A15,'אלטשולר שחם'!A:G,5,0)+VLOOKUP('עולים יורדים'!A15,'מדיהו '!A:G,5,0)+VLOOKUP('עולים יורדים'!A15,'אנליסט '!A:G,5,0)+VLOOKUP('עולים יורדים'!A15,'מיטב דש'!A:G,5,0)+VLOOKUP('עולים יורדים'!A15,אינפניטי!A:G,5,0),0)</f>
        <v>13050.965017197555</v>
      </c>
      <c r="E48" s="22">
        <f>IFERROR(VLOOKUP(A48,הכשרה!A:K,9,0)+VLOOKUP('עולים יורדים'!A15,מגדל!A:K,9,0)+VLOOKUP('עולים יורדים'!A15,מנורה!A:K,9,0)+VLOOKUP('עולים יורדים'!A15,איילון!A:K,9,0)+VLOOKUP('עולים יורדים'!A15,הראל!A:K,9,0)+VLOOKUP('עולים יורדים'!A15,הפניקס!A:K,9,0)+VLOOKUP('עולים יורדים'!A15,כלל!A:K,9,0)+VLOOKUP('עולים יורדים'!A15,מור!A:K,9,0)+VLOOKUP('עולים יורדים'!A15,'אלטשולר שחם'!A:K,9,0)+VLOOKUP('עולים יורדים'!A15,'מדיהו '!A:K,9,0)+VLOOKUP('עולים יורדים'!A15,'אנליסט '!A:K,9,0)+VLOOKUP('עולים יורדים'!A15,'מיטב דש'!A:K,9,0)+VLOOKUP('עולים יורדים'!A15,אינפניטי!A:K,9,0),0)</f>
        <v>4013.3517420903331</v>
      </c>
    </row>
    <row r="49" spans="1:5" ht="15.75" x14ac:dyDescent="0.25">
      <c r="A49" s="28" t="s">
        <v>11</v>
      </c>
      <c r="B49" s="19">
        <f t="shared" si="2"/>
        <v>13.335289031620555</v>
      </c>
      <c r="C49" s="20">
        <f t="shared" si="3"/>
        <v>1079.625</v>
      </c>
      <c r="D49" s="21">
        <f>IFERROR(VLOOKUP(A49,הכשרה!A:K,5,0)+VLOOKUP('עולים יורדים'!A35,מגדל!A:G,5,0)+VLOOKUP('עולים יורדים'!A35,מנורה!A:G,5,0)+VLOOKUP('עולים יורדים'!A35,איילון!A:G,5,0)+VLOOKUP('עולים יורדים'!A35,הראל!A:G,5,0)+VLOOKUP('עולים יורדים'!A35,הפניקס!A:G,5,0)+VLOOKUP('עולים יורדים'!A35,כלל!A:G,5,0)+VLOOKUP('עולים יורדים'!A35,מור!A:G,5,0)+VLOOKUP('עולים יורדים'!A35,'אלטשולר שחם'!A:G,5,0)+VLOOKUP('עולים יורדים'!A35,'מדיהו '!A:G,5,0)+VLOOKUP('עולים יורדים'!A35,'אנליסט '!A:G,5,0)+VLOOKUP('עולים יורדים'!A35,'מיטב דש'!A:G,5,0)+VLOOKUP('עולים יורדים'!A35,אינפניטי!A:G,5,0),0)</f>
        <v>1160.585</v>
      </c>
      <c r="E49" s="22">
        <f>IFERROR(VLOOKUP(A49,הכשרה!A:K,9,0)+VLOOKUP('עולים יורדים'!A35,מגדל!A:K,9,0)+VLOOKUP('עולים יורדים'!A35,מנורה!A:K,9,0)+VLOOKUP('עולים יורדים'!A35,איילון!A:K,9,0)+VLOOKUP('עולים יורדים'!A35,הראל!A:K,9,0)+VLOOKUP('עולים יורדים'!A35,הפניקס!A:K,9,0)+VLOOKUP('עולים יורדים'!A35,כלל!A:K,9,0)+VLOOKUP('עולים יורדים'!A35,מור!A:K,9,0)+VLOOKUP('עולים יורדים'!A35,'אלטשולר שחם'!A:K,9,0)+VLOOKUP('עולים יורדים'!A35,'מדיהו '!A:K,9,0)+VLOOKUP('עולים יורדים'!A35,'אנליסט '!A:K,9,0)+VLOOKUP('עולים יורדים'!A35,'מיטב דש'!A:K,9,0)+VLOOKUP('עולים יורדים'!A35,אינפניטי!A:K,9,0),0)</f>
        <v>80.959999999999994</v>
      </c>
    </row>
    <row r="50" spans="1:5" ht="15.75" x14ac:dyDescent="0.25">
      <c r="A50" s="28" t="s">
        <v>96</v>
      </c>
      <c r="B50" s="19">
        <f t="shared" si="2"/>
        <v>0</v>
      </c>
      <c r="C50" s="20">
        <f t="shared" si="3"/>
        <v>-868.10332488045208</v>
      </c>
      <c r="D50" s="21">
        <f>IFERROR(VLOOKUP(A50,הכשרה!A:K,5,0)+VLOOKUP('עולים יורדים'!A53,מגדל!A:G,5,0)+VLOOKUP('עולים יורדים'!A53,מנורה!A:G,5,0)+VLOOKUP('עולים יורדים'!A53,איילון!A:G,5,0)+VLOOKUP('עולים יורדים'!A53,הראל!A:G,5,0)+VLOOKUP('עולים יורדים'!A53,הפניקס!A:G,5,0)+VLOOKUP('עולים יורדים'!A53,כלל!A:G,5,0)+VLOOKUP('עולים יורדים'!A53,מור!A:G,5,0)+VLOOKUP('עולים יורדים'!A53,'אלטשולר שחם'!A:G,5,0)+VLOOKUP('עולים יורדים'!A53,'מדיהו '!A:G,5,0)+VLOOKUP('עולים יורדים'!A53,'אנליסט '!A:G,5,0)+VLOOKUP('עולים יורדים'!A53,'מיטב דש'!A:G,5,0)+VLOOKUP('עולים יורדים'!A53,אינפניטי!A:G,5,0),0)</f>
        <v>0</v>
      </c>
      <c r="E50" s="22">
        <f>IFERROR(VLOOKUP(A50,הכשרה!A:K,9,0)+VLOOKUP('עולים יורדים'!A53,מגדל!A:K,9,0)+VLOOKUP('עולים יורדים'!A53,מנורה!A:K,9,0)+VLOOKUP('עולים יורדים'!A53,איילון!A:K,9,0)+VLOOKUP('עולים יורדים'!A53,הראל!A:K,9,0)+VLOOKUP('עולים יורדים'!A53,הפניקס!A:K,9,0)+VLOOKUP('עולים יורדים'!A53,כלל!A:K,9,0)+VLOOKUP('עולים יורדים'!A53,מור!A:K,9,0)+VLOOKUP('עולים יורדים'!A53,'אלטשולר שחם'!A:K,9,0)+VLOOKUP('עולים יורדים'!A53,'מדיהו '!A:K,9,0)+VLOOKUP('עולים יורדים'!A53,'אנליסט '!A:K,9,0)+VLOOKUP('עולים יורדים'!A53,'מיטב דש'!A:K,9,0)+VLOOKUP('עולים יורדים'!A53,אינפניטי!A:K,9,0),0)</f>
        <v>868.10332488045208</v>
      </c>
    </row>
    <row r="51" spans="1:5" ht="15.75" x14ac:dyDescent="0.25">
      <c r="A51" s="26" t="s">
        <v>30</v>
      </c>
      <c r="B51" s="19">
        <f t="shared" si="2"/>
        <v>23.352838326145235</v>
      </c>
      <c r="C51" s="20">
        <f t="shared" si="3"/>
        <v>4006.88</v>
      </c>
      <c r="D51" s="21">
        <f>IFERROR(VLOOKUP(A51,הכשרה!A:K,5,0)+VLOOKUP('עולים יורדים'!A54,מגדל!A:G,5,0)+VLOOKUP('עולים יורדים'!A54,מנורה!A:G,5,0)+VLOOKUP('עולים יורדים'!A54,איילון!A:G,5,0)+VLOOKUP('עולים יורדים'!A54,הראל!A:G,5,0)+VLOOKUP('עולים יורדים'!A54,הפניקס!A:G,5,0)+VLOOKUP('עולים יורדים'!A54,כלל!A:G,5,0)+VLOOKUP('עולים יורדים'!A54,מור!A:G,5,0)+VLOOKUP('עולים יורדים'!A54,'אלטשולר שחם'!A:G,5,0)+VLOOKUP('עולים יורדים'!A54,'מדיהו '!A:G,5,0)+VLOOKUP('עולים יורדים'!A54,'אנליסט '!A:G,5,0)+VLOOKUP('עולים יורדים'!A54,'מיטב דש'!A:G,5,0)+VLOOKUP('עולים יורדים'!A54,אינפניטי!A:G,5,0),0)</f>
        <v>4178.46</v>
      </c>
      <c r="E51" s="22">
        <f>IFERROR(VLOOKUP(A51,הכשרה!A:K,9,0)+VLOOKUP('עולים יורדים'!A54,מגדל!A:K,9,0)+VLOOKUP('עולים יורדים'!A54,מנורה!A:K,9,0)+VLOOKUP('עולים יורדים'!A54,איילון!A:K,9,0)+VLOOKUP('עולים יורדים'!A54,הראל!A:K,9,0)+VLOOKUP('עולים יורדים'!A54,הפניקס!A:K,9,0)+VLOOKUP('עולים יורדים'!A54,כלל!A:K,9,0)+VLOOKUP('עולים יורדים'!A54,מור!A:K,9,0)+VLOOKUP('עולים יורדים'!A54,'אלטשולר שחם'!A:K,9,0)+VLOOKUP('עולים יורדים'!A54,'מדיהו '!A:K,9,0)+VLOOKUP('עולים יורדים'!A54,'אנליסט '!A:K,9,0)+VLOOKUP('עולים יורדים'!A54,'מיטב דש'!A:K,9,0)+VLOOKUP('עולים יורדים'!A54,אינפניטי!A:K,9,0),0)</f>
        <v>171.58</v>
      </c>
    </row>
    <row r="52" spans="1:5" x14ac:dyDescent="0.25">
      <c r="A52" s="246" t="s">
        <v>136</v>
      </c>
      <c r="B52" s="19">
        <f t="shared" si="2"/>
        <v>1</v>
      </c>
      <c r="C52" s="20">
        <f t="shared" si="3"/>
        <v>-745.94</v>
      </c>
      <c r="D52" s="21">
        <f>IFERROR(VLOOKUP(A52,הכשרה!A:K,5,0)+VLOOKUP('עולים יורדים'!A55,מגדל!A:G,5,0)+VLOOKUP('עולים יורדים'!A55,מנורה!A:G,5,0)+VLOOKUP('עולים יורדים'!A55,איילון!A:G,5,0)+VLOOKUP('עולים יורדים'!A55,הראל!A:G,5,0)+VLOOKUP('עולים יורדים'!A55,הפניקס!A:G,5,0)+VLOOKUP('עולים יורדים'!A55,כלל!A:G,5,0)+VLOOKUP('עולים יורדים'!A55,מור!A:G,5,0)+VLOOKUP('עולים יורדים'!A55,'אלטשולר שחם'!A:G,5,0)+VLOOKUP('עולים יורדים'!A55,'מדיהו '!A:G,5,0)+VLOOKUP('עולים יורדים'!A55,'אנליסט '!A:G,5,0)+VLOOKUP('עולים יורדים'!A55,'מיטב דש'!A:G,5,0)+VLOOKUP('עולים יורדים'!A55,אינפניטי!A:G,5,0),0)</f>
        <v>-745.94</v>
      </c>
      <c r="E52" s="22">
        <f>IFERROR(VLOOKUP(A52,הכשרה!A:K,9,0)+VLOOKUP('עולים יורדים'!A55,מגדל!A:K,9,0)+VLOOKUP('עולים יורדים'!A55,מנורה!A:K,9,0)+VLOOKUP('עולים יורדים'!A55,איילון!A:K,9,0)+VLOOKUP('עולים יורדים'!A55,הראל!A:K,9,0)+VLOOKUP('עולים יורדים'!A55,הפניקס!A:K,9,0)+VLOOKUP('עולים יורדים'!A55,כלל!A:K,9,0)+VLOOKUP('עולים יורדים'!A55,מור!A:K,9,0)+VLOOKUP('עולים יורדים'!A55,'אלטשולר שחם'!A:K,9,0)+VLOOKUP('עולים יורדים'!A55,'מדיהו '!A:K,9,0)+VLOOKUP('עולים יורדים'!A55,'אנליסט '!A:K,9,0)+VLOOKUP('עולים יורדים'!A55,'מיטב דש'!A:K,9,0)+VLOOKUP('עולים יורדים'!A55,אינפניטי!A:K,9,0),0)</f>
        <v>0</v>
      </c>
    </row>
    <row r="53" spans="1:5" ht="15.75" x14ac:dyDescent="0.25">
      <c r="A53" s="26" t="s">
        <v>94</v>
      </c>
      <c r="B53" s="19">
        <f t="shared" si="2"/>
        <v>-0.28801211062924792</v>
      </c>
      <c r="C53" s="20">
        <f t="shared" si="3"/>
        <v>-26606.002365018561</v>
      </c>
      <c r="D53" s="21">
        <f>IFERROR(VLOOKUP(A53,הכשרה!A:K,5,0)+VLOOKUP('עולים יורדים'!A58,מגדל!A:G,5,0)+VLOOKUP('עולים יורדים'!A58,מנורה!A:G,5,0)+VLOOKUP('עולים יורדים'!A58,איילון!A:G,5,0)+VLOOKUP('עולים יורדים'!A58,הראל!A:G,5,0)+VLOOKUP('עולים יורדים'!A58,הפניקס!A:G,5,0)+VLOOKUP('עולים יורדים'!A58,כלל!A:G,5,0)+VLOOKUP('עולים יורדים'!A58,מור!A:G,5,0)+VLOOKUP('עולים יורדים'!A58,'אלטשולר שחם'!A:G,5,0)+VLOOKUP('עולים יורדים'!A58,'מדיהו '!A:G,5,0)+VLOOKUP('עולים יורדים'!A58,'אנליסט '!A:G,5,0)+VLOOKUP('עולים יורדים'!A58,'מיטב דש'!A:G,5,0)+VLOOKUP('עולים יורדים'!A58,אינפניטי!A:G,5,0),0)</f>
        <v>65772.065719999999</v>
      </c>
      <c r="E53" s="22">
        <f>IFERROR(VLOOKUP(A53,הכשרה!A:K,9,0)+VLOOKUP('עולים יורדים'!A58,מגדל!A:K,9,0)+VLOOKUP('עולים יורדים'!A58,מנורה!A:K,9,0)+VLOOKUP('עולים יורדים'!A58,איילון!A:K,9,0)+VLOOKUP('עולים יורדים'!A58,הראל!A:K,9,0)+VLOOKUP('עולים יורדים'!A58,הפניקס!A:K,9,0)+VLOOKUP('עולים יורדים'!A58,כלל!A:K,9,0)+VLOOKUP('עולים יורדים'!A58,מור!A:K,9,0)+VLOOKUP('עולים יורדים'!A58,'אלטשולר שחם'!A:K,9,0)+VLOOKUP('עולים יורדים'!A58,'מדיהו '!A:K,9,0)+VLOOKUP('עולים יורדים'!A58,'אנליסט '!A:K,9,0)+VLOOKUP('עולים יורדים'!A58,'מיטב דש'!A:K,9,0)+VLOOKUP('עולים יורדים'!A58,אינפניטי!A:K,9,0),0)</f>
        <v>92378.06808501856</v>
      </c>
    </row>
    <row r="54" spans="1:5" ht="15.75" x14ac:dyDescent="0.25">
      <c r="A54" s="26" t="s">
        <v>7</v>
      </c>
      <c r="B54" s="19">
        <f t="shared" si="2"/>
        <v>0.46977947657326191</v>
      </c>
      <c r="C54" s="20">
        <f t="shared" si="3"/>
        <v>12736.075880000004</v>
      </c>
      <c r="D54" s="21">
        <f>IFERROR(VLOOKUP(A54,הכשרה!A:K,5,0)+VLOOKUP('עולים יורדים'!A2,מגדל!A:G,5,0)+VLOOKUP('עולים יורדים'!A2,מנורה!A:G,5,0)+VLOOKUP('עולים יורדים'!A2,איילון!A:G,5,0)+VLOOKUP('עולים יורדים'!A2,הראל!A:G,5,0)+VLOOKUP('עולים יורדים'!A2,הפניקס!A:G,5,0)+VLOOKUP('עולים יורדים'!A2,כלל!A:G,5,0)+VLOOKUP('עולים יורדים'!A2,מור!A:G,5,0)+VLOOKUP('עולים יורדים'!A2,'אלטשולר שחם'!A:G,5,0)+VLOOKUP('עולים יורדים'!A2,'מדיהו '!A:G,5,0)+VLOOKUP('עולים יורדים'!A2,'אנליסט '!A:G,5,0)+VLOOKUP('עולים יורדים'!A2,'מיטב דש'!A:G,5,0)+VLOOKUP('עולים יורדים'!A2,אינפניטי!A:G,5,0),0)</f>
        <v>39846.83</v>
      </c>
      <c r="E54" s="22">
        <f>IFERROR(VLOOKUP(A54,הכשרה!A:K,9,0)+VLOOKUP('עולים יורדים'!A2,מגדל!A:K,9,0)+VLOOKUP('עולים יורדים'!A2,מנורה!A:K,9,0)+VLOOKUP('עולים יורדים'!A2,איילון!A:K,9,0)+VLOOKUP('עולים יורדים'!A2,הראל!A:K,9,0)+VLOOKUP('עולים יורדים'!A2,הפניקס!A:K,9,0)+VLOOKUP('עולים יורדים'!A2,כלל!A:K,9,0)+VLOOKUP('עולים יורדים'!A2,מור!A:K,9,0)+VLOOKUP('עולים יורדים'!A2,'אלטשולר שחם'!A:K,9,0)+VLOOKUP('עולים יורדים'!A2,'מדיהו '!A:K,9,0)+VLOOKUP('עולים יורדים'!A2,'אנליסט '!A:K,9,0)+VLOOKUP('עולים יורדים'!A2,'מיטב דש'!A:K,9,0)+VLOOKUP('עולים יורדים'!A2,אינפניטי!A:K,9,0),0)</f>
        <v>27110.754119999998</v>
      </c>
    </row>
    <row r="55" spans="1:5" ht="15.75" x14ac:dyDescent="0.25">
      <c r="A55" s="26" t="s">
        <v>27</v>
      </c>
      <c r="B55" s="19">
        <f t="shared" si="2"/>
        <v>1</v>
      </c>
      <c r="C55" s="20">
        <f t="shared" si="3"/>
        <v>31027.561324071801</v>
      </c>
      <c r="D55" s="21">
        <f>IFERROR(VLOOKUP(A55,הכשרה!A:K,5,0)+VLOOKUP('עולים יורדים'!A8,מגדל!A:G,5,0)+VLOOKUP('עולים יורדים'!A8,מנורה!A:G,5,0)+VLOOKUP('עולים יורדים'!A8,איילון!A:G,5,0)+VLOOKUP('עולים יורדים'!A8,הראל!A:G,5,0)+VLOOKUP('עולים יורדים'!A8,הפניקס!A:G,5,0)+VLOOKUP('עולים יורדים'!A8,כלל!A:G,5,0)+VLOOKUP('עולים יורדים'!A8,מור!A:G,5,0)+VLOOKUP('עולים יורדים'!A8,'אלטשולר שחם'!A:G,5,0)+VLOOKUP('עולים יורדים'!A8,'מדיהו '!A:G,5,0)+VLOOKUP('עולים יורדים'!A8,'אנליסט '!A:G,5,0)+VLOOKUP('עולים יורדים'!A8,'מיטב דש'!A:G,5,0)+VLOOKUP('עולים יורדים'!A8,אינפניטי!A:G,5,0),0)</f>
        <v>31027.561324071801</v>
      </c>
      <c r="E55" s="22">
        <f>IFERROR(VLOOKUP(A55,הכשרה!A:K,9,0)+VLOOKUP('עולים יורדים'!A8,מגדל!A:K,9,0)+VLOOKUP('עולים יורדים'!A8,מנורה!A:K,9,0)+VLOOKUP('עולים יורדים'!A8,איילון!A:K,9,0)+VLOOKUP('עולים יורדים'!A8,הראל!A:K,9,0)+VLOOKUP('עולים יורדים'!A8,הפניקס!A:K,9,0)+VLOOKUP('עולים יורדים'!A8,כלל!A:K,9,0)+VLOOKUP('עולים יורדים'!A8,מור!A:K,9,0)+VLOOKUP('עולים יורדים'!A8,'אלטשולר שחם'!A:K,9,0)+VLOOKUP('עולים יורדים'!A8,'מדיהו '!A:K,9,0)+VLOOKUP('עולים יורדים'!A8,'אנליסט '!A:K,9,0)+VLOOKUP('עולים יורדים'!A8,'מיטב דש'!A:K,9,0)+VLOOKUP('עולים יורדים'!A8,אינפניטי!A:K,9,0),0)</f>
        <v>0</v>
      </c>
    </row>
    <row r="56" spans="1:5" ht="15.75" x14ac:dyDescent="0.25">
      <c r="A56" s="26" t="s">
        <v>6</v>
      </c>
      <c r="B56" s="19">
        <f t="shared" si="2"/>
        <v>0</v>
      </c>
      <c r="C56" s="20">
        <f t="shared" si="3"/>
        <v>0</v>
      </c>
      <c r="D56" s="21">
        <f>IFERROR(VLOOKUP(A56,הכשרה!A:K,5,0)+VLOOKUP('עולים יורדים'!A43,מגדל!A:G,5,0)+VLOOKUP('עולים יורדים'!A43,מנורה!A:G,5,0)+VLOOKUP('עולים יורדים'!A43,איילון!A:G,5,0)+VLOOKUP('עולים יורדים'!A43,הראל!A:G,5,0)+VLOOKUP('עולים יורדים'!A43,הפניקס!A:G,5,0)+VLOOKUP('עולים יורדים'!A43,כלל!A:G,5,0)+VLOOKUP('עולים יורדים'!A43,מור!A:G,5,0)+VLOOKUP('עולים יורדים'!A43,'אלטשולר שחם'!A:G,5,0)+VLOOKUP('עולים יורדים'!A43,'מדיהו '!A:G,5,0)+VLOOKUP('עולים יורדים'!A43,'אנליסט '!A:G,5,0)+VLOOKUP('עולים יורדים'!A43,'מיטב דש'!A:G,5,0)+VLOOKUP('עולים יורדים'!A43,אינפניטי!A:G,5,0),0)</f>
        <v>0</v>
      </c>
      <c r="E56" s="22">
        <f>IFERROR(VLOOKUP(A56,הכשרה!A:K,9,0)+VLOOKUP('עולים יורדים'!A43,מגדל!A:K,9,0)+VLOOKUP('עולים יורדים'!A43,מנורה!A:K,9,0)+VLOOKUP('עולים יורדים'!A43,איילון!A:K,9,0)+VLOOKUP('עולים יורדים'!A43,הראל!A:K,9,0)+VLOOKUP('עולים יורדים'!A43,הפניקס!A:K,9,0)+VLOOKUP('עולים יורדים'!A43,כלל!A:K,9,0)+VLOOKUP('עולים יורדים'!A43,מור!A:K,9,0)+VLOOKUP('עולים יורדים'!A43,'אלטשולר שחם'!A:K,9,0)+VLOOKUP('עולים יורדים'!A43,'מדיהו '!A:K,9,0)+VLOOKUP('עולים יורדים'!A43,'אנליסט '!A:K,9,0)+VLOOKUP('עולים יורדים'!A43,'מיטב דש'!A:K,9,0)+VLOOKUP('עולים יורדים'!A43,אינפניטי!A:K,9,0),0)</f>
        <v>0</v>
      </c>
    </row>
    <row r="57" spans="1:5" ht="15.75" x14ac:dyDescent="0.25">
      <c r="A57" s="26" t="s">
        <v>91</v>
      </c>
      <c r="B57" s="19">
        <f t="shared" si="2"/>
        <v>0</v>
      </c>
      <c r="C57" s="20">
        <f t="shared" si="3"/>
        <v>0</v>
      </c>
      <c r="D57" s="21">
        <f>IFERROR(VLOOKUP(A57,הכשרה!A:K,5,0)+VLOOKUP('עולים יורדים'!A51,מגדל!A:G,5,0)+VLOOKUP('עולים יורדים'!A51,מנורה!A:G,5,0)+VLOOKUP('עולים יורדים'!A51,איילון!A:G,5,0)+VLOOKUP('עולים יורדים'!A51,הראל!A:G,5,0)+VLOOKUP('עולים יורדים'!A51,הפניקס!A:G,5,0)+VLOOKUP('עולים יורדים'!A51,כלל!A:G,5,0)+VLOOKUP('עולים יורדים'!A51,מור!A:G,5,0)+VLOOKUP('עולים יורדים'!A51,'אלטשולר שחם'!A:G,5,0)+VLOOKUP('עולים יורדים'!A51,'מדיהו '!A:G,5,0)+VLOOKUP('עולים יורדים'!A51,'אנליסט '!A:G,5,0)+VLOOKUP('עולים יורדים'!A51,'מיטב דש'!A:G,5,0)+VLOOKUP('עולים יורדים'!A51,אינפניטי!A:G,5,0),0)</f>
        <v>0</v>
      </c>
      <c r="E57" s="22">
        <f>IFERROR(VLOOKUP(A57,הכשרה!A:K,9,0)+VLOOKUP('עולים יורדים'!A51,מגדל!A:K,9,0)+VLOOKUP('עולים יורדים'!A51,מנורה!A:K,9,0)+VLOOKUP('עולים יורדים'!A51,איילון!A:K,9,0)+VLOOKUP('עולים יורדים'!A51,הראל!A:K,9,0)+VLOOKUP('עולים יורדים'!A51,הפניקס!A:K,9,0)+VLOOKUP('עולים יורדים'!A51,כלל!A:K,9,0)+VLOOKUP('עולים יורדים'!A51,מור!A:K,9,0)+VLOOKUP('עולים יורדים'!A51,'אלטשולר שחם'!A:K,9,0)+VLOOKUP('עולים יורדים'!A51,'מדיהו '!A:K,9,0)+VLOOKUP('עולים יורדים'!A51,'אנליסט '!A:K,9,0)+VLOOKUP('עולים יורדים'!A51,'מיטב דש'!A:K,9,0)+VLOOKUP('עולים יורדים'!A51,אינפניטי!A:K,9,0),0)</f>
        <v>0</v>
      </c>
    </row>
    <row r="58" spans="1:5" ht="15.75" x14ac:dyDescent="0.25">
      <c r="A58" s="26" t="s">
        <v>8</v>
      </c>
      <c r="B58" s="19">
        <f t="shared" si="2"/>
        <v>1</v>
      </c>
      <c r="C58" s="20">
        <f t="shared" si="3"/>
        <v>1591.99</v>
      </c>
      <c r="D58" s="21">
        <f>IFERROR(VLOOKUP(A58,הכשרה!A:K,5,0)+VLOOKUP('עולים יורדים'!A17,מגדל!A:G,5,0)+VLOOKUP('עולים יורדים'!A17,מנורה!A:G,5,0)+VLOOKUP('עולים יורדים'!A17,איילון!A:G,5,0)+VLOOKUP('עולים יורדים'!A17,הראל!A:G,5,0)+VLOOKUP('עולים יורדים'!A17,הפניקס!A:G,5,0)+VLOOKUP('עולים יורדים'!A17,כלל!A:G,5,0)+VLOOKUP('עולים יורדים'!A17,מור!A:G,5,0)+VLOOKUP('עולים יורדים'!A17,'אלטשולר שחם'!A:G,5,0)+VLOOKUP('עולים יורדים'!A17,'מדיהו '!A:G,5,0)+VLOOKUP('עולים יורדים'!A17,'אנליסט '!A:G,5,0)+VLOOKUP('עולים יורדים'!A17,'מיטב דש'!A:G,5,0)+VLOOKUP('עולים יורדים'!A17,אינפניטי!A:G,5,0),0)</f>
        <v>1591.99</v>
      </c>
      <c r="E58" s="22">
        <f>IFERROR(VLOOKUP(A58,הכשרה!A:K,9,0)+VLOOKUP('עולים יורדים'!A17,מגדל!A:K,9,0)+VLOOKUP('עולים יורדים'!A17,מנורה!A:K,9,0)+VLOOKUP('עולים יורדים'!A17,איילון!A:K,9,0)+VLOOKUP('עולים יורדים'!A17,הראל!A:K,9,0)+VLOOKUP('עולים יורדים'!A17,הפניקס!A:K,9,0)+VLOOKUP('עולים יורדים'!A17,כלל!A:K,9,0)+VLOOKUP('עולים יורדים'!A17,מור!A:K,9,0)+VLOOKUP('עולים יורדים'!A17,'אלטשולר שחם'!A:K,9,0)+VLOOKUP('עולים יורדים'!A17,'מדיהו '!A:K,9,0)+VLOOKUP('עולים יורדים'!A17,'אנליסט '!A:K,9,0)+VLOOKUP('עולים יורדים'!A17,'מיטב דש'!A:K,9,0)+VLOOKUP('עולים יורדים'!A17,אינפניטי!A:K,9,0),0)</f>
        <v>0</v>
      </c>
    </row>
    <row r="59" spans="1:5" ht="15.75" x14ac:dyDescent="0.25">
      <c r="A59" s="30" t="s">
        <v>13</v>
      </c>
      <c r="B59" s="19">
        <f t="shared" si="2"/>
        <v>-0.65726719178254744</v>
      </c>
      <c r="C59" s="20">
        <f t="shared" si="3"/>
        <v>-327175.87179208873</v>
      </c>
      <c r="D59" s="21">
        <f>IFERROR(VLOOKUP(A59,הכשרה!A:K,5,0)+VLOOKUP('עולים יורדים'!A28,מגדל!A:G,5,0)+VLOOKUP('עולים יורדים'!A28,מנורה!A:G,5,0)+VLOOKUP('עולים יורדים'!A28,איילון!A:G,5,0)+VLOOKUP('עולים יורדים'!A28,הראל!A:G,5,0)+VLOOKUP('עולים יורדים'!A28,הפניקס!A:G,5,0)+VLOOKUP('עולים יורדים'!A28,כלל!A:G,5,0)+VLOOKUP('עולים יורדים'!A28,מור!A:G,5,0)+VLOOKUP('עולים יורדים'!A28,'אלטשולר שחם'!A:G,5,0)+VLOOKUP('עולים יורדים'!A28,'מדיהו '!A:G,5,0)+VLOOKUP('עולים יורדים'!A28,'אנליסט '!A:G,5,0)+VLOOKUP('עולים יורדים'!A28,'מיטב דש'!A:G,5,0)+VLOOKUP('עולים יורדים'!A28,אינפניטי!A:G,5,0),0)</f>
        <v>170606.27203402924</v>
      </c>
      <c r="E59" s="22">
        <f>IFERROR(VLOOKUP(A59,הכשרה!A:K,9,0)+VLOOKUP('עולים יורדים'!A28,מגדל!A:K,9,0)+VLOOKUP('עולים יורדים'!A28,מנורה!A:K,9,0)+VLOOKUP('עולים יורדים'!A28,איילון!A:K,9,0)+VLOOKUP('עולים יורדים'!A28,הראל!A:K,9,0)+VLOOKUP('עולים יורדים'!A28,הפניקס!A:K,9,0)+VLOOKUP('עולים יורדים'!A28,כלל!A:K,9,0)+VLOOKUP('עולים יורדים'!A28,מור!A:K,9,0)+VLOOKUP('עולים יורדים'!A28,'אלטשולר שחם'!A:K,9,0)+VLOOKUP('עולים יורדים'!A28,'מדיהו '!A:K,9,0)+VLOOKUP('עולים יורדים'!A28,'אנליסט '!A:K,9,0)+VLOOKUP('עולים יורדים'!A28,'מיטב דש'!A:K,9,0)+VLOOKUP('עולים יורדים'!A28,אינפניטי!A:K,9,0),0)</f>
        <v>497782.14382611797</v>
      </c>
    </row>
    <row r="60" spans="1:5" ht="15.75" x14ac:dyDescent="0.25">
      <c r="A60" s="26" t="s">
        <v>21</v>
      </c>
      <c r="B60" s="19">
        <f t="shared" si="2"/>
        <v>0</v>
      </c>
      <c r="C60" s="20">
        <f t="shared" si="3"/>
        <v>-1091.49</v>
      </c>
      <c r="D60" s="21">
        <f>IFERROR(VLOOKUP(A60,הכשרה!A:K,5,0)+VLOOKUP('עולים יורדים'!A13,מגדל!A:G,5,0)+VLOOKUP('עולים יורדים'!A13,מנורה!A:G,5,0)+VLOOKUP('עולים יורדים'!A13,איילון!A:G,5,0)+VLOOKUP('עולים יורדים'!A13,הראל!A:G,5,0)+VLOOKUP('עולים יורדים'!A13,הפניקס!A:G,5,0)+VLOOKUP('עולים יורדים'!A13,כלל!A:G,5,0)+VLOOKUP('עולים יורדים'!A13,מור!A:G,5,0)+VLOOKUP('עולים יורדים'!A13,'אלטשולר שחם'!A:G,5,0)+VLOOKUP('עולים יורדים'!A13,'מדיהו '!A:G,5,0)+VLOOKUP('עולים יורדים'!A13,'אנליסט '!A:G,5,0)+VLOOKUP('עולים יורדים'!A13,'מיטב דש'!A:G,5,0)+VLOOKUP('עולים יורדים'!A13,אינפניטי!A:G,5,0),0)</f>
        <v>0</v>
      </c>
      <c r="E60" s="22">
        <f>IFERROR(VLOOKUP(A60,הכשרה!A:K,9,0)+VLOOKUP('עולים יורדים'!A13,מגדל!A:K,9,0)+VLOOKUP('עולים יורדים'!A13,מנורה!A:K,9,0)+VLOOKUP('עולים יורדים'!A13,איילון!A:K,9,0)+VLOOKUP('עולים יורדים'!A13,הראל!A:K,9,0)+VLOOKUP('עולים יורדים'!A13,הפניקס!A:K,9,0)+VLOOKUP('עולים יורדים'!A13,כלל!A:K,9,0)+VLOOKUP('עולים יורדים'!A13,מור!A:K,9,0)+VLOOKUP('עולים יורדים'!A13,'אלטשולר שחם'!A:K,9,0)+VLOOKUP('עולים יורדים'!A13,'מדיהו '!A:K,9,0)+VLOOKUP('עולים יורדים'!A13,'אנליסט '!A:K,9,0)+VLOOKUP('עולים יורדים'!A13,'מיטב דש'!A:K,9,0)+VLOOKUP('עולים יורדים'!A13,אינפניטי!A:K,9,0),0)</f>
        <v>1091.49</v>
      </c>
    </row>
    <row r="61" spans="1:5" ht="15.75" x14ac:dyDescent="0.25">
      <c r="A61" s="26" t="s">
        <v>2</v>
      </c>
      <c r="B61" s="19">
        <f t="shared" si="2"/>
        <v>0.71803252483282964</v>
      </c>
      <c r="C61" s="20">
        <f t="shared" si="3"/>
        <v>10251.649845908696</v>
      </c>
      <c r="D61" s="21">
        <f>IFERROR(VLOOKUP(A61,הכשרה!A:K,5,0)+VLOOKUP('עולים יורדים'!A19,מגדל!A:G,5,0)+VLOOKUP('עולים יורדים'!A19,מנורה!A:G,5,0)+VLOOKUP('עולים יורדים'!A19,איילון!A:G,5,0)+VLOOKUP('עולים יורדים'!A19,הראל!A:G,5,0)+VLOOKUP('עולים יורדים'!A19,הפניקס!A:G,5,0)+VLOOKUP('עולים יורדים'!A19,כלל!A:G,5,0)+VLOOKUP('עולים יורדים'!A19,מור!A:G,5,0)+VLOOKUP('עולים יורדים'!A19,'אלטשולר שחם'!A:G,5,0)+VLOOKUP('עולים יורדים'!A19,'מדיהו '!A:G,5,0)+VLOOKUP('עולים יורדים'!A19,'אנליסט '!A:G,5,0)+VLOOKUP('עולים יורדים'!A19,'מיטב דש'!A:G,5,0)+VLOOKUP('עולים יורדים'!A19,אינפניטי!A:G,5,0),0)</f>
        <v>24529.066942432921</v>
      </c>
      <c r="E61" s="22">
        <f>IFERROR(VLOOKUP(A61,הכשרה!A:K,9,0)+VLOOKUP('עולים יורדים'!A19,מגדל!A:K,9,0)+VLOOKUP('עולים יורדים'!A19,מנורה!A:K,9,0)+VLOOKUP('עולים יורדים'!A19,איילון!A:K,9,0)+VLOOKUP('עולים יורדים'!A19,הראל!A:K,9,0)+VLOOKUP('עולים יורדים'!A19,הפניקס!A:K,9,0)+VLOOKUP('עולים יורדים'!A19,כלל!A:K,9,0)+VLOOKUP('עולים יורדים'!A19,מור!A:K,9,0)+VLOOKUP('עולים יורדים'!A19,'אלטשולר שחם'!A:K,9,0)+VLOOKUP('עולים יורדים'!A19,'מדיהו '!A:K,9,0)+VLOOKUP('עולים יורדים'!A19,'אנליסט '!A:K,9,0)+VLOOKUP('עולים יורדים'!A19,'מיטב דש'!A:K,9,0)+VLOOKUP('עולים יורדים'!A19,אינפניטי!A:K,9,0),0)</f>
        <v>14277.417096524225</v>
      </c>
    </row>
    <row r="62" spans="1:5" ht="15.75" x14ac:dyDescent="0.25">
      <c r="A62" s="30" t="s">
        <v>15</v>
      </c>
      <c r="B62" s="19">
        <f t="shared" si="2"/>
        <v>0</v>
      </c>
      <c r="C62" s="20">
        <f t="shared" si="3"/>
        <v>0</v>
      </c>
      <c r="D62" s="21">
        <f>IFERROR(VLOOKUP(A62,הכשרה!A:K,5,0)+VLOOKUP('עולים יורדים'!A24,מגדל!A:G,5,0)+VLOOKUP('עולים יורדים'!A24,מנורה!A:G,5,0)+VLOOKUP('עולים יורדים'!A24,איילון!A:G,5,0)+VLOOKUP('עולים יורדים'!A24,הראל!A:G,5,0)+VLOOKUP('עולים יורדים'!A24,הפניקס!A:G,5,0)+VLOOKUP('עולים יורדים'!A24,כלל!A:G,5,0)+VLOOKUP('עולים יורדים'!A24,מור!A:G,5,0)+VLOOKUP('עולים יורדים'!A24,'אלטשולר שחם'!A:G,5,0)+VLOOKUP('עולים יורדים'!A24,'מדיהו '!A:G,5,0)+VLOOKUP('עולים יורדים'!A24,'אנליסט '!A:G,5,0)+VLOOKUP('עולים יורדים'!A24,'מיטב דש'!A:G,5,0)+VLOOKUP('עולים יורדים'!A24,אינפניטי!A:G,5,0),0)</f>
        <v>0</v>
      </c>
      <c r="E62" s="22">
        <f>IFERROR(VLOOKUP(A62,הכשרה!A:K,9,0)+VLOOKUP('עולים יורדים'!A24,מגדל!A:K,9,0)+VLOOKUP('עולים יורדים'!A24,מנורה!A:K,9,0)+VLOOKUP('עולים יורדים'!A24,איילון!A:K,9,0)+VLOOKUP('עולים יורדים'!A24,הראל!A:K,9,0)+VLOOKUP('עולים יורדים'!A24,הפניקס!A:K,9,0)+VLOOKUP('עולים יורדים'!A24,כלל!A:K,9,0)+VLOOKUP('עולים יורדים'!A24,מור!A:K,9,0)+VLOOKUP('עולים יורדים'!A24,'אלטשולר שחם'!A:K,9,0)+VLOOKUP('עולים יורדים'!A24,'מדיהו '!A:K,9,0)+VLOOKUP('עולים יורדים'!A24,'אנליסט '!A:K,9,0)+VLOOKUP('עולים יורדים'!A24,'מיטב דש'!A:K,9,0)+VLOOKUP('עולים יורדים'!A24,אינפניטי!A:K,9,0),0)</f>
        <v>0</v>
      </c>
    </row>
    <row r="63" spans="1:5" ht="15.75" x14ac:dyDescent="0.25">
      <c r="A63" s="30" t="s">
        <v>17</v>
      </c>
      <c r="B63" s="19">
        <f t="shared" si="2"/>
        <v>-0.30420570882766584</v>
      </c>
      <c r="C63" s="20">
        <f t="shared" si="3"/>
        <v>-68443.743224986451</v>
      </c>
      <c r="D63" s="21">
        <f>IFERROR(VLOOKUP(A63,הכשרה!A:K,5,0)+VLOOKUP('עולים יורדים'!A9,מגדל!A:G,5,0)+VLOOKUP('עולים יורדים'!A9,מנורה!A:G,5,0)+VLOOKUP('עולים יורדים'!A9,איילון!A:G,5,0)+VLOOKUP('עולים יורדים'!A9,הראל!A:G,5,0)+VLOOKUP('עולים יורדים'!A9,הפניקס!A:G,5,0)+VLOOKUP('עולים יורדים'!A9,כלל!A:G,5,0)+VLOOKUP('עולים יורדים'!A9,מור!A:G,5,0)+VLOOKUP('עולים יורדים'!A9,'אלטשולר שחם'!A:G,5,0)+VLOOKUP('עולים יורדים'!A9,'מדיהו '!A:G,5,0)+VLOOKUP('עולים יורדים'!A9,'אנליסט '!A:G,5,0)+VLOOKUP('עולים יורדים'!A9,'מיטב דש'!A:G,5,0)+VLOOKUP('עולים יורדים'!A9,אינפניטי!A:G,5,0),0)</f>
        <v>156547.90301581498</v>
      </c>
      <c r="E63" s="22">
        <f>IFERROR(VLOOKUP(A63,הכשרה!A:K,9,0)+VLOOKUP('עולים יורדים'!A9,מגדל!A:K,9,0)+VLOOKUP('עולים יורדים'!A9,מנורה!A:K,9,0)+VLOOKUP('עולים יורדים'!A9,איילון!A:K,9,0)+VLOOKUP('עולים יורדים'!A9,הראל!A:K,9,0)+VLOOKUP('עולים יורדים'!A9,הפניקס!A:K,9,0)+VLOOKUP('עולים יורדים'!A9,כלל!A:K,9,0)+VLOOKUP('עולים יורדים'!A9,מור!A:K,9,0)+VLOOKUP('עולים יורדים'!A9,'אלטשולר שחם'!A:K,9,0)+VLOOKUP('עולים יורדים'!A9,'מדיהו '!A:K,9,0)+VLOOKUP('עולים יורדים'!A9,'אנליסט '!A:K,9,0)+VLOOKUP('עולים יורדים'!A9,'מיטב דש'!A:K,9,0)+VLOOKUP('עולים יורדים'!A9,אינפניטי!A:K,9,0),0)</f>
        <v>224991.64624080143</v>
      </c>
    </row>
    <row r="64" spans="1:5" ht="15.75" x14ac:dyDescent="0.25">
      <c r="A64" s="201" t="s">
        <v>36</v>
      </c>
      <c r="B64" s="19">
        <f t="shared" si="2"/>
        <v>0.22278481012658213</v>
      </c>
      <c r="C64" s="20">
        <f t="shared" si="3"/>
        <v>1.7599999999999998</v>
      </c>
      <c r="D64" s="21">
        <f>IFERROR(VLOOKUP(A64,הכשרה!A:K,5,0)+VLOOKUP('עולים יורדים'!A60,מגדל!A:G,5,0)+VLOOKUP('עולים יורדים'!A60,מנורה!A:G,5,0)+VLOOKUP('עולים יורדים'!A60,איילון!A:G,5,0)+VLOOKUP('עולים יורדים'!A60,הראל!A:G,5,0)+VLOOKUP('עולים יורדים'!A60,הפניקס!A:G,5,0)+VLOOKUP('עולים יורדים'!A60,כלל!A:G,5,0)+VLOOKUP('עולים יורדים'!A60,מור!A:G,5,0)+VLOOKUP('עולים יורדים'!A60,'אלטשולר שחם'!A:G,5,0)+VLOOKUP('עולים יורדים'!A60,'מדיהו '!A:G,5,0)+VLOOKUP('עולים יורדים'!A60,'אנליסט '!A:G,5,0)+VLOOKUP('עולים יורדים'!A60,'מיטב דש'!A:G,5,0)+VLOOKUP('עולים יורדים'!A60,אינפניטי!A:G,5,0),0)</f>
        <v>9.66</v>
      </c>
      <c r="E64" s="22">
        <f>IFERROR(VLOOKUP(A64,הכשרה!A:K,9,0)+VLOOKUP('עולים יורדים'!A60,מגדל!A:K,9,0)+VLOOKUP('עולים יורדים'!A60,מנורה!A:K,9,0)+VLOOKUP('עולים יורדים'!A60,איילון!A:K,9,0)+VLOOKUP('עולים יורדים'!A60,הראל!A:K,9,0)+VLOOKUP('עולים יורדים'!A60,הפניקס!A:K,9,0)+VLOOKUP('עולים יורדים'!A60,כלל!A:K,9,0)+VLOOKUP('עולים יורדים'!A60,מור!A:K,9,0)+VLOOKUP('עולים יורדים'!A60,'אלטשולר שחם'!A:K,9,0)+VLOOKUP('עולים יורדים'!A60,'מדיהו '!A:K,9,0)+VLOOKUP('עולים יורדים'!A60,'אנליסט '!A:K,9,0)+VLOOKUP('עולים יורדים'!A60,'מיטב דש'!A:K,9,0)+VLOOKUP('עולים יורדים'!A60,אינפניטי!A:K,9,0),0)</f>
        <v>7.9</v>
      </c>
    </row>
    <row r="65" spans="1:5" ht="15.75" x14ac:dyDescent="0.25">
      <c r="A65" s="26" t="s">
        <v>82</v>
      </c>
      <c r="B65" s="19">
        <f t="shared" si="2"/>
        <v>0.53864855225003261</v>
      </c>
      <c r="C65" s="20">
        <f t="shared" si="3"/>
        <v>20034.569310740117</v>
      </c>
      <c r="D65" s="21">
        <f>IFERROR(VLOOKUP(A65,הכשרה!A:K,5,0)+VLOOKUP('עולים יורדים'!A63,מגדל!A:G,5,0)+VLOOKUP('עולים יורדים'!A63,מנורה!A:G,5,0)+VLOOKUP('עולים יורדים'!A63,איילון!A:G,5,0)+VLOOKUP('עולים יורדים'!A63,הראל!A:G,5,0)+VLOOKUP('עולים יורדים'!A63,הפניקס!A:G,5,0)+VLOOKUP('עולים יורדים'!A63,כלל!A:G,5,0)+VLOOKUP('עולים יורדים'!A63,מור!A:G,5,0)+VLOOKUP('עולים יורדים'!A63,'אלטשולר שחם'!A:G,5,0)+VLOOKUP('עולים יורדים'!A63,'מדיהו '!A:G,5,0)+VLOOKUP('עולים יורדים'!A63,'אנליסט '!A:G,5,0)+VLOOKUP('עולים יורדים'!A63,'מיטב דש'!A:G,5,0)+VLOOKUP('עולים יורדים'!A63,אינפניטי!A:G,5,0),0)</f>
        <v>57228.708656426817</v>
      </c>
      <c r="E65" s="22">
        <f>IFERROR(VLOOKUP(A65,הכשרה!A:K,9,0)+VLOOKUP('עולים יורדים'!A63,מגדל!A:K,9,0)+VLOOKUP('עולים יורדים'!A63,מנורה!A:K,9,0)+VLOOKUP('עולים יורדים'!A63,איילון!A:K,9,0)+VLOOKUP('עולים יורדים'!A63,הראל!A:K,9,0)+VLOOKUP('עולים יורדים'!A63,הפניקס!A:K,9,0)+VLOOKUP('עולים יורדים'!A63,כלל!A:K,9,0)+VLOOKUP('עולים יורדים'!A63,מור!A:K,9,0)+VLOOKUP('עולים יורדים'!A63,'אלטשולר שחם'!A:K,9,0)+VLOOKUP('עולים יורדים'!A63,'מדיהו '!A:K,9,0)+VLOOKUP('עולים יורדים'!A63,'אנליסט '!A:K,9,0)+VLOOKUP('עולים יורדים'!A63,'מיטב דש'!A:K,9,0)+VLOOKUP('עולים יורדים'!A63,אינפניטי!A:K,9,0),0)</f>
        <v>37194.139345686701</v>
      </c>
    </row>
    <row r="66" spans="1:5" ht="15.75" x14ac:dyDescent="0.25">
      <c r="A66" s="26" t="s">
        <v>22</v>
      </c>
      <c r="B66" s="19">
        <f t="shared" si="2"/>
        <v>7.3055736245677707</v>
      </c>
      <c r="C66" s="20">
        <f t="shared" si="3"/>
        <v>8535.5399999999991</v>
      </c>
      <c r="D66" s="21">
        <f>IFERROR(VLOOKUP(A66,הכשרה!A:K,5,0)+VLOOKUP('עולים יורדים'!A14,מגדל!A:G,5,0)+VLOOKUP('עולים יורדים'!A14,מנורה!A:G,5,0)+VLOOKUP('עולים יורדים'!A14,איילון!A:G,5,0)+VLOOKUP('עולים יורדים'!A14,הראל!A:G,5,0)+VLOOKUP('עולים יורדים'!A14,הפניקס!A:G,5,0)+VLOOKUP('עולים יורדים'!A14,כלל!A:G,5,0)+VLOOKUP('עולים יורדים'!A14,מור!A:G,5,0)+VLOOKUP('עולים יורדים'!A14,'אלטשולר שחם'!A:G,5,0)+VLOOKUP('עולים יורדים'!A14,'מדיהו '!A:G,5,0)+VLOOKUP('עולים יורדים'!A14,'אנליסט '!A:G,5,0)+VLOOKUP('עולים יורדים'!A14,'מיטב דש'!A:G,5,0)+VLOOKUP('עולים יורדים'!A14,אינפניטי!A:G,5,0),0)</f>
        <v>9703.9</v>
      </c>
      <c r="E66" s="22">
        <f>IFERROR(VLOOKUP(A66,הכשרה!A:K,9,0)+VLOOKUP('עולים יורדים'!A14,מגדל!A:K,9,0)+VLOOKUP('עולים יורדים'!A14,מנורה!A:K,9,0)+VLOOKUP('עולים יורדים'!A14,איילון!A:K,9,0)+VLOOKUP('עולים יורדים'!A14,הראל!A:K,9,0)+VLOOKUP('עולים יורדים'!A14,הפניקס!A:K,9,0)+VLOOKUP('עולים יורדים'!A14,כלל!A:K,9,0)+VLOOKUP('עולים יורדים'!A14,מור!A:K,9,0)+VLOOKUP('עולים יורדים'!A14,'אלטשולר שחם'!A:K,9,0)+VLOOKUP('עולים יורדים'!A14,'מדיהו '!A:K,9,0)+VLOOKUP('עולים יורדים'!A14,'אנליסט '!A:K,9,0)+VLOOKUP('עולים יורדים'!A14,'מיטב דש'!A:K,9,0)+VLOOKUP('עולים יורדים'!A14,אינפניטי!A:K,9,0),0)</f>
        <v>1168.3599999999999</v>
      </c>
    </row>
  </sheetData>
  <autoFilter ref="A1:F66" xr:uid="{86B556E0-BEA5-4A33-8A86-06A0464561C3}"/>
  <sortState xmlns:xlrd2="http://schemas.microsoft.com/office/spreadsheetml/2017/richdata2" ref="A2:E68">
    <sortCondition ref="B1:B68"/>
  </sortState>
  <conditionalFormatting sqref="A1:A16">
    <cfRule type="duplicateValues" dxfId="215" priority="168"/>
    <cfRule type="duplicateValues" dxfId="214" priority="169"/>
  </conditionalFormatting>
  <conditionalFormatting sqref="A45">
    <cfRule type="duplicateValues" dxfId="213" priority="1"/>
    <cfRule type="duplicateValues" dxfId="212" priority="2"/>
  </conditionalFormatting>
  <conditionalFormatting sqref="A46:A51 A17:A44 A53:A58">
    <cfRule type="duplicateValues" dxfId="211" priority="11"/>
    <cfRule type="duplicateValues" dxfId="210" priority="12"/>
  </conditionalFormatting>
  <conditionalFormatting sqref="A65">
    <cfRule type="duplicateValues" dxfId="209" priority="5"/>
    <cfRule type="duplicateValues" dxfId="208" priority="6"/>
  </conditionalFormatting>
  <conditionalFormatting sqref="A66 A59:A64">
    <cfRule type="duplicateValues" dxfId="207" priority="9"/>
    <cfRule type="duplicateValues" dxfId="206" priority="10"/>
  </conditionalFormatting>
  <conditionalFormatting sqref="B2:B66">
    <cfRule type="cellIs" dxfId="205" priority="24" operator="lessThan">
      <formula>-0.0001</formula>
    </cfRule>
    <cfRule type="cellIs" dxfId="204" priority="25" operator="greaterThan">
      <formula>0.1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3476-94B3-4EB2-924E-A95904F321CF}">
  <sheetPr>
    <tabColor rgb="FFFFC000"/>
  </sheetPr>
  <dimension ref="A1:K75"/>
  <sheetViews>
    <sheetView rightToLeft="1" topLeftCell="A45" workbookViewId="0">
      <selection activeCell="A61" sqref="A61:C61"/>
    </sheetView>
  </sheetViews>
  <sheetFormatPr defaultColWidth="22.375" defaultRowHeight="15" x14ac:dyDescent="0.25"/>
  <cols>
    <col min="1" max="1" width="30" style="32" bestFit="1" customWidth="1"/>
    <col min="2" max="2" width="10.75" style="32" bestFit="1" customWidth="1"/>
    <col min="3" max="3" width="11.75" style="32" bestFit="1" customWidth="1"/>
    <col min="4" max="4" width="14.375" bestFit="1" customWidth="1"/>
    <col min="5" max="5" width="14.75" bestFit="1" customWidth="1"/>
    <col min="6" max="6" width="15.375" bestFit="1" customWidth="1"/>
    <col min="7" max="7" width="19" bestFit="1" customWidth="1"/>
    <col min="8" max="8" width="14.375" style="3" bestFit="1" customWidth="1"/>
    <col min="9" max="9" width="14.75" style="3" bestFit="1" customWidth="1"/>
    <col min="10" max="10" width="15.375" style="3" bestFit="1" customWidth="1"/>
    <col min="11" max="11" width="19" bestFit="1" customWidth="1"/>
  </cols>
  <sheetData>
    <row r="1" spans="1:11" ht="21" x14ac:dyDescent="0.2">
      <c r="A1" s="26"/>
      <c r="B1" s="26"/>
      <c r="C1" s="26"/>
      <c r="D1" s="237">
        <v>2025</v>
      </c>
      <c r="E1" s="237"/>
      <c r="F1" s="237"/>
      <c r="G1" s="237"/>
      <c r="H1" s="238">
        <v>2024</v>
      </c>
      <c r="I1" s="238"/>
      <c r="J1" s="238"/>
      <c r="K1" s="238"/>
    </row>
    <row r="2" spans="1:11" ht="21" x14ac:dyDescent="0.2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75" x14ac:dyDescent="0.25">
      <c r="A3" s="26" t="s">
        <v>1</v>
      </c>
      <c r="B3" s="26" t="s">
        <v>108</v>
      </c>
      <c r="C3" s="26" t="s">
        <v>58</v>
      </c>
      <c r="D3" s="14"/>
      <c r="E3" s="14">
        <v>1952</v>
      </c>
      <c r="F3" s="14"/>
      <c r="G3" s="14"/>
      <c r="H3" s="96"/>
      <c r="I3" s="96">
        <v>3021</v>
      </c>
      <c r="J3" s="96"/>
      <c r="K3" s="96"/>
    </row>
    <row r="4" spans="1:11" ht="15.75" x14ac:dyDescent="0.25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75" x14ac:dyDescent="0.25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75" x14ac:dyDescent="0.25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116"/>
      <c r="I6" s="116"/>
      <c r="J6" s="116"/>
      <c r="K6" s="116"/>
    </row>
    <row r="7" spans="1:11" ht="16.5" thickBot="1" x14ac:dyDescent="0.3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75" thickBot="1" x14ac:dyDescent="0.35">
      <c r="A8" s="122" t="s">
        <v>3</v>
      </c>
      <c r="B8" s="121"/>
      <c r="C8" s="121"/>
      <c r="D8" s="176">
        <f>SUM(D3:D7)</f>
        <v>0</v>
      </c>
      <c r="E8" s="176">
        <f t="shared" ref="E8:K8" si="0">SUM(E3:E7)</f>
        <v>1952</v>
      </c>
      <c r="F8" s="176">
        <f t="shared" si="0"/>
        <v>0</v>
      </c>
      <c r="G8" s="176">
        <f t="shared" si="0"/>
        <v>0</v>
      </c>
      <c r="H8" s="176">
        <f t="shared" si="0"/>
        <v>0</v>
      </c>
      <c r="I8" s="176">
        <f t="shared" si="0"/>
        <v>3021</v>
      </c>
      <c r="J8" s="176">
        <f t="shared" si="0"/>
        <v>0</v>
      </c>
      <c r="K8" s="176">
        <f t="shared" si="0"/>
        <v>0</v>
      </c>
    </row>
    <row r="9" spans="1:11" ht="15.75" x14ac:dyDescent="0.25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119"/>
      <c r="I9" s="119"/>
      <c r="J9" s="119"/>
      <c r="K9" s="119"/>
    </row>
    <row r="10" spans="1:11" ht="15.75" x14ac:dyDescent="0.25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75" x14ac:dyDescent="0.25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75" x14ac:dyDescent="0.25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75" x14ac:dyDescent="0.25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75" x14ac:dyDescent="0.25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/>
    </row>
    <row r="15" spans="1:11" ht="15.75" x14ac:dyDescent="0.25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75" x14ac:dyDescent="0.25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75" x14ac:dyDescent="0.25">
      <c r="A17" s="26" t="s">
        <v>42</v>
      </c>
      <c r="B17" s="26" t="s">
        <v>108</v>
      </c>
      <c r="C17" s="26" t="s">
        <v>106</v>
      </c>
      <c r="D17" s="14"/>
      <c r="E17" s="14"/>
      <c r="F17" s="14"/>
      <c r="G17" s="14"/>
      <c r="H17" s="96"/>
      <c r="I17" s="96"/>
      <c r="J17" s="96"/>
      <c r="K17" s="96"/>
    </row>
    <row r="18" spans="1:11" ht="15.75" x14ac:dyDescent="0.25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/>
    </row>
    <row r="19" spans="1:11" ht="15.75" x14ac:dyDescent="0.25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6.5" thickBot="1" x14ac:dyDescent="0.3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116"/>
      <c r="I20" s="116"/>
      <c r="J20" s="116"/>
      <c r="K20" s="116"/>
    </row>
    <row r="21" spans="1:11" ht="21.75" thickBot="1" x14ac:dyDescent="0.3">
      <c r="A21" s="122" t="s">
        <v>10</v>
      </c>
      <c r="B21" s="121"/>
      <c r="C21" s="121"/>
      <c r="D21" s="120">
        <f>SUM(D9:D20)</f>
        <v>0</v>
      </c>
      <c r="E21" s="120">
        <f t="shared" ref="E21:K21" si="1">SUM(E9:E20)</f>
        <v>0</v>
      </c>
      <c r="F21" s="120">
        <f t="shared" si="1"/>
        <v>0</v>
      </c>
      <c r="G21" s="120">
        <f>SUM(G9:G20)</f>
        <v>0</v>
      </c>
      <c r="H21" s="120">
        <f t="shared" si="1"/>
        <v>0</v>
      </c>
      <c r="I21" s="120">
        <f t="shared" si="1"/>
        <v>0</v>
      </c>
      <c r="J21" s="120">
        <f t="shared" si="1"/>
        <v>0</v>
      </c>
      <c r="K21" s="120">
        <f t="shared" si="1"/>
        <v>0</v>
      </c>
    </row>
    <row r="22" spans="1:11" ht="15.75" x14ac:dyDescent="0.25">
      <c r="A22" s="27" t="s">
        <v>11</v>
      </c>
      <c r="B22" s="27" t="s">
        <v>56</v>
      </c>
      <c r="C22" s="27" t="s">
        <v>107</v>
      </c>
      <c r="D22" s="18"/>
      <c r="E22" s="18"/>
      <c r="F22" s="18"/>
      <c r="G22" s="18"/>
      <c r="H22" s="119"/>
      <c r="I22" s="119"/>
      <c r="J22" s="119"/>
      <c r="K22" s="119"/>
    </row>
    <row r="23" spans="1:11" ht="15.75" x14ac:dyDescent="0.25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/>
      <c r="I23" s="96"/>
      <c r="J23" s="96"/>
      <c r="K23" s="96"/>
    </row>
    <row r="24" spans="1:11" ht="15.75" x14ac:dyDescent="0.25">
      <c r="A24" s="30" t="s">
        <v>13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75" x14ac:dyDescent="0.25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75" x14ac:dyDescent="0.25">
      <c r="A26" s="30" t="s">
        <v>15</v>
      </c>
      <c r="B26" s="26" t="s">
        <v>56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75" x14ac:dyDescent="0.25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75" x14ac:dyDescent="0.25">
      <c r="A28" s="30" t="s">
        <v>18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75" x14ac:dyDescent="0.25">
      <c r="A29" s="26" t="s">
        <v>19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75" x14ac:dyDescent="0.25">
      <c r="A30" s="26" t="s">
        <v>20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75" x14ac:dyDescent="0.25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75" x14ac:dyDescent="0.25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1" ht="15.75" x14ac:dyDescent="0.25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1" ht="15.75" x14ac:dyDescent="0.25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1" ht="15.75" x14ac:dyDescent="0.25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1" ht="15.75" x14ac:dyDescent="0.25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1" ht="15.75" x14ac:dyDescent="0.25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1" ht="15.75" x14ac:dyDescent="0.25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1" ht="15.75" x14ac:dyDescent="0.25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1" ht="15.75" x14ac:dyDescent="0.25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1" ht="15.75" x14ac:dyDescent="0.25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1" ht="15.75" x14ac:dyDescent="0.25">
      <c r="A42" s="30" t="s">
        <v>95</v>
      </c>
      <c r="B42" s="26" t="s">
        <v>56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1" ht="15.75" x14ac:dyDescent="0.25">
      <c r="A43" s="26" t="s">
        <v>83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1" ht="15.75" x14ac:dyDescent="0.25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1" ht="15.75" x14ac:dyDescent="0.25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1" ht="15.75" x14ac:dyDescent="0.25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</row>
    <row r="47" spans="1:11" ht="15.75" x14ac:dyDescent="0.25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</row>
    <row r="48" spans="1:11" ht="15.75" x14ac:dyDescent="0.25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1" ht="15.75" x14ac:dyDescent="0.25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1" ht="15.75" x14ac:dyDescent="0.25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1" ht="15.75" x14ac:dyDescent="0.25">
      <c r="A51" s="26" t="s">
        <v>91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1" ht="15.75" x14ac:dyDescent="0.25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1" ht="16.5" thickBot="1" x14ac:dyDescent="0.3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116"/>
      <c r="I53" s="116"/>
      <c r="J53" s="116"/>
      <c r="K53" s="116"/>
    </row>
    <row r="54" spans="1:11" ht="21.75" thickBot="1" x14ac:dyDescent="0.3">
      <c r="A54" s="123" t="s">
        <v>116</v>
      </c>
      <c r="B54" s="121"/>
      <c r="C54" s="121"/>
      <c r="D54" s="120">
        <f t="shared" ref="D54:K54" ca="1" si="2">SUM(D21:D56)</f>
        <v>0</v>
      </c>
      <c r="E54" s="120">
        <f t="shared" ca="1" si="2"/>
        <v>0</v>
      </c>
      <c r="F54" s="120">
        <f t="shared" ca="1" si="2"/>
        <v>0</v>
      </c>
      <c r="G54" s="120">
        <f t="shared" ca="1" si="2"/>
        <v>0</v>
      </c>
      <c r="H54" s="120">
        <f t="shared" ca="1" si="2"/>
        <v>0</v>
      </c>
      <c r="I54" s="120">
        <f t="shared" ca="1" si="2"/>
        <v>0</v>
      </c>
      <c r="J54" s="120">
        <f t="shared" ca="1" si="2"/>
        <v>0</v>
      </c>
      <c r="K54" s="120">
        <f t="shared" ca="1" si="2"/>
        <v>0</v>
      </c>
    </row>
    <row r="55" spans="1:11" ht="15.75" x14ac:dyDescent="0.25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/>
      <c r="I55" s="96"/>
      <c r="J55" s="96"/>
      <c r="K55" s="96"/>
    </row>
    <row r="56" spans="1:11" ht="15.75" x14ac:dyDescent="0.25">
      <c r="A56" s="26" t="s">
        <v>84</v>
      </c>
      <c r="B56" s="26" t="s">
        <v>115</v>
      </c>
      <c r="C56" s="26" t="s">
        <v>107</v>
      </c>
      <c r="D56" s="14"/>
      <c r="E56" s="14"/>
      <c r="F56" s="14"/>
      <c r="G56" s="14"/>
      <c r="H56" s="96"/>
      <c r="I56" s="96"/>
      <c r="J56" s="96"/>
      <c r="K56" s="96"/>
    </row>
    <row r="57" spans="1:11" ht="15.75" x14ac:dyDescent="0.25">
      <c r="A57" s="26" t="s">
        <v>37</v>
      </c>
      <c r="B57" s="26" t="s">
        <v>115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</row>
    <row r="58" spans="1:11" ht="15.75" x14ac:dyDescent="0.25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</row>
    <row r="59" spans="1:11" ht="15.75" x14ac:dyDescent="0.25">
      <c r="A59" s="27" t="s">
        <v>86</v>
      </c>
      <c r="B59" s="27" t="s">
        <v>115</v>
      </c>
      <c r="C59" s="27" t="s">
        <v>107</v>
      </c>
      <c r="D59" s="14"/>
      <c r="E59" s="14"/>
      <c r="F59" s="14"/>
      <c r="G59" s="14"/>
      <c r="H59" s="96"/>
      <c r="I59" s="96"/>
      <c r="J59" s="96"/>
      <c r="K59" s="96"/>
    </row>
    <row r="60" spans="1:11" ht="15.75" x14ac:dyDescent="0.25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</row>
    <row r="61" spans="1:11" ht="15.75" x14ac:dyDescent="0.25">
      <c r="A61" s="246" t="s">
        <v>136</v>
      </c>
      <c r="B61" s="26" t="s">
        <v>115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1" ht="15.75" customHeight="1" thickBot="1" x14ac:dyDescent="0.3">
      <c r="A62" s="117" t="s">
        <v>99</v>
      </c>
      <c r="B62" s="26" t="s">
        <v>115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1" ht="21.75" thickBot="1" x14ac:dyDescent="0.3">
      <c r="A63" s="123" t="s">
        <v>117</v>
      </c>
      <c r="B63" s="121"/>
      <c r="C63" s="121"/>
      <c r="D63" s="120">
        <f t="shared" ref="D63:K63" si="3">SUM(D22:D53)</f>
        <v>0</v>
      </c>
      <c r="E63" s="120">
        <f t="shared" si="3"/>
        <v>0</v>
      </c>
      <c r="F63" s="120">
        <f t="shared" si="3"/>
        <v>0</v>
      </c>
      <c r="G63" s="120">
        <f t="shared" si="3"/>
        <v>0</v>
      </c>
      <c r="H63" s="120">
        <f t="shared" si="3"/>
        <v>0</v>
      </c>
      <c r="I63" s="120">
        <f t="shared" si="3"/>
        <v>0</v>
      </c>
      <c r="J63" s="120">
        <f t="shared" si="3"/>
        <v>0</v>
      </c>
      <c r="K63" s="120">
        <f t="shared" si="3"/>
        <v>0</v>
      </c>
    </row>
    <row r="64" spans="1:11" ht="15.75" x14ac:dyDescent="0.25">
      <c r="A64" s="27" t="s">
        <v>77</v>
      </c>
      <c r="B64" s="26" t="s">
        <v>108</v>
      </c>
      <c r="C64" s="27" t="s">
        <v>102</v>
      </c>
      <c r="D64" s="18"/>
      <c r="E64" s="18"/>
      <c r="F64" s="18"/>
      <c r="G64" s="18"/>
      <c r="H64" s="119"/>
      <c r="I64" s="119"/>
      <c r="J64" s="119"/>
      <c r="K64" s="119"/>
    </row>
    <row r="65" spans="1:11" ht="15.75" x14ac:dyDescent="0.25">
      <c r="A65" s="30" t="s">
        <v>40</v>
      </c>
      <c r="B65" s="26" t="s">
        <v>56</v>
      </c>
      <c r="C65" s="26" t="s">
        <v>103</v>
      </c>
      <c r="D65" s="14"/>
      <c r="E65" s="14"/>
      <c r="F65" s="14"/>
      <c r="G65" s="14"/>
      <c r="H65" s="96"/>
      <c r="I65" s="96"/>
      <c r="J65" s="96"/>
      <c r="K65" s="96"/>
    </row>
    <row r="66" spans="1:11" ht="15.75" x14ac:dyDescent="0.25">
      <c r="A66" s="26" t="s">
        <v>90</v>
      </c>
      <c r="B66" s="26" t="s">
        <v>108</v>
      </c>
      <c r="C66" s="26" t="s">
        <v>103</v>
      </c>
      <c r="D66" s="14"/>
      <c r="E66" s="14"/>
      <c r="F66" s="14"/>
      <c r="G66" s="14"/>
      <c r="H66" s="96"/>
      <c r="I66" s="96"/>
      <c r="J66" s="96"/>
      <c r="K66" s="96"/>
    </row>
    <row r="67" spans="1:11" ht="15.75" x14ac:dyDescent="0.25">
      <c r="A67" s="26" t="s">
        <v>92</v>
      </c>
      <c r="B67" s="26" t="s">
        <v>56</v>
      </c>
      <c r="C67" s="26" t="s">
        <v>103</v>
      </c>
      <c r="D67" s="14"/>
      <c r="E67" s="14"/>
      <c r="F67" s="14"/>
      <c r="G67" s="14"/>
      <c r="H67" s="96"/>
      <c r="I67" s="96"/>
      <c r="J67" s="96"/>
      <c r="K67" s="96"/>
    </row>
    <row r="68" spans="1:11" ht="15.75" x14ac:dyDescent="0.25">
      <c r="A68" s="26" t="s">
        <v>93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</row>
    <row r="69" spans="1:11" ht="15.75" x14ac:dyDescent="0.25">
      <c r="A69" s="26" t="s">
        <v>100</v>
      </c>
      <c r="B69" s="26" t="s">
        <v>56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1" ht="15.75" x14ac:dyDescent="0.25">
      <c r="A70" s="118" t="s">
        <v>101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/>
      <c r="K70" s="96"/>
    </row>
    <row r="71" spans="1:11" ht="16.5" thickBot="1" x14ac:dyDescent="0.3">
      <c r="A71" s="28" t="s">
        <v>81</v>
      </c>
      <c r="B71" s="28" t="s">
        <v>56</v>
      </c>
      <c r="C71" s="28" t="s">
        <v>103</v>
      </c>
      <c r="D71" s="15"/>
      <c r="E71" s="15"/>
      <c r="F71" s="15"/>
      <c r="G71" s="15"/>
      <c r="H71" s="116"/>
      <c r="I71" s="116"/>
      <c r="J71" s="116"/>
      <c r="K71" s="116"/>
    </row>
    <row r="72" spans="1:11" ht="21.75" thickBot="1" x14ac:dyDescent="0.25">
      <c r="A72" s="122" t="s">
        <v>44</v>
      </c>
      <c r="B72" s="121"/>
      <c r="C72" s="121"/>
      <c r="D72" s="131">
        <f t="shared" ref="D72:K72" si="4">SUM(D64:D71)</f>
        <v>0</v>
      </c>
      <c r="E72" s="131">
        <f t="shared" si="4"/>
        <v>0</v>
      </c>
      <c r="F72" s="131">
        <f t="shared" si="4"/>
        <v>0</v>
      </c>
      <c r="G72" s="131">
        <f t="shared" si="4"/>
        <v>0</v>
      </c>
      <c r="H72" s="131">
        <f t="shared" si="4"/>
        <v>0</v>
      </c>
      <c r="I72" s="131">
        <f t="shared" si="4"/>
        <v>0</v>
      </c>
      <c r="J72" s="131">
        <f t="shared" si="4"/>
        <v>0</v>
      </c>
      <c r="K72" s="131">
        <f t="shared" si="4"/>
        <v>0</v>
      </c>
    </row>
    <row r="73" spans="1:11" ht="21.75" thickBot="1" x14ac:dyDescent="0.35">
      <c r="A73" s="122" t="s">
        <v>45</v>
      </c>
      <c r="B73" s="121"/>
      <c r="C73" s="121"/>
      <c r="D73" s="175">
        <f t="shared" ref="D73:K73" si="5">D72+D63+D21+D8</f>
        <v>0</v>
      </c>
      <c r="E73" s="175">
        <f t="shared" si="5"/>
        <v>1952</v>
      </c>
      <c r="F73" s="175">
        <f t="shared" si="5"/>
        <v>0</v>
      </c>
      <c r="G73" s="175">
        <f t="shared" si="5"/>
        <v>0</v>
      </c>
      <c r="H73" s="175">
        <f t="shared" si="5"/>
        <v>0</v>
      </c>
      <c r="I73" s="175">
        <f t="shared" si="5"/>
        <v>3021</v>
      </c>
      <c r="J73" s="132">
        <f t="shared" si="5"/>
        <v>0</v>
      </c>
      <c r="K73" s="132">
        <f t="shared" si="5"/>
        <v>0</v>
      </c>
    </row>
    <row r="74" spans="1:11" x14ac:dyDescent="0.25">
      <c r="H74" s="10"/>
      <c r="I74" s="10"/>
      <c r="J74" s="10"/>
    </row>
    <row r="75" spans="1:11" x14ac:dyDescent="0.25">
      <c r="F75" s="6"/>
    </row>
  </sheetData>
  <autoFilter ref="A2:K73" xr:uid="{DD7F3476-94B3-4EB2-924E-A95904F321CF}"/>
  <mergeCells count="2">
    <mergeCell ref="D1:G1"/>
    <mergeCell ref="H1:K1"/>
  </mergeCells>
  <conditionalFormatting sqref="A14">
    <cfRule type="duplicateValues" dxfId="203" priority="3"/>
    <cfRule type="duplicateValues" dxfId="202" priority="4"/>
  </conditionalFormatting>
  <conditionalFormatting sqref="A55">
    <cfRule type="duplicateValues" dxfId="201" priority="7"/>
    <cfRule type="duplicateValues" dxfId="200" priority="8"/>
  </conditionalFormatting>
  <conditionalFormatting sqref="A56:A58 A7 A22:A53 A60">
    <cfRule type="duplicateValues" dxfId="199" priority="264"/>
    <cfRule type="duplicateValues" dxfId="198" priority="265"/>
  </conditionalFormatting>
  <conditionalFormatting sqref="A59">
    <cfRule type="duplicateValues" dxfId="197" priority="1"/>
    <cfRule type="duplicateValues" dxfId="196" priority="2"/>
  </conditionalFormatting>
  <conditionalFormatting sqref="A64:A71">
    <cfRule type="duplicateValues" dxfId="195" priority="11"/>
    <cfRule type="duplicateValues" dxfId="194" priority="12"/>
  </conditionalFormatting>
  <conditionalFormatting sqref="A72:A73 A1:A6 A8:A13 A15:A21 A54 A63">
    <cfRule type="duplicateValues" dxfId="193" priority="9"/>
    <cfRule type="duplicateValues" dxfId="192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8A06-4D4B-4B30-A1A2-FA16B619E891}">
  <sheetPr>
    <tabColor rgb="FFFFC000"/>
  </sheetPr>
  <dimension ref="A1:M77"/>
  <sheetViews>
    <sheetView rightToLeft="1" zoomScaleNormal="100" workbookViewId="0">
      <pane ySplit="3" topLeftCell="A48" activePane="bottomLeft" state="frozen"/>
      <selection pane="bottomLeft" activeCell="A61" sqref="A61:C61"/>
    </sheetView>
  </sheetViews>
  <sheetFormatPr defaultColWidth="30.125" defaultRowHeight="15" x14ac:dyDescent="0.25"/>
  <cols>
    <col min="1" max="1" width="30" style="32" bestFit="1" customWidth="1"/>
    <col min="2" max="2" width="11.375" style="32" customWidth="1"/>
    <col min="3" max="3" width="11.75" style="32" customWidth="1"/>
    <col min="4" max="4" width="16.875" customWidth="1"/>
    <col min="5" max="5" width="15.25" customWidth="1"/>
    <col min="6" max="6" width="16.875" customWidth="1"/>
    <col min="7" max="7" width="19" customWidth="1"/>
    <col min="8" max="8" width="16.875" style="3" customWidth="1"/>
    <col min="9" max="9" width="15.25" style="3" customWidth="1"/>
    <col min="10" max="10" width="16.875" style="3" customWidth="1"/>
    <col min="11" max="11" width="19" customWidth="1"/>
  </cols>
  <sheetData>
    <row r="1" spans="1:13" ht="21" x14ac:dyDescent="0.2">
      <c r="A1" s="26"/>
      <c r="B1" s="26"/>
      <c r="C1" s="26"/>
      <c r="D1" s="237">
        <v>2025</v>
      </c>
      <c r="E1" s="237"/>
      <c r="F1" s="237"/>
      <c r="G1" s="237"/>
      <c r="H1" s="238">
        <v>2024</v>
      </c>
      <c r="I1" s="238"/>
      <c r="J1" s="238"/>
      <c r="K1" s="238"/>
    </row>
    <row r="2" spans="1:13" ht="21" x14ac:dyDescent="0.2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3" ht="15.75" x14ac:dyDescent="0.25">
      <c r="A3" s="26" t="s">
        <v>1</v>
      </c>
      <c r="B3" s="26" t="s">
        <v>108</v>
      </c>
      <c r="C3" s="26" t="s">
        <v>58</v>
      </c>
      <c r="D3" s="14">
        <f>4015101.83-D4-D6-D16-D50-D51-D67-D71</f>
        <v>3432008.0900000003</v>
      </c>
      <c r="E3" s="14">
        <f>135881.92-E4-E5-E6-E50-E53-E68-E71-E16</f>
        <v>77883.210000000006</v>
      </c>
      <c r="F3" s="14">
        <f>3528047.56-L64-F4-F16-F51-183758</f>
        <v>2507170.84</v>
      </c>
      <c r="G3" s="14">
        <f>37233590.42-G4-G6-G51-G50-G67</f>
        <v>32959297.210000001</v>
      </c>
      <c r="H3" s="96">
        <v>989892.75000000012</v>
      </c>
      <c r="I3" s="96">
        <v>136317.55000000002</v>
      </c>
      <c r="J3" s="96">
        <v>1521475.6300000006</v>
      </c>
      <c r="K3" s="96">
        <v>3909316.3500000006</v>
      </c>
    </row>
    <row r="4" spans="1:13" ht="15.75" x14ac:dyDescent="0.25">
      <c r="A4" s="26" t="s">
        <v>2</v>
      </c>
      <c r="B4" s="26" t="s">
        <v>108</v>
      </c>
      <c r="C4" s="26" t="s">
        <v>58</v>
      </c>
      <c r="D4" s="187">
        <v>231015.33</v>
      </c>
      <c r="E4" s="187">
        <v>6.29</v>
      </c>
      <c r="F4" s="187">
        <v>744932.44000000006</v>
      </c>
      <c r="G4" s="187">
        <v>1805717.26</v>
      </c>
      <c r="H4" s="96">
        <v>259963.19999999998</v>
      </c>
      <c r="I4" s="96">
        <v>0</v>
      </c>
      <c r="J4" s="96">
        <v>2657604.79</v>
      </c>
      <c r="K4" s="96">
        <v>540350.75</v>
      </c>
    </row>
    <row r="5" spans="1:13" ht="15.75" x14ac:dyDescent="0.25">
      <c r="A5" s="26" t="s">
        <v>104</v>
      </c>
      <c r="B5" s="26" t="s">
        <v>108</v>
      </c>
      <c r="C5" s="26" t="s">
        <v>58</v>
      </c>
      <c r="D5" s="14"/>
      <c r="E5" s="187">
        <v>2561.4899999999998</v>
      </c>
      <c r="F5" s="14"/>
      <c r="G5" s="14"/>
      <c r="H5" s="96"/>
      <c r="I5" s="96"/>
      <c r="J5" s="96"/>
      <c r="K5" s="96"/>
      <c r="M5" s="6"/>
    </row>
    <row r="6" spans="1:13" ht="15.75" x14ac:dyDescent="0.25">
      <c r="A6" s="28" t="s">
        <v>105</v>
      </c>
      <c r="B6" s="26" t="s">
        <v>108</v>
      </c>
      <c r="C6" s="28" t="s">
        <v>58</v>
      </c>
      <c r="D6" s="189">
        <v>112466.52</v>
      </c>
      <c r="E6" s="189">
        <v>1498</v>
      </c>
      <c r="F6" s="15"/>
      <c r="G6" s="189">
        <v>792186.53</v>
      </c>
      <c r="H6" s="96"/>
      <c r="I6" s="96"/>
      <c r="J6" s="96"/>
      <c r="K6" s="96"/>
    </row>
    <row r="7" spans="1:13" ht="16.5" thickBot="1" x14ac:dyDescent="0.3">
      <c r="A7" s="26" t="s">
        <v>34</v>
      </c>
      <c r="B7" s="26" t="s">
        <v>108</v>
      </c>
      <c r="C7" s="26" t="s">
        <v>58</v>
      </c>
      <c r="D7" s="14">
        <v>8199.9599999999991</v>
      </c>
      <c r="E7" s="14">
        <v>396.01</v>
      </c>
      <c r="F7" s="14">
        <v>12098.25</v>
      </c>
      <c r="G7" s="6">
        <v>52586.07</v>
      </c>
      <c r="H7" s="96">
        <v>39264.11</v>
      </c>
      <c r="I7" s="96">
        <v>0</v>
      </c>
      <c r="J7" s="96">
        <v>10206.959999999999</v>
      </c>
      <c r="K7" s="96">
        <v>104635.53</v>
      </c>
    </row>
    <row r="8" spans="1:13" ht="21.75" thickBot="1" x14ac:dyDescent="0.4">
      <c r="A8" s="122" t="s">
        <v>3</v>
      </c>
      <c r="B8" s="121"/>
      <c r="C8" s="121"/>
      <c r="D8" s="174">
        <f>SUM(D3:D7)</f>
        <v>3783689.9000000004</v>
      </c>
      <c r="E8" s="174">
        <f t="shared" ref="E8:G8" si="0">SUM(E3:E7)</f>
        <v>82345</v>
      </c>
      <c r="F8" s="174">
        <f t="shared" si="0"/>
        <v>3264201.53</v>
      </c>
      <c r="G8" s="174">
        <f t="shared" si="0"/>
        <v>35609787.07</v>
      </c>
      <c r="H8" s="174">
        <f>SUM(H3:H7)</f>
        <v>1289120.0600000003</v>
      </c>
      <c r="I8" s="174">
        <f t="shared" ref="I8:K8" si="1">SUM(I3:I7)</f>
        <v>136317.55000000002</v>
      </c>
      <c r="J8" s="174">
        <f t="shared" si="1"/>
        <v>4189287.3800000008</v>
      </c>
      <c r="K8" s="174">
        <f t="shared" si="1"/>
        <v>4554302.6300000008</v>
      </c>
    </row>
    <row r="9" spans="1:13" ht="15.75" x14ac:dyDescent="0.25">
      <c r="A9" s="27" t="s">
        <v>4</v>
      </c>
      <c r="B9" s="26" t="s">
        <v>108</v>
      </c>
      <c r="C9" s="27" t="s">
        <v>106</v>
      </c>
      <c r="D9" s="18">
        <v>129.91999999999999</v>
      </c>
      <c r="E9" s="18">
        <v>27.33</v>
      </c>
      <c r="F9" s="18"/>
      <c r="G9" s="18"/>
      <c r="H9" s="96">
        <v>0</v>
      </c>
      <c r="I9" s="96">
        <v>80.959999999999994</v>
      </c>
      <c r="J9" s="96">
        <v>0</v>
      </c>
      <c r="K9" s="96">
        <v>0</v>
      </c>
    </row>
    <row r="10" spans="1:13" ht="15.75" x14ac:dyDescent="0.25">
      <c r="A10" s="26" t="s">
        <v>5</v>
      </c>
      <c r="B10" s="26" t="s">
        <v>108</v>
      </c>
      <c r="C10" s="26" t="s">
        <v>106</v>
      </c>
      <c r="D10" s="14">
        <v>6539.23</v>
      </c>
      <c r="E10" s="14">
        <v>54034.61</v>
      </c>
      <c r="F10" s="14"/>
      <c r="G10" s="14"/>
      <c r="H10" s="96">
        <v>1946.5600000000002</v>
      </c>
      <c r="I10" s="96">
        <v>0</v>
      </c>
      <c r="J10" s="96">
        <v>0</v>
      </c>
      <c r="K10" s="96">
        <v>0</v>
      </c>
    </row>
    <row r="11" spans="1:13" ht="15.75" x14ac:dyDescent="0.25">
      <c r="A11" s="26" t="s">
        <v>6</v>
      </c>
      <c r="B11" s="26" t="s">
        <v>108</v>
      </c>
      <c r="C11" s="26" t="s">
        <v>106</v>
      </c>
      <c r="D11" s="14">
        <v>30538.38</v>
      </c>
      <c r="E11" s="14">
        <v>1563.27</v>
      </c>
      <c r="F11" s="14">
        <v>267375.05</v>
      </c>
      <c r="G11" s="14">
        <v>504043.75</v>
      </c>
      <c r="H11" s="96">
        <v>42324.49</v>
      </c>
      <c r="I11" s="96">
        <v>5982.34</v>
      </c>
      <c r="J11" s="96">
        <v>60787.61</v>
      </c>
      <c r="K11" s="96">
        <v>245646.39</v>
      </c>
    </row>
    <row r="12" spans="1:13" ht="15.75" x14ac:dyDescent="0.25">
      <c r="A12" s="26" t="s">
        <v>7</v>
      </c>
      <c r="B12" s="26" t="s">
        <v>108</v>
      </c>
      <c r="C12" s="26" t="s">
        <v>106</v>
      </c>
      <c r="D12" s="14">
        <v>94573.23</v>
      </c>
      <c r="E12" s="14">
        <v>3182.46</v>
      </c>
      <c r="F12" s="14"/>
      <c r="G12" s="14"/>
      <c r="H12" s="96">
        <v>0</v>
      </c>
      <c r="I12" s="96">
        <v>171.58</v>
      </c>
      <c r="J12" s="96">
        <v>0</v>
      </c>
      <c r="K12" s="96">
        <v>0</v>
      </c>
    </row>
    <row r="13" spans="1:13" ht="15.75" x14ac:dyDescent="0.25">
      <c r="A13" s="26" t="s">
        <v>8</v>
      </c>
      <c r="B13" s="26" t="s">
        <v>108</v>
      </c>
      <c r="C13" s="26" t="s">
        <v>106</v>
      </c>
      <c r="D13" s="14"/>
      <c r="E13" s="14">
        <v>575.22</v>
      </c>
      <c r="F13" s="14"/>
      <c r="G13" s="14"/>
      <c r="H13" s="96">
        <v>0</v>
      </c>
      <c r="I13" s="96">
        <v>13070.500000000002</v>
      </c>
      <c r="J13" s="96">
        <v>789949.54</v>
      </c>
      <c r="K13" s="96">
        <v>108426.28</v>
      </c>
    </row>
    <row r="14" spans="1:13" ht="15.75" x14ac:dyDescent="0.25">
      <c r="A14" s="26" t="s">
        <v>9</v>
      </c>
      <c r="B14" s="26" t="s">
        <v>108</v>
      </c>
      <c r="C14" s="26" t="s">
        <v>106</v>
      </c>
      <c r="D14" s="14">
        <v>60654.53</v>
      </c>
      <c r="E14" s="14">
        <v>361.17</v>
      </c>
      <c r="F14" s="14">
        <v>186224.8</v>
      </c>
      <c r="G14" s="14">
        <v>382502.94</v>
      </c>
      <c r="H14" s="96">
        <v>79705.64</v>
      </c>
      <c r="I14" s="96">
        <v>990.7</v>
      </c>
      <c r="J14" s="96">
        <v>232963.30000000002</v>
      </c>
      <c r="K14" s="96">
        <v>634000.63</v>
      </c>
    </row>
    <row r="15" spans="1:13" ht="15.75" x14ac:dyDescent="0.25">
      <c r="A15" s="26" t="s">
        <v>31</v>
      </c>
      <c r="B15" s="26" t="s">
        <v>108</v>
      </c>
      <c r="C15" s="26" t="s">
        <v>106</v>
      </c>
      <c r="D15" s="14"/>
      <c r="E15" s="14"/>
      <c r="F15" s="14">
        <v>302145.53000000003</v>
      </c>
      <c r="G15" s="14"/>
      <c r="H15" s="96">
        <v>37765.72</v>
      </c>
      <c r="I15" s="96">
        <v>0</v>
      </c>
      <c r="J15" s="96">
        <v>0</v>
      </c>
      <c r="K15" s="96">
        <v>0</v>
      </c>
    </row>
    <row r="16" spans="1:13" ht="15.75" x14ac:dyDescent="0.25">
      <c r="A16" s="26" t="s">
        <v>96</v>
      </c>
      <c r="B16" s="26" t="s">
        <v>108</v>
      </c>
      <c r="C16" s="26" t="s">
        <v>106</v>
      </c>
      <c r="D16" s="187">
        <v>2411.77</v>
      </c>
      <c r="E16" s="187">
        <v>26749.27</v>
      </c>
      <c r="F16" s="187">
        <v>6046.79</v>
      </c>
      <c r="G16" s="14"/>
      <c r="H16" s="96">
        <v>0</v>
      </c>
      <c r="I16" s="96">
        <v>8649.5300000000007</v>
      </c>
      <c r="J16" s="96">
        <v>0</v>
      </c>
      <c r="K16" s="96">
        <v>0</v>
      </c>
    </row>
    <row r="17" spans="1:11" ht="15.75" x14ac:dyDescent="0.25">
      <c r="A17" s="26" t="s">
        <v>42</v>
      </c>
      <c r="B17" s="26" t="s">
        <v>108</v>
      </c>
      <c r="C17" s="26" t="s">
        <v>106</v>
      </c>
      <c r="D17" s="14">
        <v>301566.73</v>
      </c>
      <c r="E17" s="14">
        <v>15191.79</v>
      </c>
      <c r="F17" s="14">
        <v>486803.82</v>
      </c>
      <c r="G17" s="14">
        <v>2558290.9</v>
      </c>
      <c r="H17" s="96">
        <v>313086.4599999999</v>
      </c>
      <c r="I17" s="96">
        <v>9390.0199999999986</v>
      </c>
      <c r="J17" s="96">
        <v>436953.48</v>
      </c>
      <c r="K17" s="96">
        <v>1202329.1499999999</v>
      </c>
    </row>
    <row r="18" spans="1:11" ht="15.75" x14ac:dyDescent="0.25">
      <c r="A18" s="26" t="s">
        <v>43</v>
      </c>
      <c r="B18" s="26" t="s">
        <v>108</v>
      </c>
      <c r="C18" s="26" t="s">
        <v>106</v>
      </c>
      <c r="D18" s="14">
        <v>43887.18</v>
      </c>
      <c r="E18" s="14">
        <v>2912.41</v>
      </c>
      <c r="F18" s="14">
        <v>544541.16</v>
      </c>
      <c r="G18" s="14">
        <v>27649.65</v>
      </c>
      <c r="H18" s="96">
        <v>19918.849999999999</v>
      </c>
      <c r="I18" s="96">
        <v>9778.84</v>
      </c>
      <c r="J18" s="96">
        <v>2091400.9300000002</v>
      </c>
      <c r="K18" s="96">
        <v>0</v>
      </c>
    </row>
    <row r="19" spans="1:11" ht="15.75" x14ac:dyDescent="0.25">
      <c r="A19" s="26" t="s">
        <v>30</v>
      </c>
      <c r="B19" s="26" t="s">
        <v>108</v>
      </c>
      <c r="C19" s="26" t="s">
        <v>106</v>
      </c>
      <c r="D19" s="14">
        <v>465.8</v>
      </c>
      <c r="E19" s="14"/>
      <c r="F19" s="14"/>
      <c r="G19" s="14"/>
      <c r="H19" s="96">
        <v>450.37</v>
      </c>
      <c r="I19" s="96">
        <v>0</v>
      </c>
      <c r="J19" s="96">
        <v>0</v>
      </c>
      <c r="K19" s="96">
        <v>0</v>
      </c>
    </row>
    <row r="20" spans="1:11" ht="16.5" thickBot="1" x14ac:dyDescent="0.3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96">
        <v>0</v>
      </c>
      <c r="I20" s="96">
        <v>1091.49</v>
      </c>
      <c r="J20" s="96">
        <v>0</v>
      </c>
      <c r="K20" s="96">
        <v>0</v>
      </c>
    </row>
    <row r="21" spans="1:11" ht="21.75" thickBot="1" x14ac:dyDescent="0.4">
      <c r="A21" s="122" t="s">
        <v>10</v>
      </c>
      <c r="B21" s="121"/>
      <c r="C21" s="121"/>
      <c r="D21" s="174">
        <f>SUM(D9:D20)</f>
        <v>540766.77</v>
      </c>
      <c r="E21" s="174">
        <f t="shared" ref="E21:G21" si="2">SUM(E9:E20)</f>
        <v>104597.53</v>
      </c>
      <c r="F21" s="174">
        <f t="shared" si="2"/>
        <v>1793137.15</v>
      </c>
      <c r="G21" s="174">
        <f t="shared" si="2"/>
        <v>3472487.2399999998</v>
      </c>
      <c r="H21" s="174">
        <f>SUM(H9:H20)</f>
        <v>495198.08999999985</v>
      </c>
      <c r="I21" s="174">
        <f t="shared" ref="I21:K21" si="3">SUM(I9:I20)</f>
        <v>49205.96</v>
      </c>
      <c r="J21" s="174">
        <f t="shared" si="3"/>
        <v>3612054.8600000003</v>
      </c>
      <c r="K21" s="174">
        <f t="shared" si="3"/>
        <v>2190402.4500000002</v>
      </c>
    </row>
    <row r="22" spans="1:11" ht="15.75" x14ac:dyDescent="0.25">
      <c r="A22" s="27" t="s">
        <v>11</v>
      </c>
      <c r="B22" s="27" t="s">
        <v>56</v>
      </c>
      <c r="C22" s="27" t="s">
        <v>107</v>
      </c>
      <c r="D22" s="18"/>
      <c r="E22" s="18">
        <v>68.7</v>
      </c>
      <c r="F22" s="18"/>
      <c r="G22" s="18"/>
      <c r="H22" s="96">
        <v>207315.88999999996</v>
      </c>
      <c r="I22" s="96">
        <v>17596.22</v>
      </c>
      <c r="J22" s="96">
        <v>59055.81</v>
      </c>
      <c r="K22" s="96">
        <v>1166042.32</v>
      </c>
    </row>
    <row r="23" spans="1:11" ht="15.75" x14ac:dyDescent="0.25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>
        <v>0</v>
      </c>
      <c r="I23" s="96">
        <v>0</v>
      </c>
      <c r="J23" s="96">
        <v>0</v>
      </c>
      <c r="K23" s="96">
        <v>0</v>
      </c>
    </row>
    <row r="24" spans="1:11" ht="15.75" x14ac:dyDescent="0.25">
      <c r="A24" s="30" t="s">
        <v>13</v>
      </c>
      <c r="B24" s="26" t="s">
        <v>56</v>
      </c>
      <c r="C24" s="26" t="s">
        <v>107</v>
      </c>
      <c r="D24" s="14"/>
      <c r="E24" s="14"/>
      <c r="F24" s="14"/>
      <c r="G24" s="14"/>
      <c r="H24" s="96">
        <v>0</v>
      </c>
      <c r="I24" s="96">
        <v>2912.92</v>
      </c>
      <c r="J24" s="96">
        <v>0</v>
      </c>
      <c r="K24" s="96">
        <v>0</v>
      </c>
    </row>
    <row r="25" spans="1:11" ht="15.75" x14ac:dyDescent="0.25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>
        <v>0</v>
      </c>
      <c r="I25" s="96">
        <v>0</v>
      </c>
      <c r="J25" s="96">
        <v>0</v>
      </c>
      <c r="K25" s="96">
        <v>0</v>
      </c>
    </row>
    <row r="26" spans="1:11" ht="15.75" x14ac:dyDescent="0.25">
      <c r="A26" s="30" t="s">
        <v>15</v>
      </c>
      <c r="B26" s="26" t="s">
        <v>56</v>
      </c>
      <c r="C26" s="26" t="s">
        <v>107</v>
      </c>
      <c r="D26" s="14">
        <v>25455.65</v>
      </c>
      <c r="E26" s="14">
        <v>8047.74</v>
      </c>
      <c r="F26" s="14">
        <v>262238.03999999998</v>
      </c>
      <c r="G26" s="14">
        <v>44175.66</v>
      </c>
      <c r="H26" s="96">
        <v>18022.95</v>
      </c>
      <c r="I26" s="96">
        <v>4958.93</v>
      </c>
      <c r="J26" s="96">
        <v>472055.56000000006</v>
      </c>
      <c r="K26" s="96">
        <v>321377.33</v>
      </c>
    </row>
    <row r="27" spans="1:11" ht="15.75" x14ac:dyDescent="0.25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>
        <v>0</v>
      </c>
      <c r="I27" s="96">
        <v>0</v>
      </c>
      <c r="J27" s="96">
        <v>0</v>
      </c>
      <c r="K27" s="96">
        <v>0</v>
      </c>
    </row>
    <row r="28" spans="1:11" ht="15.75" x14ac:dyDescent="0.25">
      <c r="A28" s="30" t="s">
        <v>18</v>
      </c>
      <c r="B28" s="26" t="s">
        <v>56</v>
      </c>
      <c r="C28" s="26" t="s">
        <v>107</v>
      </c>
      <c r="D28" s="14">
        <v>10001.049999999999</v>
      </c>
      <c r="E28" s="14">
        <v>3420.83</v>
      </c>
      <c r="F28" s="14">
        <v>1005.61</v>
      </c>
      <c r="G28" s="14">
        <v>58471.81</v>
      </c>
      <c r="H28" s="96">
        <v>88308.989999999991</v>
      </c>
      <c r="I28" s="96">
        <v>1353.1</v>
      </c>
      <c r="J28" s="96">
        <v>0</v>
      </c>
      <c r="K28" s="96">
        <v>89269.55</v>
      </c>
    </row>
    <row r="29" spans="1:11" ht="15.75" x14ac:dyDescent="0.25">
      <c r="A29" s="26" t="s">
        <v>19</v>
      </c>
      <c r="B29" s="26" t="s">
        <v>56</v>
      </c>
      <c r="C29" s="26" t="s">
        <v>107</v>
      </c>
      <c r="D29" s="14">
        <v>208506.9</v>
      </c>
      <c r="E29" s="14">
        <v>37319.269999999997</v>
      </c>
      <c r="F29" s="14">
        <v>656496.68000000005</v>
      </c>
      <c r="G29" s="14">
        <v>678340.22</v>
      </c>
      <c r="H29" s="96">
        <v>643901.27000000014</v>
      </c>
      <c r="I29" s="96">
        <v>47644.519999999953</v>
      </c>
      <c r="J29" s="96">
        <v>344706.32</v>
      </c>
      <c r="K29" s="96">
        <v>3201871.9299999997</v>
      </c>
    </row>
    <row r="30" spans="1:11" ht="15.75" x14ac:dyDescent="0.25">
      <c r="A30" s="26" t="s">
        <v>20</v>
      </c>
      <c r="B30" s="26" t="s">
        <v>56</v>
      </c>
      <c r="C30" s="26" t="s">
        <v>107</v>
      </c>
      <c r="D30" s="14">
        <v>278835.38</v>
      </c>
      <c r="E30" s="14">
        <v>22504.78</v>
      </c>
      <c r="F30" s="14"/>
      <c r="G30" s="14">
        <v>2272136.2799999998</v>
      </c>
      <c r="H30" s="96">
        <v>58651.049999999996</v>
      </c>
      <c r="I30" s="96">
        <v>6924.0399999999991</v>
      </c>
      <c r="J30" s="96">
        <v>0</v>
      </c>
      <c r="K30" s="96">
        <v>64646.12</v>
      </c>
    </row>
    <row r="31" spans="1:11" ht="15.75" x14ac:dyDescent="0.25">
      <c r="A31" s="26" t="s">
        <v>21</v>
      </c>
      <c r="B31" s="26" t="s">
        <v>56</v>
      </c>
      <c r="C31" s="26" t="s">
        <v>107</v>
      </c>
      <c r="D31" s="14">
        <v>4522.07</v>
      </c>
      <c r="E31">
        <v>9.66</v>
      </c>
      <c r="F31" s="14"/>
      <c r="G31" s="14"/>
      <c r="H31" s="96">
        <v>0</v>
      </c>
      <c r="I31" s="96">
        <v>7.9</v>
      </c>
      <c r="J31" s="96">
        <v>0</v>
      </c>
      <c r="K31" s="96">
        <v>0</v>
      </c>
    </row>
    <row r="32" spans="1:11" ht="15.75" x14ac:dyDescent="0.25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>
        <v>1014.99</v>
      </c>
      <c r="I32" s="96">
        <v>3052.74</v>
      </c>
      <c r="J32" s="96">
        <v>0</v>
      </c>
      <c r="K32" s="96">
        <v>0</v>
      </c>
    </row>
    <row r="33" spans="1:11" ht="15.75" x14ac:dyDescent="0.25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>
        <v>0</v>
      </c>
      <c r="I33" s="96">
        <v>7.37</v>
      </c>
      <c r="J33" s="96">
        <v>0</v>
      </c>
      <c r="K33" s="96">
        <v>0</v>
      </c>
    </row>
    <row r="34" spans="1:11" ht="15.75" x14ac:dyDescent="0.25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>
        <v>0</v>
      </c>
      <c r="I34" s="96">
        <v>0</v>
      </c>
      <c r="J34" s="96">
        <v>0</v>
      </c>
      <c r="K34" s="96">
        <v>0</v>
      </c>
    </row>
    <row r="35" spans="1:11" ht="15.75" x14ac:dyDescent="0.25">
      <c r="A35" s="30" t="s">
        <v>25</v>
      </c>
      <c r="B35" s="26" t="s">
        <v>56</v>
      </c>
      <c r="C35" s="26" t="s">
        <v>107</v>
      </c>
      <c r="D35" s="14"/>
      <c r="E35" s="14">
        <v>85.7</v>
      </c>
      <c r="F35" s="14">
        <v>10030.16</v>
      </c>
      <c r="G35" s="14"/>
      <c r="H35" s="96">
        <v>2076.1799999999994</v>
      </c>
      <c r="I35" s="96">
        <v>226.5</v>
      </c>
      <c r="J35" s="96">
        <v>23774.91</v>
      </c>
      <c r="K35" s="96">
        <v>0</v>
      </c>
    </row>
    <row r="36" spans="1:11" ht="15.75" x14ac:dyDescent="0.25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>
        <v>6225.71</v>
      </c>
      <c r="I36" s="96">
        <v>2858.17</v>
      </c>
      <c r="J36" s="96">
        <v>0</v>
      </c>
      <c r="K36" s="96">
        <v>0</v>
      </c>
    </row>
    <row r="37" spans="1:11" ht="15.75" x14ac:dyDescent="0.25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>
        <v>0</v>
      </c>
      <c r="I37" s="96">
        <v>0</v>
      </c>
      <c r="J37" s="96">
        <v>0</v>
      </c>
      <c r="K37" s="96">
        <v>0</v>
      </c>
    </row>
    <row r="38" spans="1:11" ht="15.75" x14ac:dyDescent="0.25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>
        <v>0</v>
      </c>
      <c r="I38" s="96">
        <v>0</v>
      </c>
      <c r="J38" s="96">
        <v>0</v>
      </c>
      <c r="K38" s="96">
        <v>0</v>
      </c>
    </row>
    <row r="39" spans="1:11" ht="15.75" x14ac:dyDescent="0.25">
      <c r="A39" s="26" t="s">
        <v>29</v>
      </c>
      <c r="B39" s="26" t="s">
        <v>56</v>
      </c>
      <c r="C39" s="26" t="s">
        <v>107</v>
      </c>
      <c r="D39" s="14">
        <v>7357.82</v>
      </c>
      <c r="E39" s="14">
        <v>2586.0700000000002</v>
      </c>
      <c r="F39" s="14">
        <v>245375.98</v>
      </c>
      <c r="G39" s="14">
        <v>227555.07</v>
      </c>
      <c r="H39" s="96">
        <v>8075.58</v>
      </c>
      <c r="I39" s="96">
        <v>0</v>
      </c>
      <c r="J39" s="96">
        <v>0</v>
      </c>
      <c r="K39" s="96">
        <v>0</v>
      </c>
    </row>
    <row r="40" spans="1:11" ht="15.75" x14ac:dyDescent="0.25">
      <c r="A40" s="26" t="s">
        <v>98</v>
      </c>
      <c r="B40" s="26" t="s">
        <v>55</v>
      </c>
      <c r="C40" s="26" t="s">
        <v>107</v>
      </c>
      <c r="D40" s="14">
        <v>24383.77</v>
      </c>
      <c r="E40" s="14">
        <v>8908.84</v>
      </c>
      <c r="F40" s="14"/>
      <c r="G40" s="14"/>
      <c r="H40" s="96"/>
      <c r="I40" s="96"/>
      <c r="J40" s="96"/>
      <c r="K40" s="96"/>
    </row>
    <row r="41" spans="1:11" ht="15.75" x14ac:dyDescent="0.25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>
        <v>124.91</v>
      </c>
      <c r="I41" s="96">
        <v>0</v>
      </c>
      <c r="J41" s="96">
        <v>0</v>
      </c>
      <c r="K41" s="96">
        <v>0</v>
      </c>
    </row>
    <row r="42" spans="1:11" ht="15.75" x14ac:dyDescent="0.25">
      <c r="A42" s="30" t="s">
        <v>95</v>
      </c>
      <c r="B42" s="26" t="s">
        <v>56</v>
      </c>
      <c r="C42" s="26" t="s">
        <v>107</v>
      </c>
      <c r="D42" s="14">
        <v>54628.13</v>
      </c>
      <c r="E42" s="14"/>
      <c r="F42" s="14">
        <v>21600</v>
      </c>
      <c r="G42" s="14">
        <v>65255</v>
      </c>
      <c r="H42" s="96">
        <v>34035.72</v>
      </c>
      <c r="I42" s="96">
        <v>0</v>
      </c>
      <c r="J42" s="96">
        <v>0</v>
      </c>
      <c r="K42" s="96">
        <v>84529.39</v>
      </c>
    </row>
    <row r="43" spans="1:11" ht="15.75" x14ac:dyDescent="0.25">
      <c r="A43" s="26" t="s">
        <v>83</v>
      </c>
      <c r="B43" s="26" t="s">
        <v>56</v>
      </c>
      <c r="C43" s="26" t="s">
        <v>107</v>
      </c>
      <c r="D43" s="14"/>
      <c r="E43" s="14"/>
      <c r="F43" s="14"/>
      <c r="G43" s="14"/>
      <c r="H43" s="96">
        <v>0</v>
      </c>
      <c r="I43" s="96">
        <v>0</v>
      </c>
      <c r="J43" s="96">
        <v>0</v>
      </c>
      <c r="K43" s="96">
        <v>0</v>
      </c>
    </row>
    <row r="44" spans="1:11" ht="15.75" x14ac:dyDescent="0.25">
      <c r="A44" s="26" t="s">
        <v>82</v>
      </c>
      <c r="B44" s="26" t="s">
        <v>56</v>
      </c>
      <c r="C44" s="26" t="s">
        <v>107</v>
      </c>
      <c r="D44" s="14"/>
      <c r="E44" s="14">
        <v>457.14</v>
      </c>
      <c r="F44" s="14"/>
      <c r="G44" s="14"/>
      <c r="H44" s="96">
        <v>0</v>
      </c>
      <c r="I44" s="96">
        <v>120.36</v>
      </c>
      <c r="J44" s="96">
        <v>980.46</v>
      </c>
      <c r="K44" s="96">
        <v>0</v>
      </c>
    </row>
    <row r="45" spans="1:11" ht="15.75" x14ac:dyDescent="0.25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>
        <v>0</v>
      </c>
      <c r="I45" s="96">
        <v>0</v>
      </c>
      <c r="J45" s="96">
        <v>0</v>
      </c>
      <c r="K45" s="96">
        <v>0</v>
      </c>
    </row>
    <row r="46" spans="1:11" ht="15.75" x14ac:dyDescent="0.25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>
        <v>0</v>
      </c>
      <c r="I46" s="96">
        <v>0</v>
      </c>
      <c r="J46" s="96">
        <v>0</v>
      </c>
      <c r="K46" s="96">
        <v>0</v>
      </c>
    </row>
    <row r="47" spans="1:11" ht="15.75" x14ac:dyDescent="0.25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>
        <v>0</v>
      </c>
      <c r="I47" s="96">
        <v>0</v>
      </c>
      <c r="J47" s="96">
        <v>0</v>
      </c>
      <c r="K47" s="96">
        <v>0</v>
      </c>
    </row>
    <row r="48" spans="1:11" ht="15.75" x14ac:dyDescent="0.25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>
        <v>12125.27</v>
      </c>
      <c r="I48" s="96">
        <v>0</v>
      </c>
      <c r="J48" s="96">
        <v>0</v>
      </c>
      <c r="K48" s="96">
        <v>0</v>
      </c>
    </row>
    <row r="49" spans="1:12" ht="15.75" x14ac:dyDescent="0.25">
      <c r="A49" s="26" t="s">
        <v>97</v>
      </c>
      <c r="B49" s="26" t="s">
        <v>56</v>
      </c>
      <c r="C49" s="26" t="s">
        <v>107</v>
      </c>
      <c r="D49" s="14">
        <v>48870.63</v>
      </c>
      <c r="E49" s="14">
        <v>1591.99</v>
      </c>
      <c r="F49" s="14">
        <v>32331.439999999999</v>
      </c>
      <c r="G49" s="14"/>
      <c r="H49" s="96">
        <v>0</v>
      </c>
      <c r="I49" s="96">
        <v>0</v>
      </c>
      <c r="J49" s="96">
        <v>0</v>
      </c>
      <c r="K49" s="96">
        <v>0</v>
      </c>
    </row>
    <row r="50" spans="1:12" ht="15.75" x14ac:dyDescent="0.25">
      <c r="A50" s="26" t="s">
        <v>39</v>
      </c>
      <c r="B50" s="26" t="s">
        <v>56</v>
      </c>
      <c r="C50" s="26" t="s">
        <v>107</v>
      </c>
      <c r="D50" s="187">
        <v>7357.82</v>
      </c>
      <c r="E50" s="187">
        <v>7323.9</v>
      </c>
      <c r="F50" s="14"/>
      <c r="G50" s="187">
        <v>139301.68</v>
      </c>
      <c r="H50" s="96">
        <v>112606.47</v>
      </c>
      <c r="I50" s="96">
        <v>0</v>
      </c>
      <c r="J50" s="96">
        <v>14537.2</v>
      </c>
      <c r="K50" s="96">
        <v>0</v>
      </c>
    </row>
    <row r="51" spans="1:12" ht="15.75" x14ac:dyDescent="0.25">
      <c r="A51" s="26" t="s">
        <v>91</v>
      </c>
      <c r="B51" s="26" t="s">
        <v>56</v>
      </c>
      <c r="C51" s="26" t="s">
        <v>107</v>
      </c>
      <c r="D51" s="187">
        <v>66531.820000000007</v>
      </c>
      <c r="E51" s="14"/>
      <c r="F51" s="187">
        <v>86139.49</v>
      </c>
      <c r="G51" s="187">
        <v>122638.02</v>
      </c>
      <c r="H51" s="96">
        <v>17042.78</v>
      </c>
      <c r="I51" s="96">
        <v>5839.72</v>
      </c>
      <c r="J51" s="96">
        <v>28850.409999999996</v>
      </c>
      <c r="K51" s="96">
        <v>0</v>
      </c>
    </row>
    <row r="52" spans="1:12" ht="15.75" x14ac:dyDescent="0.25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>
        <v>0</v>
      </c>
      <c r="I52" s="96">
        <v>1031.3400000000001</v>
      </c>
      <c r="J52" s="96">
        <v>0</v>
      </c>
      <c r="K52" s="96">
        <v>0</v>
      </c>
    </row>
    <row r="53" spans="1:12" ht="16.5" thickBot="1" x14ac:dyDescent="0.3">
      <c r="A53" s="28" t="s">
        <v>88</v>
      </c>
      <c r="B53" s="28" t="s">
        <v>56</v>
      </c>
      <c r="C53" s="28" t="s">
        <v>107</v>
      </c>
      <c r="D53" s="15"/>
      <c r="E53" s="189">
        <v>1750.97</v>
      </c>
      <c r="F53" s="15"/>
      <c r="G53" s="15"/>
      <c r="H53" s="96">
        <v>17462.14</v>
      </c>
      <c r="I53" s="96">
        <v>0</v>
      </c>
      <c r="J53" s="96">
        <v>0</v>
      </c>
      <c r="K53" s="96">
        <v>0</v>
      </c>
    </row>
    <row r="54" spans="1:12" ht="21.75" thickBot="1" x14ac:dyDescent="0.4">
      <c r="A54" s="123" t="s">
        <v>116</v>
      </c>
      <c r="B54" s="121"/>
      <c r="C54" s="121"/>
      <c r="D54" s="174">
        <f>SUM(D22:D53)</f>
        <v>736451.0399999998</v>
      </c>
      <c r="E54" s="174">
        <f t="shared" ref="E54:G54" si="4">SUM(E22:E53)</f>
        <v>94075.59</v>
      </c>
      <c r="F54" s="174">
        <f t="shared" si="4"/>
        <v>1315217.4000000001</v>
      </c>
      <c r="G54" s="174">
        <f t="shared" si="4"/>
        <v>3607873.7399999998</v>
      </c>
      <c r="H54" s="174">
        <f>SUM(H22:H53)</f>
        <v>1226989.9000000001</v>
      </c>
      <c r="I54" s="174">
        <f t="shared" ref="I54:K54" si="5">SUM(I22:I53)</f>
        <v>94533.829999999929</v>
      </c>
      <c r="J54" s="174">
        <f t="shared" si="5"/>
        <v>943960.67000000016</v>
      </c>
      <c r="K54" s="174">
        <f t="shared" si="5"/>
        <v>4927736.6399999997</v>
      </c>
    </row>
    <row r="55" spans="1:12" ht="15.75" x14ac:dyDescent="0.25">
      <c r="A55" s="30" t="s">
        <v>33</v>
      </c>
      <c r="B55" s="26" t="s">
        <v>115</v>
      </c>
      <c r="C55" s="26" t="s">
        <v>107</v>
      </c>
      <c r="D55" s="14">
        <v>21137</v>
      </c>
      <c r="E55" s="14">
        <v>1737.99</v>
      </c>
      <c r="F55" s="14">
        <v>950497.62</v>
      </c>
      <c r="G55" s="14"/>
      <c r="H55" s="96">
        <v>51637.99</v>
      </c>
      <c r="I55" s="96">
        <v>3382.7200000000003</v>
      </c>
      <c r="J55" s="96">
        <v>104220.90000000001</v>
      </c>
      <c r="K55" s="96">
        <v>33326.78</v>
      </c>
    </row>
    <row r="56" spans="1:12" ht="15.75" x14ac:dyDescent="0.25">
      <c r="A56" s="26" t="s">
        <v>84</v>
      </c>
      <c r="B56" s="26" t="s">
        <v>115</v>
      </c>
      <c r="C56" s="26" t="s">
        <v>107</v>
      </c>
      <c r="D56" s="14">
        <v>258361.08</v>
      </c>
      <c r="E56" s="14">
        <v>7256.61</v>
      </c>
      <c r="F56" s="14">
        <v>2019658.07</v>
      </c>
      <c r="G56" s="14">
        <v>499178.55</v>
      </c>
      <c r="H56" s="96">
        <v>345863.55</v>
      </c>
      <c r="I56" s="96">
        <v>889.27</v>
      </c>
      <c r="J56" s="96">
        <v>426201.02999999997</v>
      </c>
      <c r="K56" s="96">
        <v>396195.46</v>
      </c>
    </row>
    <row r="57" spans="1:12" ht="15.75" x14ac:dyDescent="0.25">
      <c r="A57" s="26" t="s">
        <v>37</v>
      </c>
      <c r="B57" s="26" t="s">
        <v>115</v>
      </c>
      <c r="C57" s="26" t="s">
        <v>107</v>
      </c>
      <c r="D57" s="14">
        <v>13762.99</v>
      </c>
      <c r="E57" s="14">
        <v>2016.07</v>
      </c>
      <c r="F57" s="14"/>
      <c r="G57" s="14"/>
      <c r="H57" s="96">
        <v>4786.32</v>
      </c>
      <c r="I57" s="96">
        <v>409.67</v>
      </c>
      <c r="J57" s="96">
        <v>1009.53</v>
      </c>
      <c r="K57" s="96">
        <v>0</v>
      </c>
      <c r="L57" s="133"/>
    </row>
    <row r="58" spans="1:12" ht="15.75" x14ac:dyDescent="0.25">
      <c r="A58" s="26" t="s">
        <v>35</v>
      </c>
      <c r="B58" s="26" t="s">
        <v>115</v>
      </c>
      <c r="C58" s="26" t="s">
        <v>107</v>
      </c>
      <c r="D58" s="14">
        <v>17510.71</v>
      </c>
      <c r="E58" s="14"/>
      <c r="F58" s="14"/>
      <c r="G58" s="14"/>
      <c r="H58" s="96">
        <v>62344.34</v>
      </c>
      <c r="I58" s="96">
        <v>2442.63</v>
      </c>
      <c r="J58" s="96">
        <v>136025.19</v>
      </c>
      <c r="K58" s="96">
        <v>0</v>
      </c>
      <c r="L58" s="133"/>
    </row>
    <row r="59" spans="1:12" ht="15.75" x14ac:dyDescent="0.25">
      <c r="A59" s="27" t="s">
        <v>86</v>
      </c>
      <c r="B59" s="27" t="s">
        <v>115</v>
      </c>
      <c r="C59" s="27" t="s">
        <v>107</v>
      </c>
      <c r="D59" s="14">
        <v>382970.92</v>
      </c>
      <c r="E59" s="14">
        <v>19870.810000000001</v>
      </c>
      <c r="F59" s="14">
        <v>1244490.3</v>
      </c>
      <c r="G59" s="14">
        <v>2830353.29</v>
      </c>
      <c r="H59" s="96">
        <v>78258.649999999994</v>
      </c>
      <c r="I59" s="96">
        <v>0</v>
      </c>
      <c r="J59" s="96">
        <v>551662.52</v>
      </c>
      <c r="K59" s="96">
        <v>0</v>
      </c>
      <c r="L59" s="133"/>
    </row>
    <row r="60" spans="1:12" ht="15.75" x14ac:dyDescent="0.25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>
        <v>0</v>
      </c>
      <c r="I60" s="96">
        <v>0</v>
      </c>
      <c r="J60" s="96">
        <v>0</v>
      </c>
      <c r="K60" s="96">
        <v>0</v>
      </c>
    </row>
    <row r="61" spans="1:12" ht="15.75" x14ac:dyDescent="0.25">
      <c r="A61" s="246" t="s">
        <v>136</v>
      </c>
      <c r="B61" s="26" t="s">
        <v>115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2" ht="16.5" thickBot="1" x14ac:dyDescent="0.3">
      <c r="A62" s="117" t="s">
        <v>99</v>
      </c>
      <c r="B62" s="26" t="s">
        <v>115</v>
      </c>
      <c r="C62" s="26" t="s">
        <v>107</v>
      </c>
      <c r="D62" s="14">
        <v>114623.21</v>
      </c>
      <c r="E62" s="14">
        <v>2835.74</v>
      </c>
      <c r="F62" s="14">
        <v>322789.43</v>
      </c>
      <c r="G62" s="14">
        <v>36091.74</v>
      </c>
      <c r="H62" s="96"/>
      <c r="I62" s="96"/>
      <c r="J62" s="96"/>
      <c r="K62" s="96"/>
    </row>
    <row r="63" spans="1:12" ht="21.75" thickBot="1" x14ac:dyDescent="0.4">
      <c r="A63" s="123" t="s">
        <v>117</v>
      </c>
      <c r="B63" s="121"/>
      <c r="C63" s="121"/>
      <c r="D63" s="174">
        <f>SUM(D55:D62)</f>
        <v>808365.90999999992</v>
      </c>
      <c r="E63" s="174">
        <f t="shared" ref="E63:G63" si="6">SUM(E55:E62)</f>
        <v>33717.22</v>
      </c>
      <c r="F63" s="174">
        <f t="shared" si="6"/>
        <v>4537435.42</v>
      </c>
      <c r="G63" s="174">
        <f t="shared" si="6"/>
        <v>3365623.58</v>
      </c>
      <c r="H63" s="174">
        <f>SUM(H55:H62)</f>
        <v>542890.85</v>
      </c>
      <c r="I63" s="174">
        <f t="shared" ref="I63:K63" si="7">SUM(I55:I62)</f>
        <v>7124.29</v>
      </c>
      <c r="J63" s="174">
        <f t="shared" si="7"/>
        <v>1219119.17</v>
      </c>
      <c r="K63" s="174">
        <f t="shared" si="7"/>
        <v>429522.24</v>
      </c>
    </row>
    <row r="64" spans="1:12" ht="15.75" x14ac:dyDescent="0.25">
      <c r="A64" s="27" t="s">
        <v>77</v>
      </c>
      <c r="B64" s="26" t="s">
        <v>108</v>
      </c>
      <c r="C64" s="27" t="s">
        <v>102</v>
      </c>
      <c r="D64" s="18">
        <v>210842.05</v>
      </c>
      <c r="E64" s="18">
        <v>4265.05</v>
      </c>
      <c r="F64" s="18">
        <v>1641325.19</v>
      </c>
      <c r="G64" s="18">
        <v>1228146.8</v>
      </c>
      <c r="H64" s="96">
        <v>13526.739999999998</v>
      </c>
      <c r="I64" s="96">
        <v>1379.9599999999998</v>
      </c>
      <c r="J64" s="96">
        <v>12936.49</v>
      </c>
      <c r="K64" s="96">
        <v>60879.19</v>
      </c>
    </row>
    <row r="65" spans="1:11" ht="15.75" x14ac:dyDescent="0.25">
      <c r="A65" s="30" t="s">
        <v>40</v>
      </c>
      <c r="B65" s="26" t="s">
        <v>56</v>
      </c>
      <c r="C65" s="26" t="s">
        <v>103</v>
      </c>
      <c r="D65" s="14">
        <v>706023.41</v>
      </c>
      <c r="E65" s="14">
        <v>80260.83</v>
      </c>
      <c r="F65" s="14">
        <v>1845965.02</v>
      </c>
      <c r="G65" s="14">
        <v>3594391.62</v>
      </c>
      <c r="H65" s="96">
        <v>404294.89999999997</v>
      </c>
      <c r="I65" s="96">
        <v>11514.14</v>
      </c>
      <c r="J65" s="96">
        <v>480344.41000000003</v>
      </c>
      <c r="K65" s="96">
        <v>2781403.19</v>
      </c>
    </row>
    <row r="66" spans="1:11" ht="15.75" x14ac:dyDescent="0.25">
      <c r="A66" s="26" t="s">
        <v>90</v>
      </c>
      <c r="B66" s="26" t="s">
        <v>108</v>
      </c>
      <c r="C66" s="26" t="s">
        <v>103</v>
      </c>
      <c r="D66" s="14"/>
      <c r="E66" s="14"/>
      <c r="F66" s="14"/>
      <c r="G66" s="14"/>
      <c r="H66" s="96">
        <v>154209.23000000001</v>
      </c>
      <c r="I66" s="96">
        <v>1733.69</v>
      </c>
      <c r="J66" s="96">
        <v>0</v>
      </c>
      <c r="K66" s="96">
        <v>255437.4</v>
      </c>
    </row>
    <row r="67" spans="1:11" ht="15.75" x14ac:dyDescent="0.25">
      <c r="A67" s="26" t="s">
        <v>92</v>
      </c>
      <c r="B67" s="26" t="s">
        <v>56</v>
      </c>
      <c r="C67" s="26" t="s">
        <v>103</v>
      </c>
      <c r="D67" s="187">
        <v>79345.11</v>
      </c>
      <c r="E67" s="14"/>
      <c r="F67" s="14"/>
      <c r="G67" s="187">
        <v>1414449.72</v>
      </c>
      <c r="H67" s="96">
        <v>0</v>
      </c>
      <c r="I67" s="96">
        <v>0</v>
      </c>
      <c r="J67" s="96">
        <v>17323.5</v>
      </c>
      <c r="K67" s="96">
        <v>0</v>
      </c>
    </row>
    <row r="68" spans="1:11" ht="15.75" x14ac:dyDescent="0.25">
      <c r="A68" s="26" t="s">
        <v>93</v>
      </c>
      <c r="B68" s="26" t="s">
        <v>56</v>
      </c>
      <c r="C68" s="26" t="s">
        <v>103</v>
      </c>
      <c r="D68" s="14"/>
      <c r="E68" s="187">
        <v>11457.32</v>
      </c>
      <c r="F68" s="14"/>
      <c r="G68" s="14"/>
      <c r="H68" s="96">
        <v>0</v>
      </c>
      <c r="I68" s="96">
        <v>0</v>
      </c>
      <c r="J68" s="96">
        <v>0</v>
      </c>
      <c r="K68" s="96">
        <v>0</v>
      </c>
    </row>
    <row r="69" spans="1:11" ht="15.75" x14ac:dyDescent="0.25">
      <c r="A69" s="26" t="s">
        <v>100</v>
      </c>
      <c r="B69" s="26" t="s">
        <v>56</v>
      </c>
      <c r="C69" s="26" t="s">
        <v>103</v>
      </c>
      <c r="D69" s="14">
        <v>166367.26</v>
      </c>
      <c r="E69" s="14">
        <v>20204.57</v>
      </c>
      <c r="F69" s="14">
        <v>2247052.44</v>
      </c>
      <c r="G69" s="14">
        <v>1230244.6499999999</v>
      </c>
      <c r="H69" s="96">
        <v>52109.58</v>
      </c>
      <c r="I69" s="96">
        <v>11088.619999999999</v>
      </c>
      <c r="J69" s="96">
        <v>2148577.81</v>
      </c>
      <c r="K69" s="96">
        <v>1098202.7899999998</v>
      </c>
    </row>
    <row r="70" spans="1:11" ht="15.75" x14ac:dyDescent="0.25">
      <c r="A70" s="118" t="s">
        <v>101</v>
      </c>
      <c r="B70" s="26" t="s">
        <v>56</v>
      </c>
      <c r="C70" s="26" t="s">
        <v>103</v>
      </c>
      <c r="D70" s="14">
        <v>779716.01</v>
      </c>
      <c r="E70" s="14">
        <v>24850.93</v>
      </c>
      <c r="F70" s="14">
        <v>9761474.3399999999</v>
      </c>
      <c r="G70" s="14">
        <v>9005133.4499999993</v>
      </c>
      <c r="H70" s="96">
        <v>568552.07999999996</v>
      </c>
      <c r="I70" s="96">
        <v>14711.679999999998</v>
      </c>
      <c r="J70" s="96">
        <v>3299002.31</v>
      </c>
      <c r="K70" s="96">
        <v>3082907.13</v>
      </c>
    </row>
    <row r="71" spans="1:11" ht="15.75" x14ac:dyDescent="0.25">
      <c r="A71" s="26" t="s">
        <v>81</v>
      </c>
      <c r="B71" s="26" t="s">
        <v>56</v>
      </c>
      <c r="C71" s="26" t="s">
        <v>103</v>
      </c>
      <c r="D71" s="187">
        <v>83965.37</v>
      </c>
      <c r="E71" s="187">
        <v>6651.47</v>
      </c>
      <c r="F71" s="14"/>
      <c r="G71" s="14"/>
      <c r="H71" s="96">
        <v>0</v>
      </c>
      <c r="I71" s="96">
        <v>1526.6100000000001</v>
      </c>
      <c r="J71" s="96">
        <v>0</v>
      </c>
      <c r="K71" s="96">
        <v>0</v>
      </c>
    </row>
    <row r="72" spans="1:11" ht="21.75" thickBot="1" x14ac:dyDescent="0.25">
      <c r="A72" s="177" t="s">
        <v>44</v>
      </c>
      <c r="B72" s="178"/>
      <c r="C72" s="178"/>
      <c r="D72" s="179">
        <f>SUM(D64:D71)</f>
        <v>2026259.21</v>
      </c>
      <c r="E72" s="179">
        <f t="shared" ref="E72:G72" si="8">SUM(E64:E71)</f>
        <v>147690.17000000001</v>
      </c>
      <c r="F72" s="179">
        <f t="shared" si="8"/>
        <v>15495816.99</v>
      </c>
      <c r="G72" s="179">
        <f t="shared" si="8"/>
        <v>16472366.239999998</v>
      </c>
      <c r="H72" s="179">
        <f>SUM(H64:H71)</f>
        <v>1192692.5299999998</v>
      </c>
      <c r="I72" s="179">
        <f t="shared" ref="I72:K72" si="9">SUM(I64:I71)</f>
        <v>41954.7</v>
      </c>
      <c r="J72" s="179">
        <f t="shared" si="9"/>
        <v>5958184.5199999996</v>
      </c>
      <c r="K72" s="179">
        <f t="shared" si="9"/>
        <v>7278829.6999999993</v>
      </c>
    </row>
    <row r="73" spans="1:11" ht="21.75" thickBot="1" x14ac:dyDescent="0.25">
      <c r="A73" s="122" t="s">
        <v>45</v>
      </c>
      <c r="B73" s="121"/>
      <c r="C73" s="121"/>
      <c r="D73" s="131">
        <f>D72+D63+D54+D21+D8</f>
        <v>7895532.8300000001</v>
      </c>
      <c r="E73" s="131">
        <f t="shared" ref="E73:G73" si="10">E72+E63+E54+E21+E8</f>
        <v>462425.51</v>
      </c>
      <c r="F73" s="131">
        <f t="shared" si="10"/>
        <v>26405808.489999998</v>
      </c>
      <c r="G73" s="131">
        <f t="shared" si="10"/>
        <v>62528137.869999997</v>
      </c>
      <c r="H73" s="131">
        <f>H72+H63+H54+H21+H8</f>
        <v>4746891.4300000006</v>
      </c>
      <c r="I73" s="131">
        <f t="shared" ref="I73:K73" si="11">I72+I63+I54+I21+I8</f>
        <v>329136.32999999996</v>
      </c>
      <c r="J73" s="131">
        <f t="shared" si="11"/>
        <v>15922606.6</v>
      </c>
      <c r="K73" s="131">
        <f t="shared" si="11"/>
        <v>19380793.659999996</v>
      </c>
    </row>
    <row r="75" spans="1:11" x14ac:dyDescent="0.25">
      <c r="D75" s="6">
        <v>7895532.8300000001</v>
      </c>
      <c r="E75" s="6">
        <v>462425.51</v>
      </c>
      <c r="F75" s="6">
        <v>26405808.550000001</v>
      </c>
      <c r="G75" s="6">
        <v>62528137.869999997</v>
      </c>
    </row>
    <row r="77" spans="1:11" x14ac:dyDescent="0.25">
      <c r="E77" s="9">
        <f>E73-E75</f>
        <v>0</v>
      </c>
      <c r="F77" s="9"/>
    </row>
  </sheetData>
  <autoFilter ref="A2:L73" xr:uid="{548B8A06-4D4B-4B30-A1A2-FA16B619E891}"/>
  <mergeCells count="2">
    <mergeCell ref="D1:G1"/>
    <mergeCell ref="H1:K1"/>
  </mergeCells>
  <conditionalFormatting sqref="A1">
    <cfRule type="duplicateValues" dxfId="191" priority="23"/>
    <cfRule type="duplicateValues" dxfId="190" priority="24"/>
  </conditionalFormatting>
  <conditionalFormatting sqref="A14">
    <cfRule type="duplicateValues" dxfId="189" priority="5"/>
    <cfRule type="duplicateValues" dxfId="188" priority="6"/>
  </conditionalFormatting>
  <conditionalFormatting sqref="A40">
    <cfRule type="duplicateValues" dxfId="187" priority="1"/>
    <cfRule type="duplicateValues" dxfId="186" priority="2"/>
  </conditionalFormatting>
  <conditionalFormatting sqref="A55">
    <cfRule type="duplicateValues" dxfId="185" priority="7"/>
    <cfRule type="duplicateValues" dxfId="184" priority="8"/>
  </conditionalFormatting>
  <conditionalFormatting sqref="A56:A58 A7 A22:A39 A60 A41:A53">
    <cfRule type="duplicateValues" dxfId="183" priority="13"/>
    <cfRule type="duplicateValues" dxfId="182" priority="14"/>
  </conditionalFormatting>
  <conditionalFormatting sqref="A59">
    <cfRule type="duplicateValues" dxfId="181" priority="3"/>
    <cfRule type="duplicateValues" dxfId="180" priority="4"/>
  </conditionalFormatting>
  <conditionalFormatting sqref="A64:A71">
    <cfRule type="duplicateValues" dxfId="179" priority="11"/>
    <cfRule type="duplicateValues" dxfId="178" priority="12"/>
  </conditionalFormatting>
  <conditionalFormatting sqref="A72:A73 A2:A6 A8:A13 A15:A21 A54 A63">
    <cfRule type="duplicateValues" dxfId="177" priority="9"/>
    <cfRule type="duplicateValues" dxfId="176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A6CA-D251-4DF4-BDA3-15E6C5643ED5}">
  <sheetPr>
    <tabColor rgb="FFFFC000"/>
  </sheetPr>
  <dimension ref="A1:L75"/>
  <sheetViews>
    <sheetView rightToLeft="1" zoomScaleNormal="100" workbookViewId="0">
      <pane ySplit="3" topLeftCell="A51" activePane="bottomLeft" state="frozen"/>
      <selection pane="bottomLeft" activeCell="A61" sqref="A61:C61"/>
    </sheetView>
  </sheetViews>
  <sheetFormatPr defaultColWidth="30.125" defaultRowHeight="15" x14ac:dyDescent="0.25"/>
  <cols>
    <col min="1" max="1" width="30" style="32" bestFit="1" customWidth="1"/>
    <col min="2" max="2" width="11.375" style="32" customWidth="1"/>
    <col min="3" max="3" width="11.75" style="32" customWidth="1"/>
    <col min="4" max="4" width="16.875" customWidth="1"/>
    <col min="5" max="5" width="15.25" customWidth="1"/>
    <col min="6" max="6" width="16.875" customWidth="1"/>
    <col min="7" max="7" width="19" customWidth="1"/>
    <col min="8" max="8" width="16.875" style="3" customWidth="1"/>
    <col min="9" max="9" width="15.25" style="3" customWidth="1"/>
    <col min="10" max="10" width="16.875" style="3" customWidth="1"/>
    <col min="11" max="11" width="19" customWidth="1"/>
  </cols>
  <sheetData>
    <row r="1" spans="1:11" ht="21" x14ac:dyDescent="0.2">
      <c r="A1" s="26"/>
      <c r="B1" s="26"/>
      <c r="C1" s="26"/>
      <c r="D1" s="237">
        <v>2025</v>
      </c>
      <c r="E1" s="237"/>
      <c r="F1" s="237"/>
      <c r="G1" s="237"/>
      <c r="H1" s="238">
        <v>2024</v>
      </c>
      <c r="I1" s="238"/>
      <c r="J1" s="238"/>
      <c r="K1" s="238"/>
    </row>
    <row r="2" spans="1:11" ht="21" x14ac:dyDescent="0.2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75" x14ac:dyDescent="0.25">
      <c r="A3" s="26" t="s">
        <v>1</v>
      </c>
      <c r="B3" s="26" t="s">
        <v>108</v>
      </c>
      <c r="C3" s="26" t="s">
        <v>58</v>
      </c>
      <c r="D3" s="14">
        <f>313673.759419437-D4-D5-D6-D64-D66-D67</f>
        <v>233406.62515860048</v>
      </c>
      <c r="E3" s="14">
        <f>26731.7144959045-E4-E5-E6-E66-E67</f>
        <v>19586.79160902922</v>
      </c>
      <c r="F3" s="14">
        <f>-74158.5561001297-F4</f>
        <v>-86347.697956521995</v>
      </c>
      <c r="G3" s="14">
        <f>-1047752-G4-G6+78708</f>
        <v>-930855.99</v>
      </c>
      <c r="H3" s="96">
        <v>266123.77567930327</v>
      </c>
      <c r="I3" s="96">
        <v>-13568.448013881996</v>
      </c>
      <c r="J3" s="96">
        <v>31666.296980090046</v>
      </c>
      <c r="K3" s="96">
        <v>698712.99</v>
      </c>
    </row>
    <row r="4" spans="1:11" ht="15.75" x14ac:dyDescent="0.25">
      <c r="A4" s="26" t="s">
        <v>2</v>
      </c>
      <c r="B4" s="26" t="s">
        <v>108</v>
      </c>
      <c r="C4" s="26" t="s">
        <v>58</v>
      </c>
      <c r="D4" s="183">
        <v>62772.213565863029</v>
      </c>
      <c r="E4" s="183">
        <v>3929.769176882663</v>
      </c>
      <c r="F4" s="183">
        <v>12189.141856392291</v>
      </c>
      <c r="G4" s="183">
        <v>-5103.53</v>
      </c>
      <c r="H4" s="96">
        <v>58268.302441429703</v>
      </c>
      <c r="I4" s="96">
        <v>3214.1248570805151</v>
      </c>
      <c r="J4" s="96">
        <v>0</v>
      </c>
      <c r="K4" s="96">
        <v>566732.81000000006</v>
      </c>
    </row>
    <row r="5" spans="1:11" ht="15.75" x14ac:dyDescent="0.25">
      <c r="A5" s="26" t="s">
        <v>104</v>
      </c>
      <c r="B5" s="26" t="s">
        <v>108</v>
      </c>
      <c r="C5" s="26" t="s">
        <v>58</v>
      </c>
      <c r="D5" s="183">
        <v>0</v>
      </c>
      <c r="E5" s="183">
        <v>1906.645297640014</v>
      </c>
      <c r="F5" s="183">
        <v>0</v>
      </c>
      <c r="G5" s="14"/>
      <c r="H5" s="96"/>
      <c r="I5" s="96"/>
      <c r="J5" s="96"/>
      <c r="K5" s="96"/>
    </row>
    <row r="6" spans="1:11" ht="15.75" x14ac:dyDescent="0.25">
      <c r="A6" s="28" t="s">
        <v>105</v>
      </c>
      <c r="B6" s="26" t="s">
        <v>108</v>
      </c>
      <c r="C6" s="28" t="s">
        <v>58</v>
      </c>
      <c r="D6" s="181">
        <v>15043.353241644822</v>
      </c>
      <c r="E6" s="181">
        <v>5422.7054290717988</v>
      </c>
      <c r="F6" s="181">
        <v>0</v>
      </c>
      <c r="G6" s="181">
        <v>-33084.480000000003</v>
      </c>
      <c r="H6" s="96"/>
      <c r="I6" s="96"/>
      <c r="J6" s="96"/>
      <c r="K6" s="96"/>
    </row>
    <row r="7" spans="1:11" ht="16.5" thickBot="1" x14ac:dyDescent="0.3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>
        <v>0</v>
      </c>
      <c r="I7" s="96">
        <v>0</v>
      </c>
      <c r="J7" s="96">
        <v>0</v>
      </c>
      <c r="K7" s="96">
        <v>0</v>
      </c>
    </row>
    <row r="8" spans="1:11" ht="21.75" thickBot="1" x14ac:dyDescent="0.4">
      <c r="A8" s="122" t="s">
        <v>3</v>
      </c>
      <c r="B8" s="121"/>
      <c r="C8" s="121"/>
      <c r="D8" s="174">
        <f>SUM(D3:D7)</f>
        <v>311222.19196610828</v>
      </c>
      <c r="E8" s="174">
        <f t="shared" ref="E8:G8" si="0">SUM(E3:E7)</f>
        <v>30845.911512623694</v>
      </c>
      <c r="F8" s="174">
        <f t="shared" si="0"/>
        <v>-74158.556100129703</v>
      </c>
      <c r="G8" s="174">
        <f t="shared" si="0"/>
        <v>-969044</v>
      </c>
      <c r="H8" s="174">
        <f>SUM(H3:H7)</f>
        <v>324392.07812073297</v>
      </c>
      <c r="I8" s="174">
        <f t="shared" ref="I8:K8" si="1">SUM(I3:I7)</f>
        <v>-10354.323156801482</v>
      </c>
      <c r="J8" s="174">
        <f t="shared" si="1"/>
        <v>31666.296980090046</v>
      </c>
      <c r="K8" s="174">
        <f t="shared" si="1"/>
        <v>1265445.8</v>
      </c>
    </row>
    <row r="9" spans="1:11" ht="15.75" x14ac:dyDescent="0.25">
      <c r="A9" s="27" t="s">
        <v>4</v>
      </c>
      <c r="B9" s="26" t="s">
        <v>108</v>
      </c>
      <c r="C9" s="27" t="s">
        <v>106</v>
      </c>
      <c r="D9" s="18">
        <v>24789.019624457691</v>
      </c>
      <c r="E9" s="18">
        <v>0</v>
      </c>
      <c r="F9" s="18">
        <v>0</v>
      </c>
      <c r="G9" s="18">
        <v>-11668.86</v>
      </c>
      <c r="H9" s="96">
        <v>2456.147987769365</v>
      </c>
      <c r="I9" s="96">
        <v>0</v>
      </c>
      <c r="J9" s="96">
        <v>0</v>
      </c>
      <c r="K9" s="96">
        <v>0</v>
      </c>
    </row>
    <row r="10" spans="1:11" ht="15.75" x14ac:dyDescent="0.25">
      <c r="A10" s="26" t="s">
        <v>5</v>
      </c>
      <c r="B10" s="26" t="s">
        <v>108</v>
      </c>
      <c r="C10" s="26" t="s">
        <v>106</v>
      </c>
      <c r="D10" s="14">
        <v>346183.77715824987</v>
      </c>
      <c r="E10" s="14">
        <v>206773.94695248755</v>
      </c>
      <c r="F10" s="14">
        <v>9044.7089316987749</v>
      </c>
      <c r="G10" s="14">
        <v>760899</v>
      </c>
      <c r="H10" s="96">
        <v>213823.85511708265</v>
      </c>
      <c r="I10" s="96">
        <v>8866.6307299178679</v>
      </c>
      <c r="J10" s="96">
        <v>9053.8955107955371</v>
      </c>
      <c r="K10" s="96">
        <v>99026.83</v>
      </c>
    </row>
    <row r="11" spans="1:11" ht="15.75" x14ac:dyDescent="0.25">
      <c r="A11" s="26" t="s">
        <v>6</v>
      </c>
      <c r="B11" s="26" t="s">
        <v>108</v>
      </c>
      <c r="C11" s="26" t="s">
        <v>106</v>
      </c>
      <c r="D11" s="14">
        <v>51729.754592533463</v>
      </c>
      <c r="E11" s="14">
        <v>3985.2988335336672</v>
      </c>
      <c r="F11" s="14">
        <v>132212.00948263149</v>
      </c>
      <c r="G11" s="14">
        <v>-519895</v>
      </c>
      <c r="H11" s="96">
        <v>43204.120495804382</v>
      </c>
      <c r="I11" s="96">
        <v>-1987.697105054528</v>
      </c>
      <c r="J11" s="96">
        <v>49289.862004416878</v>
      </c>
      <c r="K11" s="96">
        <v>-626925.55000000005</v>
      </c>
    </row>
    <row r="12" spans="1:11" ht="15.75" x14ac:dyDescent="0.25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>
        <v>0</v>
      </c>
      <c r="I12" s="96">
        <v>0</v>
      </c>
      <c r="J12" s="96">
        <v>0</v>
      </c>
      <c r="K12" s="96">
        <v>-233653.23</v>
      </c>
    </row>
    <row r="13" spans="1:11" ht="15.75" x14ac:dyDescent="0.25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>
        <v>0</v>
      </c>
      <c r="I13" s="96">
        <v>-7755.4909949814537</v>
      </c>
      <c r="J13" s="96">
        <v>0</v>
      </c>
      <c r="K13" s="96">
        <v>0</v>
      </c>
    </row>
    <row r="14" spans="1:11" ht="15.75" x14ac:dyDescent="0.25">
      <c r="A14" s="26" t="s">
        <v>9</v>
      </c>
      <c r="B14" s="26" t="s">
        <v>108</v>
      </c>
      <c r="C14" s="26" t="s">
        <v>106</v>
      </c>
      <c r="D14" s="14">
        <v>17096.618527650578</v>
      </c>
      <c r="E14" s="14">
        <v>0</v>
      </c>
      <c r="F14" s="14">
        <v>0</v>
      </c>
      <c r="G14" s="14">
        <v>-25576</v>
      </c>
      <c r="H14" s="96">
        <v>968.31353095861107</v>
      </c>
      <c r="I14" s="96">
        <v>6130.6232511455382</v>
      </c>
      <c r="J14" s="96">
        <v>-37034.224990839139</v>
      </c>
      <c r="K14" s="96">
        <v>-433709.78</v>
      </c>
    </row>
    <row r="15" spans="1:11" ht="15.75" x14ac:dyDescent="0.25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>
        <v>0</v>
      </c>
      <c r="I15" s="96">
        <v>0</v>
      </c>
      <c r="J15" s="96">
        <v>0</v>
      </c>
      <c r="K15" s="96">
        <v>0</v>
      </c>
    </row>
    <row r="16" spans="1:11" ht="15.75" x14ac:dyDescent="0.25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>
        <v>0</v>
      </c>
      <c r="I16" s="96">
        <v>0</v>
      </c>
      <c r="J16" s="96">
        <v>0</v>
      </c>
      <c r="K16" s="96">
        <v>0</v>
      </c>
    </row>
    <row r="17" spans="1:11" ht="15.75" x14ac:dyDescent="0.25">
      <c r="A17" s="26" t="s">
        <v>42</v>
      </c>
      <c r="B17" s="26" t="s">
        <v>108</v>
      </c>
      <c r="C17" s="26" t="s">
        <v>106</v>
      </c>
      <c r="D17" s="14">
        <v>18286.082513860441</v>
      </c>
      <c r="E17" s="14">
        <v>48228.285585795653</v>
      </c>
      <c r="F17" s="14">
        <v>9982.7446584938698</v>
      </c>
      <c r="G17" s="14">
        <v>-804128</v>
      </c>
      <c r="H17" s="96">
        <v>22054.8879626979</v>
      </c>
      <c r="I17" s="96">
        <v>11911.687263189961</v>
      </c>
      <c r="J17" s="96">
        <v>0</v>
      </c>
      <c r="K17" s="96">
        <v>403000.35999999993</v>
      </c>
    </row>
    <row r="18" spans="1:11" ht="15.75" x14ac:dyDescent="0.25">
      <c r="A18" s="26" t="s">
        <v>43</v>
      </c>
      <c r="B18" s="26" t="s">
        <v>108</v>
      </c>
      <c r="C18" s="26" t="s">
        <v>106</v>
      </c>
      <c r="D18" s="14">
        <v>69686.093602789828</v>
      </c>
      <c r="E18" s="14">
        <v>6164.2078053409587</v>
      </c>
      <c r="F18" s="14">
        <v>717436.91982077726</v>
      </c>
      <c r="G18" s="14">
        <f>168853-190731.9</f>
        <v>-21878.899999999994</v>
      </c>
      <c r="H18" s="96">
        <v>96035.793307422369</v>
      </c>
      <c r="I18" s="96">
        <v>-473.42069504439974</v>
      </c>
      <c r="J18" s="96">
        <v>70330.233145928491</v>
      </c>
      <c r="K18" s="96">
        <v>-709728.88</v>
      </c>
    </row>
    <row r="19" spans="1:11" ht="15.75" x14ac:dyDescent="0.25">
      <c r="A19" s="26" t="s">
        <v>30</v>
      </c>
      <c r="B19" s="26" t="s">
        <v>108</v>
      </c>
      <c r="C19" s="26" t="s">
        <v>106</v>
      </c>
      <c r="D19" s="14">
        <v>8188.2998248686517</v>
      </c>
      <c r="E19" s="14">
        <v>0</v>
      </c>
      <c r="F19" s="14">
        <v>0</v>
      </c>
      <c r="G19" s="14">
        <v>-190731.89499999999</v>
      </c>
      <c r="H19" s="96">
        <v>0</v>
      </c>
      <c r="I19" s="96">
        <v>0</v>
      </c>
      <c r="J19" s="96">
        <v>0</v>
      </c>
      <c r="K19" s="96">
        <v>0</v>
      </c>
    </row>
    <row r="20" spans="1:11" ht="16.5" thickBot="1" x14ac:dyDescent="0.3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96">
        <v>0</v>
      </c>
      <c r="I20" s="96">
        <v>0</v>
      </c>
      <c r="J20" s="96">
        <v>0</v>
      </c>
      <c r="K20" s="96">
        <v>0</v>
      </c>
    </row>
    <row r="21" spans="1:11" ht="21.75" thickBot="1" x14ac:dyDescent="0.4">
      <c r="A21" s="122" t="s">
        <v>10</v>
      </c>
      <c r="B21" s="121"/>
      <c r="C21" s="121"/>
      <c r="D21" s="174">
        <f>SUM(D9:D20)</f>
        <v>535959.64584441052</v>
      </c>
      <c r="E21" s="174">
        <f t="shared" ref="E21:G21" si="2">SUM(E9:E20)</f>
        <v>265151.73917715781</v>
      </c>
      <c r="F21" s="174">
        <f t="shared" si="2"/>
        <v>868676.38289360143</v>
      </c>
      <c r="G21" s="174">
        <f t="shared" si="2"/>
        <v>-812979.65500000003</v>
      </c>
      <c r="H21" s="174">
        <f>SUM(H9:H20)</f>
        <v>378543.11840173526</v>
      </c>
      <c r="I21" s="174">
        <f t="shared" ref="I21:K21" si="3">SUM(I9:I20)</f>
        <v>16692.332449172987</v>
      </c>
      <c r="J21" s="174">
        <f t="shared" si="3"/>
        <v>91639.765670301771</v>
      </c>
      <c r="K21" s="174">
        <f t="shared" si="3"/>
        <v>-1501990.25</v>
      </c>
    </row>
    <row r="22" spans="1:11" ht="15.75" x14ac:dyDescent="0.25">
      <c r="A22" s="27" t="s">
        <v>11</v>
      </c>
      <c r="B22" s="27" t="s">
        <v>56</v>
      </c>
      <c r="C22" s="27" t="s">
        <v>107</v>
      </c>
      <c r="D22" s="18"/>
      <c r="E22" s="18"/>
      <c r="F22" s="18"/>
      <c r="G22" s="18"/>
      <c r="H22" s="96">
        <v>-10297.373329416951</v>
      </c>
      <c r="I22" s="96">
        <v>215.6469944191511</v>
      </c>
      <c r="J22" s="96">
        <v>0</v>
      </c>
      <c r="K22" s="96">
        <v>0</v>
      </c>
    </row>
    <row r="23" spans="1:11" ht="15.75" x14ac:dyDescent="0.25">
      <c r="A23" s="30" t="s">
        <v>12</v>
      </c>
      <c r="B23" s="26" t="s">
        <v>56</v>
      </c>
      <c r="C23" s="26" t="s">
        <v>107</v>
      </c>
      <c r="D23" s="14">
        <v>0</v>
      </c>
      <c r="E23" s="14">
        <v>3071.9442883237321</v>
      </c>
      <c r="F23" s="14">
        <v>0</v>
      </c>
      <c r="G23" s="14">
        <v>-11711.17</v>
      </c>
      <c r="H23" s="96">
        <v>13822.039358045189</v>
      </c>
      <c r="I23" s="96">
        <v>0</v>
      </c>
      <c r="J23" s="96">
        <v>0</v>
      </c>
      <c r="K23" s="96">
        <v>-417500.99</v>
      </c>
    </row>
    <row r="24" spans="1:11" ht="15.75" x14ac:dyDescent="0.25">
      <c r="A24" s="30" t="s">
        <v>13</v>
      </c>
      <c r="B24" s="26" t="s">
        <v>56</v>
      </c>
      <c r="C24" s="26" t="s">
        <v>107</v>
      </c>
      <c r="D24" s="14">
        <v>13040.009862627679</v>
      </c>
      <c r="E24" s="14">
        <v>0</v>
      </c>
      <c r="F24" s="14">
        <v>0</v>
      </c>
      <c r="G24" s="14"/>
      <c r="H24" s="96">
        <v>7425.0965069239965</v>
      </c>
      <c r="I24" s="96">
        <v>5735.3124127151777</v>
      </c>
      <c r="J24" s="96">
        <v>12079.477102334709</v>
      </c>
      <c r="K24" s="96">
        <v>-2249.4099999999962</v>
      </c>
    </row>
    <row r="25" spans="1:11" ht="15.75" x14ac:dyDescent="0.25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>
        <v>0</v>
      </c>
      <c r="I25" s="96">
        <v>0</v>
      </c>
      <c r="J25" s="96">
        <v>0</v>
      </c>
      <c r="K25" s="96">
        <v>0</v>
      </c>
    </row>
    <row r="26" spans="1:11" ht="15.75" x14ac:dyDescent="0.25">
      <c r="A26" s="30" t="s">
        <v>15</v>
      </c>
      <c r="B26" s="26" t="s">
        <v>56</v>
      </c>
      <c r="C26" s="26" t="s">
        <v>107</v>
      </c>
      <c r="D26" s="14">
        <v>16479.71978984238</v>
      </c>
      <c r="E26" s="14">
        <v>0</v>
      </c>
      <c r="F26" s="14">
        <v>0</v>
      </c>
      <c r="G26" s="14"/>
      <c r="H26" s="96">
        <v>0</v>
      </c>
      <c r="I26" s="96">
        <v>0</v>
      </c>
      <c r="J26" s="96">
        <v>0</v>
      </c>
      <c r="K26" s="96">
        <v>0</v>
      </c>
    </row>
    <row r="27" spans="1:11" ht="15.75" x14ac:dyDescent="0.25">
      <c r="A27" s="30" t="s">
        <v>17</v>
      </c>
      <c r="B27" s="26" t="s">
        <v>56</v>
      </c>
      <c r="C27" s="26" t="s">
        <v>107</v>
      </c>
      <c r="D27" s="14">
        <v>45989.4277730217</v>
      </c>
      <c r="E27" s="14">
        <v>57228.708656426817</v>
      </c>
      <c r="F27" s="14">
        <v>0</v>
      </c>
      <c r="G27" s="14">
        <v>179929</v>
      </c>
      <c r="H27" s="96">
        <v>-975.7265818154674</v>
      </c>
      <c r="I27" s="96">
        <v>6065.9907856867012</v>
      </c>
      <c r="J27" s="96">
        <v>497.88533183596581</v>
      </c>
      <c r="K27" s="96">
        <v>0</v>
      </c>
    </row>
    <row r="28" spans="1:11" ht="15.75" x14ac:dyDescent="0.25">
      <c r="A28" s="30" t="s">
        <v>18</v>
      </c>
      <c r="B28" s="26" t="s">
        <v>56</v>
      </c>
      <c r="C28" s="26" t="s">
        <v>107</v>
      </c>
      <c r="D28" s="14"/>
      <c r="E28" s="14"/>
      <c r="F28" s="14"/>
      <c r="G28" s="14"/>
      <c r="H28" s="96">
        <v>0</v>
      </c>
      <c r="I28" s="96">
        <v>0</v>
      </c>
      <c r="J28" s="96">
        <v>0</v>
      </c>
      <c r="K28" s="96">
        <v>0</v>
      </c>
    </row>
    <row r="29" spans="1:11" ht="15.75" x14ac:dyDescent="0.25">
      <c r="A29" s="26" t="s">
        <v>19</v>
      </c>
      <c r="B29" s="26" t="s">
        <v>56</v>
      </c>
      <c r="C29" s="26" t="s">
        <v>107</v>
      </c>
      <c r="D29" s="14">
        <v>26728.16075468151</v>
      </c>
      <c r="E29" s="14">
        <v>0</v>
      </c>
      <c r="F29" s="14">
        <v>0</v>
      </c>
      <c r="G29" s="14">
        <v>83007.679999999993</v>
      </c>
      <c r="H29" s="96">
        <v>2688.1765180115281</v>
      </c>
      <c r="I29" s="96">
        <v>624.0436308095135</v>
      </c>
      <c r="J29" s="96">
        <v>0</v>
      </c>
      <c r="K29" s="96">
        <v>-482691.81</v>
      </c>
    </row>
    <row r="30" spans="1:11" ht="15.75" x14ac:dyDescent="0.25">
      <c r="A30" s="26" t="s">
        <v>20</v>
      </c>
      <c r="B30" s="26" t="s">
        <v>56</v>
      </c>
      <c r="C30" s="26" t="s">
        <v>107</v>
      </c>
      <c r="D30" s="14">
        <v>0</v>
      </c>
      <c r="E30" s="14">
        <v>16392.97617555812</v>
      </c>
      <c r="F30" s="14">
        <v>0</v>
      </c>
      <c r="G30" s="14">
        <v>-203063.24</v>
      </c>
      <c r="H30" s="96">
        <v>11088.197413537186</v>
      </c>
      <c r="I30" s="96">
        <v>427.67999130560793</v>
      </c>
      <c r="J30" s="96">
        <v>0</v>
      </c>
      <c r="K30" s="96">
        <v>-193883.53999999998</v>
      </c>
    </row>
    <row r="31" spans="1:11" ht="15.75" x14ac:dyDescent="0.25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>
        <v>0</v>
      </c>
      <c r="I31" s="96">
        <v>0</v>
      </c>
      <c r="J31" s="96">
        <v>0</v>
      </c>
      <c r="K31" s="96">
        <v>0</v>
      </c>
    </row>
    <row r="32" spans="1:11" ht="15.75" x14ac:dyDescent="0.25">
      <c r="A32" s="26" t="s">
        <v>22</v>
      </c>
      <c r="B32" s="26" t="s">
        <v>56</v>
      </c>
      <c r="C32" s="26" t="s">
        <v>107</v>
      </c>
      <c r="D32" s="14">
        <v>1430.7864342713151</v>
      </c>
      <c r="E32" s="14">
        <v>0</v>
      </c>
      <c r="F32" s="14">
        <v>14899.64635435012</v>
      </c>
      <c r="G32" s="14"/>
      <c r="H32" s="96">
        <v>36704.171752644543</v>
      </c>
      <c r="I32" s="96">
        <v>0</v>
      </c>
      <c r="J32" s="96">
        <v>43271.222480011857</v>
      </c>
      <c r="K32" s="96">
        <v>0</v>
      </c>
    </row>
    <row r="33" spans="1:11" ht="15.75" x14ac:dyDescent="0.25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>
        <v>0</v>
      </c>
      <c r="I33" s="96">
        <v>0</v>
      </c>
      <c r="J33" s="96">
        <v>0</v>
      </c>
      <c r="K33" s="96">
        <v>0</v>
      </c>
    </row>
    <row r="34" spans="1:11" ht="15.75" x14ac:dyDescent="0.25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>
        <v>0</v>
      </c>
      <c r="I34" s="96">
        <v>0</v>
      </c>
      <c r="J34" s="96">
        <v>0</v>
      </c>
      <c r="K34" s="96">
        <v>0</v>
      </c>
    </row>
    <row r="35" spans="1:11" ht="15.75" x14ac:dyDescent="0.25">
      <c r="A35" s="30" t="s">
        <v>25</v>
      </c>
      <c r="B35" s="26" t="s">
        <v>56</v>
      </c>
      <c r="C35" s="26" t="s">
        <v>107</v>
      </c>
      <c r="D35" s="14">
        <v>1229711.7687286562</v>
      </c>
      <c r="E35" s="14">
        <v>156462.20301581497</v>
      </c>
      <c r="F35" s="14">
        <v>1553079.2681761871</v>
      </c>
      <c r="G35" s="14">
        <v>2850981</v>
      </c>
      <c r="H35" s="96">
        <v>997505.80727122433</v>
      </c>
      <c r="I35" s="96">
        <v>224963.14624080143</v>
      </c>
      <c r="J35" s="96">
        <v>4814104.1388278622</v>
      </c>
      <c r="K35" s="96">
        <v>5762106.1099999994</v>
      </c>
    </row>
    <row r="36" spans="1:11" ht="15.75" x14ac:dyDescent="0.25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>
        <v>0</v>
      </c>
      <c r="I36" s="96">
        <v>0</v>
      </c>
      <c r="J36" s="96">
        <v>0</v>
      </c>
      <c r="K36" s="96">
        <v>0</v>
      </c>
    </row>
    <row r="37" spans="1:11" ht="15.75" x14ac:dyDescent="0.25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>
        <v>0</v>
      </c>
      <c r="I37" s="96">
        <v>0</v>
      </c>
      <c r="J37" s="96">
        <v>0</v>
      </c>
      <c r="K37" s="96">
        <v>0</v>
      </c>
    </row>
    <row r="38" spans="1:11" ht="15.75" x14ac:dyDescent="0.25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>
        <v>-17643.070716364658</v>
      </c>
      <c r="I38" s="96">
        <v>0</v>
      </c>
      <c r="J38" s="96">
        <v>0</v>
      </c>
      <c r="K38" s="96">
        <v>623322.27</v>
      </c>
    </row>
    <row r="39" spans="1:11" ht="15.75" x14ac:dyDescent="0.25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>
        <v>0</v>
      </c>
      <c r="I39" s="96">
        <v>0</v>
      </c>
      <c r="J39" s="96">
        <v>0</v>
      </c>
      <c r="K39" s="96">
        <v>0</v>
      </c>
    </row>
    <row r="40" spans="1:11" ht="15.75" x14ac:dyDescent="0.25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1" ht="15.75" x14ac:dyDescent="0.25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>
        <v>0</v>
      </c>
      <c r="I41" s="96">
        <v>0</v>
      </c>
      <c r="J41" s="96">
        <v>0</v>
      </c>
      <c r="K41" s="96">
        <v>0</v>
      </c>
    </row>
    <row r="42" spans="1:11" ht="15.75" x14ac:dyDescent="0.25">
      <c r="A42" s="30" t="s">
        <v>95</v>
      </c>
      <c r="B42" s="26" t="s">
        <v>56</v>
      </c>
      <c r="C42" s="26" t="s">
        <v>107</v>
      </c>
      <c r="D42" s="14">
        <v>145843.3383736145</v>
      </c>
      <c r="E42" s="14">
        <v>20622.99152261945</v>
      </c>
      <c r="F42" s="14">
        <v>195271.58326689361</v>
      </c>
      <c r="G42" s="14">
        <v>573706</v>
      </c>
      <c r="H42" s="96">
        <v>39636.675967136354</v>
      </c>
      <c r="I42" s="96">
        <v>14357.832587824574</v>
      </c>
      <c r="J42" s="96">
        <v>79633.864281038623</v>
      </c>
      <c r="K42" s="96">
        <v>1285635.74</v>
      </c>
    </row>
    <row r="43" spans="1:11" ht="15.75" x14ac:dyDescent="0.25">
      <c r="A43" s="26" t="s">
        <v>83</v>
      </c>
      <c r="B43" s="26" t="s">
        <v>56</v>
      </c>
      <c r="C43" s="26" t="s">
        <v>107</v>
      </c>
      <c r="D43" s="14"/>
      <c r="E43" s="14"/>
      <c r="F43" s="14"/>
      <c r="G43" s="14"/>
      <c r="H43" s="96">
        <v>0</v>
      </c>
      <c r="I43" s="96">
        <v>0</v>
      </c>
      <c r="J43" s="96">
        <v>0</v>
      </c>
      <c r="K43" s="96">
        <v>-8450.7199999999993</v>
      </c>
    </row>
    <row r="44" spans="1:11" ht="15.75" x14ac:dyDescent="0.25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>
        <v>-601281.25</v>
      </c>
      <c r="H44" s="96">
        <v>0</v>
      </c>
      <c r="I44" s="96">
        <v>0</v>
      </c>
      <c r="J44" s="96">
        <v>0</v>
      </c>
      <c r="K44" s="96">
        <v>0</v>
      </c>
    </row>
    <row r="45" spans="1:11" ht="15.75" x14ac:dyDescent="0.25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>
        <v>0</v>
      </c>
      <c r="I45" s="96">
        <v>0</v>
      </c>
      <c r="J45" s="96">
        <v>0</v>
      </c>
      <c r="K45" s="96">
        <v>0</v>
      </c>
    </row>
    <row r="46" spans="1:11" ht="15.75" x14ac:dyDescent="0.25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>
        <v>0</v>
      </c>
      <c r="I46" s="96">
        <v>868.10332488045208</v>
      </c>
      <c r="J46" s="96">
        <v>0</v>
      </c>
      <c r="K46" s="96">
        <v>0</v>
      </c>
    </row>
    <row r="47" spans="1:11" ht="15.75" x14ac:dyDescent="0.25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>
        <v>0</v>
      </c>
      <c r="I47" s="96">
        <v>0</v>
      </c>
      <c r="J47" s="96">
        <v>0</v>
      </c>
      <c r="K47" s="96">
        <v>0</v>
      </c>
    </row>
    <row r="48" spans="1:11" ht="15.75" x14ac:dyDescent="0.25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>
        <v>0</v>
      </c>
      <c r="I48" s="96">
        <v>0</v>
      </c>
      <c r="J48" s="96">
        <v>0</v>
      </c>
      <c r="K48" s="96">
        <v>0</v>
      </c>
    </row>
    <row r="49" spans="1:12" ht="15.75" x14ac:dyDescent="0.25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>
        <v>0</v>
      </c>
      <c r="I49" s="96">
        <v>0</v>
      </c>
      <c r="J49" s="96">
        <v>34622.353916648477</v>
      </c>
      <c r="K49" s="96">
        <v>0</v>
      </c>
    </row>
    <row r="50" spans="1:12" ht="15.75" x14ac:dyDescent="0.25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>
        <v>0</v>
      </c>
      <c r="I50" s="96">
        <v>0</v>
      </c>
      <c r="J50" s="96">
        <v>0</v>
      </c>
      <c r="K50" s="96">
        <v>0</v>
      </c>
    </row>
    <row r="51" spans="1:12" ht="15.75" x14ac:dyDescent="0.25">
      <c r="A51" s="26" t="s">
        <v>91</v>
      </c>
      <c r="B51" s="26" t="s">
        <v>56</v>
      </c>
      <c r="C51" s="26" t="s">
        <v>107</v>
      </c>
      <c r="D51" s="14"/>
      <c r="E51" s="14"/>
      <c r="F51" s="14"/>
      <c r="G51" s="14"/>
      <c r="H51" s="96">
        <v>0</v>
      </c>
      <c r="I51" s="96">
        <v>0</v>
      </c>
      <c r="J51" s="96">
        <v>0</v>
      </c>
      <c r="K51" s="96">
        <v>0</v>
      </c>
    </row>
    <row r="52" spans="1:12" ht="15.75" x14ac:dyDescent="0.25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>
        <v>0</v>
      </c>
      <c r="I52" s="96">
        <v>-12300.99120121705</v>
      </c>
      <c r="J52" s="96">
        <v>0</v>
      </c>
      <c r="K52" s="96">
        <v>0</v>
      </c>
    </row>
    <row r="53" spans="1:12" ht="16.5" thickBot="1" x14ac:dyDescent="0.3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96">
        <v>0</v>
      </c>
      <c r="I53" s="96">
        <v>-659.17686349020767</v>
      </c>
      <c r="J53" s="96">
        <v>0</v>
      </c>
      <c r="K53" s="96">
        <v>0</v>
      </c>
    </row>
    <row r="54" spans="1:12" ht="21.75" thickBot="1" x14ac:dyDescent="0.4">
      <c r="A54" s="123" t="s">
        <v>116</v>
      </c>
      <c r="B54" s="121"/>
      <c r="C54" s="121"/>
      <c r="D54" s="174">
        <f>SUM(D22:D53)</f>
        <v>1479223.2117167152</v>
      </c>
      <c r="E54" s="174">
        <f t="shared" ref="E54:G54" si="4">SUM(E22:E53)</f>
        <v>253778.82365874309</v>
      </c>
      <c r="F54" s="174">
        <f t="shared" si="4"/>
        <v>1763250.4977974307</v>
      </c>
      <c r="G54" s="174">
        <f t="shared" si="4"/>
        <v>2871568.02</v>
      </c>
      <c r="H54" s="174">
        <f>SUM(H22:H53)</f>
        <v>1079953.994159926</v>
      </c>
      <c r="I54" s="174">
        <f t="shared" ref="I54:K54" si="5">SUM(I22:I53)</f>
        <v>240297.58790373537</v>
      </c>
      <c r="J54" s="174">
        <f t="shared" si="5"/>
        <v>4984208.9419397321</v>
      </c>
      <c r="K54" s="174">
        <f t="shared" si="5"/>
        <v>6566287.6499999994</v>
      </c>
    </row>
    <row r="55" spans="1:12" ht="15.75" x14ac:dyDescent="0.25">
      <c r="A55" s="30" t="s">
        <v>33</v>
      </c>
      <c r="B55" s="26" t="s">
        <v>115</v>
      </c>
      <c r="C55" s="26" t="s">
        <v>107</v>
      </c>
      <c r="D55" s="14">
        <v>0</v>
      </c>
      <c r="E55" s="14">
        <v>0</v>
      </c>
      <c r="F55" s="14">
        <v>15236.427320490369</v>
      </c>
      <c r="G55" s="14"/>
      <c r="H55" s="96">
        <v>-8369.2698015783535</v>
      </c>
      <c r="I55" s="96">
        <v>0</v>
      </c>
      <c r="J55" s="96">
        <v>4589.9215230344435</v>
      </c>
      <c r="K55" s="96">
        <v>-112557.39</v>
      </c>
    </row>
    <row r="56" spans="1:12" ht="15.75" x14ac:dyDescent="0.25">
      <c r="A56" s="26" t="s">
        <v>84</v>
      </c>
      <c r="B56" s="26" t="s">
        <v>115</v>
      </c>
      <c r="C56" s="26" t="s">
        <v>107</v>
      </c>
      <c r="D56" s="14">
        <v>6098.9446361629271</v>
      </c>
      <c r="E56" s="14">
        <v>2348.3914624329195</v>
      </c>
      <c r="F56" s="14">
        <v>0</v>
      </c>
      <c r="G56" s="14"/>
      <c r="H56" s="96">
        <v>-14941.282457304709</v>
      </c>
      <c r="I56" s="96">
        <v>2730.6608965242258</v>
      </c>
      <c r="J56" s="96">
        <v>-14828.380238915361</v>
      </c>
      <c r="K56" s="96">
        <v>-300121.19</v>
      </c>
    </row>
    <row r="57" spans="1:12" ht="15.75" x14ac:dyDescent="0.25">
      <c r="A57" s="26" t="s">
        <v>37</v>
      </c>
      <c r="B57" s="26" t="s">
        <v>115</v>
      </c>
      <c r="C57" s="26" t="s">
        <v>107</v>
      </c>
      <c r="D57" s="14"/>
      <c r="E57" s="14"/>
      <c r="F57" s="14"/>
      <c r="G57" s="14"/>
      <c r="H57" s="96">
        <v>0</v>
      </c>
      <c r="I57" s="96">
        <v>0</v>
      </c>
      <c r="J57" s="96">
        <v>0</v>
      </c>
      <c r="K57" s="96">
        <v>0</v>
      </c>
      <c r="L57" s="133"/>
    </row>
    <row r="58" spans="1:12" ht="15.75" x14ac:dyDescent="0.25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>
        <v>0</v>
      </c>
      <c r="I58" s="96">
        <v>0</v>
      </c>
      <c r="J58" s="96">
        <v>0</v>
      </c>
      <c r="K58" s="96">
        <v>0</v>
      </c>
      <c r="L58" s="133"/>
    </row>
    <row r="59" spans="1:12" ht="15.75" x14ac:dyDescent="0.25">
      <c r="A59" s="27" t="s">
        <v>86</v>
      </c>
      <c r="B59" s="27" t="s">
        <v>115</v>
      </c>
      <c r="C59" s="27" t="s">
        <v>107</v>
      </c>
      <c r="D59" s="14">
        <v>242840.69404246539</v>
      </c>
      <c r="E59" s="14">
        <v>55685.437642103338</v>
      </c>
      <c r="F59" s="14">
        <v>173652.69461077839</v>
      </c>
      <c r="G59" s="14">
        <v>832283</v>
      </c>
      <c r="H59" s="96">
        <v>175356.95847809629</v>
      </c>
      <c r="I59" s="96">
        <v>59814.362181897093</v>
      </c>
      <c r="J59" s="96">
        <v>1199559.947563943</v>
      </c>
      <c r="K59" s="96">
        <v>1974828.8500000003</v>
      </c>
      <c r="L59" s="133"/>
    </row>
    <row r="60" spans="1:12" ht="15.75" x14ac:dyDescent="0.25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>
        <v>0</v>
      </c>
      <c r="I60" s="96">
        <v>0</v>
      </c>
      <c r="J60" s="96">
        <v>0</v>
      </c>
      <c r="K60" s="96">
        <v>0</v>
      </c>
    </row>
    <row r="61" spans="1:12" ht="15.75" x14ac:dyDescent="0.25">
      <c r="A61" s="246" t="s">
        <v>136</v>
      </c>
      <c r="B61" s="26" t="s">
        <v>115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2" ht="16.5" thickBot="1" x14ac:dyDescent="0.3">
      <c r="A62" s="117" t="s">
        <v>99</v>
      </c>
      <c r="B62" s="26" t="s">
        <v>115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2" ht="21.75" thickBot="1" x14ac:dyDescent="0.4">
      <c r="A63" s="123" t="s">
        <v>117</v>
      </c>
      <c r="B63" s="121"/>
      <c r="C63" s="121"/>
      <c r="D63" s="174">
        <f>SUM(D55:D62)</f>
        <v>248939.63867862831</v>
      </c>
      <c r="E63" s="174">
        <f t="shared" ref="E63:G63" si="6">SUM(E55:E62)</f>
        <v>58033.829104536257</v>
      </c>
      <c r="F63" s="174">
        <f t="shared" si="6"/>
        <v>188889.12193126875</v>
      </c>
      <c r="G63" s="174">
        <f t="shared" si="6"/>
        <v>832283</v>
      </c>
      <c r="H63" s="174">
        <f>SUM(H55:H62)</f>
        <v>152046.40621921321</v>
      </c>
      <c r="I63" s="174">
        <f t="shared" ref="I63:K63" si="7">SUM(I55:I62)</f>
        <v>62545.02307842132</v>
      </c>
      <c r="J63" s="174">
        <f t="shared" si="7"/>
        <v>1189321.488848062</v>
      </c>
      <c r="K63" s="174">
        <f t="shared" si="7"/>
        <v>1562150.2700000003</v>
      </c>
    </row>
    <row r="64" spans="1:12" ht="15.75" x14ac:dyDescent="0.25">
      <c r="A64" s="27" t="s">
        <v>77</v>
      </c>
      <c r="B64" s="26" t="s">
        <v>108</v>
      </c>
      <c r="C64" s="27" t="s">
        <v>102</v>
      </c>
      <c r="D64" s="182">
        <v>2451.5674533286369</v>
      </c>
      <c r="E64" s="18">
        <v>2479.9950821975549</v>
      </c>
      <c r="F64" s="18">
        <v>0</v>
      </c>
      <c r="G64" s="18"/>
      <c r="H64" s="96">
        <v>0</v>
      </c>
      <c r="I64" s="96">
        <v>-1164.206257909666</v>
      </c>
      <c r="J64" s="96">
        <v>12239.79072809185</v>
      </c>
      <c r="K64" s="96">
        <v>0</v>
      </c>
    </row>
    <row r="65" spans="1:11" ht="15.75" x14ac:dyDescent="0.25">
      <c r="A65" s="30" t="s">
        <v>40</v>
      </c>
      <c r="B65" s="26" t="s">
        <v>56</v>
      </c>
      <c r="C65" s="26" t="s">
        <v>103</v>
      </c>
      <c r="D65" s="14">
        <v>13229.089375713909</v>
      </c>
      <c r="E65" s="14">
        <v>0</v>
      </c>
      <c r="F65" s="14">
        <v>0</v>
      </c>
      <c r="G65" s="14"/>
      <c r="H65" s="96">
        <v>77745.632249190778</v>
      </c>
      <c r="I65" s="96">
        <v>5578.8617375677031</v>
      </c>
      <c r="J65" s="96">
        <v>0</v>
      </c>
      <c r="K65" s="96">
        <v>-177565.78</v>
      </c>
    </row>
    <row r="66" spans="1:11" ht="15.75" x14ac:dyDescent="0.25">
      <c r="A66" s="26" t="s">
        <v>90</v>
      </c>
      <c r="B66" s="26" t="s">
        <v>108</v>
      </c>
      <c r="C66" s="26" t="s">
        <v>103</v>
      </c>
      <c r="D66" s="183">
        <v>0</v>
      </c>
      <c r="E66" s="183">
        <v>-3636.073516828294</v>
      </c>
      <c r="F66" s="183">
        <v>0</v>
      </c>
      <c r="G66" s="14"/>
      <c r="H66" s="96">
        <v>0</v>
      </c>
      <c r="I66" s="96">
        <v>0</v>
      </c>
      <c r="J66" s="96">
        <v>0</v>
      </c>
      <c r="K66" s="96">
        <v>0</v>
      </c>
    </row>
    <row r="67" spans="1:11" ht="15.75" x14ac:dyDescent="0.25">
      <c r="A67" s="26" t="s">
        <v>92</v>
      </c>
      <c r="B67" s="26" t="s">
        <v>56</v>
      </c>
      <c r="C67" s="26" t="s">
        <v>103</v>
      </c>
      <c r="D67" s="183">
        <v>0</v>
      </c>
      <c r="E67" s="183">
        <v>-478.12349989090097</v>
      </c>
      <c r="F67" s="183">
        <v>0</v>
      </c>
      <c r="G67" s="14"/>
      <c r="H67" s="96">
        <v>0</v>
      </c>
      <c r="I67" s="96">
        <v>2705.3563495526951</v>
      </c>
      <c r="J67" s="96">
        <v>0</v>
      </c>
      <c r="K67" s="96">
        <v>0</v>
      </c>
    </row>
    <row r="68" spans="1:11" ht="15.75" x14ac:dyDescent="0.25">
      <c r="A68" s="26" t="s">
        <v>93</v>
      </c>
      <c r="B68" s="26" t="s">
        <v>56</v>
      </c>
      <c r="C68" s="26" t="s">
        <v>103</v>
      </c>
      <c r="D68" s="14"/>
      <c r="E68" s="14"/>
      <c r="F68" s="14"/>
      <c r="G68" s="14"/>
      <c r="H68" s="96">
        <v>0</v>
      </c>
      <c r="I68" s="96">
        <v>0</v>
      </c>
      <c r="J68" s="96">
        <v>0</v>
      </c>
      <c r="K68" s="96">
        <v>0</v>
      </c>
    </row>
    <row r="69" spans="1:11" ht="15.75" x14ac:dyDescent="0.25">
      <c r="A69" s="26" t="s">
        <v>100</v>
      </c>
      <c r="B69" s="26" t="s">
        <v>56</v>
      </c>
      <c r="C69" s="26" t="s">
        <v>103</v>
      </c>
      <c r="D69" s="14">
        <v>5843.1923563299133</v>
      </c>
      <c r="E69" s="14">
        <v>0</v>
      </c>
      <c r="F69" s="14">
        <v>0</v>
      </c>
      <c r="G69" s="14">
        <f>6233-78708</f>
        <v>-72475</v>
      </c>
      <c r="H69" s="96">
        <v>11359.35569589363</v>
      </c>
      <c r="I69" s="96">
        <v>450.99023909578318</v>
      </c>
      <c r="J69" s="96">
        <v>0</v>
      </c>
      <c r="K69" s="96"/>
    </row>
    <row r="70" spans="1:11" ht="15.75" x14ac:dyDescent="0.25">
      <c r="A70" s="118" t="s">
        <v>101</v>
      </c>
      <c r="B70" s="26" t="s">
        <v>56</v>
      </c>
      <c r="C70" s="26" t="s">
        <v>103</v>
      </c>
      <c r="D70" s="14">
        <v>21004.600915815427</v>
      </c>
      <c r="E70" s="14">
        <v>10221.460751146311</v>
      </c>
      <c r="F70" s="14">
        <v>105547.2217162872</v>
      </c>
      <c r="G70" s="14"/>
      <c r="H70" s="96">
        <v>1788.8216190268381</v>
      </c>
      <c r="I70" s="96">
        <v>27290.8001606705</v>
      </c>
      <c r="J70" s="96">
        <v>0</v>
      </c>
      <c r="K70" s="96"/>
    </row>
    <row r="71" spans="1:11" ht="15.75" x14ac:dyDescent="0.25">
      <c r="A71" s="26" t="s">
        <v>81</v>
      </c>
      <c r="B71" s="26" t="s">
        <v>56</v>
      </c>
      <c r="C71" s="26" t="s">
        <v>103</v>
      </c>
      <c r="D71" s="14"/>
      <c r="E71" s="14"/>
      <c r="F71" s="14"/>
      <c r="G71" s="14"/>
      <c r="H71" s="96">
        <v>0</v>
      </c>
      <c r="I71" s="96">
        <v>0</v>
      </c>
      <c r="J71" s="96">
        <v>0</v>
      </c>
      <c r="K71" s="96">
        <v>0</v>
      </c>
    </row>
    <row r="72" spans="1:11" ht="21.75" thickBot="1" x14ac:dyDescent="0.25">
      <c r="A72" s="177" t="s">
        <v>44</v>
      </c>
      <c r="B72" s="178"/>
      <c r="C72" s="178"/>
      <c r="D72" s="179">
        <f>SUM(D64:D71)</f>
        <v>42528.450101187889</v>
      </c>
      <c r="E72" s="179">
        <f t="shared" ref="E72:G72" si="8">SUM(E64:E71)</f>
        <v>8587.2588166246715</v>
      </c>
      <c r="F72" s="179">
        <f t="shared" si="8"/>
        <v>105547.2217162872</v>
      </c>
      <c r="G72" s="179">
        <f t="shared" si="8"/>
        <v>-72475</v>
      </c>
      <c r="H72" s="179">
        <f>SUM(H64:H71)</f>
        <v>90893.809564111245</v>
      </c>
      <c r="I72" s="179">
        <f t="shared" ref="I72:K72" si="9">SUM(I64:I71)</f>
        <v>34861.802228977016</v>
      </c>
      <c r="J72" s="179">
        <f t="shared" si="9"/>
        <v>12239.79072809185</v>
      </c>
      <c r="K72" s="179">
        <f t="shared" si="9"/>
        <v>-177565.78</v>
      </c>
    </row>
    <row r="73" spans="1:11" ht="21.75" thickBot="1" x14ac:dyDescent="0.25">
      <c r="A73" s="122" t="s">
        <v>45</v>
      </c>
      <c r="B73" s="121"/>
      <c r="C73" s="121"/>
      <c r="D73" s="131">
        <f>D72+D63+D54+D21+D8</f>
        <v>2617873.1383070499</v>
      </c>
      <c r="E73" s="131">
        <f t="shared" ref="E73:G73" si="10">E72+E63+E54+E21+E8</f>
        <v>616397.56226968544</v>
      </c>
      <c r="F73" s="131">
        <f t="shared" si="10"/>
        <v>2852204.6682384587</v>
      </c>
      <c r="G73" s="131">
        <f t="shared" si="10"/>
        <v>1849352.3650000002</v>
      </c>
      <c r="H73" s="131">
        <f>H72+H63+H54+H21+H8</f>
        <v>2025829.4064657185</v>
      </c>
      <c r="I73" s="131">
        <f t="shared" ref="I73:K73" si="11">I72+I63+I54+I21+I8</f>
        <v>344042.42250350519</v>
      </c>
      <c r="J73" s="131">
        <f t="shared" si="11"/>
        <v>6309076.2841662783</v>
      </c>
      <c r="K73" s="131">
        <f t="shared" si="11"/>
        <v>7714327.6899999995</v>
      </c>
    </row>
    <row r="75" spans="1:11" x14ac:dyDescent="0.25">
      <c r="D75" s="6">
        <v>2617873.1383070499</v>
      </c>
      <c r="E75" s="6">
        <v>616397.56226968556</v>
      </c>
      <c r="F75" s="6">
        <v>2852204.6682384582</v>
      </c>
      <c r="G75" s="6">
        <v>1849351.8299999954</v>
      </c>
    </row>
  </sheetData>
  <autoFilter ref="A2:L73" xr:uid="{4219A6CA-D251-4DF4-BDA3-15E6C5643ED5}"/>
  <mergeCells count="2">
    <mergeCell ref="D1:G1"/>
    <mergeCell ref="H1:K1"/>
  </mergeCells>
  <conditionalFormatting sqref="A1">
    <cfRule type="duplicateValues" dxfId="175" priority="15"/>
    <cfRule type="duplicateValues" dxfId="174" priority="16"/>
  </conditionalFormatting>
  <conditionalFormatting sqref="A14">
    <cfRule type="duplicateValues" dxfId="173" priority="5"/>
    <cfRule type="duplicateValues" dxfId="172" priority="6"/>
  </conditionalFormatting>
  <conditionalFormatting sqref="A40">
    <cfRule type="duplicateValues" dxfId="171" priority="1"/>
    <cfRule type="duplicateValues" dxfId="170" priority="2"/>
  </conditionalFormatting>
  <conditionalFormatting sqref="A55">
    <cfRule type="duplicateValues" dxfId="169" priority="7"/>
    <cfRule type="duplicateValues" dxfId="168" priority="8"/>
  </conditionalFormatting>
  <conditionalFormatting sqref="A56:A58 A7 A22:A39 A60 A41:A53">
    <cfRule type="duplicateValues" dxfId="167" priority="13"/>
    <cfRule type="duplicateValues" dxfId="166" priority="14"/>
  </conditionalFormatting>
  <conditionalFormatting sqref="A59">
    <cfRule type="duplicateValues" dxfId="165" priority="3"/>
    <cfRule type="duplicateValues" dxfId="164" priority="4"/>
  </conditionalFormatting>
  <conditionalFormatting sqref="A64:A71">
    <cfRule type="duplicateValues" dxfId="163" priority="11"/>
    <cfRule type="duplicateValues" dxfId="162" priority="12"/>
  </conditionalFormatting>
  <conditionalFormatting sqref="A72:A73 A2:A6 A8:A13 A15:A21 A54 A63">
    <cfRule type="duplicateValues" dxfId="161" priority="9"/>
    <cfRule type="duplicateValues" dxfId="160" priority="10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2088-57B0-4CA1-9D21-345272FEC0C7}">
  <sheetPr>
    <tabColor rgb="FFFFC000"/>
  </sheetPr>
  <dimension ref="A1:M75"/>
  <sheetViews>
    <sheetView rightToLeft="1" zoomScaleNormal="100" workbookViewId="0">
      <pane ySplit="3" topLeftCell="A46" activePane="bottomLeft" state="frozen"/>
      <selection pane="bottomLeft" activeCell="A61" sqref="A61:C61"/>
    </sheetView>
  </sheetViews>
  <sheetFormatPr defaultColWidth="30.125" defaultRowHeight="15" x14ac:dyDescent="0.25"/>
  <cols>
    <col min="1" max="1" width="30" style="32" bestFit="1" customWidth="1"/>
    <col min="2" max="2" width="11.375" style="32" customWidth="1"/>
    <col min="3" max="3" width="11.75" style="32" customWidth="1"/>
    <col min="4" max="4" width="16.875" customWidth="1"/>
    <col min="5" max="5" width="15.25" customWidth="1"/>
    <col min="6" max="6" width="16.875" customWidth="1"/>
    <col min="7" max="7" width="19" customWidth="1"/>
    <col min="8" max="9" width="15.25" style="3" customWidth="1"/>
    <col min="10" max="10" width="16.875" style="3" customWidth="1"/>
    <col min="11" max="11" width="19" customWidth="1"/>
  </cols>
  <sheetData>
    <row r="1" spans="1:12" ht="21" x14ac:dyDescent="0.2">
      <c r="A1" s="26"/>
      <c r="B1" s="26"/>
      <c r="C1" s="26"/>
      <c r="D1" s="237">
        <v>2025</v>
      </c>
      <c r="E1" s="237"/>
      <c r="F1" s="237"/>
      <c r="G1" s="237"/>
      <c r="H1" s="238">
        <v>2024</v>
      </c>
      <c r="I1" s="238"/>
      <c r="J1" s="238"/>
      <c r="K1" s="238"/>
    </row>
    <row r="2" spans="1:12" ht="21" x14ac:dyDescent="0.2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2" ht="15.75" x14ac:dyDescent="0.25">
      <c r="A3" s="26" t="s">
        <v>1</v>
      </c>
      <c r="B3" s="26" t="s">
        <v>108</v>
      </c>
      <c r="C3" s="26" t="s">
        <v>58</v>
      </c>
      <c r="D3" s="14"/>
      <c r="E3" s="14">
        <f>76804-E5-E6-E50-E64-E68</f>
        <v>25621.279999999999</v>
      </c>
      <c r="F3" s="14"/>
      <c r="G3" s="14"/>
      <c r="H3" s="96">
        <v>0</v>
      </c>
      <c r="I3" s="96">
        <v>158765.29999999999</v>
      </c>
      <c r="J3" s="96"/>
      <c r="K3" s="96"/>
    </row>
    <row r="4" spans="1:12" ht="15.75" x14ac:dyDescent="0.25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>
        <v>0</v>
      </c>
      <c r="I4" s="96">
        <v>0</v>
      </c>
      <c r="J4" s="96"/>
      <c r="K4" s="96"/>
    </row>
    <row r="5" spans="1:12" ht="15.75" x14ac:dyDescent="0.25">
      <c r="A5" s="26" t="s">
        <v>104</v>
      </c>
      <c r="B5" s="26" t="s">
        <v>108</v>
      </c>
      <c r="C5" s="26" t="s">
        <v>58</v>
      </c>
      <c r="D5" s="14"/>
      <c r="E5" s="183">
        <f>30017+5416</f>
        <v>35433</v>
      </c>
      <c r="F5" s="14"/>
      <c r="G5" s="14"/>
      <c r="H5" s="96"/>
      <c r="I5" s="96"/>
      <c r="J5" s="96"/>
      <c r="K5" s="96"/>
      <c r="L5" s="133"/>
    </row>
    <row r="6" spans="1:12" ht="15.75" x14ac:dyDescent="0.25">
      <c r="A6" s="28" t="s">
        <v>105</v>
      </c>
      <c r="B6" s="26" t="s">
        <v>108</v>
      </c>
      <c r="C6" s="28" t="s">
        <v>58</v>
      </c>
      <c r="D6" s="15"/>
      <c r="E6" s="181">
        <f>10148+699</f>
        <v>10847</v>
      </c>
      <c r="F6" s="15"/>
      <c r="G6" s="15"/>
      <c r="H6" s="96"/>
      <c r="I6" s="96"/>
      <c r="J6" s="96"/>
      <c r="K6" s="96"/>
    </row>
    <row r="7" spans="1:12" ht="16.5" thickBot="1" x14ac:dyDescent="0.3">
      <c r="A7" s="26" t="s">
        <v>34</v>
      </c>
      <c r="B7" s="26" t="s">
        <v>108</v>
      </c>
      <c r="C7" s="26" t="s">
        <v>58</v>
      </c>
      <c r="D7" s="14"/>
      <c r="E7" s="14">
        <v>840.71</v>
      </c>
      <c r="F7" s="14"/>
      <c r="G7" s="14"/>
      <c r="H7" s="96">
        <v>0</v>
      </c>
      <c r="I7" s="96">
        <v>747.7</v>
      </c>
      <c r="J7" s="96"/>
      <c r="K7" s="96"/>
    </row>
    <row r="8" spans="1:12" ht="21.75" thickBot="1" x14ac:dyDescent="0.4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72741.990000000005</v>
      </c>
      <c r="F8" s="174">
        <f t="shared" si="0"/>
        <v>0</v>
      </c>
      <c r="G8" s="174">
        <f t="shared" si="0"/>
        <v>0</v>
      </c>
      <c r="H8" s="174">
        <f>SUM(H3:H7)</f>
        <v>0</v>
      </c>
      <c r="I8" s="174">
        <f t="shared" ref="I8:K8" si="1">SUM(I3:I7)</f>
        <v>159513</v>
      </c>
      <c r="J8" s="174">
        <f t="shared" si="1"/>
        <v>0</v>
      </c>
      <c r="K8" s="174">
        <f t="shared" si="1"/>
        <v>0</v>
      </c>
    </row>
    <row r="9" spans="1:12" ht="15.75" x14ac:dyDescent="0.25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>
        <v>0</v>
      </c>
      <c r="I9" s="96">
        <v>0</v>
      </c>
      <c r="J9" s="96"/>
      <c r="K9" s="96"/>
    </row>
    <row r="10" spans="1:12" ht="15.75" x14ac:dyDescent="0.25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>
        <v>0</v>
      </c>
      <c r="I10" s="96">
        <v>0</v>
      </c>
      <c r="J10" s="96"/>
      <c r="K10" s="96"/>
    </row>
    <row r="11" spans="1:12" ht="15.75" x14ac:dyDescent="0.25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>
        <v>0</v>
      </c>
      <c r="I11" s="96">
        <v>14610.13</v>
      </c>
      <c r="J11" s="96"/>
      <c r="K11" s="96"/>
    </row>
    <row r="12" spans="1:12" ht="15.75" x14ac:dyDescent="0.25">
      <c r="A12" s="26" t="s">
        <v>7</v>
      </c>
      <c r="B12" s="26" t="s">
        <v>108</v>
      </c>
      <c r="C12" s="26" t="s">
        <v>106</v>
      </c>
      <c r="D12" s="14"/>
      <c r="E12" s="14">
        <v>996</v>
      </c>
      <c r="F12" s="14"/>
      <c r="G12" s="14"/>
      <c r="H12" s="96">
        <v>0</v>
      </c>
      <c r="I12" s="96">
        <v>0</v>
      </c>
      <c r="J12" s="96"/>
      <c r="K12" s="96"/>
    </row>
    <row r="13" spans="1:12" ht="15.75" x14ac:dyDescent="0.25">
      <c r="A13" s="26" t="s">
        <v>8</v>
      </c>
      <c r="B13" s="26" t="s">
        <v>108</v>
      </c>
      <c r="C13" s="26" t="s">
        <v>106</v>
      </c>
      <c r="D13" s="14"/>
      <c r="E13" s="14">
        <v>11033</v>
      </c>
      <c r="F13" s="14"/>
      <c r="G13" s="14"/>
      <c r="H13" s="96">
        <v>0</v>
      </c>
      <c r="I13" s="96">
        <v>12741.320000000003</v>
      </c>
      <c r="J13" s="96"/>
      <c r="K13" s="96"/>
    </row>
    <row r="14" spans="1:12" ht="15.75" x14ac:dyDescent="0.25">
      <c r="A14" s="26" t="s">
        <v>9</v>
      </c>
      <c r="B14" s="26" t="s">
        <v>108</v>
      </c>
      <c r="C14" s="26" t="s">
        <v>106</v>
      </c>
      <c r="D14" s="14"/>
      <c r="E14" s="14">
        <v>5324</v>
      </c>
      <c r="F14" s="14"/>
      <c r="G14" s="14"/>
      <c r="H14" s="96">
        <v>0</v>
      </c>
      <c r="I14" s="96">
        <v>7645.8899999999985</v>
      </c>
      <c r="J14" s="96"/>
      <c r="K14" s="96"/>
    </row>
    <row r="15" spans="1:12" ht="15.75" x14ac:dyDescent="0.25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>
        <v>0</v>
      </c>
      <c r="I15" s="96">
        <v>0</v>
      </c>
      <c r="J15" s="96"/>
      <c r="K15" s="96"/>
    </row>
    <row r="16" spans="1:12" ht="15.75" x14ac:dyDescent="0.25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>
        <v>0</v>
      </c>
      <c r="I16" s="96">
        <v>0</v>
      </c>
      <c r="J16" s="96"/>
      <c r="K16" s="96"/>
    </row>
    <row r="17" spans="1:11" ht="15.75" x14ac:dyDescent="0.25">
      <c r="A17" s="26" t="s">
        <v>42</v>
      </c>
      <c r="B17" s="26" t="s">
        <v>108</v>
      </c>
      <c r="C17" s="26" t="s">
        <v>106</v>
      </c>
      <c r="D17" s="14"/>
      <c r="E17" s="14">
        <v>59329</v>
      </c>
      <c r="F17" s="14"/>
      <c r="G17" s="14"/>
      <c r="H17" s="96">
        <v>0</v>
      </c>
      <c r="I17" s="96">
        <v>35443.220000000008</v>
      </c>
      <c r="J17" s="96"/>
      <c r="K17" s="96"/>
    </row>
    <row r="18" spans="1:11" ht="15.75" x14ac:dyDescent="0.25">
      <c r="A18" s="26" t="s">
        <v>43</v>
      </c>
      <c r="B18" s="26" t="s">
        <v>108</v>
      </c>
      <c r="C18" s="26" t="s">
        <v>106</v>
      </c>
      <c r="D18" s="14">
        <v>510</v>
      </c>
      <c r="E18" s="14">
        <v>3427</v>
      </c>
      <c r="F18" s="14"/>
      <c r="G18" s="14"/>
      <c r="H18" s="96">
        <v>528.51</v>
      </c>
      <c r="I18" s="96">
        <v>3557.4799999999996</v>
      </c>
      <c r="J18" s="96"/>
      <c r="K18" s="96"/>
    </row>
    <row r="19" spans="1:11" ht="15.75" x14ac:dyDescent="0.25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>
        <v>0</v>
      </c>
      <c r="I19" s="96">
        <v>0</v>
      </c>
      <c r="J19" s="96"/>
      <c r="K19" s="96"/>
    </row>
    <row r="20" spans="1:11" ht="16.5" thickBot="1" x14ac:dyDescent="0.3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96">
        <v>0</v>
      </c>
      <c r="I20" s="96">
        <v>0</v>
      </c>
      <c r="J20" s="96"/>
      <c r="K20" s="96"/>
    </row>
    <row r="21" spans="1:11" ht="21.75" thickBot="1" x14ac:dyDescent="0.4">
      <c r="A21" s="122" t="s">
        <v>10</v>
      </c>
      <c r="B21" s="121"/>
      <c r="C21" s="121"/>
      <c r="D21" s="174">
        <f>SUM(D9:D20)</f>
        <v>510</v>
      </c>
      <c r="E21" s="174">
        <f t="shared" ref="E21:G21" si="2">SUM(E9:E20)</f>
        <v>80109</v>
      </c>
      <c r="F21" s="174">
        <f t="shared" si="2"/>
        <v>0</v>
      </c>
      <c r="G21" s="174">
        <f t="shared" si="2"/>
        <v>0</v>
      </c>
      <c r="H21" s="174">
        <f>SUM(H9:H20)</f>
        <v>528.51</v>
      </c>
      <c r="I21" s="174">
        <f t="shared" ref="I21:K21" si="3">SUM(I9:I20)</f>
        <v>73998.040000000008</v>
      </c>
      <c r="J21" s="174">
        <f t="shared" si="3"/>
        <v>0</v>
      </c>
      <c r="K21" s="174">
        <f t="shared" si="3"/>
        <v>0</v>
      </c>
    </row>
    <row r="22" spans="1:11" ht="15.75" x14ac:dyDescent="0.25">
      <c r="A22" s="27" t="s">
        <v>11</v>
      </c>
      <c r="B22" s="27" t="s">
        <v>56</v>
      </c>
      <c r="C22" s="27" t="s">
        <v>107</v>
      </c>
      <c r="D22" s="18"/>
      <c r="E22" s="18"/>
      <c r="F22" s="18"/>
      <c r="G22" s="18"/>
      <c r="H22" s="96">
        <v>0</v>
      </c>
      <c r="I22" s="96">
        <v>0</v>
      </c>
      <c r="J22" s="96"/>
      <c r="K22" s="96"/>
    </row>
    <row r="23" spans="1:11" ht="15.75" x14ac:dyDescent="0.25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>
        <v>0</v>
      </c>
      <c r="I23" s="96">
        <v>0</v>
      </c>
      <c r="J23" s="96"/>
      <c r="K23" s="96"/>
    </row>
    <row r="24" spans="1:11" ht="15.75" x14ac:dyDescent="0.25">
      <c r="A24" s="30" t="s">
        <v>13</v>
      </c>
      <c r="B24" s="26" t="s">
        <v>56</v>
      </c>
      <c r="C24" s="26" t="s">
        <v>107</v>
      </c>
      <c r="D24" s="14"/>
      <c r="E24" s="14"/>
      <c r="F24" s="14"/>
      <c r="G24" s="14"/>
      <c r="H24" s="96">
        <v>0</v>
      </c>
      <c r="I24" s="96">
        <v>0</v>
      </c>
      <c r="J24" s="96"/>
      <c r="K24" s="96"/>
    </row>
    <row r="25" spans="1:11" ht="15.75" x14ac:dyDescent="0.25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>
        <v>0</v>
      </c>
      <c r="I25" s="96">
        <v>0</v>
      </c>
      <c r="J25" s="96"/>
      <c r="K25" s="96"/>
    </row>
    <row r="26" spans="1:11" ht="15.75" x14ac:dyDescent="0.25">
      <c r="A26" s="30" t="s">
        <v>15</v>
      </c>
      <c r="B26" s="26" t="s">
        <v>56</v>
      </c>
      <c r="C26" s="26" t="s">
        <v>107</v>
      </c>
      <c r="D26" s="14">
        <v>720</v>
      </c>
      <c r="E26" s="14">
        <v>17635</v>
      </c>
      <c r="F26" s="14"/>
      <c r="G26" s="14"/>
      <c r="H26" s="96">
        <v>450.22999999999996</v>
      </c>
      <c r="I26" s="96">
        <v>50780.060000000005</v>
      </c>
      <c r="J26" s="96"/>
      <c r="K26" s="96"/>
    </row>
    <row r="27" spans="1:11" ht="15.75" x14ac:dyDescent="0.25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>
        <v>0</v>
      </c>
      <c r="I27" s="96">
        <v>0</v>
      </c>
      <c r="J27" s="96"/>
      <c r="K27" s="96"/>
    </row>
    <row r="28" spans="1:11" ht="15.75" x14ac:dyDescent="0.25">
      <c r="A28" s="30" t="s">
        <v>18</v>
      </c>
      <c r="B28" s="26" t="s">
        <v>56</v>
      </c>
      <c r="C28" s="26" t="s">
        <v>107</v>
      </c>
      <c r="D28" s="14"/>
      <c r="E28" s="14"/>
      <c r="F28" s="14"/>
      <c r="G28" s="14"/>
      <c r="H28" s="96">
        <v>0</v>
      </c>
      <c r="I28" s="96">
        <v>0</v>
      </c>
      <c r="J28" s="96"/>
      <c r="K28" s="96"/>
    </row>
    <row r="29" spans="1:11" ht="15.75" x14ac:dyDescent="0.25">
      <c r="A29" s="26" t="s">
        <v>19</v>
      </c>
      <c r="B29" s="26" t="s">
        <v>56</v>
      </c>
      <c r="C29" s="26" t="s">
        <v>107</v>
      </c>
      <c r="D29" s="14"/>
      <c r="E29" s="14"/>
      <c r="F29" s="14"/>
      <c r="G29" s="14"/>
      <c r="H29" s="96">
        <v>0</v>
      </c>
      <c r="I29" s="96">
        <v>0</v>
      </c>
      <c r="J29" s="96"/>
      <c r="K29" s="96"/>
    </row>
    <row r="30" spans="1:11" ht="15.75" x14ac:dyDescent="0.25">
      <c r="A30" s="26" t="s">
        <v>20</v>
      </c>
      <c r="B30" s="26" t="s">
        <v>56</v>
      </c>
      <c r="C30" s="26" t="s">
        <v>107</v>
      </c>
      <c r="D30" s="14"/>
      <c r="E30" s="14"/>
      <c r="F30" s="14"/>
      <c r="G30" s="14"/>
      <c r="H30" s="96">
        <v>0</v>
      </c>
      <c r="I30" s="96">
        <v>0</v>
      </c>
      <c r="J30" s="96"/>
      <c r="K30" s="96"/>
    </row>
    <row r="31" spans="1:11" ht="15.75" x14ac:dyDescent="0.25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>
        <v>0</v>
      </c>
      <c r="I31" s="96">
        <v>0</v>
      </c>
      <c r="J31" s="96"/>
      <c r="K31" s="96"/>
    </row>
    <row r="32" spans="1:11" ht="15.75" x14ac:dyDescent="0.25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>
        <v>0</v>
      </c>
      <c r="I32" s="96">
        <v>0</v>
      </c>
      <c r="J32" s="96"/>
      <c r="K32" s="96"/>
    </row>
    <row r="33" spans="1:12" ht="15.75" x14ac:dyDescent="0.25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>
        <v>0</v>
      </c>
      <c r="I33" s="96">
        <v>0</v>
      </c>
      <c r="J33" s="96"/>
      <c r="K33" s="96"/>
    </row>
    <row r="34" spans="1:12" ht="15.75" x14ac:dyDescent="0.25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>
        <v>0</v>
      </c>
      <c r="I34" s="96">
        <v>0</v>
      </c>
      <c r="J34" s="96"/>
      <c r="K34" s="96"/>
    </row>
    <row r="35" spans="1:12" ht="15.75" x14ac:dyDescent="0.25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/>
      <c r="H35" s="96">
        <v>0</v>
      </c>
      <c r="I35" s="96">
        <v>0</v>
      </c>
      <c r="J35" s="96"/>
      <c r="K35" s="96"/>
    </row>
    <row r="36" spans="1:12" ht="15.75" x14ac:dyDescent="0.25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>
        <v>0</v>
      </c>
      <c r="I36" s="96">
        <v>0</v>
      </c>
      <c r="J36" s="96"/>
      <c r="K36" s="96"/>
    </row>
    <row r="37" spans="1:12" ht="15.75" x14ac:dyDescent="0.25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>
        <v>0</v>
      </c>
      <c r="I37" s="96">
        <v>0</v>
      </c>
      <c r="J37" s="96"/>
      <c r="K37" s="96"/>
    </row>
    <row r="38" spans="1:12" ht="15.75" x14ac:dyDescent="0.25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>
        <v>0</v>
      </c>
      <c r="I38" s="96">
        <v>0</v>
      </c>
      <c r="J38" s="96"/>
      <c r="K38" s="96"/>
    </row>
    <row r="39" spans="1:12" ht="15.75" x14ac:dyDescent="0.25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>
        <v>0</v>
      </c>
      <c r="I39" s="96">
        <v>0</v>
      </c>
      <c r="J39" s="96"/>
      <c r="K39" s="96"/>
    </row>
    <row r="40" spans="1:12" ht="15.75" x14ac:dyDescent="0.25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75" x14ac:dyDescent="0.25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>
        <v>0</v>
      </c>
      <c r="I41" s="96">
        <v>0</v>
      </c>
      <c r="J41" s="96"/>
      <c r="K41" s="96"/>
    </row>
    <row r="42" spans="1:12" ht="15.75" x14ac:dyDescent="0.25">
      <c r="A42" s="30" t="s">
        <v>95</v>
      </c>
      <c r="B42" s="26" t="s">
        <v>56</v>
      </c>
      <c r="C42" s="26" t="s">
        <v>107</v>
      </c>
      <c r="D42" s="14"/>
      <c r="E42" s="14"/>
      <c r="F42" s="14"/>
      <c r="G42" s="14"/>
      <c r="H42" s="96">
        <v>0</v>
      </c>
      <c r="I42" s="96">
        <v>0</v>
      </c>
      <c r="J42" s="96"/>
      <c r="K42" s="96"/>
    </row>
    <row r="43" spans="1:12" ht="15.75" x14ac:dyDescent="0.25">
      <c r="A43" s="26" t="s">
        <v>83</v>
      </c>
      <c r="B43" s="26" t="s">
        <v>56</v>
      </c>
      <c r="C43" s="26" t="s">
        <v>107</v>
      </c>
      <c r="D43" s="14"/>
      <c r="E43" s="14"/>
      <c r="F43" s="14"/>
      <c r="G43" s="14"/>
      <c r="H43" s="96">
        <v>0</v>
      </c>
      <c r="I43" s="96">
        <v>0</v>
      </c>
      <c r="J43" s="96"/>
      <c r="K43" s="96"/>
    </row>
    <row r="44" spans="1:12" ht="15.75" x14ac:dyDescent="0.25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/>
      <c r="H44" s="96">
        <v>0</v>
      </c>
      <c r="I44" s="96">
        <v>0</v>
      </c>
      <c r="J44" s="96"/>
      <c r="K44" s="96"/>
    </row>
    <row r="45" spans="1:12" ht="15.75" x14ac:dyDescent="0.25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>
        <v>0</v>
      </c>
      <c r="I45" s="96">
        <v>0</v>
      </c>
      <c r="J45" s="96"/>
      <c r="K45" s="96"/>
    </row>
    <row r="46" spans="1:12" ht="15.75" x14ac:dyDescent="0.25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>
        <v>0</v>
      </c>
      <c r="I46" s="96">
        <v>0</v>
      </c>
      <c r="J46" s="96"/>
      <c r="K46" s="96"/>
      <c r="L46" s="138"/>
    </row>
    <row r="47" spans="1:12" ht="15.75" x14ac:dyDescent="0.25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>
        <v>0</v>
      </c>
      <c r="I47" s="96">
        <v>0</v>
      </c>
      <c r="J47" s="96"/>
      <c r="K47" s="96"/>
    </row>
    <row r="48" spans="1:12" ht="15.75" x14ac:dyDescent="0.25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>
        <v>0</v>
      </c>
      <c r="I48" s="96">
        <v>3462.63</v>
      </c>
      <c r="J48" s="96"/>
      <c r="K48" s="96"/>
    </row>
    <row r="49" spans="1:13" ht="15.75" x14ac:dyDescent="0.25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>
        <v>0</v>
      </c>
      <c r="I49" s="96">
        <v>0</v>
      </c>
      <c r="J49" s="96"/>
      <c r="K49" s="96"/>
    </row>
    <row r="50" spans="1:13" ht="15.75" x14ac:dyDescent="0.25">
      <c r="A50" s="26" t="s">
        <v>39</v>
      </c>
      <c r="B50" s="26" t="s">
        <v>56</v>
      </c>
      <c r="C50" s="26" t="s">
        <v>107</v>
      </c>
      <c r="D50" s="14"/>
      <c r="E50" s="183">
        <v>2380</v>
      </c>
      <c r="F50" s="14"/>
      <c r="G50" s="14"/>
      <c r="H50" s="96">
        <v>0</v>
      </c>
      <c r="I50" s="96">
        <v>1168.3599999999999</v>
      </c>
      <c r="J50" s="96"/>
      <c r="K50" s="96"/>
    </row>
    <row r="51" spans="1:13" ht="15.75" x14ac:dyDescent="0.25">
      <c r="A51" s="26" t="s">
        <v>91</v>
      </c>
      <c r="B51" s="26" t="s">
        <v>56</v>
      </c>
      <c r="C51" s="26" t="s">
        <v>107</v>
      </c>
      <c r="D51" s="14"/>
      <c r="E51" s="14"/>
      <c r="F51" s="14"/>
      <c r="G51" s="14"/>
      <c r="H51" s="96">
        <v>0</v>
      </c>
      <c r="I51" s="96">
        <v>0</v>
      </c>
      <c r="J51" s="96"/>
      <c r="K51" s="96"/>
    </row>
    <row r="52" spans="1:13" ht="15.75" x14ac:dyDescent="0.25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>
        <v>0</v>
      </c>
      <c r="I52" s="96">
        <v>0</v>
      </c>
      <c r="J52" s="96"/>
      <c r="K52" s="96"/>
    </row>
    <row r="53" spans="1:13" ht="16.5" thickBot="1" x14ac:dyDescent="0.3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96">
        <v>0</v>
      </c>
      <c r="I53" s="96">
        <v>0</v>
      </c>
      <c r="J53" s="96"/>
      <c r="K53" s="96"/>
    </row>
    <row r="54" spans="1:13" ht="21.75" thickBot="1" x14ac:dyDescent="0.4">
      <c r="A54" s="123" t="s">
        <v>116</v>
      </c>
      <c r="B54" s="121"/>
      <c r="C54" s="121"/>
      <c r="D54" s="174">
        <f>SUM(D22:D53)</f>
        <v>720</v>
      </c>
      <c r="E54" s="174">
        <f t="shared" ref="E54:G54" si="4">SUM(E22:E53)</f>
        <v>20015</v>
      </c>
      <c r="F54" s="174">
        <f t="shared" si="4"/>
        <v>0</v>
      </c>
      <c r="G54" s="174">
        <f t="shared" si="4"/>
        <v>0</v>
      </c>
      <c r="H54" s="174">
        <f>SUM(H22:H53)</f>
        <v>450.22999999999996</v>
      </c>
      <c r="I54" s="174">
        <f t="shared" ref="I54:K54" si="5">SUM(I22:I53)</f>
        <v>55411.05</v>
      </c>
      <c r="J54" s="174">
        <f t="shared" si="5"/>
        <v>0</v>
      </c>
      <c r="K54" s="174">
        <f t="shared" si="5"/>
        <v>0</v>
      </c>
    </row>
    <row r="55" spans="1:13" ht="15.75" x14ac:dyDescent="0.25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>
        <v>0</v>
      </c>
      <c r="I55" s="96">
        <v>0</v>
      </c>
      <c r="J55" s="96"/>
      <c r="K55" s="96"/>
    </row>
    <row r="56" spans="1:13" ht="15.75" x14ac:dyDescent="0.25">
      <c r="A56" s="26" t="s">
        <v>84</v>
      </c>
      <c r="B56" s="26" t="s">
        <v>115</v>
      </c>
      <c r="C56" s="26" t="s">
        <v>107</v>
      </c>
      <c r="D56" s="14"/>
      <c r="E56" s="14">
        <v>3158</v>
      </c>
      <c r="F56" s="14"/>
      <c r="G56" s="14"/>
      <c r="H56" s="96">
        <v>0</v>
      </c>
      <c r="I56" s="96">
        <v>7341.9499999999989</v>
      </c>
      <c r="J56" s="96"/>
      <c r="K56" s="96"/>
    </row>
    <row r="57" spans="1:13" ht="15.75" x14ac:dyDescent="0.25">
      <c r="A57" s="26" t="s">
        <v>37</v>
      </c>
      <c r="B57" s="26" t="s">
        <v>115</v>
      </c>
      <c r="C57" s="26" t="s">
        <v>107</v>
      </c>
      <c r="D57" s="14"/>
      <c r="E57" s="14"/>
      <c r="F57" s="14"/>
      <c r="G57" s="14"/>
      <c r="H57" s="96">
        <v>0</v>
      </c>
      <c r="I57" s="96">
        <v>0</v>
      </c>
      <c r="J57" s="96"/>
      <c r="K57" s="96"/>
      <c r="M57" s="133"/>
    </row>
    <row r="58" spans="1:13" ht="15.75" x14ac:dyDescent="0.25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>
        <v>0</v>
      </c>
      <c r="I58" s="96">
        <v>0</v>
      </c>
      <c r="J58" s="96"/>
      <c r="K58" s="96"/>
      <c r="M58" s="133"/>
    </row>
    <row r="59" spans="1:13" ht="15.75" x14ac:dyDescent="0.25">
      <c r="A59" s="27" t="s">
        <v>86</v>
      </c>
      <c r="B59" s="27" t="s">
        <v>115</v>
      </c>
      <c r="C59" s="27" t="s">
        <v>107</v>
      </c>
      <c r="D59" s="14"/>
      <c r="E59" s="14"/>
      <c r="F59" s="14"/>
      <c r="G59" s="14"/>
      <c r="H59" s="96">
        <v>0</v>
      </c>
      <c r="I59" s="96">
        <v>0</v>
      </c>
      <c r="J59" s="96"/>
      <c r="K59" s="96"/>
      <c r="M59" s="133"/>
    </row>
    <row r="60" spans="1:13" ht="15.75" x14ac:dyDescent="0.25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>
        <v>0</v>
      </c>
      <c r="I60" s="96">
        <v>0</v>
      </c>
      <c r="J60" s="96"/>
      <c r="K60" s="96"/>
    </row>
    <row r="61" spans="1:13" ht="15.75" x14ac:dyDescent="0.25">
      <c r="A61" s="246" t="s">
        <v>136</v>
      </c>
      <c r="B61" s="26" t="s">
        <v>115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3" ht="16.5" thickBot="1" x14ac:dyDescent="0.3">
      <c r="A62" s="117" t="s">
        <v>99</v>
      </c>
      <c r="B62" s="26" t="s">
        <v>115</v>
      </c>
      <c r="C62" s="26" t="s">
        <v>107</v>
      </c>
      <c r="D62" s="14"/>
      <c r="E62" s="14">
        <v>9151</v>
      </c>
      <c r="F62" s="14"/>
      <c r="G62" s="14"/>
      <c r="H62" s="96"/>
      <c r="I62" s="96"/>
      <c r="J62" s="96"/>
      <c r="K62" s="96"/>
    </row>
    <row r="63" spans="1:13" ht="21.75" thickBot="1" x14ac:dyDescent="0.4">
      <c r="A63" s="123" t="s">
        <v>117</v>
      </c>
      <c r="B63" s="121"/>
      <c r="C63" s="121"/>
      <c r="D63" s="174">
        <f>SUM(D55:D62)</f>
        <v>0</v>
      </c>
      <c r="E63" s="174">
        <f t="shared" ref="E63:G63" si="6">SUM(E55:E62)</f>
        <v>12309</v>
      </c>
      <c r="F63" s="174">
        <f t="shared" si="6"/>
        <v>0</v>
      </c>
      <c r="G63" s="174">
        <f t="shared" si="6"/>
        <v>0</v>
      </c>
      <c r="H63" s="174">
        <f>SUM(H55:H62)</f>
        <v>0</v>
      </c>
      <c r="I63" s="174">
        <f t="shared" ref="I63:K63" si="7">SUM(I55:I62)</f>
        <v>7341.9499999999989</v>
      </c>
      <c r="J63" s="174">
        <f t="shared" si="7"/>
        <v>0</v>
      </c>
      <c r="K63" s="174">
        <f t="shared" si="7"/>
        <v>0</v>
      </c>
    </row>
    <row r="64" spans="1:13" ht="15.75" x14ac:dyDescent="0.25">
      <c r="A64" s="27" t="s">
        <v>77</v>
      </c>
      <c r="B64" s="26" t="s">
        <v>108</v>
      </c>
      <c r="C64" s="27" t="s">
        <v>102</v>
      </c>
      <c r="D64" s="18"/>
      <c r="E64" s="182">
        <f>317.72+659</f>
        <v>976.72</v>
      </c>
      <c r="F64" s="18"/>
      <c r="G64" s="18"/>
      <c r="H64" s="96">
        <v>0</v>
      </c>
      <c r="I64" s="96">
        <v>5076.04</v>
      </c>
      <c r="J64" s="96"/>
      <c r="K64" s="96"/>
    </row>
    <row r="65" spans="1:12" ht="15.75" x14ac:dyDescent="0.25">
      <c r="A65" s="30" t="s">
        <v>40</v>
      </c>
      <c r="B65" s="26" t="s">
        <v>56</v>
      </c>
      <c r="C65" s="26" t="s">
        <v>103</v>
      </c>
      <c r="D65" s="14"/>
      <c r="E65" s="14"/>
      <c r="F65" s="14"/>
      <c r="G65" s="14"/>
      <c r="H65" s="96">
        <v>0</v>
      </c>
      <c r="I65" s="96">
        <v>0</v>
      </c>
      <c r="J65" s="96"/>
      <c r="K65" s="96"/>
    </row>
    <row r="66" spans="1:12" ht="15.75" x14ac:dyDescent="0.25">
      <c r="A66" s="26" t="s">
        <v>90</v>
      </c>
      <c r="B66" s="26" t="s">
        <v>108</v>
      </c>
      <c r="C66" s="26" t="s">
        <v>103</v>
      </c>
      <c r="D66" s="14"/>
      <c r="E66" s="14"/>
      <c r="F66" s="14"/>
      <c r="G66" s="14"/>
      <c r="H66" s="96">
        <v>0</v>
      </c>
      <c r="I66" s="96">
        <v>1949.85</v>
      </c>
      <c r="J66" s="96"/>
      <c r="K66" s="96"/>
    </row>
    <row r="67" spans="1:12" ht="15.75" x14ac:dyDescent="0.25">
      <c r="A67" s="26" t="s">
        <v>92</v>
      </c>
      <c r="B67" s="26" t="s">
        <v>56</v>
      </c>
      <c r="C67" s="26" t="s">
        <v>103</v>
      </c>
      <c r="D67" s="14"/>
      <c r="E67" s="14"/>
      <c r="F67" s="14"/>
      <c r="G67" s="14"/>
      <c r="H67" s="96">
        <v>0</v>
      </c>
      <c r="I67" s="96">
        <v>0</v>
      </c>
      <c r="J67" s="96"/>
      <c r="K67" s="96"/>
    </row>
    <row r="68" spans="1:12" ht="15.75" x14ac:dyDescent="0.25">
      <c r="A68" s="26" t="s">
        <v>93</v>
      </c>
      <c r="B68" s="26" t="s">
        <v>56</v>
      </c>
      <c r="C68" s="26" t="s">
        <v>103</v>
      </c>
      <c r="D68" s="14"/>
      <c r="E68" s="183">
        <v>1546</v>
      </c>
      <c r="F68" s="14"/>
      <c r="G68" s="14"/>
      <c r="H68" s="96">
        <v>0</v>
      </c>
      <c r="I68" s="96">
        <v>10324.480000000001</v>
      </c>
      <c r="J68" s="96"/>
      <c r="K68" s="96"/>
    </row>
    <row r="69" spans="1:12" ht="15.75" x14ac:dyDescent="0.25">
      <c r="A69" s="26" t="s">
        <v>100</v>
      </c>
      <c r="B69" s="26" t="s">
        <v>56</v>
      </c>
      <c r="C69" s="26" t="s">
        <v>103</v>
      </c>
      <c r="D69" s="14"/>
      <c r="E69" s="14">
        <v>7715</v>
      </c>
      <c r="F69" s="14"/>
      <c r="G69" s="14"/>
      <c r="H69" s="96"/>
      <c r="I69" s="96">
        <v>3120.27</v>
      </c>
      <c r="J69" s="96"/>
      <c r="K69" s="96"/>
      <c r="L69" s="138"/>
    </row>
    <row r="70" spans="1:12" ht="15.75" x14ac:dyDescent="0.25">
      <c r="A70" s="118" t="s">
        <v>101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/>
      <c r="K70" s="96"/>
    </row>
    <row r="71" spans="1:12" ht="15.75" x14ac:dyDescent="0.25">
      <c r="A71" s="26" t="s">
        <v>81</v>
      </c>
      <c r="B71" s="26" t="s">
        <v>56</v>
      </c>
      <c r="C71" s="26" t="s">
        <v>103</v>
      </c>
      <c r="D71" s="14"/>
      <c r="E71" s="14"/>
      <c r="F71" s="14"/>
      <c r="G71" s="14"/>
      <c r="H71" s="96">
        <v>0</v>
      </c>
      <c r="I71" s="96">
        <v>0</v>
      </c>
      <c r="J71" s="96"/>
      <c r="K71" s="96"/>
    </row>
    <row r="72" spans="1:12" ht="21.75" thickBot="1" x14ac:dyDescent="0.25">
      <c r="A72" s="177" t="s">
        <v>44</v>
      </c>
      <c r="B72" s="178"/>
      <c r="C72" s="178"/>
      <c r="D72" s="179">
        <f>SUM(D64:D71)</f>
        <v>0</v>
      </c>
      <c r="E72" s="179">
        <f t="shared" ref="E72:G72" si="8">SUM(E64:E71)</f>
        <v>10237.720000000001</v>
      </c>
      <c r="F72" s="179">
        <f t="shared" si="8"/>
        <v>0</v>
      </c>
      <c r="G72" s="179">
        <f t="shared" si="8"/>
        <v>0</v>
      </c>
      <c r="H72" s="179">
        <f>SUM(H64:H71)</f>
        <v>0</v>
      </c>
      <c r="I72" s="179">
        <f t="shared" ref="I72:K72" si="9">SUM(I64:I71)</f>
        <v>20470.640000000003</v>
      </c>
      <c r="J72" s="179">
        <f t="shared" si="9"/>
        <v>0</v>
      </c>
      <c r="K72" s="179">
        <f t="shared" si="9"/>
        <v>0</v>
      </c>
    </row>
    <row r="73" spans="1:12" ht="21.75" thickBot="1" x14ac:dyDescent="0.25">
      <c r="A73" s="122" t="s">
        <v>45</v>
      </c>
      <c r="B73" s="121"/>
      <c r="C73" s="121"/>
      <c r="D73" s="131">
        <f>D72+D63+D54+D21+D8</f>
        <v>1230</v>
      </c>
      <c r="E73" s="131">
        <f t="shared" ref="E73:G73" si="10">E72+E63+E54+E21+E8</f>
        <v>195412.71000000002</v>
      </c>
      <c r="F73" s="131">
        <f t="shared" si="10"/>
        <v>0</v>
      </c>
      <c r="G73" s="131">
        <f t="shared" si="10"/>
        <v>0</v>
      </c>
      <c r="H73" s="131">
        <f>H72+H63+H54+H21+H8</f>
        <v>978.74</v>
      </c>
      <c r="I73" s="131">
        <f t="shared" ref="I73:K73" si="11">I72+I63+I54+I21+I8</f>
        <v>316734.68000000005</v>
      </c>
      <c r="J73" s="131">
        <f t="shared" si="11"/>
        <v>0</v>
      </c>
      <c r="K73" s="131">
        <f t="shared" si="11"/>
        <v>0</v>
      </c>
    </row>
    <row r="75" spans="1:12" x14ac:dyDescent="0.25">
      <c r="D75" s="6">
        <v>1230.0899999999997</v>
      </c>
      <c r="E75" s="133">
        <v>195412</v>
      </c>
    </row>
  </sheetData>
  <autoFilter ref="A2:N73" xr:uid="{A0592088-57B0-4CA1-9D21-345272FEC0C7}"/>
  <mergeCells count="2">
    <mergeCell ref="D1:G1"/>
    <mergeCell ref="H1:K1"/>
  </mergeCells>
  <conditionalFormatting sqref="A1">
    <cfRule type="duplicateValues" dxfId="159" priority="15"/>
    <cfRule type="duplicateValues" dxfId="158" priority="16"/>
  </conditionalFormatting>
  <conditionalFormatting sqref="A14">
    <cfRule type="duplicateValues" dxfId="157" priority="5"/>
    <cfRule type="duplicateValues" dxfId="156" priority="6"/>
  </conditionalFormatting>
  <conditionalFormatting sqref="A40">
    <cfRule type="duplicateValues" dxfId="155" priority="1"/>
    <cfRule type="duplicateValues" dxfId="154" priority="2"/>
  </conditionalFormatting>
  <conditionalFormatting sqref="A55">
    <cfRule type="duplicateValues" dxfId="153" priority="7"/>
    <cfRule type="duplicateValues" dxfId="152" priority="8"/>
  </conditionalFormatting>
  <conditionalFormatting sqref="A56:A58 A7 A22:A39 A60 A41:A53">
    <cfRule type="duplicateValues" dxfId="151" priority="13"/>
    <cfRule type="duplicateValues" dxfId="150" priority="14"/>
  </conditionalFormatting>
  <conditionalFormatting sqref="A59">
    <cfRule type="duplicateValues" dxfId="149" priority="3"/>
    <cfRule type="duplicateValues" dxfId="148" priority="4"/>
  </conditionalFormatting>
  <conditionalFormatting sqref="A64:A71">
    <cfRule type="duplicateValues" dxfId="147" priority="11"/>
    <cfRule type="duplicateValues" dxfId="146" priority="12"/>
  </conditionalFormatting>
  <conditionalFormatting sqref="A72:A73 A2:A6 A8:A13 A15:A21 A54 A63">
    <cfRule type="duplicateValues" dxfId="145" priority="9"/>
    <cfRule type="duplicateValues" dxfId="144" priority="10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71D0-2B28-494D-BDF1-4E5175A67A8E}">
  <sheetPr>
    <tabColor rgb="FFFFC000"/>
  </sheetPr>
  <dimension ref="A1:M79"/>
  <sheetViews>
    <sheetView rightToLeft="1" zoomScaleNormal="100" workbookViewId="0">
      <pane ySplit="3" topLeftCell="A49" activePane="bottomLeft" state="frozen"/>
      <selection pane="bottomLeft" activeCell="A61" sqref="A61:C61"/>
    </sheetView>
  </sheetViews>
  <sheetFormatPr defaultColWidth="30.125" defaultRowHeight="15" x14ac:dyDescent="0.25"/>
  <cols>
    <col min="1" max="1" width="30" style="32" bestFit="1" customWidth="1"/>
    <col min="2" max="2" width="11.375" style="32" bestFit="1" customWidth="1"/>
    <col min="3" max="3" width="11.75" style="32" bestFit="1" customWidth="1"/>
    <col min="4" max="4" width="16.875" bestFit="1" customWidth="1"/>
    <col min="5" max="5" width="15.25" bestFit="1" customWidth="1"/>
    <col min="6" max="6" width="16.875" bestFit="1" customWidth="1"/>
    <col min="7" max="7" width="19" bestFit="1" customWidth="1"/>
    <col min="8" max="9" width="15.25" style="3" customWidth="1"/>
    <col min="10" max="10" width="16.875" style="3" customWidth="1"/>
    <col min="11" max="11" width="19" customWidth="1"/>
  </cols>
  <sheetData>
    <row r="1" spans="1:11" ht="21" x14ac:dyDescent="0.2">
      <c r="A1" s="26"/>
      <c r="B1" s="26"/>
      <c r="C1" s="26"/>
      <c r="D1" s="237">
        <v>2025</v>
      </c>
      <c r="E1" s="237"/>
      <c r="F1" s="237"/>
      <c r="G1" s="237"/>
      <c r="H1" s="238">
        <v>2024</v>
      </c>
      <c r="I1" s="238"/>
      <c r="J1" s="238"/>
      <c r="K1" s="238"/>
    </row>
    <row r="2" spans="1:11" ht="21" x14ac:dyDescent="0.2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75" x14ac:dyDescent="0.25">
      <c r="A3" s="26" t="s">
        <v>1</v>
      </c>
      <c r="B3" s="26" t="s">
        <v>108</v>
      </c>
      <c r="C3" s="26" t="s">
        <v>58</v>
      </c>
      <c r="D3" s="14">
        <f>75707-D4-D6-D16-D51-D52-D53-D68-D71</f>
        <v>0</v>
      </c>
      <c r="E3" s="14">
        <f>16305-E16-E51-E53-E68-E71-E70</f>
        <v>1030</v>
      </c>
      <c r="F3" s="14">
        <f>241433-F4-F6-F51-F70</f>
        <v>3936</v>
      </c>
      <c r="G3" s="14">
        <f>-2644219-G6-G16-G51-G53-G70</f>
        <v>-612196</v>
      </c>
      <c r="H3" s="96">
        <v>56402.157280000007</v>
      </c>
      <c r="I3" s="96">
        <v>2691.7628400000031</v>
      </c>
      <c r="J3" s="96">
        <v>234473.18828000026</v>
      </c>
      <c r="K3" s="96">
        <v>8162.3005600000006</v>
      </c>
    </row>
    <row r="4" spans="1:11" ht="15.75" x14ac:dyDescent="0.25">
      <c r="A4" s="26" t="s">
        <v>2</v>
      </c>
      <c r="B4" s="26" t="s">
        <v>108</v>
      </c>
      <c r="C4" s="26" t="s">
        <v>58</v>
      </c>
      <c r="D4" s="183"/>
      <c r="E4" s="183"/>
      <c r="F4" s="183">
        <v>70343</v>
      </c>
      <c r="G4" s="183"/>
      <c r="H4" s="96">
        <v>2931.1090000000004</v>
      </c>
      <c r="I4" s="96">
        <v>0</v>
      </c>
      <c r="J4" s="96">
        <v>0</v>
      </c>
      <c r="K4" s="96">
        <v>0</v>
      </c>
    </row>
    <row r="5" spans="1:11" ht="15.75" x14ac:dyDescent="0.25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75" x14ac:dyDescent="0.25">
      <c r="A6" s="28" t="s">
        <v>105</v>
      </c>
      <c r="B6" s="26" t="s">
        <v>108</v>
      </c>
      <c r="C6" s="28" t="s">
        <v>58</v>
      </c>
      <c r="D6" s="181"/>
      <c r="E6" s="181">
        <v>0</v>
      </c>
      <c r="F6" s="181">
        <v>80392</v>
      </c>
      <c r="G6" s="181">
        <v>-829939</v>
      </c>
      <c r="H6" s="96"/>
      <c r="I6" s="96"/>
      <c r="J6" s="96"/>
      <c r="K6" s="96"/>
    </row>
    <row r="7" spans="1:11" ht="16.5" thickBot="1" x14ac:dyDescent="0.3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>
        <v>0</v>
      </c>
      <c r="I7" s="96">
        <v>0</v>
      </c>
      <c r="J7" s="96">
        <v>0</v>
      </c>
      <c r="K7" s="96">
        <v>0</v>
      </c>
    </row>
    <row r="8" spans="1:11" ht="21.75" thickBot="1" x14ac:dyDescent="0.4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1030</v>
      </c>
      <c r="F8" s="174">
        <f t="shared" si="0"/>
        <v>154671</v>
      </c>
      <c r="G8" s="174">
        <f t="shared" si="0"/>
        <v>-1442135</v>
      </c>
      <c r="H8" s="174">
        <f>SUM(H3:H7)</f>
        <v>59333.266280000011</v>
      </c>
      <c r="I8" s="174">
        <f t="shared" ref="I8:K8" si="1">SUM(I3:I7)</f>
        <v>2691.7628400000031</v>
      </c>
      <c r="J8" s="174">
        <f t="shared" si="1"/>
        <v>234473.18828000026</v>
      </c>
      <c r="K8" s="174">
        <f t="shared" si="1"/>
        <v>8162.3005600000006</v>
      </c>
    </row>
    <row r="9" spans="1:11" ht="15.75" x14ac:dyDescent="0.25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>
        <v>0</v>
      </c>
      <c r="I9" s="96">
        <v>0</v>
      </c>
      <c r="J9" s="96">
        <v>0</v>
      </c>
      <c r="K9" s="96">
        <v>0</v>
      </c>
    </row>
    <row r="10" spans="1:11" ht="15.75" x14ac:dyDescent="0.25">
      <c r="A10" s="26" t="s">
        <v>5</v>
      </c>
      <c r="B10" s="26" t="s">
        <v>108</v>
      </c>
      <c r="C10" s="26" t="s">
        <v>106</v>
      </c>
      <c r="D10" s="14">
        <v>27311</v>
      </c>
      <c r="E10" s="14">
        <v>41777</v>
      </c>
      <c r="F10" s="14"/>
      <c r="G10" s="14">
        <v>149960</v>
      </c>
      <c r="H10" s="96">
        <v>0</v>
      </c>
      <c r="I10" s="96">
        <v>72642.964840000001</v>
      </c>
      <c r="J10" s="96">
        <v>0</v>
      </c>
      <c r="K10" s="96">
        <v>0</v>
      </c>
    </row>
    <row r="11" spans="1:11" ht="15.75" x14ac:dyDescent="0.25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>
        <v>0</v>
      </c>
      <c r="I11" s="96">
        <v>0</v>
      </c>
      <c r="J11" s="96">
        <v>0</v>
      </c>
      <c r="K11" s="96">
        <v>0</v>
      </c>
    </row>
    <row r="12" spans="1:11" ht="15.75" x14ac:dyDescent="0.25">
      <c r="A12" s="26" t="s">
        <v>7</v>
      </c>
      <c r="B12" s="26" t="s">
        <v>108</v>
      </c>
      <c r="C12" s="26" t="s">
        <v>106</v>
      </c>
      <c r="D12" s="14">
        <v>0</v>
      </c>
      <c r="E12" s="14">
        <v>0</v>
      </c>
      <c r="F12" s="14">
        <v>125284</v>
      </c>
      <c r="G12" s="14">
        <v>-62204</v>
      </c>
      <c r="H12" s="96">
        <v>0</v>
      </c>
      <c r="I12" s="96">
        <v>0</v>
      </c>
      <c r="J12" s="96">
        <v>0</v>
      </c>
      <c r="K12" s="96">
        <v>0</v>
      </c>
    </row>
    <row r="13" spans="1:11" ht="15.75" x14ac:dyDescent="0.25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>
        <v>0</v>
      </c>
      <c r="I13" s="96">
        <v>14174.283759999998</v>
      </c>
      <c r="J13" s="96">
        <v>0</v>
      </c>
      <c r="K13" s="96">
        <v>0</v>
      </c>
    </row>
    <row r="14" spans="1:11" ht="15.75" x14ac:dyDescent="0.25">
      <c r="A14" s="26" t="s">
        <v>9</v>
      </c>
      <c r="B14" s="26" t="s">
        <v>108</v>
      </c>
      <c r="C14" s="26" t="s">
        <v>106</v>
      </c>
      <c r="D14" s="14">
        <v>0</v>
      </c>
      <c r="E14" s="14">
        <v>0</v>
      </c>
      <c r="F14" s="14">
        <v>80624</v>
      </c>
      <c r="G14" s="14">
        <v>-373641</v>
      </c>
      <c r="H14" s="96">
        <v>0</v>
      </c>
      <c r="I14" s="96">
        <v>0</v>
      </c>
      <c r="J14" s="96">
        <v>15128.617039999999</v>
      </c>
      <c r="K14" s="96">
        <v>0</v>
      </c>
    </row>
    <row r="15" spans="1:11" ht="15.75" x14ac:dyDescent="0.25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>
        <v>0</v>
      </c>
      <c r="I15" s="96">
        <v>0</v>
      </c>
      <c r="J15" s="96">
        <v>0</v>
      </c>
      <c r="K15" s="96">
        <v>0</v>
      </c>
    </row>
    <row r="16" spans="1:11" ht="15.75" x14ac:dyDescent="0.25">
      <c r="A16" s="26" t="s">
        <v>96</v>
      </c>
      <c r="B16" s="26" t="s">
        <v>108</v>
      </c>
      <c r="C16" s="26" t="s">
        <v>106</v>
      </c>
      <c r="D16" s="183">
        <v>34509</v>
      </c>
      <c r="E16" s="183">
        <v>1829</v>
      </c>
      <c r="F16" s="183"/>
      <c r="G16" s="183">
        <v>4997</v>
      </c>
      <c r="H16" s="96">
        <v>36622.324480000003</v>
      </c>
      <c r="I16" s="96">
        <v>0</v>
      </c>
      <c r="J16" s="96">
        <v>0</v>
      </c>
      <c r="K16" s="96">
        <v>0</v>
      </c>
    </row>
    <row r="17" spans="1:11" ht="15.75" x14ac:dyDescent="0.25">
      <c r="A17" s="26" t="s">
        <v>42</v>
      </c>
      <c r="B17" s="26" t="s">
        <v>108</v>
      </c>
      <c r="C17" s="26" t="s">
        <v>106</v>
      </c>
      <c r="D17" s="14">
        <v>19205</v>
      </c>
      <c r="E17" s="14">
        <v>1528</v>
      </c>
      <c r="F17" s="14">
        <v>0</v>
      </c>
      <c r="G17" s="14">
        <v>31484</v>
      </c>
      <c r="H17" s="96">
        <v>0</v>
      </c>
      <c r="I17" s="96">
        <v>5930.9656400000003</v>
      </c>
      <c r="J17" s="96">
        <v>35333.483200000002</v>
      </c>
      <c r="K17" s="96">
        <v>0</v>
      </c>
    </row>
    <row r="18" spans="1:11" ht="15.75" x14ac:dyDescent="0.25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>
        <v>0</v>
      </c>
      <c r="I18" s="96">
        <v>-205.39624000000001</v>
      </c>
      <c r="J18" s="96">
        <v>60119.582040000001</v>
      </c>
      <c r="K18" s="96">
        <v>0</v>
      </c>
    </row>
    <row r="19" spans="1:11" ht="15.75" x14ac:dyDescent="0.25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>
        <v>0</v>
      </c>
      <c r="I19" s="96">
        <v>0</v>
      </c>
      <c r="J19" s="96">
        <v>8870.7635200000004</v>
      </c>
      <c r="K19" s="96">
        <v>0</v>
      </c>
    </row>
    <row r="20" spans="1:11" ht="16.5" thickBot="1" x14ac:dyDescent="0.3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96">
        <v>0</v>
      </c>
      <c r="I20" s="96">
        <v>0</v>
      </c>
      <c r="J20" s="96">
        <v>0</v>
      </c>
      <c r="K20" s="96">
        <v>0</v>
      </c>
    </row>
    <row r="21" spans="1:11" ht="21.75" thickBot="1" x14ac:dyDescent="0.4">
      <c r="A21" s="122" t="s">
        <v>10</v>
      </c>
      <c r="B21" s="121"/>
      <c r="C21" s="121"/>
      <c r="D21" s="174">
        <f>SUM(D9:D20)</f>
        <v>81025</v>
      </c>
      <c r="E21" s="174">
        <f t="shared" ref="E21:G21" si="2">SUM(E9:E20)</f>
        <v>45134</v>
      </c>
      <c r="F21" s="174">
        <f t="shared" si="2"/>
        <v>205908</v>
      </c>
      <c r="G21" s="174">
        <f t="shared" si="2"/>
        <v>-249404</v>
      </c>
      <c r="H21" s="174">
        <f>SUM(H9:H20)</f>
        <v>36622.324480000003</v>
      </c>
      <c r="I21" s="174">
        <f t="shared" ref="I21:K21" si="3">SUM(I9:I20)</f>
        <v>92542.817999999985</v>
      </c>
      <c r="J21" s="174">
        <f t="shared" si="3"/>
        <v>119452.44580000002</v>
      </c>
      <c r="K21" s="174">
        <f t="shared" si="3"/>
        <v>0</v>
      </c>
    </row>
    <row r="22" spans="1:11" ht="15.75" x14ac:dyDescent="0.25">
      <c r="A22" s="27" t="s">
        <v>11</v>
      </c>
      <c r="B22" s="27" t="s">
        <v>56</v>
      </c>
      <c r="C22" s="27" t="s">
        <v>107</v>
      </c>
      <c r="D22" s="18">
        <v>481948</v>
      </c>
      <c r="E22" s="18">
        <v>8091</v>
      </c>
      <c r="F22" s="18">
        <v>191577</v>
      </c>
      <c r="G22" s="18">
        <v>736903</v>
      </c>
      <c r="H22" s="96">
        <f>VLOOKUP(A22,[2]הראל!$A:$E,2,0)</f>
        <v>530599.96244000003</v>
      </c>
      <c r="I22" s="96">
        <f>VLOOKUP(A22,[2]הראל!$A:$E,3,0)</f>
        <v>73184.673480000041</v>
      </c>
      <c r="J22" s="96">
        <f>VLOOKUP(A22,[2]הראל!$A:$E,4,0)</f>
        <v>286473.08147999999</v>
      </c>
      <c r="K22" s="96">
        <f>VLOOKUP(A22,[2]הראל!$A:$E,5,0)</f>
        <v>1189406.6533599999</v>
      </c>
    </row>
    <row r="23" spans="1:11" ht="15.75" x14ac:dyDescent="0.25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>
        <f>VLOOKUP(A23,[2]הראל!$A:$E,2,0)</f>
        <v>0</v>
      </c>
      <c r="I23" s="96">
        <f>VLOOKUP(A23,[2]הראל!$A:$E,3,0)</f>
        <v>0</v>
      </c>
      <c r="J23" s="96">
        <f>VLOOKUP(A23,[2]הראל!$A:$E,4,0)</f>
        <v>0</v>
      </c>
      <c r="K23" s="96">
        <f>VLOOKUP(A23,[2]הראל!$A:$E,5,0)</f>
        <v>0</v>
      </c>
    </row>
    <row r="24" spans="1:11" ht="15.75" x14ac:dyDescent="0.25">
      <c r="A24" s="30" t="s">
        <v>13</v>
      </c>
      <c r="B24" s="26" t="s">
        <v>56</v>
      </c>
      <c r="C24" s="26" t="s">
        <v>107</v>
      </c>
      <c r="D24" s="14"/>
      <c r="E24" s="14">
        <v>4911</v>
      </c>
      <c r="F24" s="14"/>
      <c r="G24" s="14"/>
      <c r="H24" s="96">
        <f>VLOOKUP(A24,[2]הראל!$A:$E,2,0)</f>
        <v>0</v>
      </c>
      <c r="I24" s="96">
        <f>VLOOKUP(A24,[2]הראל!$A:$E,3,0)</f>
        <v>2055.5724799999998</v>
      </c>
      <c r="J24" s="96">
        <f>VLOOKUP(A24,[2]הראל!$A:$E,4,0)</f>
        <v>0</v>
      </c>
      <c r="K24" s="96">
        <f>VLOOKUP(A24,[2]הראל!$A:$E,5,0)</f>
        <v>0</v>
      </c>
    </row>
    <row r="25" spans="1:11" ht="15.75" x14ac:dyDescent="0.25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>
        <f>VLOOKUP(A25,[2]הראל!$A:$E,2,0)</f>
        <v>0</v>
      </c>
      <c r="I25" s="96">
        <f>VLOOKUP(A25,[2]הראל!$A:$E,3,0)</f>
        <v>0</v>
      </c>
      <c r="J25" s="96">
        <f>VLOOKUP(A25,[2]הראל!$A:$E,4,0)</f>
        <v>0</v>
      </c>
      <c r="K25" s="96">
        <f>VLOOKUP(A25,[2]הראל!$A:$E,5,0)</f>
        <v>0</v>
      </c>
    </row>
    <row r="26" spans="1:11" ht="15.75" x14ac:dyDescent="0.25">
      <c r="A26" s="30" t="s">
        <v>15</v>
      </c>
      <c r="B26" s="26" t="s">
        <v>56</v>
      </c>
      <c r="C26" s="26" t="s">
        <v>107</v>
      </c>
      <c r="D26" s="14"/>
      <c r="E26" s="14">
        <v>7256</v>
      </c>
      <c r="F26" s="14">
        <v>9473</v>
      </c>
      <c r="G26" s="14"/>
      <c r="H26" s="96">
        <f>VLOOKUP(A26,[2]הראל!$A:$E,2,0)</f>
        <v>0</v>
      </c>
      <c r="I26" s="96">
        <f>VLOOKUP(A26,[2]הראל!$A:$E,3,0)</f>
        <v>6583.2423600000002</v>
      </c>
      <c r="J26" s="96">
        <f>VLOOKUP(A26,[2]הראל!$A:$E,4,0)</f>
        <v>0</v>
      </c>
      <c r="K26" s="96">
        <f>VLOOKUP(A26,[2]הראל!$A:$E,5,0)</f>
        <v>0</v>
      </c>
    </row>
    <row r="27" spans="1:11" ht="15.75" x14ac:dyDescent="0.25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>
        <f>VLOOKUP(A27,[2]הראל!$A:$E,2,0)</f>
        <v>80050.471000000005</v>
      </c>
      <c r="I27" s="96">
        <f>VLOOKUP(A27,[2]הראל!$A:$E,3,0)</f>
        <v>2479.8840799999998</v>
      </c>
      <c r="J27" s="96">
        <f>VLOOKUP(A27,[2]הראל!$A:$E,4,0)</f>
        <v>6033.9135999999999</v>
      </c>
      <c r="K27" s="96">
        <f>VLOOKUP(A27,[2]הראל!$A:$E,5,0)</f>
        <v>120904.80748000002</v>
      </c>
    </row>
    <row r="28" spans="1:11" ht="15.75" x14ac:dyDescent="0.25">
      <c r="A28" s="30" t="s">
        <v>18</v>
      </c>
      <c r="B28" s="26" t="s">
        <v>56</v>
      </c>
      <c r="C28" s="26" t="s">
        <v>107</v>
      </c>
      <c r="D28" s="14"/>
      <c r="E28" s="14">
        <v>36426</v>
      </c>
      <c r="F28" s="14"/>
      <c r="G28" s="14"/>
      <c r="H28" s="96">
        <f>VLOOKUP(A28,[2]הראל!$A:$E,2,0)</f>
        <v>0</v>
      </c>
      <c r="I28" s="96">
        <f>VLOOKUP(A28,[2]הראל!$A:$E,3,0)</f>
        <v>24239.324119999997</v>
      </c>
      <c r="J28" s="96">
        <f>VLOOKUP(A28,[2]הראל!$A:$E,4,0)</f>
        <v>0</v>
      </c>
      <c r="K28" s="96">
        <f>VLOOKUP(A28,[2]הראל!$A:$E,5,0)</f>
        <v>0</v>
      </c>
    </row>
    <row r="29" spans="1:11" ht="15.75" x14ac:dyDescent="0.25">
      <c r="A29" s="26" t="s">
        <v>19</v>
      </c>
      <c r="B29" s="26" t="s">
        <v>56</v>
      </c>
      <c r="C29" s="26" t="s">
        <v>107</v>
      </c>
      <c r="D29" s="14">
        <v>0</v>
      </c>
      <c r="E29" s="14">
        <v>11325</v>
      </c>
      <c r="F29" s="14">
        <v>20156</v>
      </c>
      <c r="G29" s="14">
        <v>3075</v>
      </c>
      <c r="H29" s="96">
        <f>VLOOKUP(A29,[2]הראל!$A:$E,2,0)</f>
        <v>0</v>
      </c>
      <c r="I29" s="96">
        <f>VLOOKUP(A29,[2]הראל!$A:$E,3,0)</f>
        <v>10122.156559999999</v>
      </c>
      <c r="J29" s="96">
        <f>VLOOKUP(A29,[2]הראל!$A:$E,4,0)</f>
        <v>0</v>
      </c>
      <c r="K29" s="96">
        <f>VLOOKUP(A29,[2]הראל!$A:$E,5,0)</f>
        <v>0</v>
      </c>
    </row>
    <row r="30" spans="1:11" ht="15.75" x14ac:dyDescent="0.25">
      <c r="A30" s="26" t="s">
        <v>20</v>
      </c>
      <c r="B30" s="26" t="s">
        <v>56</v>
      </c>
      <c r="C30" s="26" t="s">
        <v>107</v>
      </c>
      <c r="D30" s="14">
        <v>260598</v>
      </c>
      <c r="E30" s="14">
        <v>24931</v>
      </c>
      <c r="F30" s="14">
        <v>658107</v>
      </c>
      <c r="G30" s="14">
        <v>1060043</v>
      </c>
      <c r="H30" s="96">
        <f>VLOOKUP(A30,[2]הראל!$A:$E,2,0)</f>
        <v>304001.77260000003</v>
      </c>
      <c r="I30" s="96">
        <f>VLOOKUP(A30,[2]הראל!$A:$E,3,0)</f>
        <v>22351.491439999998</v>
      </c>
      <c r="J30" s="96">
        <f>VLOOKUP(A30,[2]הראל!$A:$E,4,0)</f>
        <v>1097492.26624</v>
      </c>
      <c r="K30" s="96">
        <f>VLOOKUP(A30,[2]הראל!$A:$E,5,0)</f>
        <v>547518.21116000006</v>
      </c>
    </row>
    <row r="31" spans="1:11" ht="15.75" x14ac:dyDescent="0.25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>
        <f>VLOOKUP(A31,[2]הראל!$A:$E,2,0)</f>
        <v>0</v>
      </c>
      <c r="I31" s="96">
        <f>VLOOKUP(A31,[2]הראל!$A:$E,3,0)</f>
        <v>0</v>
      </c>
      <c r="J31" s="96">
        <f>VLOOKUP(A31,[2]הראל!$A:$E,4,0)</f>
        <v>0</v>
      </c>
      <c r="K31" s="96">
        <f>VLOOKUP(A31,[2]הראל!$A:$E,5,0)</f>
        <v>0</v>
      </c>
    </row>
    <row r="32" spans="1:11" ht="15.75" x14ac:dyDescent="0.25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>
        <f>VLOOKUP(A32,[2]הראל!$A:$E,2,0)</f>
        <v>0</v>
      </c>
      <c r="I32" s="96">
        <f>VLOOKUP(A32,[2]הראל!$A:$E,3,0)</f>
        <v>0</v>
      </c>
      <c r="J32" s="96">
        <f>VLOOKUP(A32,[2]הראל!$A:$E,4,0)</f>
        <v>0</v>
      </c>
      <c r="K32" s="96">
        <f>VLOOKUP(A32,[2]הראל!$A:$E,5,0)</f>
        <v>0</v>
      </c>
    </row>
    <row r="33" spans="1:12" ht="15.75" x14ac:dyDescent="0.25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>
        <f>VLOOKUP(A33,[2]הראל!$A:$E,2,0)</f>
        <v>0</v>
      </c>
      <c r="I33" s="96">
        <f>VLOOKUP(A33,[2]הראל!$A:$E,3,0)</f>
        <v>0</v>
      </c>
      <c r="J33" s="96">
        <f>VLOOKUP(A33,[2]הראל!$A:$E,4,0)</f>
        <v>0</v>
      </c>
      <c r="K33" s="96">
        <f>VLOOKUP(A33,[2]הראל!$A:$E,5,0)</f>
        <v>0</v>
      </c>
    </row>
    <row r="34" spans="1:12" ht="15.75" x14ac:dyDescent="0.25">
      <c r="A34" s="26" t="s">
        <v>24</v>
      </c>
      <c r="B34" s="26" t="s">
        <v>56</v>
      </c>
      <c r="C34" s="26" t="s">
        <v>107</v>
      </c>
      <c r="D34" s="14"/>
      <c r="E34" s="14">
        <v>3591</v>
      </c>
      <c r="F34" s="14"/>
      <c r="G34" s="14"/>
      <c r="H34" s="96">
        <f>VLOOKUP(A34,[2]הראל!$A:$E,2,0)</f>
        <v>0</v>
      </c>
      <c r="I34" s="96">
        <f>VLOOKUP(A34,[2]הראל!$A:$E,3,0)</f>
        <v>0</v>
      </c>
      <c r="J34" s="96">
        <f>VLOOKUP(A34,[2]הראל!$A:$E,4,0)</f>
        <v>0</v>
      </c>
      <c r="K34" s="96">
        <f>VLOOKUP(A34,[2]הראל!$A:$E,5,0)</f>
        <v>0</v>
      </c>
    </row>
    <row r="35" spans="1:12" ht="15.75" x14ac:dyDescent="0.25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/>
      <c r="H35" s="96">
        <f>VLOOKUP(A35,[2]הראל!$A:$E,2,0)</f>
        <v>0</v>
      </c>
      <c r="I35" s="96">
        <f>VLOOKUP(A35,[2]הראל!$A:$E,3,0)</f>
        <v>0</v>
      </c>
      <c r="J35" s="96">
        <f>VLOOKUP(A35,[2]הראל!$A:$E,4,0)</f>
        <v>0</v>
      </c>
      <c r="K35" s="96">
        <f>VLOOKUP(A35,[2]הראל!$A:$E,5,0)</f>
        <v>0</v>
      </c>
    </row>
    <row r="36" spans="1:12" ht="15.75" x14ac:dyDescent="0.25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>
        <f>VLOOKUP(A36,[2]הראל!$A:$E,2,0)</f>
        <v>0</v>
      </c>
      <c r="I36" s="96">
        <f>VLOOKUP(A36,[2]הראל!$A:$E,3,0)</f>
        <v>0</v>
      </c>
      <c r="J36" s="96">
        <f>VLOOKUP(A36,[2]הראל!$A:$E,4,0)</f>
        <v>0</v>
      </c>
      <c r="K36" s="96">
        <f>VLOOKUP(A36,[2]הראל!$A:$E,5,0)</f>
        <v>0</v>
      </c>
    </row>
    <row r="37" spans="1:12" ht="15.75" x14ac:dyDescent="0.25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>
        <f>VLOOKUP(A37,[2]הראל!$A:$E,2,0)</f>
        <v>36199.942200000005</v>
      </c>
      <c r="I37" s="96">
        <f>VLOOKUP(A37,[2]הראל!$A:$E,3,0)</f>
        <v>0</v>
      </c>
      <c r="J37" s="96">
        <f>VLOOKUP(A37,[2]הראל!$A:$E,4,0)</f>
        <v>0</v>
      </c>
      <c r="K37" s="96">
        <f>VLOOKUP(A37,[2]הראל!$A:$E,5,0)</f>
        <v>3968.6528800000001</v>
      </c>
    </row>
    <row r="38" spans="1:12" ht="15.75" x14ac:dyDescent="0.25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>
        <f>VLOOKUP(A38,[2]הראל!$A:$E,2,0)</f>
        <v>0</v>
      </c>
      <c r="I38" s="96">
        <f>VLOOKUP(A38,[2]הראל!$A:$E,3,0)</f>
        <v>0</v>
      </c>
      <c r="J38" s="96">
        <f>VLOOKUP(A38,[2]הראל!$A:$E,4,0)</f>
        <v>0</v>
      </c>
      <c r="K38" s="96">
        <f>VLOOKUP(A38,[2]הראל!$A:$E,5,0)</f>
        <v>0</v>
      </c>
    </row>
    <row r="39" spans="1:12" ht="15.75" x14ac:dyDescent="0.25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>
        <f>VLOOKUP(A39,[2]הראל!$A:$E,2,0)</f>
        <v>0</v>
      </c>
      <c r="I39" s="96">
        <f>VLOOKUP(A39,[2]הראל!$A:$E,3,0)</f>
        <v>0</v>
      </c>
      <c r="J39" s="96">
        <f>VLOOKUP(A39,[2]הראל!$A:$E,4,0)</f>
        <v>0</v>
      </c>
      <c r="K39" s="96">
        <f>VLOOKUP(A39,[2]הראל!$A:$E,5,0)</f>
        <v>0</v>
      </c>
    </row>
    <row r="40" spans="1:12" ht="15.75" x14ac:dyDescent="0.25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75" x14ac:dyDescent="0.25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>
        <f>VLOOKUP(A41,[2]הראל!$A:$E,2,0)</f>
        <v>0</v>
      </c>
      <c r="I41" s="96">
        <f>VLOOKUP(A41,[2]הראל!$A:$E,3,0)</f>
        <v>0</v>
      </c>
      <c r="J41" s="96">
        <f>VLOOKUP(A41,[2]הראל!$A:$E,4,0)</f>
        <v>0</v>
      </c>
      <c r="K41" s="96">
        <f>VLOOKUP(A41,[2]הראל!$A:$E,5,0)</f>
        <v>0</v>
      </c>
    </row>
    <row r="42" spans="1:12" ht="15.75" x14ac:dyDescent="0.25">
      <c r="A42" s="30" t="s">
        <v>95</v>
      </c>
      <c r="B42" s="26" t="s">
        <v>56</v>
      </c>
      <c r="C42" s="26" t="s">
        <v>107</v>
      </c>
      <c r="D42" s="14"/>
      <c r="E42" s="14"/>
      <c r="F42" s="14"/>
      <c r="G42" s="14"/>
      <c r="H42" s="96">
        <f>VLOOKUP(A42,[2]הראל!$A:$E,2,0)</f>
        <v>58437.4372</v>
      </c>
      <c r="I42" s="96">
        <f>VLOOKUP(A42,[2]הראל!$A:$E,3,0)</f>
        <v>0</v>
      </c>
      <c r="J42" s="96">
        <f>VLOOKUP(A42,[2]הראל!$A:$E,4,0)</f>
        <v>174307.19139999998</v>
      </c>
      <c r="K42" s="96">
        <f>VLOOKUP(A42,[2]הראל!$A:$E,5,0)</f>
        <v>0</v>
      </c>
    </row>
    <row r="43" spans="1:12" ht="15.75" x14ac:dyDescent="0.25">
      <c r="A43" s="26" t="s">
        <v>83</v>
      </c>
      <c r="B43" s="26" t="s">
        <v>56</v>
      </c>
      <c r="C43" s="26" t="s">
        <v>107</v>
      </c>
      <c r="D43" s="14"/>
      <c r="E43" s="14"/>
      <c r="F43" s="14"/>
      <c r="G43" s="14"/>
      <c r="H43" s="96">
        <f>VLOOKUP(A43,[2]הראל!$A:$E,2,0)</f>
        <v>34212.270680000001</v>
      </c>
      <c r="I43" s="96">
        <f>VLOOKUP(A43,[2]הראל!$A:$E,3,0)</f>
        <v>19820.070919999998</v>
      </c>
      <c r="J43" s="96">
        <f>VLOOKUP(A43,[2]הראל!$A:$E,4,0)</f>
        <v>0</v>
      </c>
      <c r="K43" s="96">
        <f>VLOOKUP(A43,[2]הראל!$A:$E,5,0)</f>
        <v>0</v>
      </c>
    </row>
    <row r="44" spans="1:12" ht="15.75" x14ac:dyDescent="0.25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/>
      <c r="H44" s="96">
        <f>VLOOKUP(A44,[2]הראל!$A:$E,2,0)</f>
        <v>0</v>
      </c>
      <c r="I44" s="96">
        <f>VLOOKUP(A44,[2]הראל!$A:$E,3,0)</f>
        <v>0</v>
      </c>
      <c r="J44" s="96">
        <f>VLOOKUP(A44,[2]הראל!$A:$E,4,0)</f>
        <v>0</v>
      </c>
      <c r="K44" s="96">
        <f>VLOOKUP(A44,[2]הראל!$A:$E,5,0)</f>
        <v>0</v>
      </c>
    </row>
    <row r="45" spans="1:12" ht="15.75" x14ac:dyDescent="0.25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>
        <f>VLOOKUP(A45,[2]הראל!$A:$E,2,0)</f>
        <v>0</v>
      </c>
      <c r="I45" s="96">
        <f>VLOOKUP(A45,[2]הראל!$A:$E,3,0)</f>
        <v>0</v>
      </c>
      <c r="J45" s="96">
        <f>VLOOKUP(A45,[2]הראל!$A:$E,4,0)</f>
        <v>0</v>
      </c>
      <c r="K45" s="96">
        <f>VLOOKUP(A45,[2]הראל!$A:$E,5,0)</f>
        <v>0</v>
      </c>
    </row>
    <row r="46" spans="1:12" ht="15.75" x14ac:dyDescent="0.25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>
        <f>VLOOKUP(A46,[2]הראל!$A:$E,2,0)</f>
        <v>0</v>
      </c>
      <c r="I46" s="96">
        <f>VLOOKUP(A46,[2]הראל!$A:$E,3,0)</f>
        <v>0</v>
      </c>
      <c r="J46" s="96">
        <f>VLOOKUP(A46,[2]הראל!$A:$E,4,0)</f>
        <v>0</v>
      </c>
      <c r="K46" s="96">
        <f>VLOOKUP(A46,[2]הראל!$A:$E,5,0)</f>
        <v>0</v>
      </c>
      <c r="L46" s="138"/>
    </row>
    <row r="47" spans="1:12" ht="15.75" x14ac:dyDescent="0.25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>
        <f>VLOOKUP(A47,[2]הראל!$A:$E,2,0)</f>
        <v>0</v>
      </c>
      <c r="I47" s="96">
        <f>VLOOKUP(A47,[2]הראל!$A:$E,3,0)</f>
        <v>0</v>
      </c>
      <c r="J47" s="96">
        <f>VLOOKUP(A47,[2]הראל!$A:$E,4,0)</f>
        <v>0</v>
      </c>
      <c r="K47" s="96">
        <f>VLOOKUP(A47,[2]הראל!$A:$E,5,0)</f>
        <v>0</v>
      </c>
    </row>
    <row r="48" spans="1:12" ht="15.75" x14ac:dyDescent="0.25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>
        <f>VLOOKUP(A48,[2]הראל!$A:$E,2,0)</f>
        <v>0</v>
      </c>
      <c r="I48" s="96">
        <f>VLOOKUP(A48,[2]הראל!$A:$E,3,0)</f>
        <v>0</v>
      </c>
      <c r="J48" s="96">
        <f>VLOOKUP(A48,[2]הראל!$A:$E,4,0)</f>
        <v>0</v>
      </c>
      <c r="K48" s="96">
        <f>VLOOKUP(A48,[2]הראל!$A:$E,5,0)</f>
        <v>0</v>
      </c>
    </row>
    <row r="49" spans="1:13" ht="15.75" x14ac:dyDescent="0.25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>
        <f>VLOOKUP(A49,[2]הראל!$A:$E,2,0)</f>
        <v>0</v>
      </c>
      <c r="I49" s="96">
        <f>VLOOKUP(A49,[2]הראל!$A:$E,3,0)</f>
        <v>0</v>
      </c>
      <c r="J49" s="96">
        <f>VLOOKUP(A49,[2]הראל!$A:$E,4,0)</f>
        <v>0</v>
      </c>
      <c r="K49" s="96">
        <f>VLOOKUP(A49,[2]הראל!$A:$E,5,0)</f>
        <v>0</v>
      </c>
    </row>
    <row r="50" spans="1:13" ht="15.75" x14ac:dyDescent="0.25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>
        <f>VLOOKUP(A50,[2]הראל!$A:$E,2,0)</f>
        <v>0</v>
      </c>
      <c r="I50" s="96">
        <f>VLOOKUP(A50,[2]הראל!$A:$E,3,0)</f>
        <v>0</v>
      </c>
      <c r="J50" s="96">
        <f>VLOOKUP(A50,[2]הראל!$A:$E,4,0)</f>
        <v>0</v>
      </c>
      <c r="K50" s="96">
        <f>VLOOKUP(A50,[2]הראל!$A:$E,5,0)</f>
        <v>0</v>
      </c>
    </row>
    <row r="51" spans="1:13" ht="15.75" x14ac:dyDescent="0.25">
      <c r="A51" s="26" t="s">
        <v>91</v>
      </c>
      <c r="B51" s="26" t="s">
        <v>56</v>
      </c>
      <c r="C51" s="26" t="s">
        <v>107</v>
      </c>
      <c r="D51" s="183">
        <v>29139</v>
      </c>
      <c r="E51" s="183">
        <v>5639</v>
      </c>
      <c r="F51" s="183">
        <v>35172</v>
      </c>
      <c r="G51" s="183">
        <v>80481</v>
      </c>
      <c r="H51" s="96">
        <f>VLOOKUP(A51,[2]הראל!$A:$E,2,0)</f>
        <v>20113.008319999997</v>
      </c>
      <c r="I51" s="96">
        <f>VLOOKUP(A51,[2]הראל!$A:$E,3,0)</f>
        <v>0</v>
      </c>
      <c r="J51" s="96">
        <f>VLOOKUP(A51,[2]הראל!$A:$E,4,0)</f>
        <v>63360.437239999999</v>
      </c>
      <c r="K51" s="96">
        <f>VLOOKUP(A51,[2]הראל!$A:$E,5,0)</f>
        <v>0</v>
      </c>
    </row>
    <row r="52" spans="1:13" ht="15.75" x14ac:dyDescent="0.25">
      <c r="A52" s="26" t="s">
        <v>41</v>
      </c>
      <c r="B52" s="26" t="s">
        <v>56</v>
      </c>
      <c r="C52" s="26" t="s">
        <v>107</v>
      </c>
      <c r="D52" s="183">
        <v>12059</v>
      </c>
      <c r="E52" s="183"/>
      <c r="F52" s="183"/>
      <c r="G52" s="183"/>
      <c r="H52" s="96">
        <f>VLOOKUP(A52,[2]הראל!$A:$E,2,0)</f>
        <v>0</v>
      </c>
      <c r="I52" s="96">
        <f>VLOOKUP(A52,[2]הראל!$A:$E,3,0)</f>
        <v>0</v>
      </c>
      <c r="J52" s="96">
        <f>VLOOKUP(A52,[2]הראל!$A:$E,4,0)</f>
        <v>0</v>
      </c>
      <c r="K52" s="96">
        <f>VLOOKUP(A52,[2]הראל!$A:$E,5,0)</f>
        <v>0</v>
      </c>
    </row>
    <row r="53" spans="1:13" ht="16.5" thickBot="1" x14ac:dyDescent="0.3">
      <c r="A53" s="28" t="s">
        <v>88</v>
      </c>
      <c r="B53" s="28" t="s">
        <v>56</v>
      </c>
      <c r="C53" s="28" t="s">
        <v>107</v>
      </c>
      <c r="D53" s="181"/>
      <c r="E53" s="181">
        <v>1487</v>
      </c>
      <c r="F53" s="181"/>
      <c r="G53" s="181">
        <v>-2016</v>
      </c>
      <c r="H53" s="96">
        <f>VLOOKUP(A53,[2]הראל!$A:$E,2,0)</f>
        <v>0</v>
      </c>
      <c r="I53" s="96">
        <f>VLOOKUP(A53,[2]הראל!$A:$E,3,0)</f>
        <v>0</v>
      </c>
      <c r="J53" s="96">
        <f>VLOOKUP(A53,[2]הראל!$A:$E,4,0)</f>
        <v>402.25628</v>
      </c>
      <c r="K53" s="96">
        <f>VLOOKUP(A53,[2]הראל!$A:$E,5,0)</f>
        <v>4745.41932</v>
      </c>
    </row>
    <row r="54" spans="1:13" ht="21.75" thickBot="1" x14ac:dyDescent="0.4">
      <c r="A54" s="123" t="s">
        <v>116</v>
      </c>
      <c r="B54" s="121"/>
      <c r="C54" s="121"/>
      <c r="D54" s="174">
        <f>SUM(D22:D53)</f>
        <v>783744</v>
      </c>
      <c r="E54" s="174">
        <f t="shared" ref="E54:G54" si="4">SUM(E22:E53)</f>
        <v>103657</v>
      </c>
      <c r="F54" s="174">
        <f t="shared" si="4"/>
        <v>914485</v>
      </c>
      <c r="G54" s="174">
        <f t="shared" si="4"/>
        <v>1878486</v>
      </c>
      <c r="H54" s="174">
        <f>SUM(H22:H53)</f>
        <v>1063614.8644400002</v>
      </c>
      <c r="I54" s="174">
        <f t="shared" ref="I54:K54" si="5">SUM(I22:I53)</f>
        <v>160836.41544000004</v>
      </c>
      <c r="J54" s="174">
        <f t="shared" si="5"/>
        <v>1628069.1462399999</v>
      </c>
      <c r="K54" s="174">
        <f t="shared" si="5"/>
        <v>1866543.7441999998</v>
      </c>
    </row>
    <row r="55" spans="1:13" ht="15.75" x14ac:dyDescent="0.25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>
        <v>0</v>
      </c>
      <c r="I55" s="96">
        <v>0</v>
      </c>
      <c r="J55" s="96">
        <v>0</v>
      </c>
      <c r="K55" s="96">
        <v>0</v>
      </c>
    </row>
    <row r="56" spans="1:13" ht="15.75" x14ac:dyDescent="0.25">
      <c r="A56" s="26" t="s">
        <v>84</v>
      </c>
      <c r="B56" s="26" t="s">
        <v>115</v>
      </c>
      <c r="C56" s="26" t="s">
        <v>107</v>
      </c>
      <c r="D56" s="14">
        <v>4661</v>
      </c>
      <c r="E56" s="14"/>
      <c r="F56" s="14">
        <v>48305</v>
      </c>
      <c r="G56" s="14"/>
      <c r="H56" s="96">
        <v>0</v>
      </c>
      <c r="I56" s="96">
        <v>1292.0892000000001</v>
      </c>
      <c r="J56" s="96">
        <v>9690.3081200000015</v>
      </c>
      <c r="K56" s="96">
        <v>0</v>
      </c>
    </row>
    <row r="57" spans="1:13" ht="15.75" x14ac:dyDescent="0.25">
      <c r="A57" s="26" t="s">
        <v>37</v>
      </c>
      <c r="B57" s="26" t="s">
        <v>115</v>
      </c>
      <c r="C57" s="26" t="s">
        <v>107</v>
      </c>
      <c r="D57" s="14"/>
      <c r="E57" s="14"/>
      <c r="F57" s="14"/>
      <c r="G57" s="14"/>
      <c r="H57" s="96">
        <v>118996.1548</v>
      </c>
      <c r="I57" s="96">
        <v>0</v>
      </c>
      <c r="J57" s="96">
        <v>3022.0368800000001</v>
      </c>
      <c r="K57" s="96">
        <v>59461.461960000001</v>
      </c>
      <c r="M57" s="133"/>
    </row>
    <row r="58" spans="1:13" ht="15.75" x14ac:dyDescent="0.25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>
        <v>0</v>
      </c>
      <c r="I58" s="96">
        <v>0</v>
      </c>
      <c r="J58" s="96">
        <v>0</v>
      </c>
      <c r="K58" s="96">
        <v>0</v>
      </c>
      <c r="M58" s="133"/>
    </row>
    <row r="59" spans="1:13" ht="15.75" x14ac:dyDescent="0.25">
      <c r="A59" s="27" t="s">
        <v>86</v>
      </c>
      <c r="B59" s="27" t="s">
        <v>115</v>
      </c>
      <c r="C59" s="27" t="s">
        <v>107</v>
      </c>
      <c r="D59" s="14"/>
      <c r="E59" s="14"/>
      <c r="F59" s="14"/>
      <c r="G59" s="14"/>
      <c r="H59" s="96">
        <v>0</v>
      </c>
      <c r="I59" s="96">
        <v>3895.6440800000005</v>
      </c>
      <c r="J59" s="96">
        <v>0</v>
      </c>
      <c r="K59" s="96">
        <v>4215.3698800000002</v>
      </c>
      <c r="M59" s="133"/>
    </row>
    <row r="60" spans="1:13" ht="15.75" x14ac:dyDescent="0.25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>
        <v>0</v>
      </c>
      <c r="I60" s="96">
        <v>0</v>
      </c>
      <c r="J60" s="96">
        <v>0</v>
      </c>
      <c r="K60" s="96">
        <v>0</v>
      </c>
    </row>
    <row r="61" spans="1:13" ht="15.75" x14ac:dyDescent="0.25">
      <c r="A61" s="246" t="s">
        <v>136</v>
      </c>
      <c r="B61" s="26" t="s">
        <v>115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3" ht="16.5" thickBot="1" x14ac:dyDescent="0.3">
      <c r="A62" s="117" t="s">
        <v>99</v>
      </c>
      <c r="B62" s="26" t="s">
        <v>115</v>
      </c>
      <c r="C62" s="26" t="s">
        <v>107</v>
      </c>
      <c r="D62" s="14"/>
      <c r="E62" s="14">
        <v>2289</v>
      </c>
      <c r="F62" s="14">
        <v>146412</v>
      </c>
      <c r="G62" s="14"/>
      <c r="H62" s="96"/>
      <c r="I62" s="96"/>
      <c r="J62" s="96"/>
      <c r="K62" s="96"/>
    </row>
    <row r="63" spans="1:13" ht="21.75" thickBot="1" x14ac:dyDescent="0.4">
      <c r="A63" s="123" t="s">
        <v>117</v>
      </c>
      <c r="B63" s="121"/>
      <c r="C63" s="121"/>
      <c r="D63" s="174">
        <f>SUM(D55:D62)</f>
        <v>4661</v>
      </c>
      <c r="E63" s="174">
        <f t="shared" ref="E63:G63" si="6">SUM(E55:E62)</f>
        <v>2289</v>
      </c>
      <c r="F63" s="174">
        <f t="shared" si="6"/>
        <v>194717</v>
      </c>
      <c r="G63" s="174">
        <f t="shared" si="6"/>
        <v>0</v>
      </c>
      <c r="H63" s="174">
        <f>SUM(H55:H62)</f>
        <v>118996.1548</v>
      </c>
      <c r="I63" s="174">
        <f t="shared" ref="I63:K63" si="7">SUM(I55:I62)</f>
        <v>5187.7332800000004</v>
      </c>
      <c r="J63" s="174">
        <f t="shared" si="7"/>
        <v>12712.345000000001</v>
      </c>
      <c r="K63" s="174">
        <f t="shared" si="7"/>
        <v>63676.831839999999</v>
      </c>
    </row>
    <row r="64" spans="1:13" ht="15.75" x14ac:dyDescent="0.25">
      <c r="A64" s="27" t="s">
        <v>77</v>
      </c>
      <c r="B64" s="26" t="s">
        <v>108</v>
      </c>
      <c r="C64" s="27" t="s">
        <v>102</v>
      </c>
      <c r="D64" s="18">
        <v>13385</v>
      </c>
      <c r="E64" s="18">
        <v>0</v>
      </c>
      <c r="F64" s="18"/>
      <c r="G64" s="18">
        <v>981</v>
      </c>
      <c r="H64" s="96">
        <v>0</v>
      </c>
      <c r="I64" s="96">
        <v>0</v>
      </c>
      <c r="J64" s="96">
        <v>1768642.3856399998</v>
      </c>
      <c r="K64" s="96">
        <v>0</v>
      </c>
    </row>
    <row r="65" spans="1:12" ht="15.75" x14ac:dyDescent="0.25">
      <c r="A65" s="30" t="s">
        <v>40</v>
      </c>
      <c r="B65" s="26" t="s">
        <v>56</v>
      </c>
      <c r="C65" s="26" t="s">
        <v>103</v>
      </c>
      <c r="D65" s="14">
        <v>162553</v>
      </c>
      <c r="E65" s="14">
        <v>73967</v>
      </c>
      <c r="F65" s="14">
        <v>213023</v>
      </c>
      <c r="G65" s="14">
        <v>-89757</v>
      </c>
      <c r="H65" s="96">
        <v>159292.77900000001</v>
      </c>
      <c r="I65" s="96">
        <v>176474.17808000001</v>
      </c>
      <c r="J65" s="96">
        <v>447352.76088000002</v>
      </c>
      <c r="K65" s="96">
        <v>278051.93280000001</v>
      </c>
    </row>
    <row r="66" spans="1:12" ht="15.75" x14ac:dyDescent="0.25">
      <c r="A66" s="26" t="s">
        <v>90</v>
      </c>
      <c r="B66" s="26" t="s">
        <v>108</v>
      </c>
      <c r="C66" s="26" t="s">
        <v>103</v>
      </c>
      <c r="D66" s="14"/>
      <c r="E66" s="14"/>
      <c r="F66" s="14"/>
      <c r="G66" s="14"/>
      <c r="H66" s="96">
        <v>0</v>
      </c>
      <c r="I66" s="96">
        <v>3528.99</v>
      </c>
      <c r="J66" s="96">
        <v>0</v>
      </c>
      <c r="K66" s="96">
        <v>0</v>
      </c>
    </row>
    <row r="67" spans="1:12" ht="15.75" x14ac:dyDescent="0.25">
      <c r="A67" s="26" t="s">
        <v>92</v>
      </c>
      <c r="B67" s="26" t="s">
        <v>56</v>
      </c>
      <c r="C67" s="26" t="s">
        <v>103</v>
      </c>
      <c r="D67" s="14"/>
      <c r="E67" s="14"/>
      <c r="F67" s="14"/>
      <c r="G67" s="14"/>
      <c r="H67" s="96">
        <v>0</v>
      </c>
      <c r="I67" s="96">
        <v>1850.1484799999998</v>
      </c>
      <c r="J67" s="96">
        <v>0</v>
      </c>
      <c r="K67" s="96">
        <v>0</v>
      </c>
    </row>
    <row r="68" spans="1:12" ht="15.75" x14ac:dyDescent="0.25">
      <c r="A68" s="26" t="s">
        <v>93</v>
      </c>
      <c r="B68" s="26" t="s">
        <v>56</v>
      </c>
      <c r="C68" s="26" t="s">
        <v>103</v>
      </c>
      <c r="D68" s="183"/>
      <c r="E68" s="183">
        <v>5239</v>
      </c>
      <c r="F68" s="183"/>
      <c r="G68" s="183"/>
      <c r="H68" s="96">
        <v>0</v>
      </c>
      <c r="I68" s="96">
        <v>20553.76772</v>
      </c>
      <c r="J68" s="96">
        <v>0</v>
      </c>
      <c r="K68" s="96">
        <v>0</v>
      </c>
    </row>
    <row r="69" spans="1:12" ht="15.75" x14ac:dyDescent="0.25">
      <c r="A69" s="26" t="s">
        <v>100</v>
      </c>
      <c r="B69" s="26" t="s">
        <v>56</v>
      </c>
      <c r="C69" s="26" t="s">
        <v>103</v>
      </c>
      <c r="D69" s="14"/>
      <c r="E69" s="14">
        <v>3362</v>
      </c>
      <c r="F69" s="14">
        <v>8039</v>
      </c>
      <c r="G69" s="14"/>
      <c r="H69" s="96"/>
      <c r="I69" s="96">
        <v>1050.8131599999999</v>
      </c>
      <c r="J69" s="96">
        <v>42564.227559999999</v>
      </c>
      <c r="K69" s="96"/>
      <c r="L69" s="138"/>
    </row>
    <row r="70" spans="1:12" ht="15.75" x14ac:dyDescent="0.25">
      <c r="A70" s="118" t="s">
        <v>101</v>
      </c>
      <c r="B70" s="26" t="s">
        <v>56</v>
      </c>
      <c r="C70" s="26" t="s">
        <v>103</v>
      </c>
      <c r="D70" s="183"/>
      <c r="E70" s="183">
        <v>-7432</v>
      </c>
      <c r="F70" s="183">
        <v>51590</v>
      </c>
      <c r="G70" s="183">
        <f>-1277712-7834</f>
        <v>-1285546</v>
      </c>
      <c r="H70" s="96"/>
      <c r="I70" s="96">
        <v>-2677.0633600000001</v>
      </c>
      <c r="J70" s="96">
        <v>17653.888720000003</v>
      </c>
      <c r="K70" s="96">
        <v>4376.1974399999999</v>
      </c>
    </row>
    <row r="71" spans="1:12" ht="15.75" x14ac:dyDescent="0.25">
      <c r="A71" s="26" t="s">
        <v>81</v>
      </c>
      <c r="B71" s="26" t="s">
        <v>56</v>
      </c>
      <c r="C71" s="26" t="s">
        <v>103</v>
      </c>
      <c r="D71" s="183"/>
      <c r="E71" s="183">
        <v>8513</v>
      </c>
      <c r="F71" s="183"/>
      <c r="G71" s="183"/>
      <c r="H71" s="96">
        <v>0</v>
      </c>
      <c r="I71" s="96">
        <v>0</v>
      </c>
      <c r="J71" s="96">
        <v>0</v>
      </c>
      <c r="K71" s="96">
        <v>0</v>
      </c>
    </row>
    <row r="72" spans="1:12" ht="21.75" thickBot="1" x14ac:dyDescent="0.25">
      <c r="A72" s="177" t="s">
        <v>44</v>
      </c>
      <c r="B72" s="178"/>
      <c r="C72" s="178"/>
      <c r="D72" s="179">
        <f>SUM(D64:D71)</f>
        <v>175938</v>
      </c>
      <c r="E72" s="179">
        <f t="shared" ref="E72:G72" si="8">SUM(E64:E71)</f>
        <v>83649</v>
      </c>
      <c r="F72" s="179">
        <f t="shared" si="8"/>
        <v>272652</v>
      </c>
      <c r="G72" s="179">
        <f t="shared" si="8"/>
        <v>-1374322</v>
      </c>
      <c r="H72" s="179">
        <f>SUM(H64:H71)</f>
        <v>159292.77900000001</v>
      </c>
      <c r="I72" s="179">
        <f t="shared" ref="I72:K72" si="9">SUM(I64:I71)</f>
        <v>200780.83408</v>
      </c>
      <c r="J72" s="179">
        <f t="shared" si="9"/>
        <v>2276213.2628000001</v>
      </c>
      <c r="K72" s="179">
        <f t="shared" si="9"/>
        <v>282428.13024000003</v>
      </c>
    </row>
    <row r="73" spans="1:12" ht="21.75" thickBot="1" x14ac:dyDescent="0.25">
      <c r="A73" s="122" t="s">
        <v>45</v>
      </c>
      <c r="B73" s="121"/>
      <c r="C73" s="121"/>
      <c r="D73" s="131">
        <f>D72+D63+D54+D21+D8</f>
        <v>1045368</v>
      </c>
      <c r="E73" s="131">
        <f t="shared" ref="E73:G73" si="10">E72+E63+E54+E21+E8</f>
        <v>235759</v>
      </c>
      <c r="F73" s="131">
        <f t="shared" si="10"/>
        <v>1742433</v>
      </c>
      <c r="G73" s="131">
        <f t="shared" si="10"/>
        <v>-1187375</v>
      </c>
      <c r="H73" s="131">
        <f>H72+H63+H54+H21+H8</f>
        <v>1437859.3890000002</v>
      </c>
      <c r="I73" s="131">
        <f t="shared" ref="I73:K73" si="11">I72+I63+I54+I21+I8</f>
        <v>462039.56363999995</v>
      </c>
      <c r="J73" s="131">
        <f t="shared" si="11"/>
        <v>4270920.3881200003</v>
      </c>
      <c r="K73" s="131">
        <f t="shared" si="11"/>
        <v>2220811.0068399999</v>
      </c>
    </row>
    <row r="74" spans="1:12" x14ac:dyDescent="0.25">
      <c r="H74" s="10"/>
      <c r="I74" s="10"/>
      <c r="J74" s="10"/>
    </row>
    <row r="75" spans="1:12" x14ac:dyDescent="0.25">
      <c r="D75" s="152"/>
      <c r="E75" s="152"/>
      <c r="F75" s="152"/>
      <c r="G75" s="152"/>
    </row>
    <row r="76" spans="1:12" x14ac:dyDescent="0.25">
      <c r="D76" s="6">
        <v>1045368</v>
      </c>
      <c r="E76" s="6">
        <v>235756</v>
      </c>
      <c r="F76" s="6">
        <v>1742433</v>
      </c>
      <c r="G76" s="6">
        <v>-1187376</v>
      </c>
    </row>
    <row r="77" spans="1:12" x14ac:dyDescent="0.25">
      <c r="D77" s="153"/>
      <c r="E77" s="153"/>
      <c r="F77" s="153"/>
      <c r="G77" s="153"/>
    </row>
    <row r="78" spans="1:12" x14ac:dyDescent="0.25">
      <c r="D78" s="153"/>
      <c r="E78" s="137"/>
      <c r="F78" s="137"/>
      <c r="G78" s="137"/>
    </row>
    <row r="79" spans="1:12" x14ac:dyDescent="0.25">
      <c r="D79" s="153"/>
      <c r="E79" s="153"/>
      <c r="F79" s="153"/>
      <c r="G79" s="153"/>
    </row>
  </sheetData>
  <autoFilter ref="A2:P73" xr:uid="{8F9671D0-2B28-494D-BDF1-4E5175A67A8E}"/>
  <mergeCells count="2">
    <mergeCell ref="D1:G1"/>
    <mergeCell ref="H1:K1"/>
  </mergeCells>
  <conditionalFormatting sqref="A1">
    <cfRule type="duplicateValues" dxfId="143" priority="15"/>
    <cfRule type="duplicateValues" dxfId="142" priority="16"/>
  </conditionalFormatting>
  <conditionalFormatting sqref="A14">
    <cfRule type="duplicateValues" dxfId="141" priority="5"/>
    <cfRule type="duplicateValues" dxfId="140" priority="6"/>
  </conditionalFormatting>
  <conditionalFormatting sqref="A40">
    <cfRule type="duplicateValues" dxfId="139" priority="1"/>
    <cfRule type="duplicateValues" dxfId="138" priority="2"/>
  </conditionalFormatting>
  <conditionalFormatting sqref="A55">
    <cfRule type="duplicateValues" dxfId="137" priority="7"/>
    <cfRule type="duplicateValues" dxfId="136" priority="8"/>
  </conditionalFormatting>
  <conditionalFormatting sqref="A56:A58 A7 A22:A39 A60 A41:A53">
    <cfRule type="duplicateValues" dxfId="135" priority="13"/>
    <cfRule type="duplicateValues" dxfId="134" priority="14"/>
  </conditionalFormatting>
  <conditionalFormatting sqref="A59">
    <cfRule type="duplicateValues" dxfId="133" priority="3"/>
    <cfRule type="duplicateValues" dxfId="132" priority="4"/>
  </conditionalFormatting>
  <conditionalFormatting sqref="A64:A71">
    <cfRule type="duplicateValues" dxfId="131" priority="11"/>
    <cfRule type="duplicateValues" dxfId="130" priority="12"/>
  </conditionalFormatting>
  <conditionalFormatting sqref="A72:A73 A2:A6 A8:A13 A15:A21 A54 A63">
    <cfRule type="duplicateValues" dxfId="129" priority="9"/>
    <cfRule type="duplicateValues" dxfId="128" priority="10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FFD32-F11B-4794-BC1B-20DC7255B5B1}">
  <sheetPr>
    <tabColor rgb="FFFFC000"/>
  </sheetPr>
  <dimension ref="A1:M80"/>
  <sheetViews>
    <sheetView rightToLeft="1" zoomScaleNormal="100" workbookViewId="0">
      <pane ySplit="3" topLeftCell="A53" activePane="bottomLeft" state="frozen"/>
      <selection pane="bottomLeft" activeCell="A61" sqref="A61:C61"/>
    </sheetView>
  </sheetViews>
  <sheetFormatPr defaultColWidth="30.125" defaultRowHeight="15" x14ac:dyDescent="0.25"/>
  <cols>
    <col min="1" max="1" width="30" style="32" bestFit="1" customWidth="1"/>
    <col min="2" max="2" width="11.375" style="32" customWidth="1"/>
    <col min="3" max="3" width="11.75" style="32" customWidth="1"/>
    <col min="4" max="4" width="16.875" customWidth="1"/>
    <col min="5" max="5" width="15.25" customWidth="1"/>
    <col min="6" max="6" width="16.875" customWidth="1"/>
    <col min="7" max="7" width="19" customWidth="1"/>
    <col min="8" max="9" width="15.25" style="3" customWidth="1"/>
    <col min="10" max="10" width="16.875" style="3" customWidth="1"/>
    <col min="11" max="11" width="19" customWidth="1"/>
  </cols>
  <sheetData>
    <row r="1" spans="1:11" ht="21" x14ac:dyDescent="0.2">
      <c r="A1" s="26"/>
      <c r="B1" s="26"/>
      <c r="C1" s="26"/>
      <c r="D1" s="237">
        <v>2025</v>
      </c>
      <c r="E1" s="237"/>
      <c r="F1" s="237"/>
      <c r="G1" s="237"/>
      <c r="H1" s="238">
        <v>2024</v>
      </c>
      <c r="I1" s="238"/>
      <c r="J1" s="238"/>
      <c r="K1" s="238"/>
    </row>
    <row r="2" spans="1:11" ht="21" x14ac:dyDescent="0.2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75" x14ac:dyDescent="0.25">
      <c r="A3" s="26" t="s">
        <v>1</v>
      </c>
      <c r="B3" s="26" t="s">
        <v>108</v>
      </c>
      <c r="C3" s="26" t="s">
        <v>58</v>
      </c>
      <c r="D3" s="14">
        <f>494749.8118-D16-D51</f>
        <v>449988.85008000006</v>
      </c>
      <c r="E3" s="14">
        <f>13726.48332-E6</f>
        <v>6201.2254249999996</v>
      </c>
      <c r="F3" s="14">
        <f>3758558.014-282314-F4-F6-F66-F67</f>
        <v>2508584.3903000001</v>
      </c>
      <c r="G3" s="14">
        <f>2698327-G51</f>
        <v>2640026</v>
      </c>
      <c r="H3" s="96">
        <v>86391.812720000016</v>
      </c>
      <c r="I3" s="96">
        <v>201248.549</v>
      </c>
      <c r="J3" s="96">
        <v>513735.28000000026</v>
      </c>
      <c r="K3" s="96">
        <v>66045</v>
      </c>
    </row>
    <row r="4" spans="1:11" ht="15.75" x14ac:dyDescent="0.25">
      <c r="A4" s="26" t="s">
        <v>2</v>
      </c>
      <c r="B4" s="26" t="s">
        <v>108</v>
      </c>
      <c r="C4" s="26" t="s">
        <v>58</v>
      </c>
      <c r="D4" s="14"/>
      <c r="E4" s="14"/>
      <c r="F4" s="183">
        <v>561401.71369999996</v>
      </c>
      <c r="G4" s="14"/>
      <c r="H4" s="96">
        <v>0</v>
      </c>
      <c r="I4" s="96">
        <v>0</v>
      </c>
      <c r="J4" s="96">
        <v>800298.1</v>
      </c>
      <c r="K4" s="96">
        <v>0</v>
      </c>
    </row>
    <row r="5" spans="1:11" ht="15.75" x14ac:dyDescent="0.25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75" x14ac:dyDescent="0.25">
      <c r="A6" s="28" t="s">
        <v>105</v>
      </c>
      <c r="B6" s="26" t="s">
        <v>108</v>
      </c>
      <c r="C6" s="28" t="s">
        <v>58</v>
      </c>
      <c r="D6" s="15"/>
      <c r="E6" s="181">
        <v>7525.2578949999997</v>
      </c>
      <c r="F6" s="181">
        <v>372789.28</v>
      </c>
      <c r="G6" s="15"/>
      <c r="H6" s="96"/>
      <c r="I6" s="96"/>
      <c r="J6" s="96"/>
      <c r="K6" s="96"/>
    </row>
    <row r="7" spans="1:11" ht="16.5" thickBot="1" x14ac:dyDescent="0.3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>
        <v>0</v>
      </c>
      <c r="I7" s="96">
        <v>0</v>
      </c>
      <c r="J7" s="96">
        <v>0</v>
      </c>
      <c r="K7" s="96">
        <v>0</v>
      </c>
    </row>
    <row r="8" spans="1:11" ht="21.75" thickBot="1" x14ac:dyDescent="0.4">
      <c r="A8" s="122" t="s">
        <v>3</v>
      </c>
      <c r="B8" s="121"/>
      <c r="C8" s="121"/>
      <c r="D8" s="174">
        <f>SUM(D3:D7)</f>
        <v>449988.85008000006</v>
      </c>
      <c r="E8" s="174">
        <f t="shared" ref="E8:G8" si="0">SUM(E3:E7)</f>
        <v>13726.483319999999</v>
      </c>
      <c r="F8" s="174">
        <f t="shared" si="0"/>
        <v>3442775.3840000005</v>
      </c>
      <c r="G8" s="174">
        <f t="shared" si="0"/>
        <v>2640026</v>
      </c>
      <c r="H8" s="174">
        <f>SUM(H3:H7)</f>
        <v>86391.812720000016</v>
      </c>
      <c r="I8" s="174">
        <f t="shared" ref="I8:K8" si="1">SUM(I3:I7)</f>
        <v>201248.549</v>
      </c>
      <c r="J8" s="174">
        <f t="shared" si="1"/>
        <v>1314033.3800000004</v>
      </c>
      <c r="K8" s="174">
        <f t="shared" si="1"/>
        <v>66045</v>
      </c>
    </row>
    <row r="9" spans="1:11" ht="15.75" x14ac:dyDescent="0.25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>
        <v>0</v>
      </c>
      <c r="I9" s="96">
        <v>0</v>
      </c>
      <c r="J9" s="96">
        <v>0</v>
      </c>
      <c r="K9" s="96">
        <v>0</v>
      </c>
    </row>
    <row r="10" spans="1:11" ht="15.75" x14ac:dyDescent="0.25">
      <c r="A10" s="26" t="s">
        <v>5</v>
      </c>
      <c r="B10" s="26" t="s">
        <v>108</v>
      </c>
      <c r="C10" s="26" t="s">
        <v>106</v>
      </c>
      <c r="D10" s="14">
        <v>24.113945000000001</v>
      </c>
      <c r="E10" s="14"/>
      <c r="F10" s="14"/>
      <c r="G10" s="14"/>
      <c r="H10" s="96">
        <v>0</v>
      </c>
      <c r="I10" s="96">
        <v>0</v>
      </c>
      <c r="J10" s="96">
        <v>0</v>
      </c>
      <c r="K10" s="96">
        <v>0</v>
      </c>
    </row>
    <row r="11" spans="1:11" ht="15.75" x14ac:dyDescent="0.25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>
        <v>2011</v>
      </c>
      <c r="H11" s="96">
        <v>0</v>
      </c>
      <c r="I11" s="96">
        <v>2250.6975200000002</v>
      </c>
      <c r="J11" s="96">
        <v>0</v>
      </c>
      <c r="K11" s="96">
        <v>0</v>
      </c>
    </row>
    <row r="12" spans="1:11" ht="15.75" x14ac:dyDescent="0.25">
      <c r="A12" s="26" t="s">
        <v>7</v>
      </c>
      <c r="B12" s="26" t="s">
        <v>108</v>
      </c>
      <c r="C12" s="26" t="s">
        <v>106</v>
      </c>
      <c r="D12" s="14"/>
      <c r="E12" s="14"/>
      <c r="F12" s="14">
        <v>27941.86</v>
      </c>
      <c r="G12" s="14"/>
      <c r="H12" s="96">
        <v>0</v>
      </c>
      <c r="I12" s="96">
        <v>0</v>
      </c>
      <c r="J12" s="96">
        <v>0</v>
      </c>
      <c r="K12" s="96">
        <v>0</v>
      </c>
    </row>
    <row r="13" spans="1:11" ht="15.75" x14ac:dyDescent="0.25">
      <c r="A13" s="26" t="s">
        <v>8</v>
      </c>
      <c r="B13" s="26" t="s">
        <v>108</v>
      </c>
      <c r="C13" s="26" t="s">
        <v>106</v>
      </c>
      <c r="D13" s="14">
        <v>5137.4178849999998</v>
      </c>
      <c r="E13" s="14">
        <v>14138.08772</v>
      </c>
      <c r="F13" s="14"/>
      <c r="G13" s="14"/>
      <c r="H13" s="96">
        <v>0</v>
      </c>
      <c r="I13" s="96">
        <v>35773.465320000003</v>
      </c>
      <c r="J13" s="96">
        <v>179450.72</v>
      </c>
      <c r="K13" s="96">
        <v>0</v>
      </c>
    </row>
    <row r="14" spans="1:11" ht="15.75" x14ac:dyDescent="0.25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>
        <v>0</v>
      </c>
      <c r="I14" s="96">
        <v>0</v>
      </c>
      <c r="J14" s="96">
        <v>0</v>
      </c>
      <c r="K14" s="96">
        <v>0</v>
      </c>
    </row>
    <row r="15" spans="1:11" ht="15.75" x14ac:dyDescent="0.25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>
        <v>0</v>
      </c>
      <c r="I15" s="96">
        <v>0</v>
      </c>
      <c r="J15" s="96">
        <v>0</v>
      </c>
      <c r="K15" s="96">
        <v>0</v>
      </c>
    </row>
    <row r="16" spans="1:11" ht="15.75" x14ac:dyDescent="0.25">
      <c r="A16" s="26" t="s">
        <v>96</v>
      </c>
      <c r="B16" s="26" t="s">
        <v>108</v>
      </c>
      <c r="C16" s="26" t="s">
        <v>106</v>
      </c>
      <c r="D16" s="183">
        <v>22941.2556</v>
      </c>
      <c r="E16" s="14"/>
      <c r="F16" s="14"/>
      <c r="G16" s="14"/>
      <c r="H16" s="96">
        <v>0</v>
      </c>
      <c r="I16" s="96">
        <v>0</v>
      </c>
      <c r="J16" s="96">
        <v>0</v>
      </c>
      <c r="K16" s="96">
        <v>0</v>
      </c>
    </row>
    <row r="17" spans="1:11" ht="15.75" x14ac:dyDescent="0.25">
      <c r="A17" s="26" t="s">
        <v>42</v>
      </c>
      <c r="B17" s="26" t="s">
        <v>108</v>
      </c>
      <c r="C17" s="26" t="s">
        <v>106</v>
      </c>
      <c r="D17" s="14">
        <v>21774.045979999999</v>
      </c>
      <c r="E17" s="14">
        <v>2075.8506050000001</v>
      </c>
      <c r="F17" s="14"/>
      <c r="G17" s="14">
        <v>79670</v>
      </c>
      <c r="H17" s="96">
        <v>0</v>
      </c>
      <c r="I17" s="96">
        <v>1196.3866</v>
      </c>
      <c r="J17" s="96">
        <v>565697.03</v>
      </c>
      <c r="K17" s="96">
        <v>208408</v>
      </c>
    </row>
    <row r="18" spans="1:11" ht="15.75" x14ac:dyDescent="0.25">
      <c r="A18" s="26" t="s">
        <v>43</v>
      </c>
      <c r="B18" s="26" t="s">
        <v>108</v>
      </c>
      <c r="C18" s="26" t="s">
        <v>106</v>
      </c>
      <c r="D18" s="14">
        <v>85453.236730000004</v>
      </c>
      <c r="E18" s="14">
        <v>50470.601649999997</v>
      </c>
      <c r="F18" s="14">
        <v>1789502.057</v>
      </c>
      <c r="G18" s="14">
        <v>182280</v>
      </c>
      <c r="H18" s="96">
        <v>4731.9140800000014</v>
      </c>
      <c r="I18" s="96">
        <v>5381.9838799999989</v>
      </c>
      <c r="J18" s="96">
        <v>1561935.9099999997</v>
      </c>
      <c r="K18" s="96">
        <v>2546514</v>
      </c>
    </row>
    <row r="19" spans="1:11" ht="15.75" x14ac:dyDescent="0.25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>
        <v>0</v>
      </c>
      <c r="I19" s="96">
        <v>0</v>
      </c>
      <c r="J19" s="96">
        <v>0</v>
      </c>
      <c r="K19" s="96">
        <v>0</v>
      </c>
    </row>
    <row r="20" spans="1:11" ht="16.5" thickBot="1" x14ac:dyDescent="0.3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96">
        <v>0</v>
      </c>
      <c r="I20" s="96">
        <v>0</v>
      </c>
      <c r="J20" s="96">
        <v>0</v>
      </c>
      <c r="K20" s="96">
        <v>0</v>
      </c>
    </row>
    <row r="21" spans="1:11" ht="21.75" thickBot="1" x14ac:dyDescent="0.4">
      <c r="A21" s="122" t="s">
        <v>10</v>
      </c>
      <c r="B21" s="121"/>
      <c r="C21" s="121"/>
      <c r="D21" s="174">
        <f>SUM(D9:D20)</f>
        <v>135330.07014</v>
      </c>
      <c r="E21" s="174">
        <f t="shared" ref="E21:G21" si="2">SUM(E9:E20)</f>
        <v>66684.539974999992</v>
      </c>
      <c r="F21" s="174">
        <f t="shared" si="2"/>
        <v>1817443.9170000001</v>
      </c>
      <c r="G21" s="174">
        <f t="shared" si="2"/>
        <v>263961</v>
      </c>
      <c r="H21" s="174">
        <f>SUM(H9:H20)</f>
        <v>4731.9140800000014</v>
      </c>
      <c r="I21" s="174">
        <f t="shared" ref="I21:K21" si="3">SUM(I9:I20)</f>
        <v>44602.533320000002</v>
      </c>
      <c r="J21" s="174">
        <f t="shared" si="3"/>
        <v>2307083.6599999997</v>
      </c>
      <c r="K21" s="174">
        <f t="shared" si="3"/>
        <v>2754922</v>
      </c>
    </row>
    <row r="22" spans="1:11" ht="15.75" x14ac:dyDescent="0.25">
      <c r="A22" s="27" t="s">
        <v>11</v>
      </c>
      <c r="B22" s="27" t="s">
        <v>56</v>
      </c>
      <c r="C22" s="27" t="s">
        <v>107</v>
      </c>
      <c r="D22" s="18">
        <v>17460.66228</v>
      </c>
      <c r="E22" s="18"/>
      <c r="F22" s="18"/>
      <c r="G22" s="18"/>
      <c r="H22" s="96">
        <v>0</v>
      </c>
      <c r="I22" s="96">
        <v>0</v>
      </c>
      <c r="J22" s="96">
        <v>0</v>
      </c>
      <c r="K22" s="96">
        <v>0</v>
      </c>
    </row>
    <row r="23" spans="1:11" ht="15.75" x14ac:dyDescent="0.25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>
        <v>0</v>
      </c>
      <c r="I23" s="96">
        <v>0</v>
      </c>
      <c r="J23" s="96">
        <v>0</v>
      </c>
      <c r="K23" s="96">
        <v>0</v>
      </c>
    </row>
    <row r="24" spans="1:11" ht="15.75" x14ac:dyDescent="0.25">
      <c r="A24" s="30" t="s">
        <v>13</v>
      </c>
      <c r="B24" s="26" t="s">
        <v>56</v>
      </c>
      <c r="C24" s="26" t="s">
        <v>107</v>
      </c>
      <c r="D24" s="14"/>
      <c r="E24" s="14"/>
      <c r="F24" s="14"/>
      <c r="G24" s="14"/>
      <c r="H24" s="96">
        <v>0</v>
      </c>
      <c r="I24" s="96">
        <v>0</v>
      </c>
      <c r="J24" s="96">
        <v>0</v>
      </c>
      <c r="K24" s="96">
        <v>0</v>
      </c>
    </row>
    <row r="25" spans="1:11" ht="15.75" x14ac:dyDescent="0.25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>
        <v>0</v>
      </c>
      <c r="I25" s="96">
        <v>0</v>
      </c>
      <c r="J25" s="96">
        <v>0</v>
      </c>
      <c r="K25" s="96">
        <v>0</v>
      </c>
    </row>
    <row r="26" spans="1:11" ht="15.75" x14ac:dyDescent="0.25">
      <c r="A26" s="30" t="s">
        <v>15</v>
      </c>
      <c r="B26" s="26" t="s">
        <v>56</v>
      </c>
      <c r="C26" s="26" t="s">
        <v>107</v>
      </c>
      <c r="D26" s="14">
        <v>705113.38410000002</v>
      </c>
      <c r="E26" s="14">
        <v>43221.499349999998</v>
      </c>
      <c r="F26" s="14">
        <v>68018.163379999998</v>
      </c>
      <c r="G26" s="14">
        <v>541854</v>
      </c>
      <c r="H26" s="96">
        <v>248177.31480000017</v>
      </c>
      <c r="I26" s="96">
        <v>3375.9629999999997</v>
      </c>
      <c r="J26" s="96">
        <v>0</v>
      </c>
      <c r="K26" s="96">
        <v>226071</v>
      </c>
    </row>
    <row r="27" spans="1:11" ht="15.75" x14ac:dyDescent="0.25">
      <c r="A27" s="30" t="s">
        <v>17</v>
      </c>
      <c r="B27" s="26" t="s">
        <v>56</v>
      </c>
      <c r="C27" s="26" t="s">
        <v>107</v>
      </c>
      <c r="D27" s="14"/>
      <c r="E27" s="14"/>
      <c r="F27" s="14">
        <v>100000</v>
      </c>
      <c r="G27" s="14"/>
      <c r="H27" s="96">
        <v>0</v>
      </c>
      <c r="I27" s="96">
        <v>28648.264479999998</v>
      </c>
      <c r="J27" s="96">
        <v>0</v>
      </c>
      <c r="K27" s="96">
        <v>0</v>
      </c>
    </row>
    <row r="28" spans="1:11" ht="15.75" x14ac:dyDescent="0.25">
      <c r="A28" s="30" t="s">
        <v>18</v>
      </c>
      <c r="B28" s="26" t="s">
        <v>56</v>
      </c>
      <c r="C28" s="26" t="s">
        <v>107</v>
      </c>
      <c r="D28" s="14"/>
      <c r="E28" s="14"/>
      <c r="F28" s="14"/>
      <c r="G28" s="14"/>
      <c r="H28" s="96">
        <v>0</v>
      </c>
      <c r="I28" s="96">
        <v>0</v>
      </c>
      <c r="J28" s="96">
        <v>0</v>
      </c>
      <c r="K28" s="96">
        <v>0</v>
      </c>
    </row>
    <row r="29" spans="1:11" ht="15.75" x14ac:dyDescent="0.25">
      <c r="A29" s="26" t="s">
        <v>19</v>
      </c>
      <c r="B29" s="26" t="s">
        <v>56</v>
      </c>
      <c r="C29" s="26" t="s">
        <v>107</v>
      </c>
      <c r="D29" s="14"/>
      <c r="E29" s="14"/>
      <c r="F29" s="14"/>
      <c r="G29" s="14"/>
      <c r="H29" s="96">
        <v>0</v>
      </c>
      <c r="I29" s="96">
        <v>0</v>
      </c>
      <c r="J29" s="96">
        <v>0</v>
      </c>
      <c r="K29" s="96">
        <v>0</v>
      </c>
    </row>
    <row r="30" spans="1:11" ht="15.75" x14ac:dyDescent="0.25">
      <c r="A30" s="26" t="s">
        <v>20</v>
      </c>
      <c r="B30" s="26" t="s">
        <v>56</v>
      </c>
      <c r="C30" s="26" t="s">
        <v>107</v>
      </c>
      <c r="D30" s="14"/>
      <c r="E30" s="14"/>
      <c r="F30" s="14"/>
      <c r="G30" s="14">
        <v>110917</v>
      </c>
      <c r="H30" s="96">
        <v>0</v>
      </c>
      <c r="I30" s="96">
        <v>0</v>
      </c>
      <c r="J30" s="96">
        <v>0</v>
      </c>
      <c r="K30" s="96">
        <v>0</v>
      </c>
    </row>
    <row r="31" spans="1:11" ht="15.75" x14ac:dyDescent="0.25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>
        <v>0</v>
      </c>
      <c r="I31" s="96">
        <v>0</v>
      </c>
      <c r="J31" s="96">
        <v>0</v>
      </c>
      <c r="K31" s="96">
        <v>0</v>
      </c>
    </row>
    <row r="32" spans="1:11" ht="15.75" x14ac:dyDescent="0.25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>
        <v>0</v>
      </c>
      <c r="I32" s="96">
        <v>0</v>
      </c>
      <c r="J32" s="96">
        <v>0</v>
      </c>
      <c r="K32" s="96">
        <v>0</v>
      </c>
    </row>
    <row r="33" spans="1:12" ht="15.75" x14ac:dyDescent="0.25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>
        <v>0</v>
      </c>
      <c r="I33" s="96">
        <v>0</v>
      </c>
      <c r="J33" s="96">
        <v>0</v>
      </c>
      <c r="K33" s="96">
        <v>0</v>
      </c>
    </row>
    <row r="34" spans="1:12" ht="15.75" x14ac:dyDescent="0.25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>
        <v>0</v>
      </c>
      <c r="I34" s="96">
        <v>0</v>
      </c>
      <c r="J34" s="96">
        <v>0</v>
      </c>
      <c r="K34" s="96">
        <v>0</v>
      </c>
    </row>
    <row r="35" spans="1:12" ht="15.75" x14ac:dyDescent="0.25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/>
      <c r="H35" s="96">
        <v>0</v>
      </c>
      <c r="I35" s="96">
        <v>0</v>
      </c>
      <c r="J35" s="96">
        <v>0</v>
      </c>
      <c r="K35" s="96">
        <v>0</v>
      </c>
    </row>
    <row r="36" spans="1:12" ht="15.75" x14ac:dyDescent="0.25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>
        <v>0</v>
      </c>
      <c r="I36" s="96">
        <v>0</v>
      </c>
      <c r="J36" s="96">
        <v>0</v>
      </c>
      <c r="K36" s="96">
        <v>0</v>
      </c>
    </row>
    <row r="37" spans="1:12" ht="15.75" x14ac:dyDescent="0.25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>
        <v>0</v>
      </c>
      <c r="I37" s="96">
        <v>0</v>
      </c>
      <c r="J37" s="96">
        <v>0</v>
      </c>
      <c r="K37" s="96">
        <v>0</v>
      </c>
    </row>
    <row r="38" spans="1:12" ht="15.75" x14ac:dyDescent="0.25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>
        <v>0</v>
      </c>
      <c r="I38" s="96">
        <v>0</v>
      </c>
      <c r="J38" s="96">
        <v>0</v>
      </c>
      <c r="K38" s="96">
        <v>0</v>
      </c>
    </row>
    <row r="39" spans="1:12" ht="15.75" x14ac:dyDescent="0.25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>
        <v>0</v>
      </c>
      <c r="I39" s="96">
        <v>0</v>
      </c>
      <c r="J39" s="96">
        <v>0</v>
      </c>
      <c r="K39" s="96">
        <v>0</v>
      </c>
    </row>
    <row r="40" spans="1:12" ht="15.75" x14ac:dyDescent="0.25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75" x14ac:dyDescent="0.25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>
        <v>0</v>
      </c>
      <c r="I41" s="96">
        <v>0</v>
      </c>
      <c r="J41" s="96">
        <v>0</v>
      </c>
      <c r="K41" s="96">
        <v>0</v>
      </c>
    </row>
    <row r="42" spans="1:12" ht="15.75" x14ac:dyDescent="0.25">
      <c r="A42" s="30" t="s">
        <v>95</v>
      </c>
      <c r="B42" s="26" t="s">
        <v>56</v>
      </c>
      <c r="C42" s="26" t="s">
        <v>107</v>
      </c>
      <c r="D42" s="14"/>
      <c r="E42" s="14"/>
      <c r="F42" s="14"/>
      <c r="G42" s="14"/>
      <c r="H42" s="96">
        <v>0</v>
      </c>
      <c r="I42" s="96">
        <v>0</v>
      </c>
      <c r="J42" s="96">
        <v>0</v>
      </c>
      <c r="K42" s="96">
        <v>0</v>
      </c>
    </row>
    <row r="43" spans="1:12" ht="15.75" x14ac:dyDescent="0.25">
      <c r="A43" s="26" t="s">
        <v>83</v>
      </c>
      <c r="B43" s="26" t="s">
        <v>56</v>
      </c>
      <c r="C43" s="26" t="s">
        <v>107</v>
      </c>
      <c r="D43" s="14"/>
      <c r="E43" s="14"/>
      <c r="F43" s="14">
        <v>9373.58</v>
      </c>
      <c r="G43" s="14"/>
      <c r="H43" s="96">
        <v>0</v>
      </c>
      <c r="I43" s="96">
        <v>0</v>
      </c>
      <c r="J43" s="96">
        <v>30000</v>
      </c>
      <c r="K43" s="96">
        <v>0</v>
      </c>
    </row>
    <row r="44" spans="1:12" ht="15.75" x14ac:dyDescent="0.25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/>
      <c r="H44" s="96">
        <v>0</v>
      </c>
      <c r="I44" s="96">
        <v>0</v>
      </c>
      <c r="J44" s="96">
        <v>0</v>
      </c>
      <c r="K44" s="96">
        <v>43</v>
      </c>
    </row>
    <row r="45" spans="1:12" ht="15.75" x14ac:dyDescent="0.25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>
        <v>0</v>
      </c>
      <c r="I45" s="96">
        <v>0</v>
      </c>
      <c r="J45" s="96">
        <v>0</v>
      </c>
      <c r="K45" s="96">
        <v>0</v>
      </c>
    </row>
    <row r="46" spans="1:12" ht="15.75" x14ac:dyDescent="0.25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>
        <v>0</v>
      </c>
      <c r="I46" s="96">
        <v>0</v>
      </c>
      <c r="J46" s="96">
        <v>0</v>
      </c>
      <c r="K46" s="96">
        <v>0</v>
      </c>
      <c r="L46" s="138"/>
    </row>
    <row r="47" spans="1:12" ht="15.75" x14ac:dyDescent="0.25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>
        <v>0</v>
      </c>
      <c r="I47" s="96">
        <v>0</v>
      </c>
      <c r="J47" s="96">
        <v>0</v>
      </c>
      <c r="K47" s="96">
        <v>0</v>
      </c>
    </row>
    <row r="48" spans="1:12" ht="15.75" x14ac:dyDescent="0.25">
      <c r="A48" s="26" t="s">
        <v>87</v>
      </c>
      <c r="B48" s="26" t="s">
        <v>56</v>
      </c>
      <c r="C48" s="26" t="s">
        <v>107</v>
      </c>
      <c r="D48" s="14"/>
      <c r="E48" s="14"/>
      <c r="F48" s="14">
        <v>79000</v>
      </c>
      <c r="G48" s="14"/>
      <c r="H48" s="96">
        <v>0</v>
      </c>
      <c r="I48" s="96">
        <v>0</v>
      </c>
      <c r="J48" s="96">
        <v>79000</v>
      </c>
      <c r="K48" s="96">
        <v>0</v>
      </c>
    </row>
    <row r="49" spans="1:13" ht="15.75" x14ac:dyDescent="0.25">
      <c r="A49" s="26" t="s">
        <v>97</v>
      </c>
      <c r="B49" s="26" t="s">
        <v>56</v>
      </c>
      <c r="C49" s="26" t="s">
        <v>107</v>
      </c>
      <c r="D49" s="14">
        <v>69029.560159999994</v>
      </c>
      <c r="E49" s="14"/>
      <c r="F49" s="14">
        <v>893047.59</v>
      </c>
      <c r="G49" s="14"/>
      <c r="H49" s="96">
        <v>0</v>
      </c>
      <c r="I49" s="96">
        <v>0</v>
      </c>
      <c r="J49" s="96">
        <v>0</v>
      </c>
      <c r="K49" s="96">
        <v>0</v>
      </c>
    </row>
    <row r="50" spans="1:13" ht="15.75" x14ac:dyDescent="0.25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>
        <v>0</v>
      </c>
      <c r="I50" s="96">
        <v>0</v>
      </c>
      <c r="J50" s="96">
        <v>0</v>
      </c>
      <c r="K50" s="96">
        <v>0</v>
      </c>
    </row>
    <row r="51" spans="1:13" ht="15.75" x14ac:dyDescent="0.25">
      <c r="A51" s="26" t="s">
        <v>91</v>
      </c>
      <c r="B51" s="26" t="s">
        <v>56</v>
      </c>
      <c r="C51" s="26" t="s">
        <v>107</v>
      </c>
      <c r="D51" s="183">
        <v>21819.706119999999</v>
      </c>
      <c r="E51" s="14"/>
      <c r="F51" s="14"/>
      <c r="G51" s="183">
        <v>58301</v>
      </c>
      <c r="H51" s="96">
        <v>9071.8847199999982</v>
      </c>
      <c r="I51" s="96">
        <v>0</v>
      </c>
      <c r="J51" s="96">
        <v>0</v>
      </c>
      <c r="K51" s="96">
        <v>55089</v>
      </c>
    </row>
    <row r="52" spans="1:13" ht="15.75" x14ac:dyDescent="0.25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>
        <v>0</v>
      </c>
      <c r="I52" s="96">
        <v>0</v>
      </c>
      <c r="J52" s="96">
        <v>0</v>
      </c>
      <c r="K52" s="96">
        <v>0</v>
      </c>
    </row>
    <row r="53" spans="1:13" ht="16.5" thickBot="1" x14ac:dyDescent="0.3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96">
        <v>0</v>
      </c>
      <c r="I53" s="96">
        <v>0</v>
      </c>
      <c r="J53" s="96">
        <v>0</v>
      </c>
      <c r="K53" s="96">
        <v>0</v>
      </c>
    </row>
    <row r="54" spans="1:13" ht="21.75" thickBot="1" x14ac:dyDescent="0.4">
      <c r="A54" s="123" t="s">
        <v>116</v>
      </c>
      <c r="B54" s="121"/>
      <c r="C54" s="121"/>
      <c r="D54" s="174">
        <f>SUM(D22:D53)</f>
        <v>813423.31266000005</v>
      </c>
      <c r="E54" s="174">
        <f t="shared" ref="E54:G54" si="4">SUM(E22:E53)</f>
        <v>43221.499349999998</v>
      </c>
      <c r="F54" s="174">
        <f t="shared" si="4"/>
        <v>1149439.33338</v>
      </c>
      <c r="G54" s="174">
        <f t="shared" si="4"/>
        <v>711072</v>
      </c>
      <c r="H54" s="174">
        <f>SUM(H22:H53)</f>
        <v>257249.19952000017</v>
      </c>
      <c r="I54" s="174">
        <f t="shared" ref="I54:K54" si="5">SUM(I22:I53)</f>
        <v>32024.227479999998</v>
      </c>
      <c r="J54" s="174">
        <f t="shared" si="5"/>
        <v>109000</v>
      </c>
      <c r="K54" s="174">
        <f t="shared" si="5"/>
        <v>281203</v>
      </c>
    </row>
    <row r="55" spans="1:13" ht="15.75" x14ac:dyDescent="0.25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>
        <v>0</v>
      </c>
      <c r="I55" s="96">
        <v>0</v>
      </c>
      <c r="J55" s="96">
        <v>0</v>
      </c>
      <c r="K55" s="96">
        <v>0</v>
      </c>
    </row>
    <row r="56" spans="1:13" ht="15.75" x14ac:dyDescent="0.25">
      <c r="A56" s="26" t="s">
        <v>84</v>
      </c>
      <c r="B56" s="26" t="s">
        <v>115</v>
      </c>
      <c r="C56" s="26" t="s">
        <v>107</v>
      </c>
      <c r="D56" s="14">
        <v>2444.9187649999999</v>
      </c>
      <c r="E56" s="14">
        <v>2980.6614800000002</v>
      </c>
      <c r="F56" s="14">
        <v>41329.879999999997</v>
      </c>
      <c r="G56" s="14"/>
      <c r="H56" s="96">
        <v>0</v>
      </c>
      <c r="I56" s="96">
        <v>0</v>
      </c>
      <c r="J56" s="96">
        <v>0</v>
      </c>
      <c r="K56" s="96">
        <v>928</v>
      </c>
    </row>
    <row r="57" spans="1:13" ht="15.75" x14ac:dyDescent="0.25">
      <c r="A57" s="26" t="s">
        <v>37</v>
      </c>
      <c r="B57" s="26" t="s">
        <v>115</v>
      </c>
      <c r="C57" s="26" t="s">
        <v>107</v>
      </c>
      <c r="D57" s="14"/>
      <c r="E57" s="14"/>
      <c r="F57" s="14"/>
      <c r="G57" s="14"/>
      <c r="H57" s="96">
        <v>0</v>
      </c>
      <c r="I57" s="96">
        <v>0</v>
      </c>
      <c r="J57" s="96">
        <v>0</v>
      </c>
      <c r="K57" s="96">
        <v>0</v>
      </c>
      <c r="M57" s="133"/>
    </row>
    <row r="58" spans="1:13" ht="15.75" x14ac:dyDescent="0.25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>
        <v>0</v>
      </c>
      <c r="I58" s="96">
        <v>0</v>
      </c>
      <c r="J58" s="96">
        <v>0</v>
      </c>
      <c r="K58" s="96">
        <v>0</v>
      </c>
      <c r="M58" s="133"/>
    </row>
    <row r="59" spans="1:13" ht="15.75" x14ac:dyDescent="0.25">
      <c r="A59" s="27" t="s">
        <v>86</v>
      </c>
      <c r="B59" s="27" t="s">
        <v>115</v>
      </c>
      <c r="C59" s="27" t="s">
        <v>107</v>
      </c>
      <c r="D59" s="14"/>
      <c r="E59" s="14"/>
      <c r="F59" s="14"/>
      <c r="G59" s="14"/>
      <c r="H59" s="96">
        <v>0</v>
      </c>
      <c r="I59" s="96">
        <v>0</v>
      </c>
      <c r="J59" s="96">
        <v>24205.651239999999</v>
      </c>
      <c r="K59" s="96">
        <v>1937</v>
      </c>
      <c r="M59" s="133"/>
    </row>
    <row r="60" spans="1:13" ht="15.75" x14ac:dyDescent="0.25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>
        <v>0</v>
      </c>
      <c r="I60" s="96">
        <v>0</v>
      </c>
      <c r="J60" s="96">
        <v>0</v>
      </c>
      <c r="K60" s="96">
        <v>0</v>
      </c>
    </row>
    <row r="61" spans="1:13" ht="15.75" x14ac:dyDescent="0.25">
      <c r="A61" s="246" t="s">
        <v>136</v>
      </c>
      <c r="B61" s="26" t="s">
        <v>115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3" ht="16.5" thickBot="1" x14ac:dyDescent="0.3">
      <c r="A62" s="117" t="s">
        <v>99</v>
      </c>
      <c r="B62" s="26" t="s">
        <v>115</v>
      </c>
      <c r="C62" s="26" t="s">
        <v>107</v>
      </c>
      <c r="D62" s="14"/>
      <c r="E62" s="14"/>
      <c r="F62" s="14">
        <v>33500</v>
      </c>
      <c r="G62" s="14"/>
      <c r="H62" s="96"/>
      <c r="I62" s="96"/>
      <c r="J62" s="96"/>
      <c r="K62" s="96"/>
    </row>
    <row r="63" spans="1:13" ht="21.75" thickBot="1" x14ac:dyDescent="0.4">
      <c r="A63" s="123" t="s">
        <v>117</v>
      </c>
      <c r="B63" s="121"/>
      <c r="C63" s="121"/>
      <c r="D63" s="174">
        <f>SUM(D55:D62)</f>
        <v>2444.9187649999999</v>
      </c>
      <c r="E63" s="174">
        <f t="shared" ref="E63:G63" si="6">SUM(E55:E62)</f>
        <v>2980.6614800000002</v>
      </c>
      <c r="F63" s="174">
        <f t="shared" si="6"/>
        <v>74829.88</v>
      </c>
      <c r="G63" s="174">
        <f t="shared" si="6"/>
        <v>0</v>
      </c>
      <c r="H63" s="174">
        <f>SUM(H55:H62)</f>
        <v>0</v>
      </c>
      <c r="I63" s="174">
        <f t="shared" ref="I63:K63" si="7">SUM(I55:I62)</f>
        <v>0</v>
      </c>
      <c r="J63" s="174">
        <f t="shared" si="7"/>
        <v>24205.651239999999</v>
      </c>
      <c r="K63" s="174">
        <f t="shared" si="7"/>
        <v>2865</v>
      </c>
    </row>
    <row r="64" spans="1:13" ht="15.75" x14ac:dyDescent="0.25">
      <c r="A64" s="27" t="s">
        <v>77</v>
      </c>
      <c r="B64" s="26" t="s">
        <v>108</v>
      </c>
      <c r="C64" s="27" t="s">
        <v>102</v>
      </c>
      <c r="D64" s="18">
        <v>1352.6904649999999</v>
      </c>
      <c r="E64" s="18">
        <v>3529.1999350000001</v>
      </c>
      <c r="F64" s="18">
        <f>258300+282314</f>
        <v>540614</v>
      </c>
      <c r="G64" s="18"/>
      <c r="H64" s="96">
        <v>34580.437679999995</v>
      </c>
      <c r="I64" s="96">
        <v>337.28399999999999</v>
      </c>
      <c r="J64" s="96">
        <v>1310870.5299999998</v>
      </c>
      <c r="K64" s="96">
        <v>262685</v>
      </c>
    </row>
    <row r="65" spans="1:12" ht="15.75" x14ac:dyDescent="0.25">
      <c r="A65" s="30" t="s">
        <v>40</v>
      </c>
      <c r="B65" s="26" t="s">
        <v>56</v>
      </c>
      <c r="C65" s="26" t="s">
        <v>103</v>
      </c>
      <c r="D65" s="14"/>
      <c r="E65" s="14"/>
      <c r="F65" s="14">
        <v>2388.23</v>
      </c>
      <c r="G65" s="14">
        <v>293835</v>
      </c>
      <c r="H65" s="96">
        <v>0</v>
      </c>
      <c r="I65" s="96">
        <v>0</v>
      </c>
      <c r="J65" s="96">
        <v>0</v>
      </c>
      <c r="K65" s="96">
        <v>50042</v>
      </c>
    </row>
    <row r="66" spans="1:12" ht="15.75" x14ac:dyDescent="0.25">
      <c r="A66" s="26" t="s">
        <v>90</v>
      </c>
      <c r="B66" s="26" t="s">
        <v>108</v>
      </c>
      <c r="C66" s="26" t="s">
        <v>103</v>
      </c>
      <c r="D66" s="14"/>
      <c r="E66" s="14"/>
      <c r="F66" s="183">
        <v>2500</v>
      </c>
      <c r="G66" s="14"/>
      <c r="H66" s="96">
        <v>0</v>
      </c>
      <c r="I66" s="96">
        <v>0</v>
      </c>
      <c r="J66" s="96">
        <v>77999.75</v>
      </c>
      <c r="K66" s="96">
        <v>0</v>
      </c>
    </row>
    <row r="67" spans="1:12" ht="15.75" x14ac:dyDescent="0.25">
      <c r="A67" s="26" t="s">
        <v>92</v>
      </c>
      <c r="B67" s="26" t="s">
        <v>56</v>
      </c>
      <c r="C67" s="26" t="s">
        <v>103</v>
      </c>
      <c r="D67" s="14"/>
      <c r="E67" s="14"/>
      <c r="F67" s="183">
        <v>30968.63</v>
      </c>
      <c r="G67" s="14"/>
      <c r="H67" s="96">
        <v>0</v>
      </c>
      <c r="I67" s="96">
        <v>0</v>
      </c>
      <c r="J67" s="96">
        <v>0</v>
      </c>
      <c r="K67" s="96">
        <v>0</v>
      </c>
    </row>
    <row r="68" spans="1:12" ht="15.75" x14ac:dyDescent="0.25">
      <c r="A68" s="26" t="s">
        <v>93</v>
      </c>
      <c r="B68" s="26" t="s">
        <v>56</v>
      </c>
      <c r="C68" s="26" t="s">
        <v>103</v>
      </c>
      <c r="D68" s="14"/>
      <c r="E68" s="14"/>
      <c r="F68" s="14"/>
      <c r="G68" s="14"/>
      <c r="H68" s="96">
        <v>0</v>
      </c>
      <c r="I68" s="96">
        <v>0</v>
      </c>
      <c r="J68" s="96">
        <v>0</v>
      </c>
      <c r="K68" s="96">
        <v>90372</v>
      </c>
    </row>
    <row r="69" spans="1:12" ht="15.75" x14ac:dyDescent="0.25">
      <c r="A69" s="26" t="s">
        <v>100</v>
      </c>
      <c r="B69" s="26" t="s">
        <v>56</v>
      </c>
      <c r="C69" s="26" t="s">
        <v>103</v>
      </c>
      <c r="D69" s="14">
        <v>2506.7887500000002</v>
      </c>
      <c r="E69" s="14"/>
      <c r="F69" s="14"/>
      <c r="G69" s="14"/>
      <c r="H69" s="96"/>
      <c r="I69" s="96"/>
      <c r="J69" s="96"/>
      <c r="K69" s="96"/>
      <c r="L69" s="138"/>
    </row>
    <row r="70" spans="1:12" ht="15.75" x14ac:dyDescent="0.25">
      <c r="A70" s="118" t="s">
        <v>101</v>
      </c>
      <c r="B70" s="26" t="s">
        <v>56</v>
      </c>
      <c r="C70" s="26" t="s">
        <v>103</v>
      </c>
      <c r="D70" s="14">
        <v>7784.6298399999996</v>
      </c>
      <c r="E70" s="14">
        <v>2273.5390499999999</v>
      </c>
      <c r="F70" s="14">
        <v>1589404.78</v>
      </c>
      <c r="G70" s="14"/>
      <c r="H70" s="96"/>
      <c r="I70" s="96"/>
      <c r="J70" s="96"/>
      <c r="K70" s="96"/>
    </row>
    <row r="71" spans="1:12" ht="15.75" x14ac:dyDescent="0.25">
      <c r="A71" s="26" t="s">
        <v>81</v>
      </c>
      <c r="B71" s="26" t="s">
        <v>56</v>
      </c>
      <c r="C71" s="26" t="s">
        <v>103</v>
      </c>
      <c r="D71" s="14"/>
      <c r="E71" s="14"/>
      <c r="F71" s="14"/>
      <c r="G71" s="14"/>
      <c r="H71" s="96">
        <v>0</v>
      </c>
      <c r="I71" s="96">
        <v>0</v>
      </c>
      <c r="J71" s="96">
        <v>0</v>
      </c>
      <c r="K71" s="96">
        <v>0</v>
      </c>
    </row>
    <row r="72" spans="1:12" ht="21.75" thickBot="1" x14ac:dyDescent="0.25">
      <c r="A72" s="177" t="s">
        <v>44</v>
      </c>
      <c r="B72" s="178"/>
      <c r="C72" s="178"/>
      <c r="D72" s="179">
        <f>SUM(D64:D71)</f>
        <v>11644.109055000001</v>
      </c>
      <c r="E72" s="179">
        <f t="shared" ref="E72:G72" si="8">SUM(E64:E71)</f>
        <v>5802.738985</v>
      </c>
      <c r="F72" s="179">
        <f t="shared" si="8"/>
        <v>2165875.64</v>
      </c>
      <c r="G72" s="179">
        <f t="shared" si="8"/>
        <v>293835</v>
      </c>
      <c r="H72" s="179">
        <f>SUM(H64:H71)</f>
        <v>34580.437679999995</v>
      </c>
      <c r="I72" s="179">
        <f t="shared" ref="I72:K72" si="9">SUM(I64:I71)</f>
        <v>337.28399999999999</v>
      </c>
      <c r="J72" s="179">
        <f t="shared" si="9"/>
        <v>1388870.2799999998</v>
      </c>
      <c r="K72" s="179">
        <f t="shared" si="9"/>
        <v>403099</v>
      </c>
    </row>
    <row r="73" spans="1:12" ht="21.75" thickBot="1" x14ac:dyDescent="0.25">
      <c r="A73" s="122" t="s">
        <v>45</v>
      </c>
      <c r="B73" s="121"/>
      <c r="C73" s="121"/>
      <c r="D73" s="131">
        <f>D72+D63+D54+D21+D8</f>
        <v>1412831.2607</v>
      </c>
      <c r="E73" s="131">
        <f t="shared" ref="E73:G73" si="10">E72+E63+E54+E21+E8</f>
        <v>132415.92310999997</v>
      </c>
      <c r="F73" s="131">
        <f t="shared" si="10"/>
        <v>8650364.1543800011</v>
      </c>
      <c r="G73" s="131">
        <f t="shared" si="10"/>
        <v>3908894</v>
      </c>
      <c r="H73" s="131">
        <f>H72+H63+H54+H21+H8</f>
        <v>382953.36400000018</v>
      </c>
      <c r="I73" s="131">
        <f t="shared" ref="I73:K73" si="11">I72+I63+I54+I21+I8</f>
        <v>278212.59380000003</v>
      </c>
      <c r="J73" s="131">
        <f t="shared" si="11"/>
        <v>5143192.9712399999</v>
      </c>
      <c r="K73" s="131">
        <f t="shared" si="11"/>
        <v>3508134</v>
      </c>
    </row>
    <row r="75" spans="1:12" x14ac:dyDescent="0.25">
      <c r="D75" s="6">
        <v>1412831.2609999999</v>
      </c>
      <c r="E75" s="6">
        <v>132415.92310000001</v>
      </c>
      <c r="F75" s="6">
        <v>8650364.1539999992</v>
      </c>
      <c r="G75" s="6">
        <v>3908894</v>
      </c>
    </row>
    <row r="77" spans="1:12" x14ac:dyDescent="0.25">
      <c r="G77" s="138">
        <f>G73+F73+E73+D73</f>
        <v>14104505.338190002</v>
      </c>
    </row>
    <row r="80" spans="1:12" x14ac:dyDescent="0.25">
      <c r="G80" s="6">
        <v>14104505.34</v>
      </c>
    </row>
  </sheetData>
  <autoFilter ref="A2:K73" xr:uid="{C38FFD32-F11B-4794-BC1B-20DC7255B5B1}"/>
  <mergeCells count="2">
    <mergeCell ref="D1:G1"/>
    <mergeCell ref="H1:K1"/>
  </mergeCells>
  <conditionalFormatting sqref="A1">
    <cfRule type="duplicateValues" dxfId="127" priority="15"/>
    <cfRule type="duplicateValues" dxfId="126" priority="16"/>
  </conditionalFormatting>
  <conditionalFormatting sqref="A14">
    <cfRule type="duplicateValues" dxfId="125" priority="5"/>
    <cfRule type="duplicateValues" dxfId="124" priority="6"/>
  </conditionalFormatting>
  <conditionalFormatting sqref="A40">
    <cfRule type="duplicateValues" dxfId="123" priority="1"/>
    <cfRule type="duplicateValues" dxfId="122" priority="2"/>
  </conditionalFormatting>
  <conditionalFormatting sqref="A55">
    <cfRule type="duplicateValues" dxfId="121" priority="7"/>
    <cfRule type="duplicateValues" dxfId="120" priority="8"/>
  </conditionalFormatting>
  <conditionalFormatting sqref="A56:A58 A7 A22:A39 A60 A41:A53">
    <cfRule type="duplicateValues" dxfId="119" priority="13"/>
    <cfRule type="duplicateValues" dxfId="118" priority="14"/>
  </conditionalFormatting>
  <conditionalFormatting sqref="A59">
    <cfRule type="duplicateValues" dxfId="117" priority="3"/>
    <cfRule type="duplicateValues" dxfId="116" priority="4"/>
  </conditionalFormatting>
  <conditionalFormatting sqref="A64:A71">
    <cfRule type="duplicateValues" dxfId="115" priority="11"/>
    <cfRule type="duplicateValues" dxfId="114" priority="12"/>
  </conditionalFormatting>
  <conditionalFormatting sqref="A72:A73 A2:A6 A8:A13 A15:A21 A54 A63">
    <cfRule type="duplicateValues" dxfId="113" priority="9"/>
    <cfRule type="duplicateValues" dxfId="112" priority="10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F1864-30CD-4899-A197-CCB85FE84C05}">
  <sheetPr>
    <tabColor rgb="FFFFC000"/>
  </sheetPr>
  <dimension ref="A1:M77"/>
  <sheetViews>
    <sheetView rightToLeft="1" zoomScaleNormal="100" workbookViewId="0">
      <pane ySplit="3" topLeftCell="A51" activePane="bottomLeft" state="frozen"/>
      <selection pane="bottomLeft" activeCell="A61" sqref="A61:C61"/>
    </sheetView>
  </sheetViews>
  <sheetFormatPr defaultColWidth="30.125" defaultRowHeight="15" x14ac:dyDescent="0.25"/>
  <cols>
    <col min="1" max="1" width="30" style="32" bestFit="1" customWidth="1"/>
    <col min="2" max="2" width="11.375" style="32" customWidth="1"/>
    <col min="3" max="3" width="11.75" style="32" customWidth="1"/>
    <col min="4" max="4" width="16.875" customWidth="1"/>
    <col min="5" max="5" width="15.25" customWidth="1"/>
    <col min="6" max="6" width="16.875" customWidth="1"/>
    <col min="7" max="7" width="19" customWidth="1"/>
    <col min="8" max="9" width="15.25" style="3" customWidth="1"/>
    <col min="10" max="10" width="16.875" style="3" customWidth="1"/>
    <col min="11" max="11" width="19" customWidth="1"/>
  </cols>
  <sheetData>
    <row r="1" spans="1:11" ht="21" x14ac:dyDescent="0.2">
      <c r="A1" s="26"/>
      <c r="B1" s="26"/>
      <c r="C1" s="26"/>
      <c r="D1" s="237">
        <v>2025</v>
      </c>
      <c r="E1" s="237"/>
      <c r="F1" s="237"/>
      <c r="G1" s="237"/>
      <c r="H1" s="238">
        <v>2024</v>
      </c>
      <c r="I1" s="238"/>
      <c r="J1" s="238"/>
      <c r="K1" s="238"/>
    </row>
    <row r="2" spans="1:11" ht="21" x14ac:dyDescent="0.2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75" x14ac:dyDescent="0.25">
      <c r="A3" s="26" t="s">
        <v>1</v>
      </c>
      <c r="B3" s="26" t="s">
        <v>108</v>
      </c>
      <c r="C3" s="26" t="s">
        <v>58</v>
      </c>
      <c r="D3" s="14">
        <f>469741.44-D4-D5-D52-D51-D66-D68-D6</f>
        <v>325223.64</v>
      </c>
      <c r="E3" s="14">
        <f>90024.157-E4-E51-E52-E66-E68-E71-E6-E5-E16</f>
        <v>37827.765000000014</v>
      </c>
      <c r="F3" s="14">
        <f>670871-F4-F51</f>
        <v>481187.31</v>
      </c>
      <c r="G3" s="14">
        <f>-4956516.19-G4-G6-G51</f>
        <v>-4883367.87</v>
      </c>
      <c r="H3" s="96">
        <v>950571.24</v>
      </c>
      <c r="I3" s="96">
        <v>11859.430000000004</v>
      </c>
      <c r="J3" s="96">
        <v>832703.83000000019</v>
      </c>
      <c r="K3" s="96">
        <v>8439524.9600000009</v>
      </c>
    </row>
    <row r="4" spans="1:11" ht="15.75" x14ac:dyDescent="0.25">
      <c r="A4" s="26" t="s">
        <v>2</v>
      </c>
      <c r="B4" s="26" t="s">
        <v>108</v>
      </c>
      <c r="C4" s="26" t="s">
        <v>58</v>
      </c>
      <c r="D4" s="184">
        <v>26245.8</v>
      </c>
      <c r="E4" s="184">
        <v>0</v>
      </c>
      <c r="F4" s="184">
        <v>186683.69</v>
      </c>
      <c r="G4" s="184">
        <v>-604905.1</v>
      </c>
      <c r="H4" s="96">
        <v>374026.44</v>
      </c>
      <c r="I4" s="96">
        <v>1668.0730000000001</v>
      </c>
      <c r="J4" s="96">
        <v>2167433</v>
      </c>
      <c r="K4" s="96">
        <v>2789342.9100000011</v>
      </c>
    </row>
    <row r="5" spans="1:11" ht="15.75" x14ac:dyDescent="0.25">
      <c r="A5" s="26" t="s">
        <v>104</v>
      </c>
      <c r="B5" s="26" t="s">
        <v>108</v>
      </c>
      <c r="C5" s="26" t="s">
        <v>58</v>
      </c>
      <c r="D5" s="184">
        <v>0</v>
      </c>
      <c r="E5" s="184">
        <v>1061.53</v>
      </c>
      <c r="F5" s="14"/>
      <c r="G5" s="14"/>
      <c r="H5" s="96"/>
      <c r="I5" s="96"/>
      <c r="J5" s="96"/>
      <c r="K5" s="96"/>
    </row>
    <row r="6" spans="1:11" ht="15.75" x14ac:dyDescent="0.25">
      <c r="A6" s="28" t="s">
        <v>105</v>
      </c>
      <c r="B6" s="26" t="s">
        <v>108</v>
      </c>
      <c r="C6" s="28" t="s">
        <v>58</v>
      </c>
      <c r="D6" s="185">
        <v>63744</v>
      </c>
      <c r="E6" s="185">
        <v>5734.598</v>
      </c>
      <c r="F6" s="15"/>
      <c r="G6" s="185">
        <v>202054.22</v>
      </c>
      <c r="H6" s="96"/>
      <c r="I6" s="96"/>
      <c r="J6" s="96"/>
      <c r="K6" s="96"/>
    </row>
    <row r="7" spans="1:11" ht="16.5" thickBot="1" x14ac:dyDescent="0.3">
      <c r="A7" s="26" t="s">
        <v>34</v>
      </c>
      <c r="B7" s="26" t="s">
        <v>108</v>
      </c>
      <c r="C7" s="26" t="s">
        <v>58</v>
      </c>
      <c r="D7" s="14">
        <v>11100</v>
      </c>
      <c r="E7" s="14">
        <v>0</v>
      </c>
      <c r="F7" s="14"/>
      <c r="G7" s="14"/>
      <c r="H7" s="96">
        <v>0</v>
      </c>
      <c r="I7" s="96">
        <v>0</v>
      </c>
      <c r="J7" s="96">
        <v>0</v>
      </c>
      <c r="K7" s="96">
        <v>0</v>
      </c>
    </row>
    <row r="8" spans="1:11" ht="21.75" thickBot="1" x14ac:dyDescent="0.4">
      <c r="A8" s="122" t="s">
        <v>3</v>
      </c>
      <c r="B8" s="121"/>
      <c r="C8" s="121"/>
      <c r="D8" s="174">
        <f>SUM(D3:D7)</f>
        <v>426313.44</v>
      </c>
      <c r="E8" s="174">
        <f t="shared" ref="E8:G8" si="0">SUM(E3:E7)</f>
        <v>44623.893000000011</v>
      </c>
      <c r="F8" s="174">
        <f t="shared" si="0"/>
        <v>667871</v>
      </c>
      <c r="G8" s="174">
        <f t="shared" si="0"/>
        <v>-5286218.75</v>
      </c>
      <c r="H8" s="174">
        <f>SUM(H3:H7)</f>
        <v>1324597.68</v>
      </c>
      <c r="I8" s="174">
        <f t="shared" ref="I8:K8" si="1">SUM(I3:I7)</f>
        <v>13527.503000000004</v>
      </c>
      <c r="J8" s="174">
        <f t="shared" si="1"/>
        <v>3000136.83</v>
      </c>
      <c r="K8" s="174">
        <f t="shared" si="1"/>
        <v>11228867.870000001</v>
      </c>
    </row>
    <row r="9" spans="1:11" ht="15.75" x14ac:dyDescent="0.25">
      <c r="A9" s="27" t="s">
        <v>4</v>
      </c>
      <c r="B9" s="26" t="s">
        <v>108</v>
      </c>
      <c r="C9" s="27" t="s">
        <v>106</v>
      </c>
      <c r="D9" s="18">
        <v>0</v>
      </c>
      <c r="E9" s="18">
        <v>1133.2550000000001</v>
      </c>
      <c r="F9" s="18"/>
      <c r="G9" s="18">
        <v>-179349.74</v>
      </c>
      <c r="H9" s="96">
        <v>0</v>
      </c>
      <c r="I9" s="96">
        <v>0</v>
      </c>
      <c r="J9" s="96">
        <v>0</v>
      </c>
      <c r="K9" s="96">
        <v>-56096.200000000004</v>
      </c>
    </row>
    <row r="10" spans="1:11" ht="15.75" x14ac:dyDescent="0.25">
      <c r="A10" s="26" t="s">
        <v>5</v>
      </c>
      <c r="B10" s="26" t="s">
        <v>108</v>
      </c>
      <c r="C10" s="26" t="s">
        <v>106</v>
      </c>
      <c r="D10" s="14">
        <v>125772</v>
      </c>
      <c r="E10" s="14">
        <v>253721.054</v>
      </c>
      <c r="F10" s="14">
        <v>300667</v>
      </c>
      <c r="G10" s="14">
        <v>199572.12</v>
      </c>
      <c r="H10" s="96">
        <v>289716.84000000003</v>
      </c>
      <c r="I10" s="96">
        <v>115924.152</v>
      </c>
      <c r="J10" s="96">
        <v>58368.04</v>
      </c>
      <c r="K10" s="96">
        <v>86184.26</v>
      </c>
    </row>
    <row r="11" spans="1:11" ht="15.75" x14ac:dyDescent="0.25">
      <c r="A11" s="26" t="s">
        <v>6</v>
      </c>
      <c r="B11" s="26" t="s">
        <v>108</v>
      </c>
      <c r="C11" s="26" t="s">
        <v>106</v>
      </c>
      <c r="D11" s="14">
        <v>0</v>
      </c>
      <c r="E11" s="14">
        <v>14940.229000000001</v>
      </c>
      <c r="F11" s="14"/>
      <c r="G11" s="14"/>
      <c r="H11" s="96">
        <v>0</v>
      </c>
      <c r="I11" s="96">
        <v>6495.5709999999999</v>
      </c>
      <c r="J11" s="96">
        <v>0</v>
      </c>
      <c r="K11" s="96">
        <v>0</v>
      </c>
    </row>
    <row r="12" spans="1:11" ht="15.75" x14ac:dyDescent="0.25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>
        <v>0</v>
      </c>
      <c r="I12" s="96">
        <v>0</v>
      </c>
      <c r="J12" s="96">
        <v>0</v>
      </c>
      <c r="K12" s="96">
        <v>0</v>
      </c>
    </row>
    <row r="13" spans="1:11" ht="15.75" x14ac:dyDescent="0.25">
      <c r="A13" s="26" t="s">
        <v>8</v>
      </c>
      <c r="B13" s="26" t="s">
        <v>108</v>
      </c>
      <c r="C13" s="26" t="s">
        <v>106</v>
      </c>
      <c r="D13" s="14">
        <v>10740</v>
      </c>
      <c r="E13" s="14">
        <v>40025.758000000002</v>
      </c>
      <c r="F13" s="14"/>
      <c r="G13" s="14"/>
      <c r="H13" s="96">
        <v>0</v>
      </c>
      <c r="I13" s="96">
        <v>24373.99</v>
      </c>
      <c r="J13" s="96">
        <v>369399.56</v>
      </c>
      <c r="K13" s="96">
        <v>53776.81</v>
      </c>
    </row>
    <row r="14" spans="1:11" ht="15.75" x14ac:dyDescent="0.25">
      <c r="A14" s="26" t="s">
        <v>9</v>
      </c>
      <c r="B14" s="26" t="s">
        <v>108</v>
      </c>
      <c r="C14" s="26" t="s">
        <v>106</v>
      </c>
      <c r="D14" s="14">
        <v>86130.96</v>
      </c>
      <c r="E14" s="14">
        <v>21068.718000000001</v>
      </c>
      <c r="F14" s="14">
        <v>166800</v>
      </c>
      <c r="G14" s="14">
        <v>706151.35</v>
      </c>
      <c r="H14" s="96">
        <v>113638.44</v>
      </c>
      <c r="I14" s="96">
        <v>0</v>
      </c>
      <c r="J14" s="96">
        <v>50962</v>
      </c>
      <c r="K14" s="96">
        <v>1580306.7</v>
      </c>
    </row>
    <row r="15" spans="1:11" ht="15.75" x14ac:dyDescent="0.25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>
        <v>0</v>
      </c>
      <c r="I15" s="96">
        <v>0</v>
      </c>
      <c r="J15" s="96">
        <v>0</v>
      </c>
      <c r="K15" s="96">
        <v>1145.165</v>
      </c>
    </row>
    <row r="16" spans="1:11" ht="15.75" x14ac:dyDescent="0.25">
      <c r="A16" s="26" t="s">
        <v>96</v>
      </c>
      <c r="B16" s="26" t="s">
        <v>108</v>
      </c>
      <c r="C16" s="26" t="s">
        <v>106</v>
      </c>
      <c r="D16" s="184">
        <v>0</v>
      </c>
      <c r="E16" s="184">
        <v>2618.0909999999999</v>
      </c>
      <c r="F16" s="14"/>
      <c r="G16" s="14"/>
      <c r="H16" s="96">
        <v>0</v>
      </c>
      <c r="I16" s="96">
        <v>0</v>
      </c>
      <c r="J16" s="96">
        <v>0</v>
      </c>
      <c r="K16" s="96">
        <v>0</v>
      </c>
    </row>
    <row r="17" spans="1:11" ht="15.75" x14ac:dyDescent="0.25">
      <c r="A17" s="26" t="s">
        <v>42</v>
      </c>
      <c r="B17" s="26" t="s">
        <v>108</v>
      </c>
      <c r="C17" s="26" t="s">
        <v>106</v>
      </c>
      <c r="D17" s="14">
        <v>0</v>
      </c>
      <c r="E17" s="14">
        <v>41350.451999999997</v>
      </c>
      <c r="F17" s="14">
        <v>1000</v>
      </c>
      <c r="G17" s="14">
        <v>-1063959.48</v>
      </c>
      <c r="H17" s="96">
        <v>16415.759999999998</v>
      </c>
      <c r="I17" s="96">
        <v>5103.2269999999999</v>
      </c>
      <c r="J17" s="96">
        <v>42400.800000000003</v>
      </c>
      <c r="K17" s="96">
        <v>190696.06999999998</v>
      </c>
    </row>
    <row r="18" spans="1:11" ht="15.75" x14ac:dyDescent="0.25">
      <c r="A18" s="26" t="s">
        <v>43</v>
      </c>
      <c r="B18" s="26" t="s">
        <v>108</v>
      </c>
      <c r="C18" s="26" t="s">
        <v>106</v>
      </c>
      <c r="D18" s="14">
        <v>213669.36</v>
      </c>
      <c r="E18" s="14">
        <v>36806.666999999994</v>
      </c>
      <c r="F18" s="14">
        <v>441458</v>
      </c>
      <c r="G18" s="14">
        <v>2031509.69</v>
      </c>
      <c r="H18" s="96">
        <v>331607.39999999997</v>
      </c>
      <c r="I18" s="96">
        <v>10905.206</v>
      </c>
      <c r="J18" s="96">
        <v>582867.25</v>
      </c>
      <c r="K18" s="96">
        <v>887335.32000000007</v>
      </c>
    </row>
    <row r="19" spans="1:11" ht="15.75" x14ac:dyDescent="0.25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>
        <v>0</v>
      </c>
      <c r="I19" s="96">
        <v>0</v>
      </c>
      <c r="J19" s="96">
        <v>1600</v>
      </c>
      <c r="K19" s="96">
        <v>0</v>
      </c>
    </row>
    <row r="20" spans="1:11" ht="16.5" thickBot="1" x14ac:dyDescent="0.3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96">
        <v>0</v>
      </c>
      <c r="I20" s="96">
        <v>0</v>
      </c>
      <c r="J20" s="96">
        <v>3200</v>
      </c>
      <c r="K20" s="96">
        <v>0</v>
      </c>
    </row>
    <row r="21" spans="1:11" ht="21.75" thickBot="1" x14ac:dyDescent="0.4">
      <c r="A21" s="122" t="s">
        <v>10</v>
      </c>
      <c r="B21" s="121"/>
      <c r="C21" s="121"/>
      <c r="D21" s="174">
        <f>SUM(D9:D20)</f>
        <v>436312.32000000001</v>
      </c>
      <c r="E21" s="174">
        <f t="shared" ref="E21:G21" si="2">SUM(E9:E20)</f>
        <v>411664.22399999999</v>
      </c>
      <c r="F21" s="174">
        <f t="shared" si="2"/>
        <v>909925</v>
      </c>
      <c r="G21" s="174">
        <f t="shared" si="2"/>
        <v>1693923.94</v>
      </c>
      <c r="H21" s="174">
        <f>SUM(H9:H20)</f>
        <v>751378.44</v>
      </c>
      <c r="I21" s="174">
        <f t="shared" ref="I21:K21" si="3">SUM(I9:I20)</f>
        <v>162802.14600000001</v>
      </c>
      <c r="J21" s="174">
        <f t="shared" si="3"/>
        <v>1108797.6499999999</v>
      </c>
      <c r="K21" s="174">
        <f t="shared" si="3"/>
        <v>2743348.125</v>
      </c>
    </row>
    <row r="22" spans="1:11" ht="15.75" x14ac:dyDescent="0.25">
      <c r="A22" s="27" t="s">
        <v>11</v>
      </c>
      <c r="B22" s="27" t="s">
        <v>56</v>
      </c>
      <c r="C22" s="27" t="s">
        <v>107</v>
      </c>
      <c r="D22" s="18"/>
      <c r="E22" s="18"/>
      <c r="F22" s="18"/>
      <c r="G22" s="18">
        <v>1602953.33</v>
      </c>
      <c r="H22" s="96">
        <v>0</v>
      </c>
      <c r="I22" s="96">
        <v>0</v>
      </c>
      <c r="J22" s="96">
        <v>0</v>
      </c>
      <c r="K22" s="96">
        <v>0</v>
      </c>
    </row>
    <row r="23" spans="1:11" ht="15.75" x14ac:dyDescent="0.25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>
        <v>0</v>
      </c>
      <c r="I23" s="96">
        <v>0</v>
      </c>
      <c r="J23" s="96">
        <v>0</v>
      </c>
      <c r="K23" s="96">
        <v>0</v>
      </c>
    </row>
    <row r="24" spans="1:11" ht="15.75" x14ac:dyDescent="0.25">
      <c r="A24" s="30" t="s">
        <v>13</v>
      </c>
      <c r="B24" s="26" t="s">
        <v>56</v>
      </c>
      <c r="C24" s="26" t="s">
        <v>107</v>
      </c>
      <c r="D24" s="14">
        <v>0</v>
      </c>
      <c r="E24" s="14">
        <v>3396.0819999999999</v>
      </c>
      <c r="F24" s="14"/>
      <c r="G24" s="14"/>
      <c r="H24" s="96">
        <v>0</v>
      </c>
      <c r="I24" s="96">
        <v>0</v>
      </c>
      <c r="J24" s="96">
        <v>0</v>
      </c>
      <c r="K24" s="96">
        <v>0</v>
      </c>
    </row>
    <row r="25" spans="1:11" ht="15.75" x14ac:dyDescent="0.25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>
        <v>0</v>
      </c>
      <c r="I25" s="96">
        <v>0</v>
      </c>
      <c r="J25" s="96">
        <v>0</v>
      </c>
      <c r="K25" s="96">
        <v>0</v>
      </c>
    </row>
    <row r="26" spans="1:11" ht="15.75" x14ac:dyDescent="0.25">
      <c r="A26" s="30" t="s">
        <v>15</v>
      </c>
      <c r="B26" s="26" t="s">
        <v>56</v>
      </c>
      <c r="C26" s="26" t="s">
        <v>107</v>
      </c>
      <c r="D26" s="14"/>
      <c r="E26" s="14"/>
      <c r="F26" s="14"/>
      <c r="G26" s="14">
        <v>-1795.59</v>
      </c>
      <c r="H26" s="96">
        <v>11248.2</v>
      </c>
      <c r="I26" s="96">
        <v>0</v>
      </c>
      <c r="J26" s="96">
        <v>0</v>
      </c>
      <c r="K26" s="96">
        <v>0</v>
      </c>
    </row>
    <row r="27" spans="1:11" ht="15.75" x14ac:dyDescent="0.25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>
        <v>0</v>
      </c>
      <c r="I27" s="96">
        <v>0</v>
      </c>
      <c r="J27" s="96">
        <v>0</v>
      </c>
      <c r="K27" s="96">
        <v>0</v>
      </c>
    </row>
    <row r="28" spans="1:11" ht="15.75" x14ac:dyDescent="0.25">
      <c r="A28" s="30" t="s">
        <v>18</v>
      </c>
      <c r="B28" s="26" t="s">
        <v>56</v>
      </c>
      <c r="C28" s="26" t="s">
        <v>107</v>
      </c>
      <c r="D28" s="14"/>
      <c r="E28" s="14"/>
      <c r="F28" s="14">
        <v>133069.96</v>
      </c>
      <c r="G28" s="14"/>
      <c r="H28" s="96">
        <v>0</v>
      </c>
      <c r="I28" s="96">
        <v>1518.33</v>
      </c>
      <c r="J28" s="96">
        <v>109385.61</v>
      </c>
      <c r="K28" s="96">
        <v>0</v>
      </c>
    </row>
    <row r="29" spans="1:11" ht="15.75" x14ac:dyDescent="0.25">
      <c r="A29" s="26" t="s">
        <v>19</v>
      </c>
      <c r="B29" s="26" t="s">
        <v>56</v>
      </c>
      <c r="C29" s="26" t="s">
        <v>107</v>
      </c>
      <c r="D29" s="14"/>
      <c r="E29" s="14"/>
      <c r="F29" s="14"/>
      <c r="G29" s="14"/>
      <c r="H29" s="96">
        <v>0</v>
      </c>
      <c r="I29" s="96">
        <v>0</v>
      </c>
      <c r="J29" s="96">
        <v>0</v>
      </c>
      <c r="K29" s="96">
        <v>0</v>
      </c>
    </row>
    <row r="30" spans="1:11" ht="15.75" x14ac:dyDescent="0.25">
      <c r="A30" s="26" t="s">
        <v>20</v>
      </c>
      <c r="B30" s="26" t="s">
        <v>56</v>
      </c>
      <c r="C30" s="26" t="s">
        <v>107</v>
      </c>
      <c r="D30" s="14">
        <v>0</v>
      </c>
      <c r="E30" s="14">
        <v>5021.3710000000001</v>
      </c>
      <c r="F30" s="14">
        <v>122699</v>
      </c>
      <c r="G30" s="14">
        <v>-1280104.43</v>
      </c>
      <c r="H30" s="96">
        <v>147330.23999999999</v>
      </c>
      <c r="I30" s="96">
        <v>6924.05</v>
      </c>
      <c r="J30" s="96">
        <v>7574.44</v>
      </c>
      <c r="K30" s="96">
        <v>0</v>
      </c>
    </row>
    <row r="31" spans="1:11" ht="15.75" x14ac:dyDescent="0.25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>
        <v>19696.8</v>
      </c>
      <c r="I31" s="96">
        <v>0</v>
      </c>
      <c r="J31" s="96">
        <v>0</v>
      </c>
      <c r="K31" s="96">
        <v>213955.23</v>
      </c>
    </row>
    <row r="32" spans="1:11" ht="15.75" x14ac:dyDescent="0.25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>
        <v>0</v>
      </c>
      <c r="I32" s="96">
        <v>0</v>
      </c>
      <c r="J32" s="96">
        <v>0</v>
      </c>
      <c r="K32" s="96">
        <v>0</v>
      </c>
    </row>
    <row r="33" spans="1:12" ht="15.75" x14ac:dyDescent="0.25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>
        <v>0</v>
      </c>
      <c r="I33" s="96">
        <v>0</v>
      </c>
      <c r="J33" s="96">
        <v>0</v>
      </c>
      <c r="K33" s="96">
        <v>0</v>
      </c>
    </row>
    <row r="34" spans="1:12" ht="15.75" x14ac:dyDescent="0.25">
      <c r="A34" s="26" t="s">
        <v>24</v>
      </c>
      <c r="B34" s="26" t="s">
        <v>56</v>
      </c>
      <c r="C34" s="26" t="s">
        <v>107</v>
      </c>
      <c r="D34" s="14">
        <v>0</v>
      </c>
      <c r="E34" s="14">
        <v>3068.3960000000002</v>
      </c>
      <c r="F34" s="14"/>
      <c r="G34" s="14"/>
      <c r="H34" s="96">
        <v>0</v>
      </c>
      <c r="I34" s="96">
        <v>-500.81900000000002</v>
      </c>
      <c r="J34" s="96">
        <v>0</v>
      </c>
      <c r="K34" s="96">
        <v>0</v>
      </c>
    </row>
    <row r="35" spans="1:12" ht="15.75" x14ac:dyDescent="0.25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>
        <v>-103331.13</v>
      </c>
      <c r="H35" s="96">
        <v>0</v>
      </c>
      <c r="I35" s="96">
        <v>0</v>
      </c>
      <c r="J35" s="96">
        <v>0</v>
      </c>
      <c r="K35" s="96">
        <v>-240512.82</v>
      </c>
    </row>
    <row r="36" spans="1:12" ht="15.75" x14ac:dyDescent="0.25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>
        <v>0</v>
      </c>
      <c r="I36" s="96">
        <v>0</v>
      </c>
      <c r="J36" s="96">
        <v>0</v>
      </c>
      <c r="K36" s="96">
        <v>0</v>
      </c>
    </row>
    <row r="37" spans="1:12" ht="15.75" x14ac:dyDescent="0.25">
      <c r="A37" s="26" t="s">
        <v>27</v>
      </c>
      <c r="B37" s="26" t="s">
        <v>56</v>
      </c>
      <c r="C37" s="26" t="s">
        <v>107</v>
      </c>
      <c r="D37" s="14">
        <v>0</v>
      </c>
      <c r="E37" s="14">
        <v>-745.94</v>
      </c>
      <c r="F37" s="14">
        <v>21102.44</v>
      </c>
      <c r="G37" s="14">
        <v>-580576.23</v>
      </c>
      <c r="H37" s="96">
        <v>0</v>
      </c>
      <c r="I37" s="96">
        <v>0</v>
      </c>
      <c r="J37" s="96">
        <v>0</v>
      </c>
      <c r="K37" s="96">
        <v>-1533.89</v>
      </c>
    </row>
    <row r="38" spans="1:12" ht="15.75" x14ac:dyDescent="0.25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>
        <v>0</v>
      </c>
      <c r="I38" s="96">
        <v>0</v>
      </c>
      <c r="J38" s="96">
        <v>0</v>
      </c>
      <c r="K38" s="96">
        <v>0</v>
      </c>
    </row>
    <row r="39" spans="1:12" ht="15.75" x14ac:dyDescent="0.25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>
        <v>0</v>
      </c>
      <c r="I39" s="96">
        <v>0</v>
      </c>
      <c r="J39" s="96">
        <v>0</v>
      </c>
      <c r="K39" s="96">
        <v>0</v>
      </c>
    </row>
    <row r="40" spans="1:12" ht="15.75" x14ac:dyDescent="0.25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75" x14ac:dyDescent="0.25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>
        <v>0</v>
      </c>
      <c r="I41" s="96">
        <v>0</v>
      </c>
      <c r="J41" s="96">
        <v>0</v>
      </c>
      <c r="K41" s="96">
        <v>0</v>
      </c>
    </row>
    <row r="42" spans="1:12" ht="15.75" x14ac:dyDescent="0.25">
      <c r="A42" s="30" t="s">
        <v>95</v>
      </c>
      <c r="B42" s="26" t="s">
        <v>56</v>
      </c>
      <c r="C42" s="26" t="s">
        <v>107</v>
      </c>
      <c r="D42" s="14"/>
      <c r="E42" s="14"/>
      <c r="F42" s="14"/>
      <c r="G42" s="14">
        <v>-1203.1199999999999</v>
      </c>
      <c r="H42" s="96">
        <v>0</v>
      </c>
      <c r="I42" s="96">
        <v>0</v>
      </c>
      <c r="J42" s="96">
        <v>0</v>
      </c>
      <c r="K42" s="96">
        <v>0</v>
      </c>
    </row>
    <row r="43" spans="1:12" ht="15.75" x14ac:dyDescent="0.25">
      <c r="A43" s="26" t="s">
        <v>83</v>
      </c>
      <c r="B43" s="26" t="s">
        <v>56</v>
      </c>
      <c r="C43" s="26" t="s">
        <v>107</v>
      </c>
      <c r="D43" s="14">
        <v>9990</v>
      </c>
      <c r="E43" s="14">
        <v>8703.1039999999994</v>
      </c>
      <c r="F43" s="14"/>
      <c r="G43" s="14"/>
      <c r="H43" s="96">
        <v>42388.92</v>
      </c>
      <c r="I43" s="96">
        <v>11068.634</v>
      </c>
      <c r="J43" s="96">
        <v>6400</v>
      </c>
      <c r="K43" s="96">
        <v>130642.70000000001</v>
      </c>
    </row>
    <row r="44" spans="1:12" ht="15.75" x14ac:dyDescent="0.25">
      <c r="A44" s="26" t="s">
        <v>82</v>
      </c>
      <c r="B44" s="26" t="s">
        <v>56</v>
      </c>
      <c r="C44" s="26" t="s">
        <v>107</v>
      </c>
      <c r="D44" s="14">
        <v>5141.88</v>
      </c>
      <c r="E44" s="14">
        <v>5221.58</v>
      </c>
      <c r="F44" s="14">
        <v>483034.5</v>
      </c>
      <c r="G44" s="14">
        <v>725621.09</v>
      </c>
      <c r="H44" s="96">
        <v>0</v>
      </c>
      <c r="I44" s="96">
        <v>0</v>
      </c>
      <c r="J44" s="96">
        <v>0</v>
      </c>
      <c r="K44" s="96">
        <v>3030070.48</v>
      </c>
    </row>
    <row r="45" spans="1:12" ht="15.75" x14ac:dyDescent="0.25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>
        <v>0</v>
      </c>
      <c r="I45" s="96">
        <v>0</v>
      </c>
      <c r="J45" s="96">
        <v>0</v>
      </c>
      <c r="K45" s="96">
        <v>0</v>
      </c>
    </row>
    <row r="46" spans="1:12" ht="15.75" x14ac:dyDescent="0.25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>
        <v>0</v>
      </c>
      <c r="I46" s="96">
        <v>0</v>
      </c>
      <c r="J46" s="96">
        <v>0</v>
      </c>
      <c r="K46" s="96">
        <v>-18603.099999999999</v>
      </c>
      <c r="L46" s="138"/>
    </row>
    <row r="47" spans="1:12" ht="15.75" x14ac:dyDescent="0.25">
      <c r="A47" s="26" t="s">
        <v>85</v>
      </c>
      <c r="B47" s="26" t="s">
        <v>56</v>
      </c>
      <c r="C47" s="26" t="s">
        <v>107</v>
      </c>
      <c r="D47" s="14">
        <v>0</v>
      </c>
      <c r="E47" s="14">
        <v>5551.4950000000008</v>
      </c>
      <c r="F47" s="14"/>
      <c r="G47" s="14"/>
      <c r="H47" s="96">
        <v>0</v>
      </c>
      <c r="I47" s="96">
        <v>0</v>
      </c>
      <c r="J47" s="96">
        <v>0</v>
      </c>
      <c r="K47" s="96">
        <v>0</v>
      </c>
    </row>
    <row r="48" spans="1:12" ht="15.75" x14ac:dyDescent="0.25">
      <c r="A48" s="26" t="s">
        <v>87</v>
      </c>
      <c r="B48" s="26" t="s">
        <v>56</v>
      </c>
      <c r="C48" s="26" t="s">
        <v>107</v>
      </c>
      <c r="D48" s="14">
        <v>3349.2</v>
      </c>
      <c r="E48" s="14">
        <v>0</v>
      </c>
      <c r="F48" s="14">
        <v>910845</v>
      </c>
      <c r="G48" s="14">
        <v>955923.42</v>
      </c>
      <c r="H48" s="96">
        <v>0</v>
      </c>
      <c r="I48" s="96">
        <v>0</v>
      </c>
      <c r="J48" s="96">
        <v>158980</v>
      </c>
      <c r="K48" s="96">
        <v>0</v>
      </c>
    </row>
    <row r="49" spans="1:13" ht="15.75" x14ac:dyDescent="0.25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>
        <v>0</v>
      </c>
      <c r="I49" s="96">
        <v>0</v>
      </c>
      <c r="J49" s="96">
        <v>0</v>
      </c>
      <c r="K49" s="96">
        <v>0</v>
      </c>
    </row>
    <row r="50" spans="1:13" ht="15.75" x14ac:dyDescent="0.25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>
        <v>0</v>
      </c>
      <c r="I50" s="96">
        <v>0</v>
      </c>
      <c r="J50" s="96">
        <v>0</v>
      </c>
      <c r="K50" s="96">
        <v>0</v>
      </c>
    </row>
    <row r="51" spans="1:13" ht="15.75" x14ac:dyDescent="0.25">
      <c r="A51" s="26" t="s">
        <v>91</v>
      </c>
      <c r="B51" s="26" t="s">
        <v>56</v>
      </c>
      <c r="C51" s="26" t="s">
        <v>107</v>
      </c>
      <c r="D51" s="184">
        <v>54528</v>
      </c>
      <c r="E51" s="184">
        <v>942.74099999999999</v>
      </c>
      <c r="F51" s="184">
        <v>3000</v>
      </c>
      <c r="G51" s="184">
        <v>329702.56</v>
      </c>
      <c r="H51" s="96">
        <v>0</v>
      </c>
      <c r="I51" s="96">
        <v>4524.7349999999997</v>
      </c>
      <c r="J51" s="96">
        <v>33786.720000000001</v>
      </c>
      <c r="K51" s="96">
        <v>0</v>
      </c>
    </row>
    <row r="52" spans="1:13" ht="15.75" x14ac:dyDescent="0.25">
      <c r="A52" s="26" t="s">
        <v>41</v>
      </c>
      <c r="B52" s="26" t="s">
        <v>56</v>
      </c>
      <c r="C52" s="26" t="s">
        <v>107</v>
      </c>
      <c r="D52" s="184">
        <v>0</v>
      </c>
      <c r="E52" s="184">
        <v>860.7</v>
      </c>
      <c r="F52" s="14"/>
      <c r="G52" s="14"/>
      <c r="H52" s="96">
        <v>0</v>
      </c>
      <c r="I52" s="96">
        <v>0</v>
      </c>
      <c r="J52" s="96">
        <v>0</v>
      </c>
      <c r="K52" s="96">
        <v>0</v>
      </c>
    </row>
    <row r="53" spans="1:13" ht="16.5" thickBot="1" x14ac:dyDescent="0.3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96">
        <v>0</v>
      </c>
      <c r="I53" s="96">
        <v>0</v>
      </c>
      <c r="J53" s="96">
        <v>0</v>
      </c>
      <c r="K53" s="96">
        <v>2611006.0100000002</v>
      </c>
    </row>
    <row r="54" spans="1:13" ht="21.75" thickBot="1" x14ac:dyDescent="0.4">
      <c r="A54" s="123" t="s">
        <v>116</v>
      </c>
      <c r="B54" s="121"/>
      <c r="C54" s="121"/>
      <c r="D54" s="174">
        <f>SUM(D22:D53)</f>
        <v>73009.08</v>
      </c>
      <c r="E54" s="174">
        <f t="shared" ref="E54:G54" si="4">SUM(E22:E53)</f>
        <v>32019.529000000006</v>
      </c>
      <c r="F54" s="174">
        <f t="shared" si="4"/>
        <v>1673750.9</v>
      </c>
      <c r="G54" s="174">
        <f t="shared" si="4"/>
        <v>1647189.9000000001</v>
      </c>
      <c r="H54" s="174">
        <f>SUM(H22:H53)</f>
        <v>220664.15999999997</v>
      </c>
      <c r="I54" s="174">
        <f t="shared" ref="I54:K54" si="5">SUM(I22:I53)</f>
        <v>23534.93</v>
      </c>
      <c r="J54" s="174">
        <f t="shared" si="5"/>
        <v>316126.77</v>
      </c>
      <c r="K54" s="174">
        <f t="shared" si="5"/>
        <v>5725024.6100000003</v>
      </c>
    </row>
    <row r="55" spans="1:13" ht="15.75" x14ac:dyDescent="0.25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>
        <v>0</v>
      </c>
      <c r="I55" s="96">
        <v>0</v>
      </c>
      <c r="J55" s="96">
        <v>0</v>
      </c>
      <c r="K55" s="96">
        <v>-816.38</v>
      </c>
    </row>
    <row r="56" spans="1:13" ht="15.75" x14ac:dyDescent="0.25">
      <c r="A56" s="26" t="s">
        <v>84</v>
      </c>
      <c r="B56" s="26" t="s">
        <v>115</v>
      </c>
      <c r="C56" s="26" t="s">
        <v>107</v>
      </c>
      <c r="D56" s="14">
        <v>0</v>
      </c>
      <c r="E56" s="14">
        <v>8785.4040000000005</v>
      </c>
      <c r="F56" s="14">
        <v>248464.48</v>
      </c>
      <c r="G56" s="14">
        <v>68346.13</v>
      </c>
      <c r="H56" s="96">
        <v>76375.8</v>
      </c>
      <c r="I56" s="96">
        <v>2023.4469999999999</v>
      </c>
      <c r="J56" s="96">
        <v>135440.01</v>
      </c>
      <c r="K56" s="96">
        <v>446773</v>
      </c>
    </row>
    <row r="57" spans="1:13" ht="15.75" x14ac:dyDescent="0.25">
      <c r="A57" s="26" t="s">
        <v>37</v>
      </c>
      <c r="B57" s="26" t="s">
        <v>115</v>
      </c>
      <c r="C57" s="26" t="s">
        <v>107</v>
      </c>
      <c r="D57" s="14">
        <v>640337.04</v>
      </c>
      <c r="E57" s="14">
        <v>43556.850000000006</v>
      </c>
      <c r="F57" s="14">
        <v>949356</v>
      </c>
      <c r="G57" s="14">
        <v>356638.4</v>
      </c>
      <c r="H57" s="96">
        <v>546933.36</v>
      </c>
      <c r="I57" s="96">
        <v>34836.04</v>
      </c>
      <c r="J57" s="96">
        <v>675740.01</v>
      </c>
      <c r="K57" s="96">
        <v>-803234.33</v>
      </c>
      <c r="M57" s="133"/>
    </row>
    <row r="58" spans="1:13" ht="15.75" x14ac:dyDescent="0.25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>
        <v>0</v>
      </c>
      <c r="I58" s="96">
        <v>0</v>
      </c>
      <c r="J58" s="96">
        <v>0</v>
      </c>
      <c r="K58" s="96">
        <v>0</v>
      </c>
      <c r="M58" s="133"/>
    </row>
    <row r="59" spans="1:13" ht="15.75" x14ac:dyDescent="0.25">
      <c r="A59" s="27" t="s">
        <v>86</v>
      </c>
      <c r="B59" s="27" t="s">
        <v>115</v>
      </c>
      <c r="C59" s="27" t="s">
        <v>107</v>
      </c>
      <c r="D59" s="14"/>
      <c r="E59" s="14"/>
      <c r="F59" s="14"/>
      <c r="G59" s="14">
        <v>-281549.25</v>
      </c>
      <c r="H59" s="96">
        <v>0</v>
      </c>
      <c r="I59" s="96">
        <v>0</v>
      </c>
      <c r="J59" s="96">
        <v>0</v>
      </c>
      <c r="K59" s="96">
        <v>247418.72</v>
      </c>
      <c r="M59" s="133"/>
    </row>
    <row r="60" spans="1:13" ht="15.75" x14ac:dyDescent="0.25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>
        <v>0</v>
      </c>
      <c r="I60" s="96">
        <v>0</v>
      </c>
      <c r="J60" s="96">
        <v>0</v>
      </c>
      <c r="K60" s="96">
        <v>0</v>
      </c>
    </row>
    <row r="61" spans="1:13" ht="15.75" x14ac:dyDescent="0.25">
      <c r="A61" s="246" t="s">
        <v>136</v>
      </c>
      <c r="B61" s="26" t="s">
        <v>115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3" ht="16.5" thickBot="1" x14ac:dyDescent="0.3">
      <c r="A62" s="117" t="s">
        <v>99</v>
      </c>
      <c r="B62" s="26" t="s">
        <v>115</v>
      </c>
      <c r="C62" s="26" t="s">
        <v>107</v>
      </c>
      <c r="D62" s="14"/>
      <c r="E62" s="14"/>
      <c r="F62" s="14">
        <v>4000</v>
      </c>
      <c r="G62" s="14"/>
      <c r="H62" s="96"/>
      <c r="I62" s="96"/>
      <c r="J62" s="96"/>
      <c r="K62" s="96"/>
    </row>
    <row r="63" spans="1:13" ht="21.75" thickBot="1" x14ac:dyDescent="0.4">
      <c r="A63" s="123" t="s">
        <v>117</v>
      </c>
      <c r="B63" s="121"/>
      <c r="C63" s="121"/>
      <c r="D63" s="174">
        <f>SUM(D55:D62)</f>
        <v>640337.04</v>
      </c>
      <c r="E63" s="174">
        <f t="shared" ref="E63:G63" si="6">SUM(E55:E62)</f>
        <v>52342.254000000008</v>
      </c>
      <c r="F63" s="174">
        <f t="shared" si="6"/>
        <v>1201820.48</v>
      </c>
      <c r="G63" s="174">
        <f t="shared" si="6"/>
        <v>143435.28000000003</v>
      </c>
      <c r="H63" s="174">
        <f>SUM(H55:H62)</f>
        <v>623309.16</v>
      </c>
      <c r="I63" s="174">
        <f t="shared" ref="I63:K63" si="7">SUM(I55:I62)</f>
        <v>36859.487000000001</v>
      </c>
      <c r="J63" s="174">
        <f t="shared" si="7"/>
        <v>811180.02</v>
      </c>
      <c r="K63" s="174">
        <f t="shared" si="7"/>
        <v>-109858.98999999996</v>
      </c>
    </row>
    <row r="64" spans="1:13" ht="15.75" x14ac:dyDescent="0.25">
      <c r="A64" s="27" t="s">
        <v>77</v>
      </c>
      <c r="B64" s="26" t="s">
        <v>108</v>
      </c>
      <c r="C64" s="27" t="s">
        <v>102</v>
      </c>
      <c r="D64" s="18"/>
      <c r="E64" s="18"/>
      <c r="F64" s="18"/>
      <c r="G64" s="18">
        <v>2332078.87</v>
      </c>
      <c r="H64" s="96">
        <v>33995.519999999997</v>
      </c>
      <c r="I64" s="96">
        <v>-1759.7260000000001</v>
      </c>
      <c r="J64" s="96">
        <v>20537.400000000001</v>
      </c>
      <c r="K64" s="96">
        <v>591204.67999999993</v>
      </c>
    </row>
    <row r="65" spans="1:12" ht="15.75" x14ac:dyDescent="0.25">
      <c r="A65" s="30" t="s">
        <v>40</v>
      </c>
      <c r="B65" s="26" t="s">
        <v>56</v>
      </c>
      <c r="C65" s="26" t="s">
        <v>103</v>
      </c>
      <c r="D65" s="14">
        <v>189470.63999999998</v>
      </c>
      <c r="E65" s="14">
        <v>121468.462</v>
      </c>
      <c r="F65" s="14">
        <v>1160581</v>
      </c>
      <c r="G65" s="14">
        <v>1039227.53</v>
      </c>
      <c r="H65" s="96">
        <v>192798.12</v>
      </c>
      <c r="I65" s="96">
        <v>1968.4739999999999</v>
      </c>
      <c r="J65" s="96">
        <v>291755.52000000002</v>
      </c>
      <c r="K65" s="96">
        <v>1709141.75</v>
      </c>
    </row>
    <row r="66" spans="1:12" ht="15.75" x14ac:dyDescent="0.25">
      <c r="A66" s="26" t="s">
        <v>90</v>
      </c>
      <c r="B66" s="26" t="s">
        <v>108</v>
      </c>
      <c r="C66" s="26" t="s">
        <v>103</v>
      </c>
      <c r="D66" s="184">
        <v>0</v>
      </c>
      <c r="E66" s="184">
        <v>2050.5540000000001</v>
      </c>
      <c r="F66" s="14"/>
      <c r="G66" s="14"/>
      <c r="H66" s="96">
        <v>0</v>
      </c>
      <c r="I66" s="96">
        <v>4794.2879999999996</v>
      </c>
      <c r="J66" s="96">
        <v>0</v>
      </c>
      <c r="K66" s="96">
        <v>0</v>
      </c>
    </row>
    <row r="67" spans="1:12" ht="15.75" x14ac:dyDescent="0.25">
      <c r="A67" s="26" t="s">
        <v>92</v>
      </c>
      <c r="B67" s="26" t="s">
        <v>56</v>
      </c>
      <c r="C67" s="26" t="s">
        <v>103</v>
      </c>
      <c r="D67" s="14"/>
      <c r="E67" s="14"/>
      <c r="F67" s="14"/>
      <c r="G67" s="14"/>
      <c r="H67" s="96">
        <v>0</v>
      </c>
      <c r="I67" s="96">
        <v>0</v>
      </c>
      <c r="J67" s="96">
        <v>0</v>
      </c>
      <c r="K67" s="96">
        <v>0</v>
      </c>
    </row>
    <row r="68" spans="1:12" ht="15.75" x14ac:dyDescent="0.25">
      <c r="A68" s="26" t="s">
        <v>93</v>
      </c>
      <c r="B68" s="26" t="s">
        <v>56</v>
      </c>
      <c r="C68" s="26" t="s">
        <v>103</v>
      </c>
      <c r="D68" s="184">
        <v>0</v>
      </c>
      <c r="E68" s="184">
        <v>38001.430999999997</v>
      </c>
      <c r="F68" s="14"/>
      <c r="G68" s="14"/>
      <c r="H68" s="96">
        <v>0</v>
      </c>
      <c r="I68" s="96">
        <v>5453.8069999999998</v>
      </c>
      <c r="J68" s="96">
        <v>0</v>
      </c>
      <c r="K68" s="96">
        <v>0</v>
      </c>
    </row>
    <row r="69" spans="1:12" ht="15.75" x14ac:dyDescent="0.25">
      <c r="A69" s="26" t="s">
        <v>100</v>
      </c>
      <c r="B69" s="26" t="s">
        <v>56</v>
      </c>
      <c r="C69" s="26" t="s">
        <v>103</v>
      </c>
      <c r="D69" s="14">
        <v>58920</v>
      </c>
      <c r="E69" s="14">
        <v>9180.4069999999992</v>
      </c>
      <c r="F69" s="14">
        <v>149735.57</v>
      </c>
      <c r="G69" s="14">
        <v>147193.63</v>
      </c>
      <c r="H69" s="96">
        <v>214995.6</v>
      </c>
      <c r="I69" s="96">
        <v>6852.0280000000002</v>
      </c>
      <c r="J69" s="96">
        <v>233853.02</v>
      </c>
      <c r="K69" s="96">
        <v>1201859.98</v>
      </c>
      <c r="L69" s="138"/>
    </row>
    <row r="70" spans="1:12" ht="15.75" x14ac:dyDescent="0.25">
      <c r="A70" s="118" t="s">
        <v>101</v>
      </c>
      <c r="B70" s="26" t="s">
        <v>56</v>
      </c>
      <c r="C70" s="26" t="s">
        <v>103</v>
      </c>
      <c r="D70" s="14">
        <v>553902.12</v>
      </c>
      <c r="E70" s="14">
        <f>-1362.775+119313</f>
        <v>117950.22500000001</v>
      </c>
      <c r="F70" s="14">
        <v>1995238</v>
      </c>
      <c r="G70" s="14">
        <v>6920879.1500000004</v>
      </c>
      <c r="H70" s="96">
        <v>332904.96000000002</v>
      </c>
      <c r="I70" s="96">
        <v>29991.272000000001</v>
      </c>
      <c r="J70" s="96">
        <v>1509604.36</v>
      </c>
      <c r="K70" s="96">
        <v>4139212.47</v>
      </c>
    </row>
    <row r="71" spans="1:12" ht="15.75" x14ac:dyDescent="0.25">
      <c r="A71" s="26" t="s">
        <v>81</v>
      </c>
      <c r="B71" s="26" t="s">
        <v>56</v>
      </c>
      <c r="C71" s="26" t="s">
        <v>103</v>
      </c>
      <c r="D71" s="184">
        <v>0</v>
      </c>
      <c r="E71" s="184">
        <v>926.74700000000007</v>
      </c>
      <c r="F71" s="14"/>
      <c r="G71" s="14"/>
      <c r="H71" s="96">
        <v>0</v>
      </c>
      <c r="I71" s="96">
        <v>14687.037</v>
      </c>
      <c r="J71" s="96">
        <v>0</v>
      </c>
      <c r="K71" s="96">
        <v>0</v>
      </c>
    </row>
    <row r="72" spans="1:12" ht="21.75" thickBot="1" x14ac:dyDescent="0.25">
      <c r="A72" s="177" t="s">
        <v>44</v>
      </c>
      <c r="B72" s="178"/>
      <c r="C72" s="178"/>
      <c r="D72" s="179">
        <f>SUM(D64:D71)</f>
        <v>802292.76</v>
      </c>
      <c r="E72" s="179">
        <f t="shared" ref="E72:G72" si="8">SUM(E64:E71)</f>
        <v>289577.826</v>
      </c>
      <c r="F72" s="179">
        <f t="shared" si="8"/>
        <v>3305554.5700000003</v>
      </c>
      <c r="G72" s="179">
        <f t="shared" si="8"/>
        <v>10439379.18</v>
      </c>
      <c r="H72" s="179">
        <f>SUM(H64:H71)</f>
        <v>774694.2</v>
      </c>
      <c r="I72" s="179">
        <f t="shared" ref="I72:K72" si="9">SUM(I64:I71)</f>
        <v>61987.179999999993</v>
      </c>
      <c r="J72" s="179">
        <f t="shared" si="9"/>
        <v>2055750.3000000003</v>
      </c>
      <c r="K72" s="179">
        <f t="shared" si="9"/>
        <v>7641418.8799999999</v>
      </c>
    </row>
    <row r="73" spans="1:12" ht="21.75" thickBot="1" x14ac:dyDescent="0.25">
      <c r="A73" s="122" t="s">
        <v>45</v>
      </c>
      <c r="B73" s="121"/>
      <c r="C73" s="121"/>
      <c r="D73" s="131">
        <f>D72+D63+D54+D21+D8</f>
        <v>2378264.64</v>
      </c>
      <c r="E73" s="131">
        <f t="shared" ref="E73:G73" si="10">E72+E63+E54+E21+E8</f>
        <v>830227.72600000002</v>
      </c>
      <c r="F73" s="131">
        <f t="shared" si="10"/>
        <v>7758921.9500000011</v>
      </c>
      <c r="G73" s="131">
        <f t="shared" si="10"/>
        <v>8637709.5499999989</v>
      </c>
      <c r="H73" s="131">
        <f>H72+H63+H54+H21+H8</f>
        <v>3694643.6399999997</v>
      </c>
      <c r="I73" s="131">
        <f t="shared" ref="I73:K73" si="11">I72+I63+I54+I21+I8</f>
        <v>298711.24600000004</v>
      </c>
      <c r="J73" s="131">
        <f t="shared" si="11"/>
        <v>7291991.5700000003</v>
      </c>
      <c r="K73" s="131">
        <f t="shared" si="11"/>
        <v>27228800.495000001</v>
      </c>
    </row>
    <row r="75" spans="1:12" x14ac:dyDescent="0.25">
      <c r="D75" s="6">
        <v>2378264.64</v>
      </c>
      <c r="E75" s="6">
        <v>830227.83299999987</v>
      </c>
      <c r="F75" s="133">
        <v>7758922</v>
      </c>
      <c r="G75" s="6">
        <v>8637709.5500000007</v>
      </c>
    </row>
    <row r="77" spans="1:12" x14ac:dyDescent="0.25">
      <c r="E77" s="9"/>
      <c r="F77" s="9"/>
    </row>
  </sheetData>
  <autoFilter ref="A2:L73" xr:uid="{B42F1864-30CD-4899-A197-CCB85FE84C05}"/>
  <mergeCells count="2">
    <mergeCell ref="D1:G1"/>
    <mergeCell ref="H1:K1"/>
  </mergeCells>
  <conditionalFormatting sqref="A1">
    <cfRule type="duplicateValues" dxfId="111" priority="15"/>
    <cfRule type="duplicateValues" dxfId="110" priority="16"/>
  </conditionalFormatting>
  <conditionalFormatting sqref="A14">
    <cfRule type="duplicateValues" dxfId="109" priority="5"/>
    <cfRule type="duplicateValues" dxfId="108" priority="6"/>
  </conditionalFormatting>
  <conditionalFormatting sqref="A40">
    <cfRule type="duplicateValues" dxfId="107" priority="1"/>
    <cfRule type="duplicateValues" dxfId="106" priority="2"/>
  </conditionalFormatting>
  <conditionalFormatting sqref="A55">
    <cfRule type="duplicateValues" dxfId="105" priority="7"/>
    <cfRule type="duplicateValues" dxfId="104" priority="8"/>
  </conditionalFormatting>
  <conditionalFormatting sqref="A56:A58 A7 A22:A39 A60 A41:A53">
    <cfRule type="duplicateValues" dxfId="103" priority="13"/>
    <cfRule type="duplicateValues" dxfId="102" priority="14"/>
  </conditionalFormatting>
  <conditionalFormatting sqref="A59">
    <cfRule type="duplicateValues" dxfId="101" priority="3"/>
    <cfRule type="duplicateValues" dxfId="100" priority="4"/>
  </conditionalFormatting>
  <conditionalFormatting sqref="A64:A71">
    <cfRule type="duplicateValues" dxfId="99" priority="11"/>
    <cfRule type="duplicateValues" dxfId="98" priority="12"/>
  </conditionalFormatting>
  <conditionalFormatting sqref="A72:A73 A2:A6 A8:A13 A15:A21 A54 A63">
    <cfRule type="duplicateValues" dxfId="97" priority="9"/>
    <cfRule type="duplicateValues" dxfId="96" priority="10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E8AC-DFB4-481F-BF31-12F2118B912A}">
  <sheetPr>
    <tabColor rgb="FFFFC000"/>
  </sheetPr>
  <dimension ref="A1:M79"/>
  <sheetViews>
    <sheetView rightToLeft="1" workbookViewId="0">
      <pane ySplit="3" topLeftCell="A51" activePane="bottomLeft" state="frozen"/>
      <selection pane="bottomLeft" activeCell="A61" sqref="A61:C61"/>
    </sheetView>
  </sheetViews>
  <sheetFormatPr defaultColWidth="30.125" defaultRowHeight="15" x14ac:dyDescent="0.25"/>
  <cols>
    <col min="1" max="1" width="30" style="32" bestFit="1" customWidth="1"/>
    <col min="2" max="2" width="11.375" style="32" customWidth="1"/>
    <col min="3" max="3" width="11.75" style="32" customWidth="1"/>
    <col min="4" max="4" width="16.875" customWidth="1"/>
    <col min="5" max="5" width="15.25" customWidth="1"/>
    <col min="6" max="6" width="16.875" bestFit="1" customWidth="1"/>
    <col min="7" max="7" width="19" customWidth="1"/>
    <col min="8" max="9" width="15.25" style="3" customWidth="1"/>
    <col min="10" max="10" width="16.875" style="3" customWidth="1"/>
    <col min="11" max="11" width="19" customWidth="1"/>
  </cols>
  <sheetData>
    <row r="1" spans="1:11" ht="21" x14ac:dyDescent="0.2">
      <c r="A1" s="26"/>
      <c r="B1" s="26"/>
      <c r="C1" s="26"/>
      <c r="D1" s="237">
        <v>2025</v>
      </c>
      <c r="E1" s="237"/>
      <c r="F1" s="237"/>
      <c r="G1" s="237"/>
      <c r="H1" s="238">
        <v>2024</v>
      </c>
      <c r="I1" s="238"/>
      <c r="J1" s="238"/>
      <c r="K1" s="238"/>
    </row>
    <row r="2" spans="1:11" ht="21" x14ac:dyDescent="0.2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75" x14ac:dyDescent="0.25">
      <c r="A3" s="26" t="s">
        <v>1</v>
      </c>
      <c r="B3" s="26" t="s">
        <v>108</v>
      </c>
      <c r="C3" s="26" t="s">
        <v>58</v>
      </c>
      <c r="D3" s="14"/>
      <c r="E3" s="14"/>
      <c r="F3" s="14">
        <f>112980-F4</f>
        <v>92980</v>
      </c>
      <c r="G3" s="14"/>
      <c r="H3" s="96"/>
      <c r="I3" s="96"/>
      <c r="J3" s="96">
        <v>193379.24000000002</v>
      </c>
      <c r="K3" s="96"/>
    </row>
    <row r="4" spans="1:11" ht="15.75" x14ac:dyDescent="0.25">
      <c r="A4" s="26" t="s">
        <v>2</v>
      </c>
      <c r="B4" s="26" t="s">
        <v>108</v>
      </c>
      <c r="C4" s="26" t="s">
        <v>58</v>
      </c>
      <c r="D4" s="14"/>
      <c r="E4" s="14"/>
      <c r="F4" s="190">
        <v>20000</v>
      </c>
      <c r="G4" s="14"/>
      <c r="H4" s="96"/>
      <c r="I4" s="96"/>
      <c r="J4" s="96">
        <v>0</v>
      </c>
      <c r="K4" s="96"/>
    </row>
    <row r="5" spans="1:11" ht="15.75" x14ac:dyDescent="0.25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75" x14ac:dyDescent="0.25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96"/>
      <c r="I6" s="96"/>
      <c r="J6" s="96"/>
      <c r="K6" s="96"/>
    </row>
    <row r="7" spans="1:11" ht="16.5" thickBot="1" x14ac:dyDescent="0.3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>
        <v>0</v>
      </c>
      <c r="K7" s="96"/>
    </row>
    <row r="8" spans="1:11" ht="21.75" thickBot="1" x14ac:dyDescent="0.4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0</v>
      </c>
      <c r="F8" s="174">
        <f t="shared" si="0"/>
        <v>112980</v>
      </c>
      <c r="G8" s="174">
        <f t="shared" si="0"/>
        <v>0</v>
      </c>
      <c r="H8" s="174">
        <f>SUM(H3:H7)</f>
        <v>0</v>
      </c>
      <c r="I8" s="174">
        <f t="shared" ref="I8:K8" si="1">SUM(I3:I7)</f>
        <v>0</v>
      </c>
      <c r="J8" s="174">
        <f t="shared" si="1"/>
        <v>193379.24000000002</v>
      </c>
      <c r="K8" s="174">
        <f t="shared" si="1"/>
        <v>0</v>
      </c>
    </row>
    <row r="9" spans="1:11" ht="15.75" x14ac:dyDescent="0.25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>
        <v>0</v>
      </c>
      <c r="K9" s="96"/>
    </row>
    <row r="10" spans="1:11" ht="15.75" x14ac:dyDescent="0.25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>
        <v>0</v>
      </c>
      <c r="K10" s="96"/>
    </row>
    <row r="11" spans="1:11" ht="15.75" x14ac:dyDescent="0.25">
      <c r="A11" s="26" t="s">
        <v>6</v>
      </c>
      <c r="B11" s="26" t="s">
        <v>108</v>
      </c>
      <c r="C11" s="26" t="s">
        <v>106</v>
      </c>
      <c r="D11" s="14"/>
      <c r="E11" s="14"/>
      <c r="F11" s="14">
        <v>161700</v>
      </c>
      <c r="G11" s="14"/>
      <c r="H11" s="96"/>
      <c r="I11" s="96"/>
      <c r="J11" s="96">
        <v>79000</v>
      </c>
      <c r="K11" s="96"/>
    </row>
    <row r="12" spans="1:11" ht="15.75" x14ac:dyDescent="0.25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>
        <v>0</v>
      </c>
      <c r="K12" s="96"/>
    </row>
    <row r="13" spans="1:11" ht="15.75" x14ac:dyDescent="0.25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>
        <v>0</v>
      </c>
      <c r="K13" s="96"/>
    </row>
    <row r="14" spans="1:11" ht="15.75" x14ac:dyDescent="0.25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>
        <v>0</v>
      </c>
      <c r="K14" s="96"/>
    </row>
    <row r="15" spans="1:11" ht="15.75" x14ac:dyDescent="0.25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>
        <v>0</v>
      </c>
      <c r="K15" s="96"/>
    </row>
    <row r="16" spans="1:11" ht="15.75" x14ac:dyDescent="0.25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>
        <v>0</v>
      </c>
      <c r="K16" s="96"/>
    </row>
    <row r="17" spans="1:11" ht="15.75" x14ac:dyDescent="0.25">
      <c r="A17" s="26" t="s">
        <v>42</v>
      </c>
      <c r="B17" s="26" t="s">
        <v>108</v>
      </c>
      <c r="C17" s="26" t="s">
        <v>106</v>
      </c>
      <c r="D17" s="14"/>
      <c r="E17" s="14"/>
      <c r="F17" s="14">
        <v>454190.62</v>
      </c>
      <c r="G17" s="14"/>
      <c r="H17" s="96"/>
      <c r="I17" s="96"/>
      <c r="J17" s="96">
        <v>1436521.0699999998</v>
      </c>
      <c r="K17" s="96"/>
    </row>
    <row r="18" spans="1:11" ht="15.75" x14ac:dyDescent="0.25">
      <c r="A18" s="26" t="s">
        <v>43</v>
      </c>
      <c r="B18" s="26" t="s">
        <v>108</v>
      </c>
      <c r="C18" s="26" t="s">
        <v>106</v>
      </c>
      <c r="D18" s="14"/>
      <c r="E18" s="14"/>
      <c r="F18" s="14">
        <v>211463.53</v>
      </c>
      <c r="G18" s="14"/>
      <c r="H18" s="96"/>
      <c r="I18" s="96"/>
      <c r="J18" s="96">
        <v>273852.25</v>
      </c>
      <c r="K18" s="96"/>
    </row>
    <row r="19" spans="1:11" ht="15.75" x14ac:dyDescent="0.25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>
        <v>0</v>
      </c>
      <c r="K19" s="96"/>
    </row>
    <row r="20" spans="1:11" ht="16.5" thickBot="1" x14ac:dyDescent="0.3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96"/>
      <c r="I20" s="96"/>
      <c r="J20" s="96">
        <v>0</v>
      </c>
      <c r="K20" s="96"/>
    </row>
    <row r="21" spans="1:11" ht="21.75" thickBot="1" x14ac:dyDescent="0.4">
      <c r="A21" s="122" t="s">
        <v>10</v>
      </c>
      <c r="B21" s="121"/>
      <c r="C21" s="121"/>
      <c r="D21" s="174">
        <f>SUM(D9:D20)</f>
        <v>0</v>
      </c>
      <c r="E21" s="174">
        <f t="shared" ref="E21:G21" si="2">SUM(E9:E20)</f>
        <v>0</v>
      </c>
      <c r="F21" s="174">
        <f t="shared" si="2"/>
        <v>827354.15</v>
      </c>
      <c r="G21" s="174">
        <f t="shared" si="2"/>
        <v>0</v>
      </c>
      <c r="H21" s="174">
        <f>SUM(H9:H20)</f>
        <v>0</v>
      </c>
      <c r="I21" s="174">
        <f t="shared" ref="I21:K21" si="3">SUM(I9:I20)</f>
        <v>0</v>
      </c>
      <c r="J21" s="174">
        <f t="shared" si="3"/>
        <v>1789373.3199999998</v>
      </c>
      <c r="K21" s="174">
        <f t="shared" si="3"/>
        <v>0</v>
      </c>
    </row>
    <row r="22" spans="1:11" ht="15.75" x14ac:dyDescent="0.25">
      <c r="A22" s="27" t="s">
        <v>11</v>
      </c>
      <c r="B22" s="27" t="s">
        <v>56</v>
      </c>
      <c r="C22" s="27" t="s">
        <v>107</v>
      </c>
      <c r="D22" s="18"/>
      <c r="E22" s="18"/>
      <c r="F22" s="18"/>
      <c r="G22" s="18"/>
      <c r="H22" s="96"/>
      <c r="I22" s="96"/>
      <c r="J22" s="96">
        <v>0</v>
      </c>
      <c r="K22" s="96"/>
    </row>
    <row r="23" spans="1:11" ht="15.75" x14ac:dyDescent="0.25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/>
      <c r="I23" s="96"/>
      <c r="J23" s="96">
        <v>0</v>
      </c>
      <c r="K23" s="96"/>
    </row>
    <row r="24" spans="1:11" ht="15.75" x14ac:dyDescent="0.25">
      <c r="A24" s="30" t="s">
        <v>13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>
        <v>0</v>
      </c>
      <c r="K24" s="96"/>
    </row>
    <row r="25" spans="1:11" ht="15.75" x14ac:dyDescent="0.25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/>
      <c r="I25" s="96"/>
      <c r="J25" s="96">
        <v>0</v>
      </c>
      <c r="K25" s="96"/>
    </row>
    <row r="26" spans="1:11" ht="15.75" x14ac:dyDescent="0.25">
      <c r="A26" s="30" t="s">
        <v>15</v>
      </c>
      <c r="B26" s="26" t="s">
        <v>56</v>
      </c>
      <c r="C26" s="26" t="s">
        <v>107</v>
      </c>
      <c r="D26" s="14"/>
      <c r="E26" s="14"/>
      <c r="F26" s="14"/>
      <c r="G26" s="14"/>
      <c r="H26" s="96"/>
      <c r="I26" s="96"/>
      <c r="J26" s="96">
        <v>0</v>
      </c>
      <c r="K26" s="96"/>
    </row>
    <row r="27" spans="1:11" ht="15.75" x14ac:dyDescent="0.25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>
        <v>0</v>
      </c>
      <c r="K27" s="96"/>
    </row>
    <row r="28" spans="1:11" ht="15.75" x14ac:dyDescent="0.25">
      <c r="A28" s="30" t="s">
        <v>18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>
        <v>0</v>
      </c>
      <c r="K28" s="96"/>
    </row>
    <row r="29" spans="1:11" ht="15.75" x14ac:dyDescent="0.25">
      <c r="A29" s="26" t="s">
        <v>19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>
        <v>0</v>
      </c>
      <c r="K29" s="96"/>
    </row>
    <row r="30" spans="1:11" ht="15.75" x14ac:dyDescent="0.25">
      <c r="A30" s="26" t="s">
        <v>20</v>
      </c>
      <c r="B30" s="26" t="s">
        <v>56</v>
      </c>
      <c r="C30" s="26" t="s">
        <v>107</v>
      </c>
      <c r="D30" s="14"/>
      <c r="E30" s="14"/>
      <c r="F30" s="14">
        <v>130880.8</v>
      </c>
      <c r="G30" s="14"/>
      <c r="H30" s="96"/>
      <c r="I30" s="96"/>
      <c r="J30" s="96">
        <v>0</v>
      </c>
      <c r="K30" s="96"/>
    </row>
    <row r="31" spans="1:11" ht="15.75" x14ac:dyDescent="0.25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>
        <v>0</v>
      </c>
      <c r="K31" s="96"/>
    </row>
    <row r="32" spans="1:11" ht="15.75" x14ac:dyDescent="0.25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>
        <v>0</v>
      </c>
      <c r="K32" s="96"/>
    </row>
    <row r="33" spans="1:12" ht="15.75" x14ac:dyDescent="0.25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>
        <v>0</v>
      </c>
      <c r="K33" s="96"/>
    </row>
    <row r="34" spans="1:12" ht="15.75" x14ac:dyDescent="0.25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>
        <v>0</v>
      </c>
      <c r="K34" s="96"/>
    </row>
    <row r="35" spans="1:12" ht="15.75" x14ac:dyDescent="0.25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>
        <v>0</v>
      </c>
      <c r="K35" s="96"/>
    </row>
    <row r="36" spans="1:12" ht="15.75" x14ac:dyDescent="0.25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>
        <v>0</v>
      </c>
      <c r="K36" s="96"/>
    </row>
    <row r="37" spans="1:12" ht="15.75" x14ac:dyDescent="0.25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>
        <v>0</v>
      </c>
      <c r="K37" s="96"/>
    </row>
    <row r="38" spans="1:12" ht="15.75" x14ac:dyDescent="0.25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>
        <v>0</v>
      </c>
      <c r="K38" s="96"/>
    </row>
    <row r="39" spans="1:12" ht="15.75" x14ac:dyDescent="0.25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>
        <v>0</v>
      </c>
      <c r="K39" s="96"/>
    </row>
    <row r="40" spans="1:12" ht="15.75" x14ac:dyDescent="0.25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75" x14ac:dyDescent="0.25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>
        <v>0</v>
      </c>
      <c r="K41" s="96"/>
    </row>
    <row r="42" spans="1:12" ht="15.75" x14ac:dyDescent="0.25">
      <c r="A42" s="30" t="s">
        <v>95</v>
      </c>
      <c r="B42" s="26" t="s">
        <v>56</v>
      </c>
      <c r="C42" s="26" t="s">
        <v>107</v>
      </c>
      <c r="D42" s="14"/>
      <c r="E42" s="14"/>
      <c r="F42" s="14"/>
      <c r="G42" s="14"/>
      <c r="H42" s="96"/>
      <c r="I42" s="96"/>
      <c r="J42" s="96">
        <v>0</v>
      </c>
      <c r="K42" s="96"/>
    </row>
    <row r="43" spans="1:12" ht="15.75" x14ac:dyDescent="0.25">
      <c r="A43" s="26" t="s">
        <v>83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>
        <v>0</v>
      </c>
      <c r="K43" s="96"/>
    </row>
    <row r="44" spans="1:12" ht="15.75" x14ac:dyDescent="0.25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>
        <v>0</v>
      </c>
      <c r="K44" s="96"/>
    </row>
    <row r="45" spans="1:12" ht="15.75" x14ac:dyDescent="0.25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/>
      <c r="I45" s="96"/>
      <c r="J45" s="96">
        <v>0</v>
      </c>
      <c r="K45" s="96"/>
    </row>
    <row r="46" spans="1:12" ht="15.75" x14ac:dyDescent="0.25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>
        <v>0</v>
      </c>
      <c r="K46" s="96"/>
      <c r="L46" s="138"/>
    </row>
    <row r="47" spans="1:12" ht="15.75" x14ac:dyDescent="0.25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/>
      <c r="I47" s="96"/>
      <c r="J47" s="96">
        <v>0</v>
      </c>
      <c r="K47" s="96"/>
    </row>
    <row r="48" spans="1:12" ht="15.75" x14ac:dyDescent="0.25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>
        <v>0</v>
      </c>
      <c r="K48" s="96"/>
    </row>
    <row r="49" spans="1:13" ht="15.75" x14ac:dyDescent="0.25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>
        <v>0</v>
      </c>
      <c r="K49" s="96"/>
    </row>
    <row r="50" spans="1:13" ht="15.75" x14ac:dyDescent="0.25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>
        <v>0</v>
      </c>
      <c r="K50" s="96"/>
    </row>
    <row r="51" spans="1:13" ht="15.75" x14ac:dyDescent="0.25">
      <c r="A51" s="26" t="s">
        <v>91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>
        <v>0</v>
      </c>
      <c r="K51" s="96"/>
    </row>
    <row r="52" spans="1:13" ht="15.75" x14ac:dyDescent="0.25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>
        <v>0</v>
      </c>
      <c r="K52" s="96"/>
    </row>
    <row r="53" spans="1:13" ht="16.5" thickBot="1" x14ac:dyDescent="0.3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96"/>
      <c r="I53" s="96"/>
      <c r="J53" s="96">
        <v>0</v>
      </c>
      <c r="K53" s="96"/>
    </row>
    <row r="54" spans="1:13" ht="21.75" thickBot="1" x14ac:dyDescent="0.4">
      <c r="A54" s="123" t="s">
        <v>116</v>
      </c>
      <c r="B54" s="121"/>
      <c r="C54" s="121"/>
      <c r="D54" s="174">
        <f>SUM(D22:D53)</f>
        <v>0</v>
      </c>
      <c r="E54" s="174">
        <f t="shared" ref="E54:G54" si="4">SUM(E22:E53)</f>
        <v>0</v>
      </c>
      <c r="F54" s="174">
        <f t="shared" si="4"/>
        <v>130880.8</v>
      </c>
      <c r="G54" s="174">
        <f t="shared" si="4"/>
        <v>0</v>
      </c>
      <c r="H54" s="174">
        <f>SUM(H22:H53)</f>
        <v>0</v>
      </c>
      <c r="I54" s="174">
        <f t="shared" ref="I54:K54" si="5">SUM(I22:I53)</f>
        <v>0</v>
      </c>
      <c r="J54" s="174">
        <f t="shared" si="5"/>
        <v>0</v>
      </c>
      <c r="K54" s="174">
        <f t="shared" si="5"/>
        <v>0</v>
      </c>
    </row>
    <row r="55" spans="1:13" ht="15.75" x14ac:dyDescent="0.25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/>
      <c r="I55" s="96"/>
      <c r="J55" s="96">
        <v>0</v>
      </c>
      <c r="K55" s="96"/>
    </row>
    <row r="56" spans="1:13" ht="15.75" x14ac:dyDescent="0.25">
      <c r="A56" s="26" t="s">
        <v>84</v>
      </c>
      <c r="B56" s="26" t="s">
        <v>115</v>
      </c>
      <c r="C56" s="26" t="s">
        <v>107</v>
      </c>
      <c r="D56" s="14"/>
      <c r="E56" s="14"/>
      <c r="F56" s="14">
        <v>164023.62</v>
      </c>
      <c r="G56" s="14"/>
      <c r="H56" s="96"/>
      <c r="I56" s="96"/>
      <c r="J56" s="96">
        <v>0</v>
      </c>
      <c r="K56" s="96"/>
    </row>
    <row r="57" spans="1:13" ht="15.75" x14ac:dyDescent="0.25">
      <c r="A57" s="26" t="s">
        <v>37</v>
      </c>
      <c r="B57" s="26" t="s">
        <v>115</v>
      </c>
      <c r="C57" s="26" t="s">
        <v>107</v>
      </c>
      <c r="D57" s="14"/>
      <c r="E57" s="14"/>
      <c r="F57" s="14"/>
      <c r="G57" s="14"/>
      <c r="H57" s="96"/>
      <c r="I57" s="96"/>
      <c r="J57" s="96">
        <v>0</v>
      </c>
      <c r="K57" s="96"/>
      <c r="M57" s="133"/>
    </row>
    <row r="58" spans="1:13" ht="15.75" x14ac:dyDescent="0.25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/>
      <c r="I58" s="96"/>
      <c r="J58" s="96">
        <v>0</v>
      </c>
      <c r="K58" s="96"/>
      <c r="M58" s="133"/>
    </row>
    <row r="59" spans="1:13" ht="15.75" x14ac:dyDescent="0.25">
      <c r="A59" s="27" t="s">
        <v>86</v>
      </c>
      <c r="B59" s="27" t="s">
        <v>115</v>
      </c>
      <c r="C59" s="27" t="s">
        <v>107</v>
      </c>
      <c r="D59" s="14"/>
      <c r="E59" s="14"/>
      <c r="F59" s="14"/>
      <c r="G59" s="14"/>
      <c r="H59" s="96"/>
      <c r="I59" s="96"/>
      <c r="J59" s="96">
        <v>559461.71</v>
      </c>
      <c r="K59" s="96"/>
      <c r="M59" s="133"/>
    </row>
    <row r="60" spans="1:13" ht="15.75" x14ac:dyDescent="0.25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>
        <v>0</v>
      </c>
      <c r="K60" s="96"/>
    </row>
    <row r="61" spans="1:13" ht="15.75" x14ac:dyDescent="0.25">
      <c r="A61" s="246" t="s">
        <v>136</v>
      </c>
      <c r="B61" s="26" t="s">
        <v>115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3" ht="16.5" thickBot="1" x14ac:dyDescent="0.3">
      <c r="A62" s="117" t="s">
        <v>99</v>
      </c>
      <c r="B62" s="26" t="s">
        <v>115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3" ht="21.75" thickBot="1" x14ac:dyDescent="0.4">
      <c r="A63" s="123" t="s">
        <v>117</v>
      </c>
      <c r="B63" s="121"/>
      <c r="C63" s="121"/>
      <c r="D63" s="174">
        <f>SUM(D55:D62)</f>
        <v>0</v>
      </c>
      <c r="E63" s="174">
        <f t="shared" ref="E63:G63" si="6">SUM(E55:E62)</f>
        <v>0</v>
      </c>
      <c r="F63" s="174">
        <f t="shared" si="6"/>
        <v>164023.62</v>
      </c>
      <c r="G63" s="174">
        <f t="shared" si="6"/>
        <v>0</v>
      </c>
      <c r="H63" s="174">
        <f>SUM(H55:H62)</f>
        <v>0</v>
      </c>
      <c r="I63" s="174">
        <f t="shared" ref="I63:K63" si="7">SUM(I55:I62)</f>
        <v>0</v>
      </c>
      <c r="J63" s="174">
        <f t="shared" si="7"/>
        <v>559461.71</v>
      </c>
      <c r="K63" s="174">
        <f t="shared" si="7"/>
        <v>0</v>
      </c>
    </row>
    <row r="64" spans="1:13" ht="15.75" x14ac:dyDescent="0.25">
      <c r="A64" s="27" t="s">
        <v>77</v>
      </c>
      <c r="B64" s="26" t="s">
        <v>108</v>
      </c>
      <c r="C64" s="27" t="s">
        <v>102</v>
      </c>
      <c r="D64" s="18"/>
      <c r="E64" s="18"/>
      <c r="F64" s="18"/>
      <c r="G64" s="18"/>
      <c r="H64" s="96"/>
      <c r="I64" s="96"/>
      <c r="J64" s="96">
        <v>0</v>
      </c>
      <c r="K64" s="96"/>
    </row>
    <row r="65" spans="1:12" ht="15.75" x14ac:dyDescent="0.25">
      <c r="A65" s="30" t="s">
        <v>40</v>
      </c>
      <c r="B65" s="26" t="s">
        <v>56</v>
      </c>
      <c r="C65" s="26" t="s">
        <v>103</v>
      </c>
      <c r="D65" s="14"/>
      <c r="E65" s="14"/>
      <c r="F65" s="14">
        <v>12055.51</v>
      </c>
      <c r="G65" s="14"/>
      <c r="H65" s="96"/>
      <c r="I65" s="96"/>
      <c r="J65" s="96">
        <v>0</v>
      </c>
      <c r="K65" s="96"/>
    </row>
    <row r="66" spans="1:12" ht="15.75" x14ac:dyDescent="0.25">
      <c r="A66" s="26" t="s">
        <v>90</v>
      </c>
      <c r="B66" s="26" t="s">
        <v>108</v>
      </c>
      <c r="C66" s="26" t="s">
        <v>103</v>
      </c>
      <c r="D66" s="14"/>
      <c r="E66" s="14"/>
      <c r="F66" s="14"/>
      <c r="G66" s="14"/>
      <c r="H66" s="96"/>
      <c r="I66" s="96"/>
      <c r="J66" s="96">
        <v>0</v>
      </c>
      <c r="K66" s="96"/>
    </row>
    <row r="67" spans="1:12" ht="15.75" x14ac:dyDescent="0.25">
      <c r="A67" s="26" t="s">
        <v>92</v>
      </c>
      <c r="B67" s="26" t="s">
        <v>56</v>
      </c>
      <c r="C67" s="26" t="s">
        <v>103</v>
      </c>
      <c r="D67" s="14"/>
      <c r="E67" s="14"/>
      <c r="F67" s="14"/>
      <c r="G67" s="14"/>
      <c r="H67" s="96"/>
      <c r="I67" s="96"/>
      <c r="J67" s="96">
        <v>0</v>
      </c>
      <c r="K67" s="96"/>
    </row>
    <row r="68" spans="1:12" ht="15.75" x14ac:dyDescent="0.25">
      <c r="A68" s="26" t="s">
        <v>93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>
        <v>0</v>
      </c>
      <c r="K68" s="96"/>
    </row>
    <row r="69" spans="1:12" ht="15.75" x14ac:dyDescent="0.25">
      <c r="A69" s="26" t="s">
        <v>100</v>
      </c>
      <c r="B69" s="26" t="s">
        <v>56</v>
      </c>
      <c r="C69" s="26" t="s">
        <v>103</v>
      </c>
      <c r="D69" s="14"/>
      <c r="E69" s="14"/>
      <c r="F69" s="14"/>
      <c r="G69" s="14"/>
      <c r="H69" s="96"/>
      <c r="I69" s="96"/>
      <c r="J69" s="96">
        <v>383787.76</v>
      </c>
      <c r="K69" s="96"/>
      <c r="L69" s="138"/>
    </row>
    <row r="70" spans="1:12" ht="15.75" x14ac:dyDescent="0.25">
      <c r="A70" s="118" t="s">
        <v>101</v>
      </c>
      <c r="B70" s="26" t="s">
        <v>56</v>
      </c>
      <c r="C70" s="26" t="s">
        <v>103</v>
      </c>
      <c r="D70" s="14"/>
      <c r="E70" s="14"/>
      <c r="F70" s="14">
        <v>20800</v>
      </c>
      <c r="G70" s="14"/>
      <c r="H70" s="96"/>
      <c r="I70" s="96"/>
      <c r="J70" s="96"/>
      <c r="K70" s="96"/>
    </row>
    <row r="71" spans="1:12" ht="15.75" x14ac:dyDescent="0.25">
      <c r="A71" s="26" t="s">
        <v>81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>
        <v>0</v>
      </c>
      <c r="K71" s="96"/>
    </row>
    <row r="72" spans="1:12" ht="21.75" thickBot="1" x14ac:dyDescent="0.25">
      <c r="A72" s="177" t="s">
        <v>44</v>
      </c>
      <c r="B72" s="178"/>
      <c r="C72" s="178"/>
      <c r="D72" s="179">
        <f>SUM(D64:D71)</f>
        <v>0</v>
      </c>
      <c r="E72" s="179">
        <f t="shared" ref="E72:G72" si="8">SUM(E64:E71)</f>
        <v>0</v>
      </c>
      <c r="F72" s="179">
        <f t="shared" si="8"/>
        <v>32855.51</v>
      </c>
      <c r="G72" s="179">
        <f t="shared" si="8"/>
        <v>0</v>
      </c>
      <c r="H72" s="179">
        <f>SUM(H64:H71)</f>
        <v>0</v>
      </c>
      <c r="I72" s="179">
        <f t="shared" ref="I72:K72" si="9">SUM(I64:I71)</f>
        <v>0</v>
      </c>
      <c r="J72" s="179">
        <f t="shared" si="9"/>
        <v>383787.76</v>
      </c>
      <c r="K72" s="179">
        <f t="shared" si="9"/>
        <v>0</v>
      </c>
    </row>
    <row r="73" spans="1:12" ht="21.75" thickBot="1" x14ac:dyDescent="0.25">
      <c r="A73" s="122" t="s">
        <v>45</v>
      </c>
      <c r="B73" s="121"/>
      <c r="C73" s="121"/>
      <c r="D73" s="131">
        <f>D72+D63+D54+D21+D8</f>
        <v>0</v>
      </c>
      <c r="E73" s="131">
        <f t="shared" ref="E73:G73" si="10">E72+E63+E54+E21+E8</f>
        <v>0</v>
      </c>
      <c r="F73" s="131">
        <f t="shared" si="10"/>
        <v>1268094.08</v>
      </c>
      <c r="G73" s="131">
        <f t="shared" si="10"/>
        <v>0</v>
      </c>
      <c r="H73" s="131">
        <f>H72+H63+H54+H21+H8</f>
        <v>0</v>
      </c>
      <c r="I73" s="131">
        <f t="shared" ref="I73:K73" si="11">I72+I63+I54+I21+I8</f>
        <v>0</v>
      </c>
      <c r="J73" s="131">
        <f t="shared" si="11"/>
        <v>2926002.0300000003</v>
      </c>
      <c r="K73" s="131">
        <f t="shared" si="11"/>
        <v>0</v>
      </c>
    </row>
    <row r="75" spans="1:12" x14ac:dyDescent="0.25">
      <c r="F75" s="6">
        <v>1268094.08</v>
      </c>
    </row>
    <row r="77" spans="1:12" x14ac:dyDescent="0.25">
      <c r="F77" s="133"/>
    </row>
    <row r="78" spans="1:12" x14ac:dyDescent="0.25">
      <c r="F78" s="133"/>
    </row>
    <row r="79" spans="1:12" x14ac:dyDescent="0.25">
      <c r="F79" s="133"/>
    </row>
  </sheetData>
  <autoFilter ref="A2:O73" xr:uid="{EDBCE8AC-DFB4-481F-BF31-12F2118B912A}"/>
  <mergeCells count="2">
    <mergeCell ref="D1:G1"/>
    <mergeCell ref="H1:K1"/>
  </mergeCells>
  <conditionalFormatting sqref="A1">
    <cfRule type="duplicateValues" dxfId="95" priority="15"/>
    <cfRule type="duplicateValues" dxfId="94" priority="16"/>
  </conditionalFormatting>
  <conditionalFormatting sqref="A14">
    <cfRule type="duplicateValues" dxfId="93" priority="5"/>
    <cfRule type="duplicateValues" dxfId="92" priority="6"/>
  </conditionalFormatting>
  <conditionalFormatting sqref="A40">
    <cfRule type="duplicateValues" dxfId="91" priority="1"/>
    <cfRule type="duplicateValues" dxfId="90" priority="2"/>
  </conditionalFormatting>
  <conditionalFormatting sqref="A55">
    <cfRule type="duplicateValues" dxfId="89" priority="7"/>
    <cfRule type="duplicateValues" dxfId="88" priority="8"/>
  </conditionalFormatting>
  <conditionalFormatting sqref="A56:A58 A7 A22:A39 A60 A41:A53">
    <cfRule type="duplicateValues" dxfId="87" priority="13"/>
    <cfRule type="duplicateValues" dxfId="86" priority="14"/>
  </conditionalFormatting>
  <conditionalFormatting sqref="A59">
    <cfRule type="duplicateValues" dxfId="85" priority="3"/>
    <cfRule type="duplicateValues" dxfId="84" priority="4"/>
  </conditionalFormatting>
  <conditionalFormatting sqref="A64:A71">
    <cfRule type="duplicateValues" dxfId="83" priority="11"/>
    <cfRule type="duplicateValues" dxfId="82" priority="12"/>
  </conditionalFormatting>
  <conditionalFormatting sqref="A72:A73 A2:A6 A8:A13 A15:A21 A54 A63">
    <cfRule type="duplicateValues" dxfId="81" priority="9"/>
    <cfRule type="duplicateValues" dxfId="80" priority="10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42E4-EDC3-4912-B68F-202C63AD69E3}">
  <sheetPr>
    <tabColor rgb="FFFFC000"/>
  </sheetPr>
  <dimension ref="A1:M76"/>
  <sheetViews>
    <sheetView rightToLeft="1" zoomScaleNormal="100" workbookViewId="0">
      <pane ySplit="3" topLeftCell="A51" activePane="bottomLeft" state="frozen"/>
      <selection pane="bottomLeft" activeCell="A61" sqref="A61:C61"/>
    </sheetView>
  </sheetViews>
  <sheetFormatPr defaultColWidth="30.125" defaultRowHeight="15" x14ac:dyDescent="0.25"/>
  <cols>
    <col min="1" max="1" width="30" style="32" bestFit="1" customWidth="1"/>
    <col min="2" max="2" width="11.375" style="32" customWidth="1"/>
    <col min="3" max="3" width="11.75" style="32" customWidth="1"/>
    <col min="4" max="4" width="16.875" customWidth="1"/>
    <col min="5" max="5" width="15.25" customWidth="1"/>
    <col min="6" max="6" width="16.875" bestFit="1" customWidth="1"/>
    <col min="7" max="7" width="19" customWidth="1"/>
    <col min="8" max="9" width="15.25" style="3" customWidth="1"/>
    <col min="10" max="10" width="16.875" style="3" customWidth="1"/>
    <col min="11" max="11" width="19" customWidth="1"/>
  </cols>
  <sheetData>
    <row r="1" spans="1:11" ht="21" x14ac:dyDescent="0.2">
      <c r="A1" s="26"/>
      <c r="B1" s="26"/>
      <c r="C1" s="26"/>
      <c r="D1" s="237">
        <v>2025</v>
      </c>
      <c r="E1" s="237"/>
      <c r="F1" s="237"/>
      <c r="G1" s="237"/>
      <c r="H1" s="238">
        <v>2024</v>
      </c>
      <c r="I1" s="238"/>
      <c r="J1" s="238"/>
      <c r="K1" s="238"/>
    </row>
    <row r="2" spans="1:11" ht="21" x14ac:dyDescent="0.2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75" x14ac:dyDescent="0.25">
      <c r="A3" s="26" t="s">
        <v>1</v>
      </c>
      <c r="B3" s="26" t="s">
        <v>108</v>
      </c>
      <c r="C3" s="26" t="s">
        <v>58</v>
      </c>
      <c r="D3" s="14"/>
      <c r="E3" s="14"/>
      <c r="F3" s="14">
        <v>5000</v>
      </c>
      <c r="G3" s="14"/>
      <c r="H3" s="96"/>
      <c r="I3" s="96"/>
      <c r="J3" s="96">
        <v>5950</v>
      </c>
      <c r="K3" s="96"/>
    </row>
    <row r="4" spans="1:11" ht="15.75" x14ac:dyDescent="0.25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>
        <v>0</v>
      </c>
      <c r="K4" s="96"/>
    </row>
    <row r="5" spans="1:11" ht="15.75" x14ac:dyDescent="0.25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75" x14ac:dyDescent="0.25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96"/>
      <c r="I6" s="96"/>
      <c r="J6" s="96"/>
      <c r="K6" s="96"/>
    </row>
    <row r="7" spans="1:11" ht="16.5" thickBot="1" x14ac:dyDescent="0.3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>
        <v>0</v>
      </c>
      <c r="K7" s="96"/>
    </row>
    <row r="8" spans="1:11" ht="21.75" thickBot="1" x14ac:dyDescent="0.4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0</v>
      </c>
      <c r="F8" s="174">
        <f t="shared" si="0"/>
        <v>5000</v>
      </c>
      <c r="G8" s="174">
        <f t="shared" si="0"/>
        <v>0</v>
      </c>
      <c r="H8" s="174">
        <f>SUM(H3:H7)</f>
        <v>0</v>
      </c>
      <c r="I8" s="174">
        <f t="shared" ref="I8:K8" si="1">SUM(I3:I7)</f>
        <v>0</v>
      </c>
      <c r="J8" s="174">
        <f t="shared" si="1"/>
        <v>5950</v>
      </c>
      <c r="K8" s="174">
        <f t="shared" si="1"/>
        <v>0</v>
      </c>
    </row>
    <row r="9" spans="1:11" ht="15.75" x14ac:dyDescent="0.25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>
        <v>0</v>
      </c>
      <c r="K9" s="96"/>
    </row>
    <row r="10" spans="1:11" ht="15.75" x14ac:dyDescent="0.25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>
        <v>0</v>
      </c>
      <c r="K10" s="96"/>
    </row>
    <row r="11" spans="1:11" ht="15.75" x14ac:dyDescent="0.25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>
        <v>0</v>
      </c>
      <c r="K11" s="96"/>
    </row>
    <row r="12" spans="1:11" ht="15.75" x14ac:dyDescent="0.25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>
        <v>0</v>
      </c>
      <c r="K12" s="96"/>
    </row>
    <row r="13" spans="1:11" ht="15.75" x14ac:dyDescent="0.25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>
        <v>0</v>
      </c>
      <c r="K13" s="96"/>
    </row>
    <row r="14" spans="1:11" ht="15.75" x14ac:dyDescent="0.25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>
        <v>0</v>
      </c>
      <c r="K14" s="96"/>
    </row>
    <row r="15" spans="1:11" ht="15.75" x14ac:dyDescent="0.25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>
        <v>0</v>
      </c>
      <c r="K15" s="96"/>
    </row>
    <row r="16" spans="1:11" ht="15.75" x14ac:dyDescent="0.25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>
        <v>0</v>
      </c>
      <c r="K16" s="96"/>
    </row>
    <row r="17" spans="1:11" ht="15.75" x14ac:dyDescent="0.25">
      <c r="A17" s="26" t="s">
        <v>42</v>
      </c>
      <c r="B17" s="26" t="s">
        <v>108</v>
      </c>
      <c r="C17" s="26" t="s">
        <v>106</v>
      </c>
      <c r="D17" s="14"/>
      <c r="E17" s="14"/>
      <c r="F17" s="14">
        <v>137626</v>
      </c>
      <c r="G17" s="14"/>
      <c r="H17" s="96"/>
      <c r="I17" s="96"/>
      <c r="J17" s="96">
        <v>68400</v>
      </c>
      <c r="K17" s="96"/>
    </row>
    <row r="18" spans="1:11" ht="15.75" x14ac:dyDescent="0.25">
      <c r="A18" s="26" t="s">
        <v>43</v>
      </c>
      <c r="B18" s="26" t="s">
        <v>108</v>
      </c>
      <c r="C18" s="26" t="s">
        <v>106</v>
      </c>
      <c r="D18" s="14"/>
      <c r="E18" s="14"/>
      <c r="F18" s="14">
        <v>35750</v>
      </c>
      <c r="G18" s="14"/>
      <c r="H18" s="96"/>
      <c r="I18" s="96"/>
      <c r="J18" s="96">
        <v>11000</v>
      </c>
      <c r="K18" s="96"/>
    </row>
    <row r="19" spans="1:11" ht="15.75" x14ac:dyDescent="0.25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>
        <v>0</v>
      </c>
      <c r="K19" s="96"/>
    </row>
    <row r="20" spans="1:11" ht="16.5" thickBot="1" x14ac:dyDescent="0.3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96"/>
      <c r="I20" s="96"/>
      <c r="J20" s="96">
        <v>0</v>
      </c>
      <c r="K20" s="96"/>
    </row>
    <row r="21" spans="1:11" ht="21.75" thickBot="1" x14ac:dyDescent="0.4">
      <c r="A21" s="122" t="s">
        <v>10</v>
      </c>
      <c r="B21" s="121"/>
      <c r="C21" s="121"/>
      <c r="D21" s="174">
        <f>SUM(D9:D20)</f>
        <v>0</v>
      </c>
      <c r="E21" s="174">
        <f t="shared" ref="E21:G21" si="2">SUM(E9:E20)</f>
        <v>0</v>
      </c>
      <c r="F21" s="174">
        <f t="shared" si="2"/>
        <v>173376</v>
      </c>
      <c r="G21" s="174">
        <f t="shared" si="2"/>
        <v>0</v>
      </c>
      <c r="H21" s="174">
        <f>SUM(H9:H20)</f>
        <v>0</v>
      </c>
      <c r="I21" s="174">
        <f t="shared" ref="I21:K21" si="3">SUM(I9:I20)</f>
        <v>0</v>
      </c>
      <c r="J21" s="174">
        <f t="shared" si="3"/>
        <v>79400</v>
      </c>
      <c r="K21" s="174">
        <f t="shared" si="3"/>
        <v>0</v>
      </c>
    </row>
    <row r="22" spans="1:11" ht="15.75" x14ac:dyDescent="0.25">
      <c r="A22" s="27" t="s">
        <v>11</v>
      </c>
      <c r="B22" s="27" t="s">
        <v>56</v>
      </c>
      <c r="C22" s="27" t="s">
        <v>107</v>
      </c>
      <c r="D22" s="18"/>
      <c r="E22" s="18"/>
      <c r="F22" s="18"/>
      <c r="G22" s="18"/>
      <c r="H22" s="96"/>
      <c r="I22" s="96"/>
      <c r="J22" s="96">
        <v>0</v>
      </c>
      <c r="K22" s="96"/>
    </row>
    <row r="23" spans="1:11" ht="15.75" x14ac:dyDescent="0.25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/>
      <c r="I23" s="96"/>
      <c r="J23" s="96">
        <v>0</v>
      </c>
      <c r="K23" s="96"/>
    </row>
    <row r="24" spans="1:11" ht="15.75" x14ac:dyDescent="0.25">
      <c r="A24" s="30" t="s">
        <v>13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>
        <v>0</v>
      </c>
      <c r="K24" s="96"/>
    </row>
    <row r="25" spans="1:11" ht="15.75" x14ac:dyDescent="0.25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/>
      <c r="I25" s="96"/>
      <c r="J25" s="96">
        <v>0</v>
      </c>
      <c r="K25" s="96"/>
    </row>
    <row r="26" spans="1:11" ht="15.75" x14ac:dyDescent="0.25">
      <c r="A26" s="30" t="s">
        <v>15</v>
      </c>
      <c r="B26" s="26" t="s">
        <v>56</v>
      </c>
      <c r="C26" s="26" t="s">
        <v>107</v>
      </c>
      <c r="D26" s="14"/>
      <c r="E26" s="14"/>
      <c r="F26" s="14"/>
      <c r="G26" s="14"/>
      <c r="H26" s="96"/>
      <c r="I26" s="96"/>
      <c r="J26" s="96">
        <v>0</v>
      </c>
      <c r="K26" s="96"/>
    </row>
    <row r="27" spans="1:11" ht="15.75" x14ac:dyDescent="0.25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>
        <v>0</v>
      </c>
      <c r="K27" s="96"/>
    </row>
    <row r="28" spans="1:11" ht="15.75" x14ac:dyDescent="0.25">
      <c r="A28" s="30" t="s">
        <v>18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>
        <v>0</v>
      </c>
      <c r="K28" s="96"/>
    </row>
    <row r="29" spans="1:11" ht="15.75" x14ac:dyDescent="0.25">
      <c r="A29" s="26" t="s">
        <v>19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>
        <v>0</v>
      </c>
      <c r="K29" s="96"/>
    </row>
    <row r="30" spans="1:11" ht="15.75" x14ac:dyDescent="0.25">
      <c r="A30" s="26" t="s">
        <v>20</v>
      </c>
      <c r="B30" s="26" t="s">
        <v>56</v>
      </c>
      <c r="C30" s="26" t="s">
        <v>107</v>
      </c>
      <c r="D30" s="14"/>
      <c r="E30" s="14"/>
      <c r="F30" s="14">
        <v>1000</v>
      </c>
      <c r="G30" s="14"/>
      <c r="H30" s="96"/>
      <c r="I30" s="96"/>
      <c r="J30" s="96">
        <v>800</v>
      </c>
      <c r="K30" s="96"/>
    </row>
    <row r="31" spans="1:11" ht="15.75" x14ac:dyDescent="0.25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>
        <v>0</v>
      </c>
      <c r="K31" s="96"/>
    </row>
    <row r="32" spans="1:11" ht="15.75" x14ac:dyDescent="0.25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>
        <v>0</v>
      </c>
      <c r="K32" s="96"/>
    </row>
    <row r="33" spans="1:12" ht="15.75" x14ac:dyDescent="0.25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>
        <v>0</v>
      </c>
      <c r="K33" s="96"/>
    </row>
    <row r="34" spans="1:12" ht="15.75" x14ac:dyDescent="0.25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>
        <v>0</v>
      </c>
      <c r="K34" s="96"/>
    </row>
    <row r="35" spans="1:12" ht="15.75" x14ac:dyDescent="0.25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>
        <v>0</v>
      </c>
      <c r="K35" s="96"/>
    </row>
    <row r="36" spans="1:12" ht="15.75" x14ac:dyDescent="0.25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>
        <v>0</v>
      </c>
      <c r="K36" s="96"/>
    </row>
    <row r="37" spans="1:12" ht="15.75" x14ac:dyDescent="0.25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>
        <v>0</v>
      </c>
      <c r="K37" s="96"/>
    </row>
    <row r="38" spans="1:12" ht="15.75" x14ac:dyDescent="0.25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>
        <v>0</v>
      </c>
      <c r="K38" s="96"/>
    </row>
    <row r="39" spans="1:12" ht="15.75" x14ac:dyDescent="0.25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>
        <v>0</v>
      </c>
      <c r="K39" s="96"/>
    </row>
    <row r="40" spans="1:12" ht="15.75" x14ac:dyDescent="0.25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75" x14ac:dyDescent="0.25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>
        <v>0</v>
      </c>
      <c r="K41" s="96"/>
    </row>
    <row r="42" spans="1:12" ht="15.75" x14ac:dyDescent="0.25">
      <c r="A42" s="30" t="s">
        <v>95</v>
      </c>
      <c r="B42" s="26" t="s">
        <v>56</v>
      </c>
      <c r="C42" s="26" t="s">
        <v>107</v>
      </c>
      <c r="D42" s="14"/>
      <c r="E42" s="14"/>
      <c r="F42" s="14"/>
      <c r="G42" s="14"/>
      <c r="H42" s="96"/>
      <c r="I42" s="96"/>
      <c r="J42" s="96">
        <v>0</v>
      </c>
      <c r="K42" s="96"/>
    </row>
    <row r="43" spans="1:12" ht="15.75" x14ac:dyDescent="0.25">
      <c r="A43" s="26" t="s">
        <v>83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>
        <v>0</v>
      </c>
      <c r="K43" s="96"/>
    </row>
    <row r="44" spans="1:12" ht="15.75" x14ac:dyDescent="0.25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>
        <v>0</v>
      </c>
      <c r="K44" s="96"/>
    </row>
    <row r="45" spans="1:12" ht="15.75" x14ac:dyDescent="0.25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/>
      <c r="I45" s="96"/>
      <c r="J45" s="96">
        <v>0</v>
      </c>
      <c r="K45" s="96"/>
    </row>
    <row r="46" spans="1:12" ht="15.75" x14ac:dyDescent="0.25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>
        <v>0</v>
      </c>
      <c r="K46" s="96"/>
      <c r="L46" s="138"/>
    </row>
    <row r="47" spans="1:12" ht="15.75" x14ac:dyDescent="0.25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/>
      <c r="I47" s="96"/>
      <c r="J47" s="96">
        <v>0</v>
      </c>
      <c r="K47" s="96"/>
    </row>
    <row r="48" spans="1:12" ht="15.75" x14ac:dyDescent="0.25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>
        <v>0</v>
      </c>
      <c r="K48" s="96"/>
    </row>
    <row r="49" spans="1:13" ht="15.75" x14ac:dyDescent="0.25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>
        <v>0</v>
      </c>
      <c r="K49" s="96"/>
    </row>
    <row r="50" spans="1:13" ht="15.75" x14ac:dyDescent="0.25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>
        <v>0</v>
      </c>
      <c r="K50" s="96"/>
    </row>
    <row r="51" spans="1:13" ht="15.75" x14ac:dyDescent="0.25">
      <c r="A51" s="26" t="s">
        <v>91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>
        <v>0</v>
      </c>
      <c r="K51" s="96"/>
    </row>
    <row r="52" spans="1:13" ht="15.75" x14ac:dyDescent="0.25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>
        <v>0</v>
      </c>
      <c r="K52" s="96"/>
    </row>
    <row r="53" spans="1:13" ht="16.5" thickBot="1" x14ac:dyDescent="0.3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96"/>
      <c r="I53" s="96"/>
      <c r="J53" s="96">
        <v>0</v>
      </c>
      <c r="K53" s="96"/>
    </row>
    <row r="54" spans="1:13" ht="21.75" thickBot="1" x14ac:dyDescent="0.4">
      <c r="A54" s="123" t="s">
        <v>116</v>
      </c>
      <c r="B54" s="121"/>
      <c r="C54" s="121"/>
      <c r="D54" s="174">
        <f>SUM(D22:D53)</f>
        <v>0</v>
      </c>
      <c r="E54" s="174">
        <f t="shared" ref="E54:G54" si="4">SUM(E22:E53)</f>
        <v>0</v>
      </c>
      <c r="F54" s="174">
        <f t="shared" si="4"/>
        <v>1000</v>
      </c>
      <c r="G54" s="174">
        <f t="shared" si="4"/>
        <v>0</v>
      </c>
      <c r="H54" s="174">
        <f>SUM(H22:H53)</f>
        <v>0</v>
      </c>
      <c r="I54" s="174">
        <f t="shared" ref="I54:K54" si="5">SUM(I22:I53)</f>
        <v>0</v>
      </c>
      <c r="J54" s="174">
        <f t="shared" si="5"/>
        <v>800</v>
      </c>
      <c r="K54" s="174">
        <f t="shared" si="5"/>
        <v>0</v>
      </c>
    </row>
    <row r="55" spans="1:13" ht="15.75" x14ac:dyDescent="0.25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/>
      <c r="I55" s="96"/>
      <c r="J55" s="96">
        <v>0</v>
      </c>
      <c r="K55" s="96"/>
    </row>
    <row r="56" spans="1:13" ht="15.75" x14ac:dyDescent="0.25">
      <c r="A56" s="26" t="s">
        <v>84</v>
      </c>
      <c r="B56" s="26" t="s">
        <v>115</v>
      </c>
      <c r="C56" s="26" t="s">
        <v>107</v>
      </c>
      <c r="D56" s="14"/>
      <c r="E56" s="14"/>
      <c r="F56" s="14"/>
      <c r="G56" s="14"/>
      <c r="H56" s="96"/>
      <c r="I56" s="96"/>
      <c r="J56" s="96">
        <v>0</v>
      </c>
      <c r="K56" s="96"/>
    </row>
    <row r="57" spans="1:13" ht="15.75" x14ac:dyDescent="0.25">
      <c r="A57" s="26" t="s">
        <v>37</v>
      </c>
      <c r="B57" s="26" t="s">
        <v>115</v>
      </c>
      <c r="C57" s="26" t="s">
        <v>107</v>
      </c>
      <c r="D57" s="14"/>
      <c r="E57" s="14"/>
      <c r="F57" s="14">
        <v>2000</v>
      </c>
      <c r="G57" s="14"/>
      <c r="H57" s="96"/>
      <c r="I57" s="96"/>
      <c r="J57" s="96">
        <v>1000</v>
      </c>
      <c r="K57" s="96"/>
      <c r="M57" s="133"/>
    </row>
    <row r="58" spans="1:13" ht="15.75" x14ac:dyDescent="0.25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/>
      <c r="I58" s="96"/>
      <c r="J58" s="96">
        <v>0</v>
      </c>
      <c r="K58" s="96"/>
      <c r="M58" s="133"/>
    </row>
    <row r="59" spans="1:13" ht="15.75" x14ac:dyDescent="0.25">
      <c r="A59" s="27" t="s">
        <v>86</v>
      </c>
      <c r="B59" s="27" t="s">
        <v>115</v>
      </c>
      <c r="C59" s="27" t="s">
        <v>107</v>
      </c>
      <c r="D59" s="14"/>
      <c r="E59" s="14"/>
      <c r="F59" s="14"/>
      <c r="G59" s="14"/>
      <c r="H59" s="96"/>
      <c r="I59" s="96"/>
      <c r="J59" s="96">
        <v>0</v>
      </c>
      <c r="K59" s="96"/>
      <c r="M59" s="133"/>
    </row>
    <row r="60" spans="1:13" ht="15.75" x14ac:dyDescent="0.25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>
        <v>0</v>
      </c>
      <c r="K60" s="96"/>
    </row>
    <row r="61" spans="1:13" ht="15.75" x14ac:dyDescent="0.25">
      <c r="A61" s="246" t="s">
        <v>136</v>
      </c>
      <c r="B61" s="26" t="s">
        <v>115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3" ht="16.5" thickBot="1" x14ac:dyDescent="0.3">
      <c r="A62" s="117" t="s">
        <v>99</v>
      </c>
      <c r="B62" s="26" t="s">
        <v>115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3" ht="21.75" thickBot="1" x14ac:dyDescent="0.4">
      <c r="A63" s="123" t="s">
        <v>117</v>
      </c>
      <c r="B63" s="121"/>
      <c r="C63" s="121"/>
      <c r="D63" s="174">
        <f>SUM(D55:D62)</f>
        <v>0</v>
      </c>
      <c r="E63" s="174">
        <f t="shared" ref="E63:G63" si="6">SUM(E55:E62)</f>
        <v>0</v>
      </c>
      <c r="F63" s="174">
        <f t="shared" si="6"/>
        <v>2000</v>
      </c>
      <c r="G63" s="174">
        <f t="shared" si="6"/>
        <v>0</v>
      </c>
      <c r="H63" s="174">
        <f>SUM(H55:H62)</f>
        <v>0</v>
      </c>
      <c r="I63" s="174">
        <f t="shared" ref="I63:K63" si="7">SUM(I55:I62)</f>
        <v>0</v>
      </c>
      <c r="J63" s="174">
        <f t="shared" si="7"/>
        <v>1000</v>
      </c>
      <c r="K63" s="174">
        <f t="shared" si="7"/>
        <v>0</v>
      </c>
    </row>
    <row r="64" spans="1:13" ht="15.75" x14ac:dyDescent="0.25">
      <c r="A64" s="27" t="s">
        <v>77</v>
      </c>
      <c r="B64" s="26" t="s">
        <v>108</v>
      </c>
      <c r="C64" s="27" t="s">
        <v>102</v>
      </c>
      <c r="D64" s="18"/>
      <c r="E64" s="18"/>
      <c r="F64" s="18"/>
      <c r="G64" s="18"/>
      <c r="H64" s="96"/>
      <c r="I64" s="96"/>
      <c r="J64" s="96"/>
      <c r="K64" s="96"/>
    </row>
    <row r="65" spans="1:12" ht="15.75" x14ac:dyDescent="0.25">
      <c r="A65" s="30" t="s">
        <v>40</v>
      </c>
      <c r="B65" s="26" t="s">
        <v>56</v>
      </c>
      <c r="C65" s="26" t="s">
        <v>103</v>
      </c>
      <c r="D65" s="14"/>
      <c r="E65" s="14"/>
      <c r="F65" s="14"/>
      <c r="G65" s="14"/>
      <c r="H65" s="96"/>
      <c r="I65" s="96"/>
      <c r="J65" s="96"/>
      <c r="K65" s="96"/>
    </row>
    <row r="66" spans="1:12" ht="15.75" x14ac:dyDescent="0.25">
      <c r="A66" s="26" t="s">
        <v>90</v>
      </c>
      <c r="B66" s="26" t="s">
        <v>108</v>
      </c>
      <c r="C66" s="26" t="s">
        <v>103</v>
      </c>
      <c r="D66" s="14"/>
      <c r="E66" s="14"/>
      <c r="F66" s="14"/>
      <c r="G66" s="14"/>
      <c r="H66" s="96"/>
      <c r="I66" s="96"/>
      <c r="J66" s="96"/>
      <c r="K66" s="96"/>
    </row>
    <row r="67" spans="1:12" ht="15.75" x14ac:dyDescent="0.25">
      <c r="A67" s="26" t="s">
        <v>92</v>
      </c>
      <c r="B67" s="26" t="s">
        <v>56</v>
      </c>
      <c r="C67" s="26" t="s">
        <v>103</v>
      </c>
      <c r="D67" s="14"/>
      <c r="E67" s="14"/>
      <c r="F67" s="14"/>
      <c r="G67" s="14"/>
      <c r="H67" s="96"/>
      <c r="I67" s="96"/>
      <c r="J67" s="96"/>
      <c r="K67" s="96"/>
    </row>
    <row r="68" spans="1:12" ht="15.75" x14ac:dyDescent="0.25">
      <c r="A68" s="26" t="s">
        <v>93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</row>
    <row r="69" spans="1:12" ht="15.75" x14ac:dyDescent="0.25">
      <c r="A69" s="26" t="s">
        <v>100</v>
      </c>
      <c r="B69" s="26" t="s">
        <v>56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  <c r="L69" s="138"/>
    </row>
    <row r="70" spans="1:12" ht="15.75" x14ac:dyDescent="0.25">
      <c r="A70" s="118" t="s">
        <v>101</v>
      </c>
      <c r="B70" s="26" t="s">
        <v>56</v>
      </c>
      <c r="C70" s="26" t="s">
        <v>103</v>
      </c>
      <c r="D70" s="14"/>
      <c r="E70" s="14"/>
      <c r="F70" s="14">
        <v>24947</v>
      </c>
      <c r="G70" s="14"/>
      <c r="H70" s="96"/>
      <c r="I70" s="96"/>
      <c r="J70" s="96"/>
      <c r="K70" s="96"/>
    </row>
    <row r="71" spans="1:12" ht="15.75" x14ac:dyDescent="0.25">
      <c r="A71" s="26" t="s">
        <v>81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2" ht="21.75" thickBot="1" x14ac:dyDescent="0.25">
      <c r="A72" s="177" t="s">
        <v>44</v>
      </c>
      <c r="B72" s="178"/>
      <c r="C72" s="178"/>
      <c r="D72" s="179">
        <f>SUM(D64:D71)</f>
        <v>0</v>
      </c>
      <c r="E72" s="179">
        <f t="shared" ref="E72:G72" si="8">SUM(E64:E71)</f>
        <v>0</v>
      </c>
      <c r="F72" s="179">
        <f t="shared" si="8"/>
        <v>24947</v>
      </c>
      <c r="G72" s="179">
        <f t="shared" si="8"/>
        <v>0</v>
      </c>
      <c r="H72" s="179">
        <f>SUM(H64:H71)</f>
        <v>0</v>
      </c>
      <c r="I72" s="179">
        <f t="shared" ref="I72:K72" si="9">SUM(I64:I71)</f>
        <v>0</v>
      </c>
      <c r="J72" s="179">
        <f t="shared" si="9"/>
        <v>0</v>
      </c>
      <c r="K72" s="179">
        <f t="shared" si="9"/>
        <v>0</v>
      </c>
    </row>
    <row r="73" spans="1:12" ht="21.75" thickBot="1" x14ac:dyDescent="0.25">
      <c r="A73" s="122" t="s">
        <v>45</v>
      </c>
      <c r="B73" s="121"/>
      <c r="C73" s="121"/>
      <c r="D73" s="131">
        <f>D72+D63+D54+D21+D8</f>
        <v>0</v>
      </c>
      <c r="E73" s="131">
        <f t="shared" ref="E73:G73" si="10">E72+E63+E54+E21+E8</f>
        <v>0</v>
      </c>
      <c r="F73" s="131">
        <f t="shared" si="10"/>
        <v>206323</v>
      </c>
      <c r="G73" s="131">
        <f t="shared" si="10"/>
        <v>0</v>
      </c>
      <c r="H73" s="131">
        <f>H72+H63+H54+H21+H8</f>
        <v>0</v>
      </c>
      <c r="I73" s="131">
        <f t="shared" ref="I73:K73" si="11">I72+I63+I54+I21+I8</f>
        <v>0</v>
      </c>
      <c r="J73" s="131">
        <f t="shared" si="11"/>
        <v>87150</v>
      </c>
      <c r="K73" s="131">
        <f t="shared" si="11"/>
        <v>0</v>
      </c>
    </row>
    <row r="76" spans="1:12" x14ac:dyDescent="0.25">
      <c r="F76" s="6"/>
    </row>
  </sheetData>
  <autoFilter ref="A2:K73" xr:uid="{885942E4-EDC3-4912-B68F-202C63AD69E3}"/>
  <mergeCells count="2">
    <mergeCell ref="D1:G1"/>
    <mergeCell ref="H1:K1"/>
  </mergeCells>
  <conditionalFormatting sqref="A1">
    <cfRule type="duplicateValues" dxfId="79" priority="15"/>
    <cfRule type="duplicateValues" dxfId="78" priority="16"/>
  </conditionalFormatting>
  <conditionalFormatting sqref="A14">
    <cfRule type="duplicateValues" dxfId="77" priority="5"/>
    <cfRule type="duplicateValues" dxfId="76" priority="6"/>
  </conditionalFormatting>
  <conditionalFormatting sqref="A40">
    <cfRule type="duplicateValues" dxfId="75" priority="1"/>
    <cfRule type="duplicateValues" dxfId="74" priority="2"/>
  </conditionalFormatting>
  <conditionalFormatting sqref="A55">
    <cfRule type="duplicateValues" dxfId="73" priority="7"/>
    <cfRule type="duplicateValues" dxfId="72" priority="8"/>
  </conditionalFormatting>
  <conditionalFormatting sqref="A56:A58 A7 A22:A39 A60 A41:A53">
    <cfRule type="duplicateValues" dxfId="71" priority="13"/>
    <cfRule type="duplicateValues" dxfId="70" priority="14"/>
  </conditionalFormatting>
  <conditionalFormatting sqref="A59">
    <cfRule type="duplicateValues" dxfId="69" priority="3"/>
    <cfRule type="duplicateValues" dxfId="68" priority="4"/>
  </conditionalFormatting>
  <conditionalFormatting sqref="A64:A71">
    <cfRule type="duplicateValues" dxfId="67" priority="11"/>
    <cfRule type="duplicateValues" dxfId="66" priority="12"/>
  </conditionalFormatting>
  <conditionalFormatting sqref="A72:A73 A2:A6 A8:A13 A15:A21 A54 A63">
    <cfRule type="duplicateValues" dxfId="65" priority="9"/>
    <cfRule type="duplicateValues" dxfId="64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526D-BE69-4CEF-9B1E-B00AE498E64D}">
  <sheetPr>
    <tabColor rgb="FFFFC000"/>
  </sheetPr>
  <dimension ref="A1:M75"/>
  <sheetViews>
    <sheetView rightToLeft="1" topLeftCell="A46" workbookViewId="0">
      <selection activeCell="A61" sqref="A61:C61"/>
    </sheetView>
  </sheetViews>
  <sheetFormatPr defaultColWidth="30.125" defaultRowHeight="15" x14ac:dyDescent="0.25"/>
  <cols>
    <col min="1" max="1" width="30" style="32" bestFit="1" customWidth="1"/>
    <col min="2" max="2" width="11.375" style="32" customWidth="1"/>
    <col min="3" max="3" width="11.75" style="32" customWidth="1"/>
    <col min="4" max="4" width="16.875" customWidth="1"/>
    <col min="5" max="5" width="15.25" customWidth="1"/>
    <col min="6" max="6" width="16.875" customWidth="1"/>
    <col min="7" max="7" width="19" customWidth="1"/>
    <col min="8" max="9" width="15.25" style="3" customWidth="1"/>
    <col min="10" max="10" width="16.875" style="3" customWidth="1"/>
    <col min="11" max="11" width="19" customWidth="1"/>
  </cols>
  <sheetData>
    <row r="1" spans="1:11" ht="21" x14ac:dyDescent="0.2">
      <c r="A1" s="26"/>
      <c r="B1" s="26"/>
      <c r="C1" s="26"/>
      <c r="D1" s="237">
        <v>2025</v>
      </c>
      <c r="E1" s="237"/>
      <c r="F1" s="237"/>
      <c r="G1" s="237"/>
      <c r="H1" s="238">
        <v>2024</v>
      </c>
      <c r="I1" s="238"/>
      <c r="J1" s="238"/>
      <c r="K1" s="238"/>
    </row>
    <row r="2" spans="1:11" ht="21" x14ac:dyDescent="0.2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75" x14ac:dyDescent="0.25">
      <c r="A3" s="26" t="s">
        <v>1</v>
      </c>
      <c r="B3" s="26" t="s">
        <v>108</v>
      </c>
      <c r="C3" s="26" t="s">
        <v>58</v>
      </c>
      <c r="D3" s="14"/>
      <c r="E3" s="14">
        <v>2456</v>
      </c>
      <c r="F3" s="14"/>
      <c r="G3" s="14"/>
      <c r="H3" s="96"/>
      <c r="I3" s="96">
        <f>306+162</f>
        <v>468</v>
      </c>
      <c r="J3" s="96"/>
      <c r="K3" s="96"/>
    </row>
    <row r="4" spans="1:11" ht="15.75" x14ac:dyDescent="0.25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75" x14ac:dyDescent="0.25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75" x14ac:dyDescent="0.25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96"/>
      <c r="I6" s="96"/>
      <c r="J6" s="96"/>
      <c r="K6" s="96"/>
    </row>
    <row r="7" spans="1:11" ht="16.5" thickBot="1" x14ac:dyDescent="0.3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75" thickBot="1" x14ac:dyDescent="0.4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2456</v>
      </c>
      <c r="F8" s="174">
        <f t="shared" si="0"/>
        <v>0</v>
      </c>
      <c r="G8" s="174">
        <f t="shared" si="0"/>
        <v>0</v>
      </c>
      <c r="H8" s="174">
        <f>SUM(H3:H7)</f>
        <v>0</v>
      </c>
      <c r="I8" s="174">
        <f t="shared" ref="I8:K8" si="1">SUM(I3:I7)</f>
        <v>468</v>
      </c>
      <c r="J8" s="174">
        <f t="shared" si="1"/>
        <v>0</v>
      </c>
      <c r="K8" s="174">
        <f t="shared" si="1"/>
        <v>0</v>
      </c>
    </row>
    <row r="9" spans="1:11" ht="15.75" x14ac:dyDescent="0.25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/>
      <c r="K9" s="96"/>
    </row>
    <row r="10" spans="1:11" ht="15.75" x14ac:dyDescent="0.25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75" x14ac:dyDescent="0.25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75" x14ac:dyDescent="0.25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75" x14ac:dyDescent="0.25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75" x14ac:dyDescent="0.25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/>
    </row>
    <row r="15" spans="1:11" ht="15.75" x14ac:dyDescent="0.25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75" x14ac:dyDescent="0.25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75" x14ac:dyDescent="0.25">
      <c r="A17" s="26" t="s">
        <v>42</v>
      </c>
      <c r="B17" s="26" t="s">
        <v>108</v>
      </c>
      <c r="C17" s="26" t="s">
        <v>106</v>
      </c>
      <c r="D17" s="14"/>
      <c r="E17" s="14"/>
      <c r="F17" s="14"/>
      <c r="G17" s="14"/>
      <c r="H17" s="96"/>
      <c r="I17" s="96"/>
      <c r="J17" s="96"/>
      <c r="K17" s="96"/>
    </row>
    <row r="18" spans="1:11" ht="15.75" x14ac:dyDescent="0.25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/>
    </row>
    <row r="19" spans="1:11" ht="15.75" x14ac:dyDescent="0.25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6.5" thickBot="1" x14ac:dyDescent="0.3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21.75" thickBot="1" x14ac:dyDescent="0.4">
      <c r="A21" s="122" t="s">
        <v>10</v>
      </c>
      <c r="B21" s="121"/>
      <c r="C21" s="121"/>
      <c r="D21" s="174">
        <f>SUM(D9:D20)</f>
        <v>0</v>
      </c>
      <c r="E21" s="174">
        <f t="shared" ref="E21:G21" si="2">SUM(E9:E20)</f>
        <v>0</v>
      </c>
      <c r="F21" s="174">
        <f t="shared" si="2"/>
        <v>0</v>
      </c>
      <c r="G21" s="174">
        <f t="shared" si="2"/>
        <v>0</v>
      </c>
      <c r="H21" s="174">
        <f>SUM(H9:H20)</f>
        <v>0</v>
      </c>
      <c r="I21" s="174">
        <f t="shared" ref="I21:K21" si="3">SUM(I9:I20)</f>
        <v>0</v>
      </c>
      <c r="J21" s="174">
        <f t="shared" si="3"/>
        <v>0</v>
      </c>
      <c r="K21" s="174">
        <f t="shared" si="3"/>
        <v>0</v>
      </c>
    </row>
    <row r="22" spans="1:11" ht="15.75" x14ac:dyDescent="0.25">
      <c r="A22" s="27" t="s">
        <v>11</v>
      </c>
      <c r="B22" s="27" t="s">
        <v>56</v>
      </c>
      <c r="C22" s="27" t="s">
        <v>107</v>
      </c>
      <c r="D22" s="18"/>
      <c r="E22" s="18">
        <v>576</v>
      </c>
      <c r="F22" s="18"/>
      <c r="G22" s="18"/>
      <c r="H22" s="96"/>
      <c r="I22" s="96"/>
      <c r="J22" s="96"/>
      <c r="K22" s="96"/>
    </row>
    <row r="23" spans="1:11" ht="15.75" x14ac:dyDescent="0.25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/>
      <c r="I23" s="96"/>
      <c r="J23" s="96"/>
      <c r="K23" s="96"/>
    </row>
    <row r="24" spans="1:11" ht="15.75" x14ac:dyDescent="0.25">
      <c r="A24" s="30" t="s">
        <v>13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75" x14ac:dyDescent="0.25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75" x14ac:dyDescent="0.25">
      <c r="A26" s="30" t="s">
        <v>15</v>
      </c>
      <c r="B26" s="26" t="s">
        <v>56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75" x14ac:dyDescent="0.25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75" x14ac:dyDescent="0.25">
      <c r="A28" s="30" t="s">
        <v>18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75" x14ac:dyDescent="0.25">
      <c r="A29" s="26" t="s">
        <v>19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75" x14ac:dyDescent="0.25">
      <c r="A30" s="26" t="s">
        <v>20</v>
      </c>
      <c r="B30" s="26" t="s">
        <v>56</v>
      </c>
      <c r="C30" s="26" t="s">
        <v>107</v>
      </c>
      <c r="D30" s="14"/>
      <c r="E30" s="14">
        <v>630</v>
      </c>
      <c r="F30" s="14"/>
      <c r="G30" s="14"/>
      <c r="H30" s="96"/>
      <c r="I30" s="96"/>
      <c r="J30" s="96"/>
      <c r="K30" s="96"/>
    </row>
    <row r="31" spans="1:11" ht="15.75" x14ac:dyDescent="0.25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75" x14ac:dyDescent="0.25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75" x14ac:dyDescent="0.25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75" x14ac:dyDescent="0.25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2" ht="15.75" x14ac:dyDescent="0.25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>
        <v>-198</v>
      </c>
      <c r="J35" s="96"/>
      <c r="K35" s="96"/>
    </row>
    <row r="36" spans="1:12" ht="15.75" x14ac:dyDescent="0.25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2" ht="15.75" x14ac:dyDescent="0.25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2" ht="15.75" x14ac:dyDescent="0.25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75" x14ac:dyDescent="0.25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75" x14ac:dyDescent="0.25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75" x14ac:dyDescent="0.25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75" x14ac:dyDescent="0.25">
      <c r="A42" s="30" t="s">
        <v>95</v>
      </c>
      <c r="B42" s="26" t="s">
        <v>56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75" x14ac:dyDescent="0.25">
      <c r="A43" s="26" t="s">
        <v>83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75" x14ac:dyDescent="0.25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75" x14ac:dyDescent="0.25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75" x14ac:dyDescent="0.25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  <c r="L46" s="138"/>
    </row>
    <row r="47" spans="1:12" ht="15.75" x14ac:dyDescent="0.25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</row>
    <row r="48" spans="1:12" ht="15.75" x14ac:dyDescent="0.25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75" x14ac:dyDescent="0.25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75" x14ac:dyDescent="0.25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75" x14ac:dyDescent="0.25">
      <c r="A51" s="26" t="s">
        <v>91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3" ht="15.75" x14ac:dyDescent="0.25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3" ht="16.5" thickBot="1" x14ac:dyDescent="0.3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96"/>
      <c r="I53" s="96"/>
      <c r="J53" s="96"/>
      <c r="K53" s="96"/>
    </row>
    <row r="54" spans="1:13" ht="21.75" thickBot="1" x14ac:dyDescent="0.4">
      <c r="A54" s="123" t="s">
        <v>116</v>
      </c>
      <c r="B54" s="121"/>
      <c r="C54" s="121"/>
      <c r="D54" s="174">
        <f>SUM(D22:D53)</f>
        <v>0</v>
      </c>
      <c r="E54" s="174">
        <f t="shared" ref="E54:G54" si="4">SUM(E22:E53)</f>
        <v>1206</v>
      </c>
      <c r="F54" s="174">
        <f t="shared" si="4"/>
        <v>0</v>
      </c>
      <c r="G54" s="174">
        <f t="shared" si="4"/>
        <v>0</v>
      </c>
      <c r="H54" s="174">
        <f>SUM(H22:H53)</f>
        <v>0</v>
      </c>
      <c r="I54" s="174">
        <f t="shared" ref="I54:K54" si="5">SUM(I22:I53)</f>
        <v>-198</v>
      </c>
      <c r="J54" s="174">
        <f t="shared" si="5"/>
        <v>0</v>
      </c>
      <c r="K54" s="174">
        <f t="shared" si="5"/>
        <v>0</v>
      </c>
    </row>
    <row r="55" spans="1:13" ht="15.75" x14ac:dyDescent="0.25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/>
      <c r="I55" s="96"/>
      <c r="J55" s="96"/>
      <c r="K55" s="96"/>
    </row>
    <row r="56" spans="1:13" ht="15.75" x14ac:dyDescent="0.25">
      <c r="A56" s="26" t="s">
        <v>84</v>
      </c>
      <c r="B56" s="26" t="s">
        <v>115</v>
      </c>
      <c r="C56" s="26" t="s">
        <v>107</v>
      </c>
      <c r="D56" s="14"/>
      <c r="E56" s="14"/>
      <c r="F56" s="14"/>
      <c r="G56" s="14"/>
      <c r="H56" s="96"/>
      <c r="I56" s="96"/>
      <c r="J56" s="96"/>
      <c r="K56" s="96"/>
    </row>
    <row r="57" spans="1:13" ht="15.75" x14ac:dyDescent="0.25">
      <c r="A57" s="26" t="s">
        <v>37</v>
      </c>
      <c r="B57" s="26" t="s">
        <v>115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  <c r="M57" s="133"/>
    </row>
    <row r="58" spans="1:13" ht="15.75" x14ac:dyDescent="0.25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  <c r="M58" s="133"/>
    </row>
    <row r="59" spans="1:13" ht="15.75" x14ac:dyDescent="0.25">
      <c r="A59" s="27" t="s">
        <v>86</v>
      </c>
      <c r="B59" s="27" t="s">
        <v>115</v>
      </c>
      <c r="C59" s="27" t="s">
        <v>107</v>
      </c>
      <c r="D59" s="14"/>
      <c r="E59" s="14"/>
      <c r="F59" s="14"/>
      <c r="G59" s="14"/>
      <c r="H59" s="96"/>
      <c r="I59" s="96"/>
      <c r="J59" s="96"/>
      <c r="K59" s="96"/>
      <c r="M59" s="133"/>
    </row>
    <row r="60" spans="1:13" ht="15.75" x14ac:dyDescent="0.25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</row>
    <row r="61" spans="1:13" ht="15.75" x14ac:dyDescent="0.25">
      <c r="A61" s="246" t="s">
        <v>136</v>
      </c>
      <c r="B61" s="26" t="s">
        <v>115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3" ht="16.5" thickBot="1" x14ac:dyDescent="0.3">
      <c r="A62" s="117" t="s">
        <v>99</v>
      </c>
      <c r="B62" s="26" t="s">
        <v>115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3" ht="21.75" thickBot="1" x14ac:dyDescent="0.4">
      <c r="A63" s="123" t="s">
        <v>117</v>
      </c>
      <c r="B63" s="121"/>
      <c r="C63" s="121"/>
      <c r="D63" s="174">
        <f>SUM(D55:D62)</f>
        <v>0</v>
      </c>
      <c r="E63" s="174">
        <f t="shared" ref="E63:G63" si="6">SUM(E55:E62)</f>
        <v>0</v>
      </c>
      <c r="F63" s="174">
        <f t="shared" si="6"/>
        <v>0</v>
      </c>
      <c r="G63" s="174">
        <f t="shared" si="6"/>
        <v>0</v>
      </c>
      <c r="H63" s="174">
        <f>SUM(H55:H62)</f>
        <v>0</v>
      </c>
      <c r="I63" s="174">
        <f t="shared" ref="I63:K63" si="7">SUM(I55:I62)</f>
        <v>0</v>
      </c>
      <c r="J63" s="174">
        <f t="shared" si="7"/>
        <v>0</v>
      </c>
      <c r="K63" s="174">
        <f t="shared" si="7"/>
        <v>0</v>
      </c>
    </row>
    <row r="64" spans="1:13" ht="15.75" x14ac:dyDescent="0.25">
      <c r="A64" s="27" t="s">
        <v>77</v>
      </c>
      <c r="B64" s="26" t="s">
        <v>108</v>
      </c>
      <c r="C64" s="27" t="s">
        <v>102</v>
      </c>
      <c r="D64" s="18"/>
      <c r="E64" s="18">
        <v>1800</v>
      </c>
      <c r="F64" s="18"/>
      <c r="G64" s="18"/>
      <c r="H64" s="96"/>
      <c r="I64" s="96">
        <v>144</v>
      </c>
      <c r="J64" s="96"/>
      <c r="K64" s="96"/>
    </row>
    <row r="65" spans="1:12" ht="15.75" x14ac:dyDescent="0.25">
      <c r="A65" s="30" t="s">
        <v>40</v>
      </c>
      <c r="B65" s="26" t="s">
        <v>56</v>
      </c>
      <c r="C65" s="26" t="s">
        <v>103</v>
      </c>
      <c r="D65" s="14"/>
      <c r="E65" s="14">
        <v>5307</v>
      </c>
      <c r="F65" s="14"/>
      <c r="G65" s="14"/>
      <c r="H65" s="96"/>
      <c r="I65" s="96">
        <v>540</v>
      </c>
      <c r="J65" s="96"/>
      <c r="K65" s="96"/>
    </row>
    <row r="66" spans="1:12" ht="15.75" x14ac:dyDescent="0.25">
      <c r="A66" s="26" t="s">
        <v>90</v>
      </c>
      <c r="B66" s="26" t="s">
        <v>108</v>
      </c>
      <c r="C66" s="26" t="s">
        <v>103</v>
      </c>
      <c r="D66" s="14"/>
      <c r="E66" s="14"/>
      <c r="F66" s="14"/>
      <c r="G66" s="14"/>
      <c r="H66" s="96"/>
      <c r="I66" s="96"/>
      <c r="J66" s="96"/>
      <c r="K66" s="96"/>
    </row>
    <row r="67" spans="1:12" ht="15.75" x14ac:dyDescent="0.25">
      <c r="A67" s="26" t="s">
        <v>92</v>
      </c>
      <c r="B67" s="26" t="s">
        <v>56</v>
      </c>
      <c r="C67" s="26" t="s">
        <v>103</v>
      </c>
      <c r="D67" s="14"/>
      <c r="E67" s="14"/>
      <c r="F67" s="14"/>
      <c r="G67" s="14"/>
      <c r="H67" s="96"/>
      <c r="I67" s="96"/>
      <c r="J67" s="96"/>
      <c r="K67" s="96"/>
    </row>
    <row r="68" spans="1:12" ht="15.75" x14ac:dyDescent="0.25">
      <c r="A68" s="26" t="s">
        <v>93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</row>
    <row r="69" spans="1:12" ht="15.75" x14ac:dyDescent="0.25">
      <c r="A69" s="26" t="s">
        <v>100</v>
      </c>
      <c r="B69" s="26" t="s">
        <v>56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  <c r="L69" s="138"/>
    </row>
    <row r="70" spans="1:12" ht="15.75" x14ac:dyDescent="0.25">
      <c r="A70" s="118" t="s">
        <v>101</v>
      </c>
      <c r="B70" s="26" t="s">
        <v>56</v>
      </c>
      <c r="C70" s="26" t="s">
        <v>103</v>
      </c>
      <c r="D70" s="14"/>
      <c r="E70" s="14">
        <v>288</v>
      </c>
      <c r="F70" s="14"/>
      <c r="G70" s="14"/>
      <c r="H70" s="96"/>
      <c r="I70" s="96"/>
      <c r="J70" s="96"/>
      <c r="K70" s="96"/>
    </row>
    <row r="71" spans="1:12" ht="15.75" x14ac:dyDescent="0.25">
      <c r="A71" s="26" t="s">
        <v>81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2" ht="21.75" thickBot="1" x14ac:dyDescent="0.25">
      <c r="A72" s="177" t="s">
        <v>44</v>
      </c>
      <c r="B72" s="178"/>
      <c r="C72" s="178"/>
      <c r="D72" s="179">
        <f>SUM(D64:D71)</f>
        <v>0</v>
      </c>
      <c r="E72" s="179">
        <f t="shared" ref="E72:G72" si="8">SUM(E64:E71)</f>
        <v>7395</v>
      </c>
      <c r="F72" s="179">
        <f t="shared" si="8"/>
        <v>0</v>
      </c>
      <c r="G72" s="179">
        <f t="shared" si="8"/>
        <v>0</v>
      </c>
      <c r="H72" s="179">
        <f>SUM(H64:H71)</f>
        <v>0</v>
      </c>
      <c r="I72" s="179">
        <f t="shared" ref="I72:K72" si="9">SUM(I64:I71)</f>
        <v>684</v>
      </c>
      <c r="J72" s="179">
        <f t="shared" si="9"/>
        <v>0</v>
      </c>
      <c r="K72" s="179">
        <f t="shared" si="9"/>
        <v>0</v>
      </c>
    </row>
    <row r="73" spans="1:12" ht="21.75" thickBot="1" x14ac:dyDescent="0.25">
      <c r="A73" s="122" t="s">
        <v>45</v>
      </c>
      <c r="B73" s="121"/>
      <c r="C73" s="121"/>
      <c r="D73" s="131">
        <f>D72+D63+D54+D21+D8</f>
        <v>0</v>
      </c>
      <c r="E73" s="131">
        <f t="shared" ref="E73:G73" si="10">E72+E63+E54+E21+E8</f>
        <v>11057</v>
      </c>
      <c r="F73" s="131">
        <f t="shared" si="10"/>
        <v>0</v>
      </c>
      <c r="G73" s="131">
        <f t="shared" si="10"/>
        <v>0</v>
      </c>
      <c r="H73" s="131">
        <f>H72+H63+H54+H21+H8</f>
        <v>0</v>
      </c>
      <c r="I73" s="131">
        <f t="shared" ref="I73:K73" si="11">I72+I63+I54+I21+I8</f>
        <v>954</v>
      </c>
      <c r="J73" s="131">
        <f t="shared" si="11"/>
        <v>0</v>
      </c>
      <c r="K73" s="131">
        <f t="shared" si="11"/>
        <v>0</v>
      </c>
    </row>
    <row r="75" spans="1:12" x14ac:dyDescent="0.25">
      <c r="E75" s="6">
        <v>11057</v>
      </c>
    </row>
  </sheetData>
  <autoFilter ref="A2:K73" xr:uid="{E9F1526D-BE69-4CEF-9B1E-B00AE498E64D}"/>
  <mergeCells count="2">
    <mergeCell ref="D1:G1"/>
    <mergeCell ref="H1:K1"/>
  </mergeCells>
  <conditionalFormatting sqref="A1">
    <cfRule type="duplicateValues" dxfId="63" priority="15"/>
    <cfRule type="duplicateValues" dxfId="62" priority="16"/>
  </conditionalFormatting>
  <conditionalFormatting sqref="A14">
    <cfRule type="duplicateValues" dxfId="61" priority="5"/>
    <cfRule type="duplicateValues" dxfId="60" priority="6"/>
  </conditionalFormatting>
  <conditionalFormatting sqref="A40">
    <cfRule type="duplicateValues" dxfId="59" priority="1"/>
    <cfRule type="duplicateValues" dxfId="58" priority="2"/>
  </conditionalFormatting>
  <conditionalFormatting sqref="A55">
    <cfRule type="duplicateValues" dxfId="57" priority="7"/>
    <cfRule type="duplicateValues" dxfId="56" priority="8"/>
  </conditionalFormatting>
  <conditionalFormatting sqref="A56:A58 A7 A22:A39 A60 A41:A53">
    <cfRule type="duplicateValues" dxfId="55" priority="13"/>
    <cfRule type="duplicateValues" dxfId="54" priority="14"/>
  </conditionalFormatting>
  <conditionalFormatting sqref="A59">
    <cfRule type="duplicateValues" dxfId="53" priority="3"/>
    <cfRule type="duplicateValues" dxfId="52" priority="4"/>
  </conditionalFormatting>
  <conditionalFormatting sqref="A64:A71">
    <cfRule type="duplicateValues" dxfId="51" priority="11"/>
    <cfRule type="duplicateValues" dxfId="50" priority="12"/>
  </conditionalFormatting>
  <conditionalFormatting sqref="A72:A73 A2:A6 A8:A13 A15:A21 A54 A63">
    <cfRule type="duplicateValues" dxfId="49" priority="9"/>
    <cfRule type="duplicateValues" dxfId="48" priority="10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A15B-8C4D-479C-BAB3-74D7E7AAE8D7}">
  <sheetPr>
    <tabColor rgb="FFFFC000"/>
  </sheetPr>
  <dimension ref="A1:M79"/>
  <sheetViews>
    <sheetView rightToLeft="1" topLeftCell="A47" workbookViewId="0">
      <selection activeCell="A61" sqref="A61:C61"/>
    </sheetView>
  </sheetViews>
  <sheetFormatPr defaultColWidth="30.125" defaultRowHeight="15" x14ac:dyDescent="0.25"/>
  <cols>
    <col min="1" max="1" width="30" style="32" bestFit="1" customWidth="1"/>
    <col min="2" max="2" width="11.375" style="32" customWidth="1"/>
    <col min="3" max="3" width="11.75" style="32" customWidth="1"/>
    <col min="4" max="4" width="16.875" customWidth="1"/>
    <col min="5" max="5" width="15.25" customWidth="1"/>
    <col min="6" max="6" width="17.125" customWidth="1"/>
    <col min="7" max="7" width="19" customWidth="1"/>
    <col min="8" max="9" width="15.25" style="3" customWidth="1"/>
    <col min="10" max="10" width="16.875" style="3" customWidth="1"/>
    <col min="11" max="11" width="19" customWidth="1"/>
  </cols>
  <sheetData>
    <row r="1" spans="1:11" ht="21" x14ac:dyDescent="0.2">
      <c r="A1" s="26"/>
      <c r="B1" s="26"/>
      <c r="C1" s="26"/>
      <c r="D1" s="237">
        <v>2025</v>
      </c>
      <c r="E1" s="237"/>
      <c r="F1" s="237"/>
      <c r="G1" s="237"/>
      <c r="H1" s="238">
        <v>2024</v>
      </c>
      <c r="I1" s="238"/>
      <c r="J1" s="238"/>
      <c r="K1" s="238"/>
    </row>
    <row r="2" spans="1:11" ht="21" x14ac:dyDescent="0.2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75" x14ac:dyDescent="0.25">
      <c r="A3" s="26" t="s">
        <v>1</v>
      </c>
      <c r="B3" s="26" t="s">
        <v>108</v>
      </c>
      <c r="C3" s="26" t="s">
        <v>58</v>
      </c>
      <c r="D3" s="14"/>
      <c r="E3" s="14"/>
      <c r="F3" s="14">
        <f>6183295.17-F4</f>
        <v>5804796.1899999995</v>
      </c>
      <c r="G3" s="14"/>
      <c r="H3" s="96"/>
      <c r="I3" s="96"/>
      <c r="J3" s="96">
        <f>5896889.6-J4-J64</f>
        <v>4556254.68</v>
      </c>
      <c r="K3" s="96"/>
    </row>
    <row r="4" spans="1:11" ht="15.75" x14ac:dyDescent="0.25">
      <c r="A4" s="26" t="s">
        <v>2</v>
      </c>
      <c r="B4" s="26" t="s">
        <v>108</v>
      </c>
      <c r="C4" s="26" t="s">
        <v>58</v>
      </c>
      <c r="D4" s="14"/>
      <c r="E4" s="14"/>
      <c r="F4" s="187">
        <v>378498.98</v>
      </c>
      <c r="G4" s="14"/>
      <c r="H4" s="96"/>
      <c r="I4" s="96"/>
      <c r="J4" s="188">
        <v>146201.07</v>
      </c>
      <c r="K4" s="96"/>
    </row>
    <row r="5" spans="1:11" ht="15.75" x14ac:dyDescent="0.25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75" x14ac:dyDescent="0.25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96"/>
      <c r="I6" s="96"/>
      <c r="J6" s="96"/>
      <c r="K6" s="96"/>
    </row>
    <row r="7" spans="1:11" ht="16.5" thickBot="1" x14ac:dyDescent="0.3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75" thickBot="1" x14ac:dyDescent="0.4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0</v>
      </c>
      <c r="F8" s="174">
        <f t="shared" si="0"/>
        <v>6183295.1699999999</v>
      </c>
      <c r="G8" s="174">
        <f t="shared" si="0"/>
        <v>0</v>
      </c>
      <c r="H8" s="174">
        <f>SUM(H3:H7)</f>
        <v>0</v>
      </c>
      <c r="I8" s="174">
        <f t="shared" ref="I8:K8" si="1">SUM(I3:I7)</f>
        <v>0</v>
      </c>
      <c r="J8" s="174">
        <f t="shared" si="1"/>
        <v>4702455.75</v>
      </c>
      <c r="K8" s="174">
        <f t="shared" si="1"/>
        <v>0</v>
      </c>
    </row>
    <row r="9" spans="1:11" ht="15.75" x14ac:dyDescent="0.25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/>
      <c r="K9" s="96"/>
    </row>
    <row r="10" spans="1:11" ht="15.75" x14ac:dyDescent="0.25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75" x14ac:dyDescent="0.25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75" x14ac:dyDescent="0.25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75" x14ac:dyDescent="0.25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75" x14ac:dyDescent="0.25">
      <c r="A14" s="26" t="s">
        <v>9</v>
      </c>
      <c r="B14" s="26" t="s">
        <v>108</v>
      </c>
      <c r="C14" s="26" t="s">
        <v>106</v>
      </c>
      <c r="D14" s="14"/>
      <c r="E14" s="14"/>
      <c r="F14" s="14">
        <v>732443.58</v>
      </c>
      <c r="G14" s="14"/>
      <c r="H14" s="96"/>
      <c r="I14" s="96"/>
      <c r="J14" s="96">
        <v>704610.47</v>
      </c>
      <c r="K14" s="96"/>
    </row>
    <row r="15" spans="1:11" ht="15.75" x14ac:dyDescent="0.25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75" x14ac:dyDescent="0.25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75" x14ac:dyDescent="0.25">
      <c r="A17" s="26" t="s">
        <v>42</v>
      </c>
      <c r="B17" s="26" t="s">
        <v>108</v>
      </c>
      <c r="C17" s="26" t="s">
        <v>106</v>
      </c>
      <c r="D17" s="14"/>
      <c r="E17" s="14"/>
      <c r="F17" s="14">
        <v>1489229.72</v>
      </c>
      <c r="G17" s="14"/>
      <c r="H17" s="96"/>
      <c r="I17" s="96"/>
      <c r="J17" s="96">
        <v>440800.82</v>
      </c>
      <c r="K17" s="96"/>
    </row>
    <row r="18" spans="1:11" ht="15.75" x14ac:dyDescent="0.25">
      <c r="A18" s="26" t="s">
        <v>43</v>
      </c>
      <c r="B18" s="26" t="s">
        <v>108</v>
      </c>
      <c r="C18" s="26" t="s">
        <v>106</v>
      </c>
      <c r="D18" s="14"/>
      <c r="E18" s="14"/>
      <c r="F18" s="14">
        <v>346362.21</v>
      </c>
      <c r="G18" s="14"/>
      <c r="H18" s="96"/>
      <c r="I18" s="96"/>
      <c r="J18" s="96">
        <v>2531705.85</v>
      </c>
      <c r="K18" s="96"/>
    </row>
    <row r="19" spans="1:11" ht="15.75" x14ac:dyDescent="0.25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6.5" thickBot="1" x14ac:dyDescent="0.3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21.75" thickBot="1" x14ac:dyDescent="0.4">
      <c r="A21" s="122" t="s">
        <v>10</v>
      </c>
      <c r="B21" s="121"/>
      <c r="C21" s="121"/>
      <c r="D21" s="174">
        <f>SUM(D9:D20)</f>
        <v>0</v>
      </c>
      <c r="E21" s="174">
        <f t="shared" ref="E21:G21" si="2">SUM(E9:E20)</f>
        <v>0</v>
      </c>
      <c r="F21" s="174">
        <f t="shared" si="2"/>
        <v>2568035.5099999998</v>
      </c>
      <c r="G21" s="174">
        <f t="shared" si="2"/>
        <v>0</v>
      </c>
      <c r="H21" s="174">
        <f>SUM(H9:H20)</f>
        <v>0</v>
      </c>
      <c r="I21" s="174">
        <f t="shared" ref="I21:K21" si="3">SUM(I9:I20)</f>
        <v>0</v>
      </c>
      <c r="J21" s="174">
        <f t="shared" si="3"/>
        <v>3677117.14</v>
      </c>
      <c r="K21" s="174">
        <f t="shared" si="3"/>
        <v>0</v>
      </c>
    </row>
    <row r="22" spans="1:11" ht="15.75" x14ac:dyDescent="0.25">
      <c r="A22" s="27" t="s">
        <v>11</v>
      </c>
      <c r="B22" s="27" t="s">
        <v>56</v>
      </c>
      <c r="C22" s="27" t="s">
        <v>107</v>
      </c>
      <c r="D22" s="18"/>
      <c r="E22" s="18"/>
      <c r="F22" s="18"/>
      <c r="G22" s="18"/>
      <c r="H22" s="96"/>
      <c r="I22" s="96"/>
      <c r="J22" s="96"/>
      <c r="K22" s="96"/>
    </row>
    <row r="23" spans="1:11" ht="15.75" x14ac:dyDescent="0.25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/>
      <c r="I23" s="96"/>
      <c r="J23" s="96"/>
      <c r="K23" s="96"/>
    </row>
    <row r="24" spans="1:11" ht="15.75" x14ac:dyDescent="0.25">
      <c r="A24" s="30" t="s">
        <v>13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75" x14ac:dyDescent="0.25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75" x14ac:dyDescent="0.25">
      <c r="A26" s="30" t="s">
        <v>15</v>
      </c>
      <c r="B26" s="26" t="s">
        <v>56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75" x14ac:dyDescent="0.25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75" x14ac:dyDescent="0.25">
      <c r="A28" s="30" t="s">
        <v>18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75" x14ac:dyDescent="0.25">
      <c r="A29" s="26" t="s">
        <v>19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75" x14ac:dyDescent="0.25">
      <c r="A30" s="26" t="s">
        <v>20</v>
      </c>
      <c r="B30" s="26" t="s">
        <v>56</v>
      </c>
      <c r="C30" s="26" t="s">
        <v>107</v>
      </c>
      <c r="D30" s="14"/>
      <c r="E30" s="14"/>
      <c r="F30" s="14">
        <v>755699.33</v>
      </c>
      <c r="G30" s="14"/>
      <c r="H30" s="96"/>
      <c r="I30" s="96"/>
      <c r="J30" s="96">
        <v>468744.05</v>
      </c>
      <c r="K30" s="96"/>
    </row>
    <row r="31" spans="1:11" ht="15.75" x14ac:dyDescent="0.25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75" x14ac:dyDescent="0.25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75" x14ac:dyDescent="0.25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75" x14ac:dyDescent="0.25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2" ht="15.75" x14ac:dyDescent="0.25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75" x14ac:dyDescent="0.25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2" ht="15.75" x14ac:dyDescent="0.25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2" ht="15.75" x14ac:dyDescent="0.25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75" x14ac:dyDescent="0.25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75" x14ac:dyDescent="0.25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75" x14ac:dyDescent="0.25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75" x14ac:dyDescent="0.25">
      <c r="A42" s="30" t="s">
        <v>95</v>
      </c>
      <c r="B42" s="26" t="s">
        <v>56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75" x14ac:dyDescent="0.25">
      <c r="A43" s="26" t="s">
        <v>83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75" x14ac:dyDescent="0.25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75" x14ac:dyDescent="0.25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75" x14ac:dyDescent="0.25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  <c r="L46" s="138"/>
    </row>
    <row r="47" spans="1:12" ht="15.75" x14ac:dyDescent="0.25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</row>
    <row r="48" spans="1:12" ht="15.75" x14ac:dyDescent="0.25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75" x14ac:dyDescent="0.25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75" x14ac:dyDescent="0.25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75" x14ac:dyDescent="0.25">
      <c r="A51" s="26" t="s">
        <v>91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3" ht="15.75" x14ac:dyDescent="0.25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3" ht="16.5" thickBot="1" x14ac:dyDescent="0.3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96"/>
      <c r="I53" s="96"/>
      <c r="J53" s="96"/>
      <c r="K53" s="96"/>
    </row>
    <row r="54" spans="1:13" ht="21.75" thickBot="1" x14ac:dyDescent="0.4">
      <c r="A54" s="123" t="s">
        <v>116</v>
      </c>
      <c r="B54" s="121"/>
      <c r="C54" s="121"/>
      <c r="D54" s="174">
        <f>SUM(D22:D53)</f>
        <v>0</v>
      </c>
      <c r="E54" s="174">
        <f t="shared" ref="E54:G54" si="4">SUM(E22:E53)</f>
        <v>0</v>
      </c>
      <c r="F54" s="174">
        <f t="shared" si="4"/>
        <v>755699.33</v>
      </c>
      <c r="G54" s="174">
        <f t="shared" si="4"/>
        <v>0</v>
      </c>
      <c r="H54" s="174">
        <f>SUM(H22:H53)</f>
        <v>0</v>
      </c>
      <c r="I54" s="174">
        <f t="shared" ref="I54:K54" si="5">SUM(I22:I53)</f>
        <v>0</v>
      </c>
      <c r="J54" s="174">
        <f t="shared" si="5"/>
        <v>468744.05</v>
      </c>
      <c r="K54" s="174">
        <f t="shared" si="5"/>
        <v>0</v>
      </c>
    </row>
    <row r="55" spans="1:13" ht="15.75" x14ac:dyDescent="0.25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/>
      <c r="I55" s="96"/>
      <c r="J55" s="96"/>
      <c r="K55" s="96"/>
    </row>
    <row r="56" spans="1:13" ht="15.75" x14ac:dyDescent="0.25">
      <c r="A56" s="26" t="s">
        <v>84</v>
      </c>
      <c r="B56" s="26" t="s">
        <v>115</v>
      </c>
      <c r="C56" s="26" t="s">
        <v>107</v>
      </c>
      <c r="D56" s="14"/>
      <c r="E56" s="14"/>
      <c r="F56" s="14">
        <v>69225.08</v>
      </c>
      <c r="G56" s="14"/>
      <c r="H56" s="96"/>
      <c r="I56" s="96"/>
      <c r="J56" s="96">
        <v>17050</v>
      </c>
      <c r="K56" s="96"/>
    </row>
    <row r="57" spans="1:13" ht="15.75" x14ac:dyDescent="0.25">
      <c r="A57" s="26" t="s">
        <v>37</v>
      </c>
      <c r="B57" s="26" t="s">
        <v>115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  <c r="M57" s="133"/>
    </row>
    <row r="58" spans="1:13" ht="15.75" x14ac:dyDescent="0.25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  <c r="M58" s="133"/>
    </row>
    <row r="59" spans="1:13" ht="15.75" x14ac:dyDescent="0.25">
      <c r="A59" s="27" t="s">
        <v>86</v>
      </c>
      <c r="B59" s="27" t="s">
        <v>115</v>
      </c>
      <c r="C59" s="27" t="s">
        <v>107</v>
      </c>
      <c r="D59" s="14"/>
      <c r="E59" s="14"/>
      <c r="F59" s="14">
        <v>1078093.05</v>
      </c>
      <c r="G59" s="14"/>
      <c r="H59" s="96"/>
      <c r="I59" s="96"/>
      <c r="J59" s="96">
        <v>2742304.39</v>
      </c>
      <c r="K59" s="96"/>
      <c r="M59" s="133"/>
    </row>
    <row r="60" spans="1:13" ht="15.75" x14ac:dyDescent="0.25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</row>
    <row r="61" spans="1:13" ht="15.75" x14ac:dyDescent="0.25">
      <c r="A61" s="246" t="s">
        <v>136</v>
      </c>
      <c r="B61" s="26" t="s">
        <v>115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3" ht="16.5" thickBot="1" x14ac:dyDescent="0.3">
      <c r="A62" s="117" t="s">
        <v>99</v>
      </c>
      <c r="B62" s="26" t="s">
        <v>115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3" ht="21.75" thickBot="1" x14ac:dyDescent="0.4">
      <c r="A63" s="123" t="s">
        <v>117</v>
      </c>
      <c r="B63" s="121"/>
      <c r="C63" s="121"/>
      <c r="D63" s="174">
        <f>SUM(D55:D62)</f>
        <v>0</v>
      </c>
      <c r="E63" s="174">
        <f t="shared" ref="E63:G63" si="6">SUM(E55:E62)</f>
        <v>0</v>
      </c>
      <c r="F63" s="174">
        <f t="shared" si="6"/>
        <v>1147318.1300000001</v>
      </c>
      <c r="G63" s="174">
        <f t="shared" si="6"/>
        <v>0</v>
      </c>
      <c r="H63" s="174">
        <f>SUM(H55:H62)</f>
        <v>0</v>
      </c>
      <c r="I63" s="174">
        <f t="shared" ref="I63:K63" si="7">SUM(I55:I62)</f>
        <v>0</v>
      </c>
      <c r="J63" s="174">
        <f t="shared" si="7"/>
        <v>2759354.39</v>
      </c>
      <c r="K63" s="174">
        <f t="shared" si="7"/>
        <v>0</v>
      </c>
    </row>
    <row r="64" spans="1:13" ht="15.75" x14ac:dyDescent="0.25">
      <c r="A64" s="27" t="s">
        <v>77</v>
      </c>
      <c r="B64" s="26" t="s">
        <v>108</v>
      </c>
      <c r="C64" s="27" t="s">
        <v>102</v>
      </c>
      <c r="D64" s="18"/>
      <c r="E64" s="18"/>
      <c r="F64" s="18">
        <v>670790.42000000004</v>
      </c>
      <c r="G64" s="18"/>
      <c r="H64" s="96"/>
      <c r="I64" s="96"/>
      <c r="J64" s="188">
        <v>1194433.8500000001</v>
      </c>
      <c r="K64" s="96"/>
    </row>
    <row r="65" spans="1:12" ht="15.75" x14ac:dyDescent="0.25">
      <c r="A65" s="30" t="s">
        <v>40</v>
      </c>
      <c r="B65" s="26" t="s">
        <v>56</v>
      </c>
      <c r="C65" s="26" t="s">
        <v>103</v>
      </c>
      <c r="D65" s="14"/>
      <c r="E65" s="14"/>
      <c r="F65" s="14">
        <v>7533.43</v>
      </c>
      <c r="G65" s="14"/>
      <c r="H65" s="96"/>
      <c r="I65" s="96"/>
      <c r="J65" s="96"/>
      <c r="K65" s="96"/>
    </row>
    <row r="66" spans="1:12" ht="15.75" x14ac:dyDescent="0.25">
      <c r="A66" s="26" t="s">
        <v>90</v>
      </c>
      <c r="B66" s="26" t="s">
        <v>108</v>
      </c>
      <c r="C66" s="26" t="s">
        <v>103</v>
      </c>
      <c r="D66" s="14"/>
      <c r="E66" s="14"/>
      <c r="F66" s="14"/>
      <c r="G66" s="14"/>
      <c r="H66" s="96"/>
      <c r="I66" s="96"/>
      <c r="J66" s="96"/>
      <c r="K66" s="96"/>
    </row>
    <row r="67" spans="1:12" ht="15.75" x14ac:dyDescent="0.25">
      <c r="A67" s="26" t="s">
        <v>92</v>
      </c>
      <c r="B67" s="26" t="s">
        <v>56</v>
      </c>
      <c r="C67" s="26" t="s">
        <v>103</v>
      </c>
      <c r="D67" s="14"/>
      <c r="E67" s="14"/>
      <c r="F67" s="14"/>
      <c r="G67" s="14"/>
      <c r="H67" s="96"/>
      <c r="I67" s="96"/>
      <c r="J67" s="96"/>
      <c r="K67" s="96"/>
    </row>
    <row r="68" spans="1:12" ht="15.75" x14ac:dyDescent="0.25">
      <c r="A68" s="26" t="s">
        <v>93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</row>
    <row r="69" spans="1:12" ht="15.75" x14ac:dyDescent="0.25">
      <c r="A69" s="26" t="s">
        <v>100</v>
      </c>
      <c r="B69" s="26" t="s">
        <v>56</v>
      </c>
      <c r="C69" s="26" t="s">
        <v>103</v>
      </c>
      <c r="D69" s="14"/>
      <c r="E69" s="14"/>
      <c r="F69" s="14">
        <v>46827.65</v>
      </c>
      <c r="G69" s="14"/>
      <c r="H69" s="96"/>
      <c r="I69" s="96"/>
      <c r="J69" s="96"/>
      <c r="K69" s="96"/>
      <c r="L69" s="138"/>
    </row>
    <row r="70" spans="1:12" ht="15.75" x14ac:dyDescent="0.25">
      <c r="A70" s="118" t="s">
        <v>101</v>
      </c>
      <c r="B70" s="26" t="s">
        <v>56</v>
      </c>
      <c r="C70" s="26" t="s">
        <v>103</v>
      </c>
      <c r="D70" s="14"/>
      <c r="E70" s="14"/>
      <c r="F70" s="14">
        <v>113887.46</v>
      </c>
      <c r="G70" s="14"/>
      <c r="H70" s="96"/>
      <c r="I70" s="96"/>
      <c r="J70" s="96">
        <v>3289184.34</v>
      </c>
      <c r="K70" s="96"/>
    </row>
    <row r="71" spans="1:12" ht="15.75" x14ac:dyDescent="0.25">
      <c r="A71" s="26" t="s">
        <v>81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2" ht="21.75" thickBot="1" x14ac:dyDescent="0.25">
      <c r="A72" s="177" t="s">
        <v>44</v>
      </c>
      <c r="B72" s="178"/>
      <c r="C72" s="178"/>
      <c r="D72" s="179">
        <f>SUM(D64:D71)</f>
        <v>0</v>
      </c>
      <c r="E72" s="179">
        <f t="shared" ref="E72:G72" si="8">SUM(E64:E71)</f>
        <v>0</v>
      </c>
      <c r="F72" s="179">
        <f t="shared" si="8"/>
        <v>839038.96000000008</v>
      </c>
      <c r="G72" s="179">
        <f t="shared" si="8"/>
        <v>0</v>
      </c>
      <c r="H72" s="179">
        <f>SUM(H64:H71)</f>
        <v>0</v>
      </c>
      <c r="I72" s="179">
        <f t="shared" ref="I72:K72" si="9">SUM(I64:I71)</f>
        <v>0</v>
      </c>
      <c r="J72" s="179">
        <f t="shared" si="9"/>
        <v>4483618.1899999995</v>
      </c>
      <c r="K72" s="179">
        <f t="shared" si="9"/>
        <v>0</v>
      </c>
    </row>
    <row r="73" spans="1:12" ht="21.75" thickBot="1" x14ac:dyDescent="0.25">
      <c r="A73" s="122" t="s">
        <v>45</v>
      </c>
      <c r="B73" s="121"/>
      <c r="C73" s="121"/>
      <c r="D73" s="131">
        <f>D72+D63+D54+D21+D8</f>
        <v>0</v>
      </c>
      <c r="E73" s="131">
        <f t="shared" ref="E73:G73" si="10">E72+E63+E54+E21+E8</f>
        <v>0</v>
      </c>
      <c r="F73" s="131">
        <f t="shared" si="10"/>
        <v>11493387.1</v>
      </c>
      <c r="G73" s="131">
        <f t="shared" si="10"/>
        <v>0</v>
      </c>
      <c r="H73" s="131">
        <f>H72+H63+H54+H21+H8</f>
        <v>0</v>
      </c>
      <c r="I73" s="131">
        <f t="shared" ref="I73:K73" si="11">I72+I63+I54+I21+I8</f>
        <v>0</v>
      </c>
      <c r="J73" s="131">
        <f t="shared" si="11"/>
        <v>16091289.52</v>
      </c>
      <c r="K73" s="131">
        <f t="shared" si="11"/>
        <v>0</v>
      </c>
    </row>
    <row r="74" spans="1:12" x14ac:dyDescent="0.25">
      <c r="H74" s="10"/>
      <c r="I74" s="10"/>
      <c r="J74" s="10"/>
    </row>
    <row r="75" spans="1:12" x14ac:dyDescent="0.25">
      <c r="D75" s="152"/>
      <c r="E75" s="152"/>
      <c r="F75" s="152"/>
      <c r="G75" s="152"/>
    </row>
    <row r="76" spans="1:12" x14ac:dyDescent="0.25">
      <c r="D76" s="137"/>
      <c r="E76" s="137"/>
      <c r="F76" s="186">
        <v>11493387.1</v>
      </c>
      <c r="G76" s="137"/>
      <c r="J76" s="5">
        <v>16091289.52</v>
      </c>
    </row>
    <row r="77" spans="1:12" x14ac:dyDescent="0.25">
      <c r="D77" s="153"/>
      <c r="E77" s="153"/>
      <c r="F77" s="153"/>
      <c r="G77" s="153"/>
    </row>
    <row r="78" spans="1:12" x14ac:dyDescent="0.25">
      <c r="D78" s="153"/>
      <c r="E78" s="137"/>
      <c r="F78" s="137"/>
      <c r="G78" s="137"/>
      <c r="J78" s="10">
        <f>J73-J76</f>
        <v>0</v>
      </c>
    </row>
    <row r="79" spans="1:12" x14ac:dyDescent="0.25">
      <c r="D79" s="153"/>
      <c r="E79" s="153"/>
      <c r="F79" s="153"/>
      <c r="G79" s="153"/>
    </row>
  </sheetData>
  <autoFilter ref="A2:K73" xr:uid="{6259A15B-8C4D-479C-BAB3-74D7E7AAE8D7}"/>
  <mergeCells count="2">
    <mergeCell ref="D1:G1"/>
    <mergeCell ref="H1:K1"/>
  </mergeCells>
  <conditionalFormatting sqref="A1">
    <cfRule type="duplicateValues" dxfId="47" priority="15"/>
    <cfRule type="duplicateValues" dxfId="46" priority="16"/>
  </conditionalFormatting>
  <conditionalFormatting sqref="A14">
    <cfRule type="duplicateValues" dxfId="45" priority="5"/>
    <cfRule type="duplicateValues" dxfId="44" priority="6"/>
  </conditionalFormatting>
  <conditionalFormatting sqref="A40">
    <cfRule type="duplicateValues" dxfId="43" priority="1"/>
    <cfRule type="duplicateValues" dxfId="42" priority="2"/>
  </conditionalFormatting>
  <conditionalFormatting sqref="A55">
    <cfRule type="duplicateValues" dxfId="41" priority="7"/>
    <cfRule type="duplicateValues" dxfId="40" priority="8"/>
  </conditionalFormatting>
  <conditionalFormatting sqref="A56:A58 A7 A22:A39 A60 A41:A53">
    <cfRule type="duplicateValues" dxfId="39" priority="13"/>
    <cfRule type="duplicateValues" dxfId="38" priority="14"/>
  </conditionalFormatting>
  <conditionalFormatting sqref="A59">
    <cfRule type="duplicateValues" dxfId="37" priority="3"/>
    <cfRule type="duplicateValues" dxfId="36" priority="4"/>
  </conditionalFormatting>
  <conditionalFormatting sqref="A64:A71">
    <cfRule type="duplicateValues" dxfId="35" priority="11"/>
    <cfRule type="duplicateValues" dxfId="34" priority="12"/>
  </conditionalFormatting>
  <conditionalFormatting sqref="A72:A73 A2:A6 A8:A13 A15:A21 A54 A63">
    <cfRule type="duplicateValues" dxfId="33" priority="9"/>
    <cfRule type="duplicateValues" dxfId="32" priority="10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5C06-AA81-4FF9-BC64-3A1C59A7D754}">
  <dimension ref="A1:M73"/>
  <sheetViews>
    <sheetView rightToLeft="1" topLeftCell="A49" workbookViewId="0">
      <selection activeCell="A61" sqref="A61:C61"/>
    </sheetView>
  </sheetViews>
  <sheetFormatPr defaultColWidth="30.125" defaultRowHeight="15" x14ac:dyDescent="0.25"/>
  <cols>
    <col min="1" max="1" width="30" style="32" bestFit="1" customWidth="1"/>
    <col min="2" max="2" width="11.375" style="32" bestFit="1" customWidth="1"/>
    <col min="3" max="3" width="11.75" style="32" bestFit="1" customWidth="1"/>
    <col min="4" max="4" width="16.875" bestFit="1" customWidth="1"/>
    <col min="5" max="5" width="15.25" bestFit="1" customWidth="1"/>
    <col min="6" max="6" width="16.875" bestFit="1" customWidth="1"/>
    <col min="7" max="7" width="19" bestFit="1" customWidth="1"/>
    <col min="8" max="9" width="15.25" style="3" bestFit="1" customWidth="1"/>
    <col min="10" max="10" width="16.875" style="3" bestFit="1" customWidth="1"/>
    <col min="11" max="11" width="19" bestFit="1" customWidth="1"/>
  </cols>
  <sheetData>
    <row r="1" spans="1:11" ht="21" x14ac:dyDescent="0.2">
      <c r="A1" s="26"/>
      <c r="B1" s="26"/>
      <c r="C1" s="26"/>
      <c r="D1" s="237">
        <v>2025</v>
      </c>
      <c r="E1" s="237"/>
      <c r="F1" s="237"/>
      <c r="G1" s="237"/>
      <c r="H1" s="238">
        <v>2024</v>
      </c>
      <c r="I1" s="238"/>
      <c r="J1" s="238"/>
      <c r="K1" s="238"/>
    </row>
    <row r="2" spans="1:11" ht="21" x14ac:dyDescent="0.2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75" x14ac:dyDescent="0.25">
      <c r="A3" s="26" t="s">
        <v>1</v>
      </c>
      <c r="B3" s="26" t="s">
        <v>108</v>
      </c>
      <c r="C3" s="26" t="s">
        <v>58</v>
      </c>
      <c r="D3" s="14"/>
      <c r="E3" s="14"/>
      <c r="F3" s="14"/>
      <c r="G3" s="14"/>
      <c r="H3" s="96"/>
      <c r="I3" s="96"/>
      <c r="J3" s="96"/>
      <c r="K3" s="96"/>
    </row>
    <row r="4" spans="1:11" ht="15.75" x14ac:dyDescent="0.25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75" x14ac:dyDescent="0.25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75" x14ac:dyDescent="0.25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96"/>
      <c r="I6" s="96"/>
      <c r="J6" s="96"/>
      <c r="K6" s="96"/>
    </row>
    <row r="7" spans="1:11" ht="16.5" thickBot="1" x14ac:dyDescent="0.3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75" thickBot="1" x14ac:dyDescent="0.4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0</v>
      </c>
      <c r="F8" s="174">
        <f t="shared" si="0"/>
        <v>0</v>
      </c>
      <c r="G8" s="174">
        <f t="shared" si="0"/>
        <v>0</v>
      </c>
      <c r="H8" s="174">
        <f>SUM(H3:H7)</f>
        <v>0</v>
      </c>
      <c r="I8" s="174">
        <f t="shared" ref="I8:K8" si="1">SUM(I3:I7)</f>
        <v>0</v>
      </c>
      <c r="J8" s="174">
        <f t="shared" si="1"/>
        <v>0</v>
      </c>
      <c r="K8" s="174">
        <f t="shared" si="1"/>
        <v>0</v>
      </c>
    </row>
    <row r="9" spans="1:11" ht="15.75" x14ac:dyDescent="0.25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/>
      <c r="K9" s="96"/>
    </row>
    <row r="10" spans="1:11" ht="15.75" x14ac:dyDescent="0.25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75" x14ac:dyDescent="0.25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75" x14ac:dyDescent="0.25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75" x14ac:dyDescent="0.25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75" x14ac:dyDescent="0.25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/>
    </row>
    <row r="15" spans="1:11" ht="15.75" x14ac:dyDescent="0.25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75" x14ac:dyDescent="0.25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75" x14ac:dyDescent="0.25">
      <c r="A17" s="26" t="s">
        <v>42</v>
      </c>
      <c r="B17" s="26" t="s">
        <v>108</v>
      </c>
      <c r="C17" s="26" t="s">
        <v>106</v>
      </c>
      <c r="D17" s="14"/>
      <c r="E17" s="14"/>
      <c r="F17" s="14"/>
      <c r="G17" s="14"/>
      <c r="H17" s="96"/>
      <c r="I17" s="96"/>
      <c r="J17" s="96"/>
      <c r="K17" s="96"/>
    </row>
    <row r="18" spans="1:11" ht="15.75" x14ac:dyDescent="0.25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/>
    </row>
    <row r="19" spans="1:11" ht="15.75" x14ac:dyDescent="0.25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6.5" thickBot="1" x14ac:dyDescent="0.3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21.75" thickBot="1" x14ac:dyDescent="0.4">
      <c r="A21" s="122" t="s">
        <v>10</v>
      </c>
      <c r="B21" s="121"/>
      <c r="C21" s="121"/>
      <c r="D21" s="174">
        <f>SUM(D9:D20)</f>
        <v>0</v>
      </c>
      <c r="E21" s="174">
        <f t="shared" ref="E21:G21" si="2">SUM(E9:E20)</f>
        <v>0</v>
      </c>
      <c r="F21" s="174">
        <f t="shared" si="2"/>
        <v>0</v>
      </c>
      <c r="G21" s="174">
        <f t="shared" si="2"/>
        <v>0</v>
      </c>
      <c r="H21" s="174">
        <f>SUM(H9:H20)</f>
        <v>0</v>
      </c>
      <c r="I21" s="174">
        <f t="shared" ref="I21:K21" si="3">SUM(I9:I20)</f>
        <v>0</v>
      </c>
      <c r="J21" s="174">
        <f t="shared" si="3"/>
        <v>0</v>
      </c>
      <c r="K21" s="174">
        <f t="shared" si="3"/>
        <v>0</v>
      </c>
    </row>
    <row r="22" spans="1:11" ht="15.75" x14ac:dyDescent="0.25">
      <c r="A22" s="27" t="s">
        <v>11</v>
      </c>
      <c r="B22" s="27" t="s">
        <v>56</v>
      </c>
      <c r="C22" s="27" t="s">
        <v>107</v>
      </c>
      <c r="D22" s="18"/>
      <c r="E22" s="18"/>
      <c r="F22" s="18"/>
      <c r="G22" s="18"/>
      <c r="H22" s="96"/>
      <c r="I22" s="96"/>
      <c r="J22" s="96"/>
      <c r="K22" s="96"/>
    </row>
    <row r="23" spans="1:11" ht="15.75" x14ac:dyDescent="0.25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/>
      <c r="I23" s="96"/>
      <c r="J23" s="96"/>
      <c r="K23" s="96"/>
    </row>
    <row r="24" spans="1:11" ht="15.75" x14ac:dyDescent="0.25">
      <c r="A24" s="30" t="s">
        <v>13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75" x14ac:dyDescent="0.25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75" x14ac:dyDescent="0.25">
      <c r="A26" s="30" t="s">
        <v>15</v>
      </c>
      <c r="B26" s="26" t="s">
        <v>56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75" x14ac:dyDescent="0.25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75" x14ac:dyDescent="0.25">
      <c r="A28" s="30" t="s">
        <v>18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75" x14ac:dyDescent="0.25">
      <c r="A29" s="26" t="s">
        <v>19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75" x14ac:dyDescent="0.25">
      <c r="A30" s="26" t="s">
        <v>20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75" x14ac:dyDescent="0.25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75" x14ac:dyDescent="0.25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75" x14ac:dyDescent="0.25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75" x14ac:dyDescent="0.25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2" ht="15.75" x14ac:dyDescent="0.25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75" x14ac:dyDescent="0.25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2" ht="15.75" x14ac:dyDescent="0.25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2" ht="15.75" x14ac:dyDescent="0.25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75" x14ac:dyDescent="0.25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75" x14ac:dyDescent="0.25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75" x14ac:dyDescent="0.25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75" x14ac:dyDescent="0.25">
      <c r="A42" s="30" t="s">
        <v>95</v>
      </c>
      <c r="B42" s="26" t="s">
        <v>56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75" x14ac:dyDescent="0.25">
      <c r="A43" s="26" t="s">
        <v>83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75" x14ac:dyDescent="0.25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75" x14ac:dyDescent="0.25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75" x14ac:dyDescent="0.25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  <c r="L46" s="138"/>
    </row>
    <row r="47" spans="1:12" ht="15.75" x14ac:dyDescent="0.25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</row>
    <row r="48" spans="1:12" ht="15.75" x14ac:dyDescent="0.25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75" x14ac:dyDescent="0.25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75" x14ac:dyDescent="0.25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75" x14ac:dyDescent="0.25">
      <c r="A51" s="26" t="s">
        <v>91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3" ht="15.75" x14ac:dyDescent="0.25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3" ht="16.5" thickBot="1" x14ac:dyDescent="0.3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96"/>
      <c r="I53" s="96"/>
      <c r="J53" s="96"/>
      <c r="K53" s="96"/>
    </row>
    <row r="54" spans="1:13" ht="21.75" thickBot="1" x14ac:dyDescent="0.4">
      <c r="A54" s="123" t="s">
        <v>116</v>
      </c>
      <c r="B54" s="121"/>
      <c r="C54" s="121"/>
      <c r="D54" s="174">
        <f>SUM(D22:D53)</f>
        <v>0</v>
      </c>
      <c r="E54" s="174">
        <f t="shared" ref="E54:G54" si="4">SUM(E22:E53)</f>
        <v>0</v>
      </c>
      <c r="F54" s="174">
        <f t="shared" si="4"/>
        <v>0</v>
      </c>
      <c r="G54" s="174">
        <f t="shared" si="4"/>
        <v>0</v>
      </c>
      <c r="H54" s="174">
        <f>SUM(H22:H53)</f>
        <v>0</v>
      </c>
      <c r="I54" s="174">
        <f t="shared" ref="I54:K54" si="5">SUM(I22:I53)</f>
        <v>0</v>
      </c>
      <c r="J54" s="174">
        <f t="shared" si="5"/>
        <v>0</v>
      </c>
      <c r="K54" s="174">
        <f t="shared" si="5"/>
        <v>0</v>
      </c>
    </row>
    <row r="55" spans="1:13" ht="15.75" x14ac:dyDescent="0.25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/>
      <c r="I55" s="96"/>
      <c r="J55" s="96"/>
      <c r="K55" s="96"/>
    </row>
    <row r="56" spans="1:13" ht="15.75" x14ac:dyDescent="0.25">
      <c r="A56" s="26" t="s">
        <v>84</v>
      </c>
      <c r="B56" s="26" t="s">
        <v>115</v>
      </c>
      <c r="C56" s="26" t="s">
        <v>107</v>
      </c>
      <c r="D56" s="14"/>
      <c r="E56" s="14"/>
      <c r="F56" s="14"/>
      <c r="G56" s="14"/>
      <c r="H56" s="96"/>
      <c r="I56" s="96"/>
      <c r="J56" s="96"/>
      <c r="K56" s="96"/>
    </row>
    <row r="57" spans="1:13" ht="15.75" x14ac:dyDescent="0.25">
      <c r="A57" s="26" t="s">
        <v>37</v>
      </c>
      <c r="B57" s="26" t="s">
        <v>115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  <c r="M57" s="133"/>
    </row>
    <row r="58" spans="1:13" ht="15.75" x14ac:dyDescent="0.25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  <c r="M58" s="133"/>
    </row>
    <row r="59" spans="1:13" ht="15.75" x14ac:dyDescent="0.25">
      <c r="A59" s="27" t="s">
        <v>86</v>
      </c>
      <c r="B59" s="27" t="s">
        <v>115</v>
      </c>
      <c r="C59" s="27" t="s">
        <v>107</v>
      </c>
      <c r="D59" s="14"/>
      <c r="E59" s="14"/>
      <c r="F59" s="14"/>
      <c r="G59" s="14"/>
      <c r="H59" s="96"/>
      <c r="I59" s="96"/>
      <c r="J59" s="96"/>
      <c r="K59" s="96"/>
      <c r="M59" s="133"/>
    </row>
    <row r="60" spans="1:13" ht="15.75" x14ac:dyDescent="0.25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</row>
    <row r="61" spans="1:13" ht="15.75" x14ac:dyDescent="0.25">
      <c r="A61" s="246" t="s">
        <v>136</v>
      </c>
      <c r="B61" s="26" t="s">
        <v>115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3" ht="16.5" thickBot="1" x14ac:dyDescent="0.3">
      <c r="A62" s="117" t="s">
        <v>99</v>
      </c>
      <c r="B62" s="26" t="s">
        <v>115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3" ht="21.75" thickBot="1" x14ac:dyDescent="0.4">
      <c r="A63" s="123" t="s">
        <v>117</v>
      </c>
      <c r="B63" s="121"/>
      <c r="C63" s="121"/>
      <c r="D63" s="174">
        <f>SUM(D55:D62)</f>
        <v>0</v>
      </c>
      <c r="E63" s="174">
        <f t="shared" ref="E63:G63" si="6">SUM(E55:E62)</f>
        <v>0</v>
      </c>
      <c r="F63" s="174">
        <f t="shared" si="6"/>
        <v>0</v>
      </c>
      <c r="G63" s="174">
        <f t="shared" si="6"/>
        <v>0</v>
      </c>
      <c r="H63" s="174">
        <f>SUM(H55:H62)</f>
        <v>0</v>
      </c>
      <c r="I63" s="174">
        <f t="shared" ref="I63:K63" si="7">SUM(I55:I62)</f>
        <v>0</v>
      </c>
      <c r="J63" s="174">
        <f t="shared" si="7"/>
        <v>0</v>
      </c>
      <c r="K63" s="174">
        <f t="shared" si="7"/>
        <v>0</v>
      </c>
    </row>
    <row r="64" spans="1:13" ht="15.75" x14ac:dyDescent="0.25">
      <c r="A64" s="27" t="s">
        <v>77</v>
      </c>
      <c r="B64" s="26" t="s">
        <v>108</v>
      </c>
      <c r="C64" s="27" t="s">
        <v>102</v>
      </c>
      <c r="D64" s="18"/>
      <c r="E64" s="18"/>
      <c r="F64" s="18"/>
      <c r="G64" s="18"/>
      <c r="H64" s="96"/>
      <c r="I64" s="96"/>
      <c r="J64" s="96"/>
      <c r="K64" s="96"/>
    </row>
    <row r="65" spans="1:12" ht="15.75" x14ac:dyDescent="0.25">
      <c r="A65" s="30" t="s">
        <v>40</v>
      </c>
      <c r="B65" s="26" t="s">
        <v>56</v>
      </c>
      <c r="C65" s="26" t="s">
        <v>103</v>
      </c>
      <c r="D65" s="14"/>
      <c r="E65" s="14"/>
      <c r="F65" s="14"/>
      <c r="G65" s="14"/>
      <c r="H65" s="96"/>
      <c r="I65" s="96"/>
      <c r="J65" s="96"/>
      <c r="K65" s="96"/>
    </row>
    <row r="66" spans="1:12" ht="15.75" x14ac:dyDescent="0.25">
      <c r="A66" s="26" t="s">
        <v>90</v>
      </c>
      <c r="B66" s="26" t="s">
        <v>108</v>
      </c>
      <c r="C66" s="26" t="s">
        <v>103</v>
      </c>
      <c r="D66" s="14"/>
      <c r="E66" s="14"/>
      <c r="F66" s="14"/>
      <c r="G66" s="14"/>
      <c r="H66" s="96"/>
      <c r="I66" s="96"/>
      <c r="J66" s="96"/>
      <c r="K66" s="96"/>
    </row>
    <row r="67" spans="1:12" ht="15.75" x14ac:dyDescent="0.25">
      <c r="A67" s="26" t="s">
        <v>92</v>
      </c>
      <c r="B67" s="26" t="s">
        <v>56</v>
      </c>
      <c r="C67" s="26" t="s">
        <v>103</v>
      </c>
      <c r="D67" s="14"/>
      <c r="E67" s="14"/>
      <c r="F67" s="14"/>
      <c r="G67" s="14"/>
      <c r="H67" s="96"/>
      <c r="I67" s="96"/>
      <c r="J67" s="96"/>
      <c r="K67" s="96"/>
    </row>
    <row r="68" spans="1:12" ht="15.75" x14ac:dyDescent="0.25">
      <c r="A68" s="26" t="s">
        <v>93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</row>
    <row r="69" spans="1:12" ht="15.75" x14ac:dyDescent="0.25">
      <c r="A69" s="26" t="s">
        <v>100</v>
      </c>
      <c r="B69" s="26" t="s">
        <v>56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  <c r="L69" s="138"/>
    </row>
    <row r="70" spans="1:12" ht="15.75" x14ac:dyDescent="0.25">
      <c r="A70" s="118" t="s">
        <v>101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/>
      <c r="K70" s="96"/>
    </row>
    <row r="71" spans="1:12" ht="15.75" x14ac:dyDescent="0.25">
      <c r="A71" s="26" t="s">
        <v>81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2" ht="21.75" thickBot="1" x14ac:dyDescent="0.25">
      <c r="A72" s="177" t="s">
        <v>44</v>
      </c>
      <c r="B72" s="178"/>
      <c r="C72" s="178"/>
      <c r="D72" s="179">
        <f>SUM(D64:D71)</f>
        <v>0</v>
      </c>
      <c r="E72" s="179">
        <f t="shared" ref="E72:G72" si="8">SUM(E64:E71)</f>
        <v>0</v>
      </c>
      <c r="F72" s="179">
        <f t="shared" si="8"/>
        <v>0</v>
      </c>
      <c r="G72" s="179">
        <f t="shared" si="8"/>
        <v>0</v>
      </c>
      <c r="H72" s="179">
        <f>SUM(H64:H71)</f>
        <v>0</v>
      </c>
      <c r="I72" s="179">
        <f t="shared" ref="I72:K72" si="9">SUM(I64:I71)</f>
        <v>0</v>
      </c>
      <c r="J72" s="179">
        <f t="shared" si="9"/>
        <v>0</v>
      </c>
      <c r="K72" s="179">
        <f t="shared" si="9"/>
        <v>0</v>
      </c>
    </row>
    <row r="73" spans="1:12" ht="21.75" thickBot="1" x14ac:dyDescent="0.25">
      <c r="A73" s="122" t="s">
        <v>45</v>
      </c>
      <c r="B73" s="121"/>
      <c r="C73" s="121"/>
      <c r="D73" s="131">
        <f>D72+D63+D54+D21+D8</f>
        <v>0</v>
      </c>
      <c r="E73" s="131">
        <f t="shared" ref="E73:G73" si="10">E72+E63+E54+E21+E8</f>
        <v>0</v>
      </c>
      <c r="F73" s="131">
        <f t="shared" si="10"/>
        <v>0</v>
      </c>
      <c r="G73" s="131">
        <f t="shared" si="10"/>
        <v>0</v>
      </c>
      <c r="H73" s="131">
        <f>H72+H63+H54+H21+H8</f>
        <v>0</v>
      </c>
      <c r="I73" s="131">
        <f t="shared" ref="I73:K73" si="11">I72+I63+I54+I21+I8</f>
        <v>0</v>
      </c>
      <c r="J73" s="131">
        <f t="shared" si="11"/>
        <v>0</v>
      </c>
      <c r="K73" s="131">
        <f t="shared" si="11"/>
        <v>0</v>
      </c>
    </row>
  </sheetData>
  <autoFilter ref="A2:K73" xr:uid="{5BA15C06-AA81-4FF9-BC64-3A1C59A7D754}"/>
  <mergeCells count="2">
    <mergeCell ref="D1:G1"/>
    <mergeCell ref="H1:K1"/>
  </mergeCells>
  <conditionalFormatting sqref="A1">
    <cfRule type="duplicateValues" dxfId="31" priority="15"/>
    <cfRule type="duplicateValues" dxfId="30" priority="16"/>
  </conditionalFormatting>
  <conditionalFormatting sqref="A14">
    <cfRule type="duplicateValues" dxfId="29" priority="5"/>
    <cfRule type="duplicateValues" dxfId="28" priority="6"/>
  </conditionalFormatting>
  <conditionalFormatting sqref="A40">
    <cfRule type="duplicateValues" dxfId="27" priority="1"/>
    <cfRule type="duplicateValues" dxfId="26" priority="2"/>
  </conditionalFormatting>
  <conditionalFormatting sqref="A55">
    <cfRule type="duplicateValues" dxfId="25" priority="7"/>
    <cfRule type="duplicateValues" dxfId="24" priority="8"/>
  </conditionalFormatting>
  <conditionalFormatting sqref="A56:A58 A7 A22:A39 A60 A41:A53">
    <cfRule type="duplicateValues" dxfId="23" priority="13"/>
    <cfRule type="duplicateValues" dxfId="22" priority="14"/>
  </conditionalFormatting>
  <conditionalFormatting sqref="A59">
    <cfRule type="duplicateValues" dxfId="21" priority="3"/>
    <cfRule type="duplicateValues" dxfId="20" priority="4"/>
  </conditionalFormatting>
  <conditionalFormatting sqref="A64:A71">
    <cfRule type="duplicateValues" dxfId="19" priority="11"/>
    <cfRule type="duplicateValues" dxfId="18" priority="12"/>
  </conditionalFormatting>
  <conditionalFormatting sqref="A72:A73 A2:A6 A8:A13 A15:A21 A54 A63">
    <cfRule type="duplicateValues" dxfId="17" priority="9"/>
    <cfRule type="duplicateValues" dxfId="16" priority="10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96A7-850F-4ED5-BFFE-F950115F0DB8}">
  <dimension ref="A1:M79"/>
  <sheetViews>
    <sheetView rightToLeft="1" topLeftCell="A52" workbookViewId="0">
      <selection activeCell="E61" sqref="E61"/>
    </sheetView>
  </sheetViews>
  <sheetFormatPr defaultColWidth="30.125" defaultRowHeight="15" x14ac:dyDescent="0.25"/>
  <cols>
    <col min="1" max="1" width="30" style="32" bestFit="1" customWidth="1"/>
    <col min="2" max="2" width="11.375" style="32" bestFit="1" customWidth="1"/>
    <col min="3" max="3" width="11.75" style="32" bestFit="1" customWidth="1"/>
    <col min="4" max="4" width="16.875" bestFit="1" customWidth="1"/>
    <col min="5" max="5" width="15.25" bestFit="1" customWidth="1"/>
    <col min="6" max="6" width="16.875" bestFit="1" customWidth="1"/>
    <col min="7" max="7" width="19" bestFit="1" customWidth="1"/>
    <col min="8" max="9" width="15.25" style="3" bestFit="1" customWidth="1"/>
    <col min="10" max="10" width="16.875" style="3" bestFit="1" customWidth="1"/>
    <col min="11" max="11" width="19" bestFit="1" customWidth="1"/>
  </cols>
  <sheetData>
    <row r="1" spans="1:11" ht="21" x14ac:dyDescent="0.2">
      <c r="A1" s="26"/>
      <c r="B1" s="26"/>
      <c r="C1" s="26"/>
      <c r="D1" s="239">
        <v>2025</v>
      </c>
      <c r="E1" s="240"/>
      <c r="F1" s="240"/>
      <c r="G1" s="241"/>
      <c r="H1" s="242">
        <v>2024</v>
      </c>
      <c r="I1" s="243"/>
      <c r="J1" s="243"/>
      <c r="K1" s="244"/>
    </row>
    <row r="2" spans="1:11" ht="21" x14ac:dyDescent="0.2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75" x14ac:dyDescent="0.25">
      <c r="A3" s="26" t="s">
        <v>1</v>
      </c>
      <c r="B3" s="26" t="s">
        <v>108</v>
      </c>
      <c r="C3" s="26" t="s">
        <v>58</v>
      </c>
      <c r="D3" s="14"/>
      <c r="E3" s="14"/>
      <c r="F3" s="14"/>
      <c r="G3" s="14"/>
      <c r="H3" s="96"/>
      <c r="I3" s="96"/>
      <c r="J3" s="96"/>
      <c r="K3" s="96"/>
    </row>
    <row r="4" spans="1:11" ht="15.75" x14ac:dyDescent="0.25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75" x14ac:dyDescent="0.25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75" x14ac:dyDescent="0.25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96"/>
      <c r="I6" s="96"/>
      <c r="J6" s="96"/>
      <c r="K6" s="96"/>
    </row>
    <row r="7" spans="1:11" ht="16.5" thickBot="1" x14ac:dyDescent="0.3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75" thickBot="1" x14ac:dyDescent="0.4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0</v>
      </c>
      <c r="F8" s="174">
        <f t="shared" si="0"/>
        <v>0</v>
      </c>
      <c r="G8" s="174">
        <f t="shared" si="0"/>
        <v>0</v>
      </c>
      <c r="H8" s="174">
        <f>SUM(H3:H7)</f>
        <v>0</v>
      </c>
      <c r="I8" s="174">
        <f t="shared" ref="I8:K8" si="1">SUM(I3:I7)</f>
        <v>0</v>
      </c>
      <c r="J8" s="174">
        <f t="shared" si="1"/>
        <v>0</v>
      </c>
      <c r="K8" s="174">
        <f t="shared" si="1"/>
        <v>0</v>
      </c>
    </row>
    <row r="9" spans="1:11" ht="15.75" x14ac:dyDescent="0.25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/>
      <c r="K9" s="96"/>
    </row>
    <row r="10" spans="1:11" ht="15.75" x14ac:dyDescent="0.25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75" x14ac:dyDescent="0.25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75" x14ac:dyDescent="0.25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75" x14ac:dyDescent="0.25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75" x14ac:dyDescent="0.25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/>
    </row>
    <row r="15" spans="1:11" ht="15.75" x14ac:dyDescent="0.25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75" x14ac:dyDescent="0.25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75" x14ac:dyDescent="0.25">
      <c r="A17" s="26" t="s">
        <v>42</v>
      </c>
      <c r="B17" s="26" t="s">
        <v>108</v>
      </c>
      <c r="C17" s="26" t="s">
        <v>106</v>
      </c>
      <c r="D17" s="14"/>
      <c r="E17" s="14"/>
      <c r="F17" s="14"/>
      <c r="G17" s="14"/>
      <c r="H17" s="96"/>
      <c r="I17" s="96"/>
      <c r="J17" s="96"/>
      <c r="K17" s="96"/>
    </row>
    <row r="18" spans="1:11" ht="15.75" x14ac:dyDescent="0.25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/>
    </row>
    <row r="19" spans="1:11" ht="15.75" x14ac:dyDescent="0.25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6.5" thickBot="1" x14ac:dyDescent="0.3">
      <c r="A20" s="28" t="s">
        <v>38</v>
      </c>
      <c r="B20" s="26" t="s">
        <v>108</v>
      </c>
      <c r="C20" s="28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21.75" thickBot="1" x14ac:dyDescent="0.4">
      <c r="A21" s="122" t="s">
        <v>10</v>
      </c>
      <c r="B21" s="121"/>
      <c r="C21" s="121"/>
      <c r="D21" s="174">
        <f>SUM(D9:D20)</f>
        <v>0</v>
      </c>
      <c r="E21" s="174">
        <f t="shared" ref="E21:G21" si="2">SUM(E9:E20)</f>
        <v>0</v>
      </c>
      <c r="F21" s="174">
        <f t="shared" si="2"/>
        <v>0</v>
      </c>
      <c r="G21" s="174">
        <f t="shared" si="2"/>
        <v>0</v>
      </c>
      <c r="H21" s="174">
        <f>SUM(H9:H20)</f>
        <v>0</v>
      </c>
      <c r="I21" s="174">
        <f t="shared" ref="I21:K21" si="3">SUM(I9:I20)</f>
        <v>0</v>
      </c>
      <c r="J21" s="174">
        <f t="shared" si="3"/>
        <v>0</v>
      </c>
      <c r="K21" s="174">
        <f t="shared" si="3"/>
        <v>0</v>
      </c>
    </row>
    <row r="22" spans="1:11" ht="15.75" x14ac:dyDescent="0.25">
      <c r="A22" s="27" t="s">
        <v>11</v>
      </c>
      <c r="B22" s="27" t="s">
        <v>56</v>
      </c>
      <c r="C22" s="27" t="s">
        <v>107</v>
      </c>
      <c r="D22" s="18"/>
      <c r="E22" s="18"/>
      <c r="F22" s="18"/>
      <c r="G22" s="18"/>
      <c r="H22" s="96"/>
      <c r="I22" s="96"/>
      <c r="J22" s="96"/>
      <c r="K22" s="96"/>
    </row>
    <row r="23" spans="1:11" ht="15.75" x14ac:dyDescent="0.25">
      <c r="A23" s="30" t="s">
        <v>12</v>
      </c>
      <c r="B23" s="26" t="s">
        <v>56</v>
      </c>
      <c r="C23" s="26" t="s">
        <v>107</v>
      </c>
      <c r="D23" s="14"/>
      <c r="E23" s="14"/>
      <c r="F23" s="14"/>
      <c r="G23" s="14"/>
      <c r="H23" s="96"/>
      <c r="I23" s="96"/>
      <c r="J23" s="96"/>
      <c r="K23" s="96"/>
    </row>
    <row r="24" spans="1:11" ht="15.75" x14ac:dyDescent="0.25">
      <c r="A24" s="30" t="s">
        <v>13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75" x14ac:dyDescent="0.25">
      <c r="A25" s="26" t="s">
        <v>14</v>
      </c>
      <c r="B25" s="26" t="s">
        <v>55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75" x14ac:dyDescent="0.25">
      <c r="A26" s="30" t="s">
        <v>15</v>
      </c>
      <c r="B26" s="26" t="s">
        <v>56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75" x14ac:dyDescent="0.25">
      <c r="A27" s="30" t="s">
        <v>17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75" x14ac:dyDescent="0.25">
      <c r="A28" s="30" t="s">
        <v>18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75" x14ac:dyDescent="0.25">
      <c r="A29" s="26" t="s">
        <v>19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75" x14ac:dyDescent="0.25">
      <c r="A30" s="26" t="s">
        <v>20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75" x14ac:dyDescent="0.25">
      <c r="A31" s="26" t="s">
        <v>21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75" x14ac:dyDescent="0.25">
      <c r="A32" s="26" t="s">
        <v>22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75" x14ac:dyDescent="0.25">
      <c r="A33" s="26" t="s">
        <v>23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75" x14ac:dyDescent="0.25">
      <c r="A34" s="26" t="s">
        <v>24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2" ht="15.75" x14ac:dyDescent="0.25">
      <c r="A35" s="30" t="s">
        <v>25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75" x14ac:dyDescent="0.25">
      <c r="A36" s="26" t="s">
        <v>26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2" ht="15.75" x14ac:dyDescent="0.25">
      <c r="A37" s="26" t="s">
        <v>27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2" ht="15.75" x14ac:dyDescent="0.25">
      <c r="A38" s="26" t="s">
        <v>28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75" x14ac:dyDescent="0.25">
      <c r="A39" s="26" t="s">
        <v>29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75" x14ac:dyDescent="0.25">
      <c r="A40" s="26" t="s">
        <v>98</v>
      </c>
      <c r="B40" s="26" t="s">
        <v>55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75" x14ac:dyDescent="0.25">
      <c r="A41" s="26" t="s">
        <v>32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75" x14ac:dyDescent="0.25">
      <c r="A42" s="30" t="s">
        <v>95</v>
      </c>
      <c r="B42" s="26" t="s">
        <v>56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75" x14ac:dyDescent="0.25">
      <c r="A43" s="26" t="s">
        <v>83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75" x14ac:dyDescent="0.25">
      <c r="A44" s="26" t="s">
        <v>82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75" x14ac:dyDescent="0.25">
      <c r="A45" s="26" t="s">
        <v>36</v>
      </c>
      <c r="B45" s="26" t="s">
        <v>55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75" x14ac:dyDescent="0.25">
      <c r="A46" s="26" t="s">
        <v>94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  <c r="L46" s="138"/>
    </row>
    <row r="47" spans="1:12" ht="15.75" x14ac:dyDescent="0.25">
      <c r="A47" s="26" t="s">
        <v>85</v>
      </c>
      <c r="B47" s="26" t="s">
        <v>56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</row>
    <row r="48" spans="1:12" ht="15.75" x14ac:dyDescent="0.25">
      <c r="A48" s="26" t="s">
        <v>87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75" x14ac:dyDescent="0.25">
      <c r="A49" s="26" t="s">
        <v>97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75" x14ac:dyDescent="0.25">
      <c r="A50" s="26" t="s">
        <v>39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75" x14ac:dyDescent="0.25">
      <c r="A51" s="26" t="s">
        <v>91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3" ht="15.75" x14ac:dyDescent="0.25">
      <c r="A52" s="26" t="s">
        <v>41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3" ht="16.5" thickBot="1" x14ac:dyDescent="0.3">
      <c r="A53" s="28" t="s">
        <v>88</v>
      </c>
      <c r="B53" s="28" t="s">
        <v>56</v>
      </c>
      <c r="C53" s="28" t="s">
        <v>107</v>
      </c>
      <c r="D53" s="15"/>
      <c r="E53" s="15"/>
      <c r="F53" s="15"/>
      <c r="G53" s="15"/>
      <c r="H53" s="96"/>
      <c r="I53" s="96"/>
      <c r="J53" s="96"/>
      <c r="K53" s="96"/>
    </row>
    <row r="54" spans="1:13" ht="21.75" thickBot="1" x14ac:dyDescent="0.4">
      <c r="A54" s="123" t="s">
        <v>116</v>
      </c>
      <c r="B54" s="121"/>
      <c r="C54" s="121"/>
      <c r="D54" s="174">
        <f>SUM(D22:D53)</f>
        <v>0</v>
      </c>
      <c r="E54" s="174">
        <f t="shared" ref="E54:G54" si="4">SUM(E22:E53)</f>
        <v>0</v>
      </c>
      <c r="F54" s="174">
        <f t="shared" si="4"/>
        <v>0</v>
      </c>
      <c r="G54" s="174">
        <f t="shared" si="4"/>
        <v>0</v>
      </c>
      <c r="H54" s="174">
        <f>SUM(H22:H53)</f>
        <v>0</v>
      </c>
      <c r="I54" s="174">
        <f t="shared" ref="I54:K54" si="5">SUM(I22:I53)</f>
        <v>0</v>
      </c>
      <c r="J54" s="174">
        <f t="shared" si="5"/>
        <v>0</v>
      </c>
      <c r="K54" s="174">
        <f t="shared" si="5"/>
        <v>0</v>
      </c>
    </row>
    <row r="55" spans="1:13" ht="15.75" x14ac:dyDescent="0.25">
      <c r="A55" s="30" t="s">
        <v>33</v>
      </c>
      <c r="B55" s="26" t="s">
        <v>115</v>
      </c>
      <c r="C55" s="26" t="s">
        <v>107</v>
      </c>
      <c r="D55" s="14"/>
      <c r="E55" s="14"/>
      <c r="F55" s="14"/>
      <c r="G55" s="14"/>
      <c r="H55" s="96"/>
      <c r="I55" s="96"/>
      <c r="J55" s="96"/>
      <c r="K55" s="96"/>
    </row>
    <row r="56" spans="1:13" ht="15.75" x14ac:dyDescent="0.25">
      <c r="A56" s="26" t="s">
        <v>84</v>
      </c>
      <c r="B56" s="26" t="s">
        <v>115</v>
      </c>
      <c r="C56" s="26" t="s">
        <v>107</v>
      </c>
      <c r="D56" s="14"/>
      <c r="E56" s="14"/>
      <c r="F56" s="14"/>
      <c r="G56" s="14"/>
      <c r="H56" s="96"/>
      <c r="I56" s="96"/>
      <c r="J56" s="96"/>
      <c r="K56" s="96"/>
    </row>
    <row r="57" spans="1:13" ht="15.75" x14ac:dyDescent="0.25">
      <c r="A57" s="26" t="s">
        <v>37</v>
      </c>
      <c r="B57" s="26" t="s">
        <v>115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  <c r="M57" s="133"/>
    </row>
    <row r="58" spans="1:13" ht="15.75" x14ac:dyDescent="0.25">
      <c r="A58" s="26" t="s">
        <v>35</v>
      </c>
      <c r="B58" s="26" t="s">
        <v>115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  <c r="M58" s="133"/>
    </row>
    <row r="59" spans="1:13" ht="15.75" x14ac:dyDescent="0.25">
      <c r="A59" s="27" t="s">
        <v>86</v>
      </c>
      <c r="B59" s="27" t="s">
        <v>115</v>
      </c>
      <c r="C59" s="27" t="s">
        <v>107</v>
      </c>
      <c r="D59" s="14"/>
      <c r="E59" s="14"/>
      <c r="F59" s="14"/>
      <c r="G59" s="14"/>
      <c r="H59" s="96"/>
      <c r="I59" s="96"/>
      <c r="J59" s="96"/>
      <c r="K59" s="96"/>
      <c r="M59" s="133"/>
    </row>
    <row r="60" spans="1:13" ht="15.75" x14ac:dyDescent="0.25">
      <c r="A60" s="30" t="s">
        <v>16</v>
      </c>
      <c r="B60" s="26" t="s">
        <v>115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</row>
    <row r="61" spans="1:13" ht="15.75" x14ac:dyDescent="0.25">
      <c r="A61" s="246" t="s">
        <v>136</v>
      </c>
      <c r="B61" s="26" t="s">
        <v>115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3" ht="16.5" thickBot="1" x14ac:dyDescent="0.3">
      <c r="A62" s="117" t="s">
        <v>99</v>
      </c>
      <c r="B62" s="26" t="s">
        <v>115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3" ht="21.75" thickBot="1" x14ac:dyDescent="0.4">
      <c r="A63" s="123" t="s">
        <v>117</v>
      </c>
      <c r="B63" s="121"/>
      <c r="C63" s="121"/>
      <c r="D63" s="174">
        <f>SUM(D55:D62)</f>
        <v>0</v>
      </c>
      <c r="E63" s="174">
        <f t="shared" ref="E63:G63" si="6">SUM(E55:E62)</f>
        <v>0</v>
      </c>
      <c r="F63" s="174">
        <f t="shared" si="6"/>
        <v>0</v>
      </c>
      <c r="G63" s="174">
        <f t="shared" si="6"/>
        <v>0</v>
      </c>
      <c r="H63" s="174">
        <f>SUM(H55:H62)</f>
        <v>0</v>
      </c>
      <c r="I63" s="174">
        <f t="shared" ref="I63:K63" si="7">SUM(I55:I62)</f>
        <v>0</v>
      </c>
      <c r="J63" s="174">
        <f t="shared" si="7"/>
        <v>0</v>
      </c>
      <c r="K63" s="174">
        <f t="shared" si="7"/>
        <v>0</v>
      </c>
    </row>
    <row r="64" spans="1:13" ht="15.75" x14ac:dyDescent="0.25">
      <c r="A64" s="27" t="s">
        <v>77</v>
      </c>
      <c r="B64" s="26" t="s">
        <v>108</v>
      </c>
      <c r="C64" s="27" t="s">
        <v>102</v>
      </c>
      <c r="D64" s="18"/>
      <c r="E64" s="18"/>
      <c r="F64" s="18"/>
      <c r="G64" s="18"/>
      <c r="H64" s="96"/>
      <c r="I64" s="96"/>
      <c r="J64" s="96"/>
      <c r="K64" s="96"/>
    </row>
    <row r="65" spans="1:12" ht="15.75" x14ac:dyDescent="0.25">
      <c r="A65" s="30" t="s">
        <v>40</v>
      </c>
      <c r="B65" s="26" t="s">
        <v>56</v>
      </c>
      <c r="C65" s="26" t="s">
        <v>103</v>
      </c>
      <c r="D65" s="14"/>
      <c r="E65" s="14"/>
      <c r="F65" s="14"/>
      <c r="G65" s="14"/>
      <c r="H65" s="96"/>
      <c r="I65" s="96"/>
      <c r="J65" s="96"/>
      <c r="K65" s="96"/>
    </row>
    <row r="66" spans="1:12" ht="15.75" x14ac:dyDescent="0.25">
      <c r="A66" s="26" t="s">
        <v>90</v>
      </c>
      <c r="B66" s="26" t="s">
        <v>108</v>
      </c>
      <c r="C66" s="26" t="s">
        <v>103</v>
      </c>
      <c r="D66" s="14"/>
      <c r="E66" s="14"/>
      <c r="F66" s="14"/>
      <c r="G66" s="14"/>
      <c r="H66" s="96"/>
      <c r="I66" s="96"/>
      <c r="J66" s="96"/>
      <c r="K66" s="96"/>
    </row>
    <row r="67" spans="1:12" ht="15.75" x14ac:dyDescent="0.25">
      <c r="A67" s="26" t="s">
        <v>92</v>
      </c>
      <c r="B67" s="26" t="s">
        <v>56</v>
      </c>
      <c r="C67" s="26" t="s">
        <v>103</v>
      </c>
      <c r="D67" s="14"/>
      <c r="E67" s="14"/>
      <c r="F67" s="14"/>
      <c r="G67" s="14"/>
      <c r="H67" s="96"/>
      <c r="I67" s="96"/>
      <c r="J67" s="96"/>
      <c r="K67" s="96"/>
    </row>
    <row r="68" spans="1:12" ht="15.75" x14ac:dyDescent="0.25">
      <c r="A68" s="26" t="s">
        <v>93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</row>
    <row r="69" spans="1:12" ht="15.75" x14ac:dyDescent="0.25">
      <c r="A69" s="26" t="s">
        <v>100</v>
      </c>
      <c r="B69" s="26" t="s">
        <v>56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  <c r="L69" s="138"/>
    </row>
    <row r="70" spans="1:12" ht="15.75" x14ac:dyDescent="0.25">
      <c r="A70" s="118" t="s">
        <v>101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/>
      <c r="K70" s="96"/>
    </row>
    <row r="71" spans="1:12" ht="15.75" x14ac:dyDescent="0.25">
      <c r="A71" s="26" t="s">
        <v>81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2" ht="21.75" thickBot="1" x14ac:dyDescent="0.25">
      <c r="A72" s="177" t="s">
        <v>44</v>
      </c>
      <c r="B72" s="178"/>
      <c r="C72" s="178"/>
      <c r="D72" s="179">
        <f>SUM(D64:D71)</f>
        <v>0</v>
      </c>
      <c r="E72" s="179">
        <f t="shared" ref="E72:G72" si="8">SUM(E64:E71)</f>
        <v>0</v>
      </c>
      <c r="F72" s="179">
        <f t="shared" si="8"/>
        <v>0</v>
      </c>
      <c r="G72" s="179">
        <f t="shared" si="8"/>
        <v>0</v>
      </c>
      <c r="H72" s="179">
        <f>SUM(H64:H71)</f>
        <v>0</v>
      </c>
      <c r="I72" s="179">
        <f t="shared" ref="I72:K72" si="9">SUM(I64:I71)</f>
        <v>0</v>
      </c>
      <c r="J72" s="179">
        <f t="shared" si="9"/>
        <v>0</v>
      </c>
      <c r="K72" s="179">
        <f t="shared" si="9"/>
        <v>0</v>
      </c>
    </row>
    <row r="73" spans="1:12" ht="21.75" thickBot="1" x14ac:dyDescent="0.25">
      <c r="A73" s="122" t="s">
        <v>45</v>
      </c>
      <c r="B73" s="121"/>
      <c r="C73" s="121"/>
      <c r="D73" s="131">
        <f>D72+D63+D54+D21+D8</f>
        <v>0</v>
      </c>
      <c r="E73" s="131">
        <f t="shared" ref="E73:G73" si="10">E72+E63+E54+E21+E8</f>
        <v>0</v>
      </c>
      <c r="F73" s="131">
        <f t="shared" si="10"/>
        <v>0</v>
      </c>
      <c r="G73" s="131">
        <f t="shared" si="10"/>
        <v>0</v>
      </c>
      <c r="H73" s="131">
        <f>H72+H63+H54+H21+H8</f>
        <v>0</v>
      </c>
      <c r="I73" s="131">
        <f t="shared" ref="I73:K73" si="11">I72+I63+I54+I21+I8</f>
        <v>0</v>
      </c>
      <c r="J73" s="131">
        <f t="shared" si="11"/>
        <v>0</v>
      </c>
      <c r="K73" s="131">
        <f t="shared" si="11"/>
        <v>0</v>
      </c>
    </row>
    <row r="74" spans="1:12" x14ac:dyDescent="0.25">
      <c r="H74" s="10"/>
      <c r="I74" s="10"/>
      <c r="J74" s="10"/>
    </row>
    <row r="75" spans="1:12" x14ac:dyDescent="0.25">
      <c r="D75" s="152"/>
      <c r="E75" s="152"/>
      <c r="F75" s="152"/>
      <c r="G75" s="152"/>
    </row>
    <row r="76" spans="1:12" x14ac:dyDescent="0.25">
      <c r="D76" s="137"/>
      <c r="E76" s="137"/>
      <c r="F76" s="137"/>
      <c r="G76" s="137"/>
    </row>
    <row r="77" spans="1:12" x14ac:dyDescent="0.25">
      <c r="D77" s="153"/>
      <c r="E77" s="153"/>
      <c r="F77" s="153"/>
      <c r="G77" s="153"/>
    </row>
    <row r="78" spans="1:12" x14ac:dyDescent="0.25">
      <c r="D78" s="153"/>
      <c r="E78" s="137"/>
      <c r="F78" s="137"/>
      <c r="G78" s="137"/>
    </row>
    <row r="79" spans="1:12" x14ac:dyDescent="0.25">
      <c r="D79" s="153"/>
      <c r="E79" s="153"/>
      <c r="F79" s="153"/>
      <c r="G79" s="153"/>
    </row>
  </sheetData>
  <autoFilter ref="A2:K73" xr:uid="{999396A7-850F-4ED5-BFFE-F950115F0DB8}"/>
  <mergeCells count="2">
    <mergeCell ref="D1:G1"/>
    <mergeCell ref="H1:K1"/>
  </mergeCells>
  <conditionalFormatting sqref="A1">
    <cfRule type="duplicateValues" dxfId="15" priority="15"/>
    <cfRule type="duplicateValues" dxfId="14" priority="16"/>
  </conditionalFormatting>
  <conditionalFormatting sqref="A14">
    <cfRule type="duplicateValues" dxfId="13" priority="13"/>
    <cfRule type="duplicateValues" dxfId="12" priority="13"/>
  </conditionalFormatting>
  <conditionalFormatting sqref="A40">
    <cfRule type="duplicateValues" dxfId="11" priority="1"/>
    <cfRule type="duplicateValues" dxfId="10" priority="2"/>
  </conditionalFormatting>
  <conditionalFormatting sqref="A55">
    <cfRule type="duplicateValues" dxfId="9" priority="11"/>
    <cfRule type="duplicateValues" dxfId="8" priority="11"/>
  </conditionalFormatting>
  <conditionalFormatting sqref="A56:A58 A7 A22:A39 A60 A41:A53">
    <cfRule type="duplicateValues" dxfId="7" priority="14"/>
    <cfRule type="duplicateValues" dxfId="6" priority="17"/>
  </conditionalFormatting>
  <conditionalFormatting sqref="A59">
    <cfRule type="duplicateValues" dxfId="5" priority="7"/>
    <cfRule type="duplicateValues" dxfId="4" priority="7"/>
  </conditionalFormatting>
  <conditionalFormatting sqref="A64:A71">
    <cfRule type="duplicateValues" dxfId="3" priority="12"/>
    <cfRule type="duplicateValues" dxfId="2" priority="18"/>
  </conditionalFormatting>
  <conditionalFormatting sqref="A72:A73 A2:A6 A8:A13 A15:A21 A54 A63">
    <cfRule type="duplicateValues" dxfId="1" priority="9"/>
    <cfRule type="duplicateValues" dxfId="0" priority="10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18</vt:i4>
      </vt:variant>
    </vt:vector>
  </HeadingPairs>
  <TitlesOfParts>
    <vt:vector size="18" baseType="lpstr">
      <vt:lpstr>דוח הנהלה</vt:lpstr>
      <vt:lpstr>תפוקה מצטברת מול אשתקד</vt:lpstr>
      <vt:lpstr>תפוקה מצטברת מול יעד מצטבר</vt:lpstr>
      <vt:lpstr>תפוקה מול יעד חודשי</vt:lpstr>
      <vt:lpstr>עולים יורדים</vt:lpstr>
      <vt:lpstr>הכשרה</vt:lpstr>
      <vt:lpstr>מגדל</vt:lpstr>
      <vt:lpstr>מנורה</vt:lpstr>
      <vt:lpstr>איילון</vt:lpstr>
      <vt:lpstr>הראל</vt:lpstr>
      <vt:lpstr>הפניקס</vt:lpstr>
      <vt:lpstr>כלל</vt:lpstr>
      <vt:lpstr>מור</vt:lpstr>
      <vt:lpstr>אלטשולר שחם</vt:lpstr>
      <vt:lpstr>מדיהו </vt:lpstr>
      <vt:lpstr>אנליסט </vt:lpstr>
      <vt:lpstr>מיטב דש</vt:lpstr>
      <vt:lpstr>אינפניטי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</dc:creator>
  <cp:lastModifiedBy>גלית ואלצר | גל אלמגור ביטוח</cp:lastModifiedBy>
  <cp:lastPrinted>2024-04-20T19:16:09Z</cp:lastPrinted>
  <dcterms:created xsi:type="dcterms:W3CDTF">2023-08-01T07:26:23Z</dcterms:created>
  <dcterms:modified xsi:type="dcterms:W3CDTF">2025-06-09T10:48:24Z</dcterms:modified>
</cp:coreProperties>
</file>