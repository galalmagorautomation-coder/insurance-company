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האחסון שלי\מאגר מידע של גל אלמגור\דוחות תפוקה\דוחות תפוקה ביטוח חיים\2025\6.2025\"/>
    </mc:Choice>
  </mc:AlternateContent>
  <xr:revisionPtr revIDLastSave="0" documentId="13_ncr:1_{AD0F9E5A-9838-4EDA-93F9-DCF90069162B}" xr6:coauthVersionLast="47" xr6:coauthVersionMax="47" xr10:uidLastSave="{00000000-0000-0000-0000-000000000000}"/>
  <bookViews>
    <workbookView xWindow="28680" yWindow="-120" windowWidth="29040" windowHeight="15720" tabRatio="861" xr2:uid="{EAA44E19-442B-426F-BCE2-2F28622BB0FA}"/>
  </bookViews>
  <sheets>
    <sheet name="דוח הנהלה" sheetId="11" r:id="rId1"/>
    <sheet name="תפוקה מצטברת מול אשתקד" sheetId="12" r:id="rId2"/>
    <sheet name="תפוקה חודשית מול אשתקד" sheetId="19" r:id="rId3"/>
    <sheet name="תפוקה מצטברת מול יעד מצטבר" sheetId="13" r:id="rId4"/>
    <sheet name="תפוקה מול יעד חודשי" sheetId="14" r:id="rId5"/>
    <sheet name="עולים יורדים" sheetId="10" r:id="rId6"/>
    <sheet name="הכשרה" sheetId="1" r:id="rId7"/>
    <sheet name="מגדל" sheetId="3" r:id="rId8"/>
    <sheet name="מנורה" sheetId="2" r:id="rId9"/>
    <sheet name="איילון" sheetId="4" r:id="rId10"/>
    <sheet name="הראל" sheetId="5" r:id="rId11"/>
    <sheet name="הפניקס" sheetId="6" r:id="rId12"/>
    <sheet name="כלל" sheetId="7" r:id="rId13"/>
    <sheet name="מור" sheetId="8" r:id="rId14"/>
    <sheet name="אלטשולר שחם" sheetId="9" r:id="rId15"/>
    <sheet name="מדיהו " sheetId="17" r:id="rId16"/>
    <sheet name="אנליסט " sheetId="15" r:id="rId17"/>
    <sheet name="מיטב דש" sheetId="16" r:id="rId18"/>
    <sheet name="אינפניטי" sheetId="18" r:id="rId19"/>
  </sheets>
  <definedNames>
    <definedName name="_xlnm._FilterDatabase" localSheetId="9" hidden="1">איילון!$A$2:$N$76</definedName>
    <definedName name="_xlnm._FilterDatabase" localSheetId="18" hidden="1">אינפניטי!$A$2:$K$76</definedName>
    <definedName name="_xlnm._FilterDatabase" localSheetId="14" hidden="1">'אלטשולר שחם'!$A$2:$K$76</definedName>
    <definedName name="_xlnm._FilterDatabase" localSheetId="16" hidden="1">'אנליסט '!$A$2:$K$76</definedName>
    <definedName name="_xlnm._FilterDatabase" localSheetId="6" hidden="1">הכשרה!$A$2:$K$76</definedName>
    <definedName name="_xlnm._FilterDatabase" localSheetId="11" hidden="1">הפניקס!$A$2:$K$76</definedName>
    <definedName name="_xlnm._FilterDatabase" localSheetId="10" hidden="1">הראל!$A$2:$P$76</definedName>
    <definedName name="_xlnm._FilterDatabase" localSheetId="12" hidden="1">כלל!$A$2:$L$76</definedName>
    <definedName name="_xlnm._FilterDatabase" localSheetId="7" hidden="1">מגדל!$A$2:$L$76</definedName>
    <definedName name="_xlnm._FilterDatabase" localSheetId="15" hidden="1">'מדיהו '!$A$2:$K$76</definedName>
    <definedName name="_xlnm._FilterDatabase" localSheetId="13" hidden="1">מור!$A$2:$O$76</definedName>
    <definedName name="_xlnm._FilterDatabase" localSheetId="17" hidden="1">'מיטב דש'!$A$2:$K$76</definedName>
    <definedName name="_xlnm._FilterDatabase" localSheetId="8" hidden="1">מנורה!$A$2:$K$76</definedName>
    <definedName name="_xlnm._FilterDatabase" localSheetId="5" hidden="1">'עולים יורדים'!$A$1:$F$69</definedName>
    <definedName name="_xlnm._FilterDatabase" localSheetId="4" hidden="1">'תפוקה מול יעד חודשי'!$A$2:$O$76</definedName>
    <definedName name="_xlnm._FilterDatabase" localSheetId="1" hidden="1">'תפוקה מצטברת מול אשתקד'!$A$2:$R$76</definedName>
    <definedName name="_xlnm._FilterDatabase" localSheetId="3" hidden="1">'תפוקה מצטברת מול יעד מצטבר'!$A$2:$P$76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11" l="1"/>
  <c r="F3" i="15"/>
  <c r="F67" i="15"/>
  <c r="J3" i="15"/>
  <c r="F3" i="8"/>
  <c r="D3" i="5"/>
  <c r="E3" i="5"/>
  <c r="F3" i="5"/>
  <c r="G3" i="5"/>
  <c r="F3" i="7" l="1"/>
  <c r="E3" i="7"/>
  <c r="D3" i="7"/>
  <c r="G3" i="6"/>
  <c r="F3" i="6"/>
  <c r="F67" i="6"/>
  <c r="E3" i="6"/>
  <c r="D3" i="6"/>
  <c r="E3" i="4"/>
  <c r="E6" i="4"/>
  <c r="E5" i="4"/>
  <c r="E67" i="4"/>
  <c r="G3" i="2"/>
  <c r="G72" i="2"/>
  <c r="G18" i="2"/>
  <c r="F3" i="2"/>
  <c r="E3" i="2"/>
  <c r="D3" i="2"/>
  <c r="D67" i="2"/>
  <c r="G3" i="3"/>
  <c r="F3" i="3"/>
  <c r="F67" i="3"/>
  <c r="E3" i="3"/>
  <c r="E67" i="3"/>
  <c r="E51" i="3"/>
  <c r="D3" i="3"/>
  <c r="H22" i="7" l="1"/>
  <c r="I22" i="7"/>
  <c r="J22" i="7"/>
  <c r="K22" i="7"/>
  <c r="O74" i="14"/>
  <c r="O73" i="14"/>
  <c r="O72" i="14"/>
  <c r="O71" i="14"/>
  <c r="O70" i="14"/>
  <c r="O69" i="14"/>
  <c r="O68" i="14"/>
  <c r="O67" i="14"/>
  <c r="O65" i="14"/>
  <c r="O64" i="14"/>
  <c r="O63" i="14"/>
  <c r="O62" i="14"/>
  <c r="O61" i="14"/>
  <c r="O60" i="14"/>
  <c r="O59" i="14"/>
  <c r="O58" i="14"/>
  <c r="O57" i="14"/>
  <c r="O55" i="14"/>
  <c r="O54" i="14"/>
  <c r="O53" i="14"/>
  <c r="O52" i="14"/>
  <c r="O51" i="14"/>
  <c r="O50" i="14"/>
  <c r="O49" i="14"/>
  <c r="O48" i="14"/>
  <c r="O47" i="14"/>
  <c r="O46" i="14"/>
  <c r="O45" i="14"/>
  <c r="O44" i="14"/>
  <c r="O43" i="14"/>
  <c r="O42" i="14"/>
  <c r="O41" i="14"/>
  <c r="O40" i="14"/>
  <c r="O39" i="14"/>
  <c r="O38" i="14"/>
  <c r="O37" i="14"/>
  <c r="O36" i="14"/>
  <c r="O35" i="14"/>
  <c r="O34" i="14"/>
  <c r="O33" i="14"/>
  <c r="O32" i="14"/>
  <c r="O31" i="14"/>
  <c r="O30" i="14"/>
  <c r="O29" i="14"/>
  <c r="O28" i="14"/>
  <c r="O27" i="14"/>
  <c r="O26" i="14"/>
  <c r="O25" i="14"/>
  <c r="O24" i="14"/>
  <c r="O23" i="14"/>
  <c r="O21" i="14"/>
  <c r="O20" i="14"/>
  <c r="O19" i="14"/>
  <c r="O18" i="14"/>
  <c r="O17" i="14"/>
  <c r="O16" i="14"/>
  <c r="O15" i="14"/>
  <c r="O14" i="14"/>
  <c r="O13" i="14"/>
  <c r="O12" i="14"/>
  <c r="O11" i="14"/>
  <c r="O10" i="14"/>
  <c r="O9" i="14"/>
  <c r="O4" i="14"/>
  <c r="O5" i="14"/>
  <c r="O6" i="14"/>
  <c r="O7" i="14"/>
  <c r="O3" i="14"/>
  <c r="N74" i="14"/>
  <c r="N73" i="14"/>
  <c r="N72" i="14"/>
  <c r="N71" i="14"/>
  <c r="N70" i="14"/>
  <c r="N69" i="14"/>
  <c r="N68" i="14"/>
  <c r="N67" i="14"/>
  <c r="N65" i="14"/>
  <c r="N64" i="14"/>
  <c r="N63" i="14"/>
  <c r="N62" i="14"/>
  <c r="N61" i="14"/>
  <c r="N60" i="14"/>
  <c r="N59" i="14"/>
  <c r="N58" i="14"/>
  <c r="N57" i="14"/>
  <c r="N55" i="14"/>
  <c r="N54" i="14"/>
  <c r="N53" i="14"/>
  <c r="N52" i="14"/>
  <c r="N51" i="14"/>
  <c r="N50" i="14"/>
  <c r="N49" i="14"/>
  <c r="N48" i="14"/>
  <c r="N47" i="14"/>
  <c r="N46" i="14"/>
  <c r="N45" i="14"/>
  <c r="N44" i="14"/>
  <c r="N43" i="14"/>
  <c r="N42" i="14"/>
  <c r="N41" i="14"/>
  <c r="N40" i="14"/>
  <c r="N39" i="14"/>
  <c r="N38" i="14"/>
  <c r="N37" i="14"/>
  <c r="N36" i="14"/>
  <c r="N35" i="14"/>
  <c r="N34" i="14"/>
  <c r="N33" i="14"/>
  <c r="N32" i="14"/>
  <c r="N31" i="14"/>
  <c r="N30" i="14"/>
  <c r="N29" i="14"/>
  <c r="N28" i="14"/>
  <c r="N27" i="14"/>
  <c r="N26" i="14"/>
  <c r="N25" i="14"/>
  <c r="N24" i="14"/>
  <c r="N23" i="14"/>
  <c r="N21" i="14"/>
  <c r="N20" i="14"/>
  <c r="N19" i="14"/>
  <c r="N18" i="14"/>
  <c r="N17" i="14"/>
  <c r="N16" i="14"/>
  <c r="N15" i="14"/>
  <c r="N14" i="14"/>
  <c r="N13" i="14"/>
  <c r="N12" i="14"/>
  <c r="N11" i="14"/>
  <c r="N10" i="14"/>
  <c r="N9" i="14"/>
  <c r="N4" i="14"/>
  <c r="N5" i="14"/>
  <c r="N6" i="14"/>
  <c r="N7" i="14"/>
  <c r="N3" i="14"/>
  <c r="M74" i="14"/>
  <c r="M73" i="14"/>
  <c r="M72" i="14"/>
  <c r="M71" i="14"/>
  <c r="M70" i="14"/>
  <c r="M69" i="14"/>
  <c r="M68" i="14"/>
  <c r="M67" i="14"/>
  <c r="M65" i="14"/>
  <c r="M64" i="14"/>
  <c r="M63" i="14"/>
  <c r="M62" i="14"/>
  <c r="M61" i="14"/>
  <c r="M60" i="14"/>
  <c r="M59" i="14"/>
  <c r="M58" i="14"/>
  <c r="M57" i="14"/>
  <c r="M55" i="14"/>
  <c r="M54" i="14"/>
  <c r="M53" i="14"/>
  <c r="M52" i="14"/>
  <c r="M51" i="14"/>
  <c r="M50" i="14"/>
  <c r="M49" i="14"/>
  <c r="M48" i="14"/>
  <c r="M47" i="14"/>
  <c r="M46" i="14"/>
  <c r="M45" i="14"/>
  <c r="M44" i="14"/>
  <c r="M43" i="14"/>
  <c r="M42" i="14"/>
  <c r="M41" i="14"/>
  <c r="M40" i="14"/>
  <c r="M39" i="14"/>
  <c r="M38" i="14"/>
  <c r="M37" i="14"/>
  <c r="M36" i="14"/>
  <c r="M35" i="14"/>
  <c r="M34" i="14"/>
  <c r="M33" i="14"/>
  <c r="M32" i="14"/>
  <c r="M31" i="14"/>
  <c r="M30" i="14"/>
  <c r="M29" i="14"/>
  <c r="M28" i="14"/>
  <c r="M27" i="14"/>
  <c r="M26" i="14"/>
  <c r="M25" i="14"/>
  <c r="M24" i="14"/>
  <c r="M23" i="14"/>
  <c r="M21" i="14"/>
  <c r="M20" i="14"/>
  <c r="M19" i="14"/>
  <c r="M18" i="14"/>
  <c r="M17" i="14"/>
  <c r="M16" i="14"/>
  <c r="M15" i="14"/>
  <c r="M14" i="14"/>
  <c r="M13" i="14"/>
  <c r="M12" i="14"/>
  <c r="M11" i="14"/>
  <c r="M10" i="14"/>
  <c r="M9" i="14"/>
  <c r="M4" i="14"/>
  <c r="M5" i="14"/>
  <c r="M6" i="14"/>
  <c r="M7" i="14"/>
  <c r="M3" i="14"/>
  <c r="L74" i="14"/>
  <c r="L73" i="14"/>
  <c r="L72" i="14"/>
  <c r="L71" i="14"/>
  <c r="L70" i="14"/>
  <c r="L69" i="14"/>
  <c r="L68" i="14"/>
  <c r="L67" i="14"/>
  <c r="L65" i="14"/>
  <c r="L64" i="14"/>
  <c r="L63" i="14"/>
  <c r="L62" i="14"/>
  <c r="L61" i="14"/>
  <c r="L60" i="14"/>
  <c r="L59" i="14"/>
  <c r="L58" i="14"/>
  <c r="L57" i="14"/>
  <c r="L55" i="14"/>
  <c r="L54" i="14"/>
  <c r="L53" i="14"/>
  <c r="L52" i="14"/>
  <c r="L51" i="14"/>
  <c r="L50" i="14"/>
  <c r="L49" i="14"/>
  <c r="L48" i="14"/>
  <c r="L47" i="14"/>
  <c r="L46" i="14"/>
  <c r="L45" i="14"/>
  <c r="L44" i="14"/>
  <c r="L43" i="14"/>
  <c r="L42" i="14"/>
  <c r="L41" i="14"/>
  <c r="L40" i="14"/>
  <c r="L39" i="14"/>
  <c r="L38" i="14"/>
  <c r="L37" i="14"/>
  <c r="L36" i="14"/>
  <c r="L35" i="14"/>
  <c r="L34" i="14"/>
  <c r="L33" i="14"/>
  <c r="L32" i="14"/>
  <c r="L31" i="14"/>
  <c r="L30" i="14"/>
  <c r="L29" i="14"/>
  <c r="L28" i="14"/>
  <c r="L27" i="14"/>
  <c r="L26" i="14"/>
  <c r="L25" i="14"/>
  <c r="L24" i="14"/>
  <c r="L23" i="14"/>
  <c r="L21" i="14"/>
  <c r="L20" i="14"/>
  <c r="L19" i="14"/>
  <c r="L18" i="14"/>
  <c r="L17" i="14"/>
  <c r="L16" i="14"/>
  <c r="L15" i="14"/>
  <c r="L14" i="14"/>
  <c r="L13" i="14"/>
  <c r="L12" i="14"/>
  <c r="L11" i="14"/>
  <c r="L10" i="14"/>
  <c r="L9" i="14"/>
  <c r="L7" i="14"/>
  <c r="L4" i="14"/>
  <c r="L5" i="14"/>
  <c r="L6" i="14"/>
  <c r="L3" i="14"/>
  <c r="G64" i="14" l="1"/>
  <c r="F64" i="14"/>
  <c r="E64" i="14"/>
  <c r="D64" i="14"/>
  <c r="G64" i="19"/>
  <c r="F64" i="19"/>
  <c r="E64" i="19"/>
  <c r="D64" i="19"/>
  <c r="O64" i="12"/>
  <c r="N64" i="12"/>
  <c r="M64" i="12"/>
  <c r="E27" i="10" s="1"/>
  <c r="L64" i="12"/>
  <c r="K64" i="12"/>
  <c r="J64" i="12"/>
  <c r="I64" i="12"/>
  <c r="D27" i="10" s="1"/>
  <c r="H64" i="12"/>
  <c r="G20" i="14"/>
  <c r="F20" i="14"/>
  <c r="E20" i="14"/>
  <c r="D20" i="14"/>
  <c r="G20" i="19"/>
  <c r="F20" i="19"/>
  <c r="E20" i="19"/>
  <c r="D20" i="19"/>
  <c r="O20" i="12"/>
  <c r="N20" i="12"/>
  <c r="M20" i="12"/>
  <c r="E22" i="10" s="1"/>
  <c r="L20" i="12"/>
  <c r="K20" i="12"/>
  <c r="G20" i="12" s="1"/>
  <c r="J20" i="12"/>
  <c r="F20" i="12" s="1"/>
  <c r="I20" i="12"/>
  <c r="H20" i="12"/>
  <c r="E20" i="12" l="1"/>
  <c r="D22" i="10"/>
  <c r="C27" i="10"/>
  <c r="B27" i="10"/>
  <c r="F64" i="12"/>
  <c r="D64" i="12"/>
  <c r="G64" i="12"/>
  <c r="E64" i="12"/>
  <c r="N64" i="13"/>
  <c r="F64" i="13" s="1"/>
  <c r="O64" i="13"/>
  <c r="G64" i="13" s="1"/>
  <c r="L64" i="13"/>
  <c r="D64" i="13" s="1"/>
  <c r="M64" i="13"/>
  <c r="E64" i="13" s="1"/>
  <c r="D20" i="12"/>
  <c r="N20" i="13"/>
  <c r="F20" i="13" s="1"/>
  <c r="O20" i="13"/>
  <c r="G20" i="13" s="1"/>
  <c r="L20" i="13"/>
  <c r="D20" i="13" s="1"/>
  <c r="M20" i="13"/>
  <c r="E20" i="13" s="1"/>
  <c r="G54" i="14"/>
  <c r="F54" i="14"/>
  <c r="E54" i="14"/>
  <c r="D54" i="14"/>
  <c r="E54" i="19"/>
  <c r="D54" i="19"/>
  <c r="G54" i="19"/>
  <c r="F54" i="19"/>
  <c r="O54" i="12"/>
  <c r="N54" i="12"/>
  <c r="M54" i="12"/>
  <c r="E32" i="10" s="1"/>
  <c r="L54" i="12"/>
  <c r="K54" i="12"/>
  <c r="J54" i="12"/>
  <c r="F54" i="12" s="1"/>
  <c r="I54" i="12"/>
  <c r="H54" i="12"/>
  <c r="D54" i="12" s="1"/>
  <c r="E54" i="12" l="1"/>
  <c r="D32" i="10"/>
  <c r="B32" i="10" s="1"/>
  <c r="C22" i="10"/>
  <c r="B22" i="10"/>
  <c r="G54" i="12"/>
  <c r="M54" i="13"/>
  <c r="E54" i="13" s="1"/>
  <c r="N54" i="13"/>
  <c r="F54" i="13" s="1"/>
  <c r="L54" i="13"/>
  <c r="D54" i="13" s="1"/>
  <c r="O54" i="13"/>
  <c r="G54" i="13" s="1"/>
  <c r="C32" i="10" l="1"/>
  <c r="G74" i="19"/>
  <c r="F74" i="19"/>
  <c r="E74" i="19"/>
  <c r="D74" i="19"/>
  <c r="G73" i="19"/>
  <c r="F73" i="19"/>
  <c r="E73" i="19"/>
  <c r="D73" i="19"/>
  <c r="G72" i="19"/>
  <c r="F72" i="19"/>
  <c r="E72" i="19"/>
  <c r="D72" i="19"/>
  <c r="G71" i="19"/>
  <c r="F71" i="19"/>
  <c r="E71" i="19"/>
  <c r="D71" i="19"/>
  <c r="G70" i="19"/>
  <c r="F70" i="19"/>
  <c r="E70" i="19"/>
  <c r="D70" i="19"/>
  <c r="G69" i="19"/>
  <c r="F69" i="19"/>
  <c r="E69" i="19"/>
  <c r="D69" i="19"/>
  <c r="G68" i="19"/>
  <c r="F68" i="19"/>
  <c r="E68" i="19"/>
  <c r="D68" i="19"/>
  <c r="O75" i="19"/>
  <c r="N75" i="19"/>
  <c r="M75" i="19"/>
  <c r="L75" i="19"/>
  <c r="G65" i="19"/>
  <c r="F65" i="19"/>
  <c r="E65" i="19"/>
  <c r="D65" i="19"/>
  <c r="G63" i="19"/>
  <c r="F63" i="19"/>
  <c r="E63" i="19"/>
  <c r="D63" i="19"/>
  <c r="G62" i="19"/>
  <c r="F62" i="19"/>
  <c r="E62" i="19"/>
  <c r="D62" i="19"/>
  <c r="G61" i="19"/>
  <c r="F61" i="19"/>
  <c r="E61" i="19"/>
  <c r="D61" i="19"/>
  <c r="G60" i="19"/>
  <c r="F60" i="19"/>
  <c r="E60" i="19"/>
  <c r="D60" i="19"/>
  <c r="G59" i="19"/>
  <c r="F59" i="19"/>
  <c r="E59" i="19"/>
  <c r="D59" i="19"/>
  <c r="G58" i="19"/>
  <c r="F58" i="19"/>
  <c r="E58" i="19"/>
  <c r="D58" i="19"/>
  <c r="O66" i="19"/>
  <c r="N66" i="19"/>
  <c r="M66" i="19"/>
  <c r="L66" i="19"/>
  <c r="F57" i="19"/>
  <c r="E57" i="19"/>
  <c r="D57" i="19"/>
  <c r="G55" i="19"/>
  <c r="F55" i="19"/>
  <c r="E55" i="19"/>
  <c r="D55" i="19"/>
  <c r="G53" i="19"/>
  <c r="F53" i="19"/>
  <c r="E53" i="19"/>
  <c r="D53" i="19"/>
  <c r="G52" i="19"/>
  <c r="F52" i="19"/>
  <c r="E52" i="19"/>
  <c r="D52" i="19"/>
  <c r="G51" i="19"/>
  <c r="F51" i="19"/>
  <c r="E51" i="19"/>
  <c r="D51" i="19"/>
  <c r="G50" i="19"/>
  <c r="F50" i="19"/>
  <c r="E50" i="19"/>
  <c r="D50" i="19"/>
  <c r="G49" i="19"/>
  <c r="F49" i="19"/>
  <c r="E49" i="19"/>
  <c r="D49" i="19"/>
  <c r="G48" i="19"/>
  <c r="F48" i="19"/>
  <c r="E48" i="19"/>
  <c r="D48" i="19"/>
  <c r="G47" i="19"/>
  <c r="F47" i="19"/>
  <c r="E47" i="19"/>
  <c r="D47" i="19"/>
  <c r="F46" i="19"/>
  <c r="E46" i="19"/>
  <c r="D46" i="19"/>
  <c r="G45" i="19"/>
  <c r="F45" i="19"/>
  <c r="E45" i="19"/>
  <c r="D45" i="19"/>
  <c r="G44" i="19"/>
  <c r="F44" i="19"/>
  <c r="E44" i="19"/>
  <c r="D44" i="19"/>
  <c r="G43" i="19"/>
  <c r="F43" i="19"/>
  <c r="E43" i="19"/>
  <c r="D43" i="19"/>
  <c r="F42" i="19"/>
  <c r="E42" i="19"/>
  <c r="D42" i="19"/>
  <c r="G41" i="19"/>
  <c r="F41" i="19"/>
  <c r="E41" i="19"/>
  <c r="D41" i="19"/>
  <c r="F40" i="19"/>
  <c r="E40" i="19"/>
  <c r="D40" i="19"/>
  <c r="G39" i="19"/>
  <c r="F39" i="19"/>
  <c r="E39" i="19"/>
  <c r="D39" i="19"/>
  <c r="G38" i="19"/>
  <c r="F38" i="19"/>
  <c r="E38" i="19"/>
  <c r="D38" i="19"/>
  <c r="G37" i="19"/>
  <c r="F37" i="19"/>
  <c r="E37" i="19"/>
  <c r="D37" i="19"/>
  <c r="G36" i="19"/>
  <c r="F36" i="19"/>
  <c r="E36" i="19"/>
  <c r="D36" i="19"/>
  <c r="F35" i="19"/>
  <c r="E35" i="19"/>
  <c r="D35" i="19"/>
  <c r="G34" i="19"/>
  <c r="F34" i="19"/>
  <c r="E34" i="19"/>
  <c r="D34" i="19"/>
  <c r="G33" i="19"/>
  <c r="F33" i="19"/>
  <c r="E33" i="19"/>
  <c r="D33" i="19"/>
  <c r="G32" i="19"/>
  <c r="F32" i="19"/>
  <c r="E32" i="19"/>
  <c r="D32" i="19"/>
  <c r="G31" i="19"/>
  <c r="F31" i="19"/>
  <c r="E31" i="19"/>
  <c r="D31" i="19"/>
  <c r="G30" i="19"/>
  <c r="F30" i="19"/>
  <c r="E30" i="19"/>
  <c r="D30" i="19"/>
  <c r="F29" i="19"/>
  <c r="E29" i="19"/>
  <c r="D29" i="19"/>
  <c r="F28" i="19"/>
  <c r="E28" i="19"/>
  <c r="D28" i="19"/>
  <c r="G27" i="19"/>
  <c r="F27" i="19"/>
  <c r="E27" i="19"/>
  <c r="D27" i="19"/>
  <c r="F26" i="19"/>
  <c r="E26" i="19"/>
  <c r="D26" i="19"/>
  <c r="G25" i="19"/>
  <c r="F25" i="19"/>
  <c r="E25" i="19"/>
  <c r="D25" i="19"/>
  <c r="F24" i="19"/>
  <c r="E24" i="19"/>
  <c r="D24" i="19"/>
  <c r="O56" i="19"/>
  <c r="N56" i="19"/>
  <c r="M56" i="19"/>
  <c r="L56" i="19"/>
  <c r="F23" i="19"/>
  <c r="E23" i="19"/>
  <c r="D23" i="19"/>
  <c r="G21" i="19"/>
  <c r="F21" i="19"/>
  <c r="E21" i="19"/>
  <c r="D21" i="19"/>
  <c r="F19" i="19"/>
  <c r="E19" i="19"/>
  <c r="D19" i="19"/>
  <c r="F18" i="19"/>
  <c r="E18" i="19"/>
  <c r="D18" i="19"/>
  <c r="F17" i="19"/>
  <c r="E17" i="19"/>
  <c r="D17" i="19"/>
  <c r="F16" i="19"/>
  <c r="E16" i="19"/>
  <c r="D16" i="19"/>
  <c r="F15" i="19"/>
  <c r="E15" i="19"/>
  <c r="D15" i="19"/>
  <c r="F14" i="19"/>
  <c r="E14" i="19"/>
  <c r="D14" i="19"/>
  <c r="G13" i="19"/>
  <c r="F13" i="19"/>
  <c r="E13" i="19"/>
  <c r="D13" i="19"/>
  <c r="F12" i="19"/>
  <c r="E12" i="19"/>
  <c r="D12" i="19"/>
  <c r="F11" i="19"/>
  <c r="E11" i="19"/>
  <c r="D11" i="19"/>
  <c r="G10" i="19"/>
  <c r="F10" i="19"/>
  <c r="E10" i="19"/>
  <c r="D10" i="19"/>
  <c r="O22" i="19"/>
  <c r="N22" i="19"/>
  <c r="M22" i="19"/>
  <c r="L22" i="19"/>
  <c r="G9" i="19"/>
  <c r="F9" i="19"/>
  <c r="E9" i="19"/>
  <c r="D9" i="19"/>
  <c r="G7" i="19"/>
  <c r="F7" i="19"/>
  <c r="E7" i="19"/>
  <c r="D7" i="19"/>
  <c r="F6" i="19"/>
  <c r="E6" i="19"/>
  <c r="D6" i="19"/>
  <c r="G5" i="19"/>
  <c r="F5" i="19"/>
  <c r="E5" i="19"/>
  <c r="D5" i="19"/>
  <c r="N8" i="19"/>
  <c r="M8" i="19"/>
  <c r="L8" i="19"/>
  <c r="F4" i="19"/>
  <c r="E4" i="19"/>
  <c r="D4" i="19"/>
  <c r="O8" i="19"/>
  <c r="G19" i="19" l="1"/>
  <c r="G28" i="19"/>
  <c r="G35" i="19"/>
  <c r="G42" i="19"/>
  <c r="G24" i="19"/>
  <c r="G26" i="19"/>
  <c r="G16" i="19"/>
  <c r="G29" i="19"/>
  <c r="F3" i="19" s="1"/>
  <c r="G4" i="19"/>
  <c r="G18" i="19"/>
  <c r="G14" i="19"/>
  <c r="G3" i="19"/>
  <c r="G11" i="19"/>
  <c r="G17" i="19"/>
  <c r="J75" i="19"/>
  <c r="F75" i="19" s="1"/>
  <c r="K56" i="19"/>
  <c r="G56" i="19" s="1"/>
  <c r="K75" i="19"/>
  <c r="G75" i="19" s="1"/>
  <c r="K66" i="19"/>
  <c r="G66" i="19" s="1"/>
  <c r="H75" i="19"/>
  <c r="D75" i="19" s="1"/>
  <c r="I8" i="19"/>
  <c r="E8" i="19" s="1"/>
  <c r="I75" i="19"/>
  <c r="E75" i="19" s="1"/>
  <c r="J8" i="19"/>
  <c r="F8" i="19" s="1"/>
  <c r="K22" i="19"/>
  <c r="G22" i="19" s="1"/>
  <c r="D67" i="19"/>
  <c r="E67" i="19"/>
  <c r="F67" i="19"/>
  <c r="H56" i="19"/>
  <c r="D56" i="19" s="1"/>
  <c r="H8" i="19"/>
  <c r="D8" i="19" s="1"/>
  <c r="I56" i="19"/>
  <c r="E56" i="19" s="1"/>
  <c r="G57" i="19"/>
  <c r="J56" i="19"/>
  <c r="F56" i="19" s="1"/>
  <c r="M76" i="19"/>
  <c r="N76" i="19"/>
  <c r="O76" i="19"/>
  <c r="L76" i="19"/>
  <c r="K8" i="19"/>
  <c r="H66" i="19"/>
  <c r="D66" i="19" s="1"/>
  <c r="I66" i="19"/>
  <c r="E66" i="19" s="1"/>
  <c r="J66" i="19"/>
  <c r="F66" i="19" s="1"/>
  <c r="J22" i="19"/>
  <c r="F22" i="19" s="1"/>
  <c r="G23" i="19"/>
  <c r="G67" i="19"/>
  <c r="H22" i="19"/>
  <c r="D22" i="19" s="1"/>
  <c r="D3" i="19"/>
  <c r="E3" i="19"/>
  <c r="I22" i="19"/>
  <c r="E22" i="19" s="1"/>
  <c r="G40" i="19" l="1"/>
  <c r="G8" i="19"/>
  <c r="J76" i="19"/>
  <c r="F76" i="19" s="1"/>
  <c r="I76" i="19"/>
  <c r="E76" i="19" s="1"/>
  <c r="H76" i="19"/>
  <c r="D76" i="19" s="1"/>
  <c r="K76" i="19"/>
  <c r="G76" i="19" s="1"/>
  <c r="G62" i="14" l="1"/>
  <c r="F62" i="14"/>
  <c r="E62" i="14"/>
  <c r="D62" i="14"/>
  <c r="O63" i="12"/>
  <c r="N63" i="12"/>
  <c r="M63" i="12"/>
  <c r="E55" i="10" s="1"/>
  <c r="L63" i="12"/>
  <c r="K63" i="12"/>
  <c r="G63" i="12" s="1"/>
  <c r="J63" i="12"/>
  <c r="F63" i="12" s="1"/>
  <c r="I63" i="12"/>
  <c r="H63" i="12"/>
  <c r="D63" i="12" s="1"/>
  <c r="K75" i="13"/>
  <c r="K66" i="13"/>
  <c r="K56" i="13"/>
  <c r="K22" i="13"/>
  <c r="K8" i="13"/>
  <c r="J8" i="13"/>
  <c r="J56" i="13"/>
  <c r="J66" i="13"/>
  <c r="J75" i="13"/>
  <c r="S20" i="11"/>
  <c r="U18" i="11"/>
  <c r="T20" i="11"/>
  <c r="T18" i="11"/>
  <c r="S18" i="11"/>
  <c r="R20" i="11"/>
  <c r="R18" i="11"/>
  <c r="U20" i="11"/>
  <c r="E63" i="12" l="1"/>
  <c r="D55" i="10"/>
  <c r="L63" i="13"/>
  <c r="D63" i="13" s="1"/>
  <c r="M63" i="13"/>
  <c r="E63" i="13" s="1"/>
  <c r="N63" i="13"/>
  <c r="F63" i="13" s="1"/>
  <c r="O63" i="13"/>
  <c r="G63" i="13" s="1"/>
  <c r="K76" i="13"/>
  <c r="U17" i="11"/>
  <c r="U19" i="11"/>
  <c r="T17" i="11"/>
  <c r="T19" i="11"/>
  <c r="S17" i="11"/>
  <c r="S19" i="11"/>
  <c r="R17" i="11"/>
  <c r="R19" i="11"/>
  <c r="L66" i="14"/>
  <c r="M66" i="14"/>
  <c r="N66" i="14"/>
  <c r="O66" i="14"/>
  <c r="L56" i="14"/>
  <c r="M56" i="14"/>
  <c r="N56" i="14"/>
  <c r="O56" i="14"/>
  <c r="L22" i="14"/>
  <c r="M22" i="14"/>
  <c r="N22" i="14"/>
  <c r="O22" i="14"/>
  <c r="L8" i="14"/>
  <c r="M8" i="14"/>
  <c r="N8" i="14"/>
  <c r="O8" i="14"/>
  <c r="C55" i="10" l="1"/>
  <c r="B55" i="10"/>
  <c r="R21" i="11"/>
  <c r="S21" i="11"/>
  <c r="U21" i="11"/>
  <c r="T21" i="11"/>
  <c r="N75" i="14"/>
  <c r="O75" i="14"/>
  <c r="M75" i="14"/>
  <c r="L75" i="14"/>
  <c r="H75" i="13" l="1"/>
  <c r="I75" i="13"/>
  <c r="H66" i="13"/>
  <c r="I66" i="13"/>
  <c r="I56" i="13"/>
  <c r="H56" i="13"/>
  <c r="J22" i="13"/>
  <c r="I22" i="13"/>
  <c r="H22" i="13"/>
  <c r="I8" i="13"/>
  <c r="H8" i="13"/>
  <c r="H76" i="13" l="1"/>
  <c r="O53" i="12" l="1"/>
  <c r="J75" i="9"/>
  <c r="J66" i="9"/>
  <c r="J56" i="9"/>
  <c r="J22" i="9"/>
  <c r="J66" i="8"/>
  <c r="J56" i="8"/>
  <c r="J22" i="8"/>
  <c r="K66" i="7"/>
  <c r="K56" i="7"/>
  <c r="J66" i="7"/>
  <c r="J56" i="7"/>
  <c r="J8" i="7"/>
  <c r="I66" i="7"/>
  <c r="I56" i="7"/>
  <c r="H66" i="7"/>
  <c r="H56" i="7"/>
  <c r="K75" i="6"/>
  <c r="K66" i="6"/>
  <c r="K56" i="6"/>
  <c r="K22" i="6"/>
  <c r="K8" i="6"/>
  <c r="J75" i="6"/>
  <c r="J66" i="6"/>
  <c r="J56" i="6"/>
  <c r="J22" i="6"/>
  <c r="I75" i="6"/>
  <c r="I66" i="6"/>
  <c r="I56" i="6"/>
  <c r="I22" i="6"/>
  <c r="H75" i="6"/>
  <c r="H66" i="6"/>
  <c r="H56" i="6"/>
  <c r="H22" i="6"/>
  <c r="K75" i="5"/>
  <c r="K66" i="5"/>
  <c r="O55" i="12"/>
  <c r="K22" i="5"/>
  <c r="K8" i="5"/>
  <c r="J75" i="5"/>
  <c r="J66" i="5"/>
  <c r="J22" i="5"/>
  <c r="I75" i="5"/>
  <c r="I66" i="5"/>
  <c r="I22" i="5"/>
  <c r="H75" i="5"/>
  <c r="H66" i="5"/>
  <c r="H22" i="5"/>
  <c r="I66" i="4"/>
  <c r="I56" i="4"/>
  <c r="I22" i="4"/>
  <c r="H66" i="4"/>
  <c r="H56" i="4"/>
  <c r="H22" i="4"/>
  <c r="K66" i="2"/>
  <c r="K56" i="2"/>
  <c r="K22" i="2"/>
  <c r="J66" i="2"/>
  <c r="J56" i="2"/>
  <c r="J22" i="2"/>
  <c r="I66" i="2"/>
  <c r="I56" i="2"/>
  <c r="I22" i="2"/>
  <c r="H66" i="2"/>
  <c r="H56" i="2"/>
  <c r="H22" i="2"/>
  <c r="K75" i="18"/>
  <c r="J75" i="18"/>
  <c r="I75" i="18"/>
  <c r="H75" i="18"/>
  <c r="G75" i="18"/>
  <c r="F75" i="18"/>
  <c r="E75" i="18"/>
  <c r="D75" i="18"/>
  <c r="K66" i="18"/>
  <c r="J66" i="18"/>
  <c r="I66" i="18"/>
  <c r="H66" i="18"/>
  <c r="G66" i="18"/>
  <c r="F66" i="18"/>
  <c r="E66" i="18"/>
  <c r="D66" i="18"/>
  <c r="K56" i="18"/>
  <c r="J56" i="18"/>
  <c r="I56" i="18"/>
  <c r="H56" i="18"/>
  <c r="G56" i="18"/>
  <c r="F56" i="18"/>
  <c r="E56" i="18"/>
  <c r="D56" i="18"/>
  <c r="K22" i="18"/>
  <c r="J22" i="18"/>
  <c r="I22" i="18"/>
  <c r="H22" i="18"/>
  <c r="G22" i="18"/>
  <c r="F22" i="18"/>
  <c r="E22" i="18"/>
  <c r="D22" i="18"/>
  <c r="K8" i="18"/>
  <c r="J8" i="18"/>
  <c r="I8" i="18"/>
  <c r="H8" i="18"/>
  <c r="G8" i="18"/>
  <c r="F8" i="18"/>
  <c r="E8" i="18"/>
  <c r="D8" i="18"/>
  <c r="K75" i="16"/>
  <c r="J75" i="16"/>
  <c r="I75" i="16"/>
  <c r="H75" i="16"/>
  <c r="G75" i="16"/>
  <c r="F75" i="16"/>
  <c r="E75" i="16"/>
  <c r="D75" i="16"/>
  <c r="K66" i="16"/>
  <c r="J66" i="16"/>
  <c r="I66" i="16"/>
  <c r="H66" i="16"/>
  <c r="G66" i="16"/>
  <c r="F66" i="16"/>
  <c r="E66" i="16"/>
  <c r="D66" i="16"/>
  <c r="K56" i="16"/>
  <c r="J56" i="16"/>
  <c r="I56" i="16"/>
  <c r="H56" i="16"/>
  <c r="G56" i="16"/>
  <c r="F56" i="16"/>
  <c r="E56" i="16"/>
  <c r="D56" i="16"/>
  <c r="K22" i="16"/>
  <c r="J22" i="16"/>
  <c r="I22" i="16"/>
  <c r="H22" i="16"/>
  <c r="G22" i="16"/>
  <c r="F22" i="16"/>
  <c r="E22" i="16"/>
  <c r="D22" i="16"/>
  <c r="K8" i="16"/>
  <c r="J8" i="16"/>
  <c r="I8" i="16"/>
  <c r="H8" i="16"/>
  <c r="G8" i="16"/>
  <c r="F8" i="16"/>
  <c r="E8" i="16"/>
  <c r="D8" i="16"/>
  <c r="K75" i="15"/>
  <c r="J75" i="15"/>
  <c r="I75" i="15"/>
  <c r="H75" i="15"/>
  <c r="G75" i="15"/>
  <c r="F75" i="15"/>
  <c r="E75" i="15"/>
  <c r="D75" i="15"/>
  <c r="K66" i="15"/>
  <c r="J66" i="15"/>
  <c r="I66" i="15"/>
  <c r="H66" i="15"/>
  <c r="G66" i="15"/>
  <c r="F66" i="15"/>
  <c r="E66" i="15"/>
  <c r="D66" i="15"/>
  <c r="K56" i="15"/>
  <c r="J56" i="15"/>
  <c r="I56" i="15"/>
  <c r="H56" i="15"/>
  <c r="G56" i="15"/>
  <c r="F56" i="15"/>
  <c r="E56" i="15"/>
  <c r="D56" i="15"/>
  <c r="K22" i="15"/>
  <c r="J22" i="15"/>
  <c r="I22" i="15"/>
  <c r="H22" i="15"/>
  <c r="G22" i="15"/>
  <c r="F22" i="15"/>
  <c r="E22" i="15"/>
  <c r="D22" i="15"/>
  <c r="K8" i="15"/>
  <c r="J8" i="15"/>
  <c r="I8" i="15"/>
  <c r="H8" i="15"/>
  <c r="G8" i="15"/>
  <c r="F8" i="15"/>
  <c r="E8" i="15"/>
  <c r="D8" i="15"/>
  <c r="K75" i="17"/>
  <c r="J75" i="17"/>
  <c r="I75" i="17"/>
  <c r="H75" i="17"/>
  <c r="G75" i="17"/>
  <c r="F75" i="17"/>
  <c r="E75" i="17"/>
  <c r="D75" i="17"/>
  <c r="K66" i="17"/>
  <c r="J66" i="17"/>
  <c r="I66" i="17"/>
  <c r="H66" i="17"/>
  <c r="G66" i="17"/>
  <c r="F66" i="17"/>
  <c r="E66" i="17"/>
  <c r="D66" i="17"/>
  <c r="K56" i="17"/>
  <c r="J56" i="17"/>
  <c r="I56" i="17"/>
  <c r="H56" i="17"/>
  <c r="G56" i="17"/>
  <c r="F56" i="17"/>
  <c r="E56" i="17"/>
  <c r="D56" i="17"/>
  <c r="K22" i="17"/>
  <c r="J22" i="17"/>
  <c r="I22" i="17"/>
  <c r="H22" i="17"/>
  <c r="G22" i="17"/>
  <c r="F22" i="17"/>
  <c r="E22" i="17"/>
  <c r="D22" i="17"/>
  <c r="K8" i="17"/>
  <c r="J8" i="17"/>
  <c r="I8" i="17"/>
  <c r="H8" i="17"/>
  <c r="G8" i="17"/>
  <c r="F8" i="17"/>
  <c r="E8" i="17"/>
  <c r="D8" i="17"/>
  <c r="K75" i="9"/>
  <c r="I75" i="9"/>
  <c r="H75" i="9"/>
  <c r="G75" i="9"/>
  <c r="F75" i="9"/>
  <c r="E75" i="9"/>
  <c r="D75" i="9"/>
  <c r="K66" i="9"/>
  <c r="I66" i="9"/>
  <c r="H66" i="9"/>
  <c r="G66" i="9"/>
  <c r="F66" i="9"/>
  <c r="E66" i="9"/>
  <c r="D66" i="9"/>
  <c r="K56" i="9"/>
  <c r="I56" i="9"/>
  <c r="H56" i="9"/>
  <c r="G56" i="9"/>
  <c r="F56" i="9"/>
  <c r="E56" i="9"/>
  <c r="D56" i="9"/>
  <c r="K22" i="9"/>
  <c r="I22" i="9"/>
  <c r="H22" i="9"/>
  <c r="G22" i="9"/>
  <c r="F22" i="9"/>
  <c r="E22" i="9"/>
  <c r="D22" i="9"/>
  <c r="K8" i="9"/>
  <c r="I8" i="9"/>
  <c r="H8" i="9"/>
  <c r="G8" i="9"/>
  <c r="F8" i="9"/>
  <c r="E8" i="9"/>
  <c r="D8" i="9"/>
  <c r="K75" i="8"/>
  <c r="I75" i="8"/>
  <c r="H75" i="8"/>
  <c r="G75" i="8"/>
  <c r="F75" i="8"/>
  <c r="E75" i="8"/>
  <c r="D75" i="8"/>
  <c r="K66" i="8"/>
  <c r="I66" i="8"/>
  <c r="H66" i="8"/>
  <c r="G66" i="8"/>
  <c r="F66" i="8"/>
  <c r="E66" i="8"/>
  <c r="D66" i="8"/>
  <c r="K56" i="8"/>
  <c r="I56" i="8"/>
  <c r="H56" i="8"/>
  <c r="G56" i="8"/>
  <c r="F56" i="8"/>
  <c r="E56" i="8"/>
  <c r="D56" i="8"/>
  <c r="K22" i="8"/>
  <c r="I22" i="8"/>
  <c r="H22" i="8"/>
  <c r="G22" i="8"/>
  <c r="F22" i="8"/>
  <c r="E22" i="8"/>
  <c r="D22" i="8"/>
  <c r="K8" i="8"/>
  <c r="I8" i="8"/>
  <c r="H8" i="8"/>
  <c r="G8" i="8"/>
  <c r="F8" i="8"/>
  <c r="E8" i="8"/>
  <c r="D8" i="8"/>
  <c r="G75" i="7"/>
  <c r="F75" i="7"/>
  <c r="E75" i="7"/>
  <c r="D75" i="7"/>
  <c r="G66" i="7"/>
  <c r="F66" i="7"/>
  <c r="E66" i="7"/>
  <c r="D66" i="7"/>
  <c r="G56" i="7"/>
  <c r="F56" i="7"/>
  <c r="E56" i="7"/>
  <c r="D56" i="7"/>
  <c r="G22" i="7"/>
  <c r="F22" i="7"/>
  <c r="E22" i="7"/>
  <c r="D22" i="7"/>
  <c r="G8" i="7"/>
  <c r="F8" i="7"/>
  <c r="E8" i="7"/>
  <c r="D8" i="7"/>
  <c r="G75" i="6"/>
  <c r="F75" i="6"/>
  <c r="E75" i="6"/>
  <c r="D75" i="6"/>
  <c r="G66" i="6"/>
  <c r="F66" i="6"/>
  <c r="E66" i="6"/>
  <c r="D66" i="6"/>
  <c r="G56" i="6"/>
  <c r="F56" i="6"/>
  <c r="E56" i="6"/>
  <c r="D56" i="6"/>
  <c r="G22" i="6"/>
  <c r="F22" i="6"/>
  <c r="E22" i="6"/>
  <c r="D22" i="6"/>
  <c r="G8" i="6"/>
  <c r="F8" i="6"/>
  <c r="E8" i="6"/>
  <c r="D8" i="6"/>
  <c r="G75" i="5"/>
  <c r="F75" i="5"/>
  <c r="E75" i="5"/>
  <c r="D75" i="5"/>
  <c r="G66" i="5"/>
  <c r="F66" i="5"/>
  <c r="E66" i="5"/>
  <c r="D66" i="5"/>
  <c r="G56" i="5"/>
  <c r="F56" i="5"/>
  <c r="E56" i="5"/>
  <c r="D56" i="5"/>
  <c r="G22" i="5"/>
  <c r="F22" i="5"/>
  <c r="E22" i="5"/>
  <c r="D22" i="5"/>
  <c r="G8" i="5"/>
  <c r="F8" i="5"/>
  <c r="E8" i="5"/>
  <c r="D8" i="5"/>
  <c r="K75" i="4"/>
  <c r="J75" i="4"/>
  <c r="G75" i="4"/>
  <c r="F75" i="4"/>
  <c r="E75" i="4"/>
  <c r="D75" i="4"/>
  <c r="K66" i="4"/>
  <c r="J66" i="4"/>
  <c r="G66" i="4"/>
  <c r="F66" i="4"/>
  <c r="E66" i="4"/>
  <c r="D66" i="4"/>
  <c r="K56" i="4"/>
  <c r="J56" i="4"/>
  <c r="G56" i="4"/>
  <c r="F56" i="4"/>
  <c r="E56" i="4"/>
  <c r="D56" i="4"/>
  <c r="K22" i="4"/>
  <c r="J22" i="4"/>
  <c r="G22" i="4"/>
  <c r="F22" i="4"/>
  <c r="E22" i="4"/>
  <c r="D22" i="4"/>
  <c r="K8" i="4"/>
  <c r="J8" i="4"/>
  <c r="G8" i="4"/>
  <c r="F8" i="4"/>
  <c r="E8" i="4"/>
  <c r="D8" i="4"/>
  <c r="G75" i="2"/>
  <c r="F75" i="2"/>
  <c r="E75" i="2"/>
  <c r="D75" i="2"/>
  <c r="G66" i="2"/>
  <c r="F66" i="2"/>
  <c r="E66" i="2"/>
  <c r="D66" i="2"/>
  <c r="G56" i="2"/>
  <c r="F56" i="2"/>
  <c r="E56" i="2"/>
  <c r="D56" i="2"/>
  <c r="G22" i="2"/>
  <c r="F22" i="2"/>
  <c r="E22" i="2"/>
  <c r="D22" i="2"/>
  <c r="G8" i="2"/>
  <c r="F8" i="2"/>
  <c r="E8" i="2"/>
  <c r="D8" i="2"/>
  <c r="D76" i="18" l="1"/>
  <c r="D76" i="16"/>
  <c r="G76" i="9"/>
  <c r="I76" i="8"/>
  <c r="E76" i="18"/>
  <c r="C40" i="11" s="1"/>
  <c r="G76" i="18"/>
  <c r="H76" i="18"/>
  <c r="I76" i="18"/>
  <c r="J76" i="18"/>
  <c r="K76" i="18"/>
  <c r="F76" i="18"/>
  <c r="D40" i="11" s="1"/>
  <c r="E76" i="16"/>
  <c r="C39" i="11" s="1"/>
  <c r="F76" i="16"/>
  <c r="D39" i="11" s="1"/>
  <c r="G76" i="16"/>
  <c r="I76" i="16"/>
  <c r="H76" i="16"/>
  <c r="J76" i="16"/>
  <c r="K76" i="16"/>
  <c r="E76" i="15"/>
  <c r="C38" i="11" s="1"/>
  <c r="G76" i="15"/>
  <c r="H76" i="15"/>
  <c r="I76" i="15"/>
  <c r="K76" i="15"/>
  <c r="D76" i="15"/>
  <c r="G76" i="17"/>
  <c r="J76" i="17"/>
  <c r="H76" i="17"/>
  <c r="K76" i="17"/>
  <c r="D76" i="17"/>
  <c r="F76" i="17"/>
  <c r="D37" i="11" s="1"/>
  <c r="H76" i="9"/>
  <c r="I76" i="9"/>
  <c r="K76" i="9"/>
  <c r="D76" i="9"/>
  <c r="E76" i="9"/>
  <c r="C31" i="11" s="1"/>
  <c r="K76" i="8"/>
  <c r="D76" i="8"/>
  <c r="E76" i="8"/>
  <c r="C32" i="11" s="1"/>
  <c r="G76" i="8"/>
  <c r="H76" i="8"/>
  <c r="G76" i="4"/>
  <c r="F76" i="4"/>
  <c r="D35" i="11" s="1"/>
  <c r="F76" i="8"/>
  <c r="D32" i="11" s="1"/>
  <c r="J76" i="15"/>
  <c r="F76" i="15"/>
  <c r="G76" i="7"/>
  <c r="F76" i="7"/>
  <c r="D76" i="7"/>
  <c r="E76" i="7"/>
  <c r="C30" i="11" s="1"/>
  <c r="F76" i="9"/>
  <c r="D31" i="11" s="1"/>
  <c r="G76" i="2"/>
  <c r="E76" i="5"/>
  <c r="C33" i="11" s="1"/>
  <c r="G76" i="5"/>
  <c r="D76" i="5"/>
  <c r="F76" i="5"/>
  <c r="D33" i="11" s="1"/>
  <c r="E76" i="17"/>
  <c r="C37" i="11" s="1"/>
  <c r="I76" i="17"/>
  <c r="G76" i="6"/>
  <c r="F76" i="6"/>
  <c r="D34" i="11" s="1"/>
  <c r="E76" i="6"/>
  <c r="C34" i="11" s="1"/>
  <c r="D76" i="6"/>
  <c r="E76" i="4"/>
  <c r="C35" i="11" s="1"/>
  <c r="D76" i="4"/>
  <c r="E76" i="2"/>
  <c r="C28" i="11" s="1"/>
  <c r="F76" i="2"/>
  <c r="D28" i="11" s="1"/>
  <c r="D76" i="2"/>
  <c r="K56" i="5"/>
  <c r="K76" i="5" s="1"/>
  <c r="H56" i="5"/>
  <c r="J56" i="5"/>
  <c r="I56" i="5"/>
  <c r="J8" i="9"/>
  <c r="J76" i="9" s="1"/>
  <c r="J75" i="8"/>
  <c r="J8" i="8"/>
  <c r="K75" i="7"/>
  <c r="J75" i="7"/>
  <c r="J76" i="7" s="1"/>
  <c r="I75" i="7"/>
  <c r="H75" i="7"/>
  <c r="K8" i="7"/>
  <c r="I8" i="7"/>
  <c r="H8" i="7"/>
  <c r="K76" i="6"/>
  <c r="J8" i="6"/>
  <c r="J76" i="6" s="1"/>
  <c r="I8" i="6"/>
  <c r="I76" i="6" s="1"/>
  <c r="H8" i="6"/>
  <c r="H76" i="6" s="1"/>
  <c r="J8" i="5"/>
  <c r="I8" i="5"/>
  <c r="H8" i="5"/>
  <c r="J76" i="4"/>
  <c r="K76" i="4"/>
  <c r="H75" i="4"/>
  <c r="I75" i="4"/>
  <c r="I8" i="4"/>
  <c r="H8" i="4"/>
  <c r="K75" i="2"/>
  <c r="I75" i="2"/>
  <c r="J75" i="2"/>
  <c r="H75" i="2"/>
  <c r="K8" i="2"/>
  <c r="J8" i="2"/>
  <c r="I8" i="2"/>
  <c r="H8" i="2"/>
  <c r="J75" i="3"/>
  <c r="K75" i="3"/>
  <c r="I75" i="3"/>
  <c r="H75" i="3"/>
  <c r="K66" i="3"/>
  <c r="I66" i="3"/>
  <c r="J66" i="3"/>
  <c r="H66" i="3"/>
  <c r="H56" i="3"/>
  <c r="J56" i="3"/>
  <c r="K56" i="3"/>
  <c r="I56" i="3"/>
  <c r="I22" i="3"/>
  <c r="J22" i="3"/>
  <c r="K22" i="3"/>
  <c r="K8" i="3"/>
  <c r="H22" i="3"/>
  <c r="J8" i="3"/>
  <c r="I8" i="3"/>
  <c r="H8" i="3"/>
  <c r="D30" i="11" l="1"/>
  <c r="I76" i="5"/>
  <c r="H38" i="11"/>
  <c r="D38" i="11"/>
  <c r="H76" i="5"/>
  <c r="J76" i="5"/>
  <c r="J76" i="8"/>
  <c r="I76" i="7"/>
  <c r="K76" i="7"/>
  <c r="I30" i="11" s="1"/>
  <c r="H76" i="7"/>
  <c r="I76" i="4"/>
  <c r="H76" i="4"/>
  <c r="H76" i="2"/>
  <c r="I76" i="2"/>
  <c r="J76" i="2"/>
  <c r="K76" i="2"/>
  <c r="J76" i="3" l="1"/>
  <c r="K76" i="3"/>
  <c r="I76" i="3"/>
  <c r="H76" i="3"/>
  <c r="E75" i="3" l="1"/>
  <c r="F75" i="3"/>
  <c r="G75" i="3"/>
  <c r="D75" i="3"/>
  <c r="E66" i="3"/>
  <c r="F66" i="3"/>
  <c r="G66" i="3"/>
  <c r="D66" i="3"/>
  <c r="E56" i="3"/>
  <c r="F56" i="3"/>
  <c r="G56" i="3"/>
  <c r="D56" i="3"/>
  <c r="E22" i="3"/>
  <c r="F22" i="3"/>
  <c r="G22" i="3"/>
  <c r="D22" i="3"/>
  <c r="E8" i="3"/>
  <c r="F8" i="3"/>
  <c r="G8" i="3"/>
  <c r="D8" i="3"/>
  <c r="G76" i="3" l="1"/>
  <c r="D76" i="3"/>
  <c r="F76" i="3"/>
  <c r="D29" i="11" s="1"/>
  <c r="E76" i="3"/>
  <c r="B40" i="11"/>
  <c r="E39" i="11"/>
  <c r="B38" i="11"/>
  <c r="I8" i="14"/>
  <c r="J8" i="14"/>
  <c r="K8" i="14"/>
  <c r="H8" i="14"/>
  <c r="C29" i="11" l="1"/>
  <c r="I22" i="14"/>
  <c r="I75" i="14"/>
  <c r="H66" i="14"/>
  <c r="J22" i="14"/>
  <c r="K56" i="14"/>
  <c r="K66" i="14"/>
  <c r="J56" i="14"/>
  <c r="J66" i="14"/>
  <c r="I66" i="14"/>
  <c r="J75" i="14"/>
  <c r="H22" i="14"/>
  <c r="H56" i="14" s="1"/>
  <c r="K22" i="14"/>
  <c r="H75" i="14"/>
  <c r="I56" i="14"/>
  <c r="K75" i="14"/>
  <c r="E35" i="11"/>
  <c r="K4" i="12"/>
  <c r="O4" i="13" s="1"/>
  <c r="K5" i="12"/>
  <c r="O5" i="13" s="1"/>
  <c r="K6" i="12"/>
  <c r="O6" i="13" s="1"/>
  <c r="K7" i="12"/>
  <c r="O7" i="13" s="1"/>
  <c r="K9" i="12"/>
  <c r="O9" i="13" s="1"/>
  <c r="K10" i="12"/>
  <c r="O10" i="13" s="1"/>
  <c r="K11" i="12"/>
  <c r="O11" i="13" s="1"/>
  <c r="K12" i="12"/>
  <c r="O12" i="13" s="1"/>
  <c r="K13" i="12"/>
  <c r="O13" i="13" s="1"/>
  <c r="K14" i="12"/>
  <c r="O14" i="13" s="1"/>
  <c r="K15" i="12"/>
  <c r="K16" i="12"/>
  <c r="O16" i="13" s="1"/>
  <c r="K17" i="12"/>
  <c r="O17" i="13" s="1"/>
  <c r="K18" i="12"/>
  <c r="O18" i="13" s="1"/>
  <c r="K19" i="12"/>
  <c r="O19" i="13" s="1"/>
  <c r="K21" i="12"/>
  <c r="K23" i="12"/>
  <c r="O23" i="13" s="1"/>
  <c r="K24" i="12"/>
  <c r="O24" i="13" s="1"/>
  <c r="K25" i="12"/>
  <c r="K26" i="12"/>
  <c r="O27" i="13" s="1"/>
  <c r="K27" i="12"/>
  <c r="O28" i="13" s="1"/>
  <c r="K28" i="12"/>
  <c r="O29" i="13" s="1"/>
  <c r="K29" i="12"/>
  <c r="O30" i="13" s="1"/>
  <c r="K30" i="12"/>
  <c r="O31" i="13" s="1"/>
  <c r="K31" i="12"/>
  <c r="K32" i="12"/>
  <c r="K33" i="12"/>
  <c r="K34" i="12"/>
  <c r="K35" i="12"/>
  <c r="O36" i="13" s="1"/>
  <c r="K36" i="12"/>
  <c r="K37" i="12"/>
  <c r="O38" i="13" s="1"/>
  <c r="K38" i="12"/>
  <c r="K39" i="12"/>
  <c r="O40" i="13" s="1"/>
  <c r="K40" i="12"/>
  <c r="O43" i="13" s="1"/>
  <c r="K41" i="12"/>
  <c r="K42" i="12"/>
  <c r="O45" i="13" s="1"/>
  <c r="K43" i="12"/>
  <c r="K44" i="12"/>
  <c r="O49" i="13" s="1"/>
  <c r="K45" i="12"/>
  <c r="K46" i="12"/>
  <c r="O51" i="13" s="1"/>
  <c r="K47" i="12"/>
  <c r="O52" i="13" s="1"/>
  <c r="K48" i="12"/>
  <c r="K49" i="12"/>
  <c r="O55" i="13" s="1"/>
  <c r="K50" i="12"/>
  <c r="K51" i="12"/>
  <c r="K52" i="12"/>
  <c r="K53" i="12"/>
  <c r="K55" i="12"/>
  <c r="K57" i="12"/>
  <c r="K58" i="12"/>
  <c r="O60" i="13" s="1"/>
  <c r="K59" i="12"/>
  <c r="O57" i="13" s="1"/>
  <c r="K60" i="12"/>
  <c r="K61" i="12"/>
  <c r="O61" i="13" s="1"/>
  <c r="K62" i="12"/>
  <c r="O62" i="13" s="1"/>
  <c r="K65" i="12"/>
  <c r="K67" i="12"/>
  <c r="O67" i="13" s="1"/>
  <c r="K68" i="12"/>
  <c r="O68" i="13" s="1"/>
  <c r="K69" i="12"/>
  <c r="K70" i="12"/>
  <c r="O70" i="13" s="1"/>
  <c r="K71" i="12"/>
  <c r="K72" i="12"/>
  <c r="O72" i="13" s="1"/>
  <c r="K73" i="12"/>
  <c r="O73" i="13" s="1"/>
  <c r="K74" i="12"/>
  <c r="K3" i="12"/>
  <c r="O3" i="13" s="1"/>
  <c r="I46" i="12"/>
  <c r="J4" i="12"/>
  <c r="N4" i="13" s="1"/>
  <c r="J5" i="12"/>
  <c r="N5" i="13" s="1"/>
  <c r="J6" i="12"/>
  <c r="N6" i="13" s="1"/>
  <c r="J7" i="12"/>
  <c r="N7" i="13" s="1"/>
  <c r="J9" i="12"/>
  <c r="N9" i="13" s="1"/>
  <c r="J10" i="12"/>
  <c r="N10" i="13" s="1"/>
  <c r="J11" i="12"/>
  <c r="N11" i="13" s="1"/>
  <c r="J12" i="12"/>
  <c r="N12" i="13" s="1"/>
  <c r="J13" i="12"/>
  <c r="N13" i="13" s="1"/>
  <c r="J14" i="12"/>
  <c r="N14" i="13" s="1"/>
  <c r="J15" i="12"/>
  <c r="N15" i="13" s="1"/>
  <c r="J16" i="12"/>
  <c r="N16" i="13" s="1"/>
  <c r="J17" i="12"/>
  <c r="N17" i="13" s="1"/>
  <c r="J18" i="12"/>
  <c r="N18" i="13" s="1"/>
  <c r="J19" i="12"/>
  <c r="N19" i="13" s="1"/>
  <c r="J21" i="12"/>
  <c r="N21" i="13" s="1"/>
  <c r="J24" i="12"/>
  <c r="N24" i="13" s="1"/>
  <c r="J25" i="12"/>
  <c r="N25" i="13" s="1"/>
  <c r="J26" i="12"/>
  <c r="N27" i="13" s="1"/>
  <c r="J27" i="12"/>
  <c r="N28" i="13" s="1"/>
  <c r="J28" i="12"/>
  <c r="N29" i="13" s="1"/>
  <c r="J29" i="12"/>
  <c r="N30" i="13" s="1"/>
  <c r="J30" i="12"/>
  <c r="N31" i="13" s="1"/>
  <c r="J31" i="12"/>
  <c r="N32" i="13" s="1"/>
  <c r="J32" i="12"/>
  <c r="N33" i="13" s="1"/>
  <c r="J33" i="12"/>
  <c r="N34" i="13" s="1"/>
  <c r="J34" i="12"/>
  <c r="N35" i="13" s="1"/>
  <c r="J35" i="12"/>
  <c r="N36" i="13" s="1"/>
  <c r="J36" i="12"/>
  <c r="N37" i="13" s="1"/>
  <c r="J37" i="12"/>
  <c r="N38" i="13" s="1"/>
  <c r="J38" i="12"/>
  <c r="N39" i="13" s="1"/>
  <c r="J39" i="12"/>
  <c r="N40" i="13" s="1"/>
  <c r="J40" i="12"/>
  <c r="N43" i="13" s="1"/>
  <c r="J41" i="12"/>
  <c r="N44" i="13" s="1"/>
  <c r="J42" i="12"/>
  <c r="N45" i="13" s="1"/>
  <c r="J43" i="12"/>
  <c r="N48" i="13" s="1"/>
  <c r="J44" i="12"/>
  <c r="N49" i="13" s="1"/>
  <c r="J45" i="12"/>
  <c r="N50" i="13" s="1"/>
  <c r="J46" i="12"/>
  <c r="N51" i="13" s="1"/>
  <c r="J47" i="12"/>
  <c r="N52" i="13" s="1"/>
  <c r="J48" i="12"/>
  <c r="N53" i="13" s="1"/>
  <c r="J49" i="12"/>
  <c r="N55" i="13" s="1"/>
  <c r="J50" i="12"/>
  <c r="J51" i="12"/>
  <c r="N46" i="13" s="1"/>
  <c r="J52" i="12"/>
  <c r="N47" i="13" s="1"/>
  <c r="J53" i="12"/>
  <c r="N41" i="13" s="1"/>
  <c r="J55" i="12"/>
  <c r="N42" i="13" s="1"/>
  <c r="J57" i="12"/>
  <c r="N59" i="13" s="1"/>
  <c r="J58" i="12"/>
  <c r="N60" i="13" s="1"/>
  <c r="J59" i="12"/>
  <c r="N57" i="13" s="1"/>
  <c r="J60" i="12"/>
  <c r="N58" i="13" s="1"/>
  <c r="J61" i="12"/>
  <c r="N61" i="13" s="1"/>
  <c r="J62" i="12"/>
  <c r="N62" i="13" s="1"/>
  <c r="J65" i="12"/>
  <c r="N65" i="13" s="1"/>
  <c r="J67" i="12"/>
  <c r="N67" i="13" s="1"/>
  <c r="J68" i="12"/>
  <c r="N68" i="13" s="1"/>
  <c r="J69" i="12"/>
  <c r="N69" i="13" s="1"/>
  <c r="J70" i="12"/>
  <c r="N70" i="13" s="1"/>
  <c r="J71" i="12"/>
  <c r="N71" i="13" s="1"/>
  <c r="J72" i="12"/>
  <c r="N72" i="13" s="1"/>
  <c r="J73" i="12"/>
  <c r="N73" i="13" s="1"/>
  <c r="J74" i="12"/>
  <c r="N74" i="13" s="1"/>
  <c r="J3" i="12"/>
  <c r="N3" i="13" s="1"/>
  <c r="I4" i="12"/>
  <c r="I5" i="12"/>
  <c r="I6" i="12"/>
  <c r="I7" i="12"/>
  <c r="I9" i="12"/>
  <c r="I10" i="12"/>
  <c r="I11" i="12"/>
  <c r="I12" i="12"/>
  <c r="I13" i="12"/>
  <c r="I14" i="12"/>
  <c r="I15" i="12"/>
  <c r="I16" i="12"/>
  <c r="I17" i="12"/>
  <c r="I18" i="12"/>
  <c r="I19" i="12"/>
  <c r="I21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37" i="12"/>
  <c r="I38" i="12"/>
  <c r="I39" i="12"/>
  <c r="I40" i="12"/>
  <c r="I41" i="12"/>
  <c r="I42" i="12"/>
  <c r="I43" i="12"/>
  <c r="I44" i="12"/>
  <c r="I45" i="12"/>
  <c r="I47" i="12"/>
  <c r="I48" i="12"/>
  <c r="I49" i="12"/>
  <c r="I50" i="12"/>
  <c r="D7" i="10" s="1"/>
  <c r="I51" i="12"/>
  <c r="I52" i="12"/>
  <c r="I53" i="12"/>
  <c r="I55" i="12"/>
  <c r="I57" i="12"/>
  <c r="I58" i="12"/>
  <c r="I59" i="12"/>
  <c r="I60" i="12"/>
  <c r="I61" i="12"/>
  <c r="I62" i="12"/>
  <c r="I65" i="12"/>
  <c r="I67" i="12"/>
  <c r="I68" i="12"/>
  <c r="I69" i="12"/>
  <c r="I70" i="12"/>
  <c r="I71" i="12"/>
  <c r="I72" i="12"/>
  <c r="I73" i="12"/>
  <c r="I74" i="12"/>
  <c r="I3" i="12"/>
  <c r="H4" i="12"/>
  <c r="L4" i="13" s="1"/>
  <c r="H5" i="12"/>
  <c r="L5" i="13" s="1"/>
  <c r="H6" i="12"/>
  <c r="L6" i="13" s="1"/>
  <c r="H7" i="12"/>
  <c r="L7" i="13" s="1"/>
  <c r="H9" i="12"/>
  <c r="L9" i="13" s="1"/>
  <c r="H10" i="12"/>
  <c r="L10" i="13" s="1"/>
  <c r="H11" i="12"/>
  <c r="L11" i="13" s="1"/>
  <c r="H12" i="12"/>
  <c r="L12" i="13" s="1"/>
  <c r="H13" i="12"/>
  <c r="L13" i="13" s="1"/>
  <c r="H14" i="12"/>
  <c r="L14" i="13" s="1"/>
  <c r="H15" i="12"/>
  <c r="L15" i="13" s="1"/>
  <c r="H16" i="12"/>
  <c r="L16" i="13" s="1"/>
  <c r="H17" i="12"/>
  <c r="L17" i="13" s="1"/>
  <c r="H18" i="12"/>
  <c r="L18" i="13" s="1"/>
  <c r="H19" i="12"/>
  <c r="L19" i="13" s="1"/>
  <c r="H21" i="12"/>
  <c r="L21" i="13" s="1"/>
  <c r="H23" i="12"/>
  <c r="L23" i="13" s="1"/>
  <c r="H24" i="12"/>
  <c r="L24" i="13" s="1"/>
  <c r="H25" i="12"/>
  <c r="L25" i="13" s="1"/>
  <c r="H26" i="12"/>
  <c r="L27" i="13" s="1"/>
  <c r="H27" i="12"/>
  <c r="L28" i="13" s="1"/>
  <c r="H28" i="12"/>
  <c r="L29" i="13" s="1"/>
  <c r="H29" i="12"/>
  <c r="L30" i="13" s="1"/>
  <c r="H30" i="12"/>
  <c r="L31" i="13" s="1"/>
  <c r="H31" i="12"/>
  <c r="L32" i="13" s="1"/>
  <c r="H32" i="12"/>
  <c r="L33" i="13" s="1"/>
  <c r="H33" i="12"/>
  <c r="L34" i="13" s="1"/>
  <c r="H34" i="12"/>
  <c r="L35" i="13" s="1"/>
  <c r="H35" i="12"/>
  <c r="L36" i="13" s="1"/>
  <c r="H36" i="12"/>
  <c r="L37" i="13" s="1"/>
  <c r="H37" i="12"/>
  <c r="L38" i="13" s="1"/>
  <c r="H38" i="12"/>
  <c r="L39" i="13" s="1"/>
  <c r="H39" i="12"/>
  <c r="L40" i="13" s="1"/>
  <c r="H40" i="12"/>
  <c r="L43" i="13" s="1"/>
  <c r="H41" i="12"/>
  <c r="L44" i="13" s="1"/>
  <c r="H42" i="12"/>
  <c r="L45" i="13" s="1"/>
  <c r="H43" i="12"/>
  <c r="L48" i="13" s="1"/>
  <c r="H44" i="12"/>
  <c r="L49" i="13" s="1"/>
  <c r="H45" i="12"/>
  <c r="L50" i="13" s="1"/>
  <c r="H46" i="12"/>
  <c r="L51" i="13" s="1"/>
  <c r="H47" i="12"/>
  <c r="L52" i="13" s="1"/>
  <c r="H48" i="12"/>
  <c r="L53" i="13" s="1"/>
  <c r="H49" i="12"/>
  <c r="L55" i="13" s="1"/>
  <c r="H50" i="12"/>
  <c r="H51" i="12"/>
  <c r="L46" i="13" s="1"/>
  <c r="H52" i="12"/>
  <c r="L47" i="13" s="1"/>
  <c r="H53" i="12"/>
  <c r="L41" i="13" s="1"/>
  <c r="H55" i="12"/>
  <c r="L42" i="13" s="1"/>
  <c r="H57" i="12"/>
  <c r="L59" i="13" s="1"/>
  <c r="H58" i="12"/>
  <c r="L60" i="13" s="1"/>
  <c r="H59" i="12"/>
  <c r="L57" i="13" s="1"/>
  <c r="H60" i="12"/>
  <c r="L58" i="13" s="1"/>
  <c r="H61" i="12"/>
  <c r="L61" i="13" s="1"/>
  <c r="H62" i="12"/>
  <c r="L62" i="13" s="1"/>
  <c r="H65" i="12"/>
  <c r="L65" i="13" s="1"/>
  <c r="H67" i="12"/>
  <c r="L67" i="13" s="1"/>
  <c r="H68" i="12"/>
  <c r="L68" i="13" s="1"/>
  <c r="H69" i="12"/>
  <c r="L69" i="13" s="1"/>
  <c r="H70" i="12"/>
  <c r="L70" i="13" s="1"/>
  <c r="H71" i="12"/>
  <c r="L71" i="13" s="1"/>
  <c r="H72" i="12"/>
  <c r="L72" i="13" s="1"/>
  <c r="H73" i="12"/>
  <c r="L73" i="13" s="1"/>
  <c r="H74" i="12"/>
  <c r="L74" i="13" s="1"/>
  <c r="H3" i="12"/>
  <c r="L3" i="13" s="1"/>
  <c r="M3" i="13" l="1"/>
  <c r="D30" i="10"/>
  <c r="M67" i="13"/>
  <c r="D15" i="10"/>
  <c r="M42" i="13"/>
  <c r="D4" i="10"/>
  <c r="M50" i="13"/>
  <c r="D17" i="10"/>
  <c r="M38" i="13"/>
  <c r="D58" i="10"/>
  <c r="M30" i="13"/>
  <c r="D5" i="10"/>
  <c r="M19" i="13"/>
  <c r="D54" i="10"/>
  <c r="M11" i="13"/>
  <c r="D59" i="10"/>
  <c r="M74" i="13"/>
  <c r="D31" i="10"/>
  <c r="M65" i="13"/>
  <c r="D29" i="10"/>
  <c r="M41" i="13"/>
  <c r="D43" i="10"/>
  <c r="M49" i="13"/>
  <c r="D6" i="10"/>
  <c r="M37" i="13"/>
  <c r="D3" i="10"/>
  <c r="M29" i="13"/>
  <c r="D2" i="10"/>
  <c r="M18" i="13"/>
  <c r="D24" i="10"/>
  <c r="M10" i="13"/>
  <c r="D44" i="10"/>
  <c r="M73" i="13"/>
  <c r="D49" i="10"/>
  <c r="M62" i="13"/>
  <c r="D33" i="10"/>
  <c r="M47" i="13"/>
  <c r="D56" i="10"/>
  <c r="M48" i="13"/>
  <c r="D12" i="10"/>
  <c r="M36" i="13"/>
  <c r="D9" i="10"/>
  <c r="M28" i="13"/>
  <c r="D66" i="10"/>
  <c r="M17" i="13"/>
  <c r="D10" i="10"/>
  <c r="M9" i="13"/>
  <c r="D38" i="10"/>
  <c r="M72" i="13"/>
  <c r="D37" i="10"/>
  <c r="M61" i="13"/>
  <c r="D19" i="10"/>
  <c r="M46" i="13"/>
  <c r="D67" i="10"/>
  <c r="M45" i="13"/>
  <c r="D68" i="10"/>
  <c r="M35" i="13"/>
  <c r="D51" i="10"/>
  <c r="M27" i="13"/>
  <c r="D65" i="10"/>
  <c r="M16" i="13"/>
  <c r="D53" i="10"/>
  <c r="M7" i="13"/>
  <c r="D34" i="10"/>
  <c r="M71" i="13"/>
  <c r="D28" i="10"/>
  <c r="M58" i="13"/>
  <c r="D47" i="10"/>
  <c r="B7" i="10"/>
  <c r="M44" i="13"/>
  <c r="D48" i="10"/>
  <c r="M34" i="13"/>
  <c r="D11" i="10"/>
  <c r="M25" i="13"/>
  <c r="D62" i="10"/>
  <c r="M15" i="13"/>
  <c r="D46" i="10"/>
  <c r="M6" i="13"/>
  <c r="D8" i="10"/>
  <c r="M70" i="13"/>
  <c r="D40" i="10"/>
  <c r="M57" i="13"/>
  <c r="D50" i="10"/>
  <c r="M55" i="13"/>
  <c r="D20" i="10"/>
  <c r="M43" i="13"/>
  <c r="D23" i="10"/>
  <c r="M33" i="13"/>
  <c r="D69" i="10"/>
  <c r="M24" i="13"/>
  <c r="D41" i="10"/>
  <c r="M14" i="13"/>
  <c r="D45" i="10"/>
  <c r="M5" i="13"/>
  <c r="D39" i="10"/>
  <c r="M69" i="13"/>
  <c r="D35" i="10"/>
  <c r="M60" i="13"/>
  <c r="D42" i="10"/>
  <c r="M53" i="13"/>
  <c r="D21" i="10"/>
  <c r="M40" i="13"/>
  <c r="D36" i="10"/>
  <c r="M32" i="13"/>
  <c r="D63" i="10"/>
  <c r="M23" i="13"/>
  <c r="D52" i="10"/>
  <c r="M13" i="13"/>
  <c r="D61" i="10"/>
  <c r="M4" i="13"/>
  <c r="D64" i="10"/>
  <c r="M51" i="13"/>
  <c r="D14" i="10"/>
  <c r="M68" i="13"/>
  <c r="D26" i="10"/>
  <c r="M59" i="13"/>
  <c r="D16" i="10"/>
  <c r="B16" i="10" s="1"/>
  <c r="M52" i="13"/>
  <c r="D60" i="10"/>
  <c r="M39" i="13"/>
  <c r="D25" i="10"/>
  <c r="B25" i="10" s="1"/>
  <c r="M31" i="13"/>
  <c r="D18" i="10"/>
  <c r="M21" i="13"/>
  <c r="D13" i="10"/>
  <c r="M12" i="13"/>
  <c r="D57" i="10"/>
  <c r="O8" i="13"/>
  <c r="N8" i="13"/>
  <c r="N75" i="13"/>
  <c r="G55" i="12"/>
  <c r="O42" i="13"/>
  <c r="G38" i="12"/>
  <c r="O39" i="13"/>
  <c r="G21" i="12"/>
  <c r="O21" i="13"/>
  <c r="G74" i="12"/>
  <c r="O74" i="13"/>
  <c r="G65" i="12"/>
  <c r="O65" i="13"/>
  <c r="G53" i="12"/>
  <c r="O41" i="13"/>
  <c r="O50" i="13"/>
  <c r="N22" i="13"/>
  <c r="O47" i="13"/>
  <c r="G52" i="12"/>
  <c r="O37" i="13"/>
  <c r="G36" i="12"/>
  <c r="L75" i="13"/>
  <c r="G51" i="12"/>
  <c r="O46" i="13"/>
  <c r="G43" i="12"/>
  <c r="O48" i="13"/>
  <c r="L22" i="13"/>
  <c r="D18" i="11"/>
  <c r="L18" i="11" s="1"/>
  <c r="N26" i="13"/>
  <c r="O71" i="13"/>
  <c r="G71" i="12"/>
  <c r="O58" i="13"/>
  <c r="E18" i="11"/>
  <c r="O26" i="13"/>
  <c r="G50" i="12"/>
  <c r="O35" i="13"/>
  <c r="G34" i="12"/>
  <c r="B18" i="11"/>
  <c r="L26" i="13"/>
  <c r="L56" i="13" s="1"/>
  <c r="C18" i="11"/>
  <c r="M26" i="13"/>
  <c r="N66" i="13"/>
  <c r="O44" i="13"/>
  <c r="G41" i="12"/>
  <c r="O34" i="13"/>
  <c r="G33" i="12"/>
  <c r="G25" i="12"/>
  <c r="O25" i="13"/>
  <c r="O15" i="13"/>
  <c r="L8" i="13"/>
  <c r="L66" i="13"/>
  <c r="O69" i="13"/>
  <c r="G69" i="12"/>
  <c r="G48" i="12"/>
  <c r="O53" i="13"/>
  <c r="O33" i="13"/>
  <c r="G32" i="12"/>
  <c r="O59" i="13"/>
  <c r="G31" i="12"/>
  <c r="O32" i="13"/>
  <c r="H22" i="12"/>
  <c r="I56" i="12"/>
  <c r="C17" i="11"/>
  <c r="K17" i="11" s="1"/>
  <c r="J66" i="12"/>
  <c r="D20" i="11"/>
  <c r="K66" i="12"/>
  <c r="E20" i="11"/>
  <c r="E17" i="11"/>
  <c r="M17" i="11" s="1"/>
  <c r="K56" i="12"/>
  <c r="H66" i="12"/>
  <c r="B20" i="11"/>
  <c r="J20" i="11" s="1"/>
  <c r="H56" i="12"/>
  <c r="B17" i="11"/>
  <c r="I66" i="12"/>
  <c r="C20" i="11"/>
  <c r="J8" i="12"/>
  <c r="D19" i="11"/>
  <c r="L19" i="11" s="1"/>
  <c r="J75" i="12"/>
  <c r="K8" i="12"/>
  <c r="E19" i="11"/>
  <c r="M19" i="11" s="1"/>
  <c r="K75" i="12"/>
  <c r="H8" i="12"/>
  <c r="B6" i="11" s="1"/>
  <c r="B19" i="11"/>
  <c r="J19" i="11" s="1"/>
  <c r="H75" i="12"/>
  <c r="C19" i="11"/>
  <c r="K19" i="11" s="1"/>
  <c r="I8" i="12"/>
  <c r="I75" i="12"/>
  <c r="J22" i="12"/>
  <c r="I22" i="12"/>
  <c r="K22" i="12"/>
  <c r="J76" i="14"/>
  <c r="I76" i="14"/>
  <c r="B37" i="11"/>
  <c r="E37" i="11"/>
  <c r="K76" i="14"/>
  <c r="H76" i="14"/>
  <c r="E57" i="12"/>
  <c r="M56" i="13" l="1"/>
  <c r="M75" i="13"/>
  <c r="M8" i="13"/>
  <c r="M22" i="13"/>
  <c r="M66" i="13"/>
  <c r="B13" i="10"/>
  <c r="B46" i="10"/>
  <c r="B67" i="10"/>
  <c r="B56" i="10"/>
  <c r="B4" i="10"/>
  <c r="B29" i="10"/>
  <c r="B11" i="10"/>
  <c r="B3" i="10"/>
  <c r="O22" i="13"/>
  <c r="O75" i="13"/>
  <c r="O66" i="13"/>
  <c r="O56" i="13"/>
  <c r="M18" i="11"/>
  <c r="K18" i="11"/>
  <c r="L76" i="13"/>
  <c r="J18" i="11"/>
  <c r="O76" i="14"/>
  <c r="K76" i="12"/>
  <c r="M76" i="14"/>
  <c r="L76" i="14"/>
  <c r="I76" i="12"/>
  <c r="B21" i="11"/>
  <c r="C21" i="11"/>
  <c r="D22" i="1" l="1"/>
  <c r="E8" i="1"/>
  <c r="F8" i="1"/>
  <c r="G8" i="1"/>
  <c r="H8" i="1"/>
  <c r="I8" i="1"/>
  <c r="J8" i="1"/>
  <c r="K8" i="1"/>
  <c r="D8" i="1"/>
  <c r="B30" i="11" l="1"/>
  <c r="E30" i="11"/>
  <c r="E21" i="11" l="1"/>
  <c r="B29" i="11"/>
  <c r="E29" i="11" l="1"/>
  <c r="E32" i="11"/>
  <c r="L43" i="12" l="1"/>
  <c r="L70" i="12"/>
  <c r="L71" i="12"/>
  <c r="L73" i="12"/>
  <c r="L74" i="12"/>
  <c r="C8" i="11"/>
  <c r="D8" i="11"/>
  <c r="E34" i="11" l="1"/>
  <c r="J23" i="12"/>
  <c r="N23" i="13" s="1"/>
  <c r="N56" i="13" s="1"/>
  <c r="E33" i="11"/>
  <c r="L53" i="12"/>
  <c r="L18" i="12"/>
  <c r="L9" i="12"/>
  <c r="L3" i="12"/>
  <c r="O62" i="12"/>
  <c r="G62" i="12" s="1"/>
  <c r="O57" i="12"/>
  <c r="G57" i="12" s="1"/>
  <c r="O60" i="12"/>
  <c r="G60" i="12" s="1"/>
  <c r="O47" i="12"/>
  <c r="G47" i="12" s="1"/>
  <c r="O44" i="12"/>
  <c r="O51" i="12"/>
  <c r="O40" i="12"/>
  <c r="G40" i="12" s="1"/>
  <c r="O39" i="12"/>
  <c r="G39" i="12" s="1"/>
  <c r="O36" i="12"/>
  <c r="O33" i="12"/>
  <c r="O30" i="12"/>
  <c r="G30" i="12" s="1"/>
  <c r="O27" i="12"/>
  <c r="G27" i="12" s="1"/>
  <c r="O25" i="12"/>
  <c r="O21" i="12"/>
  <c r="O17" i="12"/>
  <c r="G17" i="12" s="1"/>
  <c r="O14" i="12"/>
  <c r="O11" i="12"/>
  <c r="O7" i="12"/>
  <c r="O4" i="12"/>
  <c r="L59" i="12"/>
  <c r="M61" i="12"/>
  <c r="E19" i="10" s="1"/>
  <c r="M53" i="12"/>
  <c r="E43" i="10" s="1"/>
  <c r="M50" i="12"/>
  <c r="E7" i="10" s="1"/>
  <c r="C7" i="10" s="1"/>
  <c r="L58" i="12"/>
  <c r="L37" i="12"/>
  <c r="L15" i="12"/>
  <c r="L5" i="12"/>
  <c r="O69" i="12"/>
  <c r="N72" i="12"/>
  <c r="N62" i="12"/>
  <c r="N60" i="12"/>
  <c r="N44" i="12"/>
  <c r="N40" i="12"/>
  <c r="N39" i="12"/>
  <c r="N36" i="12"/>
  <c r="N33" i="12"/>
  <c r="N30" i="12"/>
  <c r="N27" i="12"/>
  <c r="N25" i="12"/>
  <c r="N21" i="12"/>
  <c r="N17" i="12"/>
  <c r="N14" i="12"/>
  <c r="N11" i="12"/>
  <c r="N7" i="12"/>
  <c r="N4" i="12"/>
  <c r="L46" i="12"/>
  <c r="M70" i="12"/>
  <c r="E40" i="10" s="1"/>
  <c r="M45" i="12"/>
  <c r="E17" i="10" s="1"/>
  <c r="M34" i="12"/>
  <c r="E51" i="10" s="1"/>
  <c r="M18" i="12"/>
  <c r="E24" i="10" s="1"/>
  <c r="L61" i="12"/>
  <c r="L34" i="12"/>
  <c r="L12" i="12"/>
  <c r="O72" i="12"/>
  <c r="G72" i="12" s="1"/>
  <c r="M3" i="12"/>
  <c r="E30" i="10" s="1"/>
  <c r="N69" i="12"/>
  <c r="N57" i="12"/>
  <c r="F57" i="12" s="1"/>
  <c r="N47" i="12"/>
  <c r="N51" i="12"/>
  <c r="N3" i="12"/>
  <c r="M72" i="12"/>
  <c r="E37" i="10" s="1"/>
  <c r="M69" i="12"/>
  <c r="E35" i="10" s="1"/>
  <c r="M62" i="12"/>
  <c r="E33" i="10" s="1"/>
  <c r="M57" i="12"/>
  <c r="E16" i="10" s="1"/>
  <c r="C16" i="10" s="1"/>
  <c r="M60" i="12"/>
  <c r="E47" i="10" s="1"/>
  <c r="M47" i="12"/>
  <c r="E60" i="10" s="1"/>
  <c r="M44" i="12"/>
  <c r="E6" i="10" s="1"/>
  <c r="M51" i="12"/>
  <c r="E67" i="10" s="1"/>
  <c r="C67" i="10" s="1"/>
  <c r="M40" i="12"/>
  <c r="E23" i="10" s="1"/>
  <c r="M39" i="12"/>
  <c r="E36" i="10" s="1"/>
  <c r="M36" i="12"/>
  <c r="E3" i="10" s="1"/>
  <c r="C3" i="10" s="1"/>
  <c r="M33" i="12"/>
  <c r="E11" i="10" s="1"/>
  <c r="C11" i="10" s="1"/>
  <c r="M30" i="12"/>
  <c r="E18" i="10" s="1"/>
  <c r="M27" i="12"/>
  <c r="E66" i="10" s="1"/>
  <c r="M25" i="12"/>
  <c r="E62" i="10" s="1"/>
  <c r="M21" i="12"/>
  <c r="E13" i="10" s="1"/>
  <c r="C13" i="10" s="1"/>
  <c r="M17" i="12"/>
  <c r="E10" i="10" s="1"/>
  <c r="M14" i="12"/>
  <c r="E45" i="10" s="1"/>
  <c r="M11" i="12"/>
  <c r="E59" i="10" s="1"/>
  <c r="M7" i="12"/>
  <c r="E34" i="10" s="1"/>
  <c r="M4" i="12"/>
  <c r="E64" i="10" s="1"/>
  <c r="L65" i="12"/>
  <c r="M58" i="12"/>
  <c r="E42" i="10" s="1"/>
  <c r="M41" i="12"/>
  <c r="E48" i="10" s="1"/>
  <c r="M28" i="12"/>
  <c r="E2" i="10" s="1"/>
  <c r="M15" i="12"/>
  <c r="E46" i="10" s="1"/>
  <c r="C46" i="10" s="1"/>
  <c r="M5" i="12"/>
  <c r="E39" i="10" s="1"/>
  <c r="L45" i="12"/>
  <c r="L28" i="12"/>
  <c r="L72" i="12"/>
  <c r="L69" i="12"/>
  <c r="L62" i="12"/>
  <c r="L57" i="12"/>
  <c r="L60" i="12"/>
  <c r="L47" i="12"/>
  <c r="L44" i="12"/>
  <c r="L51" i="12"/>
  <c r="L40" i="12"/>
  <c r="L39" i="12"/>
  <c r="L36" i="12"/>
  <c r="L33" i="12"/>
  <c r="L30" i="12"/>
  <c r="L27" i="12"/>
  <c r="L25" i="12"/>
  <c r="L21" i="12"/>
  <c r="L17" i="12"/>
  <c r="L14" i="12"/>
  <c r="L11" i="12"/>
  <c r="L7" i="12"/>
  <c r="L4" i="12"/>
  <c r="L52" i="12"/>
  <c r="L23" i="12"/>
  <c r="O74" i="12"/>
  <c r="O65" i="12"/>
  <c r="O59" i="12"/>
  <c r="G59" i="12" s="1"/>
  <c r="O49" i="12"/>
  <c r="G49" i="12" s="1"/>
  <c r="O46" i="12"/>
  <c r="O43" i="12"/>
  <c r="O42" i="12"/>
  <c r="G42" i="12" s="1"/>
  <c r="O38" i="12"/>
  <c r="O35" i="12"/>
  <c r="G35" i="12" s="1"/>
  <c r="O32" i="12"/>
  <c r="O29" i="12"/>
  <c r="G29" i="12" s="1"/>
  <c r="O26" i="12"/>
  <c r="G26" i="12" s="1"/>
  <c r="O24" i="12"/>
  <c r="G24" i="12" s="1"/>
  <c r="O19" i="12"/>
  <c r="G19" i="12" s="1"/>
  <c r="O16" i="12"/>
  <c r="G16" i="12" s="1"/>
  <c r="O13" i="12"/>
  <c r="O10" i="12"/>
  <c r="O6" i="12"/>
  <c r="M67" i="12"/>
  <c r="E15" i="10" s="1"/>
  <c r="M52" i="12"/>
  <c r="E56" i="10" s="1"/>
  <c r="C56" i="10" s="1"/>
  <c r="M31" i="12"/>
  <c r="E63" i="10" s="1"/>
  <c r="M12" i="12"/>
  <c r="E57" i="10" s="1"/>
  <c r="L67" i="12"/>
  <c r="L41" i="12"/>
  <c r="L50" i="12"/>
  <c r="O3" i="12"/>
  <c r="O71" i="12"/>
  <c r="N74" i="12"/>
  <c r="N68" i="12"/>
  <c r="N65" i="12"/>
  <c r="N49" i="12"/>
  <c r="N43" i="12"/>
  <c r="N42" i="12"/>
  <c r="N55" i="12"/>
  <c r="N38" i="12"/>
  <c r="N35" i="12"/>
  <c r="N32" i="12"/>
  <c r="N29" i="12"/>
  <c r="N26" i="12"/>
  <c r="N24" i="12"/>
  <c r="N19" i="12"/>
  <c r="N16" i="12"/>
  <c r="N13" i="12"/>
  <c r="N10" i="12"/>
  <c r="N6" i="12"/>
  <c r="L68" i="12"/>
  <c r="M73" i="12"/>
  <c r="E49" i="10" s="1"/>
  <c r="M48" i="12"/>
  <c r="E21" i="10" s="1"/>
  <c r="M37" i="12"/>
  <c r="E58" i="10" s="1"/>
  <c r="M23" i="12"/>
  <c r="E52" i="10" s="1"/>
  <c r="M9" i="12"/>
  <c r="E38" i="10" s="1"/>
  <c r="L48" i="12"/>
  <c r="L31" i="12"/>
  <c r="O68" i="12"/>
  <c r="G68" i="12" s="1"/>
  <c r="N71" i="12"/>
  <c r="N59" i="12"/>
  <c r="N46" i="12"/>
  <c r="M74" i="12"/>
  <c r="E31" i="10" s="1"/>
  <c r="M71" i="12"/>
  <c r="E28" i="10" s="1"/>
  <c r="M68" i="12"/>
  <c r="E26" i="10" s="1"/>
  <c r="M65" i="12"/>
  <c r="E29" i="10" s="1"/>
  <c r="C29" i="10" s="1"/>
  <c r="M59" i="12"/>
  <c r="E50" i="10" s="1"/>
  <c r="M49" i="12"/>
  <c r="E20" i="10" s="1"/>
  <c r="M46" i="12"/>
  <c r="E14" i="10" s="1"/>
  <c r="M43" i="12"/>
  <c r="E12" i="10" s="1"/>
  <c r="M42" i="12"/>
  <c r="E68" i="10" s="1"/>
  <c r="M55" i="12"/>
  <c r="E4" i="10" s="1"/>
  <c r="C4" i="10" s="1"/>
  <c r="M38" i="12"/>
  <c r="E25" i="10" s="1"/>
  <c r="C25" i="10" s="1"/>
  <c r="M35" i="12"/>
  <c r="E9" i="10" s="1"/>
  <c r="M32" i="12"/>
  <c r="E69" i="10" s="1"/>
  <c r="M29" i="12"/>
  <c r="E5" i="10" s="1"/>
  <c r="M26" i="12"/>
  <c r="E65" i="10" s="1"/>
  <c r="M24" i="12"/>
  <c r="E41" i="10" s="1"/>
  <c r="M19" i="12"/>
  <c r="E54" i="10" s="1"/>
  <c r="M16" i="12"/>
  <c r="E53" i="10" s="1"/>
  <c r="M13" i="12"/>
  <c r="E61" i="10" s="1"/>
  <c r="M10" i="12"/>
  <c r="E44" i="10" s="1"/>
  <c r="M6" i="12"/>
  <c r="E8" i="10" s="1"/>
  <c r="L42" i="12"/>
  <c r="L55" i="12"/>
  <c r="L38" i="12"/>
  <c r="L35" i="12"/>
  <c r="L32" i="12"/>
  <c r="L29" i="12"/>
  <c r="L26" i="12"/>
  <c r="L24" i="12"/>
  <c r="L19" i="12"/>
  <c r="L16" i="12"/>
  <c r="L13" i="12"/>
  <c r="L10" i="12"/>
  <c r="L6" i="12"/>
  <c r="O73" i="12"/>
  <c r="G73" i="12" s="1"/>
  <c r="O70" i="12"/>
  <c r="G70" i="12" s="1"/>
  <c r="O67" i="12"/>
  <c r="G67" i="12" s="1"/>
  <c r="O58" i="12"/>
  <c r="G58" i="12" s="1"/>
  <c r="O61" i="12"/>
  <c r="G61" i="12" s="1"/>
  <c r="O48" i="12"/>
  <c r="O45" i="12"/>
  <c r="G45" i="12" s="1"/>
  <c r="O52" i="12"/>
  <c r="O41" i="12"/>
  <c r="O37" i="12"/>
  <c r="G37" i="12" s="1"/>
  <c r="O34" i="12"/>
  <c r="O31" i="12"/>
  <c r="O28" i="12"/>
  <c r="G28" i="12" s="1"/>
  <c r="O50" i="12"/>
  <c r="O23" i="12"/>
  <c r="G23" i="12" s="1"/>
  <c r="O18" i="12"/>
  <c r="G18" i="12" s="1"/>
  <c r="O15" i="12"/>
  <c r="G15" i="12" s="1"/>
  <c r="O12" i="12"/>
  <c r="O9" i="12"/>
  <c r="O5" i="12"/>
  <c r="L49" i="12"/>
  <c r="N73" i="12"/>
  <c r="N70" i="12"/>
  <c r="N67" i="12"/>
  <c r="N58" i="12"/>
  <c r="N61" i="12"/>
  <c r="N48" i="12"/>
  <c r="N45" i="12"/>
  <c r="N52" i="12"/>
  <c r="N41" i="12"/>
  <c r="N53" i="12"/>
  <c r="N37" i="12"/>
  <c r="N34" i="12"/>
  <c r="N31" i="12"/>
  <c r="N28" i="12"/>
  <c r="N50" i="12"/>
  <c r="N23" i="12"/>
  <c r="N18" i="12"/>
  <c r="N15" i="12"/>
  <c r="N12" i="12"/>
  <c r="N9" i="12"/>
  <c r="N5" i="12"/>
  <c r="B41" i="10" l="1"/>
  <c r="C41" i="10"/>
  <c r="B12" i="10"/>
  <c r="C12" i="10"/>
  <c r="C58" i="10"/>
  <c r="B58" i="10"/>
  <c r="C64" i="10"/>
  <c r="B64" i="10"/>
  <c r="C18" i="10"/>
  <c r="B18" i="10"/>
  <c r="C47" i="10"/>
  <c r="B47" i="10"/>
  <c r="B51" i="10"/>
  <c r="C51" i="10"/>
  <c r="B34" i="10"/>
  <c r="C34" i="10"/>
  <c r="C17" i="10"/>
  <c r="B17" i="10"/>
  <c r="B65" i="10"/>
  <c r="C65" i="10"/>
  <c r="B5" i="10"/>
  <c r="C5" i="10"/>
  <c r="B20" i="10"/>
  <c r="C20" i="10"/>
  <c r="C49" i="10"/>
  <c r="B49" i="10"/>
  <c r="C39" i="10"/>
  <c r="B39" i="10"/>
  <c r="B59" i="10"/>
  <c r="C59" i="10"/>
  <c r="B33" i="10"/>
  <c r="C33" i="10"/>
  <c r="C30" i="10"/>
  <c r="B30" i="10"/>
  <c r="B40" i="10"/>
  <c r="C40" i="10"/>
  <c r="B21" i="10"/>
  <c r="C21" i="10"/>
  <c r="B8" i="10"/>
  <c r="C8" i="10"/>
  <c r="B69" i="10"/>
  <c r="C69" i="10"/>
  <c r="C50" i="10"/>
  <c r="B50" i="10"/>
  <c r="B57" i="10"/>
  <c r="C57" i="10"/>
  <c r="C45" i="10"/>
  <c r="B45" i="10"/>
  <c r="C36" i="10"/>
  <c r="B36" i="10"/>
  <c r="B35" i="10"/>
  <c r="C35" i="10"/>
  <c r="B43" i="10"/>
  <c r="C43" i="10"/>
  <c r="C44" i="10"/>
  <c r="B44" i="10"/>
  <c r="B9" i="10"/>
  <c r="C9" i="10"/>
  <c r="C63" i="10"/>
  <c r="B63" i="10"/>
  <c r="B10" i="10"/>
  <c r="C10" i="10"/>
  <c r="B23" i="10"/>
  <c r="C23" i="10"/>
  <c r="C37" i="10"/>
  <c r="B37" i="10"/>
  <c r="C19" i="10"/>
  <c r="B19" i="10"/>
  <c r="B26" i="10"/>
  <c r="C26" i="10"/>
  <c r="C48" i="10"/>
  <c r="B48" i="10"/>
  <c r="B61" i="10"/>
  <c r="C61" i="10"/>
  <c r="B53" i="10"/>
  <c r="C53" i="10"/>
  <c r="C28" i="10"/>
  <c r="B28" i="10"/>
  <c r="C38" i="10"/>
  <c r="B38" i="10"/>
  <c r="C15" i="10"/>
  <c r="B15" i="10"/>
  <c r="B42" i="10"/>
  <c r="C42" i="10"/>
  <c r="B62" i="10"/>
  <c r="C62" i="10"/>
  <c r="C6" i="10"/>
  <c r="B6" i="10"/>
  <c r="B14" i="10"/>
  <c r="C14" i="10"/>
  <c r="C54" i="10"/>
  <c r="B54" i="10"/>
  <c r="B68" i="10"/>
  <c r="C68" i="10"/>
  <c r="C31" i="10"/>
  <c r="B31" i="10"/>
  <c r="B52" i="10"/>
  <c r="C52" i="10"/>
  <c r="B66" i="10"/>
  <c r="C66" i="10"/>
  <c r="C60" i="10"/>
  <c r="B60" i="10"/>
  <c r="C24" i="10"/>
  <c r="B24" i="10"/>
  <c r="Q18" i="11"/>
  <c r="I18" i="11" s="1"/>
  <c r="P18" i="11"/>
  <c r="N18" i="11"/>
  <c r="F18" i="11" s="1"/>
  <c r="O18" i="11"/>
  <c r="G18" i="11" s="1"/>
  <c r="C2" i="10"/>
  <c r="B2" i="10"/>
  <c r="J56" i="12"/>
  <c r="J76" i="12" s="1"/>
  <c r="D17" i="11"/>
  <c r="O22" i="12"/>
  <c r="G22" i="12" s="1"/>
  <c r="L75" i="12"/>
  <c r="N66" i="12"/>
  <c r="P20" i="11"/>
  <c r="H20" i="11" s="1"/>
  <c r="Q19" i="11"/>
  <c r="O8" i="12"/>
  <c r="N8" i="12"/>
  <c r="P19" i="11"/>
  <c r="M66" i="12"/>
  <c r="O20" i="11"/>
  <c r="M75" i="12"/>
  <c r="L22" i="12"/>
  <c r="N22" i="12"/>
  <c r="O75" i="12"/>
  <c r="G75" i="12" s="1"/>
  <c r="L66" i="12"/>
  <c r="N20" i="11"/>
  <c r="F20" i="11" s="1"/>
  <c r="N75" i="12"/>
  <c r="M22" i="12"/>
  <c r="M8" i="12"/>
  <c r="O19" i="11"/>
  <c r="L8" i="12"/>
  <c r="N19" i="11"/>
  <c r="N56" i="12"/>
  <c r="P17" i="11"/>
  <c r="N17" i="11"/>
  <c r="F17" i="11" s="1"/>
  <c r="L56" i="12"/>
  <c r="Q20" i="11"/>
  <c r="I20" i="11" s="1"/>
  <c r="O66" i="12"/>
  <c r="G66" i="12" s="1"/>
  <c r="O56" i="12"/>
  <c r="G56" i="12" s="1"/>
  <c r="Q17" i="11"/>
  <c r="O17" i="11"/>
  <c r="M56" i="12"/>
  <c r="N76" i="14"/>
  <c r="D57" i="12"/>
  <c r="B34" i="11"/>
  <c r="B33" i="11"/>
  <c r="B35" i="11"/>
  <c r="D10" i="11"/>
  <c r="C10" i="11"/>
  <c r="B10" i="11"/>
  <c r="D7" i="11"/>
  <c r="C7" i="11"/>
  <c r="D6" i="11"/>
  <c r="C6" i="11"/>
  <c r="E28" i="11"/>
  <c r="B28" i="11"/>
  <c r="K20" i="11"/>
  <c r="L20" i="11"/>
  <c r="M20" i="11"/>
  <c r="F10" i="11"/>
  <c r="G10" i="11"/>
  <c r="H10" i="11"/>
  <c r="D21" i="11" l="1"/>
  <c r="L17" i="11"/>
  <c r="E38" i="11"/>
  <c r="L76" i="12"/>
  <c r="M76" i="12"/>
  <c r="P21" i="11"/>
  <c r="O21" i="11"/>
  <c r="N76" i="12"/>
  <c r="Q21" i="11"/>
  <c r="O76" i="12"/>
  <c r="G76" i="12" s="1"/>
  <c r="N21" i="11"/>
  <c r="E31" i="11"/>
  <c r="B31" i="11"/>
  <c r="H76" i="12"/>
  <c r="B39" i="11"/>
  <c r="B32" i="11"/>
  <c r="I76" i="13" l="1"/>
  <c r="J76" i="13" l="1"/>
  <c r="E40" i="11" l="1"/>
  <c r="G37" i="11" l="1"/>
  <c r="J75" i="1" l="1"/>
  <c r="H75" i="1"/>
  <c r="F75" i="1"/>
  <c r="D75" i="1"/>
  <c r="E75" i="1"/>
  <c r="G75" i="1"/>
  <c r="I75" i="1"/>
  <c r="K75" i="1"/>
  <c r="E66" i="1"/>
  <c r="F66" i="1"/>
  <c r="G66" i="1"/>
  <c r="H66" i="1"/>
  <c r="I66" i="1"/>
  <c r="J66" i="1"/>
  <c r="K66" i="1"/>
  <c r="D66" i="1"/>
  <c r="G22" i="1"/>
  <c r="E22" i="1"/>
  <c r="F22" i="1"/>
  <c r="H22" i="1"/>
  <c r="I22" i="1"/>
  <c r="J22" i="1"/>
  <c r="K22" i="1"/>
  <c r="G5" i="14"/>
  <c r="G9" i="14"/>
  <c r="G10" i="14"/>
  <c r="G11" i="14"/>
  <c r="G12" i="14"/>
  <c r="G13" i="14"/>
  <c r="G14" i="14"/>
  <c r="G15" i="14"/>
  <c r="G16" i="14"/>
  <c r="G17" i="14"/>
  <c r="G18" i="14"/>
  <c r="G19" i="14"/>
  <c r="G21" i="14"/>
  <c r="G23" i="14"/>
  <c r="G24" i="14"/>
  <c r="G25" i="14"/>
  <c r="G26" i="14"/>
  <c r="G27" i="14"/>
  <c r="G65" i="14"/>
  <c r="G28" i="14"/>
  <c r="G29" i="14"/>
  <c r="G30" i="14"/>
  <c r="G31" i="14"/>
  <c r="G32" i="14"/>
  <c r="G33" i="14"/>
  <c r="G34" i="14"/>
  <c r="G35" i="14"/>
  <c r="G36" i="14"/>
  <c r="G37" i="14"/>
  <c r="G38" i="14"/>
  <c r="G39" i="14"/>
  <c r="G40" i="14"/>
  <c r="G41" i="14"/>
  <c r="G42" i="14"/>
  <c r="G43" i="14"/>
  <c r="G7" i="14"/>
  <c r="G59" i="14"/>
  <c r="G60" i="14"/>
  <c r="G44" i="14"/>
  <c r="G45" i="14"/>
  <c r="G63" i="14"/>
  <c r="G46" i="14"/>
  <c r="G47" i="14"/>
  <c r="G58" i="14"/>
  <c r="G48" i="14"/>
  <c r="G49" i="14"/>
  <c r="G50" i="14"/>
  <c r="G51" i="14"/>
  <c r="G52" i="14"/>
  <c r="G53" i="14"/>
  <c r="G61" i="14"/>
  <c r="G55" i="14"/>
  <c r="G67" i="14"/>
  <c r="G68" i="14"/>
  <c r="G69" i="14"/>
  <c r="G70" i="14"/>
  <c r="G71" i="14"/>
  <c r="G72" i="14"/>
  <c r="G73" i="14"/>
  <c r="G57" i="14"/>
  <c r="G74" i="14"/>
  <c r="F5" i="14"/>
  <c r="F9" i="14"/>
  <c r="F10" i="14"/>
  <c r="F11" i="14"/>
  <c r="F12" i="14"/>
  <c r="F13" i="14"/>
  <c r="F14" i="14"/>
  <c r="F15" i="14"/>
  <c r="F16" i="14"/>
  <c r="F17" i="14"/>
  <c r="F18" i="14"/>
  <c r="F19" i="14"/>
  <c r="F21" i="14"/>
  <c r="F23" i="14"/>
  <c r="F24" i="14"/>
  <c r="F25" i="14"/>
  <c r="F26" i="14"/>
  <c r="F27" i="14"/>
  <c r="F65" i="14"/>
  <c r="F28" i="14"/>
  <c r="F29" i="14"/>
  <c r="F30" i="14"/>
  <c r="F31" i="14"/>
  <c r="F32" i="14"/>
  <c r="F33" i="14"/>
  <c r="F34" i="14"/>
  <c r="F35" i="14"/>
  <c r="F36" i="14"/>
  <c r="F37" i="14"/>
  <c r="F38" i="14"/>
  <c r="F39" i="14"/>
  <c r="F40" i="14"/>
  <c r="F41" i="14"/>
  <c r="F42" i="14"/>
  <c r="F43" i="14"/>
  <c r="F7" i="14"/>
  <c r="F59" i="14"/>
  <c r="F60" i="14"/>
  <c r="F44" i="14"/>
  <c r="F45" i="14"/>
  <c r="F63" i="14"/>
  <c r="F46" i="14"/>
  <c r="F47" i="14"/>
  <c r="F58" i="14"/>
  <c r="F48" i="14"/>
  <c r="F49" i="14"/>
  <c r="F50" i="14"/>
  <c r="F51" i="14"/>
  <c r="F52" i="14"/>
  <c r="F53" i="14"/>
  <c r="F61" i="14"/>
  <c r="F55" i="14"/>
  <c r="F67" i="14"/>
  <c r="F68" i="14"/>
  <c r="F69" i="14"/>
  <c r="F70" i="14"/>
  <c r="F71" i="14"/>
  <c r="F72" i="14"/>
  <c r="F73" i="14"/>
  <c r="F57" i="14"/>
  <c r="F74" i="14"/>
  <c r="E9" i="14"/>
  <c r="E10" i="14"/>
  <c r="E11" i="14"/>
  <c r="E12" i="14"/>
  <c r="E13" i="14"/>
  <c r="E14" i="14"/>
  <c r="E15" i="14"/>
  <c r="E16" i="14"/>
  <c r="E17" i="14"/>
  <c r="E18" i="14"/>
  <c r="E19" i="14"/>
  <c r="E21" i="14"/>
  <c r="E23" i="14"/>
  <c r="E24" i="14"/>
  <c r="E25" i="14"/>
  <c r="E26" i="14"/>
  <c r="E27" i="14"/>
  <c r="E65" i="14"/>
  <c r="E28" i="14"/>
  <c r="E29" i="14"/>
  <c r="E30" i="14"/>
  <c r="E31" i="14"/>
  <c r="E32" i="14"/>
  <c r="E33" i="14"/>
  <c r="E34" i="14"/>
  <c r="E35" i="14"/>
  <c r="E36" i="14"/>
  <c r="E37" i="14"/>
  <c r="E38" i="14"/>
  <c r="E39" i="14"/>
  <c r="E40" i="14"/>
  <c r="E41" i="14"/>
  <c r="E42" i="14"/>
  <c r="E43" i="14"/>
  <c r="E7" i="14"/>
  <c r="E59" i="14"/>
  <c r="E60" i="14"/>
  <c r="E44" i="14"/>
  <c r="E45" i="14"/>
  <c r="E63" i="14"/>
  <c r="E46" i="14"/>
  <c r="E47" i="14"/>
  <c r="E58" i="14"/>
  <c r="E48" i="14"/>
  <c r="E49" i="14"/>
  <c r="E50" i="14"/>
  <c r="E51" i="14"/>
  <c r="E52" i="14"/>
  <c r="E53" i="14"/>
  <c r="E61" i="14"/>
  <c r="E55" i="14"/>
  <c r="E67" i="14"/>
  <c r="E68" i="14"/>
  <c r="E69" i="14"/>
  <c r="E70" i="14"/>
  <c r="E71" i="14"/>
  <c r="E72" i="14"/>
  <c r="E73" i="14"/>
  <c r="E57" i="14"/>
  <c r="E74" i="14"/>
  <c r="D5" i="14"/>
  <c r="D9" i="14"/>
  <c r="D10" i="14"/>
  <c r="D11" i="14"/>
  <c r="D12" i="14"/>
  <c r="D13" i="14"/>
  <c r="D14" i="14"/>
  <c r="D15" i="14"/>
  <c r="D16" i="14"/>
  <c r="D17" i="14"/>
  <c r="D18" i="14"/>
  <c r="D19" i="14"/>
  <c r="D21" i="14"/>
  <c r="D23" i="14"/>
  <c r="D24" i="14"/>
  <c r="D25" i="14"/>
  <c r="D26" i="14"/>
  <c r="D27" i="14"/>
  <c r="D65" i="14"/>
  <c r="D28" i="14"/>
  <c r="D29" i="14"/>
  <c r="D30" i="14"/>
  <c r="D31" i="14"/>
  <c r="D32" i="14"/>
  <c r="D33" i="14"/>
  <c r="D34" i="14"/>
  <c r="D35" i="14"/>
  <c r="D36" i="14"/>
  <c r="D37" i="14"/>
  <c r="D38" i="14"/>
  <c r="D39" i="14"/>
  <c r="D40" i="14"/>
  <c r="D41" i="14"/>
  <c r="D42" i="14"/>
  <c r="D43" i="14"/>
  <c r="D7" i="14"/>
  <c r="D59" i="14"/>
  <c r="D60" i="14"/>
  <c r="D44" i="14"/>
  <c r="D45" i="14"/>
  <c r="D63" i="14"/>
  <c r="D46" i="14"/>
  <c r="D47" i="14"/>
  <c r="D58" i="14"/>
  <c r="D48" i="14"/>
  <c r="D49" i="14"/>
  <c r="D50" i="14"/>
  <c r="D51" i="14"/>
  <c r="D52" i="14"/>
  <c r="D53" i="14"/>
  <c r="D61" i="14"/>
  <c r="D55" i="14"/>
  <c r="D67" i="14"/>
  <c r="D68" i="14"/>
  <c r="D69" i="14"/>
  <c r="D70" i="14"/>
  <c r="D71" i="14"/>
  <c r="D72" i="14"/>
  <c r="D73" i="14"/>
  <c r="D57" i="14"/>
  <c r="D74" i="14"/>
  <c r="E37" i="13"/>
  <c r="E38" i="13"/>
  <c r="E39" i="13"/>
  <c r="E40" i="13"/>
  <c r="E41" i="13"/>
  <c r="E42" i="13"/>
  <c r="E43" i="13"/>
  <c r="E44" i="13"/>
  <c r="E45" i="13"/>
  <c r="E48" i="13"/>
  <c r="E49" i="13"/>
  <c r="E16" i="13"/>
  <c r="E17" i="13"/>
  <c r="E19" i="13"/>
  <c r="E21" i="13"/>
  <c r="E6" i="13"/>
  <c r="F68" i="12"/>
  <c r="F69" i="12"/>
  <c r="F70" i="12"/>
  <c r="F71" i="12"/>
  <c r="F72" i="12"/>
  <c r="F73" i="12"/>
  <c r="F60" i="12"/>
  <c r="F24" i="12"/>
  <c r="D24" i="13" s="1"/>
  <c r="F25" i="12"/>
  <c r="D25" i="13" s="1"/>
  <c r="F50" i="12"/>
  <c r="D26" i="13" s="1"/>
  <c r="F26" i="12"/>
  <c r="D27" i="13" s="1"/>
  <c r="F65" i="12"/>
  <c r="D65" i="13" s="1"/>
  <c r="F27" i="12"/>
  <c r="D28" i="13" s="1"/>
  <c r="F28" i="12"/>
  <c r="D29" i="13" s="1"/>
  <c r="F29" i="12"/>
  <c r="D30" i="13" s="1"/>
  <c r="F30" i="12"/>
  <c r="D31" i="13" s="1"/>
  <c r="F31" i="12"/>
  <c r="D32" i="13" s="1"/>
  <c r="F32" i="12"/>
  <c r="D33" i="13" s="1"/>
  <c r="F33" i="12"/>
  <c r="D34" i="13" s="1"/>
  <c r="F34" i="12"/>
  <c r="D35" i="13" s="1"/>
  <c r="F35" i="12"/>
  <c r="D36" i="13" s="1"/>
  <c r="F36" i="12"/>
  <c r="D37" i="13" s="1"/>
  <c r="F37" i="12"/>
  <c r="D38" i="13" s="1"/>
  <c r="F38" i="12"/>
  <c r="D39" i="13" s="1"/>
  <c r="F39" i="12"/>
  <c r="D40" i="13" s="1"/>
  <c r="F53" i="12"/>
  <c r="D41" i="13" s="1"/>
  <c r="F55" i="12"/>
  <c r="D42" i="13" s="1"/>
  <c r="F40" i="12"/>
  <c r="D43" i="13" s="1"/>
  <c r="F7" i="12"/>
  <c r="D7" i="13" s="1"/>
  <c r="D59" i="13"/>
  <c r="F58" i="12"/>
  <c r="D60" i="13" s="1"/>
  <c r="F41" i="12"/>
  <c r="D44" i="13" s="1"/>
  <c r="F42" i="12"/>
  <c r="D45" i="13" s="1"/>
  <c r="F62" i="12"/>
  <c r="D62" i="13" s="1"/>
  <c r="F51" i="12"/>
  <c r="D46" i="13" s="1"/>
  <c r="F52" i="12"/>
  <c r="D47" i="13" s="1"/>
  <c r="F59" i="12"/>
  <c r="D57" i="13" s="1"/>
  <c r="F43" i="12"/>
  <c r="D48" i="13" s="1"/>
  <c r="F44" i="12"/>
  <c r="D49" i="13" s="1"/>
  <c r="F45" i="12"/>
  <c r="D50" i="13" s="1"/>
  <c r="F46" i="12"/>
  <c r="D51" i="13" s="1"/>
  <c r="F47" i="12"/>
  <c r="D52" i="13" s="1"/>
  <c r="F48" i="12"/>
  <c r="D53" i="13" s="1"/>
  <c r="F61" i="12"/>
  <c r="D61" i="13" s="1"/>
  <c r="F49" i="12"/>
  <c r="D55" i="13" s="1"/>
  <c r="F10" i="12"/>
  <c r="D10" i="13" s="1"/>
  <c r="F11" i="12"/>
  <c r="D11" i="13" s="1"/>
  <c r="F12" i="12"/>
  <c r="D12" i="13" s="1"/>
  <c r="F14" i="12"/>
  <c r="D14" i="13" s="1"/>
  <c r="F15" i="12"/>
  <c r="D15" i="13" s="1"/>
  <c r="F16" i="12"/>
  <c r="D16" i="13" s="1"/>
  <c r="F17" i="12"/>
  <c r="D17" i="13" s="1"/>
  <c r="F18" i="12"/>
  <c r="D18" i="13" s="1"/>
  <c r="F19" i="12"/>
  <c r="D19" i="13" s="1"/>
  <c r="F21" i="12"/>
  <c r="D21" i="13" s="1"/>
  <c r="F4" i="12"/>
  <c r="D4" i="13" s="1"/>
  <c r="F5" i="12"/>
  <c r="D5" i="13" s="1"/>
  <c r="F6" i="12"/>
  <c r="D6" i="13" s="1"/>
  <c r="E68" i="12"/>
  <c r="E69" i="12"/>
  <c r="E70" i="12"/>
  <c r="E71" i="12"/>
  <c r="E72" i="12"/>
  <c r="E73" i="12"/>
  <c r="E38" i="12"/>
  <c r="E58" i="12"/>
  <c r="E18" i="12"/>
  <c r="E19" i="12"/>
  <c r="D68" i="12"/>
  <c r="D69" i="12"/>
  <c r="D70" i="12"/>
  <c r="D71" i="12"/>
  <c r="D72" i="12"/>
  <c r="D73" i="12"/>
  <c r="D60" i="12"/>
  <c r="F24" i="13"/>
  <c r="F26" i="13"/>
  <c r="F27" i="13"/>
  <c r="F65" i="13"/>
  <c r="F29" i="13"/>
  <c r="F30" i="13"/>
  <c r="D31" i="12"/>
  <c r="F33" i="13"/>
  <c r="F34" i="13"/>
  <c r="F36" i="13"/>
  <c r="F37" i="13"/>
  <c r="F40" i="13"/>
  <c r="F41" i="13"/>
  <c r="F7" i="13"/>
  <c r="F59" i="13"/>
  <c r="D41" i="12"/>
  <c r="F45" i="13"/>
  <c r="F62" i="13"/>
  <c r="F50" i="13"/>
  <c r="F51" i="13"/>
  <c r="F11" i="13"/>
  <c r="F13" i="13"/>
  <c r="D19" i="12"/>
  <c r="F67" i="12"/>
  <c r="F23" i="12"/>
  <c r="F9" i="12"/>
  <c r="E67" i="12"/>
  <c r="E23" i="12"/>
  <c r="E9" i="12"/>
  <c r="D67" i="12"/>
  <c r="D23" i="12"/>
  <c r="D9" i="12"/>
  <c r="E8" i="11" l="1"/>
  <c r="G76" i="1"/>
  <c r="E36" i="11" s="1"/>
  <c r="E41" i="11" s="1"/>
  <c r="D66" i="14"/>
  <c r="I76" i="1"/>
  <c r="H76" i="1"/>
  <c r="J76" i="1"/>
  <c r="D76" i="1"/>
  <c r="B36" i="11" s="1"/>
  <c r="B41" i="11" s="1"/>
  <c r="K76" i="1"/>
  <c r="F75" i="14"/>
  <c r="E66" i="14"/>
  <c r="F66" i="14"/>
  <c r="E75" i="14"/>
  <c r="D22" i="14"/>
  <c r="G22" i="14"/>
  <c r="F22" i="14"/>
  <c r="F76" i="1"/>
  <c r="D36" i="11" s="1"/>
  <c r="D41" i="11" s="1"/>
  <c r="E76" i="1"/>
  <c r="C36" i="11" s="1"/>
  <c r="C41" i="11" s="1"/>
  <c r="G66" i="14"/>
  <c r="G75" i="14"/>
  <c r="E22" i="14"/>
  <c r="F8" i="14"/>
  <c r="E8" i="14"/>
  <c r="D8" i="14"/>
  <c r="D75" i="14"/>
  <c r="E4" i="12"/>
  <c r="E6" i="12"/>
  <c r="E36" i="13"/>
  <c r="B8" i="11"/>
  <c r="E53" i="12"/>
  <c r="E46" i="12"/>
  <c r="E32" i="12"/>
  <c r="D39" i="12"/>
  <c r="D11" i="12"/>
  <c r="E42" i="12"/>
  <c r="E44" i="12"/>
  <c r="D33" i="12"/>
  <c r="E50" i="12"/>
  <c r="E45" i="12"/>
  <c r="E11" i="12"/>
  <c r="D26" i="12"/>
  <c r="E41" i="12"/>
  <c r="D50" i="12"/>
  <c r="E10" i="12"/>
  <c r="E25" i="12"/>
  <c r="D62" i="12"/>
  <c r="D13" i="12"/>
  <c r="E7" i="12"/>
  <c r="D32" i="12"/>
  <c r="D36" i="12"/>
  <c r="E12" i="12"/>
  <c r="E33" i="12"/>
  <c r="D45" i="12"/>
  <c r="D53" i="12"/>
  <c r="D46" i="12"/>
  <c r="D65" i="12"/>
  <c r="D42" i="12"/>
  <c r="E31" i="12"/>
  <c r="E14" i="12"/>
  <c r="D35" i="12"/>
  <c r="E59" i="12"/>
  <c r="D28" i="12"/>
  <c r="D29" i="12"/>
  <c r="E35" i="12"/>
  <c r="D4" i="12"/>
  <c r="F4" i="13"/>
  <c r="D17" i="12"/>
  <c r="F17" i="13"/>
  <c r="E61" i="12"/>
  <c r="D6" i="12"/>
  <c r="F6" i="13"/>
  <c r="D52" i="12"/>
  <c r="F47" i="13"/>
  <c r="E48" i="12"/>
  <c r="D5" i="12"/>
  <c r="F5" i="13"/>
  <c r="D51" i="12"/>
  <c r="F46" i="13"/>
  <c r="D34" i="12"/>
  <c r="F35" i="13"/>
  <c r="E55" i="12"/>
  <c r="E27" i="12"/>
  <c r="D21" i="12"/>
  <c r="F21" i="13"/>
  <c r="E39" i="12"/>
  <c r="D16" i="12"/>
  <c r="F16" i="13"/>
  <c r="D61" i="12"/>
  <c r="F61" i="13"/>
  <c r="D59" i="12"/>
  <c r="F57" i="13"/>
  <c r="E16" i="12"/>
  <c r="D15" i="12"/>
  <c r="F15" i="13"/>
  <c r="D48" i="12"/>
  <c r="F53" i="13"/>
  <c r="D40" i="12"/>
  <c r="F43" i="13"/>
  <c r="D74" i="12"/>
  <c r="F74" i="13"/>
  <c r="E15" i="12"/>
  <c r="E52" i="12"/>
  <c r="E40" i="12"/>
  <c r="E28" i="12"/>
  <c r="D14" i="12"/>
  <c r="F14" i="13"/>
  <c r="D47" i="12"/>
  <c r="F52" i="13"/>
  <c r="D55" i="12"/>
  <c r="F42" i="13"/>
  <c r="D27" i="12"/>
  <c r="F28" i="13"/>
  <c r="E51" i="12"/>
  <c r="E34" i="12"/>
  <c r="D7" i="12"/>
  <c r="E36" i="12"/>
  <c r="D12" i="12"/>
  <c r="F12" i="13"/>
  <c r="E21" i="12"/>
  <c r="E26" i="12"/>
  <c r="E47" i="12"/>
  <c r="D24" i="12"/>
  <c r="D18" i="12"/>
  <c r="F18" i="13"/>
  <c r="D10" i="12"/>
  <c r="F10" i="13"/>
  <c r="F49" i="13"/>
  <c r="D44" i="12"/>
  <c r="D58" i="12"/>
  <c r="F60" i="13"/>
  <c r="D38" i="12"/>
  <c r="F39" i="13"/>
  <c r="D43" i="12"/>
  <c r="F48" i="13"/>
  <c r="D37" i="12"/>
  <c r="F38" i="13"/>
  <c r="D30" i="12"/>
  <c r="F31" i="13"/>
  <c r="D25" i="12"/>
  <c r="F25" i="13"/>
  <c r="E17" i="12"/>
  <c r="E49" i="12"/>
  <c r="E43" i="12"/>
  <c r="E37" i="12"/>
  <c r="E30" i="12"/>
  <c r="D49" i="12"/>
  <c r="F55" i="13"/>
  <c r="E29" i="12"/>
  <c r="E24" i="12"/>
  <c r="F44" i="13"/>
  <c r="F19" i="13"/>
  <c r="F32" i="13"/>
  <c r="G45" i="13" l="1"/>
  <c r="G62" i="13"/>
  <c r="E62" i="13"/>
  <c r="G47" i="13"/>
  <c r="E47" i="13"/>
  <c r="G50" i="13"/>
  <c r="E50" i="13"/>
  <c r="G53" i="13"/>
  <c r="E53" i="13"/>
  <c r="G26" i="13"/>
  <c r="E26" i="13"/>
  <c r="G65" i="13"/>
  <c r="E65" i="13"/>
  <c r="G42" i="13"/>
  <c r="G24" i="13"/>
  <c r="E24" i="13"/>
  <c r="G39" i="13"/>
  <c r="G55" i="13"/>
  <c r="E55" i="13"/>
  <c r="G37" i="13"/>
  <c r="G5" i="12"/>
  <c r="E5" i="13" s="1"/>
  <c r="G29" i="13"/>
  <c r="E29" i="13"/>
  <c r="G12" i="13"/>
  <c r="G12" i="12"/>
  <c r="E12" i="13" s="1"/>
  <c r="G35" i="13"/>
  <c r="E35" i="13"/>
  <c r="G38" i="13"/>
  <c r="G15" i="13"/>
  <c r="E15" i="13"/>
  <c r="G49" i="13"/>
  <c r="G33" i="13"/>
  <c r="E33" i="13"/>
  <c r="G34" i="13"/>
  <c r="E34" i="13"/>
  <c r="G48" i="13"/>
  <c r="G21" i="13"/>
  <c r="G41" i="13"/>
  <c r="G7" i="13"/>
  <c r="G7" i="12"/>
  <c r="E7" i="13" s="1"/>
  <c r="G16" i="13"/>
  <c r="B7" i="11"/>
  <c r="G14" i="13"/>
  <c r="G14" i="12"/>
  <c r="E14" i="13" s="1"/>
  <c r="H31" i="11"/>
  <c r="F76" i="14"/>
  <c r="H32" i="11"/>
  <c r="F34" i="11"/>
  <c r="G34" i="11"/>
  <c r="H34" i="11"/>
  <c r="I34" i="11"/>
  <c r="F33" i="11"/>
  <c r="I33" i="11"/>
  <c r="H33" i="11"/>
  <c r="G33" i="11"/>
  <c r="G35" i="11"/>
  <c r="G29" i="11"/>
  <c r="H29" i="11"/>
  <c r="I29" i="11"/>
  <c r="F29" i="11"/>
  <c r="G36" i="11"/>
  <c r="D76" i="14"/>
  <c r="E76" i="14"/>
  <c r="G30" i="11"/>
  <c r="F30" i="11"/>
  <c r="H30" i="11"/>
  <c r="I28" i="11"/>
  <c r="E5" i="12" l="1"/>
  <c r="G5" i="13"/>
  <c r="G58" i="13" l="1"/>
  <c r="F70" i="13"/>
  <c r="D70" i="13"/>
  <c r="E58" i="13"/>
  <c r="E70" i="13"/>
  <c r="E9" i="13" l="1"/>
  <c r="F9" i="13"/>
  <c r="F68" i="13"/>
  <c r="F72" i="13"/>
  <c r="F69" i="13"/>
  <c r="E68" i="13"/>
  <c r="E72" i="13"/>
  <c r="E69" i="13"/>
  <c r="G69" i="13"/>
  <c r="F71" i="13"/>
  <c r="E73" i="13"/>
  <c r="G71" i="13"/>
  <c r="E71" i="13"/>
  <c r="D71" i="13"/>
  <c r="F73" i="13"/>
  <c r="D72" i="13"/>
  <c r="F58" i="13"/>
  <c r="D73" i="13"/>
  <c r="D58" i="13"/>
  <c r="D69" i="13"/>
  <c r="D68" i="13"/>
  <c r="F74" i="12"/>
  <c r="D74" i="13" s="1"/>
  <c r="F22" i="13" l="1"/>
  <c r="L7" i="11" s="1"/>
  <c r="E23" i="13"/>
  <c r="E66" i="13"/>
  <c r="K8" i="11" s="1"/>
  <c r="F67" i="13"/>
  <c r="D67" i="13"/>
  <c r="D23" i="13"/>
  <c r="D66" i="13"/>
  <c r="J8" i="11" s="1"/>
  <c r="D9" i="13"/>
  <c r="F13" i="12"/>
  <c r="D13" i="13" s="1"/>
  <c r="G67" i="13"/>
  <c r="F23" i="13"/>
  <c r="F66" i="13"/>
  <c r="L8" i="11" s="1"/>
  <c r="E67" i="13"/>
  <c r="F66" i="12"/>
  <c r="D66" i="12"/>
  <c r="F75" i="13" l="1"/>
  <c r="L9" i="11" s="1"/>
  <c r="D75" i="13"/>
  <c r="J9" i="11" s="1"/>
  <c r="D22" i="13" l="1"/>
  <c r="J7" i="11" s="1"/>
  <c r="D75" i="12" l="1"/>
  <c r="I9" i="11"/>
  <c r="E74" i="12"/>
  <c r="I17" i="11" l="1"/>
  <c r="E74" i="13"/>
  <c r="F8" i="11"/>
  <c r="E75" i="13" l="1"/>
  <c r="K9" i="11" s="1"/>
  <c r="F22" i="12" l="1"/>
  <c r="H7" i="11" s="1"/>
  <c r="F75" i="12"/>
  <c r="H8" i="11" s="1"/>
  <c r="H17" i="11" l="1"/>
  <c r="E75" i="12"/>
  <c r="G8" i="11" s="1"/>
  <c r="G13" i="12"/>
  <c r="E13" i="12"/>
  <c r="D22" i="12" l="1"/>
  <c r="E13" i="13"/>
  <c r="G13" i="13"/>
  <c r="E22" i="12"/>
  <c r="G7" i="11" s="1"/>
  <c r="F7" i="11" l="1"/>
  <c r="E22" i="13"/>
  <c r="K7" i="11" s="1"/>
  <c r="I11" i="11" l="1"/>
  <c r="E18" i="13"/>
  <c r="I19" i="11" l="1"/>
  <c r="M21" i="11"/>
  <c r="E60" i="13" l="1"/>
  <c r="F28" i="11" l="1"/>
  <c r="E8" i="12"/>
  <c r="H28" i="11"/>
  <c r="D3" i="12"/>
  <c r="E3" i="12"/>
  <c r="G28" i="11"/>
  <c r="G6" i="11" l="1"/>
  <c r="D8" i="12"/>
  <c r="G8" i="12" s="1"/>
  <c r="M76" i="13"/>
  <c r="N76" i="13"/>
  <c r="F3" i="13"/>
  <c r="D3" i="13"/>
  <c r="F8" i="12"/>
  <c r="E3" i="13"/>
  <c r="H19" i="11"/>
  <c r="G19" i="11"/>
  <c r="F19" i="11"/>
  <c r="H6" i="11" l="1"/>
  <c r="F6" i="11"/>
  <c r="L21" i="11"/>
  <c r="E8" i="13"/>
  <c r="K6" i="11" s="1"/>
  <c r="E76" i="13"/>
  <c r="F21" i="11"/>
  <c r="I21" i="11"/>
  <c r="J21" i="11"/>
  <c r="K21" i="11"/>
  <c r="D76" i="13"/>
  <c r="D8" i="13"/>
  <c r="J6" i="11" s="1"/>
  <c r="F76" i="13"/>
  <c r="F8" i="13"/>
  <c r="L6" i="11" s="1"/>
  <c r="G20" i="11" l="1"/>
  <c r="L11" i="11"/>
  <c r="L10" i="11"/>
  <c r="K11" i="11"/>
  <c r="K10" i="11"/>
  <c r="J11" i="11"/>
  <c r="J10" i="11"/>
  <c r="G17" i="11"/>
  <c r="G21" i="11"/>
  <c r="H21" i="11" l="1"/>
  <c r="E56" i="13"/>
  <c r="F56" i="13"/>
  <c r="D56" i="13"/>
  <c r="E30" i="13"/>
  <c r="E11" i="13"/>
  <c r="E27" i="13"/>
  <c r="E46" i="13"/>
  <c r="E4" i="13"/>
  <c r="E28" i="13"/>
  <c r="E57" i="13"/>
  <c r="E61" i="13"/>
  <c r="E31" i="13"/>
  <c r="E10" i="13"/>
  <c r="E32" i="13"/>
  <c r="E51" i="13"/>
  <c r="E25" i="13"/>
  <c r="E59" i="13"/>
  <c r="E52" i="13"/>
  <c r="G4" i="12"/>
  <c r="G4" i="13"/>
  <c r="I7" i="11"/>
  <c r="G23" i="13"/>
  <c r="G11" i="13"/>
  <c r="G18" i="13"/>
  <c r="G25" i="13"/>
  <c r="E7" i="11"/>
  <c r="E6" i="11"/>
  <c r="G10" i="13"/>
  <c r="G9" i="13"/>
  <c r="G17" i="13"/>
  <c r="G32" i="13"/>
  <c r="G31" i="13"/>
  <c r="G9" i="12"/>
  <c r="G28" i="13"/>
  <c r="G30" i="13"/>
  <c r="G27" i="13"/>
  <c r="G19" i="13"/>
  <c r="G3" i="13"/>
  <c r="G10" i="12"/>
  <c r="G6" i="13"/>
  <c r="F3" i="12"/>
  <c r="G11" i="12"/>
  <c r="G8" i="13" l="1"/>
  <c r="M6" i="11" s="1"/>
  <c r="G22" i="13"/>
  <c r="M7" i="11" s="1"/>
  <c r="G72" i="13"/>
  <c r="G61" i="13"/>
  <c r="G44" i="13"/>
  <c r="G46" i="13"/>
  <c r="G73" i="13"/>
  <c r="G70" i="13"/>
  <c r="E10" i="11"/>
  <c r="G74" i="13"/>
  <c r="E65" i="12"/>
  <c r="E60" i="12"/>
  <c r="I8" i="11"/>
  <c r="G60" i="13"/>
  <c r="G36" i="13"/>
  <c r="G40" i="13"/>
  <c r="G59" i="13"/>
  <c r="G51" i="13"/>
  <c r="G43" i="13"/>
  <c r="G52" i="13"/>
  <c r="G57" i="13"/>
  <c r="G66" i="13" l="1"/>
  <c r="M8" i="11" s="1"/>
  <c r="G56" i="13"/>
  <c r="G68" i="13"/>
  <c r="G75" i="13" l="1"/>
  <c r="M9" i="11" s="1"/>
  <c r="O76" i="13"/>
  <c r="G76" i="13" s="1"/>
  <c r="M10" i="11" l="1"/>
  <c r="M11" i="11"/>
  <c r="I6" i="11"/>
  <c r="G3" i="12"/>
  <c r="E62" i="12"/>
  <c r="E66" i="12"/>
  <c r="F3" i="14"/>
  <c r="D3" i="14"/>
  <c r="G76" i="14"/>
  <c r="G3" i="14"/>
  <c r="G8" i="14"/>
  <c r="D4" i="14"/>
  <c r="E4" i="14"/>
  <c r="F6" i="14"/>
  <c r="F4" i="14"/>
  <c r="G6" i="14"/>
  <c r="G4" i="14"/>
  <c r="E3" i="14"/>
  <c r="D6" i="14"/>
  <c r="E6" i="14"/>
  <c r="E5" i="14"/>
  <c r="F56" i="14"/>
  <c r="D56" i="14"/>
  <c r="G56" i="14"/>
  <c r="E56" i="14"/>
  <c r="B9" i="11"/>
  <c r="B11" i="11" s="1"/>
  <c r="C9" i="11"/>
  <c r="C11" i="11" s="1"/>
  <c r="E56" i="12"/>
  <c r="F41" i="11"/>
  <c r="D56" i="12"/>
  <c r="E9" i="11"/>
  <c r="E11" i="11" s="1"/>
  <c r="F56" i="12"/>
  <c r="I10" i="11"/>
  <c r="G41" i="11"/>
  <c r="D9" i="11"/>
  <c r="D11" i="11" s="1"/>
  <c r="H41" i="11" l="1"/>
  <c r="E76" i="12"/>
  <c r="G9" i="11" s="1"/>
  <c r="F76" i="12"/>
  <c r="H9" i="11" s="1"/>
  <c r="D76" i="12"/>
  <c r="F9" i="11" s="1"/>
  <c r="I41" i="11"/>
  <c r="F11" i="11" l="1"/>
  <c r="H11" i="11"/>
  <c r="G11" i="11"/>
  <c r="E56" i="1"/>
  <c r="D56" i="1"/>
  <c r="F56" i="1"/>
  <c r="I56" i="1"/>
  <c r="H56" i="1"/>
  <c r="G56" i="1"/>
  <c r="K56" i="1"/>
  <c r="J5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אלונה טוקיילו</author>
  </authors>
  <commentList>
    <comment ref="C19" authorId="0" shapeId="0" xr:uid="{DE70FAC4-5D4A-4550-9363-9A6705AF1B45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  <comment ref="C21" authorId="0" shapeId="0" xr:uid="{ABFF131A-A5FC-4912-B84D-A623E3EEB569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אלונה טוקיילו</author>
  </authors>
  <commentList>
    <comment ref="C19" authorId="0" shapeId="0" xr:uid="{A1E1B578-BD22-4E65-B7B7-880BC29023A2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  <comment ref="C21" authorId="0" shapeId="0" xr:uid="{E87A78CA-7191-445B-8886-E6D70F6F9502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אלונה טוקיילו</author>
  </authors>
  <commentList>
    <comment ref="C19" authorId="0" shapeId="0" xr:uid="{538E3F34-02D8-4E7F-97AC-0EC08D7D1F7C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  <comment ref="C21" authorId="0" shapeId="0" xr:uid="{5C147B12-0587-4B8E-970A-B95BD3162191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אלונה טוקיילו</author>
  </authors>
  <commentList>
    <comment ref="C19" authorId="0" shapeId="0" xr:uid="{2395E305-BF6C-4B52-9901-1B09344B6512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  <comment ref="C21" authorId="0" shapeId="0" xr:uid="{D1D3763A-2161-4023-B2FB-1A72305B71BB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אלונה טוקיילו</author>
  </authors>
  <commentList>
    <comment ref="C19" authorId="0" shapeId="0" xr:uid="{A7C4D062-8ED6-43CA-8ABE-61348659C5F7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  <comment ref="C21" authorId="0" shapeId="0" xr:uid="{31310878-D6A7-4822-B46D-E45F1861F1F1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אלונה טוקיילו</author>
  </authors>
  <commentList>
    <comment ref="C19" authorId="0" shapeId="0" xr:uid="{51DE37DE-2546-4B4C-9A56-DDFAC3359FFE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  <comment ref="C21" authorId="0" shapeId="0" xr:uid="{F323CFE7-32B2-4883-AC2B-AA67D8847367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אלונה טוקיילו</author>
  </authors>
  <commentList>
    <comment ref="C19" authorId="0" shapeId="0" xr:uid="{F5F05712-678B-4119-B843-FE482EF76673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  <comment ref="C21" authorId="0" shapeId="0" xr:uid="{671FFC84-F612-4D5B-A10A-9F0EB4591E68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אלונה טוקיילו</author>
  </authors>
  <commentList>
    <comment ref="C19" authorId="0" shapeId="0" xr:uid="{B90452A7-CABE-41B2-A125-AC06459CD211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  <comment ref="C21" authorId="0" shapeId="0" xr:uid="{42F7A70D-CEC3-40D0-8158-71AA2A23C988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אלונה טוקיילו</author>
  </authors>
  <commentList>
    <comment ref="C19" authorId="0" shapeId="0" xr:uid="{F7F7E8A9-41ED-47E5-AB60-C5C602CC3EB7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  <comment ref="C21" authorId="0" shapeId="0" xr:uid="{EB23B82C-72D1-4EAB-8DEA-72991C763CB1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אלונה טוקיילו</author>
  </authors>
  <commentList>
    <comment ref="C19" authorId="0" shapeId="0" xr:uid="{11DBD998-4083-4858-90B0-0A9EDE922409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  <comment ref="C21" authorId="0" shapeId="0" xr:uid="{A96307E7-B628-48A1-A91F-0616AD44F46C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אלונה טוקיילו</author>
  </authors>
  <commentList>
    <comment ref="C19" authorId="0" shapeId="0" xr:uid="{5ADF620E-192E-4011-A4E0-FC0E7D3C1A2A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  <comment ref="C21" authorId="0" shapeId="0" xr:uid="{E85726D9-5065-4092-A3DC-7DF66F72F2C8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אלונה טוקיילו</author>
  </authors>
  <commentList>
    <comment ref="C19" authorId="0" shapeId="0" xr:uid="{52B5F777-03C5-4409-962B-6D6F4BF27DC0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  <comment ref="C21" authorId="0" shapeId="0" xr:uid="{41C58739-D703-4F09-9A8D-6AD1409370F5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אלונה טוקיילו</author>
  </authors>
  <commentList>
    <comment ref="C19" authorId="0" shapeId="0" xr:uid="{EF1EDC6E-8562-4FA1-8728-0BABFBB444C8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  <comment ref="C21" authorId="0" shapeId="0" xr:uid="{7570AB68-5418-483C-B77F-0C3BF1961B27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אלונה טוקיילו</author>
  </authors>
  <commentList>
    <comment ref="C19" authorId="0" shapeId="0" xr:uid="{F41C31AB-9218-462F-A408-4DCF4B45DC4F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  <comment ref="C21" authorId="0" shapeId="0" xr:uid="{68D7684E-A10E-425B-A695-0678E37E0037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אלונה טוקיילו</author>
  </authors>
  <commentList>
    <comment ref="C19" authorId="0" shapeId="0" xr:uid="{9359A930-6CE4-4B2E-8984-713875891A35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  <comment ref="C21" authorId="0" shapeId="0" xr:uid="{461ED2F0-50AA-4142-8B46-465C52B4154E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אלונה טוקיילו</author>
  </authors>
  <commentList>
    <comment ref="C19" authorId="0" shapeId="0" xr:uid="{A1C0BA16-E3BE-4125-9229-068EA198EB30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  <comment ref="C21" authorId="0" shapeId="0" xr:uid="{71171EC7-5F9F-4D27-AAD2-38F1D5E3BE7A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אלונה טוקיילו</author>
  </authors>
  <commentList>
    <comment ref="C19" authorId="0" shapeId="0" xr:uid="{490DB86A-0FC7-430B-B942-1ADA65002823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  <comment ref="C21" authorId="0" shapeId="0" xr:uid="{DD42FC93-3584-4359-995C-7DE306B16A55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</commentList>
</comments>
</file>

<file path=xl/sharedStrings.xml><?xml version="1.0" encoding="utf-8"?>
<sst xmlns="http://schemas.openxmlformats.org/spreadsheetml/2006/main" count="3959" uniqueCount="140">
  <si>
    <t>שם סוכן</t>
  </si>
  <si>
    <t>גל אלמגור סוכ</t>
  </si>
  <si>
    <t>דניאלה אביב</t>
  </si>
  <si>
    <t>סה"כ ישיר</t>
  </si>
  <si>
    <t>בראשית סוכנות לביטוח</t>
  </si>
  <si>
    <t>גל אלמגור דאוד סוכ' לב</t>
  </si>
  <si>
    <t>גל אלמגור -וייס סוכנות</t>
  </si>
  <si>
    <t>גל אלמגור דרום סוכ ל</t>
  </si>
  <si>
    <t>משה שטרן גל אלמגור</t>
  </si>
  <si>
    <t>מקסימום סוכנות לבטוח פ</t>
  </si>
  <si>
    <t>סה"כ חברות בנות</t>
  </si>
  <si>
    <t>מועלם אלפרד</t>
  </si>
  <si>
    <t>גרניק בנימין</t>
  </si>
  <si>
    <t>סאוסן שלבי</t>
  </si>
  <si>
    <t>דורי כדורי דאי</t>
  </si>
  <si>
    <t>סברא סמיר</t>
  </si>
  <si>
    <t>מחמוד פארס</t>
  </si>
  <si>
    <t>ריזק חלבי</t>
  </si>
  <si>
    <t>שלבי מיסון</t>
  </si>
  <si>
    <t>בחוס יוסף</t>
  </si>
  <si>
    <t>קליין סיון</t>
  </si>
  <si>
    <t>צקותאי אורי</t>
  </si>
  <si>
    <t>סמיר בלאן</t>
  </si>
  <si>
    <t>רן בסין</t>
  </si>
  <si>
    <t>אלקרינאוי ראוף</t>
  </si>
  <si>
    <t>דאי גדי</t>
  </si>
  <si>
    <t>מילאד אבו שקארה</t>
  </si>
  <si>
    <t>דראושה אדהם</t>
  </si>
  <si>
    <t>בדארנה עומר</t>
  </si>
  <si>
    <t>לוי חיים</t>
  </si>
  <si>
    <t>גולדר אבי</t>
  </si>
  <si>
    <t>א.ד. אבידן ביטוחים בע"מ</t>
  </si>
  <si>
    <t>מטאנס זוהיר</t>
  </si>
  <si>
    <t>סטולרז אסף</t>
  </si>
  <si>
    <t>דני פחימה</t>
  </si>
  <si>
    <t>עאטף עדווי</t>
  </si>
  <si>
    <t>מכלול סוכנות לביטוח</t>
  </si>
  <si>
    <t>גול זאב</t>
  </si>
  <si>
    <t>בדר צבי</t>
  </si>
  <si>
    <t>יונתן מנחם</t>
  </si>
  <si>
    <t>שלי מזרחי</t>
  </si>
  <si>
    <t>יהונתן שיוביץ</t>
  </si>
  <si>
    <t>אלרם סוכנות לביטוח</t>
  </si>
  <si>
    <t>רכס אורן</t>
  </si>
  <si>
    <t>סה"כ פרימיום</t>
  </si>
  <si>
    <t>סה"כ כולל</t>
  </si>
  <si>
    <t>פנסיוני</t>
  </si>
  <si>
    <t xml:space="preserve">סיכונים </t>
  </si>
  <si>
    <t>פיננסים</t>
  </si>
  <si>
    <t>ניודי פנסיה</t>
  </si>
  <si>
    <t>סיכונים</t>
  </si>
  <si>
    <t xml:space="preserve">פיננסים </t>
  </si>
  <si>
    <t>שינוי מול אשתקד %</t>
  </si>
  <si>
    <t xml:space="preserve">מפקח </t>
  </si>
  <si>
    <t>מפקח</t>
  </si>
  <si>
    <t>לא מפוקחים</t>
  </si>
  <si>
    <t xml:space="preserve">ערן גירוני </t>
  </si>
  <si>
    <t xml:space="preserve">קבוצה </t>
  </si>
  <si>
    <t xml:space="preserve">ישירים </t>
  </si>
  <si>
    <t>חברות בת</t>
  </si>
  <si>
    <t xml:space="preserve">סוכני פרימיום </t>
  </si>
  <si>
    <t xml:space="preserve">סה"כ מכירות </t>
  </si>
  <si>
    <t>השגת יעדים%</t>
  </si>
  <si>
    <t>מנורה</t>
  </si>
  <si>
    <t>מגדל</t>
  </si>
  <si>
    <t>כלל</t>
  </si>
  <si>
    <t>אלטשולר שחם</t>
  </si>
  <si>
    <t>מור</t>
  </si>
  <si>
    <t>הראל</t>
  </si>
  <si>
    <t>הפניקס</t>
  </si>
  <si>
    <t>איילון</t>
  </si>
  <si>
    <t xml:space="preserve">הכשרה </t>
  </si>
  <si>
    <t>סה"כ</t>
  </si>
  <si>
    <t>השגת יעדים מצטבר %</t>
  </si>
  <si>
    <t>שינוי %</t>
  </si>
  <si>
    <t>עליה/ירידה</t>
  </si>
  <si>
    <t>יעדים מצטבר</t>
  </si>
  <si>
    <t>אריאל בר-חיים</t>
  </si>
  <si>
    <r>
      <t xml:space="preserve">תפוקה </t>
    </r>
    <r>
      <rPr>
        <b/>
        <i/>
        <sz val="11"/>
        <color rgb="FFFF0000"/>
        <rFont val="Calibri"/>
        <family val="2"/>
      </rPr>
      <t>מצטברת</t>
    </r>
    <r>
      <rPr>
        <b/>
        <i/>
        <sz val="11"/>
        <color theme="1"/>
        <rFont val="Calibri"/>
        <family val="2"/>
      </rPr>
      <t xml:space="preserve"> לפי קבוצות</t>
    </r>
  </si>
  <si>
    <r>
      <t xml:space="preserve">תפוקה </t>
    </r>
    <r>
      <rPr>
        <b/>
        <sz val="12"/>
        <color rgb="FFFF0000"/>
        <rFont val="Calibri"/>
        <family val="2"/>
      </rPr>
      <t>מצטברת</t>
    </r>
    <r>
      <rPr>
        <b/>
        <sz val="12"/>
        <color theme="1"/>
        <rFont val="Calibri"/>
        <family val="2"/>
        <charset val="177"/>
      </rPr>
      <t xml:space="preserve"> לפי מפקחים</t>
    </r>
  </si>
  <si>
    <r>
      <t xml:space="preserve">תפוקה </t>
    </r>
    <r>
      <rPr>
        <b/>
        <sz val="12"/>
        <color rgb="FFFF0000"/>
        <rFont val="Calibri"/>
        <family val="2"/>
      </rPr>
      <t>מצטברת</t>
    </r>
    <r>
      <rPr>
        <b/>
        <sz val="12"/>
        <color theme="1"/>
        <rFont val="Calibri"/>
        <family val="2"/>
        <charset val="177"/>
      </rPr>
      <t xml:space="preserve"> לפי חברות</t>
    </r>
  </si>
  <si>
    <t>נור אבו ראס</t>
  </si>
  <si>
    <t>לילי שרון</t>
  </si>
  <si>
    <t>אחמד עלי אחמד</t>
  </si>
  <si>
    <t>שירלי בוכריס</t>
  </si>
  <si>
    <t>עבוד כיתי</t>
  </si>
  <si>
    <t>אביב מור יוסף</t>
  </si>
  <si>
    <t>יעקב ישראל שטרן</t>
  </si>
  <si>
    <t>סיון פיינרו</t>
  </si>
  <si>
    <t xml:space="preserve">ניודי פנסיה </t>
  </si>
  <si>
    <t>חנה כצנלסון</t>
  </si>
  <si>
    <t>ינאי חיים בוני</t>
  </si>
  <si>
    <t xml:space="preserve">מיכאל וקסלר </t>
  </si>
  <si>
    <t xml:space="preserve">שני לוי </t>
  </si>
  <si>
    <t>דורון ענק הביטוח</t>
  </si>
  <si>
    <t>דאי דניאל</t>
  </si>
  <si>
    <t xml:space="preserve">גל אלמגור -ראם </t>
  </si>
  <si>
    <t xml:space="preserve">ניר יבלונקה </t>
  </si>
  <si>
    <t xml:space="preserve">אבו חיט ניזאם </t>
  </si>
  <si>
    <t>אילנית כהן</t>
  </si>
  <si>
    <t>נעם הלשטוק</t>
  </si>
  <si>
    <t>אורטל / לנג ביג סוכנות לביטוח פנסיוני</t>
  </si>
  <si>
    <t>פרמיום</t>
  </si>
  <si>
    <t xml:space="preserve">פרמיום </t>
  </si>
  <si>
    <t xml:space="preserve">רותי </t>
  </si>
  <si>
    <t xml:space="preserve">אילנית </t>
  </si>
  <si>
    <t xml:space="preserve">שותפים </t>
  </si>
  <si>
    <t xml:space="preserve">סוכנים </t>
  </si>
  <si>
    <t>יוסי אביב</t>
  </si>
  <si>
    <t>מחלקה</t>
  </si>
  <si>
    <t xml:space="preserve">מדיהו </t>
  </si>
  <si>
    <t xml:space="preserve">אנליסט </t>
  </si>
  <si>
    <t>מיטב דש</t>
  </si>
  <si>
    <t>אינפניטי</t>
  </si>
  <si>
    <t>איתי אדן</t>
  </si>
  <si>
    <t>סוכנים ערן</t>
  </si>
  <si>
    <t>סוכנים איתי</t>
  </si>
  <si>
    <t>תפוקה מצטברת - 2025</t>
  </si>
  <si>
    <t xml:space="preserve">תפוקה מצטברת - 2024 </t>
  </si>
  <si>
    <t xml:space="preserve">סוכנים איתי </t>
  </si>
  <si>
    <t>בס"ד</t>
  </si>
  <si>
    <t>עולים בולטים</t>
  </si>
  <si>
    <t>סוכן</t>
  </si>
  <si>
    <t>שינוי % מול תקופה חופפת אשתקד</t>
  </si>
  <si>
    <t>עליה מול תקופה חופפת אשתקד</t>
  </si>
  <si>
    <t>יורדים בולטים</t>
  </si>
  <si>
    <t>ירידה מול תקופה חופפת אשתקד</t>
  </si>
  <si>
    <t>תפוקה מצטברת - 2024</t>
  </si>
  <si>
    <t>גל אלמגור קפיטל</t>
  </si>
  <si>
    <t>סטו וסרמן</t>
  </si>
  <si>
    <t>מרדכי חג'ג'</t>
  </si>
  <si>
    <t>שלומי אחלופי</t>
  </si>
  <si>
    <t>תפוקה מצטברת  06/2025</t>
  </si>
  <si>
    <t>תפוקה מצטברת 06/2025</t>
  </si>
  <si>
    <t>תפוקה מצטברת 06/2024</t>
  </si>
  <si>
    <t>תפוקה חודשית  06/2025</t>
  </si>
  <si>
    <t>תפוקה חודשית 06/2024</t>
  </si>
  <si>
    <t>יעד מצטבר 06/2025</t>
  </si>
  <si>
    <t>יעד חודשי 06/2025</t>
  </si>
  <si>
    <t>תפוקה חודשית 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</si>
</sst>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31" x14ac:knownFonts="1">
    <font>
      <sz val="11"/>
      <color theme="1"/>
      <name val="Arial"/>
      <family val="2"/>
      <charset val="177"/>
      <scheme val="minor"/>
    </font>
    <font>
      <sz val="12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6"/>
      <color theme="1"/>
      <name val="Arial"/>
      <family val="2"/>
      <scheme val="minor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b/>
      <sz val="16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1"/>
      <color theme="1"/>
      <name val="Calibri"/>
      <family val="2"/>
    </font>
    <font>
      <sz val="12"/>
      <color rgb="FF333333"/>
      <name val="Calibri"/>
      <family val="2"/>
    </font>
    <font>
      <b/>
      <sz val="14"/>
      <color theme="1"/>
      <name val="Calibri"/>
      <family val="2"/>
    </font>
    <font>
      <b/>
      <i/>
      <sz val="11"/>
      <color theme="1"/>
      <name val="Calibri"/>
      <family val="2"/>
    </font>
    <font>
      <b/>
      <i/>
      <sz val="11"/>
      <color rgb="FFFF0000"/>
      <name val="Calibri"/>
      <family val="2"/>
    </font>
    <font>
      <b/>
      <sz val="12"/>
      <color theme="1"/>
      <name val="Calibri"/>
      <family val="2"/>
      <charset val="177"/>
    </font>
    <font>
      <sz val="10"/>
      <name val="Arial"/>
      <family val="2"/>
    </font>
    <font>
      <b/>
      <sz val="12"/>
      <color rgb="FFFF0000"/>
      <name val="Calibri"/>
      <family val="2"/>
    </font>
    <font>
      <sz val="11"/>
      <color theme="1"/>
      <name val="Calibri"/>
      <family val="2"/>
      <charset val="177"/>
    </font>
    <font>
      <b/>
      <sz val="11"/>
      <color theme="1"/>
      <name val="Calibri"/>
      <family val="2"/>
      <charset val="177"/>
    </font>
    <font>
      <b/>
      <sz val="18"/>
      <color theme="1"/>
      <name val="Calibri"/>
      <family val="2"/>
      <charset val="177"/>
    </font>
    <font>
      <b/>
      <sz val="16"/>
      <color theme="1"/>
      <name val="Calibri"/>
      <family val="2"/>
      <charset val="177"/>
    </font>
    <font>
      <sz val="11"/>
      <name val="Arial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6"/>
      <color theme="1"/>
      <name val="Arial"/>
      <family val="2"/>
      <scheme val="minor"/>
    </font>
    <font>
      <sz val="11"/>
      <color theme="1"/>
      <name val="Arial"/>
      <family val="2"/>
      <charset val="177"/>
    </font>
    <font>
      <b/>
      <sz val="12"/>
      <name val="Calibri"/>
      <family val="2"/>
    </font>
    <font>
      <sz val="11"/>
      <name val="Calibri"/>
      <family val="2"/>
    </font>
    <font>
      <sz val="12"/>
      <color theme="1"/>
      <name val="Arial"/>
      <family val="2"/>
    </font>
    <font>
      <sz val="9"/>
      <color rgb="FF333333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F95DF"/>
        <bgColor indexed="64"/>
      </patternFill>
    </fill>
    <fill>
      <patternFill patternType="solid">
        <fgColor rgb="FFE1CCF0"/>
        <bgColor indexed="64"/>
      </patternFill>
    </fill>
    <fill>
      <patternFill patternType="solid">
        <fgColor rgb="FFE9D9AB"/>
        <bgColor indexed="64"/>
      </patternFill>
    </fill>
    <fill>
      <patternFill patternType="solid">
        <fgColor rgb="FFF0E5C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rgb="FFFFFFFF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6" fillId="0" borderId="0"/>
    <xf numFmtId="43" fontId="2" fillId="0" borderId="0" applyFont="0" applyFill="0" applyBorder="0" applyAlignment="0" applyProtection="0"/>
    <xf numFmtId="43" fontId="26" fillId="0" borderId="1">
      <alignment horizontal="right"/>
    </xf>
  </cellStyleXfs>
  <cellXfs count="249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164" fontId="0" fillId="0" borderId="0" xfId="1" applyNumberFormat="1" applyFont="1"/>
    <xf numFmtId="164" fontId="0" fillId="0" borderId="0" xfId="1" applyNumberFormat="1" applyFont="1" applyAlignment="1">
      <alignment readingOrder="1"/>
    </xf>
    <xf numFmtId="164" fontId="1" fillId="0" borderId="0" xfId="1" applyNumberFormat="1" applyFont="1" applyAlignment="1">
      <alignment readingOrder="1"/>
    </xf>
    <xf numFmtId="164" fontId="0" fillId="0" borderId="0" xfId="0" applyNumberFormat="1"/>
    <xf numFmtId="164" fontId="0" fillId="0" borderId="0" xfId="0" applyNumberForma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 readingOrder="2"/>
    </xf>
    <xf numFmtId="164" fontId="5" fillId="6" borderId="1" xfId="1" applyNumberFormat="1" applyFont="1" applyFill="1" applyBorder="1" applyAlignment="1">
      <alignment horizontal="center" vertical="center"/>
    </xf>
    <xf numFmtId="164" fontId="7" fillId="15" borderId="1" xfId="1" applyNumberFormat="1" applyFont="1" applyFill="1" applyBorder="1" applyAlignment="1">
      <alignment horizontal="center" vertical="center" wrapText="1" readingOrder="2"/>
    </xf>
    <xf numFmtId="164" fontId="5" fillId="12" borderId="1" xfId="1" applyNumberFormat="1" applyFont="1" applyFill="1" applyBorder="1" applyAlignment="1">
      <alignment horizontal="center"/>
    </xf>
    <xf numFmtId="164" fontId="5" fillId="12" borderId="2" xfId="1" applyNumberFormat="1" applyFont="1" applyFill="1" applyBorder="1" applyAlignment="1">
      <alignment horizontal="center"/>
    </xf>
    <xf numFmtId="0" fontId="6" fillId="15" borderId="26" xfId="0" applyFont="1" applyFill="1" applyBorder="1" applyAlignment="1">
      <alignment horizontal="center" vertical="center" wrapText="1" readingOrder="2"/>
    </xf>
    <xf numFmtId="0" fontId="6" fillId="15" borderId="12" xfId="0" applyFont="1" applyFill="1" applyBorder="1" applyAlignment="1">
      <alignment horizontal="center" vertical="center" wrapText="1" readingOrder="2"/>
    </xf>
    <xf numFmtId="164" fontId="5" fillId="12" borderId="10" xfId="1" applyNumberFormat="1" applyFont="1" applyFill="1" applyBorder="1" applyAlignment="1">
      <alignment horizontal="center"/>
    </xf>
    <xf numFmtId="9" fontId="5" fillId="0" borderId="1" xfId="2" applyFont="1" applyBorder="1" applyAlignment="1">
      <alignment horizontal="center" vertical="center"/>
    </xf>
    <xf numFmtId="164" fontId="5" fillId="6" borderId="1" xfId="1" applyNumberFormat="1" applyFont="1" applyFill="1" applyBorder="1" applyAlignment="1">
      <alignment readingOrder="1"/>
    </xf>
    <xf numFmtId="164" fontId="5" fillId="10" borderId="1" xfId="1" applyNumberFormat="1" applyFont="1" applyFill="1" applyBorder="1" applyAlignment="1">
      <alignment readingOrder="1"/>
    </xf>
    <xf numFmtId="164" fontId="5" fillId="9" borderId="1" xfId="1" applyNumberFormat="1" applyFont="1" applyFill="1" applyBorder="1" applyAlignment="1">
      <alignment readingOrder="1"/>
    </xf>
    <xf numFmtId="0" fontId="8" fillId="2" borderId="1" xfId="0" applyFont="1" applyFill="1" applyBorder="1" applyAlignment="1">
      <alignment horizontal="center" vertical="center" wrapText="1" readingOrder="2"/>
    </xf>
    <xf numFmtId="164" fontId="10" fillId="7" borderId="1" xfId="1" applyNumberFormat="1" applyFont="1" applyFill="1" applyBorder="1" applyAlignment="1">
      <alignment horizontal="center" vertical="center"/>
    </xf>
    <xf numFmtId="164" fontId="8" fillId="14" borderId="1" xfId="1" applyNumberFormat="1" applyFont="1" applyFill="1" applyBorder="1" applyAlignment="1">
      <alignment horizontal="center" vertical="center" wrapText="1" readingOrder="2"/>
    </xf>
    <xf numFmtId="0" fontId="9" fillId="0" borderId="1" xfId="0" applyFont="1" applyBorder="1" applyAlignment="1">
      <alignment horizontal="center" vertical="center" wrapText="1" readingOrder="2"/>
    </xf>
    <xf numFmtId="0" fontId="9" fillId="0" borderId="10" xfId="0" applyFont="1" applyBorder="1" applyAlignment="1">
      <alignment horizontal="center" vertical="center" wrapText="1" readingOrder="2"/>
    </xf>
    <xf numFmtId="0" fontId="9" fillId="0" borderId="2" xfId="0" applyFont="1" applyBorder="1" applyAlignment="1">
      <alignment horizontal="center" vertical="center" wrapText="1" readingOrder="2"/>
    </xf>
    <xf numFmtId="164" fontId="8" fillId="5" borderId="1" xfId="1" applyNumberFormat="1" applyFont="1" applyFill="1" applyBorder="1" applyAlignment="1">
      <alignment horizontal="center" vertical="center" wrapText="1" readingOrder="2"/>
    </xf>
    <xf numFmtId="0" fontId="11" fillId="0" borderId="1" xfId="0" applyFont="1" applyBorder="1" applyAlignment="1">
      <alignment horizontal="center" vertical="center" wrapText="1" readingOrder="2"/>
    </xf>
    <xf numFmtId="164" fontId="5" fillId="0" borderId="0" xfId="1" applyNumberFormat="1" applyFont="1"/>
    <xf numFmtId="0" fontId="5" fillId="0" borderId="0" xfId="0" applyFont="1"/>
    <xf numFmtId="9" fontId="12" fillId="12" borderId="0" xfId="2" applyFont="1" applyFill="1" applyBorder="1" applyAlignment="1">
      <alignment horizontal="center" vertical="center" wrapText="1" readingOrder="2"/>
    </xf>
    <xf numFmtId="164" fontId="12" fillId="12" borderId="0" xfId="1" applyNumberFormat="1" applyFont="1" applyFill="1" applyBorder="1" applyAlignment="1">
      <alignment horizontal="center" vertical="center" wrapText="1" readingOrder="2"/>
    </xf>
    <xf numFmtId="164" fontId="3" fillId="0" borderId="0" xfId="1" applyNumberFormat="1" applyFont="1" applyAlignment="1">
      <alignment horizontal="center" vertical="center"/>
    </xf>
    <xf numFmtId="164" fontId="8" fillId="18" borderId="10" xfId="1" applyNumberFormat="1" applyFont="1" applyFill="1" applyBorder="1" applyAlignment="1">
      <alignment horizontal="center" vertical="center" wrapText="1" readingOrder="2"/>
    </xf>
    <xf numFmtId="164" fontId="8" fillId="9" borderId="10" xfId="1" applyNumberFormat="1" applyFont="1" applyFill="1" applyBorder="1" applyAlignment="1">
      <alignment horizontal="center" vertical="center" wrapText="1" readingOrder="2"/>
    </xf>
    <xf numFmtId="9" fontId="12" fillId="11" borderId="13" xfId="2" applyFont="1" applyFill="1" applyBorder="1" applyAlignment="1">
      <alignment horizontal="center" vertical="center" wrapText="1" readingOrder="1"/>
    </xf>
    <xf numFmtId="9" fontId="12" fillId="11" borderId="14" xfId="2" applyFont="1" applyFill="1" applyBorder="1" applyAlignment="1">
      <alignment horizontal="center" vertical="center" wrapText="1" readingOrder="1"/>
    </xf>
    <xf numFmtId="9" fontId="5" fillId="0" borderId="2" xfId="2" applyFont="1" applyBorder="1" applyAlignment="1">
      <alignment horizontal="center" vertical="center" readingOrder="1"/>
    </xf>
    <xf numFmtId="9" fontId="5" fillId="0" borderId="10" xfId="2" applyFont="1" applyBorder="1" applyAlignment="1">
      <alignment horizontal="center" vertical="center" readingOrder="1"/>
    </xf>
    <xf numFmtId="9" fontId="5" fillId="0" borderId="1" xfId="2" applyFont="1" applyBorder="1" applyAlignment="1">
      <alignment horizontal="center" vertical="center" readingOrder="1"/>
    </xf>
    <xf numFmtId="164" fontId="5" fillId="0" borderId="1" xfId="1" applyNumberFormat="1" applyFont="1" applyBorder="1" applyAlignment="1">
      <alignment horizontal="center" vertical="center" readingOrder="1"/>
    </xf>
    <xf numFmtId="9" fontId="5" fillId="0" borderId="6" xfId="2" applyFont="1" applyBorder="1" applyAlignment="1">
      <alignment horizontal="center" vertical="center" readingOrder="1"/>
    </xf>
    <xf numFmtId="164" fontId="5" fillId="0" borderId="0" xfId="1" applyNumberFormat="1" applyFont="1" applyAlignment="1">
      <alignment horizontal="center" vertical="center"/>
    </xf>
    <xf numFmtId="164" fontId="5" fillId="0" borderId="9" xfId="1" applyNumberFormat="1" applyFont="1" applyBorder="1" applyAlignment="1">
      <alignment horizontal="center" vertical="center" readingOrder="1"/>
    </xf>
    <xf numFmtId="164" fontId="5" fillId="0" borderId="5" xfId="1" applyNumberFormat="1" applyFont="1" applyBorder="1" applyAlignment="1">
      <alignment horizontal="center" vertical="center" readingOrder="1"/>
    </xf>
    <xf numFmtId="0" fontId="13" fillId="0" borderId="0" xfId="0" applyFont="1" applyAlignment="1">
      <alignment readingOrder="1"/>
    </xf>
    <xf numFmtId="0" fontId="5" fillId="0" borderId="0" xfId="0" applyFont="1" applyAlignment="1">
      <alignment readingOrder="1"/>
    </xf>
    <xf numFmtId="0" fontId="15" fillId="0" borderId="3" xfId="0" applyFont="1" applyBorder="1" applyAlignment="1">
      <alignment horizontal="center" vertical="center" wrapText="1" readingOrder="1"/>
    </xf>
    <xf numFmtId="0" fontId="8" fillId="0" borderId="3" xfId="0" applyFont="1" applyBorder="1" applyAlignment="1">
      <alignment horizontal="center" vertical="center" wrapText="1" readingOrder="1"/>
    </xf>
    <xf numFmtId="0" fontId="18" fillId="0" borderId="0" xfId="0" applyFont="1" applyAlignment="1">
      <alignment readingOrder="1"/>
    </xf>
    <xf numFmtId="0" fontId="5" fillId="12" borderId="0" xfId="0" applyFont="1" applyFill="1" applyAlignment="1">
      <alignment readingOrder="1"/>
    </xf>
    <xf numFmtId="0" fontId="8" fillId="0" borderId="0" xfId="0" applyFont="1" applyAlignment="1">
      <alignment horizontal="center" vertical="center" readingOrder="1"/>
    </xf>
    <xf numFmtId="164" fontId="10" fillId="0" borderId="24" xfId="1" applyNumberFormat="1" applyFont="1" applyBorder="1" applyAlignment="1">
      <alignment horizontal="center" vertical="center"/>
    </xf>
    <xf numFmtId="164" fontId="10" fillId="0" borderId="25" xfId="1" applyNumberFormat="1" applyFont="1" applyBorder="1" applyAlignment="1">
      <alignment horizontal="center" vertical="center"/>
    </xf>
    <xf numFmtId="0" fontId="8" fillId="15" borderId="14" xfId="0" applyFont="1" applyFill="1" applyBorder="1" applyAlignment="1">
      <alignment horizontal="center" vertical="center" wrapText="1" readingOrder="2"/>
    </xf>
    <xf numFmtId="164" fontId="5" fillId="10" borderId="1" xfId="1" applyNumberFormat="1" applyFont="1" applyFill="1" applyBorder="1" applyAlignment="1">
      <alignment horizontal="center" vertical="center"/>
    </xf>
    <xf numFmtId="164" fontId="5" fillId="10" borderId="2" xfId="1" applyNumberFormat="1" applyFont="1" applyFill="1" applyBorder="1" applyAlignment="1">
      <alignment horizontal="center" vertical="center"/>
    </xf>
    <xf numFmtId="164" fontId="8" fillId="5" borderId="1" xfId="1" applyNumberFormat="1" applyFont="1" applyFill="1" applyBorder="1" applyAlignment="1">
      <alignment horizontal="center" vertical="center"/>
    </xf>
    <xf numFmtId="9" fontId="0" fillId="0" borderId="1" xfId="2" applyFont="1" applyBorder="1" applyAlignment="1">
      <alignment horizontal="center" vertical="center"/>
    </xf>
    <xf numFmtId="164" fontId="0" fillId="10" borderId="1" xfId="1" applyNumberFormat="1" applyFont="1" applyFill="1" applyBorder="1" applyAlignment="1">
      <alignment horizontal="center" vertical="center"/>
    </xf>
    <xf numFmtId="164" fontId="7" fillId="15" borderId="12" xfId="1" applyNumberFormat="1" applyFont="1" applyFill="1" applyBorder="1" applyAlignment="1">
      <alignment horizontal="center" vertical="center" wrapText="1" readingOrder="2"/>
    </xf>
    <xf numFmtId="0" fontId="19" fillId="0" borderId="0" xfId="0" applyFont="1" applyAlignment="1">
      <alignment readingOrder="1"/>
    </xf>
    <xf numFmtId="164" fontId="18" fillId="0" borderId="5" xfId="1" applyNumberFormat="1" applyFont="1" applyBorder="1"/>
    <xf numFmtId="164" fontId="18" fillId="0" borderId="0" xfId="1" applyNumberFormat="1" applyFont="1"/>
    <xf numFmtId="9" fontId="19" fillId="22" borderId="4" xfId="2" applyFont="1" applyFill="1" applyBorder="1" applyAlignment="1">
      <alignment horizontal="center" vertical="center"/>
    </xf>
    <xf numFmtId="164" fontId="6" fillId="11" borderId="15" xfId="1" applyNumberFormat="1" applyFont="1" applyFill="1" applyBorder="1" applyAlignment="1">
      <alignment horizontal="center" vertical="center" wrapText="1" readingOrder="2"/>
    </xf>
    <xf numFmtId="164" fontId="8" fillId="18" borderId="9" xfId="1" applyNumberFormat="1" applyFont="1" applyFill="1" applyBorder="1" applyAlignment="1">
      <alignment horizontal="center" vertical="center" wrapText="1" readingOrder="2"/>
    </xf>
    <xf numFmtId="164" fontId="8" fillId="9" borderId="11" xfId="1" applyNumberFormat="1" applyFont="1" applyFill="1" applyBorder="1" applyAlignment="1">
      <alignment horizontal="center" vertical="center" wrapText="1" readingOrder="2"/>
    </xf>
    <xf numFmtId="164" fontId="12" fillId="11" borderId="12" xfId="1" applyNumberFormat="1" applyFont="1" applyFill="1" applyBorder="1" applyAlignment="1">
      <alignment horizontal="center" vertical="center" wrapText="1" readingOrder="1"/>
    </xf>
    <xf numFmtId="9" fontId="5" fillId="0" borderId="8" xfId="2" applyFont="1" applyBorder="1" applyAlignment="1">
      <alignment horizontal="center" vertical="center" readingOrder="1"/>
    </xf>
    <xf numFmtId="164" fontId="8" fillId="9" borderId="3" xfId="1" applyNumberFormat="1" applyFont="1" applyFill="1" applyBorder="1" applyAlignment="1">
      <alignment horizontal="center" vertical="center" wrapText="1" readingOrder="2"/>
    </xf>
    <xf numFmtId="164" fontId="0" fillId="0" borderId="0" xfId="1" applyNumberFormat="1" applyFont="1" applyBorder="1" applyAlignment="1">
      <alignment horizontal="center" vertical="center"/>
    </xf>
    <xf numFmtId="164" fontId="8" fillId="9" borderId="36" xfId="1" applyNumberFormat="1" applyFont="1" applyFill="1" applyBorder="1" applyAlignment="1">
      <alignment horizontal="center" vertical="center" wrapText="1" readingOrder="2"/>
    </xf>
    <xf numFmtId="9" fontId="5" fillId="0" borderId="5" xfId="2" applyFont="1" applyBorder="1" applyAlignment="1">
      <alignment horizontal="center" vertical="center" readingOrder="1"/>
    </xf>
    <xf numFmtId="9" fontId="5" fillId="0" borderId="7" xfId="2" applyFont="1" applyBorder="1" applyAlignment="1">
      <alignment horizontal="center" vertical="center" readingOrder="1"/>
    </xf>
    <xf numFmtId="164" fontId="8" fillId="18" borderId="32" xfId="1" applyNumberFormat="1" applyFont="1" applyFill="1" applyBorder="1" applyAlignment="1">
      <alignment horizontal="center" vertical="center" wrapText="1" readingOrder="2"/>
    </xf>
    <xf numFmtId="164" fontId="8" fillId="9" borderId="9" xfId="1" applyNumberFormat="1" applyFont="1" applyFill="1" applyBorder="1" applyAlignment="1">
      <alignment horizontal="center" vertical="center" wrapText="1" readingOrder="2"/>
    </xf>
    <xf numFmtId="9" fontId="12" fillId="11" borderId="12" xfId="2" applyFont="1" applyFill="1" applyBorder="1" applyAlignment="1">
      <alignment horizontal="center" vertical="center" wrapText="1" readingOrder="1"/>
    </xf>
    <xf numFmtId="10" fontId="6" fillId="11" borderId="26" xfId="1" applyNumberFormat="1" applyFont="1" applyFill="1" applyBorder="1" applyAlignment="1">
      <alignment horizontal="center" vertical="center" wrapText="1" readingOrder="1"/>
    </xf>
    <xf numFmtId="10" fontId="12" fillId="11" borderId="27" xfId="1" applyNumberFormat="1" applyFont="1" applyFill="1" applyBorder="1" applyAlignment="1">
      <alignment horizontal="center" vertical="center" wrapText="1" readingOrder="1"/>
    </xf>
    <xf numFmtId="10" fontId="12" fillId="11" borderId="28" xfId="1" applyNumberFormat="1" applyFont="1" applyFill="1" applyBorder="1" applyAlignment="1">
      <alignment horizontal="center" vertical="center" wrapText="1" readingOrder="1"/>
    </xf>
    <xf numFmtId="164" fontId="8" fillId="16" borderId="33" xfId="1" applyNumberFormat="1" applyFont="1" applyFill="1" applyBorder="1" applyAlignment="1">
      <alignment horizontal="center" vertical="center"/>
    </xf>
    <xf numFmtId="164" fontId="8" fillId="16" borderId="34" xfId="1" applyNumberFormat="1" applyFont="1" applyFill="1" applyBorder="1" applyAlignment="1">
      <alignment horizontal="center" vertical="center"/>
    </xf>
    <xf numFmtId="164" fontId="8" fillId="16" borderId="35" xfId="1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164" fontId="7" fillId="15" borderId="12" xfId="1" applyNumberFormat="1" applyFont="1" applyFill="1" applyBorder="1" applyAlignment="1">
      <alignment horizontal="center" vertical="center" wrapText="1" readingOrder="1"/>
    </xf>
    <xf numFmtId="43" fontId="0" fillId="0" borderId="0" xfId="0" applyNumberFormat="1" applyAlignment="1">
      <alignment horizontal="center" vertical="center"/>
    </xf>
    <xf numFmtId="9" fontId="7" fillId="8" borderId="2" xfId="2" applyFont="1" applyFill="1" applyBorder="1" applyAlignment="1">
      <alignment vertical="center" wrapText="1"/>
    </xf>
    <xf numFmtId="9" fontId="7" fillId="14" borderId="2" xfId="2" applyFont="1" applyFill="1" applyBorder="1" applyAlignment="1">
      <alignment vertical="center" wrapText="1"/>
    </xf>
    <xf numFmtId="9" fontId="7" fillId="5" borderId="2" xfId="2" applyFont="1" applyFill="1" applyBorder="1" applyAlignment="1">
      <alignment vertical="center"/>
    </xf>
    <xf numFmtId="9" fontId="6" fillId="7" borderId="2" xfId="2" applyFont="1" applyFill="1" applyBorder="1" applyAlignment="1">
      <alignment vertical="center"/>
    </xf>
    <xf numFmtId="0" fontId="9" fillId="0" borderId="0" xfId="0" applyFont="1" applyAlignment="1">
      <alignment horizontal="center" vertical="center"/>
    </xf>
    <xf numFmtId="164" fontId="6" fillId="5" borderId="1" xfId="1" applyNumberFormat="1" applyFont="1" applyFill="1" applyBorder="1" applyAlignment="1">
      <alignment horizontal="center" vertical="center" wrapText="1" readingOrder="1"/>
    </xf>
    <xf numFmtId="164" fontId="5" fillId="6" borderId="1" xfId="1" applyNumberFormat="1" applyFont="1" applyFill="1" applyBorder="1" applyAlignment="1">
      <alignment horizontal="center" vertical="center" readingOrder="1"/>
    </xf>
    <xf numFmtId="43" fontId="0" fillId="0" borderId="0" xfId="0" applyNumberFormat="1"/>
    <xf numFmtId="0" fontId="22" fillId="0" borderId="0" xfId="0" applyFont="1"/>
    <xf numFmtId="0" fontId="8" fillId="15" borderId="19" xfId="0" applyFont="1" applyFill="1" applyBorder="1" applyAlignment="1">
      <alignment horizontal="center" vertical="center" wrapText="1" readingOrder="2"/>
    </xf>
    <xf numFmtId="0" fontId="6" fillId="7" borderId="1" xfId="0" applyFont="1" applyFill="1" applyBorder="1" applyAlignment="1">
      <alignment horizontal="center" vertical="center"/>
    </xf>
    <xf numFmtId="9" fontId="5" fillId="0" borderId="2" xfId="2" applyFont="1" applyBorder="1" applyAlignment="1">
      <alignment horizontal="center" vertical="center"/>
    </xf>
    <xf numFmtId="0" fontId="8" fillId="15" borderId="28" xfId="0" applyFont="1" applyFill="1" applyBorder="1" applyAlignment="1">
      <alignment horizontal="center" vertical="center" wrapText="1" readingOrder="2"/>
    </xf>
    <xf numFmtId="9" fontId="5" fillId="0" borderId="10" xfId="2" applyFont="1" applyBorder="1" applyAlignment="1">
      <alignment horizontal="center" vertical="center"/>
    </xf>
    <xf numFmtId="0" fontId="6" fillId="15" borderId="40" xfId="0" applyFont="1" applyFill="1" applyBorder="1" applyAlignment="1">
      <alignment horizontal="center" vertical="center" wrapText="1" readingOrder="2"/>
    </xf>
    <xf numFmtId="0" fontId="8" fillId="15" borderId="41" xfId="0" applyFont="1" applyFill="1" applyBorder="1" applyAlignment="1">
      <alignment horizontal="center" vertical="center" wrapText="1" readingOrder="2"/>
    </xf>
    <xf numFmtId="9" fontId="0" fillId="0" borderId="0" xfId="2" applyFont="1" applyFill="1" applyAlignment="1">
      <alignment horizontal="center" vertical="center"/>
    </xf>
    <xf numFmtId="0" fontId="5" fillId="0" borderId="2" xfId="0" applyFont="1" applyBorder="1" applyAlignment="1">
      <alignment horizontal="center" vertical="center" wrapText="1" readingOrder="2"/>
    </xf>
    <xf numFmtId="164" fontId="6" fillId="15" borderId="26" xfId="1" applyNumberFormat="1" applyFont="1" applyFill="1" applyBorder="1" applyAlignment="1">
      <alignment horizontal="center" vertical="center"/>
    </xf>
    <xf numFmtId="164" fontId="5" fillId="0" borderId="0" xfId="1" applyNumberFormat="1" applyFont="1" applyBorder="1" applyAlignment="1">
      <alignment horizontal="center" vertical="center"/>
    </xf>
    <xf numFmtId="164" fontId="6" fillId="0" borderId="0" xfId="1" applyNumberFormat="1" applyFont="1" applyFill="1" applyBorder="1" applyAlignment="1">
      <alignment vertical="center"/>
    </xf>
    <xf numFmtId="164" fontId="8" fillId="16" borderId="42" xfId="1" applyNumberFormat="1" applyFont="1" applyFill="1" applyBorder="1" applyAlignment="1">
      <alignment horizontal="center" vertical="center"/>
    </xf>
    <xf numFmtId="164" fontId="8" fillId="16" borderId="43" xfId="1" applyNumberFormat="1" applyFont="1" applyFill="1" applyBorder="1" applyAlignment="1">
      <alignment horizontal="center" vertical="center"/>
    </xf>
    <xf numFmtId="9" fontId="12" fillId="11" borderId="27" xfId="2" applyFont="1" applyFill="1" applyBorder="1" applyAlignment="1">
      <alignment horizontal="center" vertical="center" wrapText="1" readingOrder="1"/>
    </xf>
    <xf numFmtId="9" fontId="12" fillId="11" borderId="45" xfId="2" applyFont="1" applyFill="1" applyBorder="1" applyAlignment="1">
      <alignment horizontal="center" vertical="center" wrapText="1" readingOrder="1"/>
    </xf>
    <xf numFmtId="164" fontId="5" fillId="0" borderId="0" xfId="1" applyNumberFormat="1" applyFont="1" applyFill="1" applyAlignment="1">
      <alignment horizontal="center" vertical="center"/>
    </xf>
    <xf numFmtId="164" fontId="5" fillId="6" borderId="2" xfId="1" applyNumberFormat="1" applyFont="1" applyFill="1" applyBorder="1" applyAlignment="1">
      <alignment horizontal="center" vertical="center" readingOrder="1"/>
    </xf>
    <xf numFmtId="0" fontId="5" fillId="0" borderId="1" xfId="0" applyFont="1" applyBorder="1" applyAlignment="1">
      <alignment horizontal="center" vertical="center" wrapText="1" readingOrder="2"/>
    </xf>
    <xf numFmtId="0" fontId="22" fillId="0" borderId="1" xfId="0" applyFont="1" applyBorder="1"/>
    <xf numFmtId="164" fontId="5" fillId="6" borderId="10" xfId="1" applyNumberFormat="1" applyFont="1" applyFill="1" applyBorder="1" applyAlignment="1">
      <alignment horizontal="center" vertical="center" readingOrder="1"/>
    </xf>
    <xf numFmtId="164" fontId="5" fillId="15" borderId="3" xfId="1" applyNumberFormat="1" applyFont="1" applyFill="1" applyBorder="1" applyAlignment="1">
      <alignment horizontal="center"/>
    </xf>
    <xf numFmtId="0" fontId="8" fillId="15" borderId="3" xfId="0" applyFont="1" applyFill="1" applyBorder="1" applyAlignment="1">
      <alignment horizontal="center" vertical="center" wrapText="1" readingOrder="2"/>
    </xf>
    <xf numFmtId="0" fontId="6" fillId="15" borderId="3" xfId="0" applyFont="1" applyFill="1" applyBorder="1" applyAlignment="1">
      <alignment horizontal="center" vertical="center" wrapText="1" readingOrder="2"/>
    </xf>
    <xf numFmtId="164" fontId="6" fillId="15" borderId="3" xfId="1" applyNumberFormat="1" applyFont="1" applyFill="1" applyBorder="1" applyAlignment="1">
      <alignment horizontal="center" vertical="center"/>
    </xf>
    <xf numFmtId="164" fontId="6" fillId="15" borderId="3" xfId="1" applyNumberFormat="1" applyFont="1" applyFill="1" applyBorder="1" applyAlignment="1">
      <alignment horizontal="center" vertical="center" wrapText="1" readingOrder="2"/>
    </xf>
    <xf numFmtId="0" fontId="15" fillId="0" borderId="4" xfId="0" applyFont="1" applyBorder="1" applyAlignment="1">
      <alignment horizontal="center" vertical="center" wrapText="1" readingOrder="1"/>
    </xf>
    <xf numFmtId="9" fontId="5" fillId="15" borderId="3" xfId="2" applyFont="1" applyFill="1" applyBorder="1" applyAlignment="1">
      <alignment horizontal="center" vertical="center"/>
    </xf>
    <xf numFmtId="9" fontId="0" fillId="15" borderId="1" xfId="2" applyFont="1" applyFill="1" applyBorder="1" applyAlignment="1">
      <alignment horizontal="center" vertical="center"/>
    </xf>
    <xf numFmtId="164" fontId="8" fillId="15" borderId="28" xfId="0" applyNumberFormat="1" applyFont="1" applyFill="1" applyBorder="1" applyAlignment="1">
      <alignment horizontal="center" vertical="center" wrapText="1" readingOrder="2"/>
    </xf>
    <xf numFmtId="164" fontId="8" fillId="15" borderId="14" xfId="0" applyNumberFormat="1" applyFont="1" applyFill="1" applyBorder="1" applyAlignment="1">
      <alignment horizontal="center" vertical="center" wrapText="1" readingOrder="2"/>
    </xf>
    <xf numFmtId="164" fontId="8" fillId="15" borderId="41" xfId="0" applyNumberFormat="1" applyFont="1" applyFill="1" applyBorder="1" applyAlignment="1">
      <alignment horizontal="center" vertical="center" wrapText="1" readingOrder="2"/>
    </xf>
    <xf numFmtId="164" fontId="6" fillId="15" borderId="3" xfId="1" applyNumberFormat="1" applyFont="1" applyFill="1" applyBorder="1" applyAlignment="1">
      <alignment horizontal="center" vertical="center" wrapText="1" readingOrder="1"/>
    </xf>
    <xf numFmtId="164" fontId="0" fillId="15" borderId="3" xfId="0" applyNumberFormat="1" applyFill="1" applyBorder="1"/>
    <xf numFmtId="3" fontId="0" fillId="0" borderId="0" xfId="0" applyNumberFormat="1"/>
    <xf numFmtId="9" fontId="19" fillId="22" borderId="38" xfId="2" applyFont="1" applyFill="1" applyBorder="1" applyAlignment="1">
      <alignment horizontal="center" vertical="center"/>
    </xf>
    <xf numFmtId="9" fontId="19" fillId="22" borderId="21" xfId="2" applyFont="1" applyFill="1" applyBorder="1" applyAlignment="1">
      <alignment horizontal="center" vertical="center"/>
    </xf>
    <xf numFmtId="9" fontId="12" fillId="11" borderId="28" xfId="2" applyFont="1" applyFill="1" applyBorder="1" applyAlignment="1">
      <alignment horizontal="center" vertical="center" wrapText="1" readingOrder="1"/>
    </xf>
    <xf numFmtId="0" fontId="0" fillId="12" borderId="0" xfId="0" applyFill="1"/>
    <xf numFmtId="43" fontId="0" fillId="0" borderId="0" xfId="1" applyFont="1"/>
    <xf numFmtId="164" fontId="6" fillId="11" borderId="44" xfId="1" applyNumberFormat="1" applyFont="1" applyFill="1" applyBorder="1" applyAlignment="1">
      <alignment horizontal="center" vertical="center" wrapText="1" readingOrder="2"/>
    </xf>
    <xf numFmtId="164" fontId="12" fillId="11" borderId="26" xfId="1" applyNumberFormat="1" applyFont="1" applyFill="1" applyBorder="1" applyAlignment="1">
      <alignment horizontal="center" vertical="center" wrapText="1" readingOrder="1"/>
    </xf>
    <xf numFmtId="164" fontId="12" fillId="11" borderId="27" xfId="1" applyNumberFormat="1" applyFont="1" applyFill="1" applyBorder="1" applyAlignment="1">
      <alignment horizontal="center" vertical="center" wrapText="1" readingOrder="1"/>
    </xf>
    <xf numFmtId="164" fontId="12" fillId="11" borderId="45" xfId="1" applyNumberFormat="1" applyFont="1" applyFill="1" applyBorder="1" applyAlignment="1">
      <alignment horizontal="center" vertical="center" wrapText="1" readingOrder="1"/>
    </xf>
    <xf numFmtId="9" fontId="12" fillId="11" borderId="46" xfId="2" applyFont="1" applyFill="1" applyBorder="1" applyAlignment="1">
      <alignment horizontal="center" vertical="center" wrapText="1" readingOrder="1"/>
    </xf>
    <xf numFmtId="164" fontId="10" fillId="0" borderId="1" xfId="1" applyNumberFormat="1" applyFont="1" applyBorder="1" applyAlignment="1">
      <alignment horizontal="center" vertical="center"/>
    </xf>
    <xf numFmtId="9" fontId="0" fillId="0" borderId="2" xfId="2" applyFont="1" applyBorder="1" applyAlignment="1">
      <alignment horizontal="center" vertical="center"/>
    </xf>
    <xf numFmtId="9" fontId="0" fillId="0" borderId="10" xfId="2" applyFont="1" applyBorder="1" applyAlignment="1">
      <alignment horizontal="center" vertical="center"/>
    </xf>
    <xf numFmtId="0" fontId="8" fillId="15" borderId="31" xfId="0" applyFont="1" applyFill="1" applyBorder="1" applyAlignment="1">
      <alignment horizontal="center" vertical="center" wrapText="1" readingOrder="2"/>
    </xf>
    <xf numFmtId="9" fontId="0" fillId="0" borderId="13" xfId="2" applyFont="1" applyBorder="1" applyAlignment="1">
      <alignment horizontal="center" vertical="center"/>
    </xf>
    <xf numFmtId="164" fontId="8" fillId="15" borderId="31" xfId="0" applyNumberFormat="1" applyFont="1" applyFill="1" applyBorder="1" applyAlignment="1">
      <alignment horizontal="center" vertical="center" wrapText="1" readingOrder="2"/>
    </xf>
    <xf numFmtId="164" fontId="6" fillId="15" borderId="12" xfId="1" applyNumberFormat="1" applyFont="1" applyFill="1" applyBorder="1" applyAlignment="1">
      <alignment horizontal="center" vertical="center"/>
    </xf>
    <xf numFmtId="9" fontId="0" fillId="15" borderId="13" xfId="2" applyFont="1" applyFill="1" applyBorder="1" applyAlignment="1">
      <alignment horizontal="center" vertical="center"/>
    </xf>
    <xf numFmtId="164" fontId="0" fillId="12" borderId="0" xfId="1" applyNumberFormat="1" applyFont="1" applyFill="1" applyBorder="1"/>
    <xf numFmtId="164" fontId="0" fillId="12" borderId="0" xfId="0" applyNumberFormat="1" applyFill="1"/>
    <xf numFmtId="164" fontId="5" fillId="0" borderId="47" xfId="1" applyNumberFormat="1" applyFont="1" applyBorder="1" applyAlignment="1">
      <alignment horizontal="center" vertical="center" readingOrder="1"/>
    </xf>
    <xf numFmtId="164" fontId="5" fillId="0" borderId="40" xfId="1" applyNumberFormat="1" applyFont="1" applyBorder="1" applyAlignment="1">
      <alignment horizontal="center" vertical="center" readingOrder="1"/>
    </xf>
    <xf numFmtId="9" fontId="12" fillId="11" borderId="26" xfId="2" applyFont="1" applyFill="1" applyBorder="1" applyAlignment="1">
      <alignment horizontal="center" vertical="center" wrapText="1" readingOrder="1"/>
    </xf>
    <xf numFmtId="164" fontId="21" fillId="3" borderId="46" xfId="1" applyNumberFormat="1" applyFont="1" applyFill="1" applyBorder="1" applyAlignment="1">
      <alignment horizontal="center" vertical="center" wrapText="1" readingOrder="2"/>
    </xf>
    <xf numFmtId="164" fontId="10" fillId="0" borderId="29" xfId="1" applyNumberFormat="1" applyFont="1" applyBorder="1" applyAlignment="1">
      <alignment horizontal="center" vertical="center"/>
    </xf>
    <xf numFmtId="164" fontId="8" fillId="18" borderId="48" xfId="1" applyNumberFormat="1" applyFont="1" applyFill="1" applyBorder="1" applyAlignment="1">
      <alignment horizontal="center" vertical="center" wrapText="1" readingOrder="2"/>
    </xf>
    <xf numFmtId="164" fontId="5" fillId="0" borderId="6" xfId="1" applyNumberFormat="1" applyFont="1" applyBorder="1" applyAlignment="1">
      <alignment horizontal="center" vertical="center" readingOrder="1"/>
    </xf>
    <xf numFmtId="164" fontId="5" fillId="0" borderId="41" xfId="1" applyNumberFormat="1" applyFont="1" applyBorder="1" applyAlignment="1">
      <alignment horizontal="center" vertical="center" readingOrder="1"/>
    </xf>
    <xf numFmtId="10" fontId="6" fillId="11" borderId="46" xfId="1" applyNumberFormat="1" applyFont="1" applyFill="1" applyBorder="1" applyAlignment="1">
      <alignment horizontal="center" vertical="center" wrapText="1" readingOrder="1"/>
    </xf>
    <xf numFmtId="164" fontId="10" fillId="0" borderId="37" xfId="1" applyNumberFormat="1" applyFont="1" applyBorder="1" applyAlignment="1">
      <alignment horizontal="center" vertical="center"/>
    </xf>
    <xf numFmtId="10" fontId="6" fillId="11" borderId="3" xfId="1" applyNumberFormat="1" applyFont="1" applyFill="1" applyBorder="1" applyAlignment="1">
      <alignment horizontal="center" vertical="center" wrapText="1" readingOrder="1"/>
    </xf>
    <xf numFmtId="10" fontId="6" fillId="11" borderId="12" xfId="1" applyNumberFormat="1" applyFont="1" applyFill="1" applyBorder="1" applyAlignment="1">
      <alignment horizontal="center" vertical="center" wrapText="1" readingOrder="1"/>
    </xf>
    <xf numFmtId="0" fontId="8" fillId="15" borderId="1" xfId="0" applyFont="1" applyFill="1" applyBorder="1" applyAlignment="1">
      <alignment horizontal="center" vertical="center" wrapText="1" readingOrder="2"/>
    </xf>
    <xf numFmtId="0" fontId="8" fillId="0" borderId="39" xfId="0" applyFont="1" applyBorder="1" applyAlignment="1">
      <alignment horizontal="center" vertical="center" wrapText="1" readingOrder="2"/>
    </xf>
    <xf numFmtId="164" fontId="6" fillId="11" borderId="46" xfId="1" applyNumberFormat="1" applyFont="1" applyFill="1" applyBorder="1" applyAlignment="1">
      <alignment horizontal="center" vertical="center" wrapText="1" readingOrder="2"/>
    </xf>
    <xf numFmtId="164" fontId="21" fillId="3" borderId="12" xfId="1" applyNumberFormat="1" applyFont="1" applyFill="1" applyBorder="1" applyAlignment="1">
      <alignment horizontal="center" vertical="center" wrapText="1" readingOrder="2"/>
    </xf>
    <xf numFmtId="9" fontId="19" fillId="20" borderId="9" xfId="2" applyFont="1" applyFill="1" applyBorder="1" applyAlignment="1">
      <alignment horizontal="center" vertical="center"/>
    </xf>
    <xf numFmtId="9" fontId="19" fillId="20" borderId="10" xfId="2" applyFont="1" applyFill="1" applyBorder="1" applyAlignment="1">
      <alignment horizontal="center" vertical="center"/>
    </xf>
    <xf numFmtId="9" fontId="19" fillId="20" borderId="11" xfId="2" applyFont="1" applyFill="1" applyBorder="1" applyAlignment="1">
      <alignment horizontal="center" vertical="center"/>
    </xf>
    <xf numFmtId="164" fontId="8" fillId="15" borderId="28" xfId="1" applyNumberFormat="1" applyFont="1" applyFill="1" applyBorder="1" applyAlignment="1">
      <alignment horizontal="center" vertical="center" wrapText="1" readingOrder="2"/>
    </xf>
    <xf numFmtId="164" fontId="6" fillId="15" borderId="3" xfId="1" applyNumberFormat="1" applyFont="1" applyFill="1" applyBorder="1" applyAlignment="1">
      <alignment horizontal="center"/>
    </xf>
    <xf numFmtId="164" fontId="25" fillId="15" borderId="3" xfId="0" applyNumberFormat="1" applyFont="1" applyFill="1" applyBorder="1"/>
    <xf numFmtId="164" fontId="12" fillId="15" borderId="3" xfId="1" applyNumberFormat="1" applyFont="1" applyFill="1" applyBorder="1" applyAlignment="1">
      <alignment horizontal="center"/>
    </xf>
    <xf numFmtId="0" fontId="6" fillId="15" borderId="46" xfId="0" applyFont="1" applyFill="1" applyBorder="1" applyAlignment="1">
      <alignment horizontal="center" vertical="center" wrapText="1" readingOrder="2"/>
    </xf>
    <xf numFmtId="0" fontId="8" fillId="15" borderId="46" xfId="0" applyFont="1" applyFill="1" applyBorder="1" applyAlignment="1">
      <alignment horizontal="center" vertical="center" wrapText="1" readingOrder="2"/>
    </xf>
    <xf numFmtId="164" fontId="6" fillId="15" borderId="46" xfId="1" applyNumberFormat="1" applyFont="1" applyFill="1" applyBorder="1" applyAlignment="1">
      <alignment horizontal="center" vertical="center" wrapText="1" readingOrder="1"/>
    </xf>
    <xf numFmtId="164" fontId="8" fillId="16" borderId="49" xfId="1" applyNumberFormat="1" applyFont="1" applyFill="1" applyBorder="1" applyAlignment="1">
      <alignment horizontal="center" vertical="center"/>
    </xf>
    <xf numFmtId="4" fontId="0" fillId="12" borderId="0" xfId="0" applyNumberFormat="1" applyFill="1"/>
    <xf numFmtId="0" fontId="5" fillId="0" borderId="1" xfId="2" applyNumberFormat="1" applyFont="1" applyBorder="1" applyAlignment="1">
      <alignment horizontal="center" vertical="center" readingOrder="1"/>
    </xf>
    <xf numFmtId="0" fontId="15" fillId="6" borderId="4" xfId="0" applyFont="1" applyFill="1" applyBorder="1" applyAlignment="1">
      <alignment horizontal="center" vertical="center" wrapText="1" readingOrder="1"/>
    </xf>
    <xf numFmtId="9" fontId="27" fillId="11" borderId="4" xfId="2" applyFont="1" applyFill="1" applyBorder="1" applyAlignment="1">
      <alignment horizontal="center" vertical="center"/>
    </xf>
    <xf numFmtId="9" fontId="27" fillId="11" borderId="4" xfId="2" applyFont="1" applyFill="1" applyBorder="1" applyAlignment="1">
      <alignment horizontal="center" vertical="center" wrapText="1"/>
    </xf>
    <xf numFmtId="0" fontId="0" fillId="0" borderId="1" xfId="0" applyBorder="1"/>
    <xf numFmtId="164" fontId="28" fillId="0" borderId="1" xfId="1" applyNumberFormat="1" applyFont="1" applyBorder="1" applyAlignment="1">
      <alignment horizontal="center" vertical="center" wrapText="1" readingOrder="1"/>
    </xf>
    <xf numFmtId="164" fontId="5" fillId="0" borderId="1" xfId="1" applyNumberFormat="1" applyFont="1" applyBorder="1" applyAlignment="1">
      <alignment horizontal="center" vertical="center" wrapText="1" readingOrder="1"/>
    </xf>
    <xf numFmtId="0" fontId="15" fillId="23" borderId="4" xfId="0" applyFont="1" applyFill="1" applyBorder="1" applyAlignment="1">
      <alignment horizontal="center" vertical="center" wrapText="1" readingOrder="1"/>
    </xf>
    <xf numFmtId="9" fontId="27" fillId="16" borderId="3" xfId="2" applyFont="1" applyFill="1" applyBorder="1" applyAlignment="1">
      <alignment horizontal="center" vertical="center"/>
    </xf>
    <xf numFmtId="9" fontId="27" fillId="16" borderId="3" xfId="2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 readingOrder="2"/>
    </xf>
    <xf numFmtId="164" fontId="0" fillId="0" borderId="0" xfId="1" applyNumberFormat="1" applyFont="1" applyAlignment="1">
      <alignment horizontal="center"/>
    </xf>
    <xf numFmtId="0" fontId="29" fillId="0" borderId="5" xfId="0" applyFont="1" applyBorder="1" applyAlignment="1">
      <alignment horizontal="center" vertical="center" wrapText="1" readingOrder="2"/>
    </xf>
    <xf numFmtId="164" fontId="5" fillId="0" borderId="1" xfId="1" applyNumberFormat="1" applyFont="1" applyFill="1" applyBorder="1" applyAlignment="1">
      <alignment horizontal="center"/>
    </xf>
    <xf numFmtId="164" fontId="5" fillId="0" borderId="2" xfId="1" applyNumberFormat="1" applyFont="1" applyFill="1" applyBorder="1" applyAlignment="1">
      <alignment horizontal="center"/>
    </xf>
    <xf numFmtId="164" fontId="5" fillId="0" borderId="10" xfId="1" applyNumberFormat="1" applyFont="1" applyFill="1" applyBorder="1" applyAlignment="1">
      <alignment horizontal="center"/>
    </xf>
    <xf numFmtId="164" fontId="10" fillId="12" borderId="1" xfId="1" applyNumberFormat="1" applyFont="1" applyFill="1" applyBorder="1" applyAlignment="1">
      <alignment horizontal="center"/>
    </xf>
    <xf numFmtId="0" fontId="29" fillId="0" borderId="20" xfId="0" applyFont="1" applyBorder="1" applyAlignment="1">
      <alignment horizontal="center" vertical="center" wrapText="1" readingOrder="2"/>
    </xf>
    <xf numFmtId="164" fontId="0" fillId="0" borderId="1" xfId="0" applyNumberFormat="1" applyBorder="1"/>
    <xf numFmtId="3" fontId="30" fillId="24" borderId="50" xfId="0" applyNumberFormat="1" applyFont="1" applyFill="1" applyBorder="1" applyAlignment="1">
      <alignment horizontal="center"/>
    </xf>
    <xf numFmtId="3" fontId="0" fillId="0" borderId="0" xfId="0" applyNumberFormat="1" applyAlignment="1">
      <alignment horizontal="center" vertical="center"/>
    </xf>
    <xf numFmtId="164" fontId="10" fillId="0" borderId="1" xfId="1" applyNumberFormat="1" applyFont="1" applyFill="1" applyBorder="1" applyAlignment="1">
      <alignment horizontal="center"/>
    </xf>
    <xf numFmtId="164" fontId="0" fillId="0" borderId="0" xfId="1" applyNumberFormat="1" applyFont="1" applyFill="1"/>
    <xf numFmtId="3" fontId="0" fillId="0" borderId="1" xfId="0" applyNumberFormat="1" applyBorder="1"/>
    <xf numFmtId="164" fontId="6" fillId="17" borderId="18" xfId="1" applyNumberFormat="1" applyFont="1" applyFill="1" applyBorder="1" applyAlignment="1">
      <alignment horizontal="center" vertical="center" wrapText="1" readingOrder="2"/>
    </xf>
    <xf numFmtId="164" fontId="6" fillId="17" borderId="30" xfId="1" applyNumberFormat="1" applyFont="1" applyFill="1" applyBorder="1" applyAlignment="1">
      <alignment horizontal="center" vertical="center" wrapText="1" readingOrder="2"/>
    </xf>
    <xf numFmtId="164" fontId="6" fillId="4" borderId="15" xfId="1" applyNumberFormat="1" applyFont="1" applyFill="1" applyBorder="1" applyAlignment="1">
      <alignment horizontal="center" vertical="center" wrapText="1" readingOrder="2"/>
    </xf>
    <xf numFmtId="164" fontId="6" fillId="4" borderId="16" xfId="1" applyNumberFormat="1" applyFont="1" applyFill="1" applyBorder="1" applyAlignment="1">
      <alignment horizontal="center" vertical="center" wrapText="1" readingOrder="2"/>
    </xf>
    <xf numFmtId="164" fontId="6" fillId="4" borderId="17" xfId="1" applyNumberFormat="1" applyFont="1" applyFill="1" applyBorder="1" applyAlignment="1">
      <alignment horizontal="center" vertical="center" wrapText="1" readingOrder="2"/>
    </xf>
    <xf numFmtId="0" fontId="21" fillId="21" borderId="15" xfId="0" applyFont="1" applyFill="1" applyBorder="1" applyAlignment="1">
      <alignment horizontal="center" vertical="center"/>
    </xf>
    <xf numFmtId="0" fontId="21" fillId="21" borderId="16" xfId="0" applyFont="1" applyFill="1" applyBorder="1" applyAlignment="1">
      <alignment horizontal="center" vertical="center"/>
    </xf>
    <xf numFmtId="0" fontId="21" fillId="21" borderId="17" xfId="0" applyFont="1" applyFill="1" applyBorder="1" applyAlignment="1">
      <alignment horizontal="center" vertical="center"/>
    </xf>
    <xf numFmtId="164" fontId="6" fillId="7" borderId="15" xfId="1" applyNumberFormat="1" applyFont="1" applyFill="1" applyBorder="1" applyAlignment="1">
      <alignment horizontal="center" vertical="center"/>
    </xf>
    <xf numFmtId="164" fontId="6" fillId="7" borderId="16" xfId="1" applyNumberFormat="1" applyFont="1" applyFill="1" applyBorder="1" applyAlignment="1">
      <alignment horizontal="center" vertical="center"/>
    </xf>
    <xf numFmtId="164" fontId="6" fillId="7" borderId="17" xfId="1" applyNumberFormat="1" applyFont="1" applyFill="1" applyBorder="1" applyAlignment="1">
      <alignment horizontal="center" vertical="center"/>
    </xf>
    <xf numFmtId="164" fontId="6" fillId="13" borderId="15" xfId="1" applyNumberFormat="1" applyFont="1" applyFill="1" applyBorder="1" applyAlignment="1">
      <alignment horizontal="center" vertical="center" wrapText="1" readingOrder="2"/>
    </xf>
    <xf numFmtId="164" fontId="6" fillId="13" borderId="16" xfId="1" applyNumberFormat="1" applyFont="1" applyFill="1" applyBorder="1" applyAlignment="1">
      <alignment horizontal="center" vertical="center" wrapText="1" readingOrder="2"/>
    </xf>
    <xf numFmtId="164" fontId="6" fillId="13" borderId="17" xfId="1" applyNumberFormat="1" applyFont="1" applyFill="1" applyBorder="1" applyAlignment="1">
      <alignment horizontal="center" vertical="center" wrapText="1" readingOrder="2"/>
    </xf>
    <xf numFmtId="0" fontId="20" fillId="19" borderId="15" xfId="1" applyNumberFormat="1" applyFont="1" applyFill="1" applyBorder="1" applyAlignment="1">
      <alignment horizontal="center" vertical="center"/>
    </xf>
    <xf numFmtId="0" fontId="20" fillId="19" borderId="16" xfId="1" applyNumberFormat="1" applyFont="1" applyFill="1" applyBorder="1" applyAlignment="1">
      <alignment horizontal="center" vertical="center"/>
    </xf>
    <xf numFmtId="0" fontId="20" fillId="19" borderId="17" xfId="1" applyNumberFormat="1" applyFont="1" applyFill="1" applyBorder="1" applyAlignment="1">
      <alignment horizontal="center" vertical="center"/>
    </xf>
    <xf numFmtId="164" fontId="6" fillId="17" borderId="21" xfId="1" applyNumberFormat="1" applyFont="1" applyFill="1" applyBorder="1" applyAlignment="1">
      <alignment horizontal="center" vertical="center" wrapText="1" readingOrder="2"/>
    </xf>
    <xf numFmtId="164" fontId="6" fillId="17" borderId="22" xfId="1" applyNumberFormat="1" applyFont="1" applyFill="1" applyBorder="1" applyAlignment="1">
      <alignment horizontal="center" vertical="center" wrapText="1" readingOrder="2"/>
    </xf>
    <xf numFmtId="0" fontId="6" fillId="14" borderId="29" xfId="0" applyFont="1" applyFill="1" applyBorder="1" applyAlignment="1">
      <alignment horizontal="center" vertical="center" wrapText="1" readingOrder="2"/>
    </xf>
    <xf numFmtId="0" fontId="6" fillId="14" borderId="23" xfId="0" applyFont="1" applyFill="1" applyBorder="1" applyAlignment="1">
      <alignment horizontal="center" vertical="center" wrapText="1" readingOrder="2"/>
    </xf>
    <xf numFmtId="0" fontId="6" fillId="14" borderId="20" xfId="0" applyFont="1" applyFill="1" applyBorder="1" applyAlignment="1">
      <alignment horizontal="center" vertical="center" wrapText="1" readingOrder="2"/>
    </xf>
    <xf numFmtId="0" fontId="6" fillId="7" borderId="1" xfId="0" applyFont="1" applyFill="1" applyBorder="1" applyAlignment="1">
      <alignment horizontal="center" vertical="center"/>
    </xf>
    <xf numFmtId="0" fontId="6" fillId="5" borderId="36" xfId="0" applyFont="1" applyFill="1" applyBorder="1" applyAlignment="1">
      <alignment horizontal="center" vertical="center" wrapText="1" readingOrder="2"/>
    </xf>
    <xf numFmtId="0" fontId="6" fillId="5" borderId="32" xfId="0" applyFont="1" applyFill="1" applyBorder="1" applyAlignment="1">
      <alignment horizontal="center" vertical="center" wrapText="1" readingOrder="2"/>
    </xf>
    <xf numFmtId="0" fontId="6" fillId="14" borderId="1" xfId="0" applyFont="1" applyFill="1" applyBorder="1" applyAlignment="1">
      <alignment horizontal="center" vertical="center" wrapText="1" readingOrder="2"/>
    </xf>
    <xf numFmtId="0" fontId="6" fillId="7" borderId="29" xfId="0" applyFont="1" applyFill="1" applyBorder="1" applyAlignment="1">
      <alignment horizontal="center" vertical="center"/>
    </xf>
    <xf numFmtId="0" fontId="6" fillId="7" borderId="23" xfId="0" applyFont="1" applyFill="1" applyBorder="1" applyAlignment="1">
      <alignment horizontal="center" vertical="center"/>
    </xf>
    <xf numFmtId="0" fontId="6" fillId="7" borderId="20" xfId="0" applyFont="1" applyFill="1" applyBorder="1" applyAlignment="1">
      <alignment horizontal="center" vertical="center"/>
    </xf>
    <xf numFmtId="0" fontId="6" fillId="5" borderId="29" xfId="0" applyFont="1" applyFill="1" applyBorder="1" applyAlignment="1">
      <alignment horizontal="center"/>
    </xf>
    <xf numFmtId="0" fontId="6" fillId="5" borderId="23" xfId="0" applyFont="1" applyFill="1" applyBorder="1" applyAlignment="1">
      <alignment horizontal="center"/>
    </xf>
    <xf numFmtId="0" fontId="6" fillId="5" borderId="20" xfId="0" applyFont="1" applyFill="1" applyBorder="1" applyAlignment="1">
      <alignment horizontal="center"/>
    </xf>
    <xf numFmtId="0" fontId="6" fillId="5" borderId="29" xfId="0" applyFont="1" applyFill="1" applyBorder="1" applyAlignment="1">
      <alignment horizontal="center" vertical="center"/>
    </xf>
    <xf numFmtId="0" fontId="6" fillId="5" borderId="23" xfId="0" applyFont="1" applyFill="1" applyBorder="1" applyAlignment="1">
      <alignment horizontal="center" vertical="center"/>
    </xf>
    <xf numFmtId="0" fontId="6" fillId="5" borderId="20" xfId="0" applyFont="1" applyFill="1" applyBorder="1" applyAlignment="1">
      <alignment horizontal="center" vertical="center"/>
    </xf>
    <xf numFmtId="0" fontId="7" fillId="15" borderId="1" xfId="0" applyFont="1" applyFill="1" applyBorder="1" applyAlignment="1">
      <alignment horizontal="center" vertical="center" wrapText="1" readingOrder="2"/>
    </xf>
    <xf numFmtId="0" fontId="6" fillId="5" borderId="1" xfId="0" applyFont="1" applyFill="1" applyBorder="1" applyAlignment="1">
      <alignment horizontal="center" vertical="center" wrapText="1" readingOrder="1"/>
    </xf>
    <xf numFmtId="0" fontId="7" fillId="15" borderId="29" xfId="0" applyFont="1" applyFill="1" applyBorder="1" applyAlignment="1">
      <alignment horizontal="center" vertical="center" wrapText="1" readingOrder="2"/>
    </xf>
    <xf numFmtId="0" fontId="7" fillId="15" borderId="23" xfId="0" applyFont="1" applyFill="1" applyBorder="1" applyAlignment="1">
      <alignment horizontal="center" vertical="center" wrapText="1" readingOrder="2"/>
    </xf>
    <xf numFmtId="0" fontId="7" fillId="15" borderId="20" xfId="0" applyFont="1" applyFill="1" applyBorder="1" applyAlignment="1">
      <alignment horizontal="center" vertical="center" wrapText="1" readingOrder="2"/>
    </xf>
    <xf numFmtId="0" fontId="6" fillId="5" borderId="29" xfId="0" applyFont="1" applyFill="1" applyBorder="1" applyAlignment="1">
      <alignment horizontal="center" vertical="center" wrapText="1" readingOrder="1"/>
    </xf>
    <xf numFmtId="0" fontId="6" fillId="5" borderId="23" xfId="0" applyFont="1" applyFill="1" applyBorder="1" applyAlignment="1">
      <alignment horizontal="center" vertical="center" wrapText="1" readingOrder="1"/>
    </xf>
    <xf numFmtId="0" fontId="6" fillId="5" borderId="20" xfId="0" applyFont="1" applyFill="1" applyBorder="1" applyAlignment="1">
      <alignment horizontal="center" vertical="center" wrapText="1" readingOrder="1"/>
    </xf>
  </cellXfs>
  <cellStyles count="6">
    <cellStyle name="Comma" xfId="1" builtinId="3"/>
    <cellStyle name="Comma 2" xfId="4" xr:uid="{377724DF-F3ED-4A03-9CB5-B1A6F9C7100E}"/>
    <cellStyle name="I5_מכירות רמת מוצר" xfId="5" xr:uid="{BBD41D58-753D-4D0D-8D5A-635AE4450D8F}"/>
    <cellStyle name="Normal" xfId="0" builtinId="0"/>
    <cellStyle name="Normal 2" xfId="3" xr:uid="{A0DA3FFA-5124-4BA7-9D1F-4FF45B9A273A}"/>
    <cellStyle name="Percent" xfId="2" builtinId="5"/>
  </cellStyles>
  <dxfs count="38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DE68EA"/>
      <color rgb="FFBF95DF"/>
      <color rgb="FFEE92C7"/>
      <color rgb="FFD0ECE5"/>
      <color rgb="FFE1CCF0"/>
      <color rgb="FFF0E5C6"/>
      <color rgb="FFE9D9AB"/>
      <color rgb="FFF9DBEC"/>
      <color rgb="FFEEDCE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31F58-CA45-44F1-9046-68576443EBCE}">
  <sheetPr>
    <tabColor theme="4" tint="0.39997558519241921"/>
  </sheetPr>
  <dimension ref="A1:U42"/>
  <sheetViews>
    <sheetView showGridLines="0" rightToLeft="1" tabSelected="1" topLeftCell="A11" workbookViewId="0">
      <selection activeCell="L27" sqref="L27"/>
    </sheetView>
  </sheetViews>
  <sheetFormatPr defaultColWidth="8.59765625" defaultRowHeight="14.4" x14ac:dyDescent="0.3"/>
  <cols>
    <col min="1" max="1" width="18" style="45" customWidth="1"/>
    <col min="2" max="2" width="13.5" style="45" customWidth="1"/>
    <col min="3" max="3" width="12.09765625" style="45" customWidth="1"/>
    <col min="4" max="4" width="13.5" style="45" customWidth="1"/>
    <col min="5" max="5" width="19.19921875" style="45" customWidth="1"/>
    <col min="6" max="6" width="7.3984375" style="45" bestFit="1" customWidth="1"/>
    <col min="7" max="7" width="7" style="45" bestFit="1" customWidth="1"/>
    <col min="8" max="8" width="7.19921875" style="45" bestFit="1" customWidth="1"/>
    <col min="9" max="13" width="10.69921875" style="45" bestFit="1" customWidth="1"/>
    <col min="14" max="14" width="15" style="31" customWidth="1"/>
    <col min="15" max="15" width="13.59765625" style="31" customWidth="1"/>
    <col min="16" max="16" width="15" style="31" customWidth="1"/>
    <col min="17" max="17" width="16.3984375" style="31" bestFit="1" customWidth="1"/>
    <col min="18" max="18" width="16.09765625" style="31" bestFit="1" customWidth="1"/>
    <col min="19" max="19" width="27.69921875" style="31" bestFit="1" customWidth="1"/>
    <col min="20" max="20" width="25.59765625" style="31" bestFit="1" customWidth="1"/>
    <col min="21" max="21" width="18.59765625" style="31" bestFit="1" customWidth="1"/>
    <col min="22" max="25" width="8.59765625" customWidth="1"/>
  </cols>
  <sheetData>
    <row r="1" spans="1:21" x14ac:dyDescent="0.3">
      <c r="A1" s="45" t="s">
        <v>120</v>
      </c>
    </row>
    <row r="2" spans="1:21" ht="15" thickBot="1" x14ac:dyDescent="0.35">
      <c r="J2" s="115"/>
      <c r="R2" s="32"/>
    </row>
    <row r="3" spans="1:21" ht="30.6" thickBot="1" x14ac:dyDescent="0.35">
      <c r="A3" s="51" t="s">
        <v>78</v>
      </c>
      <c r="K3" s="109"/>
      <c r="L3" s="110"/>
      <c r="M3" s="109"/>
    </row>
    <row r="4" spans="1:21" ht="31.95" customHeight="1" thickBot="1" x14ac:dyDescent="0.35">
      <c r="A4" s="206" t="s">
        <v>57</v>
      </c>
      <c r="B4" s="208" t="s">
        <v>132</v>
      </c>
      <c r="C4" s="209"/>
      <c r="D4" s="209"/>
      <c r="E4" s="210"/>
      <c r="F4" s="217" t="s">
        <v>52</v>
      </c>
      <c r="G4" s="218"/>
      <c r="H4" s="218"/>
      <c r="I4" s="219"/>
      <c r="J4" s="214" t="s">
        <v>73</v>
      </c>
      <c r="K4" s="215"/>
      <c r="L4" s="215"/>
      <c r="M4" s="216"/>
    </row>
    <row r="5" spans="1:21" ht="31.8" thickBot="1" x14ac:dyDescent="0.35">
      <c r="A5" s="207"/>
      <c r="B5" s="69" t="s">
        <v>46</v>
      </c>
      <c r="C5" s="36" t="s">
        <v>47</v>
      </c>
      <c r="D5" s="36" t="s">
        <v>48</v>
      </c>
      <c r="E5" s="159" t="s">
        <v>49</v>
      </c>
      <c r="F5" s="79" t="s">
        <v>46</v>
      </c>
      <c r="G5" s="37" t="s">
        <v>50</v>
      </c>
      <c r="H5" s="75" t="s">
        <v>51</v>
      </c>
      <c r="I5" s="70" t="s">
        <v>89</v>
      </c>
      <c r="J5" s="84" t="s">
        <v>46</v>
      </c>
      <c r="K5" s="85" t="s">
        <v>50</v>
      </c>
      <c r="L5" s="85" t="s">
        <v>51</v>
      </c>
      <c r="M5" s="86" t="s">
        <v>49</v>
      </c>
    </row>
    <row r="6" spans="1:21" x14ac:dyDescent="0.3">
      <c r="A6" s="55" t="s">
        <v>58</v>
      </c>
      <c r="B6" s="47">
        <f>'תפוקה מצטברת מול אשתקד'!H8</f>
        <v>7204918.2895075241</v>
      </c>
      <c r="C6" s="43">
        <f>'תפוקה מצטברת מול אשתקד'!I8</f>
        <v>331810.67713582661</v>
      </c>
      <c r="D6" s="43">
        <f>'תפוקה מצטברת מול אשתקד'!J8</f>
        <v>21403333.893930893</v>
      </c>
      <c r="E6" s="160">
        <f>'תפוקה מצטברת מול אשתקד'!K8</f>
        <v>45376086.649999999</v>
      </c>
      <c r="F6" s="76">
        <f>'תפוקה מצטברת מול אשתקד'!D8</f>
        <v>0.7828923791114355</v>
      </c>
      <c r="G6" s="42">
        <f>'תפוקה מצטברת מול אשתקד'!E8</f>
        <v>-0.56157698560490465</v>
      </c>
      <c r="H6" s="42">
        <f>'תפוקה מצטברת מול אשתקד'!F8</f>
        <v>0.20980711890931336</v>
      </c>
      <c r="I6" s="44">
        <f>'תפוקה מצטברת מול אשתקד'!G8</f>
        <v>0.56240353288943701</v>
      </c>
      <c r="J6" s="76">
        <f>'תפוקה מצטברת מול יעד מצטבר'!D8</f>
        <v>-0.26927806394447018</v>
      </c>
      <c r="K6" s="42">
        <f>'תפוקה מצטברת מול יעד מצטבר'!E8</f>
        <v>-0.65508245619976446</v>
      </c>
      <c r="L6" s="42">
        <f>'תפוקה מצטברת מול יעד מצטבר'!F8</f>
        <v>-0.42352580548559327</v>
      </c>
      <c r="M6" s="44">
        <f>'תפוקה מצטברת מול יעד מצטבר'!G8</f>
        <v>-0.21540812238475637</v>
      </c>
    </row>
    <row r="7" spans="1:21" x14ac:dyDescent="0.3">
      <c r="A7" s="56" t="s">
        <v>59</v>
      </c>
      <c r="B7" s="47">
        <f>'תפוקה מצטברת מול אשתקד'!H22</f>
        <v>3888390.3322109194</v>
      </c>
      <c r="C7" s="43">
        <f>'תפוקה מצטברת מול אשתקד'!I22</f>
        <v>1454969.6820550631</v>
      </c>
      <c r="D7" s="43">
        <f>'תפוקה מצטברת מול אשתקד'!J22</f>
        <v>12759738.296645679</v>
      </c>
      <c r="E7" s="160">
        <f>'תפוקה מצטברת מול אשתקד'!K22</f>
        <v>5828149.3949999996</v>
      </c>
      <c r="F7" s="76">
        <f>'תפוקה מצטברת מול אשתקד'!D22</f>
        <v>0.45095014227767605</v>
      </c>
      <c r="G7" s="42">
        <f>'תפוקה מצטברת מול אשתקד'!E22</f>
        <v>0.3677994488339309</v>
      </c>
      <c r="H7" s="42">
        <f>'תפוקה מצטברת מול אשתקד'!F22</f>
        <v>-0.27730744213779401</v>
      </c>
      <c r="I7" s="44">
        <f>'תפוקה מצטברת מול אשתקד'!G22</f>
        <v>-0.55658728929102774</v>
      </c>
      <c r="J7" s="76">
        <f>'תפוקה מצטברת מול יעד מצטבר'!D22</f>
        <v>1.1179677591647064E-2</v>
      </c>
      <c r="K7" s="42">
        <f>'תפוקה מצטברת מול יעד מצטבר'!E22</f>
        <v>-3.5165993332186285E-2</v>
      </c>
      <c r="L7" s="42">
        <f>'תפוקה מצטברת מול יעד מצטבר'!F22</f>
        <v>-0.48449667515167749</v>
      </c>
      <c r="M7" s="44">
        <f>'תפוקה מצטברת מול יעד מצטבר'!G22</f>
        <v>-0.59855700544152091</v>
      </c>
    </row>
    <row r="8" spans="1:21" x14ac:dyDescent="0.3">
      <c r="A8" s="56" t="s">
        <v>60</v>
      </c>
      <c r="B8" s="47">
        <f>'תפוקה מצטברת מול אשתקד'!H75</f>
        <v>4773890.0629890356</v>
      </c>
      <c r="C8" s="43">
        <f>'תפוקה מצטברת מול אשתקד'!I75</f>
        <v>768736.03533003444</v>
      </c>
      <c r="D8" s="43">
        <f>'תפוקה מצטברת מול אשתקד'!J75</f>
        <v>33678748.365081467</v>
      </c>
      <c r="E8" s="160">
        <f>'תפוקה מצטברת מול אשתקד'!K75</f>
        <v>34335142.609999999</v>
      </c>
      <c r="F8" s="76">
        <f>'תפוקה מצטברת מול אשתקד'!D75</f>
        <v>0.34713891308840061</v>
      </c>
      <c r="G8" s="42">
        <f>'תפוקה מצטברת מול אשתקד'!E75</f>
        <v>0.13899520633444329</v>
      </c>
      <c r="H8" s="42">
        <f>'תפוקה מצטברת מול אשתקד'!F75</f>
        <v>0.39575841598815731</v>
      </c>
      <c r="I8" s="44">
        <f>'תפוקה מצטברת מול אשתקד'!G66</f>
        <v>0.85746859052243996</v>
      </c>
      <c r="J8" s="76">
        <f>'תפוקה מצטברת מול יעד מצטבר'!D66</f>
        <v>-0.61499731407262237</v>
      </c>
      <c r="K8" s="42">
        <f>'תפוקה מצטברת מול יעד מצטבר'!E66</f>
        <v>-0.82120508079563437</v>
      </c>
      <c r="L8" s="42">
        <f>'תפוקה מצטברת מול יעד מצטבר'!F66</f>
        <v>-8.9485435351778553E-2</v>
      </c>
      <c r="M8" s="44">
        <f>'תפוקה מצטברת מול יעד מצטבר'!G66</f>
        <v>-0.22127836344537832</v>
      </c>
    </row>
    <row r="9" spans="1:21" x14ac:dyDescent="0.3">
      <c r="A9" s="158" t="s">
        <v>115</v>
      </c>
      <c r="B9" s="47">
        <f>'תפוקה מצטברת מול אשתקד'!H56</f>
        <v>5287150.3837202396</v>
      </c>
      <c r="C9" s="43">
        <f>'תפוקה מצטברת מול אשתקד'!I56</f>
        <v>736281.58367698814</v>
      </c>
      <c r="D9" s="43">
        <f>'תפוקה מצטברת מול אשתקד'!J56</f>
        <v>10134031.461506441</v>
      </c>
      <c r="E9" s="160">
        <f>'תפוקה מצטברת מול אשתקד'!K56</f>
        <v>12164367.589999998</v>
      </c>
      <c r="F9" s="76">
        <f>'תפוקה מצטברת מול אשתקד'!D76</f>
        <v>0.20375896655846271</v>
      </c>
      <c r="G9" s="42">
        <f>'תפוקה מצטברת מול אשתקד'!E76</f>
        <v>-7.3031127637607551E-2</v>
      </c>
      <c r="H9" s="42">
        <f>'תפוקה מצטברת מול אשתקד'!F76</f>
        <v>8.4798074088817899E-2</v>
      </c>
      <c r="I9" s="44">
        <f>'תפוקה מצטברת מול אשתקד'!G75</f>
        <v>0.3547519520904312</v>
      </c>
      <c r="J9" s="76">
        <f>'תפוקה מצטברת מול יעד מצטבר'!D75</f>
        <v>0.11302838893684819</v>
      </c>
      <c r="K9" s="42">
        <f>'תפוקה מצטברת מול יעד מצטבר'!E75</f>
        <v>5.5956092486310949E-2</v>
      </c>
      <c r="L9" s="42">
        <f>'תפוקה מצטברת מול יעד מצטבר'!F75</f>
        <v>0.42936713203808963</v>
      </c>
      <c r="M9" s="44">
        <f>'תפוקה מצטברת מול יעד מצטבר'!G75</f>
        <v>1.8176817399225316</v>
      </c>
    </row>
    <row r="10" spans="1:21" ht="15" thickBot="1" x14ac:dyDescent="0.35">
      <c r="A10" s="163" t="s">
        <v>116</v>
      </c>
      <c r="B10" s="155">
        <f>'תפוקה מצטברת מול אשתקד'!H66</f>
        <v>1442528.0636326983</v>
      </c>
      <c r="C10" s="154">
        <f>'תפוקה מצטברת מול אשתקד'!I66</f>
        <v>104130.16094462253</v>
      </c>
      <c r="D10" s="154">
        <f>'תפוקה מצטברת מול אשתקד'!J66</f>
        <v>9968313.4537687283</v>
      </c>
      <c r="E10" s="161">
        <f>'תפוקה מצטברת מול אשתקד'!K66</f>
        <v>7413429.9799999986</v>
      </c>
      <c r="F10" s="77">
        <f>'תפוקה מצטברת מול אשתקד'!D77</f>
        <v>0</v>
      </c>
      <c r="G10" s="40">
        <f>'תפוקה מצטברת מול אשתקד'!E77</f>
        <v>0</v>
      </c>
      <c r="H10" s="40">
        <f>'תפוקה מצטברת מול אשתקד'!F77</f>
        <v>0</v>
      </c>
      <c r="I10" s="72">
        <f>'תפוקה מצטברת מול אשתקד'!G76</f>
        <v>1.9712705722824353E-2</v>
      </c>
      <c r="J10" s="77">
        <f>'תפוקה מצטברת מול יעד מצטבר'!D76</f>
        <v>-0.16738509405757185</v>
      </c>
      <c r="K10" s="40">
        <f>'תפוקה מצטברת מול יעד מצטבר'!E76</f>
        <v>-0.29626820724002512</v>
      </c>
      <c r="L10" s="40">
        <f>'תפוקה מצטברת מול יעד מצטבר'!F76</f>
        <v>-0.18609405220696318</v>
      </c>
      <c r="M10" s="72">
        <f>'תפוקה מצטברת מול יעד מצטבר'!G76</f>
        <v>-2.9694959695070189E-4</v>
      </c>
    </row>
    <row r="11" spans="1:21" ht="42.6" thickBot="1" x14ac:dyDescent="0.35">
      <c r="A11" s="68" t="s">
        <v>61</v>
      </c>
      <c r="B11" s="71">
        <f>SUM(B6:B10)</f>
        <v>22596877.132060416</v>
      </c>
      <c r="C11" s="71">
        <f t="shared" ref="C11:E11" si="0">SUM(C6:C10)</f>
        <v>3395928.1391425347</v>
      </c>
      <c r="D11" s="71">
        <f t="shared" si="0"/>
        <v>87944165.470933214</v>
      </c>
      <c r="E11" s="71">
        <f t="shared" si="0"/>
        <v>105117176.22500001</v>
      </c>
      <c r="F11" s="80">
        <f>'תפוקה מצטברת מול אשתקד'!D76</f>
        <v>0.20375896655846271</v>
      </c>
      <c r="G11" s="38">
        <f>'תפוקה מצטברת מול אשתקד'!E76</f>
        <v>-7.3031127637607551E-2</v>
      </c>
      <c r="H11" s="39">
        <f>'תפוקה מצטברת מול אשתקד'!F76</f>
        <v>8.4798074088817899E-2</v>
      </c>
      <c r="I11" s="164">
        <f>'תפוקה מצטברת מול יעד מצטבר'!D75</f>
        <v>0.11302838893684819</v>
      </c>
      <c r="J11" s="165">
        <f>'תפוקה מצטברת מול יעד מצטבר'!D76</f>
        <v>-0.16738509405757185</v>
      </c>
      <c r="K11" s="165">
        <f>'תפוקה מצטברת מול יעד מצטבר'!E76</f>
        <v>-0.29626820724002512</v>
      </c>
      <c r="L11" s="165">
        <f>'תפוקה מצטברת מול יעד מצטבר'!F76</f>
        <v>-0.18609405220696318</v>
      </c>
      <c r="M11" s="164">
        <f>'תפוקה מצטברת מול יעד מצטבר'!G76</f>
        <v>-2.9694959695070189E-4</v>
      </c>
    </row>
    <row r="12" spans="1:21" ht="18" x14ac:dyDescent="0.3">
      <c r="A12" s="34"/>
      <c r="B12" s="34"/>
      <c r="C12" s="34"/>
      <c r="D12" s="34"/>
      <c r="E12" s="34"/>
      <c r="F12" s="33"/>
      <c r="G12" s="33"/>
      <c r="H12" s="33"/>
      <c r="I12" s="33"/>
      <c r="J12" s="33"/>
      <c r="K12" s="33"/>
      <c r="L12" s="33"/>
      <c r="M12" s="33"/>
    </row>
    <row r="13" spans="1:21" ht="18.600000000000001" thickBot="1" x14ac:dyDescent="0.35">
      <c r="A13" s="34"/>
      <c r="B13" s="34"/>
      <c r="C13" s="34"/>
      <c r="D13" s="34"/>
      <c r="E13" s="34"/>
      <c r="F13" s="33"/>
      <c r="G13" s="33"/>
      <c r="H13" s="33"/>
      <c r="I13" s="33"/>
      <c r="J13" s="33"/>
      <c r="K13" s="33"/>
      <c r="L13" s="33"/>
      <c r="M13" s="33"/>
    </row>
    <row r="14" spans="1:21" ht="31.8" thickBot="1" x14ac:dyDescent="0.35">
      <c r="A14" s="50" t="s">
        <v>79</v>
      </c>
      <c r="B14" s="52"/>
      <c r="C14" s="52"/>
      <c r="D14"/>
      <c r="E14"/>
      <c r="F14"/>
      <c r="G14"/>
      <c r="H14" s="53"/>
      <c r="I14" s="53"/>
      <c r="J14" s="53"/>
      <c r="K14" s="54"/>
      <c r="L14" s="54"/>
      <c r="M14" s="48"/>
      <c r="N14" s="64"/>
      <c r="O14" s="52"/>
      <c r="P14"/>
      <c r="Q14"/>
      <c r="R14"/>
      <c r="S14"/>
      <c r="T14"/>
      <c r="U14"/>
    </row>
    <row r="15" spans="1:21" ht="24" customHeight="1" thickBot="1" x14ac:dyDescent="0.3">
      <c r="A15" s="223" t="s">
        <v>54</v>
      </c>
      <c r="B15" s="208" t="s">
        <v>132</v>
      </c>
      <c r="C15" s="209"/>
      <c r="D15" s="209"/>
      <c r="E15" s="210"/>
      <c r="F15" s="217" t="s">
        <v>52</v>
      </c>
      <c r="G15" s="218"/>
      <c r="H15" s="218"/>
      <c r="I15" s="219"/>
      <c r="J15" s="214" t="s">
        <v>73</v>
      </c>
      <c r="K15" s="215"/>
      <c r="L15" s="215"/>
      <c r="M15" s="216"/>
      <c r="N15" s="220" t="s">
        <v>134</v>
      </c>
      <c r="O15" s="221"/>
      <c r="P15" s="221"/>
      <c r="Q15" s="222"/>
      <c r="R15" s="211" t="s">
        <v>76</v>
      </c>
      <c r="S15" s="212"/>
      <c r="T15" s="212"/>
      <c r="U15" s="213"/>
    </row>
    <row r="16" spans="1:21" ht="16.5" customHeight="1" thickBot="1" x14ac:dyDescent="0.3">
      <c r="A16" s="224"/>
      <c r="B16" s="69" t="s">
        <v>46</v>
      </c>
      <c r="C16" s="36" t="s">
        <v>47</v>
      </c>
      <c r="D16" s="36" t="s">
        <v>48</v>
      </c>
      <c r="E16" s="159" t="s">
        <v>49</v>
      </c>
      <c r="F16" s="79" t="s">
        <v>46</v>
      </c>
      <c r="G16" s="37" t="s">
        <v>50</v>
      </c>
      <c r="H16" s="75" t="s">
        <v>51</v>
      </c>
      <c r="I16" s="70" t="s">
        <v>89</v>
      </c>
      <c r="J16" s="111" t="s">
        <v>46</v>
      </c>
      <c r="K16" s="112" t="s">
        <v>50</v>
      </c>
      <c r="L16" s="112" t="s">
        <v>51</v>
      </c>
      <c r="M16" s="180" t="s">
        <v>49</v>
      </c>
      <c r="N16" s="170" t="s">
        <v>46</v>
      </c>
      <c r="O16" s="171" t="s">
        <v>50</v>
      </c>
      <c r="P16" s="171" t="s">
        <v>48</v>
      </c>
      <c r="Q16" s="172" t="s">
        <v>89</v>
      </c>
      <c r="R16" s="67" t="s">
        <v>46</v>
      </c>
      <c r="S16" s="67" t="s">
        <v>50</v>
      </c>
      <c r="T16" s="134" t="s">
        <v>48</v>
      </c>
      <c r="U16" s="135" t="s">
        <v>89</v>
      </c>
    </row>
    <row r="17" spans="1:21" ht="21.75" customHeight="1" x14ac:dyDescent="0.3">
      <c r="A17" s="167" t="s">
        <v>56</v>
      </c>
      <c r="B17" s="47">
        <f>SUMIF('תפוקה מצטברת מול אשתקד'!B:B,'דוח הנהלה'!A17,'תפוקה מצטברת מול אשתקד'!H:H)</f>
        <v>9693339.7097770981</v>
      </c>
      <c r="C17" s="47">
        <f>SUMIF('תפוקה מצטברת מול אשתקד'!B:B,'דוח הנהלה'!A17,'תפוקה מצטברת מול אשתקד'!I:I)</f>
        <v>1461007.7456906533</v>
      </c>
      <c r="D17" s="47">
        <f>SUMIF('תפוקה מצטברת מול אשתקד'!B:B,'דוח הנהלה'!A17,'תפוקה מצטברת מול אשתקד'!J:J)</f>
        <v>39669784.303222731</v>
      </c>
      <c r="E17" s="47">
        <f>SUMIF('תפוקה מצטברת מול אשתקד'!B:B,'דוח הנהלה'!A17,'תפוקה מצטברת מול אשתקד'!K:K)</f>
        <v>42406946.960000001</v>
      </c>
      <c r="F17" s="76">
        <f>(B17-N17)/N17</f>
        <v>6.1847789200568881E-2</v>
      </c>
      <c r="G17" s="42">
        <f>(C17-O17)/O17</f>
        <v>-4.8186583048919956E-2</v>
      </c>
      <c r="H17" s="42">
        <f>(D17-P17)/P17</f>
        <v>0.29492834435475274</v>
      </c>
      <c r="I17" s="44">
        <f>(E17-Q17)/Q17</f>
        <v>-0.23646333253075882</v>
      </c>
      <c r="J17" s="76">
        <f>(B17-R17)/R17</f>
        <v>7.7366940984978538E-2</v>
      </c>
      <c r="K17" s="42">
        <f>(C17-S17)/S17</f>
        <v>-0.1108764936157173</v>
      </c>
      <c r="L17" s="42">
        <f>(D17-T17)/T17</f>
        <v>0.32285528555497967</v>
      </c>
      <c r="M17" s="44">
        <f>(E17-U17)/U17</f>
        <v>1.0766952145893323</v>
      </c>
      <c r="N17" s="65">
        <f>SUMIF('תפוקה מצטברת מול אשתקד'!B:B,'דוח הנהלה'!A17,'תפוקה מצטברת מול אשתקד'!L:L)</f>
        <v>9128746.8960828204</v>
      </c>
      <c r="O17" s="65">
        <f>SUMIF('תפוקה מצטברת מול אשתקד'!B:B,'דוח הנהלה'!A17,'תפוקה מצטברת מול אשתקד'!M:M)</f>
        <v>1534972.8420205114</v>
      </c>
      <c r="P17" s="65">
        <f>SUMIF('תפוקה מצטברת מול אשתקד'!B:B,'דוח הנהלה'!A17,'תפוקה מצטברת מול אשתקד'!N:N)</f>
        <v>30634733.169725858</v>
      </c>
      <c r="Q17" s="65">
        <f>SUMIF('תפוקה מצטברת מול אשתקד'!B:B,'דוח הנהלה'!A17,'תפוקה מצטברת מול אשתקד'!O:O)</f>
        <v>55540157.751111999</v>
      </c>
      <c r="R17" s="65">
        <f>SUMIF('תפוקה מצטברת מול יעד מצטבר'!B:B,'דוח הנהלה'!A17,'תפוקה מצטברת מול יעד מצטבר'!H:K)</f>
        <v>8997250</v>
      </c>
      <c r="S17" s="65">
        <f>SUMIF('תפוקה מצטברת מול יעד מצטבר'!B:B,'דוח הנהלה'!A17,'תפוקה מצטברת מול יעד מצטבר'!I:I)</f>
        <v>1643200</v>
      </c>
      <c r="T17" s="65">
        <f>SUMIF('תפוקה מצטברת מול יעד מצטבר'!B:B,'דוח הנהלה'!A17,'תפוקה מצטברת מול יעד מצטבר'!J:J)</f>
        <v>29988000</v>
      </c>
      <c r="U17" s="65">
        <f>SUMIF('תפוקה מצטברת מול יעד מצטבר'!B:B,'דוח הנהלה'!A17,'תפוקה מצטברת מול יעד מצטבר'!K:K)</f>
        <v>20420400</v>
      </c>
    </row>
    <row r="18" spans="1:21" ht="15.6" x14ac:dyDescent="0.3">
      <c r="A18" s="167" t="s">
        <v>55</v>
      </c>
      <c r="B18" s="47">
        <f>SUMIF('תפוקה מצטברת מול אשתקד'!B:B,'דוח הנהלה'!A18,'תפוקה מצטברת מול אשתקד'!H:H)</f>
        <v>29942.03</v>
      </c>
      <c r="C18" s="47">
        <f>SUMIF('תפוקה מצטברת מול אשתקד'!B:B,'דוח הנהלה'!A18,'תפוקה מצטברת מול אשתקד'!I:I)</f>
        <v>17842.41</v>
      </c>
      <c r="D18" s="47">
        <f>SUMIF('תפוקה מצטברת מול אשתקד'!B:B,'דוח הנהלה'!A18,'תפוקה מצטברת מול אשתקד'!J:J)</f>
        <v>0</v>
      </c>
      <c r="E18" s="47">
        <f>SUMIF('תפוקה מצטברת מול אשתקד'!B:B,'דוח הנהלה'!A18,'תפוקה מצטברת מול אשתקד'!K:K)</f>
        <v>0</v>
      </c>
      <c r="F18" s="76">
        <f t="shared" ref="F18:F19" si="1">(B18-N18)/N18</f>
        <v>85.101776925869544</v>
      </c>
      <c r="G18" s="42">
        <f>(C18-O18)/O18</f>
        <v>4.2386367080831571</v>
      </c>
      <c r="H18" s="182">
        <v>0</v>
      </c>
      <c r="I18" s="44">
        <f>(E18-Q18)/Q18</f>
        <v>-1</v>
      </c>
      <c r="J18" s="76">
        <f t="shared" ref="J18:M21" si="2">(B18-R18)/R18</f>
        <v>-0.84816414807302232</v>
      </c>
      <c r="K18" s="42">
        <f t="shared" si="2"/>
        <v>-0.6568767307692307</v>
      </c>
      <c r="L18" s="42">
        <f t="shared" si="2"/>
        <v>-1</v>
      </c>
      <c r="M18" s="44">
        <f t="shared" si="2"/>
        <v>-1</v>
      </c>
      <c r="N18" s="65">
        <f>SUMIF('תפוקה מצטברת מול אשתקד'!B:B,'דוח הנהלה'!A18,'תפוקה מצטברת מול אשתקד'!L:L)</f>
        <v>347.75159199999996</v>
      </c>
      <c r="O18" s="65">
        <f>SUMIF('תפוקה מצטברת מול אשתקד'!B:B,'דוח הנהלה'!A18,'תפוקה מצטברת מול אשתקד'!M:M)</f>
        <v>3405.9261968804522</v>
      </c>
      <c r="P18" s="65">
        <f>SUMIF('תפוקה מצטברת מול אשתקד'!B:B,'דוח הנהלה'!A18,'תפוקה מצטברת מול אשתקד'!N:N)</f>
        <v>0</v>
      </c>
      <c r="Q18" s="65">
        <f>SUMIF('תפוקה מצטברת מול אשתקד'!B:B,'דוח הנהלה'!A18,'תפוקה מצטברת מול אשתקד'!O:O)</f>
        <v>-168129.65999999997</v>
      </c>
      <c r="R18" s="65">
        <f>SUMIF('תפוקה מצטברת מול יעד מצטבר'!B:B,'דוח הנהלה'!A18,'תפוקה מצטברת מול יעד מצטבר'!H:H)</f>
        <v>197200</v>
      </c>
      <c r="S18" s="65">
        <f>SUMIF('תפוקה מצטברת מול יעד מצטבר'!B:B,'דוח הנהלה'!A18,'תפוקה מצטברת מול יעד מצטבר'!I:I)</f>
        <v>52000</v>
      </c>
      <c r="T18" s="65">
        <f>SUMIF('תפוקה מצטברת מול יעד מצטבר'!B:B,'דוח הנהלה'!A18,'תפוקה מצטברת מול יעד מצטבר'!J:J)</f>
        <v>476000</v>
      </c>
      <c r="U18" s="65">
        <f>SUMIF('תפוקה מצטברת מול יעד מצטבר'!B:B,'דוח הנהלה'!A18,'תפוקה מצטברת מול יעד מצטבר'!K:K)</f>
        <v>476000</v>
      </c>
    </row>
    <row r="19" spans="1:21" ht="15.6" x14ac:dyDescent="0.3">
      <c r="A19" s="167" t="s">
        <v>108</v>
      </c>
      <c r="B19" s="47">
        <f>SUMIF('תפוקה מצטברת מול אשתקד'!B:B,'דוח הנהלה'!A19,'תפוקה מצטברת מול אשתקד'!H:H)</f>
        <v>11431067.32865062</v>
      </c>
      <c r="C19" s="47">
        <f>SUMIF('תפוקה מצטברת מול אשתקד'!B:B,'דוח הנהלה'!A19,'תפוקה מצטברת מול אשתקד'!I:I)</f>
        <v>1812947.8225072585</v>
      </c>
      <c r="D19" s="47">
        <f>SUMIF('תפוקה מצטברת מול אשתקד'!B:B,'דוח הנהלה'!A19,'תפוקה מצטברת מול אשתקד'!J:J)</f>
        <v>38306067.713941753</v>
      </c>
      <c r="E19" s="47">
        <f>SUMIF('תפוקה מצטברת מול אשתקד'!B:B,'דוח הנהלה'!A19,'תפוקה מצטברת מול אשתקד'!K:K)</f>
        <v>55296799.284999989</v>
      </c>
      <c r="F19" s="76">
        <f t="shared" si="1"/>
        <v>0.65162458709594417</v>
      </c>
      <c r="G19" s="42">
        <f>(C19-O19)/O19</f>
        <v>-2.1725786854749088E-2</v>
      </c>
      <c r="H19" s="42">
        <f>(D19-P19)/P19</f>
        <v>-5.8823458698074246E-2</v>
      </c>
      <c r="I19" s="44">
        <f>(E19-Q19)/Q19</f>
        <v>0.26473872497175049</v>
      </c>
      <c r="J19" s="76">
        <f t="shared" si="2"/>
        <v>-0.1949045435647242</v>
      </c>
      <c r="K19" s="42">
        <f t="shared" si="2"/>
        <v>-0.28848201628443543</v>
      </c>
      <c r="L19" s="42">
        <f t="shared" si="2"/>
        <v>-0.42517905591323901</v>
      </c>
      <c r="M19" s="44">
        <f t="shared" si="2"/>
        <v>-0.26006530957287388</v>
      </c>
      <c r="N19" s="65">
        <f>SUMIF('תפוקה מצטברת מול אשתקד'!B:B,'דוח הנהלה'!A19,'תפוקה מצטברת מול אשתקד'!L:L)</f>
        <v>6921105.0852360437</v>
      </c>
      <c r="O19" s="65">
        <f>SUMIF('תפוקה מצטברת מול אשתקד'!B:B,'דוח הנהלה'!A19,'תפוקה מצטברת מול אשתקד'!M:M)</f>
        <v>1853210.2739153751</v>
      </c>
      <c r="P19" s="65">
        <f>SUMIF('תפוקה מצטברת מול אשתקד'!B:B,'דוח הנהלה'!A19,'תפוקה מצטברת מול אשתקד'!N:N)</f>
        <v>40700193.888123393</v>
      </c>
      <c r="Q19" s="65">
        <f>SUMIF('תפוקה מצטברת מול אשתקד'!B:B,'דוח הנהלה'!A19,'תפוקה מצטברת מול אשתקד'!O:O)</f>
        <v>43721915.201288007</v>
      </c>
      <c r="R19" s="65">
        <f>SUMIF('תפוקה מצטברת מול יעד מצטבר'!B:B,'דוח הנהלה'!A19,'תפוקה מצטברת מול יעד מצטבר'!H:H)</f>
        <v>14198400</v>
      </c>
      <c r="S19" s="65">
        <f>SUMIF('תפוקה מצטברת מול יעד מצטבר'!B:B,'דוח הנהלה'!A19,'תפוקה מצטברת מול יעד מצטבר'!I:I)</f>
        <v>2548000</v>
      </c>
      <c r="T19" s="65">
        <f>SUMIF('תפוקה מצטברת מול יעד מצטבר'!B:B,'דוח הנהלה'!A19,'תפוקה מצטברת מול יעד מצטבר'!J:J)</f>
        <v>66640000</v>
      </c>
      <c r="U19" s="65">
        <f>SUMIF('תפוקה מצטברת מול יעד מצטבר'!B:B,'דוח הנהלה'!A19,'תפוקה מצטברת מול יעד מצטבר'!K:K)</f>
        <v>74732000</v>
      </c>
    </row>
    <row r="20" spans="1:21" ht="16.2" thickBot="1" x14ac:dyDescent="0.35">
      <c r="A20" s="167" t="s">
        <v>114</v>
      </c>
      <c r="B20" s="47">
        <f>SUMIF('תפוקה מצטברת מול אשתקד'!B:B,'דוח הנהלה'!A20,'תפוקה מצטברת מול אשתקד'!H:H)</f>
        <v>1442528.0636326983</v>
      </c>
      <c r="C20" s="47">
        <f>SUMIF('תפוקה מצטברת מול אשתקד'!B:B,'דוח הנהלה'!A20,'תפוקה מצטברת מול אשתקד'!I:I)</f>
        <v>104130.16094462253</v>
      </c>
      <c r="D20" s="47">
        <f>SUMIF('תפוקה מצטברת מול אשתקד'!B:B,'דוח הנהלה'!A20,'תפוקה מצטברת מול אשתקד'!J:J)</f>
        <v>9968313.4537687283</v>
      </c>
      <c r="E20" s="47">
        <f>SUMIF('תפוקה מצטברת מול אשתקד'!B:B,'דוח הנהלה'!A20,'תפוקה מצטברת מול אשתקד'!K:K)</f>
        <v>7413429.9799999986</v>
      </c>
      <c r="F20" s="76">
        <f t="shared" ref="F20" si="3">(B20-N20)/N20</f>
        <v>-0.46999563892982554</v>
      </c>
      <c r="G20" s="42">
        <f>(C20-O20)/O20</f>
        <v>-0.6170092387533852</v>
      </c>
      <c r="H20" s="42">
        <f>(D20-P20)/P20</f>
        <v>2.3998965703634918E-2</v>
      </c>
      <c r="I20" s="44">
        <f>(E20-Q20)/Q20</f>
        <v>0.85746859052243984</v>
      </c>
      <c r="J20" s="76">
        <f t="shared" si="2"/>
        <v>-0.61499731407262248</v>
      </c>
      <c r="K20" s="42">
        <f t="shared" si="2"/>
        <v>-0.82120508079563437</v>
      </c>
      <c r="L20" s="42">
        <f t="shared" si="2"/>
        <v>-8.9485435351778567E-2</v>
      </c>
      <c r="M20" s="44">
        <f t="shared" si="2"/>
        <v>-0.2212783634453783</v>
      </c>
      <c r="N20" s="65">
        <f>SUMIF('תפוקה מצטברת מול אשתקד'!B:B,'דוח הנהלה'!A20,'תפוקה מצטברת מול אשתקד'!L:L)</f>
        <v>2721728.6678924183</v>
      </c>
      <c r="O20" s="65">
        <f>SUMIF('תפוקה מצטברת מול אשתקד'!B:B,'דוח הנהלה'!A20,'תפוקה מצטברת מול אשתקד'!M:M)</f>
        <v>271886.87425692554</v>
      </c>
      <c r="P20" s="65">
        <f>SUMIF('תפוקה מצטברת מול אשתקד'!B:B,'דוח הנהלה'!A20,'תפוקה מצטברת מול אשתקד'!N:N)</f>
        <v>9734690.9397697095</v>
      </c>
      <c r="Q20" s="65">
        <f>SUMIF('תפוקה מצטברת מול אשתקד'!B:B,'דוח הנהלה'!A20,'תפוקה מצטברת מול אשתקד'!O:O)</f>
        <v>3991146.885511999</v>
      </c>
      <c r="R20" s="65">
        <f>SUMIF('תפוקה מצטברת מול יעד מצטבר'!B:B,'דוח הנהלה'!A20,'תפוקה מצטברת מול יעד מצטבר'!H:H)</f>
        <v>3746800</v>
      </c>
      <c r="S20" s="65">
        <f>SUMIF('תפוקה מצטברת מול יעד מצטבר'!B:B,'דוח הנהלה'!A20,'תפוקה מצטברת מול יעד מצטבר'!I:I)</f>
        <v>582400</v>
      </c>
      <c r="T20" s="65">
        <f>SUMIF('תפוקה מצטברת מול יעד מצטבר'!B:B,'דוח הנהלה'!A20,'תפוקה מצטברת מול יעד מצטבר'!J:J)</f>
        <v>10948000</v>
      </c>
      <c r="U20" s="65">
        <f>SUMIF('תפוקה מצטברת מול יעד מצטבר'!B:B,'דוח הנהלה'!A20,'תפוקה מצטברת מול יעד מצטבר'!K:K)</f>
        <v>9520000</v>
      </c>
    </row>
    <row r="21" spans="1:21" ht="21.6" thickBot="1" x14ac:dyDescent="0.3">
      <c r="A21" s="168"/>
      <c r="B21" s="71">
        <f>SUM(B17:B20)</f>
        <v>22596877.132060416</v>
      </c>
      <c r="C21" s="71">
        <f>SUM(C17:C20)</f>
        <v>3395928.1391425342</v>
      </c>
      <c r="D21" s="71">
        <f>SUM(D17:D20)</f>
        <v>87944165.470933214</v>
      </c>
      <c r="E21" s="71">
        <f>SUM(E17:E20)</f>
        <v>105117176.22499999</v>
      </c>
      <c r="F21" s="156">
        <f>(B21-N21)/N21</f>
        <v>0.20375896655846273</v>
      </c>
      <c r="G21" s="113">
        <f>(C21-O21)/O21</f>
        <v>-7.303112763760794E-2</v>
      </c>
      <c r="H21" s="114">
        <f>(D21-P21)/P21</f>
        <v>8.4798074088817676E-2</v>
      </c>
      <c r="I21" s="162">
        <f>(B21-R21)/R21</f>
        <v>-0.16738509405757201</v>
      </c>
      <c r="J21" s="81">
        <f t="shared" si="2"/>
        <v>-0.16738509405757201</v>
      </c>
      <c r="K21" s="82">
        <f t="shared" si="2"/>
        <v>-0.29626820724002523</v>
      </c>
      <c r="L21" s="83">
        <f t="shared" si="2"/>
        <v>-0.18609405220696318</v>
      </c>
      <c r="M21" s="136">
        <f t="shared" si="2"/>
        <v>-2.9694959695065223E-4</v>
      </c>
      <c r="N21" s="169">
        <f>SUM(N17:N20)</f>
        <v>18771928.400803283</v>
      </c>
      <c r="O21" s="169">
        <f>SUM(O17:O20)</f>
        <v>3663475.9163896926</v>
      </c>
      <c r="P21" s="169">
        <f>SUM(P17:P20)</f>
        <v>81069617.997618973</v>
      </c>
      <c r="Q21" s="169">
        <f>SUM(Q17:Q20)</f>
        <v>103085090.177912</v>
      </c>
      <c r="R21" s="157">
        <f t="shared" ref="R21:T21" si="4">SUM(R17:R20)</f>
        <v>27139650</v>
      </c>
      <c r="S21" s="157">
        <f t="shared" si="4"/>
        <v>4825600</v>
      </c>
      <c r="T21" s="157">
        <f t="shared" si="4"/>
        <v>108052000</v>
      </c>
      <c r="U21" s="157">
        <f>SUM(U17:U20)</f>
        <v>105148400</v>
      </c>
    </row>
    <row r="22" spans="1:21" x14ac:dyDescent="0.3">
      <c r="N22" s="66"/>
      <c r="O22" s="66"/>
      <c r="P22" s="66"/>
      <c r="Q22" s="66"/>
      <c r="R22" s="66"/>
      <c r="S22" s="66"/>
      <c r="T22" s="66"/>
      <c r="U22" s="66"/>
    </row>
    <row r="23" spans="1:21" x14ac:dyDescent="0.3">
      <c r="N23" s="66"/>
      <c r="O23" s="66"/>
      <c r="P23" s="66"/>
      <c r="Q23" s="66"/>
      <c r="R23" s="66"/>
      <c r="S23" s="66"/>
      <c r="T23" s="66"/>
      <c r="U23" s="66"/>
    </row>
    <row r="24" spans="1:21" ht="15" thickBot="1" x14ac:dyDescent="0.35">
      <c r="N24" s="66"/>
      <c r="O24" s="66"/>
      <c r="P24" s="66"/>
      <c r="Q24" s="66"/>
      <c r="R24" s="66"/>
      <c r="S24" s="66"/>
      <c r="T24" s="66"/>
      <c r="U24" s="66"/>
    </row>
    <row r="25" spans="1:21" ht="31.8" thickBot="1" x14ac:dyDescent="0.35">
      <c r="A25" s="125" t="s">
        <v>80</v>
      </c>
      <c r="B25" s="52"/>
      <c r="C25" s="52"/>
      <c r="D25"/>
      <c r="E25"/>
      <c r="F25"/>
      <c r="G25"/>
      <c r="H25" s="53"/>
      <c r="I25" s="53"/>
      <c r="J25" s="53"/>
      <c r="K25" s="54"/>
      <c r="L25" s="54"/>
      <c r="M25" s="48"/>
      <c r="N25" s="48"/>
      <c r="O25" s="49"/>
      <c r="P25"/>
      <c r="Q25"/>
      <c r="R25" s="183" t="s">
        <v>121</v>
      </c>
      <c r="S25" s="48"/>
      <c r="T25" s="48"/>
      <c r="U25" s="49"/>
    </row>
    <row r="26" spans="1:21" ht="21.6" customHeight="1" thickBot="1" x14ac:dyDescent="0.35">
      <c r="A26" s="206" t="s">
        <v>57</v>
      </c>
      <c r="B26" s="208" t="s">
        <v>132</v>
      </c>
      <c r="C26" s="209"/>
      <c r="D26" s="209"/>
      <c r="E26" s="210"/>
      <c r="F26" s="217" t="s">
        <v>52</v>
      </c>
      <c r="G26" s="218"/>
      <c r="H26" s="218"/>
      <c r="I26" s="219"/>
      <c r="R26" s="184" t="s">
        <v>122</v>
      </c>
      <c r="S26" s="185" t="s">
        <v>123</v>
      </c>
      <c r="T26" s="185" t="s">
        <v>124</v>
      </c>
      <c r="U26" s="185" t="s">
        <v>127</v>
      </c>
    </row>
    <row r="27" spans="1:21" ht="31.8" thickBot="1" x14ac:dyDescent="0.35">
      <c r="A27" s="207"/>
      <c r="B27" s="69" t="s">
        <v>46</v>
      </c>
      <c r="C27" s="36" t="s">
        <v>47</v>
      </c>
      <c r="D27" s="36" t="s">
        <v>48</v>
      </c>
      <c r="E27" s="78" t="s">
        <v>49</v>
      </c>
      <c r="F27" s="73" t="s">
        <v>46</v>
      </c>
      <c r="G27" s="73" t="s">
        <v>50</v>
      </c>
      <c r="H27" s="73" t="s">
        <v>51</v>
      </c>
      <c r="I27" s="73" t="s">
        <v>49</v>
      </c>
      <c r="R27" s="186" t="s">
        <v>42</v>
      </c>
      <c r="S27" s="19">
        <v>0.5057780629557751</v>
      </c>
      <c r="T27" s="20">
        <v>72482.852530603384</v>
      </c>
      <c r="U27" s="21">
        <v>215792.45379526171</v>
      </c>
    </row>
    <row r="28" spans="1:21" x14ac:dyDescent="0.3">
      <c r="A28" s="55" t="s">
        <v>63</v>
      </c>
      <c r="B28" s="46">
        <f>מנורה!D76</f>
        <v>3151388.5493504163</v>
      </c>
      <c r="C28" s="46">
        <f>מנורה!E76</f>
        <v>800939.37421153451</v>
      </c>
      <c r="D28" s="46">
        <f>מנורה!F76</f>
        <v>3449865.7685332075</v>
      </c>
      <c r="E28" s="46">
        <f>מנורה!G76</f>
        <v>-4300781.835</v>
      </c>
      <c r="F28" s="41">
        <f>מנורה!D76/מנורה!H76-1</f>
        <v>0.14236487831120392</v>
      </c>
      <c r="G28" s="41">
        <f>מנורה!E76/מנורה!I76-1</f>
        <v>-0.10480778870898555</v>
      </c>
      <c r="H28" s="41">
        <f>מנורה!F76/מנורה!J76-1</f>
        <v>-0.52028453945275122</v>
      </c>
      <c r="I28" s="41">
        <f>מנורה!G76/מנורה!K76-1</f>
        <v>-1.3059468288287317</v>
      </c>
      <c r="R28" s="187" t="s">
        <v>40</v>
      </c>
      <c r="S28" s="19">
        <v>9.8120258733032317E-2</v>
      </c>
      <c r="T28" s="20">
        <v>34397.555263701652</v>
      </c>
      <c r="U28" s="21">
        <v>384962.8280000001</v>
      </c>
    </row>
    <row r="29" spans="1:21" x14ac:dyDescent="0.3">
      <c r="A29" s="56" t="s">
        <v>64</v>
      </c>
      <c r="B29" s="47">
        <f>מגדל!D76</f>
        <v>12507528.65</v>
      </c>
      <c r="C29" s="47">
        <f>מגדל!E76</f>
        <v>618564.33000000007</v>
      </c>
      <c r="D29" s="47">
        <f>מגדל!F76</f>
        <v>35895361.350000001</v>
      </c>
      <c r="E29" s="47">
        <f>מגדל!G76</f>
        <v>92537771.580000013</v>
      </c>
      <c r="F29" s="42">
        <f>מגדל!D76/מגדל!H76-1</f>
        <v>0.57816085583976284</v>
      </c>
      <c r="G29" s="42">
        <f>מגדל!E76/מגדל!I76-1</f>
        <v>0.2065780318391508</v>
      </c>
      <c r="H29" s="42">
        <f>מגדל!F76/מגדל!J76-1</f>
        <v>0.54842989335675751</v>
      </c>
      <c r="I29" s="41">
        <f>מגדל!G76/מגדל!K76-1</f>
        <v>1.1867394985569368</v>
      </c>
      <c r="R29" s="188" t="s">
        <v>104</v>
      </c>
      <c r="S29" s="19">
        <v>1</v>
      </c>
      <c r="T29" s="20">
        <v>47762.663776774483</v>
      </c>
      <c r="U29" s="21">
        <v>47762.663776774483</v>
      </c>
    </row>
    <row r="30" spans="1:21" ht="28.8" x14ac:dyDescent="0.3">
      <c r="A30" s="56" t="s">
        <v>65</v>
      </c>
      <c r="B30" s="47">
        <f>כלל!D76</f>
        <v>3764122.32</v>
      </c>
      <c r="C30" s="47">
        <f>כלל!E76</f>
        <v>1080218.3010000002</v>
      </c>
      <c r="D30" s="47">
        <f>כלל!F76</f>
        <v>14135034.08</v>
      </c>
      <c r="E30" s="47">
        <f>כלל!G76</f>
        <v>8594073.4800000004</v>
      </c>
      <c r="F30" s="42">
        <f>כלל!D76/כלל!H76-1</f>
        <v>-0.25136317681421239</v>
      </c>
      <c r="G30" s="42">
        <f>כלל!E76/כלל!I76-1</f>
        <v>0.23550226759777737</v>
      </c>
      <c r="H30" s="42">
        <f>כלל!F76/כלל!J76-1</f>
        <v>0.19620244243287344</v>
      </c>
      <c r="I30" s="41">
        <f>כלל!G76/כלל!K76-1</f>
        <v>-0.76357796905693121</v>
      </c>
      <c r="R30" s="187" t="s">
        <v>5</v>
      </c>
      <c r="S30" s="19">
        <v>0.69984510952194134</v>
      </c>
      <c r="T30" s="20">
        <v>330261.05199353548</v>
      </c>
      <c r="U30" s="21">
        <v>802166.97446134291</v>
      </c>
    </row>
    <row r="31" spans="1:21" x14ac:dyDescent="0.3">
      <c r="A31" s="56" t="s">
        <v>66</v>
      </c>
      <c r="B31" s="47">
        <f>'אלטשולר שחם'!D76</f>
        <v>12000</v>
      </c>
      <c r="C31" s="47">
        <f>'אלטשולר שחם'!E76</f>
        <v>0</v>
      </c>
      <c r="D31" s="47">
        <f>'אלטשולר שחם'!F76</f>
        <v>243273.06</v>
      </c>
      <c r="E31" s="47">
        <f>'אלטשולר שחם'!G76</f>
        <v>0</v>
      </c>
      <c r="F31" s="42">
        <v>1</v>
      </c>
      <c r="G31" s="42">
        <v>0</v>
      </c>
      <c r="H31" s="42">
        <f>'אלטשולר שחם'!F76/'אלטשולר שחם'!J76-1</f>
        <v>1.5222712286158631</v>
      </c>
      <c r="I31" s="41">
        <v>0</v>
      </c>
      <c r="R31" s="188" t="s">
        <v>30</v>
      </c>
      <c r="S31" s="19">
        <v>6.3252763377214505</v>
      </c>
      <c r="T31" s="20">
        <v>52841.261361239594</v>
      </c>
      <c r="U31" s="21">
        <v>61195.245999999992</v>
      </c>
    </row>
    <row r="32" spans="1:21" x14ac:dyDescent="0.3">
      <c r="A32" s="56" t="s">
        <v>67</v>
      </c>
      <c r="B32" s="47">
        <f>מור!D76</f>
        <v>0</v>
      </c>
      <c r="C32" s="47">
        <f>מור!E76</f>
        <v>0</v>
      </c>
      <c r="D32" s="47">
        <f>מור!F76</f>
        <v>1507099.39</v>
      </c>
      <c r="E32" s="47">
        <f>מור!G76</f>
        <v>0</v>
      </c>
      <c r="F32" s="42">
        <v>0</v>
      </c>
      <c r="G32" s="42">
        <v>0</v>
      </c>
      <c r="H32" s="42">
        <f>מור!F76/מור!J76-1</f>
        <v>-0.56833852879697877</v>
      </c>
      <c r="I32" s="41">
        <v>0</v>
      </c>
      <c r="R32"/>
      <c r="S32"/>
      <c r="T32"/>
      <c r="U32"/>
    </row>
    <row r="33" spans="1:21" x14ac:dyDescent="0.3">
      <c r="A33" s="56" t="s">
        <v>68</v>
      </c>
      <c r="B33" s="47">
        <f>הראל!D76</f>
        <v>1258477</v>
      </c>
      <c r="C33" s="47">
        <f>הראל!E76</f>
        <v>434795</v>
      </c>
      <c r="D33" s="47">
        <f>הראל!F76</f>
        <v>2089048</v>
      </c>
      <c r="E33" s="47">
        <f>הראל!G76</f>
        <v>845855</v>
      </c>
      <c r="F33" s="42">
        <f>הראל!D76/הראל!H76-1</f>
        <v>-0.44481298579131612</v>
      </c>
      <c r="G33" s="42">
        <f>הראל!E76/הראל!I76-1</f>
        <v>-0.40642701937858949</v>
      </c>
      <c r="H33" s="42">
        <f>הראל!F76/הראל!J76-1</f>
        <v>-0.6749902525103737</v>
      </c>
      <c r="I33" s="41">
        <f>הראל!G76/הראל!K76-1</f>
        <v>-0.84401274610250621</v>
      </c>
      <c r="U33" s="32"/>
    </row>
    <row r="34" spans="1:21" x14ac:dyDescent="0.3">
      <c r="A34" s="56" t="s">
        <v>69</v>
      </c>
      <c r="B34" s="47">
        <f>הפניקס!D76</f>
        <v>1902110.61271</v>
      </c>
      <c r="C34" s="47">
        <f>הפניקס!E76</f>
        <v>139945.21393100001</v>
      </c>
      <c r="D34" s="47">
        <f>הפניקס!F76</f>
        <v>12507945.652399998</v>
      </c>
      <c r="E34" s="47">
        <f>הפניקס!G76</f>
        <v>7440258</v>
      </c>
      <c r="F34" s="42">
        <f>הפניקס!D76/הפניקס!H76-1</f>
        <v>1.4010729806873794</v>
      </c>
      <c r="G34" s="42">
        <f>הפניקס!E76/הפניקס!I76-1</f>
        <v>-0.41003175268053726</v>
      </c>
      <c r="H34" s="42">
        <f>הפניקס!F76/הפניקס!J76-1</f>
        <v>0.58490611126428238</v>
      </c>
      <c r="I34" s="41">
        <f>הפניקס!G76/הפניקס!K76-1</f>
        <v>0.50705251814882035</v>
      </c>
      <c r="U34" s="32"/>
    </row>
    <row r="35" spans="1:21" ht="15" thickBot="1" x14ac:dyDescent="0.35">
      <c r="A35" s="56" t="s">
        <v>70</v>
      </c>
      <c r="B35" s="47">
        <f>איילון!D76</f>
        <v>1250</v>
      </c>
      <c r="C35" s="47">
        <f>איילון!E76</f>
        <v>301886.92</v>
      </c>
      <c r="D35" s="47">
        <f>איילון!F76</f>
        <v>0</v>
      </c>
      <c r="E35" s="47">
        <f>איילון!G76</f>
        <v>0</v>
      </c>
      <c r="F35" s="42">
        <v>1</v>
      </c>
      <c r="G35" s="42">
        <f>איילון!E76/איילון!I76-1</f>
        <v>-0.25825917753619587</v>
      </c>
      <c r="H35" s="42">
        <v>0</v>
      </c>
      <c r="I35" s="41">
        <v>0</v>
      </c>
      <c r="U35" s="32"/>
    </row>
    <row r="36" spans="1:21" ht="16.2" thickBot="1" x14ac:dyDescent="0.35">
      <c r="A36" s="144" t="s">
        <v>71</v>
      </c>
      <c r="B36" s="43">
        <f>הכשרה!D76</f>
        <v>0</v>
      </c>
      <c r="C36" s="43">
        <f>הכשרה!E76</f>
        <v>2710</v>
      </c>
      <c r="D36" s="43">
        <f>הכשרה!F76</f>
        <v>0</v>
      </c>
      <c r="E36" s="43">
        <f>הכשרה!G76</f>
        <v>0</v>
      </c>
      <c r="F36" s="42">
        <v>0</v>
      </c>
      <c r="G36" s="42">
        <f>הכשרה!E76/הכשרה!I76-1</f>
        <v>-9.3645484949832825E-2</v>
      </c>
      <c r="H36" s="42">
        <v>1</v>
      </c>
      <c r="I36" s="42">
        <v>0</v>
      </c>
      <c r="R36" s="189" t="s">
        <v>125</v>
      </c>
      <c r="S36" s="48"/>
      <c r="T36" s="48"/>
      <c r="U36" s="49"/>
    </row>
    <row r="37" spans="1:21" ht="31.8" thickBot="1" x14ac:dyDescent="0.35">
      <c r="A37" s="144" t="s">
        <v>110</v>
      </c>
      <c r="B37" s="43">
        <f>'מדיהו '!D76</f>
        <v>0</v>
      </c>
      <c r="C37" s="43">
        <f>'מדיהו '!E76</f>
        <v>16869</v>
      </c>
      <c r="D37" s="43">
        <f>'מדיהו '!F76</f>
        <v>0</v>
      </c>
      <c r="E37" s="45">
        <f>'מדיהו '!G76</f>
        <v>0</v>
      </c>
      <c r="F37" s="42">
        <v>0</v>
      </c>
      <c r="G37" s="42">
        <f>'מדיהו '!E76/'מדיהו '!I76-1</f>
        <v>7.0790229885057467</v>
      </c>
      <c r="H37" s="42">
        <v>0</v>
      </c>
      <c r="I37" s="42">
        <v>0</v>
      </c>
      <c r="R37" s="190" t="s">
        <v>122</v>
      </c>
      <c r="S37" s="191" t="s">
        <v>123</v>
      </c>
      <c r="T37" s="191" t="s">
        <v>126</v>
      </c>
      <c r="U37" s="191" t="s">
        <v>127</v>
      </c>
    </row>
    <row r="38" spans="1:21" ht="15.6" x14ac:dyDescent="0.3">
      <c r="A38" s="144" t="s">
        <v>111</v>
      </c>
      <c r="B38" s="43">
        <f>'אנליסט '!D76</f>
        <v>0</v>
      </c>
      <c r="C38" s="43">
        <f>'אנליסט '!E76</f>
        <v>0</v>
      </c>
      <c r="D38" s="43">
        <f>'אנליסט '!F76</f>
        <v>18116538.170000002</v>
      </c>
      <c r="E38" s="43">
        <f>'אנליסט '!G76</f>
        <v>0</v>
      </c>
      <c r="F38" s="42">
        <v>0</v>
      </c>
      <c r="G38" s="42">
        <v>0</v>
      </c>
      <c r="H38" s="42">
        <f>'אנליסט '!F76/'אנליסט '!J76-1</f>
        <v>-0.13617071022112681</v>
      </c>
      <c r="I38" s="42">
        <v>0</v>
      </c>
      <c r="R38" s="26" t="s">
        <v>25</v>
      </c>
      <c r="S38" s="19">
        <v>-0.41942988442271567</v>
      </c>
      <c r="T38" s="20">
        <v>-138690.44885835325</v>
      </c>
      <c r="U38" s="21">
        <v>191973.7551223443</v>
      </c>
    </row>
    <row r="39" spans="1:21" ht="15.6" x14ac:dyDescent="0.3">
      <c r="A39" s="144" t="s">
        <v>112</v>
      </c>
      <c r="B39" s="43">
        <f>'מיטב דש'!D76</f>
        <v>0</v>
      </c>
      <c r="C39" s="43">
        <f>'מיטב דש'!E76</f>
        <v>0</v>
      </c>
      <c r="D39" s="43">
        <f>'מיטב דש'!F76</f>
        <v>0</v>
      </c>
      <c r="E39" s="43">
        <f>'מיטב דש'!G76</f>
        <v>0</v>
      </c>
      <c r="F39" s="42">
        <v>0</v>
      </c>
      <c r="G39" s="42">
        <v>0</v>
      </c>
      <c r="H39" s="42">
        <v>0</v>
      </c>
      <c r="I39" s="42">
        <v>0</v>
      </c>
      <c r="R39" s="30" t="s">
        <v>1</v>
      </c>
      <c r="S39" s="19">
        <v>-0.56000000000000005</v>
      </c>
      <c r="T39" s="20">
        <v>-502390.88964660623</v>
      </c>
      <c r="U39" s="21">
        <v>244728.17522679683</v>
      </c>
    </row>
    <row r="40" spans="1:21" ht="15.6" x14ac:dyDescent="0.3">
      <c r="A40" s="144" t="s">
        <v>113</v>
      </c>
      <c r="B40" s="43">
        <f>אינפניטי!D76</f>
        <v>0</v>
      </c>
      <c r="C40" s="43">
        <f>אינפניטי!E76</f>
        <v>0</v>
      </c>
      <c r="D40" s="43">
        <f>אינפניטי!F76</f>
        <v>0</v>
      </c>
      <c r="E40" s="43">
        <f>אינפניטי!G76</f>
        <v>0</v>
      </c>
      <c r="F40" s="42">
        <v>0</v>
      </c>
      <c r="G40" s="42">
        <v>0</v>
      </c>
      <c r="H40" s="42">
        <v>0</v>
      </c>
      <c r="I40" s="42">
        <v>0</v>
      </c>
      <c r="R40" s="26" t="s">
        <v>86</v>
      </c>
      <c r="S40" s="19">
        <v>-0.72531855585101623</v>
      </c>
      <c r="T40" s="20">
        <v>-76929.916140680434</v>
      </c>
      <c r="U40" s="21">
        <v>29133.71</v>
      </c>
    </row>
    <row r="41" spans="1:21" ht="21.6" thickBot="1" x14ac:dyDescent="0.35">
      <c r="A41" s="139" t="s">
        <v>72</v>
      </c>
      <c r="B41" s="140">
        <f>SUM(B28:B40)</f>
        <v>22596877.132060416</v>
      </c>
      <c r="C41" s="141">
        <f>SUM(C28:C40)</f>
        <v>3395928.1391425347</v>
      </c>
      <c r="D41" s="141">
        <f>SUM(D28:D40)</f>
        <v>87944165.470933214</v>
      </c>
      <c r="E41" s="142">
        <f>SUM(E28:E40)</f>
        <v>105117176.22500002</v>
      </c>
      <c r="F41" s="143">
        <f>('תפוקה מצטברת מול אשתקד'!H76-'תפוקה מצטברת מול אשתקד'!L76)/'תפוקה מצטברת מול אשתקד'!L76</f>
        <v>0.20375896655846273</v>
      </c>
      <c r="G41" s="143">
        <f>('תפוקה מצטברת מול אשתקד'!I76-'תפוקה מצטברת מול אשתקד'!M76)/'תפוקה מצטברת מול אשתקד'!M76</f>
        <v>-7.3031127637607579E-2</v>
      </c>
      <c r="H41" s="143">
        <f>('תפוקה מצטברת מול אשתקד'!J76-'תפוקה מצטברת מול אשתקד'!N76)/'תפוקה מצטברת מול אשתקד'!N76</f>
        <v>8.4798074088817871E-2</v>
      </c>
      <c r="I41" s="143">
        <f>('תפוקה מצטברת מול אשתקד'!K76-'תפוקה מצטברת מול אשתקד'!O76)/'תפוקה מצטברת מול אשתקד'!O76</f>
        <v>1.9712705722824419E-2</v>
      </c>
      <c r="R41" s="30" t="s">
        <v>37</v>
      </c>
      <c r="S41" s="19">
        <v>-0.93571863914668818</v>
      </c>
      <c r="T41" s="20">
        <v>-115972.94099999999</v>
      </c>
      <c r="U41" s="21">
        <v>7967.03</v>
      </c>
    </row>
    <row r="42" spans="1:21" ht="31.2" x14ac:dyDescent="0.3">
      <c r="R42" s="30" t="s">
        <v>8</v>
      </c>
      <c r="S42" s="19">
        <v>-0.33182619820635295</v>
      </c>
      <c r="T42" s="20">
        <v>-68976.856062167528</v>
      </c>
      <c r="U42" s="21">
        <v>138893.57862627396</v>
      </c>
    </row>
  </sheetData>
  <mergeCells count="13">
    <mergeCell ref="A26:A27"/>
    <mergeCell ref="B26:E26"/>
    <mergeCell ref="A15:A16"/>
    <mergeCell ref="B15:E15"/>
    <mergeCell ref="F15:I15"/>
    <mergeCell ref="F26:I26"/>
    <mergeCell ref="A4:A5"/>
    <mergeCell ref="B4:E4"/>
    <mergeCell ref="R15:U15"/>
    <mergeCell ref="J4:M4"/>
    <mergeCell ref="F4:I4"/>
    <mergeCell ref="J15:M15"/>
    <mergeCell ref="N15:Q15"/>
  </mergeCells>
  <conditionalFormatting sqref="F28:I40">
    <cfRule type="cellIs" dxfId="381" priority="19" operator="lessThan">
      <formula>-0.0001</formula>
    </cfRule>
    <cfRule type="cellIs" dxfId="380" priority="20" operator="greaterThan">
      <formula>0.1</formula>
    </cfRule>
  </conditionalFormatting>
  <conditionalFormatting sqref="F6:M10">
    <cfRule type="cellIs" dxfId="379" priority="45" operator="lessThan">
      <formula>-0.0001</formula>
    </cfRule>
    <cfRule type="cellIs" dxfId="378" priority="46" operator="greaterThan">
      <formula>0.1</formula>
    </cfRule>
  </conditionalFormatting>
  <conditionalFormatting sqref="F17:M20">
    <cfRule type="cellIs" dxfId="377" priority="17" operator="lessThan">
      <formula>-0.0001</formula>
    </cfRule>
    <cfRule type="cellIs" dxfId="376" priority="18" operator="greaterThan">
      <formula>0.1</formula>
    </cfRule>
  </conditionalFormatting>
  <conditionalFormatting sqref="P5:P10">
    <cfRule type="cellIs" dxfId="375" priority="29" operator="lessThan">
      <formula>-0.0001</formula>
    </cfRule>
    <cfRule type="cellIs" dxfId="374" priority="30" operator="greaterThan">
      <formula>0.1</formula>
    </cfRule>
  </conditionalFormatting>
  <conditionalFormatting sqref="R38">
    <cfRule type="duplicateValues" dxfId="373" priority="7"/>
    <cfRule type="duplicateValues" dxfId="372" priority="8"/>
  </conditionalFormatting>
  <conditionalFormatting sqref="R39:R40">
    <cfRule type="duplicateValues" dxfId="371" priority="3"/>
    <cfRule type="duplicateValues" dxfId="370" priority="4"/>
  </conditionalFormatting>
  <conditionalFormatting sqref="R41:R42">
    <cfRule type="duplicateValues" dxfId="369" priority="1"/>
    <cfRule type="duplicateValues" dxfId="368" priority="2"/>
  </conditionalFormatting>
  <conditionalFormatting sqref="S27:S31">
    <cfRule type="cellIs" dxfId="367" priority="9" operator="lessThan">
      <formula>-0.0001</formula>
    </cfRule>
    <cfRule type="cellIs" dxfId="366" priority="10" operator="greaterThan">
      <formula>0.1</formula>
    </cfRule>
  </conditionalFormatting>
  <conditionalFormatting sqref="S38:S42">
    <cfRule type="cellIs" dxfId="365" priority="5" operator="lessThan">
      <formula>-0.0001</formula>
    </cfRule>
    <cfRule type="cellIs" dxfId="364" priority="6" operator="greaterThan">
      <formula>0.1</formula>
    </cfRule>
  </conditionalFormatting>
  <conditionalFormatting sqref="U8:U13">
    <cfRule type="cellIs" dxfId="363" priority="21" operator="lessThan">
      <formula>-0.0001</formula>
    </cfRule>
    <cfRule type="cellIs" dxfId="362" priority="22" operator="greaterThan">
      <formula>0.1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B721E-4C57-46C7-85BA-332EA5413B68}">
  <sheetPr>
    <tabColor theme="4" tint="0.39997558519241921"/>
  </sheetPr>
  <dimension ref="A1:R82"/>
  <sheetViews>
    <sheetView rightToLeft="1" topLeftCell="A50" workbookViewId="0">
      <selection activeCell="G48" sqref="G48"/>
    </sheetView>
  </sheetViews>
  <sheetFormatPr defaultColWidth="27.69921875" defaultRowHeight="15.75" customHeight="1" x14ac:dyDescent="0.25"/>
  <cols>
    <col min="1" max="1" width="27.59765625" style="94" bestFit="1" customWidth="1"/>
    <col min="2" max="2" width="10.09765625" style="4" bestFit="1" customWidth="1"/>
    <col min="3" max="3" width="10.3984375" style="4" bestFit="1" customWidth="1"/>
    <col min="4" max="4" width="10.69921875" style="3" bestFit="1" customWidth="1"/>
    <col min="5" max="5" width="11" style="3" bestFit="1" customWidth="1"/>
    <col min="6" max="6" width="11.69921875" style="3" bestFit="1" customWidth="1"/>
    <col min="7" max="7" width="13.59765625" style="3" bestFit="1" customWidth="1"/>
    <col min="8" max="8" width="14.69921875" style="3" bestFit="1" customWidth="1"/>
    <col min="9" max="9" width="13.59765625" style="3" bestFit="1" customWidth="1"/>
    <col min="10" max="10" width="15" style="3" bestFit="1" customWidth="1"/>
    <col min="11" max="11" width="16.09765625" style="3" bestFit="1" customWidth="1"/>
    <col min="12" max="12" width="15" style="3" bestFit="1" customWidth="1"/>
    <col min="13" max="13" width="13.59765625" style="3" bestFit="1" customWidth="1"/>
    <col min="14" max="15" width="16.3984375" style="3" bestFit="1" customWidth="1"/>
    <col min="16" max="16384" width="27.69921875" style="3"/>
  </cols>
  <sheetData>
    <row r="1" spans="1:16" ht="15.75" customHeight="1" x14ac:dyDescent="0.25">
      <c r="A1" s="26"/>
      <c r="B1" s="26"/>
      <c r="C1" s="26"/>
      <c r="D1" s="228" t="s">
        <v>52</v>
      </c>
      <c r="E1" s="228"/>
      <c r="F1" s="228"/>
      <c r="G1" s="100"/>
      <c r="H1" s="225" t="s">
        <v>133</v>
      </c>
      <c r="I1" s="226"/>
      <c r="J1" s="226"/>
      <c r="K1" s="227"/>
      <c r="L1" s="229" t="s">
        <v>134</v>
      </c>
      <c r="M1" s="230"/>
      <c r="N1" s="230"/>
      <c r="O1" s="230"/>
    </row>
    <row r="2" spans="1:16" ht="15.75" customHeight="1" x14ac:dyDescent="0.25">
      <c r="A2" s="11" t="s">
        <v>0</v>
      </c>
      <c r="B2" s="23" t="s">
        <v>53</v>
      </c>
      <c r="C2" s="23" t="s">
        <v>109</v>
      </c>
      <c r="D2" s="24" t="s">
        <v>46</v>
      </c>
      <c r="E2" s="24" t="s">
        <v>50</v>
      </c>
      <c r="F2" s="24" t="s">
        <v>51</v>
      </c>
      <c r="G2" s="24" t="s">
        <v>49</v>
      </c>
      <c r="H2" s="25" t="s">
        <v>46</v>
      </c>
      <c r="I2" s="25" t="s">
        <v>50</v>
      </c>
      <c r="J2" s="25" t="s">
        <v>48</v>
      </c>
      <c r="K2" s="25" t="s">
        <v>49</v>
      </c>
      <c r="L2" s="29" t="s">
        <v>46</v>
      </c>
      <c r="M2" s="29" t="s">
        <v>47</v>
      </c>
      <c r="N2" s="29" t="s">
        <v>48</v>
      </c>
      <c r="O2" s="29" t="s">
        <v>89</v>
      </c>
      <c r="P2" s="5"/>
    </row>
    <row r="3" spans="1:16" ht="15.75" customHeight="1" x14ac:dyDescent="0.25">
      <c r="A3" s="26" t="s">
        <v>1</v>
      </c>
      <c r="B3" s="26" t="s">
        <v>108</v>
      </c>
      <c r="C3" s="26" t="s">
        <v>58</v>
      </c>
      <c r="D3" s="19">
        <f>IF(H3=0,0%,IF(L3=0,100%,H3/L3-1))</f>
        <v>1.0391678263567101</v>
      </c>
      <c r="E3" s="19">
        <f>IF(I3=0,0%,IF(M3=0,100%,I3/M3-1))</f>
        <v>-0.67243751801693719</v>
      </c>
      <c r="F3" s="19">
        <f>IF(J3=0,0%,IF(N3=G29,100%,J3/N3-1))</f>
        <v>0.72840362195249209</v>
      </c>
      <c r="G3" s="19">
        <f>IF(K3=0,0%,IF(O3=H29,100%,K3/O3-1))</f>
        <v>0.97258295512455128</v>
      </c>
      <c r="H3" s="58">
        <f>VLOOKUP(A3,הכשרה!A:G,4,0)+VLOOKUP('תפוקה מצטברת מול אשתקד'!A3,מגדל!A:G,4,0)+VLOOKUP('תפוקה מצטברת מול אשתקד'!A3,מנורה!A:G,4,0)+VLOOKUP('תפוקה מצטברת מול אשתקד'!A3,איילון!A:G,4,0)+VLOOKUP('תפוקה מצטברת מול אשתקד'!A3,הראל!A:G,4,0)+VLOOKUP('תפוקה מצטברת מול אשתקד'!A3,הפניקס!A:G,4,0)+VLOOKUP('תפוקה מצטברת מול אשתקד'!A3,כלל!A:G,4,0)+VLOOKUP('תפוקה מצטברת מול אשתקד'!A3,מור!A:G,4,0)+VLOOKUP('תפוקה מצטברת מול אשתקד'!A3,'אלטשולר שחם'!A:G,4,0)+VLOOKUP('תפוקה מצטברת מול אשתקד'!A3,'מדיהו '!A:G,4,0)+VLOOKUP('תפוקה מצטברת מול אשתקד'!A3,'אנליסט '!A:G,4,0)+VLOOKUP('תפוקה מצטברת מול אשתקד'!A3,'מיטב דש'!A:G,4,0)+VLOOKUP('תפוקה מצטברת מול אשתקד'!A3,אינפניטי!A:G,4,0)</f>
        <v>6757134.2162941284</v>
      </c>
      <c r="I3" s="58">
        <f>VLOOKUP(A3,הכשרה!A:G,5,0)+VLOOKUP('תפוקה מצטברת מול אשתקד'!A3,מגדל!A:G,5,0)+VLOOKUP('תפוקה מצטברת מול אשתקד'!A3,מנורה!A:G,5,0)+VLOOKUP('תפוקה מצטברת מול אשתקד'!A3,איילון!A:G,5,0)+VLOOKUP('תפוקה מצטברת מול אשתקד'!A3,הראל!A:G,5,0)+VLOOKUP('תפוקה מצטברת מול אשתקד'!A3,הפניקס!A:G,5,0)+VLOOKUP('תפוקה מצטברת מול אשתקד'!A3,כלל!A:G,5,0)+VLOOKUP('תפוקה מצטברת מול אשתקד'!A3,מור!A:G,5,0)+VLOOKUP('תפוקה מצטברת מול אשתקד'!A3,'אלטשולר שחם'!A:G,5,0)+VLOOKUP('תפוקה מצטברת מול אשתקד'!A3,'מדיהו '!A:G,5,0)+VLOOKUP('תפוקה מצטברת מול אשתקד'!A3,'אנליסט '!A:G,5,0)+VLOOKUP('תפוקה מצטברת מול אשתקד'!A3,'מיטב דש'!A:G,5,0)+VLOOKUP('תפוקה מצטברת מול אשתקד'!A3,אינפניטי!A:G,5,0)</f>
        <v>244728.17522679683</v>
      </c>
      <c r="J3" s="58">
        <f>VLOOKUP(A3,הכשרה!A:G,6,0)+VLOOKUP('תפוקה מצטברת מול אשתקד'!A3,מגדל!A:G,6,0)+VLOOKUP('תפוקה מצטברת מול אשתקד'!A3,מנורה!A:G,6,0)+VLOOKUP('תפוקה מצטברת מול אשתקד'!A3,איילון!A:G,6,0)+VLOOKUP(A3,הראל!A:G,6,0)+VLOOKUP('תפוקה מצטברת מול אשתקד'!A3,הפניקס!A:G,6,0)+VLOOKUP('תפוקה מצטברת מול אשתקד'!A3,כלל!A:G,6,0)+VLOOKUP('תפוקה מצטברת מול אשתקד'!A3,מור!A:G,6,0)+VLOOKUP('תפוקה מצטברת מול אשתקד'!A3,'אלטשולר שחם'!A:G,6,0)+VLOOKUP('תפוקה מצטברת מול אשתקד'!A3,'מדיהו '!A:G,6,0)+VLOOKUP('תפוקה מצטברת מול אשתקד'!A3,'אנליסט '!A:G,6,0)+VLOOKUP('תפוקה מצטברת מול אשתקד'!A3,'מיטב דש'!A:G,6,0)+VLOOKUP('תפוקה מצטברת מול אשתקד'!A3,אינפניטי!A:G,6,0)</f>
        <v>18040300.901474498</v>
      </c>
      <c r="K3" s="58">
        <f>VLOOKUP(A3,הכשרה!A:G,7,0)+VLOOKUP('תפוקה מצטברת מול אשתקד'!A3,מגדל!A:G,7,0)+VLOOKUP('תפוקה מצטברת מול אשתקד'!A3,מנורה!A:G,7,0)+VLOOKUP('תפוקה מצטברת מול אשתקד'!A3,איילון!A:G,7,0)+VLOOKUP('תפוקה מצטברת מול אשתקד'!A3,הראל!A:G,7,0)+VLOOKUP('תפוקה מצטברת מול אשתקד'!A3,הפניקס!A:G,7,0)+VLOOKUP('תפוקה מצטברת מול אשתקד'!A3,כלל!A:G,7,0)+VLOOKUP('תפוקה מצטברת מול אשתקד'!A3,מור!A:G,7,0)+VLOOKUP('תפוקה מצטברת מול אשתקד'!A3,'אלטשולר שחם'!A:G,7,0)+VLOOKUP('תפוקה מצטברת מול אשתקד'!A3,'מדיהו '!A:K,7,0)+VLOOKUP(A3,'אנליסט '!A:G,7,0)+VLOOKUP('תפוקה מצטברת מול אשתקד'!A3,'מיטב דש'!A:G,7,0)+VLOOKUP('תפוקה מצטברת מול אשתקד'!A3,אינפניטי!A:G,7,0)</f>
        <v>43938898.460000001</v>
      </c>
      <c r="L3" s="12">
        <f>VLOOKUP(A3,הכשרה!A:K,8,0)+VLOOKUP('תפוקה מצטברת מול אשתקד'!A3,מגדל!A:K,8,0)+VLOOKUP('תפוקה מצטברת מול אשתקד'!A3,מנורה!A:K,8,0)+VLOOKUP('תפוקה מצטברת מול אשתקד'!A3,איילון!A:K,8,0)+VLOOKUP('תפוקה מצטברת מול אשתקד'!A3,הראל!A:K,8,0)+VLOOKUP('תפוקה מצטברת מול אשתקד'!A3,הפניקס!A:K,8,0)+VLOOKUP('תפוקה מצטברת מול אשתקד'!A3,כלל!A:K,8,0)+VLOOKUP('תפוקה מצטברת מול אשתקד'!A3,מור!A:K,8,0)+VLOOKUP('תפוקה מצטברת מול אשתקד'!A3,'אלטשולר שחם'!A:K,8,0)+VLOOKUP('תפוקה מצטברת מול אשתקד'!A3,'מדיהו '!A:K,8,0)+VLOOKUP('תפוקה מצטברת מול אשתקד'!A3,'אנליסט '!A:K,8,0)+VLOOKUP('תפוקה מצטברת מול אשתקד'!A3,'מיטב דש'!A:K,8,0)+VLOOKUP('תפוקה מצטברת מול אשתקד'!A3,אינפניטי!A:K,8,0)</f>
        <v>3313672.434880849</v>
      </c>
      <c r="M3" s="12">
        <f>VLOOKUP(A3,הכשרה!A:K,9,0)+VLOOKUP('תפוקה מצטברת מול אשתקד'!A3,מגדל!A:K,9,0)+VLOOKUP('תפוקה מצטברת מול אשתקד'!A3,מנורה!A:K,9,0)+VLOOKUP('תפוקה מצטברת מול אשתקד'!A3,איילון!A:K,9,0)+VLOOKUP('תפוקה מצטברת מול אשתקד'!A3,הראל!A:K,9,0)+VLOOKUP('תפוקה מצטברת מול אשתקד'!A3,הפניקס!A:K,9,0)+VLOOKUP('תפוקה מצטברת מול אשתקד'!A3,כלל!A:K,9,0)+VLOOKUP('תפוקה מצטברת מול אשתקד'!A3,מור!A:K,9,0)+VLOOKUP('תפוקה מצטברת מול אשתקד'!A3,'אלטשולר שחם'!A:K,9,0)+VLOOKUP('תפוקה מצטברת מול אשתקד'!A3,'מדיהו '!A:K,9,0)+VLOOKUP('תפוקה מצטברת מול אשתקד'!A3,'אנליסט '!A:K,9,0)+VLOOKUP('תפוקה מצטברת מול אשתקד'!A3,'מיטב דש'!A:K,9,0)+VLOOKUP('תפוקה מצטברת מול אשתקד'!A3,אינפניטי!A:K,9,0)</f>
        <v>747119.06487340305</v>
      </c>
      <c r="N3" s="12">
        <f>VLOOKUP(A3,הכשרה!A:K,10,0)+VLOOKUP('תפוקה מצטברת מול אשתקד'!A3,מגדל!A:K,10,0)+VLOOKUP('תפוקה מצטברת מול אשתקד'!A3,מנורה!A:K,10,0)+VLOOKUP('תפוקה מצטברת מול אשתקד'!A3,איילון!A:K,10,0)+VLOOKUP('תפוקה מצטברת מול אשתקד'!A3,הראל!A:K,10,0)+VLOOKUP('תפוקה מצטברת מול אשתקד'!A3,הפניקס!A:K,10,0)+VLOOKUP('תפוקה מצטברת מול אשתקד'!A3,כלל!A:K,10,0)+VLOOKUP('תפוקה מצטברת מול אשתקד'!A3,מור!A:K,10,0)+VLOOKUP('תפוקה מצטברת מול אשתקד'!A3,'אלטשולר שחם'!A:K,10,0)+VLOOKUP('תפוקה מצטברת מול אשתקד'!A3,'מדיהו '!A:K,10,0)+VLOOKUP('תפוקה מצטברת מול אשתקד'!A3,'אנליסט '!A:K,10,0)+VLOOKUP('תפוקה מצטברת מול אשתקד'!A3,'מיטב דש'!A:K,10,0)+VLOOKUP('תפוקה מצטברת מול אשתקד'!A3,אינפניטי!A:K,10,0)</f>
        <v>10437550.970354518</v>
      </c>
      <c r="O3" s="12">
        <f>VLOOKUP(A3,הכשרה!A:K,11,0)+VLOOKUP('תפוקה מצטברת מול אשתקד'!A3,מגדל!A:K,11,0)+VLOOKUP('תפוקה מצטברת מול אשתקד'!A3,מנורה!A:K,11,0)+VLOOKUP('תפוקה מצטברת מול אשתקד'!A3,איילון!A:K,11,0)+VLOOKUP('תפוקה מצטברת מול אשתקד'!A3,הראל!A:K,11,0)+VLOOKUP('תפוקה מצטברת מול אשתקד'!A3,הפניקס!A:K,11,0)+VLOOKUP('תפוקה מצטברת מול אשתקד'!A3,כלל!A:K,11,0)+VLOOKUP('תפוקה מצטברת מול אשתקד'!A3,מור!A:K,11,0)+VLOOKUP('תפוקה מצטברת מול אשתקד'!A3,'אלטשולר שחם'!A:K,11,0)+VLOOKUP('תפוקה מצטברת מול אשתקד'!A3,'מדיהו '!A:K,11,0)+VLOOKUP('תפוקה מצטברת מול אשתקד'!A3,'אנליסט '!A:K,11,0)+VLOOKUP('תפוקה מצטברת מול אשתקד'!A3,'מיטב דש'!A:K,11,0)+VLOOKUP('תפוקה מצטברת מול אשתקד'!A3,אינפניטי!A:K,11,0)</f>
        <v>22274803.878768001</v>
      </c>
      <c r="P3" s="89"/>
    </row>
    <row r="4" spans="1:16" ht="15.75" customHeight="1" x14ac:dyDescent="0.25">
      <c r="A4" s="26" t="s">
        <v>2</v>
      </c>
      <c r="B4" s="26" t="s">
        <v>108</v>
      </c>
      <c r="C4" s="26" t="s">
        <v>58</v>
      </c>
      <c r="D4" s="19">
        <f t="shared" ref="D4:F69" si="0">IF(H4=0,0%,IF(L4=0,100%,H4/L4-1))</f>
        <v>-0.39036176403703715</v>
      </c>
      <c r="E4" s="19">
        <f t="shared" ref="E4:E26" si="1">IF(I4=0,0%,IF(M4=0,100%,I4/M4-1))</f>
        <v>-0.42309205208360368</v>
      </c>
      <c r="F4" s="19">
        <f t="shared" ref="F4:F26" si="2">IF(J4=0,0%,IF(N4=0,100%,J4/N4-1))</f>
        <v>-0.64992808772589372</v>
      </c>
      <c r="G4" s="19">
        <f>IF(K4=0,0%,IF(O4=H30,100%,K4/O4-1))</f>
        <v>-0.77627578884006354</v>
      </c>
      <c r="H4" s="58">
        <f>VLOOKUP(A4,הכשרה!A:G,4,0)+VLOOKUP('תפוקה מצטברת מול אשתקד'!A4,מגדל!A:G,4,0)+VLOOKUP('תפוקה מצטברת מול אשתקד'!A4,מנורה!A:G,4,0)+VLOOKUP('תפוקה מצטברת מול אשתקד'!A4,איילון!A:G,4,0)+VLOOKUP('תפוקה מצטברת מול אשתקד'!A4,הראל!A:G,4,0)+VLOOKUP('תפוקה מצטברת מול אשתקד'!A4,הפניקס!A:G,4,0)+VLOOKUP('תפוקה מצטברת מול אשתקד'!A4,כלל!A:G,4,0)+VLOOKUP('תפוקה מצטברת מול אשתקד'!A4,מור!A:G,4,0)+VLOOKUP('תפוקה מצטברת מול אשתקד'!A4,'אלטשולר שחם'!A:G,4,0)+VLOOKUP('תפוקה מצטברת מול אשתקד'!A4,'מדיהו '!A:G,4,0)+VLOOKUP('תפוקה מצטברת מול אשתקד'!A4,'אנליסט '!A:G,4,0)+VLOOKUP('תפוקה מצטברת מול אשתקד'!A4,'מיטב דש'!A:G,4,0)+VLOOKUP('תפוקה מצטברת מול אשתקד'!A4,אינפניטי!A:G,4,0)</f>
        <v>419302.96694589802</v>
      </c>
      <c r="I4" s="58">
        <f>VLOOKUP(A4,הכשרה!A:G,5,0)+VLOOKUP('תפוקה מצטברת מול אשתקד'!A4,מגדל!A:G,5,0)+VLOOKUP('תפוקה מצטברת מול אשתקד'!A4,מנורה!A:G,5,0)+VLOOKUP('תפוקה מצטברת מול אשתקד'!A4,איילון!A:G,5,0)+VLOOKUP('תפוקה מצטברת מול אשתקד'!A4,הראל!A:G,5,0)+VLOOKUP('תפוקה מצטברת מול אשתקד'!A4,הפניקס!A:G,5,0)+VLOOKUP('תפוקה מצטברת מול אשתקד'!A4,כלל!A:G,5,0)+VLOOKUP('תפוקה מצטברת מול אשתקד'!A4,מור!A:G,5,0)+VLOOKUP('תפוקה מצטברת מול אשתקד'!A4,'אלטשולר שחם'!A:G,5,0)+VLOOKUP('תפוקה מצטברת מול אשתקד'!A4,'מדיהו '!A:G,5,0)+VLOOKUP('תפוקה מצטברת מול אשתקד'!A4,'אנליסט '!A:G,5,0)+VLOOKUP('תפוקה מצטברת מול אשתקד'!A4,'מיטב דש'!A:G,5,0)+VLOOKUP('תפוקה מצטברת מול אשתקד'!A4,אינפניטי!A:G,5,0)</f>
        <v>3936.1091768826632</v>
      </c>
      <c r="J4" s="58">
        <f>VLOOKUP(A4,הכשרה!A:G,6,0)+VLOOKUP('תפוקה מצטברת מול אשתקד'!A4,מגדל!A:G,6,0)+VLOOKUP('תפוקה מצטברת מול אשתקד'!A4,מנורה!A:G,6,0)+VLOOKUP('תפוקה מצטברת מול אשתקד'!A4,איילון!A:G,6,0)+VLOOKUP(A4,הראל!A:G,6,0)+VLOOKUP('תפוקה מצטברת מול אשתקד'!A4,הפניקס!A:G,6,0)+VLOOKUP('תפוקה מצטברת מול אשתקד'!A4,כלל!A:G,6,0)+VLOOKUP('תפוקה מצטברת מול אשתקד'!A4,מור!A:G,6,0)+VLOOKUP('תפוקה מצטברת מול אשתקד'!A4,'אלטשולר שחם'!A:G,6,0)+VLOOKUP('תפוקה מצטברת מול אשתקד'!A4,'מדיהו '!A:G,6,0)+VLOOKUP('תפוקה מצטברת מול אשתקד'!A4,'אנליסט '!A:G,6,0)+VLOOKUP('תפוקה מצטברת מול אשתקד'!A4,'מיטב דש'!A:G,6,0)+VLOOKUP('תפוקה מצטברת מול אשתקד'!A4,אינפניטי!A:G,6,0)</f>
        <v>2535750.2724563922</v>
      </c>
      <c r="K4" s="58">
        <f>VLOOKUP(A4,הכשרה!A:G,7,0)+VLOOKUP('תפוקה מצטברת מול אשתקד'!A4,מגדל!A:G,7,0)+VLOOKUP('תפוקה מצטברת מול אשתקד'!A4,מנורה!A:G,7,0)+VLOOKUP('תפוקה מצטברת מול אשתקד'!A4,איילון!A:G,7,0)+VLOOKUP('תפוקה מצטברת מול אשתקד'!A4,הראל!A:G,7,0)+VLOOKUP('תפוקה מצטברת מול אשתקד'!A4,הפניקס!A:G,7,0)+VLOOKUP('תפוקה מצטברת מול אשתקד'!A4,כלל!A:G,7,0)+VLOOKUP('תפוקה מצטברת מול אשתקד'!A4,מור!A:G,7,0)+VLOOKUP('תפוקה מצטברת מול אשתקד'!A4,'אלטשולר שחם'!A:G,7,0)+VLOOKUP('תפוקה מצטברת מול אשתקד'!A4,'מדיהו '!A:K,7,0)+VLOOKUP(A4,'אנליסט '!A:G,7,0)+VLOOKUP('תפוקה מצטברת מול אשתקד'!A4,'מיטב דש'!A:G,7,0)+VLOOKUP('תפוקה מצטברת מול אשתקד'!A4,אינפניטי!A:G,7,0)</f>
        <v>1490442.5400000005</v>
      </c>
      <c r="L4" s="12">
        <f>VLOOKUP(A4,הכשרה!A:K,8,0)+VLOOKUP('תפוקה מצטברת מול אשתקד'!A4,מגדל!A:K,8,0)+VLOOKUP('תפוקה מצטברת מול אשתקד'!A4,מנורה!A:K,8,0)+VLOOKUP('תפוקה מצטברת מול אשתקד'!A4,איילון!A:K,8,0)+VLOOKUP('תפוקה מצטברת מול אשתקד'!A4,הראל!A:K,8,0)+VLOOKUP('תפוקה מצטברת מול אשתקד'!A4,הפניקס!A:K,8,0)+VLOOKUP('תפוקה מצטברת מול אשתקד'!A4,כלל!A:K,8,0)+VLOOKUP('תפוקה מצטברת מול אשתקד'!A4,מור!A:K,8,0)+VLOOKUP('תפוקה מצטברת מול אשתקד'!A4,'אלטשולר שחם'!A:K,8,0)+VLOOKUP('תפוקה מצטברת מול אשתקד'!A4,'מדיהו '!A:K,8,0)+VLOOKUP('תפוקה מצטברת מול אשתקד'!A4,'אנליסט '!A:K,8,0)+VLOOKUP('תפוקה מצטברת מול אשתקד'!A4,'מיטב דש'!A:K,8,0)+VLOOKUP('תפוקה מצטברת מול אשתקד'!A4,אינפניטי!A:K,8,0)</f>
        <v>687789.81076142972</v>
      </c>
      <c r="M4" s="12">
        <f>VLOOKUP(A4,הכשרה!A:K,9,0)+VLOOKUP('תפוקה מצטברת מול אשתקד'!A4,מגדל!A:K,9,0)+VLOOKUP('תפוקה מצטברת מול אשתקד'!A4,מנורה!A:K,9,0)+VLOOKUP('תפוקה מצטברת מול אשתקד'!A4,איילון!A:K,9,0)+VLOOKUP('תפוקה מצטברת מול אשתקד'!A4,הראל!A:K,9,0)+VLOOKUP('תפוקה מצטברת מול אשתקד'!A4,הפניקס!A:K,9,0)+VLOOKUP('תפוקה מצטברת מול אשתקד'!A4,כלל!A:K,9,0)+VLOOKUP('תפוקה מצטברת מול אשתקד'!A4,מור!A:K,9,0)+VLOOKUP('תפוקה מצטברת מול אשתקד'!A4,'אלטשולר שחם'!A:K,9,0)+VLOOKUP('תפוקה מצטברת מול אשתקד'!A4,'מדיהו '!A:K,9,0)+VLOOKUP('תפוקה מצטברת מול אשתקד'!A4,'אנליסט '!A:K,9,0)+VLOOKUP('תפוקה מצטברת מול אשתקד'!A4,'מיטב דש'!A:K,9,0)+VLOOKUP('תפוקה מצטברת מול אשתקד'!A4,אינפניטי!A:K,9,0)</f>
        <v>6822.768157552011</v>
      </c>
      <c r="N4" s="12">
        <f>VLOOKUP(A4,הכשרה!A:K,10,0)+VLOOKUP('תפוקה מצטברת מול אשתקד'!A4,מגדל!A:K,10,0)+VLOOKUP('תפוקה מצטברת מול אשתקד'!A4,מנורה!A:K,10,0)+VLOOKUP('תפוקה מצטברת מול אשתקד'!A4,איילון!A:K,10,0)+VLOOKUP('תפוקה מצטברת מול אשתקד'!A4,הראל!A:K,10,0)+VLOOKUP('תפוקה מצטברת מול אשתקד'!A4,הפניקס!A:K,10,0)+VLOOKUP('תפוקה מצטברת מול אשתקד'!A4,כלל!A:K,10,0)+VLOOKUP('תפוקה מצטברת מול אשתקד'!A4,מור!A:K,10,0)+VLOOKUP('תפוקה מצטברת מול אשתקד'!A4,'אלטשולר שחם'!A:K,10,0)+VLOOKUP('תפוקה מצטברת מול אשתקד'!A4,'מדיהו '!A:K,10,0)+VLOOKUP('תפוקה מצטברת מול אשתקד'!A4,'אנליסט '!A:K,10,0)+VLOOKUP('תפוקה מצטברת מול אשתקד'!A4,'מיטב דש'!A:K,10,0)+VLOOKUP('תפוקה מצטברת מול אשתקד'!A4,אינפניטי!A:K,10,0)</f>
        <v>7243512.4999999991</v>
      </c>
      <c r="O4" s="12">
        <f>VLOOKUP(A4,הכשרה!A:K,11,0)+VLOOKUP('תפוקה מצטברת מול אשתקד'!A4,מגדל!A:K,11,0)+VLOOKUP('תפוקה מצטברת מול אשתקד'!A4,מנורה!A:K,11,0)+VLOOKUP('תפוקה מצטברת מול אשתקד'!A4,איילון!A:K,11,0)+VLOOKUP('תפוקה מצטברת מול אשתקד'!A4,הראל!A:K,11,0)+VLOOKUP('תפוקה מצטברת מול אשתקד'!A4,הפניקס!A:K,11,0)+VLOOKUP('תפוקה מצטברת מול אשתקד'!A4,כלל!A:K,11,0)+VLOOKUP('תפוקה מצטברת מול אשתקד'!A4,מור!A:K,11,0)+VLOOKUP('תפוקה מצטברת מול אשתקד'!A4,'אלטשולר שחם'!A:K,11,0)+VLOOKUP('תפוקה מצטברת מול אשתקד'!A4,'מדיהו '!A:K,11,0)+VLOOKUP('תפוקה מצטברת מול אשתקד'!A4,'אנליסט '!A:K,11,0)+VLOOKUP('תפוקה מצטברת מול אשתקד'!A4,'מיטב דש'!A:K,11,0)+VLOOKUP('תפוקה מצטברת מול אשתקד'!A4,אינפניטי!A:K,11,0)</f>
        <v>6661963.5500000007</v>
      </c>
      <c r="P4" s="89"/>
    </row>
    <row r="5" spans="1:16" ht="15.75" customHeight="1" x14ac:dyDescent="0.25">
      <c r="A5" s="26" t="s">
        <v>104</v>
      </c>
      <c r="B5" s="26" t="s">
        <v>108</v>
      </c>
      <c r="C5" s="26" t="s">
        <v>58</v>
      </c>
      <c r="D5" s="19">
        <f t="shared" si="0"/>
        <v>0</v>
      </c>
      <c r="E5" s="19">
        <f t="shared" si="1"/>
        <v>1</v>
      </c>
      <c r="F5" s="19">
        <f t="shared" si="2"/>
        <v>1</v>
      </c>
      <c r="G5" s="19">
        <f>IF(K5=0,0%,IF(O5=H31,100%,K5/O5-1))</f>
        <v>0</v>
      </c>
      <c r="H5" s="58">
        <f>VLOOKUP(A5,הכשרה!A:G,4,0)+VLOOKUP('תפוקה מצטברת מול אשתקד'!A5,מגדל!A:G,4,0)+VLOOKUP('תפוקה מצטברת מול אשתקד'!A5,מנורה!A:G,4,0)+VLOOKUP('תפוקה מצטברת מול אשתקד'!A5,איילון!A:G,4,0)+VLOOKUP('תפוקה מצטברת מול אשתקד'!A5,הראל!A:G,4,0)+VLOOKUP('תפוקה מצטברת מול אשתקד'!A5,הפניקס!A:G,4,0)+VLOOKUP('תפוקה מצטברת מול אשתקד'!A5,כלל!A:G,4,0)+VLOOKUP('תפוקה מצטברת מול אשתקד'!A5,מור!A:G,4,0)+VLOOKUP('תפוקה מצטברת מול אשתקד'!A5,'אלטשולר שחם'!A:G,4,0)+VLOOKUP('תפוקה מצטברת מול אשתקד'!A5,'מדיהו '!A:G,4,0)+VLOOKUP('תפוקה מצטברת מול אשתקד'!A5,'אנליסט '!A:G,4,0)+VLOOKUP('תפוקה מצטברת מול אשתקד'!A5,'מיטב דש'!A:G,4,0)+VLOOKUP('תפוקה מצטברת מול אשתקד'!A5,אינפניטי!A:G,4,0)</f>
        <v>0</v>
      </c>
      <c r="I5" s="58">
        <f>VLOOKUP(A5,הכשרה!A:G,5,0)+VLOOKUP('תפוקה מצטברת מול אשתקד'!A5,מגדל!A:G,5,0)+VLOOKUP('תפוקה מצטברת מול אשתקד'!A5,מנורה!A:G,5,0)+VLOOKUP('תפוקה מצטברת מול אשתקד'!A5,איילון!A:G,5,0)+VLOOKUP('תפוקה מצטברת מול אשתקד'!A5,הראל!A:G,5,0)+VLOOKUP('תפוקה מצטברת מול אשתקד'!A5,הפניקס!A:G,5,0)+VLOOKUP('תפוקה מצטברת מול אשתקד'!A5,כלל!A:G,5,0)+VLOOKUP('תפוקה מצטברת מול אשתקד'!A5,מור!A:G,5,0)+VLOOKUP('תפוקה מצטברת מול אשתקד'!A5,'אלטשולר שחם'!A:G,5,0)+VLOOKUP('תפוקה מצטברת מול אשתקד'!A5,'מדיהו '!A:G,5,0)+VLOOKUP('תפוקה מצטברת מול אשתקד'!A5,'אנליסט '!A:G,5,0)+VLOOKUP('תפוקה מצטברת מול אשתקד'!A5,'מיטב דש'!A:G,5,0)+VLOOKUP('תפוקה מצטברת מול אשתקד'!A5,אינפניטי!A:G,5,0)</f>
        <v>47762.663776774483</v>
      </c>
      <c r="J5" s="58">
        <f>VLOOKUP(A5,הכשרה!A:G,6,0)+VLOOKUP('תפוקה מצטברת מול אשתקד'!A5,מגדל!A:G,6,0)+VLOOKUP('תפוקה מצטברת מול אשתקד'!A5,מנורה!A:G,6,0)+VLOOKUP('תפוקה מצטברת מול אשתקד'!A5,איילון!A:G,6,0)+VLOOKUP(A5,הראל!A:G,6,0)+VLOOKUP('תפוקה מצטברת מול אשתקד'!A5,הפניקס!A:G,6,0)+VLOOKUP('תפוקה מצטברת מול אשתקד'!A5,כלל!A:G,6,0)+VLOOKUP('תפוקה מצטברת מול אשתקד'!A5,מור!A:G,6,0)+VLOOKUP('תפוקה מצטברת מול אשתקד'!A5,'אלטשולר שחם'!A:G,6,0)+VLOOKUP('תפוקה מצטברת מול אשתקד'!A5,'מדיהו '!A:G,6,0)+VLOOKUP('תפוקה מצטברת מול אשתקד'!A5,'אנליסט '!A:G,6,0)+VLOOKUP('תפוקה מצטברת מול אשתקד'!A5,'מיטב דש'!A:G,6,0)+VLOOKUP('תפוקה מצטברת מול אשתקד'!A5,אינפניטי!A:G,6,0)</f>
        <v>300000</v>
      </c>
      <c r="K5" s="58">
        <f>VLOOKUP(A5,הכשרה!A:G,7,0)+VLOOKUP('תפוקה מצטברת מול אשתקד'!A5,מגדל!A:G,7,0)+VLOOKUP('תפוקה מצטברת מול אשתקד'!A5,מנורה!A:G,7,0)+VLOOKUP('תפוקה מצטברת מול אשתקד'!A5,איילון!A:G,7,0)+VLOOKUP('תפוקה מצטברת מול אשתקד'!A5,הראל!A:G,7,0)+VLOOKUP('תפוקה מצטברת מול אשתקד'!A5,הפניקס!A:G,7,0)+VLOOKUP('תפוקה מצטברת מול אשתקד'!A5,כלל!A:G,7,0)+VLOOKUP('תפוקה מצטברת מול אשתקד'!A5,מור!A:G,7,0)+VLOOKUP('תפוקה מצטברת מול אשתקד'!A5,'אלטשולר שחם'!A:G,7,0)+VLOOKUP('תפוקה מצטברת מול אשתקד'!A5,'מדיהו '!A:K,7,0)+VLOOKUP(A5,'אנליסט '!A:G,7,0)+VLOOKUP('תפוקה מצטברת מול אשתקד'!A5,'מיטב דש'!A:G,7,0)+VLOOKUP('תפוקה מצטברת מול אשתקד'!A5,אינפניטי!A:G,7,0)</f>
        <v>0</v>
      </c>
      <c r="L5" s="12">
        <f>VLOOKUP(A5,הכשרה!A:K,8,0)+VLOOKUP('תפוקה מצטברת מול אשתקד'!A5,מגדל!A:K,8,0)+VLOOKUP('תפוקה מצטברת מול אשתקד'!A5,מנורה!A:K,8,0)+VLOOKUP('תפוקה מצטברת מול אשתקד'!A5,איילון!A:K,8,0)+VLOOKUP('תפוקה מצטברת מול אשתקד'!A5,הראל!A:K,8,0)+VLOOKUP('תפוקה מצטברת מול אשתקד'!A5,הפניקס!A:K,8,0)+VLOOKUP('תפוקה מצטברת מול אשתקד'!A5,כלל!A:K,8,0)+VLOOKUP('תפוקה מצטברת מול אשתקד'!A5,מור!A:K,8,0)+VLOOKUP('תפוקה מצטברת מול אשתקד'!A5,'אלטשולר שחם'!A:K,8,0)+VLOOKUP('תפוקה מצטברת מול אשתקד'!A5,'מדיהו '!A:K,8,0)+VLOOKUP('תפוקה מצטברת מול אשתקד'!A5,'אנליסט '!A:K,8,0)+VLOOKUP('תפוקה מצטברת מול אשתקד'!A5,'מיטב דש'!A:K,8,0)+VLOOKUP('תפוקה מצטברת מול אשתקד'!A5,אינפניטי!A:K,8,0)</f>
        <v>0</v>
      </c>
      <c r="M5" s="12">
        <f>VLOOKUP(A5,הכשרה!A:K,9,0)+VLOOKUP('תפוקה מצטברת מול אשתקד'!A5,מגדל!A:K,9,0)+VLOOKUP('תפוקה מצטברת מול אשתקד'!A5,מנורה!A:K,9,0)+VLOOKUP('תפוקה מצטברת מול אשתקד'!A5,איילון!A:K,9,0)+VLOOKUP('תפוקה מצטברת מול אשתקד'!A5,הראל!A:K,9,0)+VLOOKUP('תפוקה מצטברת מול אשתקד'!A5,הפניקס!A:K,9,0)+VLOOKUP('תפוקה מצטברת מול אשתקד'!A5,כלל!A:K,9,0)+VLOOKUP('תפוקה מצטברת מול אשתקד'!A5,מור!A:K,9,0)+VLOOKUP('תפוקה מצטברת מול אשתקד'!A5,'אלטשולר שחם'!A:K,9,0)+VLOOKUP('תפוקה מצטברת מול אשתקד'!A5,'מדיהו '!A:K,9,0)+VLOOKUP('תפוקה מצטברת מול אשתקד'!A5,'אנליסט '!A:K,9,0)+VLOOKUP('תפוקה מצטברת מול אשתקד'!A5,'מיטב דש'!A:K,9,0)+VLOOKUP('תפוקה מצטברת מול אשתקד'!A5,אינפניטי!A:K,9,0)</f>
        <v>0</v>
      </c>
      <c r="N5" s="12">
        <f>VLOOKUP(A5,הכשרה!A:K,10,0)+VLOOKUP('תפוקה מצטברת מול אשתקד'!A5,מגדל!A:K,10,0)+VLOOKUP('תפוקה מצטברת מול אשתקד'!A5,מנורה!A:K,10,0)+VLOOKUP('תפוקה מצטברת מול אשתקד'!A5,איילון!A:K,10,0)+VLOOKUP('תפוקה מצטברת מול אשתקד'!A5,הראל!A:K,10,0)+VLOOKUP('תפוקה מצטברת מול אשתקד'!A5,הפניקס!A:K,10,0)+VLOOKUP('תפוקה מצטברת מול אשתקד'!A5,כלל!A:K,10,0)+VLOOKUP('תפוקה מצטברת מול אשתקד'!A5,מור!A:K,10,0)+VLOOKUP('תפוקה מצטברת מול אשתקד'!A5,'אלטשולר שחם'!A:K,10,0)+VLOOKUP('תפוקה מצטברת מול אשתקד'!A5,'מדיהו '!A:K,10,0)+VLOOKUP('תפוקה מצטברת מול אשתקד'!A5,'אנליסט '!A:K,10,0)+VLOOKUP('תפוקה מצטברת מול אשתקד'!A5,'מיטב דש'!A:K,10,0)+VLOOKUP('תפוקה מצטברת מול אשתקד'!A5,אינפניטי!A:K,10,0)</f>
        <v>0</v>
      </c>
      <c r="O5" s="12">
        <f>VLOOKUP(A5,הכשרה!A:K,11,0)+VLOOKUP('תפוקה מצטברת מול אשתקד'!A5,מגדל!A:K,11,0)+VLOOKUP('תפוקה מצטברת מול אשתקד'!A5,מנורה!A:K,11,0)+VLOOKUP('תפוקה מצטברת מול אשתקד'!A5,איילון!A:K,11,0)+VLOOKUP('תפוקה מצטברת מול אשתקד'!A5,הראל!A:K,11,0)+VLOOKUP('תפוקה מצטברת מול אשתקד'!A5,הפניקס!A:K,11,0)+VLOOKUP('תפוקה מצטברת מול אשתקד'!A5,כלל!A:K,11,0)+VLOOKUP('תפוקה מצטברת מול אשתקד'!A5,מור!A:K,11,0)+VLOOKUP('תפוקה מצטברת מול אשתקד'!A5,'אלטשולר שחם'!A:K,11,0)+VLOOKUP('תפוקה מצטברת מול אשתקד'!A5,'מדיהו '!A:K,11,0)+VLOOKUP('תפוקה מצטברת מול אשתקד'!A5,'אנליסט '!A:K,11,0)+VLOOKUP('תפוקה מצטברת מול אשתקד'!A5,'מיטב דש'!A:K,11,0)+VLOOKUP('תפוקה מצטברת מול אשתקד'!A5,אינפניטי!A:K,11,0)</f>
        <v>0</v>
      </c>
      <c r="P5" s="89"/>
    </row>
    <row r="6" spans="1:16" ht="15.75" customHeight="1" x14ac:dyDescent="0.25">
      <c r="A6" s="28" t="s">
        <v>105</v>
      </c>
      <c r="B6" s="26" t="s">
        <v>108</v>
      </c>
      <c r="C6" s="28" t="s">
        <v>58</v>
      </c>
      <c r="D6" s="101">
        <f t="shared" si="0"/>
        <v>1</v>
      </c>
      <c r="E6" s="101">
        <f t="shared" si="1"/>
        <v>1</v>
      </c>
      <c r="F6" s="101">
        <f t="shared" si="2"/>
        <v>1</v>
      </c>
      <c r="G6" s="19">
        <v>1</v>
      </c>
      <c r="H6" s="58">
        <f>VLOOKUP(A6,הכשרה!A:G,4,0)+VLOOKUP('תפוקה מצטברת מול אשתקד'!A6,מגדל!A:G,4,0)+VLOOKUP('תפוקה מצטברת מול אשתקד'!A6,מנורה!A:G,4,0)+VLOOKUP('תפוקה מצטברת מול אשתקד'!A6,איילון!A:G,4,0)+VLOOKUP('תפוקה מצטברת מול אשתקד'!A6,הראל!A:G,4,0)+VLOOKUP('תפוקה מצטברת מול אשתקד'!A6,הפניקס!A:G,4,0)+VLOOKUP('תפוקה מצטברת מול אשתקד'!A6,כלל!A:G,4,0)+VLOOKUP('תפוקה מצטברת מול אשתקד'!A6,מור!A:G,4,0)+VLOOKUP('תפוקה מצטברת מול אשתקד'!A6,'אלטשולר שחם'!A:G,4,0)+VLOOKUP('תפוקה מצטברת מול אשתקד'!A6,'מדיהו '!A:G,4,0)+VLOOKUP('תפוקה מצטברת מול אשתקד'!A6,'אנליסט '!A:G,4,0)+VLOOKUP('תפוקה מצטברת מול אשתקד'!A6,'מיטב דש'!A:G,4,0)+VLOOKUP('תפוקה מצטברת מול אשתקד'!A6,אינפניטי!A:G,4,0)</f>
        <v>9117.1362674978809</v>
      </c>
      <c r="I6" s="58">
        <f>VLOOKUP(A6,הכשרה!A:G,5,0)+VLOOKUP('תפוקה מצטברת מול אשתקד'!A6,מגדל!A:G,5,0)+VLOOKUP('תפוקה מצטברת מול אשתקד'!A6,מנורה!A:G,5,0)+VLOOKUP('תפוקה מצטברת מול אשתקד'!A6,איילון!A:G,5,0)+VLOOKUP('תפוקה מצטברת מול אשתקד'!A6,הראל!A:G,5,0)+VLOOKUP('תפוקה מצטברת מול אשתקד'!A6,הפניקס!A:G,5,0)+VLOOKUP('תפוקה מצטברת מול אשתקד'!A6,כלל!A:G,5,0)+VLOOKUP('תפוקה מצטברת מול אשתקד'!A6,מור!A:G,5,0)+VLOOKUP('תפוקה מצטברת מול אשתקד'!A6,'אלטשולר שחם'!A:G,5,0)+VLOOKUP('תפוקה מצטברת מול אשתקד'!A6,'מדיהו '!A:G,5,0)+VLOOKUP('תפוקה מצטברת מול אשתקד'!A6,'אנליסט '!A:G,5,0)+VLOOKUP('תפוקה מצטברת מול אשתקד'!A6,'מיטב דש'!A:G,5,0)+VLOOKUP('תפוקה מצטברת מול אשתקד'!A6,אינפניטי!A:G,5,0)</f>
        <v>34130.668955372668</v>
      </c>
      <c r="J6" s="58">
        <f>VLOOKUP(A6,הכשרה!A:G,6,0)+VLOOKUP('תפוקה מצטברת מול אשתקד'!A6,מגדל!A:G,6,0)+VLOOKUP('תפוקה מצטברת מול אשתקד'!A6,מנורה!A:G,6,0)+VLOOKUP('תפוקה מצטברת מול אשתקד'!A6,איילון!A:G,6,0)+VLOOKUP(A6,הראל!A:G,6,0)+VLOOKUP('תפוקה מצטברת מול אשתקד'!A6,הפניקס!A:G,6,0)+VLOOKUP('תפוקה מצטברת מול אשתקד'!A6,כלל!A:G,6,0)+VLOOKUP('תפוקה מצטברת מול אשתקד'!A6,מור!A:G,6,0)+VLOOKUP('תפוקה מצטברת מול אשתקד'!A6,'אלטשולר שחם'!A:G,6,0)+VLOOKUP('תפוקה מצטברת מול אשתקד'!A6,'מדיהו '!A:G,6,0)+VLOOKUP('תפוקה מצטברת מול אשתקד'!A6,'אנליסט '!A:G,6,0)+VLOOKUP('תפוקה מצטברת מול אשתקד'!A6,'מיטב דש'!A:G,6,0)+VLOOKUP('תפוקה מצטברת מול אשתקד'!A6,אינפניטי!A:G,6,0)</f>
        <v>515090.01</v>
      </c>
      <c r="K6" s="58">
        <f>VLOOKUP(A6,הכשרה!A:G,7,0)+VLOOKUP('תפוקה מצטברת מול אשתקד'!A6,מגדל!A:G,7,0)+VLOOKUP('תפוקה מצטברת מול אשתקד'!A6,מנורה!A:G,7,0)+VLOOKUP('תפוקה מצטברת מול אשתקד'!A6,איילון!A:G,7,0)+VLOOKUP('תפוקה מצטברת מול אשתקד'!A6,הראל!A:G,7,0)+VLOOKUP('תפוקה מצטברת מול אשתקד'!A6,הפניקס!A:G,7,0)+VLOOKUP('תפוקה מצטברת מול אשתקד'!A6,כלל!A:G,7,0)+VLOOKUP('תפוקה מצטברת מול אשתקד'!A6,מור!A:G,7,0)+VLOOKUP('תפוקה מצטברת מול אשתקד'!A6,'אלטשולר שחם'!A:G,7,0)+VLOOKUP('תפוקה מצטברת מול אשתקד'!A6,'מדיהו '!A:K,7,0)+VLOOKUP(A6,'אנליסט '!A:G,7,0)+VLOOKUP('תפוקה מצטברת מול אשתקד'!A6,'מיטב דש'!A:G,7,0)+VLOOKUP('תפוקה מצטברת מול אשתקד'!A6,אינפניטי!A:G,7,0)</f>
        <v>-106250.98999999999</v>
      </c>
      <c r="L6" s="12">
        <f>VLOOKUP(A6,הכשרה!A:K,8,0)+VLOOKUP('תפוקה מצטברת מול אשתקד'!A6,מגדל!A:K,8,0)+VLOOKUP('תפוקה מצטברת מול אשתקד'!A6,מנורה!A:K,8,0)+VLOOKUP('תפוקה מצטברת מול אשתקד'!A6,איילון!A:K,8,0)+VLOOKUP('תפוקה מצטברת מול אשתקד'!A6,הראל!A:K,8,0)+VLOOKUP('תפוקה מצטברת מול אשתקד'!A6,הפניקס!A:K,8,0)+VLOOKUP('תפוקה מצטברת מול אשתקד'!A6,כלל!A:K,8,0)+VLOOKUP('תפוקה מצטברת מול אשתקד'!A6,מור!A:K,8,0)+VLOOKUP('תפוקה מצטברת מול אשתקד'!A6,'אלטשולר שחם'!A:K,8,0)+VLOOKUP('תפוקה מצטברת מול אשתקד'!A6,'מדיהו '!A:K,8,0)+VLOOKUP('תפוקה מצטברת מול אשתקד'!A6,'אנליסט '!A:K,8,0)+VLOOKUP('תפוקה מצטברת מול אשתקד'!A6,'מיטב דש'!A:K,8,0)+VLOOKUP('תפוקה מצטברת מול אשתקד'!A6,אינפניטי!A:K,8,0)</f>
        <v>0</v>
      </c>
      <c r="M6" s="12">
        <f>VLOOKUP(A6,הכשרה!A:K,9,0)+VLOOKUP('תפוקה מצטברת מול אשתקד'!A6,מגדל!A:K,9,0)+VLOOKUP('תפוקה מצטברת מול אשתקד'!A6,מנורה!A:K,9,0)+VLOOKUP('תפוקה מצטברת מול אשתקד'!A6,איילון!A:K,9,0)+VLOOKUP('תפוקה מצטברת מול אשתקד'!A6,הראל!A:K,9,0)+VLOOKUP('תפוקה מצטברת מול אשתקד'!A6,הפניקס!A:K,9,0)+VLOOKUP('תפוקה מצטברת מול אשתקד'!A6,כלל!A:K,9,0)+VLOOKUP('תפוקה מצטברת מול אשתקד'!A6,מור!A:K,9,0)+VLOOKUP('תפוקה מצטברת מול אשתקד'!A6,'אלטשולר שחם'!A:K,9,0)+VLOOKUP('תפוקה מצטברת מול אשתקד'!A6,'מדיהו '!A:K,9,0)+VLOOKUP('תפוקה מצטברת מול אשתקד'!A6,'אנליסט '!A:K,9,0)+VLOOKUP('תפוקה מצטברת מול אשתקד'!A6,'מיטב דש'!A:K,9,0)+VLOOKUP('תפוקה מצטברת מול אשתקד'!A6,אינפניטי!A:K,9,0)</f>
        <v>0</v>
      </c>
      <c r="N6" s="12">
        <f>VLOOKUP(A6,הכשרה!A:K,10,0)+VLOOKUP('תפוקה מצטברת מול אשתקד'!A6,מגדל!A:K,10,0)+VLOOKUP('תפוקה מצטברת מול אשתקד'!A6,מנורה!A:K,10,0)+VLOOKUP('תפוקה מצטברת מול אשתקד'!A6,איילון!A:K,10,0)+VLOOKUP('תפוקה מצטברת מול אשתקד'!A6,הראל!A:K,10,0)+VLOOKUP('תפוקה מצטברת מול אשתקד'!A6,הפניקס!A:K,10,0)+VLOOKUP('תפוקה מצטברת מול אשתקד'!A6,כלל!A:K,10,0)+VLOOKUP('תפוקה מצטברת מול אשתקד'!A6,מור!A:K,10,0)+VLOOKUP('תפוקה מצטברת מול אשתקד'!A6,'אלטשולר שחם'!A:K,10,0)+VLOOKUP('תפוקה מצטברת מול אשתקד'!A6,'מדיהו '!A:K,10,0)+VLOOKUP('תפוקה מצטברת מול אשתקד'!A6,'אנליסט '!A:K,10,0)+VLOOKUP('תפוקה מצטברת מול אשתקד'!A6,'מיטב דש'!A:K,10,0)+VLOOKUP('תפוקה מצטברת מול אשתקד'!A6,אינפניטי!A:K,10,0)</f>
        <v>0</v>
      </c>
      <c r="O6" s="12">
        <f>VLOOKUP(A6,הכשרה!A:K,11,0)+VLOOKUP('תפוקה מצטברת מול אשתקד'!A6,מגדל!A:K,11,0)+VLOOKUP('תפוקה מצטברת מול אשתקד'!A6,מנורה!A:K,11,0)+VLOOKUP('תפוקה מצטברת מול אשתקד'!A6,איילון!A:K,11,0)+VLOOKUP('תפוקה מצטברת מול אשתקד'!A6,הראל!A:K,11,0)+VLOOKUP('תפוקה מצטברת מול אשתקד'!A6,הפניקס!A:K,11,0)+VLOOKUP('תפוקה מצטברת מול אשתקד'!A6,כלל!A:K,11,0)+VLOOKUP('תפוקה מצטברת מול אשתקד'!A6,מור!A:K,11,0)+VLOOKUP('תפוקה מצטברת מול אשתקד'!A6,'אלטשולר שחם'!A:K,11,0)+VLOOKUP('תפוקה מצטברת מול אשתקד'!A6,'מדיהו '!A:K,11,0)+VLOOKUP('תפוקה מצטברת מול אשתקד'!A6,'אנליסט '!A:K,11,0)+VLOOKUP('תפוקה מצטברת מול אשתקד'!A6,'מיטב דש'!A:K,11,0)+VLOOKUP('תפוקה מצטברת מול אשתקד'!A6,אינפניטי!A:K,11,0)</f>
        <v>0</v>
      </c>
      <c r="P6" s="89"/>
    </row>
    <row r="7" spans="1:16" ht="15.75" customHeight="1" thickBot="1" x14ac:dyDescent="0.3">
      <c r="A7" s="26" t="s">
        <v>34</v>
      </c>
      <c r="B7" s="26" t="s">
        <v>108</v>
      </c>
      <c r="C7" s="27" t="s">
        <v>58</v>
      </c>
      <c r="D7" s="19">
        <f>IF(H7=0,0%,IF(L7=0,100%,H7/L7-1))</f>
        <v>-0.51197310958594766</v>
      </c>
      <c r="E7" s="19">
        <f>IF(I7=0,0%,IF(M7=0,100%,I7/M7-1))</f>
        <v>-0.56579272493067201</v>
      </c>
      <c r="F7" s="19">
        <f>IF(J7=0,0%,IF(N7=0,100%,J7/N7-1))</f>
        <v>0.1653881151097838</v>
      </c>
      <c r="G7" s="19">
        <f>IF(K7=0,0%,IF(O7=H74,100%,K7/O7-1))</f>
        <v>-0.4987126503058803</v>
      </c>
      <c r="H7" s="58">
        <f>VLOOKUP(A7,הכשרה!A:G,4,0)+VLOOKUP('תפוקה מצטברת מול אשתקד'!A7,מגדל!A:G,4,0)+VLOOKUP('תפוקה מצטברת מול אשתקד'!A7,מנורה!A:G,4,0)+VLOOKUP('תפוקה מצטברת מול אשתקד'!A7,איילון!A:G,4,0)+VLOOKUP('תפוקה מצטברת מול אשתקד'!A7,הראל!A:G,4,0)+VLOOKUP('תפוקה מצטברת מול אשתקד'!A7,הפניקס!A:G,4,0)+VLOOKUP('תפוקה מצטברת מול אשתקד'!A7,כלל!A:G,4,0)+VLOOKUP('תפוקה מצטברת מול אשתקד'!A7,מור!A:G,4,0)+VLOOKUP('תפוקה מצטברת מול אשתקד'!A7,'אלטשולר שחם'!A:G,4,0)+VLOOKUP('תפוקה מצטברת מול אשתקד'!A7,'מדיהו '!A:G,4,0)+VLOOKUP('תפוקה מצטברת מול אשתקד'!A7,'אנליסט '!A:G,4,0)+VLOOKUP('תפוקה מצטברת מול אשתקד'!A7,'מיטב דש'!A:G,4,0)+VLOOKUP('תפוקה מצטברת מול אשתקד'!A7,אינפניטי!A:G,4,0)</f>
        <v>19363.97</v>
      </c>
      <c r="I7" s="58">
        <f>VLOOKUP(A7,הכשרה!A:G,5,0)+VLOOKUP('תפוקה מצטברת מול אשתקד'!A7,מגדל!A:G,5,0)+VLOOKUP('תפוקה מצטברת מול אשתקד'!A7,מנורה!A:G,5,0)+VLOOKUP('תפוקה מצטברת מול אשתקד'!A7,איילון!A:G,5,0)+VLOOKUP('תפוקה מצטברת מול אשתקד'!A7,הראל!A:G,5,0)+VLOOKUP('תפוקה מצטברת מול אשתקד'!A7,הפניקס!A:G,5,0)+VLOOKUP('תפוקה מצטברת מול אשתקד'!A7,כלל!A:G,5,0)+VLOOKUP('תפוקה מצטברת מול אשתקד'!A7,מור!A:G,5,0)+VLOOKUP('תפוקה מצטברת מול אשתקד'!A7,'אלטשולר שחם'!A:G,5,0)+VLOOKUP('תפוקה מצטברת מול אשתקד'!A7,'מדיהו '!A:G,5,0)+VLOOKUP('תפוקה מצטברת מול אשתקד'!A7,'אנליסט '!A:G,5,0)+VLOOKUP('תפוקה מצטברת מול אשתקד'!A7,'מיטב דש'!A:G,5,0)+VLOOKUP('תפוקה מצטברת מול אשתקד'!A7,אינפניטי!A:G,5,0)</f>
        <v>1253.06</v>
      </c>
      <c r="J7" s="58">
        <f>VLOOKUP(A7,הכשרה!A:G,6,0)+VLOOKUP('תפוקה מצטברת מול אשתקד'!A7,מגדל!A:G,6,0)+VLOOKUP('תפוקה מצטברת מול אשתקד'!A7,מנורה!A:G,6,0)+VLOOKUP('תפוקה מצטברת מול אשתקד'!A7,איילון!A:G,6,0)+VLOOKUP(A7,הראל!A:G,6,0)+VLOOKUP('תפוקה מצטברת מול אשתקד'!A7,הפניקס!A:G,6,0)+VLOOKUP('תפוקה מצטברת מול אשתקד'!A7,כלל!A:G,6,0)+VLOOKUP('תפוקה מצטברת מול אשתקד'!A7,מור!A:G,6,0)+VLOOKUP('תפוקה מצטברת מול אשתקד'!A7,'אלטשולר שחם'!A:G,6,0)+VLOOKUP('תפוקה מצטברת מול אשתקד'!A7,'מדיהו '!A:G,6,0)+VLOOKUP('תפוקה מצטברת מול אשתקד'!A7,'אנליסט '!A:G,6,0)+VLOOKUP('תפוקה מצטברת מול אשתקד'!A7,'מיטב דש'!A:G,6,0)+VLOOKUP('תפוקה מצטברת מול אשתקד'!A7,אינפניטי!A:G,6,0)</f>
        <v>12192.71</v>
      </c>
      <c r="K7" s="58">
        <f>VLOOKUP(A7,הכשרה!A:G,7,0)+VLOOKUP('תפוקה מצטברת מול אשתקד'!A7,מגדל!A:G,7,0)+VLOOKUP('תפוקה מצטברת מול אשתקד'!A7,מנורה!A:G,7,0)+VLOOKUP('תפוקה מצטברת מול אשתקד'!A7,איילון!A:G,7,0)+VLOOKUP('תפוקה מצטברת מול אשתקד'!A7,הראל!A:G,7,0)+VLOOKUP('תפוקה מצטברת מול אשתקד'!A7,הפניקס!A:G,7,0)+VLOOKUP('תפוקה מצטברת מול אשתקד'!A7,כלל!A:G,7,0)+VLOOKUP('תפוקה מצטברת מול אשתקד'!A7,מור!A:G,7,0)+VLOOKUP('תפוקה מצטברת מול אשתקד'!A7,'אלטשולר שחם'!A:G,7,0)+VLOOKUP('תפוקה מצטברת מול אשתקד'!A7,'מדיהו '!A:K,7,0)+VLOOKUP(A7,'אנליסט '!A:G,7,0)+VLOOKUP('תפוקה מצטברת מול אשתקד'!A7,'מיטב דש'!A:G,7,0)+VLOOKUP('תפוקה מצטברת מול אשתקד'!A7,אינפניטי!A:G,7,0)</f>
        <v>52996.639999999999</v>
      </c>
      <c r="L7" s="12">
        <f>VLOOKUP(A7,הכשרה!A:K,8,0)+VLOOKUP('תפוקה מצטברת מול אשתקד'!A7,מגדל!A:K,8,0)+VLOOKUP('תפוקה מצטברת מול אשתקד'!A7,מנורה!A:K,8,0)+VLOOKUP('תפוקה מצטברת מול אשתקד'!A7,איילון!A:K,8,0)+VLOOKUP('תפוקה מצטברת מול אשתקד'!A7,הראל!A:K,8,0)+VLOOKUP('תפוקה מצטברת מול אשתקד'!A7,הפניקס!A:K,8,0)+VLOOKUP('תפוקה מצטברת מול אשתקד'!A7,כלל!A:K,8,0)+VLOOKUP('תפוקה מצטברת מול אשתקד'!A7,מור!A:K,8,0)+VLOOKUP('תפוקה מצטברת מול אשתקד'!A7,'אלטשולר שחם'!A:K,8,0)+VLOOKUP('תפוקה מצטברת מול אשתקד'!A7,'מדיהו '!A:K,8,0)+VLOOKUP('תפוקה מצטברת מול אשתקד'!A7,'אנליסט '!A:K,8,0)+VLOOKUP('תפוקה מצטברת מול אשתקד'!A7,'מיטב דש'!A:K,8,0)+VLOOKUP('תפוקה מצטברת מול אשתקד'!A7,אינפניטי!A:K,8,0)</f>
        <v>39678.080000000002</v>
      </c>
      <c r="M7" s="12">
        <f>VLOOKUP(A7,הכשרה!A:K,9,0)+VLOOKUP('תפוקה מצטברת מול אשתקד'!A7,מגדל!A:K,9,0)+VLOOKUP('תפוקה מצטברת מול אשתקד'!A7,מנורה!A:K,9,0)+VLOOKUP('תפוקה מצטברת מול אשתקד'!A7,איילון!A:K,9,0)+VLOOKUP('תפוקה מצטברת מול אשתקד'!A7,הראל!A:K,9,0)+VLOOKUP('תפוקה מצטברת מול אשתקד'!A7,הפניקס!A:K,9,0)+VLOOKUP('תפוקה מצטברת מול אשתקד'!A7,כלל!A:K,9,0)+VLOOKUP('תפוקה מצטברת מול אשתקד'!A7,מור!A:K,9,0)+VLOOKUP('תפוקה מצטברת מול אשתקד'!A7,'אלטשולר שחם'!A:K,9,0)+VLOOKUP('תפוקה מצטברת מול אשתקד'!A7,'מדיהו '!A:K,9,0)+VLOOKUP('תפוקה מצטברת מול אשתקד'!A7,'אנליסט '!A:K,9,0)+VLOOKUP('תפוקה מצטברת מול אשתקד'!A7,'מיטב דש'!A:K,9,0)+VLOOKUP('תפוקה מצטברת מול אשתקד'!A7,אינפניטי!A:K,9,0)</f>
        <v>2885.8567600000001</v>
      </c>
      <c r="N7" s="12">
        <f>VLOOKUP(A7,הכשרה!A:K,10,0)+VLOOKUP('תפוקה מצטברת מול אשתקד'!A7,מגדל!A:K,10,0)+VLOOKUP('תפוקה מצטברת מול אשתקד'!A7,מנורה!A:K,10,0)+VLOOKUP('תפוקה מצטברת מול אשתקד'!A7,איילון!A:K,10,0)+VLOOKUP('תפוקה מצטברת מול אשתקד'!A7,הראל!A:K,10,0)+VLOOKUP('תפוקה מצטברת מול אשתקד'!A7,הפניקס!A:K,10,0)+VLOOKUP('תפוקה מצטברת מול אשתקד'!A7,כלל!A:K,10,0)+VLOOKUP('תפוקה מצטברת מול אשתקד'!A7,מור!A:K,10,0)+VLOOKUP('תפוקה מצטברת מול אשתקד'!A7,'אלטשולר שחם'!A:K,10,0)+VLOOKUP('תפוקה מצטברת מול אשתקד'!A7,'מדיהו '!A:K,10,0)+VLOOKUP('תפוקה מצטברת מול אשתקד'!A7,'אנליסט '!A:K,10,0)+VLOOKUP('תפוקה מצטברת מול אשתקד'!A7,'מיטב דש'!A:K,10,0)+VLOOKUP('תפוקה מצטברת מול אשתקד'!A7,אינפניטי!A:K,10,0)</f>
        <v>10462.36</v>
      </c>
      <c r="O7" s="12">
        <f>VLOOKUP(A7,הכשרה!A:K,11,0)+VLOOKUP('תפוקה מצטברת מול אשתקד'!A7,מגדל!A:K,11,0)+VLOOKUP('תפוקה מצטברת מול אשתקד'!A7,מנורה!A:K,11,0)+VLOOKUP('תפוקה מצטברת מול אשתקד'!A7,איילון!A:K,11,0)+VLOOKUP('תפוקה מצטברת מול אשתקד'!A7,הראל!A:K,11,0)+VLOOKUP('תפוקה מצטברת מול אשתקד'!A7,הפניקס!A:K,11,0)+VLOOKUP('תפוקה מצטברת מול אשתקד'!A7,כלל!A:K,11,0)+VLOOKUP('תפוקה מצטברת מול אשתקד'!A7,מור!A:K,11,0)+VLOOKUP('תפוקה מצטברת מול אשתקד'!A7,'אלטשולר שחם'!A:K,11,0)+VLOOKUP('תפוקה מצטברת מול אשתקד'!A7,'מדיהו '!A:K,11,0)+VLOOKUP('תפוקה מצטברת מול אשתקד'!A7,'אנליסט '!A:K,11,0)+VLOOKUP('תפוקה מצטברת מול אשתקד'!A7,'מיטב דש'!A:K,11,0)+VLOOKUP('תפוקה מצטברת מול אשתקד'!A7,אינפניטי!A:K,11,0)</f>
        <v>105721.07999999999</v>
      </c>
    </row>
    <row r="8" spans="1:16" ht="26.4" customHeight="1" thickBot="1" x14ac:dyDescent="0.3">
      <c r="A8" s="122" t="s">
        <v>3</v>
      </c>
      <c r="B8" s="121"/>
      <c r="C8" s="121"/>
      <c r="D8" s="126">
        <f t="shared" si="0"/>
        <v>0.7828923791114355</v>
      </c>
      <c r="E8" s="126">
        <f t="shared" si="1"/>
        <v>-0.56157698560490465</v>
      </c>
      <c r="F8" s="126">
        <f t="shared" si="2"/>
        <v>0.20980711890931336</v>
      </c>
      <c r="G8" s="19">
        <f>IF(K8=0,0%,IF(O8=H75,100%,K8/O8-1))</f>
        <v>0.56240353288943701</v>
      </c>
      <c r="H8" s="124">
        <f>SUM(H3:H7)</f>
        <v>7204918.2895075241</v>
      </c>
      <c r="I8" s="124">
        <f t="shared" ref="I8:O8" si="3">SUM(I3:I7)</f>
        <v>331810.67713582661</v>
      </c>
      <c r="J8" s="124">
        <f t="shared" si="3"/>
        <v>21403333.893930893</v>
      </c>
      <c r="K8" s="124">
        <f t="shared" si="3"/>
        <v>45376086.649999999</v>
      </c>
      <c r="L8" s="124">
        <f t="shared" si="3"/>
        <v>4041140.3256422789</v>
      </c>
      <c r="M8" s="124">
        <f t="shared" si="3"/>
        <v>756827.68979095505</v>
      </c>
      <c r="N8" s="124">
        <f t="shared" si="3"/>
        <v>17691525.830354515</v>
      </c>
      <c r="O8" s="124">
        <f t="shared" si="3"/>
        <v>29042488.508768</v>
      </c>
    </row>
    <row r="9" spans="1:16" ht="15.75" customHeight="1" x14ac:dyDescent="0.25">
      <c r="A9" s="27" t="s">
        <v>4</v>
      </c>
      <c r="B9" s="26" t="s">
        <v>108</v>
      </c>
      <c r="C9" s="27" t="s">
        <v>106</v>
      </c>
      <c r="D9" s="103">
        <f t="shared" si="0"/>
        <v>14.734807844686079</v>
      </c>
      <c r="E9" s="103">
        <f t="shared" si="1"/>
        <v>0.6736298517884689</v>
      </c>
      <c r="F9" s="103">
        <f t="shared" si="2"/>
        <v>0</v>
      </c>
      <c r="G9" s="103">
        <f t="shared" ref="G9:G20" si="4">IF(K9=0,0%,IF(O9=H33,100%,K9/O9-1))</f>
        <v>-0.55518052301879506</v>
      </c>
      <c r="H9" s="58">
        <f>VLOOKUP(A9,הכשרה!A:G,4,0)+VLOOKUP('תפוקה מצטברת מול אשתקד'!A9,מגדל!A:G,4,0)+VLOOKUP('תפוקה מצטברת מול אשתקד'!A9,מנורה!A:G,4,0)+VLOOKUP('תפוקה מצטברת מול אשתקד'!A9,איילון!A:G,4,0)+VLOOKUP('תפוקה מצטברת מול אשתקד'!A9,הראל!A:G,4,0)+VLOOKUP('תפוקה מצטברת מול אשתקד'!A9,הפניקס!A:G,4,0)+VLOOKUP('תפוקה מצטברת מול אשתקד'!A9,כלל!A:G,4,0)+VLOOKUP('תפוקה מצטברת מול אשתקד'!A9,מור!A:G,4,0)+VLOOKUP('תפוקה מצטברת מול אשתקד'!A9,'אלטשולר שחם'!A:G,4,0)+VLOOKUP('תפוקה מצטברת מול אשתקד'!A9,'מדיהו '!A:G,4,0)+VLOOKUP('תפוקה מצטברת מול אשתקד'!A9,'אנליסט '!A:G,4,0)+VLOOKUP('תפוקה מצטברת מול אשתקד'!A9,'מיטב דש'!A:G,4,0)+VLOOKUP('תפוקה מצטברת מול אשתקד'!A9,אינפניטי!A:G,4,0)</f>
        <v>42413.399712023362</v>
      </c>
      <c r="I9" s="58">
        <f>VLOOKUP(A9,הכשרה!A:G,5,0)+VLOOKUP('תפוקה מצטברת מול אשתקד'!A9,מגדל!A:G,5,0)+VLOOKUP('תפוקה מצטברת מול אשתקד'!A9,מנורה!A:G,5,0)+VLOOKUP('תפוקה מצטברת מול אשתקד'!A9,איילון!A:G,5,0)+VLOOKUP('תפוקה מצטברת מול אשתקד'!A9,הראל!A:G,5,0)+VLOOKUP('תפוקה מצטברת מול אשתקד'!A9,הפניקס!A:G,5,0)+VLOOKUP('תפוקה מצטברת מול אשתקד'!A9,כלל!A:G,5,0)+VLOOKUP('תפוקה מצטברת מול אשתקד'!A9,מור!A:G,5,0)+VLOOKUP('תפוקה מצטברת מול אשתקד'!A9,'אלטשולר שחם'!A:G,5,0)+VLOOKUP('תפוקה מצטברת מול אשתקד'!A9,'מדיהו '!A:G,5,0)+VLOOKUP('תפוקה מצטברת מול אשתקד'!A9,'אנליסט '!A:G,5,0)+VLOOKUP('תפוקה מצטברת מול אשתקד'!A9,'מיטב דש'!A:G,5,0)+VLOOKUP('תפוקה מצטברת מול אשתקד'!A9,אינפניטי!A:G,5,0)</f>
        <v>1169.643</v>
      </c>
      <c r="J9" s="58">
        <f>VLOOKUP(A9,הכשרה!A:G,6,0)+VLOOKUP('תפוקה מצטברת מול אשתקד'!A9,מגדל!A:G,6,0)+VLOOKUP('תפוקה מצטברת מול אשתקד'!A9,מנורה!A:G,6,0)+VLOOKUP('תפוקה מצטברת מול אשתקד'!A9,איילון!A:G,6,0)+VLOOKUP(A9,הראל!A:G,6,0)+VLOOKUP('תפוקה מצטברת מול אשתקד'!A9,הפניקס!A:G,6,0)+VLOOKUP('תפוקה מצטברת מול אשתקד'!A9,כלל!A:G,6,0)+VLOOKUP('תפוקה מצטברת מול אשתקד'!A9,מור!A:G,6,0)+VLOOKUP('תפוקה מצטברת מול אשתקד'!A9,'אלטשולר שחם'!A:G,6,0)+VLOOKUP('תפוקה מצטברת מול אשתקד'!A9,'מדיהו '!A:G,6,0)+VLOOKUP('תפוקה מצטברת מול אשתקד'!A9,'אנליסט '!A:G,6,0)+VLOOKUP('תפוקה מצטברת מול אשתקד'!A9,'מיטב דש'!A:G,6,0)+VLOOKUP('תפוקה מצטברת מול אשתקד'!A9,אינפניטי!A:G,6,0)</f>
        <v>0</v>
      </c>
      <c r="K9" s="58">
        <f>VLOOKUP(A9,הכשרה!A:G,7,0)+VLOOKUP('תפוקה מצטברת מול אשתקד'!A9,מגדל!A:G,7,0)+VLOOKUP('תפוקה מצטברת מול אשתקד'!A9,מנורה!A:G,7,0)+VLOOKUP('תפוקה מצטברת מול אשתקד'!A9,איילון!A:G,7,0)+VLOOKUP('תפוקה מצטברת מול אשתקד'!A9,הראל!A:G,7,0)+VLOOKUP('תפוקה מצטברת מול אשתקד'!A9,הפניקס!A:G,7,0)+VLOOKUP('תפוקה מצטברת מול אשתקד'!A9,כלל!A:G,7,0)+VLOOKUP('תפוקה מצטברת מול אשתקד'!A9,מור!A:G,7,0)+VLOOKUP('תפוקה מצטברת מול אשתקד'!A9,'אלטשולר שחם'!A:G,7,0)+VLOOKUP('תפוקה מצטברת מול אשתקד'!A9,'מדיהו '!A:K,7,0)+VLOOKUP(A9,'אנליסט '!A:G,7,0)+VLOOKUP('תפוקה מצטברת מול אשתקד'!A9,'מיטב דש'!A:G,7,0)+VLOOKUP('תפוקה מצטברת מול אשתקד'!A9,אינפניטי!A:G,7,0)</f>
        <v>-312354.78999999998</v>
      </c>
      <c r="L9" s="12">
        <f>VLOOKUP(A9,הכשרה!A:K,8,0)+VLOOKUP('תפוקה מצטברת מול אשתקד'!A9,מגדל!A:K,8,0)+VLOOKUP('תפוקה מצטברת מול אשתקד'!A9,מנורה!A:K,8,0)+VLOOKUP('תפוקה מצטברת מול אשתקד'!A9,איילון!A:K,8,0)+VLOOKUP('תפוקה מצטברת מול אשתקד'!A9,הראל!A:K,8,0)+VLOOKUP('תפוקה מצטברת מול אשתקד'!A9,הפניקס!A:K,8,0)+VLOOKUP('תפוקה מצטברת מול אשתקד'!A9,כלל!A:K,8,0)+VLOOKUP('תפוקה מצטברת מול אשתקד'!A9,מור!A:K,8,0)+VLOOKUP('תפוקה מצטברת מול אשתקד'!A9,'אלטשולר שחם'!A:K,8,0)+VLOOKUP('תפוקה מצטברת מול אשתקד'!A9,'מדיהו '!A:K,8,0)+VLOOKUP('תפוקה מצטברת מול אשתקד'!A9,'אנליסט '!A:K,8,0)+VLOOKUP('תפוקה מצטברת מול אשתקד'!A9,'מיטב דש'!A:K,8,0)+VLOOKUP('תפוקה מצטברת מול אשתקד'!A9,אינפניטי!A:K,8,0)</f>
        <v>2695.5143100998916</v>
      </c>
      <c r="M9" s="12">
        <f>VLOOKUP(A9,הכשרה!A:K,9,0)+VLOOKUP('תפוקה מצטברת מול אשתקד'!A9,מגדל!A:K,9,0)+VLOOKUP('תפוקה מצטברת מול אשתקד'!A9,מנורה!A:K,9,0)+VLOOKUP('תפוקה מצטברת מול אשתקד'!A9,איילון!A:K,9,0)+VLOOKUP('תפוקה מצטברת מול אשתקד'!A9,הראל!A:K,9,0)+VLOOKUP('תפוקה מצטברת מול אשתקד'!A9,הפניקס!A:K,9,0)+VLOOKUP('תפוקה מצטברת מול אשתקד'!A9,כלל!A:K,9,0)+VLOOKUP('תפוקה מצטברת מול אשתקד'!A9,מור!A:K,9,0)+VLOOKUP('תפוקה מצטברת מול אשתקד'!A9,'אלטשולר שחם'!A:K,9,0)+VLOOKUP('תפוקה מצטברת מול אשתקד'!A9,'מדיהו '!A:K,9,0)+VLOOKUP('תפוקה מצטברת מול אשתקד'!A9,'אנליסט '!A:K,9,0)+VLOOKUP('תפוקה מצטברת מול אשתקד'!A9,'מיטב דש'!A:K,9,0)+VLOOKUP('תפוקה מצטברת מול אשתקד'!A9,אינפניטי!A:K,9,0)</f>
        <v>698.86599999999999</v>
      </c>
      <c r="N9" s="12">
        <f>VLOOKUP(A9,הכשרה!A:K,10,0)+VLOOKUP('תפוקה מצטברת מול אשתקד'!A9,מגדל!A:K,10,0)+VLOOKUP('תפוקה מצטברת מול אשתקד'!A9,מנורה!A:K,10,0)+VLOOKUP('תפוקה מצטברת מול אשתקד'!A9,איילון!A:K,10,0)+VLOOKUP('תפוקה מצטברת מול אשתקד'!A9,הראל!A:K,10,0)+VLOOKUP('תפוקה מצטברת מול אשתקד'!A9,הפניקס!A:K,10,0)+VLOOKUP('תפוקה מצטברת מול אשתקד'!A9,כלל!A:K,10,0)+VLOOKUP('תפוקה מצטברת מול אשתקד'!A9,מור!A:K,10,0)+VLOOKUP('תפוקה מצטברת מול אשתקד'!A9,'אלטשולר שחם'!A:K,10,0)+VLOOKUP('תפוקה מצטברת מול אשתקד'!A9,'מדיהו '!A:K,10,0)+VLOOKUP('תפוקה מצטברת מול אשתקד'!A9,'אנליסט '!A:K,10,0)+VLOOKUP('תפוקה מצטברת מול אשתקד'!A9,'מיטב דש'!A:K,10,0)+VLOOKUP('תפוקה מצטברת מול אשתקד'!A9,אינפניטי!A:K,10,0)</f>
        <v>0</v>
      </c>
      <c r="O9" s="12">
        <f>VLOOKUP(A9,הכשרה!A:K,11,0)+VLOOKUP('תפוקה מצטברת מול אשתקד'!A9,מגדל!A:K,11,0)+VLOOKUP('תפוקה מצטברת מול אשתקד'!A9,מנורה!A:K,11,0)+VLOOKUP('תפוקה מצטברת מול אשתקד'!A9,איילון!A:K,11,0)+VLOOKUP('תפוקה מצטברת מול אשתקד'!A9,הראל!A:K,11,0)+VLOOKUP('תפוקה מצטברת מול אשתקד'!A9,הפניקס!A:K,11,0)+VLOOKUP('תפוקה מצטברת מול אשתקד'!A9,כלל!A:K,11,0)+VLOOKUP('תפוקה מצטברת מול אשתקד'!A9,מור!A:K,11,0)+VLOOKUP('תפוקה מצטברת מול אשתקד'!A9,'אלטשולר שחם'!A:K,11,0)+VLOOKUP('תפוקה מצטברת מול אשתקד'!A9,'מדיהו '!A:K,11,0)+VLOOKUP('תפוקה מצטברת מול אשתקד'!A9,'אנליסט '!A:K,11,0)+VLOOKUP('תפוקה מצטברת מול אשתקד'!A9,'מיטב דש'!A:K,11,0)+VLOOKUP('תפוקה מצטברת מול אשתקד'!A9,אינפניטי!A:K,11,0)</f>
        <v>-702205.74</v>
      </c>
    </row>
    <row r="10" spans="1:16" ht="15.75" customHeight="1" x14ac:dyDescent="0.25">
      <c r="A10" s="26" t="s">
        <v>5</v>
      </c>
      <c r="B10" s="26" t="s">
        <v>108</v>
      </c>
      <c r="C10" s="26" t="s">
        <v>106</v>
      </c>
      <c r="D10" s="19">
        <f t="shared" si="0"/>
        <v>-0.17296361194140986</v>
      </c>
      <c r="E10" s="19">
        <f t="shared" si="1"/>
        <v>0.69984510952194134</v>
      </c>
      <c r="F10" s="19">
        <f t="shared" si="2"/>
        <v>0.99759646123458112</v>
      </c>
      <c r="G10" s="19">
        <f t="shared" si="4"/>
        <v>0.90903259171414597</v>
      </c>
      <c r="H10" s="58">
        <f>VLOOKUP(A10,הכשרה!A:G,4,0)+VLOOKUP('תפוקה מצטברת מול אשתקד'!A10,מגדל!A:G,4,0)+VLOOKUP('תפוקה מצטברת מול אשתקד'!A10,מנורה!A:G,4,0)+VLOOKUP('תפוקה מצטברת מול אשתקד'!A10,איילון!A:G,4,0)+VLOOKUP('תפוקה מצטברת מול אשתקד'!A10,הראל!A:G,4,0)+VLOOKUP('תפוקה מצטברת מול אשתקד'!A10,הפניקס!A:G,4,0)+VLOOKUP('תפוקה מצטברת מול אשתקד'!A10,כלל!A:G,4,0)+VLOOKUP('תפוקה מצטברת מול אשתקד'!A10,מור!A:G,4,0)+VLOOKUP('תפוקה מצטברת מול אשתקד'!A10,'אלטשולר שחם'!A:G,4,0)+VLOOKUP('תפוקה מצטברת מול אשתקד'!A10,'מדיהו '!A:G,4,0)+VLOOKUP('תפוקה מצטברת מול אשתקד'!A10,'אנליסט '!A:G,4,0)+VLOOKUP('תפוקה מצטברת מול אשתקד'!A10,'מיטב דש'!A:G,4,0)+VLOOKUP('תפוקה מצטברת מול אשתקד'!A10,אינפניטי!A:G,4,0)</f>
        <v>672364.45269861864</v>
      </c>
      <c r="I10" s="58">
        <f>VLOOKUP(A10,הכשרה!A:G,5,0)+VLOOKUP('תפוקה מצטברת מול אשתקד'!A10,מגדל!A:G,5,0)+VLOOKUP('תפוקה מצטברת מול אשתקד'!A10,מנורה!A:G,5,0)+VLOOKUP('תפוקה מצטברת מול אשתקד'!A10,איילון!A:G,5,0)+VLOOKUP('תפוקה מצטברת מול אשתקד'!A10,הראל!A:G,5,0)+VLOOKUP('תפוקה מצטברת מול אשתקד'!A10,הפניקס!A:G,5,0)+VLOOKUP('תפוקה מצטברת מול אשתקד'!A10,כלל!A:G,5,0)+VLOOKUP('תפוקה מצטברת מול אשתקד'!A10,מור!A:G,5,0)+VLOOKUP('תפוקה מצטברת מול אשתקד'!A10,'אלטשולר שחם'!A:G,5,0)+VLOOKUP('תפוקה מצטברת מול אשתקד'!A10,'מדיהו '!A:G,5,0)+VLOOKUP('תפוקה מצטברת מול אשתקד'!A10,'אנליסט '!A:G,5,0)+VLOOKUP('תפוקה מצטברת מול אשתקד'!A10,'מיטב דש'!A:G,5,0)+VLOOKUP('תפוקה מצטברת מול אשתקד'!A10,אינפניטי!A:G,5,0)</f>
        <v>802166.97446134291</v>
      </c>
      <c r="J10" s="58">
        <f>VLOOKUP(A10,הכשרה!A:G,6,0)+VLOOKUP('תפוקה מצטברת מול אשתקד'!A10,מגדל!A:G,6,0)+VLOOKUP('תפוקה מצטברת מול אשתקד'!A10,מנורה!A:G,6,0)+VLOOKUP('תפוקה מצטברת מול אשתקד'!A10,איילון!A:G,6,0)+VLOOKUP(A10,הראל!A:G,6,0)+VLOOKUP('תפוקה מצטברת מול אשתקד'!A10,הפניקס!A:G,6,0)+VLOOKUP('תפוקה מצטברת מול אשתקד'!A10,כלל!A:G,6,0)+VLOOKUP('תפוקה מצטברת מול אשתקד'!A10,מור!A:G,6,0)+VLOOKUP('תפוקה מצטברת מול אשתקד'!A10,'אלטשולר שחם'!A:G,6,0)+VLOOKUP('תפוקה מצטברת מול אשתקד'!A10,'מדיהו '!A:G,6,0)+VLOOKUP('תפוקה מצטברת מול אשתקד'!A10,'אנליסט '!A:G,6,0)+VLOOKUP('תפוקה מצטברת מול אשתקד'!A10,'מיטב דש'!A:G,6,0)+VLOOKUP('תפוקה מצטברת מול אשתקד'!A10,אינפניטי!A:G,6,0)</f>
        <v>324158.70893169875</v>
      </c>
      <c r="K10" s="58">
        <f>VLOOKUP(A10,הכשרה!A:G,7,0)+VLOOKUP('תפוקה מצטברת מול אשתקד'!A10,מגדל!A:G,7,0)+VLOOKUP('תפוקה מצטברת מול אשתקד'!A10,מנורה!A:G,7,0)+VLOOKUP('תפוקה מצטברת מול אשתקד'!A10,איילון!A:G,7,0)+VLOOKUP('תפוקה מצטברת מול אשתקד'!A10,הראל!A:G,7,0)+VLOOKUP('תפוקה מצטברת מול אשתקד'!A10,הפניקס!A:G,7,0)+VLOOKUP('תפוקה מצטברת מול אשתקד'!A10,כלל!A:G,7,0)+VLOOKUP('תפוקה מצטברת מול אשתקד'!A10,מור!A:G,7,0)+VLOOKUP('תפוקה מצטברת מול אשתקד'!A10,'אלטשולר שחם'!A:G,7,0)+VLOOKUP('תפוקה מצטברת מול אשתקד'!A10,'מדיהו '!A:K,7,0)+VLOOKUP(A10,'אנליסט '!A:G,7,0)+VLOOKUP('תפוקה מצטברת מול אשתקד'!A10,'מיטב דש'!A:G,7,0)+VLOOKUP('תפוקה מצטברת מול אשתקד'!A10,אינפניטי!A:G,7,0)</f>
        <v>1237689.19</v>
      </c>
      <c r="L10" s="12">
        <f>VLOOKUP(A10,הכשרה!A:K,8,0)+VLOOKUP('תפוקה מצטברת מול אשתקד'!A10,מגדל!A:K,8,0)+VLOOKUP('תפוקה מצטברת מול אשתקד'!A10,מנורה!A:K,8,0)+VLOOKUP('תפוקה מצטברת מול אשתקד'!A10,איילון!A:K,8,0)+VLOOKUP('תפוקה מצטברת מול אשתקד'!A10,הראל!A:K,8,0)+VLOOKUP('תפוקה מצטברת מול אשתקד'!A10,הפניקס!A:K,8,0)+VLOOKUP('תפוקה מצטברת מול אשתקד'!A10,כלל!A:K,8,0)+VLOOKUP('תפוקה מצטברת מול אשתקד'!A10,מור!A:K,8,0)+VLOOKUP('תפוקה מצטברת מול אשתקד'!A10,'אלטשולר שחם'!A:K,8,0)+VLOOKUP('תפוקה מצטברת מול אשתקד'!A10,'מדיהו '!A:K,8,0)+VLOOKUP('תפוקה מצטברת מול אשתקד'!A10,'אנליסט '!A:K,8,0)+VLOOKUP('תפוקה מצטברת מול אשתקד'!A10,'מיטב דש'!A:K,8,0)+VLOOKUP('תפוקה מצטברת מול אשתקד'!A10,אינפניטי!A:K,8,0)</f>
        <v>812980.49566712172</v>
      </c>
      <c r="M10" s="12">
        <f>VLOOKUP(A10,הכשרה!A:K,9,0)+VLOOKUP('תפוקה מצטברת מול אשתקד'!A10,מגדל!A:K,9,0)+VLOOKUP('תפוקה מצטברת מול אשתקד'!A10,מנורה!A:K,9,0)+VLOOKUP('תפוקה מצטברת מול אשתקד'!A10,איילון!A:K,9,0)+VLOOKUP('תפוקה מצטברת מול אשתקד'!A10,הראל!A:K,9,0)+VLOOKUP('תפוקה מצטברת מול אשתקד'!A10,הפניקס!A:K,9,0)+VLOOKUP('תפוקה מצטברת מול אשתקד'!A10,כלל!A:K,9,0)+VLOOKUP('תפוקה מצטברת מול אשתקד'!A10,מור!A:K,9,0)+VLOOKUP('תפוקה מצטברת מול אשתקד'!A10,'אלטשולר שחם'!A:K,9,0)+VLOOKUP('תפוקה מצטברת מול אשתקד'!A10,'מדיהו '!A:K,9,0)+VLOOKUP('תפוקה מצטברת מול אשתקד'!A10,'אנליסט '!A:K,9,0)+VLOOKUP('תפוקה מצטברת מול אשתקד'!A10,'מיטב דש'!A:K,9,0)+VLOOKUP('תפוקה מצטברת מול אשתקד'!A10,אינפניטי!A:K,9,0)</f>
        <v>471905.92246780742</v>
      </c>
      <c r="N10" s="12">
        <f>VLOOKUP(A10,הכשרה!A:K,10,0)+VLOOKUP('תפוקה מצטברת מול אשתקד'!A10,מגדל!A:K,10,0)+VLOOKUP('תפוקה מצטברת מול אשתקד'!A10,מנורה!A:K,10,0)+VLOOKUP('תפוקה מצטברת מול אשתקד'!A10,איילון!A:K,10,0)+VLOOKUP('תפוקה מצטברת מול אשתקד'!A10,הראל!A:K,10,0)+VLOOKUP('תפוקה מצטברת מול אשתקד'!A10,הפניקס!A:K,10,0)+VLOOKUP('תפוקה מצטברת מול אשתקד'!A10,כלל!A:K,10,0)+VLOOKUP('תפוקה מצטברת מול אשתקד'!A10,מור!A:K,10,0)+VLOOKUP('תפוקה מצטברת מול אשתקד'!A10,'אלטשולר שחם'!A:K,10,0)+VLOOKUP('תפוקה מצטברת מול אשתקד'!A10,'מדיהו '!A:K,10,0)+VLOOKUP('תפוקה מצטברת מול אשתקד'!A10,'אנליסט '!A:K,10,0)+VLOOKUP('תפוקה מצטברת מול אשתקד'!A10,'מיטב דש'!A:K,10,0)+VLOOKUP('תפוקה מצטברת מול אשתקד'!A10,אינפניטי!A:K,10,0)</f>
        <v>162274.37083631891</v>
      </c>
      <c r="O10" s="12">
        <f>VLOOKUP(A10,הכשרה!A:K,11,0)+VLOOKUP('תפוקה מצטברת מול אשתקד'!A10,מגדל!A:K,11,0)+VLOOKUP('תפוקה מצטברת מול אשתקד'!A10,מנורה!A:K,11,0)+VLOOKUP('תפוקה מצטברת מול אשתקד'!A10,איילון!A:K,11,0)+VLOOKUP('תפוקה מצטברת מול אשתקד'!A10,הראל!A:K,11,0)+VLOOKUP('תפוקה מצטברת מול אשתקד'!A10,הפניקס!A:K,11,0)+VLOOKUP('תפוקה מצטברת מול אשתקד'!A10,כלל!A:K,11,0)+VLOOKUP('תפוקה מצטברת מול אשתקד'!A10,מור!A:K,11,0)+VLOOKUP('תפוקה מצטברת מול אשתקד'!A10,'אלטשולר שחם'!A:K,11,0)+VLOOKUP('תפוקה מצטברת מול אשתקד'!A10,'מדיהו '!A:K,11,0)+VLOOKUP('תפוקה מצטברת מול אשתקד'!A10,'אנליסט '!A:K,11,0)+VLOOKUP('תפוקה מצטברת מול אשתקד'!A10,'מיטב דש'!A:K,11,0)+VLOOKUP('תפוקה מצטברת מול אשתקד'!A10,אינפניטי!A:K,11,0)</f>
        <v>648333.19000000006</v>
      </c>
    </row>
    <row r="11" spans="1:16" ht="15.75" customHeight="1" x14ac:dyDescent="0.25">
      <c r="A11" s="26" t="s">
        <v>6</v>
      </c>
      <c r="B11" s="26" t="s">
        <v>108</v>
      </c>
      <c r="C11" s="26" t="s">
        <v>106</v>
      </c>
      <c r="D11" s="19">
        <f t="shared" si="0"/>
        <v>-0.35521742549158419</v>
      </c>
      <c r="E11" s="19">
        <f t="shared" si="1"/>
        <v>-0.45299763488452272</v>
      </c>
      <c r="F11" s="19">
        <f t="shared" si="2"/>
        <v>1.502380213935409</v>
      </c>
      <c r="G11" s="19">
        <f t="shared" si="4"/>
        <v>-0.99125679367682817</v>
      </c>
      <c r="H11" s="58">
        <f>VLOOKUP(A11,הכשרה!A:G,4,0)+VLOOKUP('תפוקה מצטברת מול אשתקד'!A11,מגדל!A:G,4,0)+VLOOKUP('תפוקה מצטברת מול אשתקד'!A11,מנורה!A:G,4,0)+VLOOKUP('תפוקה מצטברת מול אשתקד'!A11,איילון!A:G,4,0)+VLOOKUP('תפוקה מצטברת מול אשתקד'!A11,הראל!A:G,4,0)+VLOOKUP('תפוקה מצטברת מול אשתקד'!A11,הפניקס!A:G,4,0)+VLOOKUP('תפוקה מצטברת מול אשתקד'!A11,כלל!A:G,4,0)+VLOOKUP('תפוקה מצטברת מול אשתקד'!A11,מור!A:G,4,0)+VLOOKUP('תפוקה מצטברת מול אשתקד'!A11,'אלטשולר שחם'!A:G,4,0)+VLOOKUP('תפוקה מצטברת מול אשתקד'!A11,'מדיהו '!A:G,4,0)+VLOOKUP('תפוקה מצטברת מול אשתקד'!A11,'אנליסט '!A:G,4,0)+VLOOKUP('תפוקה מצטברת מול אשתקד'!A11,'מיטב דש'!A:G,4,0)+VLOOKUP('תפוקה מצטברת מול אשתקד'!A11,אינפניטי!A:G,4,0)</f>
        <v>139066.90438237585</v>
      </c>
      <c r="I11" s="58">
        <f>VLOOKUP(A11,הכשרה!A:G,5,0)+VLOOKUP('תפוקה מצטברת מול אשתקד'!A11,מגדל!A:G,5,0)+VLOOKUP('תפוקה מצטברת מול אשתקד'!A11,מנורה!A:G,5,0)+VLOOKUP('תפוקה מצטברת מול אשתקד'!A11,איילון!A:G,5,0)+VLOOKUP('תפוקה מצטברת מול אשתקד'!A11,הראל!A:G,5,0)+VLOOKUP('תפוקה מצטברת מול אשתקד'!A11,הפניקס!A:G,5,0)+VLOOKUP('תפוקה מצטברת מול אשתקד'!A11,כלל!A:G,5,0)+VLOOKUP('תפוקה מצטברת מול אשתקד'!A11,מור!A:G,5,0)+VLOOKUP('תפוקה מצטברת מול אשתקד'!A11,'אלטשולר שחם'!A:G,5,0)+VLOOKUP('תפוקה מצטברת מול אשתקד'!A11,'מדיהו '!A:G,5,0)+VLOOKUP('תפוקה מצטברת מול אשתקד'!A11,'אנליסט '!A:G,5,0)+VLOOKUP('תפוקה מצטברת מול אשתקד'!A11,'מיטב דש'!A:G,5,0)+VLOOKUP('תפוקה מצטברת מול אשתקד'!A11,אינפניטי!A:G,5,0)</f>
        <v>40457.142237701526</v>
      </c>
      <c r="J11" s="58">
        <f>VLOOKUP(A11,הכשרה!A:G,6,0)+VLOOKUP('תפוקה מצטברת מול אשתקד'!A11,מגדל!A:G,6,0)+VLOOKUP('תפוקה מצטברת מול אשתקד'!A11,מנורה!A:G,6,0)+VLOOKUP('תפוקה מצטברת מול אשתקד'!A11,איילון!A:G,6,0)+VLOOKUP(A11,הראל!A:G,6,0)+VLOOKUP('תפוקה מצטברת מול אשתקד'!A11,הפניקס!A:G,6,0)+VLOOKUP('תפוקה מצטברת מול אשתקד'!A11,כלל!A:G,6,0)+VLOOKUP('תפוקה מצטברת מול אשתקד'!A11,מור!A:G,6,0)+VLOOKUP('תפוקה מצטברת מול אשתקד'!A11,'אלטשולר שחם'!A:G,6,0)+VLOOKUP('תפוקה מצטברת מול אשתקד'!A11,'מדיהו '!A:G,6,0)+VLOOKUP('תפוקה מצטברת מול אשתקד'!A11,'אנליסט '!A:G,6,0)+VLOOKUP('תפוקה מצטברת מול אשתקד'!A11,'מיטב דש'!A:G,6,0)+VLOOKUP('תפוקה מצטברת מול אשתקד'!A11,אינפניטי!A:G,6,0)</f>
        <v>669332.15550265776</v>
      </c>
      <c r="K11" s="58">
        <f>VLOOKUP(A11,הכשרה!A:G,7,0)+VLOOKUP('תפוקה מצטברת מול אשתקד'!A11,מגדל!A:G,7,0)+VLOOKUP('תפוקה מצטברת מול אשתקד'!A11,מנורה!A:G,7,0)+VLOOKUP('תפוקה מצטברת מול אשתקד'!A11,איילון!A:G,7,0)+VLOOKUP('תפוקה מצטברת מול אשתקד'!A11,הראל!A:G,7,0)+VLOOKUP('תפוקה מצטברת מול אשתקד'!A11,הפניקס!A:G,7,0)+VLOOKUP('תפוקה מצטברת מול אשתקד'!A11,כלל!A:G,7,0)+VLOOKUP('תפוקה מצטברת מול אשתקד'!A11,מור!A:G,7,0)+VLOOKUP('תפוקה מצטברת מול אשתקד'!A11,'אלטשולר שחם'!A:G,7,0)+VLOOKUP('תפוקה מצטברת מול אשתקד'!A11,'מדיהו '!A:K,7,0)+VLOOKUP(A11,'אנליסט '!A:G,7,0)+VLOOKUP('תפוקה מצטברת מול אשתקד'!A11,'מיטב דש'!A:G,7,0)+VLOOKUP('תפוקה מצטברת מול אשתקד'!A11,אינפניטי!A:G,7,0)</f>
        <v>-3933.5199999999022</v>
      </c>
      <c r="L11" s="12">
        <f>VLOOKUP(A11,הכשרה!A:K,8,0)+VLOOKUP('תפוקה מצטברת מול אשתקד'!A11,מגדל!A:K,8,0)+VLOOKUP('תפוקה מצטברת מול אשתקד'!A11,מנורה!A:K,8,0)+VLOOKUP('תפוקה מצטברת מול אשתקד'!A11,איילון!A:K,8,0)+VLOOKUP('תפוקה מצטברת מול אשתקד'!A11,הראל!A:K,8,0)+VLOOKUP('תפוקה מצטברת מול אשתקד'!A11,הפניקס!A:K,8,0)+VLOOKUP('תפוקה מצטברת מול אשתקד'!A11,כלל!A:K,8,0)+VLOOKUP('תפוקה מצטברת מול אשתקד'!A11,מור!A:K,8,0)+VLOOKUP('תפוקה מצטברת מול אשתקד'!A11,'אלטשולר שחם'!A:K,8,0)+VLOOKUP('תפוקה מצטברת מול אשתקד'!A11,'מדיהו '!A:K,8,0)+VLOOKUP('תפוקה מצטברת מול אשתקד'!A11,'אנליסט '!A:K,8,0)+VLOOKUP('תפוקה מצטברת מול אשתקד'!A11,'מיטב דש'!A:K,8,0)+VLOOKUP('תפוקה מצטברת מול אשתקד'!A11,אינפניטי!A:K,8,0)</f>
        <v>215680.30818512873</v>
      </c>
      <c r="M11" s="12">
        <f>VLOOKUP(A11,הכשרה!A:K,9,0)+VLOOKUP('תפוקה מצטברת מול אשתקד'!A11,מגדל!A:K,9,0)+VLOOKUP('תפוקה מצטברת מול אשתקד'!A11,מנורה!A:K,9,0)+VLOOKUP('תפוקה מצטברת מול אשתקד'!A11,איילון!A:K,9,0)+VLOOKUP('תפוקה מצטברת מול אשתקד'!A11,הראל!A:K,9,0)+VLOOKUP('תפוקה מצטברת מול אשתקד'!A11,הפניקס!A:K,9,0)+VLOOKUP('תפוקה מצטברת מול אשתקד'!A11,כלל!A:K,9,0)+VLOOKUP('תפוקה מצטברת מול אשתקד'!A11,מור!A:K,9,0)+VLOOKUP('תפוקה מצטברת מול אשתקד'!A11,'אלטשולר שחם'!A:K,9,0)+VLOOKUP('תפוקה מצטברת מול אשתקד'!A11,'מדיהו '!A:K,9,0)+VLOOKUP('תפוקה מצטברת מול אשתקד'!A11,'אנליסט '!A:K,9,0)+VLOOKUP('תפוקה מצטברת מול אשתקד'!A11,'מיטב דש'!A:K,9,0)+VLOOKUP('תפוקה מצטברת מול אשתקד'!A11,אינפניטי!A:K,9,0)</f>
        <v>73961.549012974836</v>
      </c>
      <c r="N11" s="12">
        <f>VLOOKUP(A11,הכשרה!A:K,10,0)+VLOOKUP('תפוקה מצטברת מול אשתקד'!A11,מגדל!A:K,10,0)+VLOOKUP('תפוקה מצטברת מול אשתקד'!A11,מנורה!A:K,10,0)+VLOOKUP('תפוקה מצטברת מול אשתקד'!A11,איילון!A:K,10,0)+VLOOKUP('תפוקה מצטברת מול אשתקד'!A11,הראל!A:K,10,0)+VLOOKUP('תפוקה מצטברת מול אשתקד'!A11,הפניקס!A:K,10,0)+VLOOKUP('תפוקה מצטברת מול אשתקד'!A11,כלל!A:K,10,0)+VLOOKUP('תפוקה מצטברת מול אשתקד'!A11,מור!A:K,10,0)+VLOOKUP('תפוקה מצטברת מול אשתקד'!A11,'אלטשולר שחם'!A:K,10,0)+VLOOKUP('תפוקה מצטברת מול אשתקד'!A11,'מדיהו '!A:K,10,0)+VLOOKUP('תפוקה מצטברת מול אשתקד'!A11,'אנליסט '!A:K,10,0)+VLOOKUP('תפוקה מצטברת מול אשתקד'!A11,'מיטב דש'!A:K,10,0)+VLOOKUP('תפוקה מצטברת מול אשתקד'!A11,אינפניטי!A:K,10,0)</f>
        <v>267478.20006537763</v>
      </c>
      <c r="O11" s="12">
        <f>VLOOKUP(A11,הכשרה!A:K,11,0)+VLOOKUP('תפוקה מצטברת מול אשתקד'!A11,מגדל!A:K,11,0)+VLOOKUP('תפוקה מצטברת מול אשתקד'!A11,מנורה!A:K,11,0)+VLOOKUP('תפוקה מצטברת מול אשתקד'!A11,איילון!A:K,11,0)+VLOOKUP('תפוקה מצטברת מול אשתקד'!A11,הראל!A:K,11,0)+VLOOKUP('תפוקה מצטברת מול אשתקד'!A11,הפניקס!A:K,11,0)+VLOOKUP('תפוקה מצטברת מול אשתקד'!A11,כלל!A:K,11,0)+VLOOKUP('תפוקה מצטברת מול אשתקד'!A11,מור!A:K,11,0)+VLOOKUP('תפוקה מצטברת מול אשתקד'!A11,'אלטשולר שחם'!A:K,11,0)+VLOOKUP('תפוקה מצטברת מול אשתקד'!A11,'מדיהו '!A:K,11,0)+VLOOKUP('תפוקה מצטברת מול אשתקד'!A11,'אנליסט '!A:K,11,0)+VLOOKUP('תפוקה מצטברת מול אשתקד'!A11,'מיטב דש'!A:K,11,0)+VLOOKUP('תפוקה מצטברת מול אשתקד'!A11,אינפניטי!A:K,11,0)</f>
        <v>-449894.45000000007</v>
      </c>
    </row>
    <row r="12" spans="1:16" ht="15.75" customHeight="1" x14ac:dyDescent="0.25">
      <c r="A12" s="26" t="s">
        <v>7</v>
      </c>
      <c r="B12" s="26" t="s">
        <v>108</v>
      </c>
      <c r="C12" s="26" t="s">
        <v>106</v>
      </c>
      <c r="D12" s="19">
        <f t="shared" si="0"/>
        <v>1172.3836295374485</v>
      </c>
      <c r="E12" s="19">
        <f t="shared" si="1"/>
        <v>36.934684402399625</v>
      </c>
      <c r="F12" s="19">
        <f t="shared" si="2"/>
        <v>1</v>
      </c>
      <c r="G12" s="19">
        <f t="shared" si="4"/>
        <v>-1.5386366368656663</v>
      </c>
      <c r="H12" s="58">
        <f>VLOOKUP(A12,הכשרה!A:G,4,0)+VLOOKUP('תפוקה מצטברת מול אשתקד'!A12,מגדל!A:G,4,0)+VLOOKUP('תפוקה מצטברת מול אשתקד'!A12,מנורה!A:G,4,0)+VLOOKUP('תפוקה מצטברת מול אשתקד'!A12,איילון!A:G,4,0)+VLOOKUP('תפוקה מצטברת מול אשתקד'!A12,הראל!A:G,4,0)+VLOOKUP('תפוקה מצטברת מול אשתקד'!A12,הפניקס!A:G,4,0)+VLOOKUP('תפוקה מצטברת מול אשתקד'!A12,כלל!A:G,4,0)+VLOOKUP('תפוקה מצטברת מול אשתקד'!A12,מור!A:G,4,0)+VLOOKUP('תפוקה מצטברת מול אשתקד'!A12,'אלטשולר שחם'!A:G,4,0)+VLOOKUP('תפוקה מצטברת מול אשתקד'!A12,'מדיהו '!A:G,4,0)+VLOOKUP('תפוקה מצטברת מול אשתקד'!A12,'אנליסט '!A:G,4,0)+VLOOKUP('תפוקה מצטברת מול אשתקד'!A12,'מיטב דש'!A:G,4,0)+VLOOKUP('תפוקה מצטברת מול אשתקד'!A12,אינפניטי!A:G,4,0)</f>
        <v>162290.68980132451</v>
      </c>
      <c r="I12" s="58">
        <f>VLOOKUP(A12,הכשרה!A:G,5,0)+VLOOKUP('תפוקה מצטברת מול אשתקד'!A12,מגדל!A:G,5,0)+VLOOKUP('תפוקה מצטברת מול אשתקד'!A12,מנורה!A:G,5,0)+VLOOKUP('תפוקה מצטברת מול אשתקד'!A12,איילון!A:G,5,0)+VLOOKUP('תפוקה מצטברת מול אשתקד'!A12,הראל!A:G,5,0)+VLOOKUP('תפוקה מצטברת מול אשתקד'!A12,הפניקס!A:G,5,0)+VLOOKUP('תפוקה מצטברת מול אשתקד'!A12,כלל!A:G,5,0)+VLOOKUP('תפוקה מצטברת מול אשתקד'!A12,מור!A:G,5,0)+VLOOKUP('תפוקה מצטברת מול אשתקד'!A12,'אלטשולר שחם'!A:G,5,0)+VLOOKUP('תפוקה מצטברת מול אשתקד'!A12,'מדיהו '!A:G,5,0)+VLOOKUP('תפוקה מצטברת מול אשתקד'!A12,'אנליסט '!A:G,5,0)+VLOOKUP('תפוקה מצטברת מול אשתקד'!A12,'מיטב דש'!A:G,5,0)+VLOOKUP('תפוקה מצטברת מול אשתקד'!A12,אינפניטי!A:G,5,0)</f>
        <v>6576.3568879999993</v>
      </c>
      <c r="J12" s="58">
        <f>VLOOKUP(A12,הכשרה!A:G,6,0)+VLOOKUP('תפוקה מצטברת מול אשתקד'!A12,מגדל!A:G,6,0)+VLOOKUP('תפוקה מצטברת מול אשתקד'!A12,מנורה!A:G,6,0)+VLOOKUP('תפוקה מצטברת מול אשתקד'!A12,איילון!A:G,6,0)+VLOOKUP(A12,הראל!A:G,6,0)+VLOOKUP('תפוקה מצטברת מול אשתקד'!A12,הפניקס!A:G,6,0)+VLOOKUP('תפוקה מצטברת מול אשתקד'!A12,כלל!A:G,6,0)+VLOOKUP('תפוקה מצטברת מול אשתקד'!A12,מור!A:G,6,0)+VLOOKUP('תפוקה מצטברת מול אשתקד'!A12,'אלטשולר שחם'!A:G,6,0)+VLOOKUP('תפוקה מצטברת מול אשתקד'!A12,'מדיהו '!A:G,6,0)+VLOOKUP('תפוקה מצטברת מול אשתקד'!A12,'אנליסט '!A:G,6,0)+VLOOKUP('תפוקה מצטברת מול אשתקד'!A12,'מיטב דש'!A:G,6,0)+VLOOKUP('תפוקה מצטברת מול אשתקד'!A12,אינפניטי!A:G,6,0)</f>
        <v>621438.05000000005</v>
      </c>
      <c r="K12" s="58">
        <f>VLOOKUP(A12,הכשרה!A:G,7,0)+VLOOKUP('תפוקה מצטברת מול אשתקד'!A12,מגדל!A:G,7,0)+VLOOKUP('תפוקה מצטברת מול אשתקד'!A12,מנורה!A:G,7,0)+VLOOKUP('תפוקה מצטברת מול אשתקד'!A12,איילון!A:G,7,0)+VLOOKUP('תפוקה מצטברת מול אשתקד'!A12,הראל!A:G,7,0)+VLOOKUP('תפוקה מצטברת מול אשתקד'!A12,הפניקס!A:G,7,0)+VLOOKUP('תפוקה מצטברת מול אשתקד'!A12,כלל!A:G,7,0)+VLOOKUP('תפוקה מצטברת מול אשתקד'!A12,מור!A:G,7,0)+VLOOKUP('תפוקה מצטברת מול אשתקד'!A12,'אלטשולר שחם'!A:G,7,0)+VLOOKUP('תפוקה מצטברת מול אשתקד'!A12,'מדיהו '!A:K,7,0)+VLOOKUP(A12,'אנליסט '!A:G,7,0)+VLOOKUP('תפוקה מצטברת מול אשתקד'!A12,'מיטב דש'!A:G,7,0)+VLOOKUP('תפוקה מצטברת מול אשתקד'!A12,אינפניטי!A:G,7,0)</f>
        <v>125854.19</v>
      </c>
      <c r="L12" s="12">
        <f>VLOOKUP(A12,הכשרה!A:K,8,0)+VLOOKUP('תפוקה מצטברת מול אשתקד'!A12,מגדל!A:K,8,0)+VLOOKUP('תפוקה מצטברת מול אשתקד'!A12,מנורה!A:K,8,0)+VLOOKUP('תפוקה מצטברת מול אשתקד'!A12,איילון!A:K,8,0)+VLOOKUP('תפוקה מצטברת מול אשתקד'!A12,הראל!A:K,8,0)+VLOOKUP('תפוקה מצטברת מול אשתקד'!A12,הפניקס!A:K,8,0)+VLOOKUP('תפוקה מצטברת מול אשתקד'!A12,כלל!A:K,8,0)+VLOOKUP('תפוקה מצטברת מול אשתקד'!A12,מור!A:K,8,0)+VLOOKUP('תפוקה מצטברת מול אשתקד'!A12,'אלטשולר שחם'!A:K,8,0)+VLOOKUP('תפוקה מצטברת מול אשתקד'!A12,'מדיהו '!A:K,8,0)+VLOOKUP('תפוקה מצטברת מול אשתקד'!A12,'אנליסט '!A:K,8,0)+VLOOKUP('תפוקה מצטברת מול אשתקד'!A12,'מיטב דש'!A:K,8,0)+VLOOKUP('תפוקה מצטברת מול אשתקד'!A12,אינפניטי!A:K,8,0)</f>
        <v>138.31</v>
      </c>
      <c r="M12" s="12">
        <f>VLOOKUP(A12,הכשרה!A:K,9,0)+VLOOKUP('תפוקה מצטברת מול אשתקד'!A12,מגדל!A:K,9,0)+VLOOKUP('תפוקה מצטברת מול אשתקד'!A12,מנורה!A:K,9,0)+VLOOKUP('תפוקה מצטברת מול אשתקד'!A12,איילון!A:K,9,0)+VLOOKUP('תפוקה מצטברת מול אשתקד'!A12,הראל!A:K,9,0)+VLOOKUP('תפוקה מצטברת מול אשתקד'!A12,הפניקס!A:K,9,0)+VLOOKUP('תפוקה מצטברת מול אשתקד'!A12,כלל!A:K,9,0)+VLOOKUP('תפוקה מצטברת מול אשתקד'!A12,מור!A:K,9,0)+VLOOKUP('תפוקה מצטברת מול אשתקד'!A12,'אלטשולר שחם'!A:K,9,0)+VLOOKUP('תפוקה מצטברת מול אשתקד'!A12,'מדיהו '!A:K,9,0)+VLOOKUP('תפוקה מצטברת מול אשתקד'!A12,'אנליסט '!A:K,9,0)+VLOOKUP('תפוקה מצטברת מול אשתקד'!A12,'מיטב דש'!A:K,9,0)+VLOOKUP('תפוקה מצטברת מול אשתקד'!A12,אינפניטי!A:K,9,0)</f>
        <v>173.36</v>
      </c>
      <c r="N12" s="12">
        <f>VLOOKUP(A12,הכשרה!A:K,10,0)+VLOOKUP('תפוקה מצטברת מול אשתקד'!A12,מגדל!A:K,10,0)+VLOOKUP('תפוקה מצטברת מול אשתקד'!A12,מנורה!A:K,10,0)+VLOOKUP('תפוקה מצטברת מול אשתקד'!A12,איילון!A:K,10,0)+VLOOKUP('תפוקה מצטברת מול אשתקד'!A12,הראל!A:K,10,0)+VLOOKUP('תפוקה מצטברת מול אשתקד'!A12,הפניקס!A:K,10,0)+VLOOKUP('תפוקה מצטברת מול אשתקד'!A12,כלל!A:K,10,0)+VLOOKUP('תפוקה מצטברת מול אשתקד'!A12,מור!A:K,10,0)+VLOOKUP('תפוקה מצטברת מול אשתקד'!A12,'אלטשולר שחם'!A:K,10,0)+VLOOKUP('תפוקה מצטברת מול אשתקד'!A12,'מדיהו '!A:K,10,0)+VLOOKUP('תפוקה מצטברת מול אשתקד'!A12,'אנליסט '!A:K,10,0)+VLOOKUP('תפוקה מצטברת מול אשתקד'!A12,'מיטב דש'!A:K,10,0)+VLOOKUP('תפוקה מצטברת מול אשתקד'!A12,אינפניטי!A:K,10,0)</f>
        <v>0</v>
      </c>
      <c r="O12" s="12">
        <f>VLOOKUP(A12,הכשרה!A:K,11,0)+VLOOKUP('תפוקה מצטברת מול אשתקד'!A12,מגדל!A:K,11,0)+VLOOKUP('תפוקה מצטברת מול אשתקד'!A12,מנורה!A:K,11,0)+VLOOKUP('תפוקה מצטברת מול אשתקד'!A12,איילון!A:K,11,0)+VLOOKUP('תפוקה מצטברת מול אשתקד'!A12,הראל!A:K,11,0)+VLOOKUP('תפוקה מצטברת מול אשתקד'!A12,הפניקס!A:K,11,0)+VLOOKUP('תפוקה מצטברת מול אשתקד'!A12,כלל!A:K,11,0)+VLOOKUP('תפוקה מצטברת מול אשתקד'!A12,מור!A:K,11,0)+VLOOKUP('תפוקה מצטברת מול אשתקד'!A12,'אלטשולר שחם'!A:K,11,0)+VLOOKUP('תפוקה מצטברת מול אשתקד'!A12,'מדיהו '!A:K,11,0)+VLOOKUP('תפוקה מצטברת מול אשתקד'!A12,'אנליסט '!A:K,11,0)+VLOOKUP('תפוקה מצטברת מול אשתקד'!A12,'מיטב דש'!A:K,11,0)+VLOOKUP('תפוקה מצטברת מול אשתקד'!A12,אינפניטי!A:K,11,0)</f>
        <v>-233653.23</v>
      </c>
    </row>
    <row r="13" spans="1:16" ht="15.75" customHeight="1" x14ac:dyDescent="0.25">
      <c r="A13" s="26" t="s">
        <v>8</v>
      </c>
      <c r="B13" s="26" t="s">
        <v>108</v>
      </c>
      <c r="C13" s="26" t="s">
        <v>106</v>
      </c>
      <c r="D13" s="19">
        <f t="shared" si="0"/>
        <v>1</v>
      </c>
      <c r="E13" s="19">
        <f t="shared" si="1"/>
        <v>-0.33182619820635295</v>
      </c>
      <c r="F13" s="19">
        <f t="shared" si="2"/>
        <v>0</v>
      </c>
      <c r="G13" s="19">
        <f t="shared" si="4"/>
        <v>0</v>
      </c>
      <c r="H13" s="58">
        <f>VLOOKUP(A13,הכשרה!A:G,4,0)+VLOOKUP('תפוקה מצטברת מול אשתקד'!A13,מגדל!A:G,4,0)+VLOOKUP('תפוקה מצטברת מול אשתקד'!A13,מנורה!A:G,4,0)+VLOOKUP('תפוקה מצטברת מול אשתקד'!A13,איילון!A:G,4,0)+VLOOKUP('תפוקה מצטברת מול אשתקד'!A13,הראל!A:G,4,0)+VLOOKUP('תפוקה מצטברת מול אשתקד'!A13,הפניקס!A:G,4,0)+VLOOKUP('תפוקה מצטברת מול אשתקד'!A13,כלל!A:G,4,0)+VLOOKUP('תפוקה מצטברת מול אשתקד'!A13,מור!A:G,4,0)+VLOOKUP('תפוקה מצטברת מול אשתקד'!A13,'אלטשולר שחם'!A:G,4,0)+VLOOKUP('תפוקה מצטברת מול אשתקד'!A13,'מדיהו '!A:G,4,0)+VLOOKUP('תפוקה מצטברת מול אשתקד'!A13,'אנליסט '!A:G,4,0)+VLOOKUP('תפוקה מצטברת מול אשתקד'!A13,'מיטב דש'!A:G,4,0)+VLOOKUP('תפוקה מצטברת מול אשתקד'!A13,אינפניטי!A:G,4,0)</f>
        <v>32425.803313</v>
      </c>
      <c r="I13" s="58">
        <f>VLOOKUP(A13,הכשרה!A:G,5,0)+VLOOKUP('תפוקה מצטברת מול אשתקד'!A13,מגדל!A:G,5,0)+VLOOKUP('תפוקה מצטברת מול אשתקד'!A13,מנורה!A:G,5,0)+VLOOKUP('תפוקה מצטברת מול אשתקד'!A13,איילון!A:G,5,0)+VLOOKUP('תפוקה מצטברת מול אשתקד'!A13,הראל!A:G,5,0)+VLOOKUP('תפוקה מצטברת מול אשתקד'!A13,הפניקס!A:G,5,0)+VLOOKUP('תפוקה מצטברת מול אשתקד'!A13,כלל!A:G,5,0)+VLOOKUP('תפוקה מצטברת מול אשתקד'!A13,מור!A:G,5,0)+VLOOKUP('תפוקה מצטברת מול אשתקד'!A13,'אלטשולר שחם'!A:G,5,0)+VLOOKUP('תפוקה מצטברת מול אשתקד'!A13,'מדיהו '!A:G,5,0)+VLOOKUP('תפוקה מצטברת מול אשתקד'!A13,'אנליסט '!A:G,5,0)+VLOOKUP('תפוקה מצטברת מול אשתקד'!A13,'מיטב דש'!A:G,5,0)+VLOOKUP('תפוקה מצטברת מול אשתקד'!A13,אינפניטי!A:G,5,0)</f>
        <v>138893.57862627396</v>
      </c>
      <c r="J13" s="58">
        <f>VLOOKUP(A13,הכשרה!A:G,6,0)+VLOOKUP('תפוקה מצטברת מול אשתקד'!A13,מגדל!A:G,6,0)+VLOOKUP('תפוקה מצטברת מול אשתקד'!A13,מנורה!A:G,6,0)+VLOOKUP('תפוקה מצטברת מול אשתקד'!A13,איילון!A:G,6,0)+VLOOKUP(A13,הראל!A:G,6,0)+VLOOKUP('תפוקה מצטברת מול אשתקד'!A13,הפניקס!A:G,6,0)+VLOOKUP('תפוקה מצטברת מול אשתקד'!A13,כלל!A:G,6,0)+VLOOKUP('תפוקה מצטברת מול אשתקד'!A13,מור!A:G,6,0)+VLOOKUP('תפוקה מצטברת מול אשתקד'!A13,'אלטשולר שחם'!A:G,6,0)+VLOOKUP('תפוקה מצטברת מול אשתקד'!A13,'מדיהו '!A:G,6,0)+VLOOKUP('תפוקה מצטברת מול אשתקד'!A13,'אנליסט '!A:G,6,0)+VLOOKUP('תפוקה מצטברת מול אשתקד'!A13,'מיטב דש'!A:G,6,0)+VLOOKUP('תפוקה מצטברת מול אשתקד'!A13,אינפניטי!A:G,6,0)</f>
        <v>0</v>
      </c>
      <c r="K13" s="58">
        <f>VLOOKUP(A13,הכשרה!A:G,7,0)+VLOOKUP('תפוקה מצטברת מול אשתקד'!A13,מגדל!A:G,7,0)+VLOOKUP('תפוקה מצטברת מול אשתקד'!A13,מנורה!A:G,7,0)+VLOOKUP('תפוקה מצטברת מול אשתקד'!A13,איילון!A:G,7,0)+VLOOKUP('תפוקה מצטברת מול אשתקד'!A13,הראל!A:G,7,0)+VLOOKUP('תפוקה מצטברת מול אשתקד'!A13,הפניקס!A:G,7,0)+VLOOKUP('תפוקה מצטברת מול אשתקד'!A13,כלל!A:G,7,0)+VLOOKUP('תפוקה מצטברת מול אשתקד'!A13,מור!A:G,7,0)+VLOOKUP('תפוקה מצטברת מול אשתקד'!A13,'אלטשולר שחם'!A:G,7,0)+VLOOKUP('תפוקה מצטברת מול אשתקד'!A13,'מדיהו '!A:K,7,0)+VLOOKUP(A13,'אנליסט '!A:G,7,0)+VLOOKUP('תפוקה מצטברת מול אשתקד'!A13,'מיטב דש'!A:G,7,0)+VLOOKUP('תפוקה מצטברת מול אשתקד'!A13,אינפניטי!A:G,7,0)</f>
        <v>0</v>
      </c>
      <c r="L13" s="12">
        <f>VLOOKUP(A13,הכשרה!A:K,8,0)+VLOOKUP('תפוקה מצטברת מול אשתקד'!A13,מגדל!A:K,8,0)+VLOOKUP('תפוקה מצטברת מול אשתקד'!A13,מנורה!A:K,8,0)+VLOOKUP('תפוקה מצטברת מול אשתקד'!A13,איילון!A:K,8,0)+VLOOKUP('תפוקה מצטברת מול אשתקד'!A13,הראל!A:K,8,0)+VLOOKUP('תפוקה מצטברת מול אשתקד'!A13,הפניקס!A:K,8,0)+VLOOKUP('תפוקה מצטברת מול אשתקד'!A13,כלל!A:K,8,0)+VLOOKUP('תפוקה מצטברת מול אשתקד'!A13,מור!A:K,8,0)+VLOOKUP('תפוקה מצטברת מול אשתקד'!A13,'אלטשולר שחם'!A:K,8,0)+VLOOKUP('תפוקה מצטברת מול אשתקד'!A13,'מדיהו '!A:K,8,0)+VLOOKUP('תפוקה מצטברת מול אשתקד'!A13,'אנליסט '!A:K,8,0)+VLOOKUP('תפוקה מצטברת מול אשתקד'!A13,'מיטב דש'!A:K,8,0)+VLOOKUP('תפוקה מצטברת מול אשתקד'!A13,אינפניטי!A:K,8,0)</f>
        <v>0</v>
      </c>
      <c r="M13" s="12">
        <f>VLOOKUP(A13,הכשרה!A:K,9,0)+VLOOKUP('תפוקה מצטברת מול אשתקד'!A13,מגדל!A:K,9,0)+VLOOKUP('תפוקה מצטברת מול אשתקד'!A13,מנורה!A:K,9,0)+VLOOKUP('תפוקה מצטברת מול אשתקד'!A13,איילון!A:K,9,0)+VLOOKUP('תפוקה מצטברת מול אשתקד'!A13,הראל!A:K,9,0)+VLOOKUP('תפוקה מצטברת מול אשתקד'!A13,הפניקס!A:K,9,0)+VLOOKUP('תפוקה מצטברת מול אשתקד'!A13,כלל!A:K,9,0)+VLOOKUP('תפוקה מצטברת מול אשתקד'!A13,מור!A:K,9,0)+VLOOKUP('תפוקה מצטברת מול אשתקד'!A13,'אלטשולר שחם'!A:K,9,0)+VLOOKUP('תפוקה מצטברת מול אשתקד'!A13,'מדיהו '!A:K,9,0)+VLOOKUP('תפוקה מצטברת מול אשתקד'!A13,'אנליסט '!A:K,9,0)+VLOOKUP('תפוקה מצטברת מול אשתקד'!A13,'מיטב דש'!A:K,9,0)+VLOOKUP('תפוקה מצטברת מול אשתקד'!A13,אינפניטי!A:K,9,0)</f>
        <v>207870.43468844148</v>
      </c>
      <c r="N13" s="12">
        <f>VLOOKUP(A13,הכשרה!A:K,10,0)+VLOOKUP('תפוקה מצטברת מול אשתקד'!A13,מגדל!A:K,10,0)+VLOOKUP('תפוקה מצטברת מול אשתקד'!A13,מנורה!A:K,10,0)+VLOOKUP('תפוקה מצטברת מול אשתקד'!A13,איילון!A:K,10,0)+VLOOKUP('תפוקה מצטברת מול אשתקד'!A13,הראל!A:K,10,0)+VLOOKUP('תפוקה מצטברת מול אשתקד'!A13,הפניקס!A:K,10,0)+VLOOKUP('תפוקה מצטברת מול אשתקד'!A13,כלל!A:K,10,0)+VLOOKUP('תפוקה מצטברת מול אשתקד'!A13,מור!A:K,10,0)+VLOOKUP('תפוקה מצטברת מול אשתקד'!A13,'אלטשולר שחם'!A:K,10,0)+VLOOKUP('תפוקה מצטברת מול אשתקד'!A13,'מדיהו '!A:K,10,0)+VLOOKUP('תפוקה מצטברת מול אשתקד'!A13,'אנליסט '!A:K,10,0)+VLOOKUP('תפוקה מצטברת מול אשתקד'!A13,'מיטב דש'!A:K,10,0)+VLOOKUP('תפוקה מצטברת מול אשתקד'!A13,אינפניטי!A:K,10,0)</f>
        <v>1346995.28</v>
      </c>
      <c r="O13" s="12">
        <f>VLOOKUP(A13,הכשרה!A:K,11,0)+VLOOKUP('תפוקה מצטברת מול אשתקד'!A13,מגדל!A:K,11,0)+VLOOKUP('תפוקה מצטברת מול אשתקד'!A13,מנורה!A:K,11,0)+VLOOKUP('תפוקה מצטברת מול אשתקד'!A13,איילון!A:K,11,0)+VLOOKUP('תפוקה מצטברת מול אשתקד'!A13,הראל!A:K,11,0)+VLOOKUP('תפוקה מצטברת מול אשתקד'!A13,הפניקס!A:K,11,0)+VLOOKUP('תפוקה מצטברת מול אשתקד'!A13,כלל!A:K,11,0)+VLOOKUP('תפוקה מצטברת מול אשתקד'!A13,מור!A:K,11,0)+VLOOKUP('תפוקה מצטברת מול אשתקד'!A13,'אלטשולר שחם'!A:K,11,0)+VLOOKUP('תפוקה מצטברת מול אשתקד'!A13,'מדיהו '!A:K,11,0)+VLOOKUP('תפוקה מצטברת מול אשתקד'!A13,'אנליסט '!A:K,11,0)+VLOOKUP('תפוקה מצטברת מול אשתקד'!A13,'מיטב דש'!A:K,11,0)+VLOOKUP('תפוקה מצטברת מול אשתקד'!A13,אינפניטי!A:K,11,0)</f>
        <v>163327.97</v>
      </c>
    </row>
    <row r="14" spans="1:16" ht="15.75" customHeight="1" x14ac:dyDescent="0.25">
      <c r="A14" s="26" t="s">
        <v>9</v>
      </c>
      <c r="B14" s="26" t="s">
        <v>108</v>
      </c>
      <c r="C14" s="26" t="s">
        <v>106</v>
      </c>
      <c r="D14" s="19">
        <f t="shared" si="0"/>
        <v>-0.67489984099040234</v>
      </c>
      <c r="E14" s="19">
        <f t="shared" si="1"/>
        <v>-7.2542614911281778E-2</v>
      </c>
      <c r="F14" s="19">
        <f t="shared" si="2"/>
        <v>-0.177647501645533</v>
      </c>
      <c r="G14" s="19">
        <f t="shared" si="4"/>
        <v>-0.81150643835141689</v>
      </c>
      <c r="H14" s="58">
        <f>VLOOKUP(A14,הכשרה!A:G,4,0)+VLOOKUP('תפוקה מצטברת מול אשתקד'!A14,מגדל!A:G,4,0)+VLOOKUP('תפוקה מצטברת מול אשתקד'!A14,מנורה!A:G,4,0)+VLOOKUP('תפוקה מצטברת מול אשתקד'!A14,איילון!A:G,4,0)+VLOOKUP('תפוקה מצטברת מול אשתקד'!A14,הראל!A:G,4,0)+VLOOKUP('תפוקה מצטברת מול אשתקד'!A14,הפניקס!A:G,4,0)+VLOOKUP('תפוקה מצטברת מול אשתקד'!A14,כלל!A:G,4,0)+VLOOKUP('תפוקה מצטברת מול אשתקד'!A14,מור!A:G,4,0)+VLOOKUP('תפוקה מצטברת מול אשתקד'!A14,'אלטשולר שחם'!A:G,4,0)+VLOOKUP('תפוקה מצטברת מול אשתקד'!A14,'מדיהו '!A:G,4,0)+VLOOKUP('תפוקה מצטברת מול אשתקד'!A14,'אנליסט '!A:G,4,0)+VLOOKUP('תפוקה מצטברת מול אשתקד'!A14,'מיטב דש'!A:G,4,0)+VLOOKUP('תפוקה מצטברת מול אשתקד'!A14,אינפניטי!A:G,4,0)</f>
        <v>168257.3685276506</v>
      </c>
      <c r="I14" s="58">
        <f>VLOOKUP(A14,הכשרה!A:G,5,0)+VLOOKUP('תפוקה מצטברת מול אשתקד'!A14,מגדל!A:G,5,0)+VLOOKUP('תפוקה מצטברת מול אשתקד'!A14,מנורה!A:G,5,0)+VLOOKUP('תפוקה מצטברת מול אשתקד'!A14,איילון!A:G,5,0)+VLOOKUP('תפוקה מצטברת מול אשתקד'!A14,הראל!A:G,5,0)+VLOOKUP('תפוקה מצטברת מול אשתקד'!A14,הפניקס!A:G,5,0)+VLOOKUP('תפוקה מצטברת מול אשתקד'!A14,כלל!A:G,5,0)+VLOOKUP('תפוקה מצטברת מול אשתקד'!A14,מור!A:G,5,0)+VLOOKUP('תפוקה מצטברת מול אשתקד'!A14,'אלטשולר שחם'!A:G,5,0)+VLOOKUP('תפוקה מצטברת מול אשתקד'!A14,'מדיהו '!A:G,5,0)+VLOOKUP('תפוקה מצטברת מול אשתקד'!A14,'אנליסט '!A:G,5,0)+VLOOKUP('תפוקה מצטברת מול אשתקד'!A14,'מיטב דש'!A:G,5,0)+VLOOKUP('תפוקה מצטברת מול אשתקד'!A14,אינפניטי!A:G,5,0)</f>
        <v>28652.254000000001</v>
      </c>
      <c r="J14" s="58">
        <f>VLOOKUP(A14,הכשרה!A:G,6,0)+VLOOKUP('תפוקה מצטברת מול אשתקד'!A14,מגדל!A:G,6,0)+VLOOKUP('תפוקה מצטברת מול אשתקד'!A14,מנורה!A:G,6,0)+VLOOKUP('תפוקה מצטברת מול אשתקד'!A14,איילון!A:G,6,0)+VLOOKUP(A14,הראל!A:G,6,0)+VLOOKUP('תפוקה מצטברת מול אשתקד'!A14,הפניקס!A:G,6,0)+VLOOKUP('תפוקה מצטברת מול אשתקד'!A14,כלל!A:G,6,0)+VLOOKUP('תפוקה מצטברת מול אשתקד'!A14,מור!A:G,6,0)+VLOOKUP('תפוקה מצטברת מול אשתקד'!A14,'אלטשולר שחם'!A:G,6,0)+VLOOKUP('תפוקה מצטברת מול אשתקד'!A14,'מדיהו '!A:G,6,0)+VLOOKUP('תפוקה מצטברת מול אשתקד'!A14,'אנליסט '!A:G,6,0)+VLOOKUP('תפוקה מצטברת מול אשתקד'!A14,'מיטב דש'!A:G,6,0)+VLOOKUP('תפוקה מצטברת מול אשתקד'!A14,אינפניטי!A:G,6,0)</f>
        <v>981090.90999999992</v>
      </c>
      <c r="K14" s="58">
        <f>VLOOKUP(A14,הכשרה!A:G,7,0)+VLOOKUP('תפוקה מצטברת מול אשתקד'!A14,מגדל!A:G,7,0)+VLOOKUP('תפוקה מצטברת מול אשתקד'!A14,מנורה!A:G,7,0)+VLOOKUP('תפוקה מצטברת מול אשתקד'!A14,איילון!A:G,7,0)+VLOOKUP('תפוקה מצטברת מול אשתקד'!A14,הראל!A:G,7,0)+VLOOKUP('תפוקה מצטברת מול אשתקד'!A14,הפניקס!A:G,7,0)+VLOOKUP('תפוקה מצטברת מול אשתקד'!A14,כלל!A:G,7,0)+VLOOKUP('תפוקה מצטברת מול אשתקד'!A14,מור!A:G,7,0)+VLOOKUP('תפוקה מצטברת מול אשתקד'!A14,'אלטשולר שחם'!A:G,7,0)+VLOOKUP('תפוקה מצטברת מול אשתקד'!A14,'מדיהו '!A:K,7,0)+VLOOKUP(A14,'אנליסט '!A:G,7,0)+VLOOKUP('תפוקה מצטברת מול אשתקד'!A14,'מיטב דש'!A:G,7,0)+VLOOKUP('תפוקה מצטברת מול אשתקד'!A14,אינפניטי!A:G,7,0)</f>
        <v>867286.80999999994</v>
      </c>
      <c r="L14" s="12">
        <f>VLOOKUP(A14,הכשרה!A:K,8,0)+VLOOKUP('תפוקה מצטברת מול אשתקד'!A14,מגדל!A:K,8,0)+VLOOKUP('תפוקה מצטברת מול אשתקד'!A14,מנורה!A:K,8,0)+VLOOKUP('תפוקה מצטברת מול אשתקד'!A14,איילון!A:K,8,0)+VLOOKUP('תפוקה מצטברת מול אשתקד'!A14,הראל!A:K,8,0)+VLOOKUP('תפוקה מצטברת מול אשתקד'!A14,הפניקס!A:K,8,0)+VLOOKUP('תפוקה מצטברת מול אשתקד'!A14,כלל!A:K,8,0)+VLOOKUP('תפוקה מצטברת מול אשתקד'!A14,מור!A:K,8,0)+VLOOKUP('תפוקה מצטברת מול אשתקד'!A14,'אלטשולר שחם'!A:K,8,0)+VLOOKUP('תפוקה מצטברת מול אשתקד'!A14,'מדיהו '!A:K,8,0)+VLOOKUP('תפוקה מצטברת מול אשתקד'!A14,'אנליסט '!A:K,8,0)+VLOOKUP('תפוקה מצטברת מול אשתקד'!A14,'מיטב דש'!A:K,8,0)+VLOOKUP('תפוקה מצטברת מול אשתקד'!A14,אינפניטי!A:K,8,0)</f>
        <v>517555.47902602929</v>
      </c>
      <c r="M14" s="12">
        <f>VLOOKUP(A14,הכשרה!A:K,9,0)+VLOOKUP('תפוקה מצטברת מול אשתקד'!A14,מגדל!A:K,9,0)+VLOOKUP('תפוקה מצטברת מול אשתקד'!A14,מנורה!A:K,9,0)+VLOOKUP('תפוקה מצטברת מול אשתקד'!A14,איילון!A:K,9,0)+VLOOKUP('תפוקה מצטברת מול אשתקד'!A14,הראל!A:K,9,0)+VLOOKUP('תפוקה מצטברת מול אשתקד'!A14,הפניקס!A:K,9,0)+VLOOKUP('תפוקה מצטברת מול אשתקד'!A14,כלל!A:K,9,0)+VLOOKUP('תפוקה מצטברת מול אשתקד'!A14,מור!A:K,9,0)+VLOOKUP('תפוקה מצטברת מול אשתקד'!A14,'אלטשולר שחם'!A:K,9,0)+VLOOKUP('תפוקה מצטברת מול אשתקד'!A14,'מדיהו '!A:K,9,0)+VLOOKUP('תפוקה מצטברת מול אשתקד'!A14,'אנליסט '!A:K,9,0)+VLOOKUP('תפוקה מצטברת מול אשתקד'!A14,'מיטב דש'!A:K,9,0)+VLOOKUP('תפוקה מצטברת מול אשתקד'!A14,אינפניטי!A:K,9,0)</f>
        <v>30893.337484459407</v>
      </c>
      <c r="N14" s="12">
        <f>VLOOKUP(A14,הכשרה!A:K,10,0)+VLOOKUP('תפוקה מצטברת מול אשתקד'!A14,מגדל!A:K,10,0)+VLOOKUP('תפוקה מצטברת מול אשתקד'!A14,מנורה!A:K,10,0)+VLOOKUP('תפוקה מצטברת מול אשתקד'!A14,איילון!A:K,10,0)+VLOOKUP('תפוקה מצטברת מול אשתקד'!A14,הראל!A:K,10,0)+VLOOKUP('תפוקה מצטברת מול אשתקד'!A14,הפניקס!A:K,10,0)+VLOOKUP('תפוקה מצטברת מול אשתקד'!A14,כלל!A:K,10,0)+VLOOKUP('תפוקה מצטברת מול אשתקד'!A14,מור!A:K,10,0)+VLOOKUP('תפוקה מצטברת מול אשתקד'!A14,'אלטשולר שחם'!A:K,10,0)+VLOOKUP('תפוקה מצטברת מול אשתקד'!A14,'מדיהו '!A:K,10,0)+VLOOKUP('תפוקה מצטברת מול אשתקד'!A14,'אנליסט '!A:K,10,0)+VLOOKUP('תפוקה מצטברת מול אשתקד'!A14,'מיטב דש'!A:K,10,0)+VLOOKUP('תפוקה מצטברת מול אשתקד'!A14,אינפניטי!A:K,10,0)</f>
        <v>1193029.6460011608</v>
      </c>
      <c r="O14" s="12">
        <f>VLOOKUP(A14,הכשרה!A:K,11,0)+VLOOKUP('תפוקה מצטברת מול אשתקד'!A14,מגדל!A:K,11,0)+VLOOKUP('תפוקה מצטברת מול אשתקד'!A14,מנורה!A:K,11,0)+VLOOKUP('תפוקה מצטברת מול אשתקד'!A14,איילון!A:K,11,0)+VLOOKUP('תפוקה מצטברת מול אשתקד'!A14,הראל!A:K,11,0)+VLOOKUP('תפוקה מצטברת מול אשתקד'!A14,הפניקס!A:K,11,0)+VLOOKUP('תפוקה מצטברת מול אשתקד'!A14,כלל!A:K,11,0)+VLOOKUP('תפוקה מצטברת מול אשתקד'!A14,מור!A:K,11,0)+VLOOKUP('תפוקה מצטברת מול אשתקד'!A14,'אלטשולר שחם'!A:K,11,0)+VLOOKUP('תפוקה מצטברת מול אשתקד'!A14,'מדיהו '!A:K,11,0)+VLOOKUP('תפוקה מצטברת מול אשתקד'!A14,'אנליסט '!A:K,11,0)+VLOOKUP('תפוקה מצטברת מול אשתקד'!A14,'מיטב דש'!A:K,11,0)+VLOOKUP('תפוקה מצטברת מול אשתקד'!A14,אינפניטי!A:K,11,0)</f>
        <v>4601148.1899680002</v>
      </c>
    </row>
    <row r="15" spans="1:16" ht="15.75" customHeight="1" x14ac:dyDescent="0.25">
      <c r="A15" s="26" t="s">
        <v>31</v>
      </c>
      <c r="B15" s="26" t="s">
        <v>108</v>
      </c>
      <c r="C15" s="26" t="s">
        <v>106</v>
      </c>
      <c r="D15" s="19">
        <f t="shared" si="0"/>
        <v>2.429365317933315</v>
      </c>
      <c r="E15" s="19">
        <f t="shared" si="1"/>
        <v>0</v>
      </c>
      <c r="F15" s="19">
        <f t="shared" si="2"/>
        <v>1</v>
      </c>
      <c r="G15" s="19">
        <f t="shared" si="4"/>
        <v>98.237708103199111</v>
      </c>
      <c r="H15" s="58">
        <f>VLOOKUP(A15,הכשרה!A:G,4,0)+VLOOKUP('תפוקה מצטברת מול אשתקד'!A15,מגדל!A:G,4,0)+VLOOKUP('תפוקה מצטברת מול אשתקד'!A15,מנורה!A:G,4,0)+VLOOKUP('תפוקה מצטברת מול אשתקד'!A15,איילון!A:G,4,0)+VLOOKUP('תפוקה מצטברת מול אשתקד'!A15,הראל!A:G,4,0)+VLOOKUP('תפוקה מצטברת מול אשתקד'!A15,הפניקס!A:G,4,0)+VLOOKUP('תפוקה מצטברת מול אשתקד'!A15,כלל!A:G,4,0)+VLOOKUP('תפוקה מצטברת מול אשתקד'!A15,מור!A:G,4,0)+VLOOKUP('תפוקה מצטברת מול אשתקד'!A15,'אלטשולר שחם'!A:G,4,0)+VLOOKUP('תפוקה מצטברת מול אשתקד'!A15,'מדיהו '!A:G,4,0)+VLOOKUP('תפוקה מצטברת מול אשתקד'!A15,'אנליסט '!A:G,4,0)+VLOOKUP('תפוקה מצטברת מול אשתקד'!A15,'מיטב דש'!A:G,4,0)+VLOOKUP('תפוקה מצטברת מול אשתקד'!A15,אינפניטי!A:G,4,0)</f>
        <v>130856.11</v>
      </c>
      <c r="I15" s="58">
        <f>VLOOKUP(A15,הכשרה!A:G,5,0)+VLOOKUP('תפוקה מצטברת מול אשתקד'!A15,מגדל!A:G,5,0)+VLOOKUP('תפוקה מצטברת מול אשתקד'!A15,מנורה!A:G,5,0)+VLOOKUP('תפוקה מצטברת מול אשתקד'!A15,איילון!A:G,5,0)+VLOOKUP('תפוקה מצטברת מול אשתקד'!A15,הראל!A:G,5,0)+VLOOKUP('תפוקה מצטברת מול אשתקד'!A15,הפניקס!A:G,5,0)+VLOOKUP('תפוקה מצטברת מול אשתקד'!A15,כלל!A:G,5,0)+VLOOKUP('תפוקה מצטברת מול אשתקד'!A15,מור!A:G,5,0)+VLOOKUP('תפוקה מצטברת מול אשתקד'!A15,'אלטשולר שחם'!A:G,5,0)+VLOOKUP('תפוקה מצטברת מול אשתקד'!A15,'מדיהו '!A:G,5,0)+VLOOKUP('תפוקה מצטברת מול אשתקד'!A15,'אנליסט '!A:G,5,0)+VLOOKUP('תפוקה מצטברת מול אשתקד'!A15,'מיטב דש'!A:G,5,0)+VLOOKUP('תפוקה מצטברת מול אשתקד'!A15,אינפניטי!A:G,5,0)</f>
        <v>0</v>
      </c>
      <c r="J15" s="58">
        <f>VLOOKUP(A15,הכשרה!A:G,6,0)+VLOOKUP('תפוקה מצטברת מול אשתקד'!A15,מגדל!A:G,6,0)+VLOOKUP('תפוקה מצטברת מול אשתקד'!A15,מנורה!A:G,6,0)+VLOOKUP('תפוקה מצטברת מול אשתקד'!A15,איילון!A:G,6,0)+VLOOKUP(A15,הראל!A:G,6,0)+VLOOKUP('תפוקה מצטברת מול אשתקד'!A15,הפניקס!A:G,6,0)+VLOOKUP('תפוקה מצטברת מול אשתקד'!A15,כלל!A:G,6,0)+VLOOKUP('תפוקה מצטברת מול אשתקד'!A15,מור!A:G,6,0)+VLOOKUP('תפוקה מצטברת מול אשתקד'!A15,'אלטשולר שחם'!A:G,6,0)+VLOOKUP('תפוקה מצטברת מול אשתקד'!A15,'מדיהו '!A:G,6,0)+VLOOKUP('תפוקה מצטברת מול אשתקד'!A15,'אנליסט '!A:G,6,0)+VLOOKUP('תפוקה מצטברת מול אשתקד'!A15,'מיטב דש'!A:G,6,0)+VLOOKUP('תפוקה מצטברת מול אשתקד'!A15,אינפניטי!A:G,6,0)</f>
        <v>272934.96999999997</v>
      </c>
      <c r="K15" s="58">
        <f>VLOOKUP(A15,הכשרה!A:G,7,0)+VLOOKUP('תפוקה מצטברת מול אשתקד'!A15,מגדל!A:G,7,0)+VLOOKUP('תפוקה מצטברת מול אשתקד'!A15,מנורה!A:G,7,0)+VLOOKUP('תפוקה מצטברת מול אשתקד'!A15,איילון!A:G,7,0)+VLOOKUP('תפוקה מצטברת מול אשתקד'!A15,הראל!A:G,7,0)+VLOOKUP('תפוקה מצטברת מול אשתקד'!A15,הפניקס!A:G,7,0)+VLOOKUP('תפוקה מצטברת מול אשתקד'!A15,כלל!A:G,7,0)+VLOOKUP('תפוקה מצטברת מול אשתקד'!A15,מור!A:G,7,0)+VLOOKUP('תפוקה מצטברת מול אשתקד'!A15,'אלטשולר שחם'!A:G,7,0)+VLOOKUP('תפוקה מצטברת מול אשתקד'!A15,'מדיהו '!A:K,7,0)+VLOOKUP(A15,'אנליסט '!A:G,7,0)+VLOOKUP('תפוקה מצטברת מול אשתקד'!A15,'מיטב דש'!A:G,7,0)+VLOOKUP('תפוקה מצטברת מול אשתקד'!A15,אינפניטי!A:G,7,0)</f>
        <v>113643.55</v>
      </c>
      <c r="L15" s="12">
        <f>VLOOKUP(A15,הכשרה!A:K,8,0)+VLOOKUP('תפוקה מצטברת מול אשתקד'!A15,מגדל!A:K,8,0)+VLOOKUP('תפוקה מצטברת מול אשתקד'!A15,מנורה!A:K,8,0)+VLOOKUP('תפוקה מצטברת מול אשתקד'!A15,איילון!A:K,8,0)+VLOOKUP('תפוקה מצטברת מול אשתקד'!A15,הראל!A:K,8,0)+VLOOKUP('תפוקה מצטברת מול אשתקד'!A15,הפניקס!A:K,8,0)+VLOOKUP('תפוקה מצטברת מול אשתקד'!A15,כלל!A:K,8,0)+VLOOKUP('תפוקה מצטברת מול אשתקד'!A15,מור!A:K,8,0)+VLOOKUP('תפוקה מצטברת מול אשתקד'!A15,'אלטשולר שחם'!A:K,8,0)+VLOOKUP('תפוקה מצטברת מול אשתקד'!A15,'מדיהו '!A:K,8,0)+VLOOKUP('תפוקה מצטברת מול אשתקד'!A15,'אנליסט '!A:K,8,0)+VLOOKUP('תפוקה מצטברת מול אשתקד'!A15,'מיטב דש'!A:K,8,0)+VLOOKUP('תפוקה מצטברת מול אשתקד'!A15,אינפניטי!A:K,8,0)</f>
        <v>38157.53</v>
      </c>
      <c r="M15" s="12">
        <f>VLOOKUP(A15,הכשרה!A:K,9,0)+VLOOKUP('תפוקה מצטברת מול אשתקד'!A15,מגדל!A:K,9,0)+VLOOKUP('תפוקה מצטברת מול אשתקד'!A15,מנורה!A:K,9,0)+VLOOKUP('תפוקה מצטברת מול אשתקד'!A15,איילון!A:K,9,0)+VLOOKUP('תפוקה מצטברת מול אשתקד'!A15,הראל!A:K,9,0)+VLOOKUP('תפוקה מצטברת מול אשתקד'!A15,הפניקס!A:K,9,0)+VLOOKUP('תפוקה מצטברת מול אשתקד'!A15,כלל!A:K,9,0)+VLOOKUP('תפוקה מצטברת מול אשתקד'!A15,מור!A:K,9,0)+VLOOKUP('תפוקה מצטברת מול אשתקד'!A15,'אלטשולר שחם'!A:K,9,0)+VLOOKUP('תפוקה מצטברת מול אשתקד'!A15,'מדיהו '!A:K,9,0)+VLOOKUP('תפוקה מצטברת מול אשתקד'!A15,'אנליסט '!A:K,9,0)+VLOOKUP('תפוקה מצטברת מול אשתקד'!A15,'מיטב דש'!A:K,9,0)+VLOOKUP('תפוקה מצטברת מול אשתקד'!A15,אינפניטי!A:K,9,0)</f>
        <v>0</v>
      </c>
      <c r="N15" s="12">
        <f>VLOOKUP(A15,הכשרה!A:K,10,0)+VLOOKUP('תפוקה מצטברת מול אשתקד'!A15,מגדל!A:K,10,0)+VLOOKUP('תפוקה מצטברת מול אשתקד'!A15,מנורה!A:K,10,0)+VLOOKUP('תפוקה מצטברת מול אשתקד'!A15,איילון!A:K,10,0)+VLOOKUP('תפוקה מצטברת מול אשתקד'!A15,הראל!A:K,10,0)+VLOOKUP('תפוקה מצטברת מול אשתקד'!A15,הפניקס!A:K,10,0)+VLOOKUP('תפוקה מצטברת מול אשתקד'!A15,כלל!A:K,10,0)+VLOOKUP('תפוקה מצטברת מול אשתקד'!A15,מור!A:K,10,0)+VLOOKUP('תפוקה מצטברת מול אשתקד'!A15,'אלטשולר שחם'!A:K,10,0)+VLOOKUP('תפוקה מצטברת מול אשתקד'!A15,'מדיהו '!A:K,10,0)+VLOOKUP('תפוקה מצטברת מול אשתקד'!A15,'אנליסט '!A:K,10,0)+VLOOKUP('תפוקה מצטברת מול אשתקד'!A15,'מיטב דש'!A:K,10,0)+VLOOKUP('תפוקה מצטברת מול אשתקד'!A15,אינפניטי!A:K,10,0)</f>
        <v>0</v>
      </c>
      <c r="O15" s="12">
        <f>VLOOKUP(A15,הכשרה!A:K,11,0)+VLOOKUP('תפוקה מצטברת מול אשתקד'!A15,מגדל!A:K,11,0)+VLOOKUP('תפוקה מצטברת מול אשתקד'!A15,מנורה!A:K,11,0)+VLOOKUP('תפוקה מצטברת מול אשתקד'!A15,איילון!A:K,11,0)+VLOOKUP('תפוקה מצטברת מול אשתקד'!A15,הראל!A:K,11,0)+VLOOKUP('תפוקה מצטברת מול אשתקד'!A15,הפניקס!A:K,11,0)+VLOOKUP('תפוקה מצטברת מול אשתקד'!A15,כלל!A:K,11,0)+VLOOKUP('תפוקה מצטברת מול אשתקד'!A15,מור!A:K,11,0)+VLOOKUP('תפוקה מצטברת מול אשתקד'!A15,'אלטשולר שחם'!A:K,11,0)+VLOOKUP('תפוקה מצטברת מול אשתקד'!A15,'מדיהו '!A:K,11,0)+VLOOKUP('תפוקה מצטברת מול אשתקד'!A15,'אנליסט '!A:K,11,0)+VLOOKUP('תפוקה מצטברת מול אשתקד'!A15,'מיטב דש'!A:K,11,0)+VLOOKUP('תפוקה מצטברת מול אשתקד'!A15,אינפניטי!A:K,11,0)</f>
        <v>1145.165</v>
      </c>
    </row>
    <row r="16" spans="1:16" ht="15.75" customHeight="1" x14ac:dyDescent="0.25">
      <c r="A16" s="26" t="s">
        <v>96</v>
      </c>
      <c r="B16" s="26" t="s">
        <v>108</v>
      </c>
      <c r="C16" s="26" t="s">
        <v>106</v>
      </c>
      <c r="D16" s="19">
        <f t="shared" si="0"/>
        <v>1.6113866951500828</v>
      </c>
      <c r="E16" s="19">
        <f t="shared" si="1"/>
        <v>1.1230120962545462</v>
      </c>
      <c r="F16" s="19">
        <f t="shared" si="2"/>
        <v>0.4996110254095687</v>
      </c>
      <c r="G16" s="19">
        <f t="shared" si="4"/>
        <v>14.466933437071694</v>
      </c>
      <c r="H16" s="58">
        <f>VLOOKUP(A16,הכשרה!A:G,4,0)+VLOOKUP('תפוקה מצטברת מול אשתקד'!A16,מגדל!A:G,4,0)+VLOOKUP('תפוקה מצטברת מול אשתקד'!A16,מנורה!A:G,4,0)+VLOOKUP('תפוקה מצטברת מול אשתקד'!A16,איילון!A:G,4,0)+VLOOKUP('תפוקה מצטברת מול אשתקד'!A16,הראל!A:G,4,0)+VLOOKUP('תפוקה מצטברת מול אשתקד'!A16,הפניקס!A:G,4,0)+VLOOKUP('תפוקה מצטברת מול אשתקד'!A16,כלל!A:G,4,0)+VLOOKUP('תפוקה מצטברת מול אשתקד'!A16,מור!A:G,4,0)+VLOOKUP('תפוקה מצטברת מול אשתקד'!A16,'אלטשולר שחם'!A:G,4,0)+VLOOKUP('תפוקה מצטברת מול אשתקד'!A16,'מדיהו '!A:G,4,0)+VLOOKUP('תפוקה מצטברת מול אשתקד'!A16,'אנליסט '!A:G,4,0)+VLOOKUP('תפוקה מצטברת מול אשתקד'!A16,'מיטב דש'!A:G,4,0)+VLOOKUP('תפוקה מצטברת מול אשתקד'!A16,אינפניטי!A:G,4,0)</f>
        <v>114050.51759</v>
      </c>
      <c r="I16" s="58">
        <f>VLOOKUP(A16,הכשרה!A:G,5,0)+VLOOKUP('תפוקה מצטברת מול אשתקד'!A16,מגדל!A:G,5,0)+VLOOKUP('תפוקה מצטברת מול אשתקד'!A16,מנורה!A:G,5,0)+VLOOKUP('תפוקה מצטברת מול אשתקד'!A16,איילון!A:G,5,0)+VLOOKUP('תפוקה מצטברת מול אשתקד'!A16,הראל!A:G,5,0)+VLOOKUP('תפוקה מצטברת מול אשתקד'!A16,הפניקס!A:G,5,0)+VLOOKUP('תפוקה מצטברת מול אשתקד'!A16,כלל!A:G,5,0)+VLOOKUP('תפוקה מצטברת מול אשתקד'!A16,מור!A:G,5,0)+VLOOKUP('תפוקה מצטברת מול אשתקד'!A16,'אלטשולר שחם'!A:G,5,0)+VLOOKUP('תפוקה מצטברת מול אשתקד'!A16,'מדיהו '!A:G,5,0)+VLOOKUP('תפוקה מצטברת מול אשתקד'!A16,'אנליסט '!A:G,5,0)+VLOOKUP('תפוקה מצטברת מול אשתקד'!A16,'מיטב דש'!A:G,5,0)+VLOOKUP('תפוקה מצטברת מול אשתקד'!A16,אינפניטי!A:G,5,0)</f>
        <v>37296.549999999996</v>
      </c>
      <c r="J16" s="58">
        <f>VLOOKUP(A16,הכשרה!A:G,6,0)+VLOOKUP('תפוקה מצטברת מול אשתקד'!A16,מגדל!A:G,6,0)+VLOOKUP('תפוקה מצטברת מול אשתקד'!A16,מנורה!A:G,6,0)+VLOOKUP('תפוקה מצטברת מול אשתקד'!A16,איילון!A:G,6,0)+VLOOKUP(A16,הראל!A:G,6,0)+VLOOKUP('תפוקה מצטברת מול אשתקד'!A16,הפניקס!A:G,6,0)+VLOOKUP('תפוקה מצטברת מול אשתקד'!A16,כלל!A:G,6,0)+VLOOKUP('תפוקה מצטברת מול אשתקד'!A16,מור!A:G,6,0)+VLOOKUP('תפוקה מצטברת מול אשתקד'!A16,'אלטשולר שחם'!A:G,6,0)+VLOOKUP('תפוקה מצטברת מול אשתקד'!A16,'מדיהו '!A:G,6,0)+VLOOKUP('תפוקה מצטברת מול אשתקד'!A16,'אנליסט '!A:G,6,0)+VLOOKUP('תפוקה מצטברת מול אשתקד'!A16,'מיטב דש'!A:G,6,0)+VLOOKUP('תפוקה מצטברת מול אשתקד'!A16,אינפניטי!A:G,6,0)</f>
        <v>6094</v>
      </c>
      <c r="K16" s="58">
        <f>VLOOKUP(A16,הכשרה!A:G,7,0)+VLOOKUP('תפוקה מצטברת מול אשתקד'!A16,מגדל!A:G,7,0)+VLOOKUP('תפוקה מצטברת מול אשתקד'!A16,מנורה!A:G,7,0)+VLOOKUP('תפוקה מצטברת מול אשתקד'!A16,איילון!A:G,7,0)+VLOOKUP('תפוקה מצטברת מול אשתקד'!A16,הראל!A:G,7,0)+VLOOKUP('תפוקה מצטברת מול אשתקד'!A16,הפניקס!A:G,7,0)+VLOOKUP('תפוקה מצטברת מול אשתקד'!A16,כלל!A:G,7,0)+VLOOKUP('תפוקה מצטברת מול אשתקד'!A16,מור!A:G,7,0)+VLOOKUP('תפוקה מצטברת מול אשתקד'!A16,'אלטשולר שחם'!A:G,7,0)+VLOOKUP('תפוקה מצטברת מול אשתקד'!A16,'מדיהו '!A:K,7,0)+VLOOKUP(A16,'אנליסט '!A:G,7,0)+VLOOKUP('תפוקה מצטברת מול אשתקד'!A16,'מיטב דש'!A:G,7,0)+VLOOKUP('תפוקה מצטברת מול אשתקד'!A16,אינפניטי!A:G,7,0)</f>
        <v>103330.33</v>
      </c>
      <c r="L16" s="12">
        <f>VLOOKUP(A16,הכשרה!A:K,8,0)+VLOOKUP('תפוקה מצטברת מול אשתקד'!A16,מגדל!A:K,8,0)+VLOOKUP('תפוקה מצטברת מול אשתקד'!A16,מנורה!A:K,8,0)+VLOOKUP('תפוקה מצטברת מול אשתקד'!A16,איילון!A:K,8,0)+VLOOKUP('תפוקה מצטברת מול אשתקד'!A16,הראל!A:K,8,0)+VLOOKUP('תפוקה מצטברת מול אשתקד'!A16,הפניקס!A:K,8,0)+VLOOKUP('תפוקה מצטברת מול אשתקד'!A16,כלל!A:K,8,0)+VLOOKUP('תפוקה מצטברת מול אשתקד'!A16,מור!A:K,8,0)+VLOOKUP('תפוקה מצטברת מול אשתקד'!A16,'אלטשולר שחם'!A:K,8,0)+VLOOKUP('תפוקה מצטברת מול אשתקד'!A16,'מדיהו '!A:K,8,0)+VLOOKUP('תפוקה מצטברת מול אשתקד'!A16,'אנליסט '!A:K,8,0)+VLOOKUP('תפוקה מצטברת מול אשתקד'!A16,'מיטב דש'!A:K,8,0)+VLOOKUP('תפוקה מצטברת מול אשתקד'!A16,אינפניטי!A:K,8,0)</f>
        <v>43674.312119999995</v>
      </c>
      <c r="M16" s="12">
        <f>VLOOKUP(A16,הכשרה!A:K,9,0)+VLOOKUP('תפוקה מצטברת מול אשתקד'!A16,מגדל!A:K,9,0)+VLOOKUP('תפוקה מצטברת מול אשתקד'!A16,מנורה!A:K,9,0)+VLOOKUP('תפוקה מצטברת מול אשתקד'!A16,איילון!A:K,9,0)+VLOOKUP('תפוקה מצטברת מול אשתקד'!A16,הראל!A:K,9,0)+VLOOKUP('תפוקה מצטברת מול אשתקד'!A16,הפניקס!A:K,9,0)+VLOOKUP('תפוקה מצטברת מול אשתקד'!A16,כלל!A:K,9,0)+VLOOKUP('תפוקה מצטברת מול אשתקד'!A16,מור!A:K,9,0)+VLOOKUP('תפוקה מצטברת מול אשתקד'!A16,'אלטשולר שחם'!A:K,9,0)+VLOOKUP('תפוקה מצטברת מול אשתקד'!A16,'מדיהו '!A:K,9,0)+VLOOKUP('תפוקה מצטברת מול אשתקד'!A16,'אנליסט '!A:K,9,0)+VLOOKUP('תפוקה מצטברת מול אשתקד'!A16,'מיטב דש'!A:K,9,0)+VLOOKUP('תפוקה מצטברת מול אשתקד'!A16,אינפניטי!A:K,9,0)</f>
        <v>17567.752</v>
      </c>
      <c r="N16" s="12">
        <f>VLOOKUP(A16,הכשרה!A:K,10,0)+VLOOKUP('תפוקה מצטברת מול אשתקד'!A16,מגדל!A:K,10,0)+VLOOKUP('תפוקה מצטברת מול אשתקד'!A16,מנורה!A:K,10,0)+VLOOKUP('תפוקה מצטברת מול אשתקד'!A16,איילון!A:K,10,0)+VLOOKUP('תפוקה מצטברת מול אשתקד'!A16,הראל!A:K,10,0)+VLOOKUP('תפוקה מצטברת מול אשתקד'!A16,הפניקס!A:K,10,0)+VLOOKUP('תפוקה מצטברת מול אשתקד'!A16,כלל!A:K,10,0)+VLOOKUP('תפוקה מצטברת מול אשתקד'!A16,מור!A:K,10,0)+VLOOKUP('תפוקה מצטברת מול אשתקד'!A16,'אלטשולר שחם'!A:K,10,0)+VLOOKUP('תפוקה מצטברת מול אשתקד'!A16,'מדיהו '!A:K,10,0)+VLOOKUP('תפוקה מצטברת מול אשתקד'!A16,'אנליסט '!A:K,10,0)+VLOOKUP('תפוקה מצטברת מול אשתקד'!A16,'מיטב דש'!A:K,10,0)+VLOOKUP('תפוקה מצטברת מול אשתקד'!A16,אינפניטי!A:K,10,0)</f>
        <v>4063.720456</v>
      </c>
      <c r="O16" s="12">
        <f>VLOOKUP(A16,הכשרה!A:K,11,0)+VLOOKUP('תפוקה מצטברת מול אשתקד'!A16,מגדל!A:K,11,0)+VLOOKUP('תפוקה מצטברת מול אשתקד'!A16,מנורה!A:K,11,0)+VLOOKUP('תפוקה מצטברת מול אשתקד'!A16,איילון!A:K,11,0)+VLOOKUP('תפוקה מצטברת מול אשתקד'!A16,הראל!A:K,11,0)+VLOOKUP('תפוקה מצטברת מול אשתקד'!A16,הפניקס!A:K,11,0)+VLOOKUP('תפוקה מצטברת מול אשתקד'!A16,כלל!A:K,11,0)+VLOOKUP('תפוקה מצטברת מול אשתקד'!A16,מור!A:K,11,0)+VLOOKUP('תפוקה מצטברת מול אשתקד'!A16,'אלטשולר שחם'!A:K,11,0)+VLOOKUP('תפוקה מצטברת מול אשתקד'!A16,'מדיהו '!A:K,11,0)+VLOOKUP('תפוקה מצטברת מול אשתקד'!A16,'אנליסט '!A:K,11,0)+VLOOKUP('תפוקה מצטברת מול אשתקד'!A16,'מיטב דש'!A:K,11,0)+VLOOKUP('תפוקה מצטברת מול אשתקד'!A16,אינפניטי!A:K,11,0)</f>
        <v>6680.7250720000002</v>
      </c>
    </row>
    <row r="17" spans="1:18" ht="15.75" customHeight="1" x14ac:dyDescent="0.25">
      <c r="A17" s="26" t="s">
        <v>42</v>
      </c>
      <c r="B17" s="26" t="s">
        <v>108</v>
      </c>
      <c r="C17" s="26" t="s">
        <v>106</v>
      </c>
      <c r="D17" s="19">
        <f t="shared" si="0"/>
        <v>4.9125294771533268E-2</v>
      </c>
      <c r="E17" s="19">
        <f t="shared" si="1"/>
        <v>0.5057780629557751</v>
      </c>
      <c r="F17" s="19">
        <f t="shared" si="2"/>
        <v>-0.43978257833029455</v>
      </c>
      <c r="G17" s="19">
        <f t="shared" si="4"/>
        <v>-0.5396474437357468</v>
      </c>
      <c r="H17" s="58">
        <f>VLOOKUP(A17,הכשרה!A:G,4,0)+VLOOKUP('תפוקה מצטברת מול אשתקד'!A17,מגדל!A:G,4,0)+VLOOKUP('תפוקה מצטברת מול אשתקד'!A17,מנורה!A:G,4,0)+VLOOKUP('תפוקה מצטברת מול אשתקד'!A17,איילון!A:G,4,0)+VLOOKUP('תפוקה מצטברת מול אשתקד'!A17,הראל!A:G,4,0)+VLOOKUP('תפוקה מצטברת מול אשתקד'!A17,הפניקס!A:G,4,0)+VLOOKUP('תפוקה מצטברת מול אשתקד'!A17,כלל!A:G,4,0)+VLOOKUP('תפוקה מצטברת מול אשתקד'!A17,מור!A:G,4,0)+VLOOKUP('תפוקה מצטברת מול אשתקד'!A17,'אלטשולר שחם'!A:G,4,0)+VLOOKUP('תפוקה מצטברת מול אשתקד'!A17,'מדיהו '!A:G,4,0)+VLOOKUP('תפוקה מצטברת מול אשתקד'!A17,'אנליסט '!A:G,4,0)+VLOOKUP('תפוקה מצטברת מול אשתקד'!A17,'מיטב דש'!A:G,4,0)+VLOOKUP('תפוקה מצטברת מול אשתקד'!A17,אינפניטי!A:G,4,0)</f>
        <v>439062.63631386042</v>
      </c>
      <c r="I17" s="58">
        <f>VLOOKUP(A17,הכשרה!A:G,5,0)+VLOOKUP('תפוקה מצטברת מול אשתקד'!A17,מגדל!A:G,5,0)+VLOOKUP('תפוקה מצטברת מול אשתקד'!A17,מנורה!A:G,5,0)+VLOOKUP('תפוקה מצטברת מול אשתקד'!A17,איילון!A:G,5,0)+VLOOKUP('תפוקה מצטברת מול אשתקד'!A17,הראל!A:G,5,0)+VLOOKUP('תפוקה מצטברת מול אשתקד'!A17,הפניקס!A:G,5,0)+VLOOKUP('תפוקה מצטברת מול אשתקד'!A17,כלל!A:G,5,0)+VLOOKUP('תפוקה מצטברת מול אשתקד'!A17,מור!A:G,5,0)+VLOOKUP('תפוקה מצטברת מול אשתקד'!A17,'אלטשולר שחם'!A:G,5,0)+VLOOKUP('תפוקה מצטברת מול אשתקד'!A17,'מדיהו '!A:G,5,0)+VLOOKUP('תפוקה מצטברת מול אשתקד'!A17,'אנליסט '!A:G,5,0)+VLOOKUP('תפוקה מצטברת מול אשתקד'!A17,'מיטב דש'!A:G,5,0)+VLOOKUP('תפוקה מצטברת מול אשתקד'!A17,אינפניטי!A:G,5,0)</f>
        <v>215792.45379526171</v>
      </c>
      <c r="J17" s="58">
        <f>VLOOKUP(A17,הכשרה!A:G,6,0)+VLOOKUP('תפוקה מצטברת מול אשתקד'!A17,מגדל!A:G,6,0)+VLOOKUP('תפוקה מצטברת מול אשתקד'!A17,מנורה!A:G,6,0)+VLOOKUP('תפוקה מצטברת מול אשתקד'!A17,איילון!A:G,6,0)+VLOOKUP(A17,הראל!A:G,6,0)+VLOOKUP('תפוקה מצטברת מול אשתקד'!A17,הפניקס!A:G,6,0)+VLOOKUP('תפוקה מצטברת מול אשתקד'!A17,כלל!A:G,6,0)+VLOOKUP('תפוקה מצטברת מול אשתקד'!A17,מור!A:G,6,0)+VLOOKUP('תפוקה מצטברת מול אשתקד'!A17,'אלטשולר שחם'!A:G,6,0)+VLOOKUP('תפוקה מצטברת מול אשתקד'!A17,'מדיהו '!A:G,6,0)+VLOOKUP('תפוקה מצטברת מול אשתקד'!A17,'אנליסט '!A:G,6,0)+VLOOKUP('תפוקה מצטברת מול אשתקד'!A17,'מיטב דש'!A:G,6,0)+VLOOKUP('תפוקה מצטברת מול אשתקד'!A17,אינפניטי!A:G,6,0)</f>
        <v>2960340.5673905429</v>
      </c>
      <c r="K17" s="58">
        <f>VLOOKUP(A17,הכשרה!A:G,7,0)+VLOOKUP('תפוקה מצטברת מול אשתקד'!A17,מגדל!A:G,7,0)+VLOOKUP('תפוקה מצטברת מול אשתקד'!A17,מנורה!A:G,7,0)+VLOOKUP('תפוקה מצטברת מול אשתקד'!A17,איילון!A:G,7,0)+VLOOKUP('תפוקה מצטברת מול אשתקד'!A17,הראל!A:G,7,0)+VLOOKUP('תפוקה מצטברת מול אשתקד'!A17,הפניקס!A:G,7,0)+VLOOKUP('תפוקה מצטברת מול אשתקד'!A17,כלל!A:G,7,0)+VLOOKUP('תפוקה מצטברת מול אשתקד'!A17,מור!A:G,7,0)+VLOOKUP('תפוקה מצטברת מול אשתקד'!A17,'אלטשולר שחם'!A:G,7,0)+VLOOKUP('תפוקה מצטברת מול אשתקד'!A17,'מדיהו '!A:K,7,0)+VLOOKUP(A17,'אנליסט '!A:G,7,0)+VLOOKUP('תפוקה מצטברת מול אשתקד'!A17,'מיטב דש'!A:G,7,0)+VLOOKUP('תפוקה מצטברת מול אשתקד'!A17,אינפניטי!A:G,7,0)</f>
        <v>1104728.0500000003</v>
      </c>
      <c r="L17" s="12">
        <f>VLOOKUP(A17,הכשרה!A:K,8,0)+VLOOKUP('תפוקה מצטברת מול אשתקד'!A17,מגדל!A:K,8,0)+VLOOKUP('תפוקה מצטברת מול אשתקד'!A17,מנורה!A:K,8,0)+VLOOKUP('תפוקה מצטברת מול אשתקד'!A17,איילון!A:K,8,0)+VLOOKUP('תפוקה מצטברת מול אשתקד'!A17,הראל!A:K,8,0)+VLOOKUP('תפוקה מצטברת מול אשתקד'!A17,הפניקס!A:K,8,0)+VLOOKUP('תפוקה מצטברת מול אשתקד'!A17,כלל!A:K,8,0)+VLOOKUP('תפוקה מצטברת מול אשתקד'!A17,מור!A:K,8,0)+VLOOKUP('תפוקה מצטברת מול אשתקד'!A17,'אלטשולר שחם'!A:K,8,0)+VLOOKUP('תפוקה מצטברת מול אשתקד'!A17,'מדיהו '!A:K,8,0)+VLOOKUP('תפוקה מצטברת מול אשתקד'!A17,'אנליסט '!A:K,8,0)+VLOOKUP('תפוקה מצטברת מול אשתקד'!A17,'מיטב דש'!A:K,8,0)+VLOOKUP('תפוקה מצטברת מול אשתקד'!A17,אינפניטי!A:K,8,0)</f>
        <v>418503.52717830002</v>
      </c>
      <c r="M17" s="12">
        <f>VLOOKUP(A17,הכשרה!A:K,9,0)+VLOOKUP('תפוקה מצטברת מול אשתקד'!A17,מגדל!A:K,9,0)+VLOOKUP('תפוקה מצטברת מול אשתקד'!A17,מנורה!A:K,9,0)+VLOOKUP('תפוקה מצטברת מול אשתקד'!A17,איילון!A:K,9,0)+VLOOKUP('תפוקה מצטברת מול אשתקד'!A17,הראל!A:K,9,0)+VLOOKUP('תפוקה מצטברת מול אשתקד'!A17,הפניקס!A:K,9,0)+VLOOKUP('תפוקה מצטברת מול אשתקד'!A17,כלל!A:K,9,0)+VLOOKUP('תפוקה מצטברת מול אשתקד'!A17,מור!A:K,9,0)+VLOOKUP('תפוקה מצטברת מול אשתקד'!A17,'אלטשולר שחם'!A:K,9,0)+VLOOKUP('תפוקה מצטברת מול אשתקד'!A17,'מדיהו '!A:K,9,0)+VLOOKUP('תפוקה מצטברת מול אשתקד'!A17,'אנליסט '!A:K,9,0)+VLOOKUP('תפוקה מצטברת מול אשתקד'!A17,'מיטב דש'!A:K,9,0)+VLOOKUP('תפוקה מצטברת מול אשתקד'!A17,אינפניטי!A:K,9,0)</f>
        <v>143309.60126465833</v>
      </c>
      <c r="N17" s="12">
        <f>VLOOKUP(A17,הכשרה!A:K,10,0)+VLOOKUP('תפוקה מצטברת מול אשתקד'!A17,מגדל!A:K,10,0)+VLOOKUP('תפוקה מצטברת מול אשתקד'!A17,מנורה!A:K,10,0)+VLOOKUP('תפוקה מצטברת מול אשתקד'!A17,איילון!A:K,10,0)+VLOOKUP('תפוקה מצטברת מול אשתקד'!A17,הראל!A:K,10,0)+VLOOKUP('תפוקה מצטברת מול אשתקד'!A17,הפניקס!A:K,10,0)+VLOOKUP('תפוקה מצטברת מול אשתקד'!A17,כלל!A:K,10,0)+VLOOKUP('תפוקה מצטברת מול אשתקד'!A17,מור!A:K,10,0)+VLOOKUP('תפוקה מצטברת מול אשתקד'!A17,'אלטשולר שחם'!A:K,10,0)+VLOOKUP('תפוקה מצטברת מול אשתקד'!A17,'מדיהו '!A:K,10,0)+VLOOKUP('תפוקה מצטברת מול אשתקד'!A17,'אנליסט '!A:K,10,0)+VLOOKUP('תפוקה מצטברת מול אשתקד'!A17,'מיטב דש'!A:K,10,0)+VLOOKUP('תפוקה מצטברת מול אשתקד'!A17,אינפניטי!A:K,10,0)</f>
        <v>5284270.8078719992</v>
      </c>
      <c r="O17" s="12">
        <f>VLOOKUP(A17,הכשרה!A:K,11,0)+VLOOKUP('תפוקה מצטברת מול אשתקד'!A17,מגדל!A:K,11,0)+VLOOKUP('תפוקה מצטברת מול אשתקד'!A17,מנורה!A:K,11,0)+VLOOKUP('תפוקה מצטברת מול אשתקד'!A17,איילון!A:K,11,0)+VLOOKUP('תפוקה מצטברת מול אשתקד'!A17,הראל!A:K,11,0)+VLOOKUP('תפוקה מצטברת מול אשתקד'!A17,הפניקס!A:K,11,0)+VLOOKUP('תפוקה מצטברת מול אשתקד'!A17,כלל!A:K,11,0)+VLOOKUP('תפוקה מצטברת מול אשתקד'!A17,מור!A:K,11,0)+VLOOKUP('תפוקה מצטברת מול אשתקד'!A17,'אלטשולר שחם'!A:K,11,0)+VLOOKUP('תפוקה מצטברת מול אשתקד'!A17,'מדיהו '!A:K,11,0)+VLOOKUP('תפוקה מצטברת מול אשתקד'!A17,'אנליסט '!A:K,11,0)+VLOOKUP('תפוקה מצטברת מול אשתקד'!A17,'מיטב דש'!A:K,11,0)+VLOOKUP('תפוקה מצטברת מול אשתקד'!A17,אינפניטי!A:K,11,0)</f>
        <v>2399743.4899999998</v>
      </c>
    </row>
    <row r="18" spans="1:18" ht="15.75" customHeight="1" x14ac:dyDescent="0.25">
      <c r="A18" s="26" t="s">
        <v>43</v>
      </c>
      <c r="B18" s="26" t="s">
        <v>108</v>
      </c>
      <c r="C18" s="26" t="s">
        <v>106</v>
      </c>
      <c r="D18" s="19">
        <f t="shared" si="0"/>
        <v>0.19348010949133365</v>
      </c>
      <c r="E18" s="19">
        <f t="shared" si="1"/>
        <v>0.1640440325856376</v>
      </c>
      <c r="F18" s="19">
        <f t="shared" si="2"/>
        <v>-0.25195486749997154</v>
      </c>
      <c r="G18" s="19">
        <f t="shared" si="4"/>
        <v>-0.58073418114711883</v>
      </c>
      <c r="H18" s="58">
        <f>VLOOKUP(A18,הכשרה!A:G,4,0)+VLOOKUP('תפוקה מצטברת מול אשתקד'!A18,מגדל!A:G,4,0)+VLOOKUP('תפוקה מצטברת מול אשתקד'!A18,מנורה!A:G,4,0)+VLOOKUP('תפוקה מצטברת מול אשתקד'!A18,איילון!A:G,4,0)+VLOOKUP('תפוקה מצטברת מול אשתקד'!A18,הראל!A:G,4,0)+VLOOKUP('תפוקה מצטברת מול אשתקד'!A18,הפניקס!A:G,4,0)+VLOOKUP('תפוקה מצטברת מול אשתקד'!A18,כלל!A:G,4,0)+VLOOKUP('תפוקה מצטברת מול אשתקד'!A18,מור!A:G,4,0)+VLOOKUP('תפוקה מצטברת מול אשתקד'!A18,'אלטשולר שחם'!A:G,4,0)+VLOOKUP('תפוקה מצטברת מול אשתקד'!A18,'מדיהו '!A:G,4,0)+VLOOKUP('תפוקה מצטברת מול אשתקד'!A18,'אנליסט '!A:G,4,0)+VLOOKUP('תפוקה מצטברת מול אשתקד'!A18,'מיטב דש'!A:G,4,0)+VLOOKUP('תפוקה מצטברת מול אשתקד'!A18,אינפניטי!A:G,4,0)</f>
        <v>750975.74596426194</v>
      </c>
      <c r="I18" s="58">
        <f>VLOOKUP(A18,הכשרה!A:G,5,0)+VLOOKUP('תפוקה מצטברת מול אשתקד'!A18,מגדל!A:G,5,0)+VLOOKUP('תפוקה מצטברת מול אשתקד'!A18,מנורה!A:G,5,0)+VLOOKUP('תפוקה מצטברת מול אשתקד'!A18,איילון!A:G,5,0)+VLOOKUP('תפוקה מצטברת מול אשתקד'!A18,הראל!A:G,5,0)+VLOOKUP('תפוקה מצטברת מול אשתקד'!A18,הפניקס!A:G,5,0)+VLOOKUP('תפוקה מצטברת מול אשתקד'!A18,כלל!A:G,5,0)+VLOOKUP('תפוקה מצטברת מול אשתקד'!A18,מור!A:G,5,0)+VLOOKUP('תפוקה מצטברת מול אשתקד'!A18,'אלטשולר שחם'!A:G,5,0)+VLOOKUP('תפוקה מצטברת מול אשתקד'!A18,'מדיהו '!A:G,5,0)+VLOOKUP('תפוקה מצטברת מול אשתקד'!A18,'אנליסט '!A:G,5,0)+VLOOKUP('תפוקה מצטברת מול אשתקד'!A18,'מיטב דש'!A:G,5,0)+VLOOKUP('תפוקה מצטברת מול אשתקד'!A18,אינפניטי!A:G,5,0)</f>
        <v>122769.48304648286</v>
      </c>
      <c r="J18" s="58">
        <f>VLOOKUP(A18,הכשרה!A:G,6,0)+VLOOKUP('תפוקה מצטברת מול אשתקד'!A18,מגדל!A:G,6,0)+VLOOKUP('תפוקה מצטברת מול אשתקד'!A18,מנורה!A:G,6,0)+VLOOKUP('תפוקה מצטברת מול אשתקד'!A18,איילון!A:G,6,0)+VLOOKUP(A18,הראל!A:G,6,0)+VLOOKUP('תפוקה מצטברת מול אשתקד'!A18,הפניקס!A:G,6,0)+VLOOKUP('תפוקה מצטברת מול אשתקד'!A18,כלל!A:G,6,0)+VLOOKUP('תפוקה מצטברת מול אשתקד'!A18,מור!A:G,6,0)+VLOOKUP('תפוקה מצטברת מול אשתקד'!A18,'אלטשולר שחם'!A:G,6,0)+VLOOKUP('תפוקה מצטברת מול אשתקד'!A18,'מדיהו '!A:G,6,0)+VLOOKUP('תפוקה מצטברת מול אשתקד'!A18,'אנליסט '!A:G,6,0)+VLOOKUP('תפוקה מצטברת מול אשתקד'!A18,'מיטב דש'!A:G,6,0)+VLOOKUP('תפוקה מצטברת מול אשתקד'!A18,אינפניטי!A:G,6,0)</f>
        <v>6924348.9348207777</v>
      </c>
      <c r="K18" s="58">
        <f>VLOOKUP(A18,הכשרה!A:G,7,0)+VLOOKUP('תפוקה מצטברת מול אשתקד'!A18,מגדל!A:G,7,0)+VLOOKUP('תפוקה מצטברת מול אשתקד'!A18,מנורה!A:G,7,0)+VLOOKUP('תפוקה מצטברת מול אשתקד'!A18,איילון!A:G,7,0)+VLOOKUP('תפוקה מצטברת מול אשתקד'!A18,הראל!A:G,7,0)+VLOOKUP('תפוקה מצטברת מול אשתקד'!A18,הפניקס!A:G,7,0)+VLOOKUP('תפוקה מצטברת מול אשתקד'!A18,כלל!A:G,7,0)+VLOOKUP('תפוקה מצטברת מול אשתקד'!A18,מור!A:G,7,0)+VLOOKUP('תפוקה מצטברת מול אשתקד'!A18,'אלטשולר שחם'!A:G,7,0)+VLOOKUP('תפוקה מצטברת מול אשתקד'!A18,'מדיהו '!A:K,7,0)+VLOOKUP(A18,'אנליסט '!A:G,7,0)+VLOOKUP('תפוקה מצטברת מול אשתקד'!A18,'מיטב דש'!A:G,7,0)+VLOOKUP('תפוקה מצטברת מול אשתקד'!A18,אינפניטי!A:G,7,0)</f>
        <v>2796838.6549999998</v>
      </c>
      <c r="L18" s="12">
        <f>VLOOKUP(A18,הכשרה!A:K,8,0)+VLOOKUP('תפוקה מצטברת מול אשתקד'!A18,מגדל!A:K,8,0)+VLOOKUP('תפוקה מצטברת מול אשתקד'!A18,מנורה!A:K,8,0)+VLOOKUP('תפוקה מצטברת מול אשתקד'!A18,איילון!A:K,8,0)+VLOOKUP('תפוקה מצטברת מול אשתקד'!A18,הראל!A:K,8,0)+VLOOKUP('תפוקה מצטברת מול אשתקד'!A18,הפניקס!A:K,8,0)+VLOOKUP('תפוקה מצטברת מול אשתקד'!A18,כלל!A:K,8,0)+VLOOKUP('תפוקה מצטברת מול אשתקד'!A18,מור!A:K,8,0)+VLOOKUP('תפוקה מצטברת מול אשתקד'!A18,'אלטשולר שחם'!A:K,8,0)+VLOOKUP('תפוקה מצטברת מול אשתקד'!A18,'מדיהו '!A:K,8,0)+VLOOKUP('תפוקה מצטברת מול אשתקד'!A18,'אנליסט '!A:K,8,0)+VLOOKUP('תפוקה מצטברת מול אשתקד'!A18,'מיטב דש'!A:K,8,0)+VLOOKUP('תפוקה מצטברת מול אשתקד'!A18,אינפניטי!A:K,8,0)</f>
        <v>629231.89083086688</v>
      </c>
      <c r="M18" s="12">
        <f>VLOOKUP(A18,הכשרה!A:K,9,0)+VLOOKUP('תפוקה מצטברת מול אשתקד'!A18,מגדל!A:K,9,0)+VLOOKUP('תפוקה מצטברת מול אשתקד'!A18,מנורה!A:K,9,0)+VLOOKUP('תפוקה מצטברת מול אשתקד'!A18,איילון!A:K,9,0)+VLOOKUP('תפוקה מצטברת מול אשתקד'!A18,הראל!A:K,9,0)+VLOOKUP('תפוקה מצטברת מול אשתקד'!A18,הפניקס!A:K,9,0)+VLOOKUP('תפוקה מצטברת מול אשתקד'!A18,כלל!A:K,9,0)+VLOOKUP('תפוקה מצטברת מול אשתקד'!A18,מור!A:K,9,0)+VLOOKUP('תפוקה מצטברת מול אשתקד'!A18,'אלטשולר שחם'!A:K,9,0)+VLOOKUP('תפוקה מצטברת מול אשתקד'!A18,'מדיהו '!A:K,9,0)+VLOOKUP('תפוקה מצטברת מול אשתקד'!A18,'אנליסט '!A:K,9,0)+VLOOKUP('תפוקה מצטברת מול אשתקד'!A18,'מיטב דש'!A:K,9,0)+VLOOKUP('תפוקה מצטברת מול אשתקד'!A18,אינפניטי!A:K,9,0)</f>
        <v>105468.07475468144</v>
      </c>
      <c r="N18" s="12">
        <f>VLOOKUP(A18,הכשרה!A:K,10,0)+VLOOKUP('תפוקה מצטברת מול אשתקד'!A18,מגדל!A:K,10,0)+VLOOKUP('תפוקה מצטברת מול אשתקד'!A18,מנורה!A:K,10,0)+VLOOKUP('תפוקה מצטברת מול אשתקד'!A18,איילון!A:K,10,0)+VLOOKUP('תפוקה מצטברת מול אשתקד'!A18,הראל!A:K,10,0)+VLOOKUP('תפוקה מצטברת מול אשתקד'!A18,הפניקס!A:K,10,0)+VLOOKUP('תפוקה מצטברת מול אשתקד'!A18,כלל!A:K,10,0)+VLOOKUP('תפוקה מצטברת מול אשתקד'!A18,מור!A:K,10,0)+VLOOKUP('תפוקה מצטברת מול אשתקד'!A18,'אלטשולר שחם'!A:K,10,0)+VLOOKUP('תפוקה מצטברת מול אשתקד'!A18,'מדיהו '!A:K,10,0)+VLOOKUP('תפוקה מצטברת מול אשתקד'!A18,'אנליסט '!A:K,10,0)+VLOOKUP('תפוקה מצטברת מול אשתקד'!A18,'מיטב דש'!A:K,10,0)+VLOOKUP('תפוקה מצטברת מול אשתקד'!A18,אינפניטי!A:K,10,0)</f>
        <v>9256592.462113928</v>
      </c>
      <c r="O18" s="12">
        <f>VLOOKUP(A18,הכשרה!A:K,11,0)+VLOOKUP('תפוקה מצטברת מול אשתקד'!A18,מגדל!A:K,11,0)+VLOOKUP('תפוקה מצטברת מול אשתקד'!A18,מנורה!A:K,11,0)+VLOOKUP('תפוקה מצטברת מול אשתקד'!A18,איילון!A:K,11,0)+VLOOKUP('תפוקה מצטברת מול אשתקד'!A18,הראל!A:K,11,0)+VLOOKUP('תפוקה מצטברת מול אשתקד'!A18,הפניקס!A:K,11,0)+VLOOKUP('תפוקה מצטברת מול אשתקד'!A18,כלל!A:K,11,0)+VLOOKUP('תפוקה מצטברת מול אשתקד'!A18,מור!A:K,11,0)+VLOOKUP('תפוקה מצטברת מול אשתקד'!A18,'אלטשולר שחם'!A:K,11,0)+VLOOKUP('תפוקה מצטברת מול אשתקד'!A18,'מדיהו '!A:K,11,0)+VLOOKUP('תפוקה מצטברת מול אשתקד'!A18,'אנליסט '!A:K,11,0)+VLOOKUP('תפוקה מצטברת מול אשתקד'!A18,'מיטב דש'!A:K,11,0)+VLOOKUP('תפוקה מצטברת מול אשתקד'!A18,אינפניטי!A:K,11,0)</f>
        <v>6670800.5499999998</v>
      </c>
    </row>
    <row r="19" spans="1:18" ht="15.75" customHeight="1" x14ac:dyDescent="0.25">
      <c r="A19" s="26" t="s">
        <v>30</v>
      </c>
      <c r="B19" s="26" t="s">
        <v>108</v>
      </c>
      <c r="C19" s="26" t="s">
        <v>106</v>
      </c>
      <c r="D19" s="19">
        <f t="shared" si="0"/>
        <v>945.71193367021749</v>
      </c>
      <c r="E19" s="19">
        <f t="shared" si="1"/>
        <v>6.3252763377214505</v>
      </c>
      <c r="F19" s="19">
        <f t="shared" si="2"/>
        <v>0</v>
      </c>
      <c r="G19" s="19">
        <f t="shared" si="4"/>
        <v>-6.3336846039369723</v>
      </c>
      <c r="H19" s="58">
        <f>VLOOKUP(A19,הכשרה!A:G,4,0)+VLOOKUP('תפוקה מצטברת מול אשתקד'!A19,מגדל!A:G,4,0)+VLOOKUP('תפוקה מצטברת מול אשתקד'!A19,מנורה!A:G,4,0)+VLOOKUP('תפוקה מצטברת מול אשתקד'!A19,איילון!A:G,4,0)+VLOOKUP('תפוקה מצטברת מול אשתקד'!A19,הראל!A:G,4,0)+VLOOKUP('תפוקה מצטברת מול אשתקד'!A19,הפניקס!A:G,4,0)+VLOOKUP('תפוקה מצטברת מול אשתקד'!A19,כלל!A:G,4,0)+VLOOKUP('תפוקה מצטברת מול אשתקד'!A19,מור!A:G,4,0)+VLOOKUP('תפוקה מצטברת מול אשתקד'!A19,'אלטשולר שחם'!A:G,4,0)+VLOOKUP('תפוקה מצטברת מול אשתקד'!A19,'מדיהו '!A:G,4,0)+VLOOKUP('תפוקה מצטברת מול אשתקד'!A19,'אנליסט '!A:G,4,0)+VLOOKUP('תפוקה מצטברת מול אשתקד'!A19,'מיטב דש'!A:G,4,0)+VLOOKUP('תפוקה מצטברת מול אשתקד'!A19,אינפניטי!A:G,4,0)</f>
        <v>1207136.3798248689</v>
      </c>
      <c r="I19" s="58">
        <f>VLOOKUP(A19,הכשרה!A:G,5,0)+VLOOKUP('תפוקה מצטברת מול אשתקד'!A19,מגדל!A:G,5,0)+VLOOKUP('תפוקה מצטברת מול אשתקד'!A19,מנורה!A:G,5,0)+VLOOKUP('תפוקה מצטברת מול אשתקד'!A19,איילון!A:G,5,0)+VLOOKUP('תפוקה מצטברת מול אשתקד'!A19,הראל!A:G,5,0)+VLOOKUP('תפוקה מצטברת מול אשתקד'!A19,הפניקס!A:G,5,0)+VLOOKUP('תפוקה מצטברת מול אשתקד'!A19,כלל!A:G,5,0)+VLOOKUP('תפוקה מצטברת מול אשתקד'!A19,מור!A:G,5,0)+VLOOKUP('תפוקה מצטברת מול אשתקד'!A19,'אלטשולר שחם'!A:G,5,0)+VLOOKUP('תפוקה מצטברת מול אשתקד'!A19,'מדיהו '!A:G,5,0)+VLOOKUP('תפוקה מצטברת מול אשתקד'!A19,'אנליסט '!A:G,5,0)+VLOOKUP('תפוקה מצטברת מול אשתקד'!A19,'מיטב דש'!A:G,5,0)+VLOOKUP('תפוקה מצטברת מול אשתקד'!A19,אינפניטי!A:G,5,0)</f>
        <v>61195.245999999992</v>
      </c>
      <c r="J19" s="58">
        <f>VLOOKUP(A19,הכשרה!A:G,6,0)+VLOOKUP('תפוקה מצטברת מול אשתקד'!A19,מגדל!A:G,6,0)+VLOOKUP('תפוקה מצטברת מול אשתקד'!A19,מנורה!A:G,6,0)+VLOOKUP('תפוקה מצטברת מול אשתקד'!A19,איילון!A:G,6,0)+VLOOKUP(A19,הראל!A:G,6,0)+VLOOKUP('תפוקה מצטברת מול אשתקד'!A19,הפניקס!A:G,6,0)+VLOOKUP('תפוקה מצטברת מול אשתקד'!A19,כלל!A:G,6,0)+VLOOKUP('תפוקה מצטברת מול אשתקד'!A19,מור!A:G,6,0)+VLOOKUP('תפוקה מצטברת מול אשתקד'!A19,'אלטשולר שחם'!A:G,6,0)+VLOOKUP('תפוקה מצטברת מול אשתקד'!A19,'מדיהו '!A:G,6,0)+VLOOKUP('תפוקה מצטברת מול אשתקד'!A19,'אנליסט '!A:G,6,0)+VLOOKUP('תפוקה מצטברת מול אשתקד'!A19,'מיטב דש'!A:G,6,0)+VLOOKUP('תפוקה מצטברת מול אשתקד'!A19,אינפניטי!A:G,6,0)</f>
        <v>0</v>
      </c>
      <c r="K19" s="58">
        <f>VLOOKUP(A19,הכשרה!A:G,7,0)+VLOOKUP('תפוקה מצטברת מול אשתקד'!A19,מגדל!A:G,7,0)+VLOOKUP('תפוקה מצטברת מול אשתקד'!A19,מנורה!A:G,7,0)+VLOOKUP('תפוקה מצטברת מול אשתקד'!A19,איילון!A:G,7,0)+VLOOKUP('תפוקה מצטברת מול אשתקד'!A19,הראל!A:G,7,0)+VLOOKUP('תפוקה מצטברת מול אשתקד'!A19,הפניקס!A:G,7,0)+VLOOKUP('תפוקה מצטברת מול אשתקד'!A19,כלל!A:G,7,0)+VLOOKUP('תפוקה מצטברת מול אשתקד'!A19,מור!A:G,7,0)+VLOOKUP('תפוקה מצטברת מול אשתקד'!A19,'אלטשולר שחם'!A:G,7,0)+VLOOKUP('תפוקה מצטברת מול אשתקד'!A19,'מדיהו '!A:K,7,0)+VLOOKUP(A19,'אנליסט '!A:G,7,0)+VLOOKUP('תפוקה מצטברת מול אשתקד'!A19,'מיטב דש'!A:G,7,0)+VLOOKUP('תפוקה מצטברת מול אשתקד'!A19,אינפניטי!A:G,7,0)</f>
        <v>-204933.06999999998</v>
      </c>
      <c r="L19" s="12">
        <f>VLOOKUP(A19,הכשרה!A:K,8,0)+VLOOKUP('תפוקה מצטברת מול אשתקד'!A19,מגדל!A:K,8,0)+VLOOKUP('תפוקה מצטברת מול אשתקד'!A19,מנורה!A:K,8,0)+VLOOKUP('תפוקה מצטברת מול אשתקד'!A19,איילון!A:K,8,0)+VLOOKUP('תפוקה מצטברת מול אשתקד'!A19,הראל!A:K,8,0)+VLOOKUP('תפוקה מצטברת מול אשתקד'!A19,הפניקס!A:K,8,0)+VLOOKUP('תפוקה מצטברת מול אשתקד'!A19,כלל!A:K,8,0)+VLOOKUP('תפוקה מצטברת מול אשתקד'!A19,מור!A:K,8,0)+VLOOKUP('תפוקה מצטברת מול אשתקד'!A19,'אלטשולר שחם'!A:K,8,0)+VLOOKUP('תפוקה מצטברת מול אשתקד'!A19,'מדיהו '!A:K,8,0)+VLOOKUP('תפוקה מצטברת מול אשתקד'!A19,'אנליסט '!A:K,8,0)+VLOOKUP('תפוקה מצטברת מול אשתקד'!A19,'מיטב דש'!A:K,8,0)+VLOOKUP('תפוקה מצטברת מול אשתקד'!A19,אינפניטי!A:K,8,0)</f>
        <v>1275.0830922190203</v>
      </c>
      <c r="M19" s="12">
        <f>VLOOKUP(A19,הכשרה!A:K,9,0)+VLOOKUP('תפוקה מצטברת מול אשתקד'!A19,מגדל!A:K,9,0)+VLOOKUP('תפוקה מצטברת מול אשתקד'!A19,מנורה!A:K,9,0)+VLOOKUP('תפוקה מצטברת מול אשתקד'!A19,איילון!A:K,9,0)+VLOOKUP('תפוקה מצטברת מול אשתקד'!A19,הראל!A:K,9,0)+VLOOKUP('תפוקה מצטברת מול אשתקד'!A19,הפניקס!A:K,9,0)+VLOOKUP('תפוקה מצטברת מול אשתקד'!A19,כלל!A:K,9,0)+VLOOKUP('תפוקה מצטברת מול אשתקד'!A19,מור!A:K,9,0)+VLOOKUP('תפוקה מצטברת מול אשתקד'!A19,'אלטשולר שחם'!A:K,9,0)+VLOOKUP('תפוקה מצטברת מול אשתקד'!A19,'מדיהו '!A:K,9,0)+VLOOKUP('תפוקה מצטברת מול אשתקד'!A19,'אנליסט '!A:K,9,0)+VLOOKUP('תפוקה מצטברת מול אשתקד'!A19,'מיטב דש'!A:K,9,0)+VLOOKUP('תפוקה מצטברת מול אשתקד'!A19,אינפניטי!A:K,9,0)</f>
        <v>8353.9846387603939</v>
      </c>
      <c r="N19" s="12">
        <f>VLOOKUP(A19,הכשרה!A:K,10,0)+VLOOKUP('תפוקה מצטברת מול אשתקד'!A19,מגדל!A:K,10,0)+VLOOKUP('תפוקה מצטברת מול אשתקד'!A19,מנורה!A:K,10,0)+VLOOKUP('תפוקה מצטברת מול אשתקד'!A19,איילון!A:K,10,0)+VLOOKUP('תפוקה מצטברת מול אשתקד'!A19,הראל!A:K,10,0)+VLOOKUP('תפוקה מצטברת מול אשתקד'!A19,הפניקס!A:K,10,0)+VLOOKUP('תפוקה מצטברת מול אשתקד'!A19,כלל!A:K,10,0)+VLOOKUP('תפוקה מצטברת מול אשתקד'!A19,מור!A:K,10,0)+VLOOKUP('תפוקה מצטברת מול אשתקד'!A19,'אלטשולר שחם'!A:K,10,0)+VLOOKUP('תפוקה מצטברת מול אשתקד'!A19,'מדיהו '!A:K,10,0)+VLOOKUP('תפוקה מצטברת מול אשתקד'!A19,'אנליסט '!A:K,10,0)+VLOOKUP('תפוקה מצטברת מול אשתקד'!A19,'מיטב דש'!A:K,10,0)+VLOOKUP('תפוקה מצטברת מול אשתקד'!A19,אינפניטי!A:K,10,0)</f>
        <v>12962.794496</v>
      </c>
      <c r="O19" s="12">
        <f>VLOOKUP(A19,הכשרה!A:K,11,0)+VLOOKUP('תפוקה מצטברת מול אשתקד'!A19,מגדל!A:K,11,0)+VLOOKUP('תפוקה מצטברת מול אשתקד'!A19,מנורה!A:K,11,0)+VLOOKUP('תפוקה מצטברת מול אשתקד'!A19,איילון!A:K,11,0)+VLOOKUP('תפוקה מצטברת מול אשתקד'!A19,הראל!A:K,11,0)+VLOOKUP('תפוקה מצטברת מול אשתקד'!A19,הפניקס!A:K,11,0)+VLOOKUP('תפוקה מצטברת מול אשתקד'!A19,כלל!A:K,11,0)+VLOOKUP('תפוקה מצטברת מול אשתקד'!A19,מור!A:K,11,0)+VLOOKUP('תפוקה מצטברת מול אשתקד'!A19,'אלטשולר שחם'!A:K,11,0)+VLOOKUP('תפוקה מצטברת מול אשתקד'!A19,'מדיהו '!A:K,11,0)+VLOOKUP('תפוקה מצטברת מול אשתקד'!A19,'אנליסט '!A:K,11,0)+VLOOKUP('תפוקה מצטברת מול אשתקד'!A19,'מיטב דש'!A:K,11,0)+VLOOKUP('תפוקה מצטברת מול אשתקד'!A19,אינפניטי!A:K,11,0)</f>
        <v>38422.42</v>
      </c>
    </row>
    <row r="20" spans="1:18" ht="15.75" customHeight="1" x14ac:dyDescent="0.25">
      <c r="A20" s="28" t="s">
        <v>130</v>
      </c>
      <c r="B20" s="26" t="s">
        <v>108</v>
      </c>
      <c r="C20" s="26" t="s">
        <v>106</v>
      </c>
      <c r="D20" s="19">
        <f t="shared" si="0"/>
        <v>1</v>
      </c>
      <c r="E20" s="19">
        <f t="shared" si="1"/>
        <v>0</v>
      </c>
      <c r="F20" s="19">
        <f t="shared" si="2"/>
        <v>0</v>
      </c>
      <c r="G20" s="19">
        <f t="shared" si="4"/>
        <v>0</v>
      </c>
      <c r="H20" s="58">
        <f>VLOOKUP(A20,הכשרה!A:G,4,0)+VLOOKUP('תפוקה מצטברת מול אשתקד'!A20,מגדל!A:G,4,0)+VLOOKUP('תפוקה מצטברת מול אשתקד'!A20,מנורה!A:G,4,0)+VLOOKUP('תפוקה מצטברת מול אשתקד'!A20,איילון!A:G,4,0)+VLOOKUP('תפוקה מצטברת מול אשתקד'!A20,הראל!A:G,4,0)+VLOOKUP('תפוקה מצטברת מול אשתקד'!A20,הפניקס!A:G,4,0)+VLOOKUP('תפוקה מצטברת מול אשתקד'!A20,כלל!A:G,4,0)+VLOOKUP('תפוקה מצטברת מול אשתקד'!A20,מור!A:G,4,0)+VLOOKUP('תפוקה מצטברת מול אשתקד'!A20,'אלטשולר שחם'!A:G,4,0)+VLOOKUP('תפוקה מצטברת מול אשתקד'!A20,'מדיהו '!A:G,4,0)+VLOOKUP('תפוקה מצטברת מול אשתקד'!A20,'אנליסט '!A:G,4,0)+VLOOKUP('תפוקה מצטברת מול אשתקד'!A20,'מיטב דש'!A:G,4,0)+VLOOKUP('תפוקה מצטברת מול אשתקד'!A20,אינפניטי!A:G,4,0)</f>
        <v>29490.324082935349</v>
      </c>
      <c r="I20" s="58">
        <f>VLOOKUP(A20,הכשרה!A:G,5,0)+VLOOKUP('תפוקה מצטברת מול אשתקד'!A20,מגדל!A:G,5,0)+VLOOKUP('תפוקה מצטברת מול אשתקד'!A20,מנורה!A:G,5,0)+VLOOKUP('תפוקה מצטברת מול אשתקד'!A20,איילון!A:G,5,0)+VLOOKUP('תפוקה מצטברת מול אשתקד'!A20,הראל!A:G,5,0)+VLOOKUP('תפוקה מצטברת מול אשתקד'!A20,הפניקס!A:G,5,0)+VLOOKUP('תפוקה מצטברת מול אשתקד'!A20,כלל!A:G,5,0)+VLOOKUP('תפוקה מצטברת מול אשתקד'!A20,מור!A:G,5,0)+VLOOKUP('תפוקה מצטברת מול אשתקד'!A20,'אלטשולר שחם'!A:G,5,0)+VLOOKUP('תפוקה מצטברת מול אשתקד'!A20,'מדיהו '!A:G,5,0)+VLOOKUP('תפוקה מצטברת מול אשתקד'!A20,'אנליסט '!A:G,5,0)+VLOOKUP('תפוקה מצטברת מול אשתקד'!A20,'מיטב דש'!A:G,5,0)+VLOOKUP('תפוקה מצטברת מול אשתקד'!A20,אינפניטי!A:G,5,0)</f>
        <v>0</v>
      </c>
      <c r="J20" s="58">
        <f>VLOOKUP(A20,הכשרה!A:G,6,0)+VLOOKUP('תפוקה מצטברת מול אשתקד'!A20,מגדל!A:G,6,0)+VLOOKUP('תפוקה מצטברת מול אשתקד'!A20,מנורה!A:G,6,0)+VLOOKUP('תפוקה מצטברת מול אשתקד'!A20,איילון!A:G,6,0)+VLOOKUP(A20,הראל!A:G,6,0)+VLOOKUP('תפוקה מצטברת מול אשתקד'!A20,הפניקס!A:G,6,0)+VLOOKUP('תפוקה מצטברת מול אשתקד'!A20,כלל!A:G,6,0)+VLOOKUP('תפוקה מצטברת מול אשתקד'!A20,מור!A:G,6,0)+VLOOKUP('תפוקה מצטברת מול אשתקד'!A20,'אלטשולר שחם'!A:G,6,0)+VLOOKUP('תפוקה מצטברת מול אשתקד'!A20,'מדיהו '!A:G,6,0)+VLOOKUP('תפוקה מצטברת מול אשתקד'!A20,'אנליסט '!A:G,6,0)+VLOOKUP('תפוקה מצטברת מול אשתקד'!A20,'מיטב דש'!A:G,6,0)+VLOOKUP('תפוקה מצטברת מול אשתקד'!A20,אינפניטי!A:G,6,0)</f>
        <v>0</v>
      </c>
      <c r="K20" s="58">
        <f>VLOOKUP(A20,הכשרה!A:G,7,0)+VLOOKUP('תפוקה מצטברת מול אשתקד'!A20,מגדל!A:G,7,0)+VLOOKUP('תפוקה מצטברת מול אשתקד'!A20,מנורה!A:G,7,0)+VLOOKUP('תפוקה מצטברת מול אשתקד'!A20,איילון!A:G,7,0)+VLOOKUP('תפוקה מצטברת מול אשתקד'!A20,הראל!A:G,7,0)+VLOOKUP('תפוקה מצטברת מול אשתקד'!A20,הפניקס!A:G,7,0)+VLOOKUP('תפוקה מצטברת מול אשתקד'!A20,כלל!A:G,7,0)+VLOOKUP('תפוקה מצטברת מול אשתקד'!A20,מור!A:G,7,0)+VLOOKUP('תפוקה מצטברת מול אשתקד'!A20,'אלטשולר שחם'!A:G,7,0)+VLOOKUP('תפוקה מצטברת מול אשתקד'!A20,'מדיהו '!A:K,7,0)+VLOOKUP(A20,'אנליסט '!A:G,7,0)+VLOOKUP('תפוקה מצטברת מול אשתקד'!A20,'מיטב דש'!A:G,7,0)+VLOOKUP('תפוקה מצטברת מול אשתקד'!A20,אינפניטי!A:G,7,0)</f>
        <v>0</v>
      </c>
      <c r="L20" s="12">
        <f>VLOOKUP(A20,הכשרה!A:K,8,0)+VLOOKUP('תפוקה מצטברת מול אשתקד'!A20,מגדל!A:K,8,0)+VLOOKUP('תפוקה מצטברת מול אשתקד'!A20,מנורה!A:K,8,0)+VLOOKUP('תפוקה מצטברת מול אשתקד'!A20,איילון!A:K,8,0)+VLOOKUP('תפוקה מצטברת מול אשתקד'!A20,הראל!A:K,8,0)+VLOOKUP('תפוקה מצטברת מול אשתקד'!A20,הפניקס!A:K,8,0)+VLOOKUP('תפוקה מצטברת מול אשתקד'!A20,כלל!A:K,8,0)+VLOOKUP('תפוקה מצטברת מול אשתקד'!A20,מור!A:K,8,0)+VLOOKUP('תפוקה מצטברת מול אשתקד'!A20,'אלטשולר שחם'!A:K,8,0)+VLOOKUP('תפוקה מצטברת מול אשתקד'!A20,'מדיהו '!A:K,8,0)+VLOOKUP('תפוקה מצטברת מול אשתקד'!A20,'אנליסט '!A:K,8,0)+VLOOKUP('תפוקה מצטברת מול אשתקד'!A20,'מיטב דש'!A:K,8,0)+VLOOKUP('תפוקה מצטברת מול אשתקד'!A20,אינפניטי!A:K,8,0)</f>
        <v>0</v>
      </c>
      <c r="M20" s="12">
        <f>VLOOKUP(A20,הכשרה!A:K,9,0)+VLOOKUP('תפוקה מצטברת מול אשתקד'!A20,מגדל!A:K,9,0)+VLOOKUP('תפוקה מצטברת מול אשתקד'!A20,מנורה!A:K,9,0)+VLOOKUP('תפוקה מצטברת מול אשתקד'!A20,איילון!A:K,9,0)+VLOOKUP('תפוקה מצטברת מול אשתקד'!A20,הראל!A:K,9,0)+VLOOKUP('תפוקה מצטברת מול אשתקד'!A20,הפניקס!A:K,9,0)+VLOOKUP('תפוקה מצטברת מול אשתקד'!A20,כלל!A:K,9,0)+VLOOKUP('תפוקה מצטברת מול אשתקד'!A20,מור!A:K,9,0)+VLOOKUP('תפוקה מצטברת מול אשתקד'!A20,'אלטשולר שחם'!A:K,9,0)+VLOOKUP('תפוקה מצטברת מול אשתקד'!A20,'מדיהו '!A:K,9,0)+VLOOKUP('תפוקה מצטברת מול אשתקד'!A20,'אנליסט '!A:K,9,0)+VLOOKUP('תפוקה מצטברת מול אשתקד'!A20,'מיטב דש'!A:K,9,0)+VLOOKUP('תפוקה מצטברת מול אשתקד'!A20,אינפניטי!A:K,9,0)</f>
        <v>0</v>
      </c>
      <c r="N20" s="12">
        <f>VLOOKUP(A20,הכשרה!A:K,10,0)+VLOOKUP('תפוקה מצטברת מול אשתקד'!A20,מגדל!A:K,10,0)+VLOOKUP('תפוקה מצטברת מול אשתקד'!A20,מנורה!A:K,10,0)+VLOOKUP('תפוקה מצטברת מול אשתקד'!A20,איילון!A:K,10,0)+VLOOKUP('תפוקה מצטברת מול אשתקד'!A20,הראל!A:K,10,0)+VLOOKUP('תפוקה מצטברת מול אשתקד'!A20,הפניקס!A:K,10,0)+VLOOKUP('תפוקה מצטברת מול אשתקד'!A20,כלל!A:K,10,0)+VLOOKUP('תפוקה מצטברת מול אשתקד'!A20,מור!A:K,10,0)+VLOOKUP('תפוקה מצטברת מול אשתקד'!A20,'אלטשולר שחם'!A:K,10,0)+VLOOKUP('תפוקה מצטברת מול אשתקד'!A20,'מדיהו '!A:K,10,0)+VLOOKUP('תפוקה מצטברת מול אשתקד'!A20,'אנליסט '!A:K,10,0)+VLOOKUP('תפוקה מצטברת מול אשתקד'!A20,'מיטב דש'!A:K,10,0)+VLOOKUP('תפוקה מצטברת מול אשתקד'!A20,אינפניטי!A:K,10,0)</f>
        <v>0</v>
      </c>
      <c r="O20" s="12">
        <f>VLOOKUP(A20,הכשרה!A:K,11,0)+VLOOKUP('תפוקה מצטברת מול אשתקד'!A20,מגדל!A:K,11,0)+VLOOKUP('תפוקה מצטברת מול אשתקד'!A20,מנורה!A:K,11,0)+VLOOKUP('תפוקה מצטברת מול אשתקד'!A20,איילון!A:K,11,0)+VLOOKUP('תפוקה מצטברת מול אשתקד'!A20,הראל!A:K,11,0)+VLOOKUP('תפוקה מצטברת מול אשתקד'!A20,הפניקס!A:K,11,0)+VLOOKUP('תפוקה מצטברת מול אשתקד'!A20,כלל!A:K,11,0)+VLOOKUP('תפוקה מצטברת מול אשתקד'!A20,מור!A:K,11,0)+VLOOKUP('תפוקה מצטברת מול אשתקד'!A20,'אלטשולר שחם'!A:K,11,0)+VLOOKUP('תפוקה מצטברת מול אשתקד'!A20,'מדיהו '!A:K,11,0)+VLOOKUP('תפוקה מצטברת מול אשתקד'!A20,'אנליסט '!A:K,11,0)+VLOOKUP('תפוקה מצטברת מול אשתקד'!A20,'מיטב דש'!A:K,11,0)+VLOOKUP('תפוקה מצטברת מול אשתקד'!A20,אינפניטי!A:K,11,0)</f>
        <v>0</v>
      </c>
    </row>
    <row r="21" spans="1:18" ht="15.75" customHeight="1" thickBot="1" x14ac:dyDescent="0.3">
      <c r="A21" s="28" t="s">
        <v>38</v>
      </c>
      <c r="B21" s="26" t="s">
        <v>108</v>
      </c>
      <c r="C21" s="28" t="s">
        <v>106</v>
      </c>
      <c r="D21" s="101">
        <f t="shared" si="0"/>
        <v>0</v>
      </c>
      <c r="E21" s="101">
        <f t="shared" si="1"/>
        <v>0</v>
      </c>
      <c r="F21" s="101">
        <f t="shared" si="2"/>
        <v>0</v>
      </c>
      <c r="G21" s="19">
        <f t="shared" ref="G21:G76" si="5">IF(K21=0,0%,IF(O21=H44,100%,K21/O21-1))</f>
        <v>0</v>
      </c>
      <c r="H21" s="58">
        <f>VLOOKUP(A21,הכשרה!A:G,4,0)+VLOOKUP('תפוקה מצטברת מול אשתקד'!A21,מגדל!A:G,4,0)+VLOOKUP('תפוקה מצטברת מול אשתקד'!A21,מנורה!A:G,4,0)+VLOOKUP('תפוקה מצטברת מול אשתקד'!A21,איילון!A:G,4,0)+VLOOKUP('תפוקה מצטברת מול אשתקד'!A21,הראל!A:G,4,0)+VLOOKUP('תפוקה מצטברת מול אשתקד'!A21,הפניקס!A:G,4,0)+VLOOKUP('תפוקה מצטברת מול אשתקד'!A21,כלל!A:G,4,0)+VLOOKUP('תפוקה מצטברת מול אשתקד'!A21,מור!A:G,4,0)+VLOOKUP('תפוקה מצטברת מול אשתקד'!A21,'אלטשולר שחם'!A:G,4,0)+VLOOKUP('תפוקה מצטברת מול אשתקד'!A21,'מדיהו '!A:G,4,0)+VLOOKUP('תפוקה מצטברת מול אשתקד'!A21,'אנליסט '!A:G,4,0)+VLOOKUP('תפוקה מצטברת מול אשתקד'!A21,'מיטב דש'!A:G,4,0)+VLOOKUP('תפוקה מצטברת מול אשתקד'!A21,אינפניטי!A:G,4,0)</f>
        <v>0</v>
      </c>
      <c r="I21" s="58">
        <f>VLOOKUP(A21,הכשרה!A:G,5,0)+VLOOKUP('תפוקה מצטברת מול אשתקד'!A21,מגדל!A:G,5,0)+VLOOKUP('תפוקה מצטברת מול אשתקד'!A21,מנורה!A:G,5,0)+VLOOKUP('תפוקה מצטברת מול אשתקד'!A21,איילון!A:G,5,0)+VLOOKUP('תפוקה מצטברת מול אשתקד'!A21,הראל!A:G,5,0)+VLOOKUP('תפוקה מצטברת מול אשתקד'!A21,הפניקס!A:G,5,0)+VLOOKUP('תפוקה מצטברת מול אשתקד'!A21,כלל!A:G,5,0)+VLOOKUP('תפוקה מצטברת מול אשתקד'!A21,מור!A:G,5,0)+VLOOKUP('תפוקה מצטברת מול אשתקד'!A21,'אלטשולר שחם'!A:G,5,0)+VLOOKUP('תפוקה מצטברת מול אשתקד'!A21,'מדיהו '!A:G,5,0)+VLOOKUP('תפוקה מצטברת מול אשתקד'!A21,'אנליסט '!A:G,5,0)+VLOOKUP('תפוקה מצטברת מול אשתקד'!A21,'מיטב דש'!A:G,5,0)+VLOOKUP('תפוקה מצטברת מול אשתקד'!A21,אינפניטי!A:G,5,0)</f>
        <v>0</v>
      </c>
      <c r="J21" s="58">
        <f>VLOOKUP(A21,הכשרה!A:G,6,0)+VLOOKUP('תפוקה מצטברת מול אשתקד'!A21,מגדל!A:G,6,0)+VLOOKUP('תפוקה מצטברת מול אשתקד'!A21,מנורה!A:G,6,0)+VLOOKUP('תפוקה מצטברת מול אשתקד'!A21,איילון!A:G,6,0)+VLOOKUP(A21,הראל!A:G,6,0)+VLOOKUP('תפוקה מצטברת מול אשתקד'!A21,הפניקס!A:G,6,0)+VLOOKUP('תפוקה מצטברת מול אשתקד'!A21,כלל!A:G,6,0)+VLOOKUP('תפוקה מצטברת מול אשתקד'!A21,מור!A:G,6,0)+VLOOKUP('תפוקה מצטברת מול אשתקד'!A21,'אלטשולר שחם'!A:G,6,0)+VLOOKUP('תפוקה מצטברת מול אשתקד'!A21,'מדיהו '!A:G,6,0)+VLOOKUP('תפוקה מצטברת מול אשתקד'!A21,'אנליסט '!A:G,6,0)+VLOOKUP('תפוקה מצטברת מול אשתקד'!A21,'מיטב דש'!A:G,6,0)+VLOOKUP('תפוקה מצטברת מול אשתקד'!A21,אינפניטי!A:G,6,0)</f>
        <v>0</v>
      </c>
      <c r="K21" s="58">
        <f>VLOOKUP(A21,הכשרה!A:G,7,0)+VLOOKUP('תפוקה מצטברת מול אשתקד'!A21,מגדל!A:G,7,0)+VLOOKUP('תפוקה מצטברת מול אשתקד'!A21,מנורה!A:G,7,0)+VLOOKUP('תפוקה מצטברת מול אשתקד'!A21,איילון!A:G,7,0)+VLOOKUP('תפוקה מצטברת מול אשתקד'!A21,הראל!A:G,7,0)+VLOOKUP('תפוקה מצטברת מול אשתקד'!A21,הפניקס!A:G,7,0)+VLOOKUP('תפוקה מצטברת מול אשתקד'!A21,כלל!A:G,7,0)+VLOOKUP('תפוקה מצטברת מול אשתקד'!A21,מור!A:G,7,0)+VLOOKUP('תפוקה מצטברת מול אשתקד'!A21,'אלטשולר שחם'!A:G,7,0)+VLOOKUP('תפוקה מצטברת מול אשתקד'!A21,'מדיהו '!A:K,7,0)+VLOOKUP(A21,'אנליסט '!A:G,7,0)+VLOOKUP('תפוקה מצטברת מול אשתקד'!A21,'מיטב דש'!A:G,7,0)+VLOOKUP('תפוקה מצטברת מול אשתקד'!A21,אינפניטי!A:G,7,0)</f>
        <v>0</v>
      </c>
      <c r="L21" s="12">
        <f>VLOOKUP(A21,הכשרה!A:K,8,0)+VLOOKUP('תפוקה מצטברת מול אשתקד'!A21,מגדל!A:K,8,0)+VLOOKUP('תפוקה מצטברת מול אשתקד'!A21,מנורה!A:K,8,0)+VLOOKUP('תפוקה מצטברת מול אשתקד'!A21,איילון!A:K,8,0)+VLOOKUP('תפוקה מצטברת מול אשתקד'!A21,הראל!A:K,8,0)+VLOOKUP('תפוקה מצטברת מול אשתקד'!A21,הפניקס!A:K,8,0)+VLOOKUP('תפוקה מצטברת מול אשתקד'!A21,כלל!A:K,8,0)+VLOOKUP('תפוקה מצטברת מול אשתקד'!A21,מור!A:K,8,0)+VLOOKUP('תפוקה מצטברת מול אשתקד'!A21,'אלטשולר שחם'!A:K,8,0)+VLOOKUP('תפוקה מצטברת מול אשתקד'!A21,'מדיהו '!A:K,8,0)+VLOOKUP('תפוקה מצטברת מול אשתקד'!A21,'אנליסט '!A:K,8,0)+VLOOKUP('תפוקה מצטברת מול אשתקד'!A21,'מיטב דש'!A:K,8,0)+VLOOKUP('תפוקה מצטברת מול אשתקד'!A21,אינפניטי!A:K,8,0)</f>
        <v>0</v>
      </c>
      <c r="M21" s="12">
        <f>VLOOKUP(A21,הכשרה!A:K,9,0)+VLOOKUP('תפוקה מצטברת מול אשתקד'!A21,מגדל!A:K,9,0)+VLOOKUP('תפוקה מצטברת מול אשתקד'!A21,מנורה!A:K,9,0)+VLOOKUP('תפוקה מצטברת מול אשתקד'!A21,איילון!A:K,9,0)+VLOOKUP('תפוקה מצטברת מול אשתקד'!A21,הראל!A:K,9,0)+VLOOKUP('תפוקה מצטברת מול אשתקד'!A21,הפניקס!A:K,9,0)+VLOOKUP('תפוקה מצטברת מול אשתקד'!A21,כלל!A:K,9,0)+VLOOKUP('תפוקה מצטברת מול אשתקד'!A21,מור!A:K,9,0)+VLOOKUP('תפוקה מצטברת מול אשתקד'!A21,'אלטשולר שחם'!A:K,9,0)+VLOOKUP('תפוקה מצטברת מול אשתקד'!A21,'מדיהו '!A:K,9,0)+VLOOKUP('תפוקה מצטברת מול אשתקד'!A21,'אנליסט '!A:K,9,0)+VLOOKUP('תפוקה מצטברת מול אשתקד'!A21,'מיטב דש'!A:K,9,0)+VLOOKUP('תפוקה מצטברת מול אשתקד'!A21,אינפניטי!A:K,9,0)</f>
        <v>3527.3913737676821</v>
      </c>
      <c r="N21" s="12">
        <f>VLOOKUP(A21,הכשרה!A:K,10,0)+VLOOKUP('תפוקה מצטברת מול אשתקד'!A21,מגדל!A:K,10,0)+VLOOKUP('תפוקה מצטברת מול אשתקד'!A21,מנורה!A:K,10,0)+VLOOKUP('תפוקה מצטברת מול אשתקד'!A21,איילון!A:K,10,0)+VLOOKUP('תפוקה מצטברת מול אשתקד'!A21,הראל!A:K,10,0)+VLOOKUP('תפוקה מצטברת מול אשתקד'!A21,הפניקס!A:K,10,0)+VLOOKUP('תפוקה מצטברת מול אשתקד'!A21,כלל!A:K,10,0)+VLOOKUP('תפוקה מצטברת מול אשתקד'!A21,מור!A:K,10,0)+VLOOKUP('תפוקה מצטברת מול אשתקד'!A21,'אלטשולר שחם'!A:K,10,0)+VLOOKUP('תפוקה מצטברת מול אשתקד'!A21,'מדיהו '!A:K,10,0)+VLOOKUP('תפוקה מצטברת מול אשתקד'!A21,'אנליסט '!A:K,10,0)+VLOOKUP('תפוקה מצטברת מול אשתקד'!A21,'מיטב דש'!A:K,10,0)+VLOOKUP('תפוקה מצטברת מול אשתקד'!A21,אינפניטי!A:K,10,0)</f>
        <v>128164.59</v>
      </c>
      <c r="O21" s="12">
        <f>VLOOKUP(A21,הכשרה!A:K,11,0)+VLOOKUP('תפוקה מצטברת מול אשתקד'!A21,מגדל!A:K,11,0)+VLOOKUP('תפוקה מצטברת מול אשתקד'!A21,מנורה!A:K,11,0)+VLOOKUP('תפוקה מצטברת מול אשתקד'!A21,איילון!A:K,11,0)+VLOOKUP('תפוקה מצטברת מול אשתקד'!A21,הראל!A:K,11,0)+VLOOKUP('תפוקה מצטברת מול אשתקד'!A21,הפניקס!A:K,11,0)+VLOOKUP('תפוקה מצטברת מול אשתקד'!A21,כלל!A:K,11,0)+VLOOKUP('תפוקה מצטברת מול אשתקד'!A21,מור!A:K,11,0)+VLOOKUP('תפוקה מצטברת מול אשתקד'!A21,'אלטשולר שחם'!A:K,11,0)+VLOOKUP('תפוקה מצטברת מול אשתקד'!A21,'מדיהו '!A:K,11,0)+VLOOKUP('תפוקה מצטברת מול אשתקד'!A21,'אנליסט '!A:K,11,0)+VLOOKUP('תפוקה מצטברת מול אשתקד'!A21,'מיטב דש'!A:K,11,0)+VLOOKUP('תפוקה מצטברת מול אשתקד'!A21,אינפניטי!A:K,11,0)</f>
        <v>0</v>
      </c>
    </row>
    <row r="22" spans="1:18" ht="18" customHeight="1" thickBot="1" x14ac:dyDescent="0.3">
      <c r="A22" s="122" t="s">
        <v>10</v>
      </c>
      <c r="B22" s="121"/>
      <c r="C22" s="121"/>
      <c r="D22" s="126">
        <f t="shared" si="0"/>
        <v>0.45095014227767605</v>
      </c>
      <c r="E22" s="126">
        <f t="shared" si="1"/>
        <v>0.3677994488339309</v>
      </c>
      <c r="F22" s="126">
        <f t="shared" si="2"/>
        <v>-0.27730744213779401</v>
      </c>
      <c r="G22" s="19">
        <f t="shared" si="5"/>
        <v>-0.55658728929102774</v>
      </c>
      <c r="H22" s="124">
        <f>SUM(H9:H21)</f>
        <v>3888390.3322109194</v>
      </c>
      <c r="I22" s="124">
        <f t="shared" ref="I22:O22" si="6">SUM(I9:I21)</f>
        <v>1454969.6820550631</v>
      </c>
      <c r="J22" s="124">
        <f t="shared" si="6"/>
        <v>12759738.296645679</v>
      </c>
      <c r="K22" s="124">
        <f t="shared" si="6"/>
        <v>5828149.3949999996</v>
      </c>
      <c r="L22" s="124">
        <f t="shared" si="6"/>
        <v>2679892.4504097658</v>
      </c>
      <c r="M22" s="124">
        <f t="shared" si="6"/>
        <v>1063730.273685551</v>
      </c>
      <c r="N22" s="124">
        <f t="shared" si="6"/>
        <v>17655831.871840786</v>
      </c>
      <c r="O22" s="124">
        <f t="shared" si="6"/>
        <v>13143848.280040001</v>
      </c>
      <c r="P22" s="35"/>
      <c r="Q22" s="35"/>
      <c r="R22" s="35"/>
    </row>
    <row r="23" spans="1:18" ht="15.75" customHeight="1" x14ac:dyDescent="0.25">
      <c r="A23" s="27" t="s">
        <v>11</v>
      </c>
      <c r="B23" s="27" t="s">
        <v>56</v>
      </c>
      <c r="C23" s="27" t="s">
        <v>107</v>
      </c>
      <c r="D23" s="103">
        <f t="shared" si="0"/>
        <v>-0.30476757342119443</v>
      </c>
      <c r="E23" s="103">
        <f t="shared" si="1"/>
        <v>-0.59999260420357636</v>
      </c>
      <c r="F23" s="103">
        <f t="shared" si="2"/>
        <v>-0.72976031545844922</v>
      </c>
      <c r="G23" s="19">
        <f t="shared" si="5"/>
        <v>-0.16303933768379575</v>
      </c>
      <c r="H23" s="58">
        <f>VLOOKUP(A23,הכשרה!A:G,4,0)+VLOOKUP('תפוקה מצטברת מול אשתקד'!A23,מגדל!A:G,4,0)+VLOOKUP('תפוקה מצטברת מול אשתקד'!A23,מנורה!A:G,4,0)+VLOOKUP('תפוקה מצטברת מול אשתקד'!A23,איילון!A:G,4,0)+VLOOKUP('תפוקה מצטברת מול אשתקד'!A23,הראל!A:G,4,0)+VLOOKUP('תפוקה מצטברת מול אשתקד'!A23,הפניקס!A:G,4,0)+VLOOKUP('תפוקה מצטברת מול אשתקד'!A23,כלל!A:G,4,0)+VLOOKUP('תפוקה מצטברת מול אשתקד'!A23,מור!A:G,4,0)+VLOOKUP('תפוקה מצטברת מול אשתקד'!A23,'אלטשולר שחם'!A:G,4,0)+VLOOKUP('תפוקה מצטברת מול אשתקד'!A23,'מדיהו '!A:G,4,0)+VLOOKUP('תפוקה מצטברת מול אשתקד'!A23,'אנליסט '!A:G,4,0)+VLOOKUP('תפוקה מצטברת מול אשתקד'!A23,'מיטב דש'!A:G,4,0)+VLOOKUP('תפוקה מצטברת מול אשתקד'!A23,אינפניטי!A:G,4,0)</f>
        <v>569714.42222000007</v>
      </c>
      <c r="I23" s="58">
        <f>VLOOKUP(A23,הכשרה!A:G,5,0)+VLOOKUP('תפוקה מצטברת מול אשתקד'!A23,מגדל!A:G,5,0)+VLOOKUP('תפוקה מצטברת מול אשתקד'!A23,מנורה!A:G,5,0)+VLOOKUP('תפוקה מצטברת מול אשתקד'!A23,איילון!A:G,5,0)+VLOOKUP('תפוקה מצטברת מול אשתקד'!A23,הראל!A:G,5,0)+VLOOKUP('תפוקה מצטברת מול אשתקד'!A23,הפניקס!A:G,5,0)+VLOOKUP('תפוקה מצטברת מול אשתקד'!A23,כלל!A:G,5,0)+VLOOKUP('תפוקה מצטברת מול אשתקד'!A23,מור!A:G,5,0)+VLOOKUP('תפוקה מצטברת מול אשתקד'!A23,'אלטשולר שחם'!A:G,5,0)+VLOOKUP('תפוקה מצטברת מול אשתקד'!A23,'מדיהו '!A:G,5,0)+VLOOKUP('תפוקה מצטברת מול אשתקד'!A23,'אנליסט '!A:G,5,0)+VLOOKUP('תפוקה מצטברת מול אשתקד'!A23,'מיטב דש'!A:G,5,0)+VLOOKUP('תפוקה מצטברת מול אשתקד'!A23,אינפניטי!A:G,5,0)</f>
        <v>41556.39</v>
      </c>
      <c r="J23" s="58">
        <f>VLOOKUP(A23,הכשרה!A:G,6,0)+VLOOKUP('תפוקה מצטברת מול אשתקד'!A23,מגדל!A:G,6,0)+VLOOKUP('תפוקה מצטברת מול אשתקד'!A23,מנורה!A:G,6,0)+VLOOKUP('תפוקה מצטברת מול אשתקד'!A23,איילון!A:G,6,0)+VLOOKUP(A23,הראל!A:G,6,0)+VLOOKUP('תפוקה מצטברת מול אשתקד'!A23,הפניקס!A:G,6,0)+VLOOKUP('תפוקה מצטברת מול אשתקד'!A23,כלל!A:G,6,0)+VLOOKUP('תפוקה מצטברת מול אשתקד'!A23,מור!A:G,6,0)+VLOOKUP('תפוקה מצטברת מול אשתקד'!A23,'אלטשולר שחם'!A:G,6,0)+VLOOKUP('תפוקה מצטברת מול אשתקד'!A23,'מדיהו '!A:G,6,0)+VLOOKUP('תפוקה מצטברת מול אשתקד'!A23,'אנליסט '!A:G,6,0)+VLOOKUP('תפוקה מצטברת מול אשתקד'!A23,'מיטב דש'!A:G,6,0)+VLOOKUP('תפוקה מצטברת מול אשתקד'!A23,אינפניטי!A:G,6,0)</f>
        <v>333369.83999999997</v>
      </c>
      <c r="K23" s="58">
        <f>VLOOKUP(A23,הכשרה!A:G,7,0)+VLOOKUP('תפוקה מצטברת מול אשתקד'!A23,מגדל!A:G,7,0)+VLOOKUP('תפוקה מצטברת מול אשתקד'!A23,מנורה!A:G,7,0)+VLOOKUP('תפוקה מצטברת מול אשתקד'!A23,איילון!A:G,7,0)+VLOOKUP('תפוקה מצטברת מול אשתקד'!A23,הראל!A:G,7,0)+VLOOKUP('תפוקה מצטברת מול אשתקד'!A23,הפניקס!A:G,7,0)+VLOOKUP('תפוקה מצטברת מול אשתקד'!A23,כלל!A:G,7,0)+VLOOKUP('תפוקה מצטברת מול אשתקד'!A23,מור!A:G,7,0)+VLOOKUP('תפוקה מצטברת מול אשתקד'!A23,'אלטשולר שחם'!A:G,7,0)+VLOOKUP('תפוקה מצטברת מול אשתקד'!A23,'מדיהו '!A:K,7,0)+VLOOKUP(A23,'אנליסט '!A:G,7,0)+VLOOKUP('תפוקה מצטברת מול אשתקד'!A23,'מיטב דש'!A:G,7,0)+VLOOKUP('תפוקה מצטברת מול אשתקד'!A23,אינפניטי!A:G,7,0)</f>
        <v>2607548.9299999997</v>
      </c>
      <c r="L23" s="12">
        <f>VLOOKUP(A23,הכשרה!A:K,8,0)+VLOOKUP('תפוקה מצטברת מול אשתקד'!A23,מגדל!A:K,8,0)+VLOOKUP('תפוקה מצטברת מול אשתקד'!A23,מנורה!A:K,8,0)+VLOOKUP('תפוקה מצטברת מול אשתקד'!A23,איילון!A:K,8,0)+VLOOKUP('תפוקה מצטברת מול אשתקד'!A23,הראל!A:K,8,0)+VLOOKUP('תפוקה מצטברת מול אשתקד'!A23,הפניקס!A:K,8,0)+VLOOKUP('תפוקה מצטברת מול אשתקד'!A23,כלל!A:K,8,0)+VLOOKUP('תפוקה מצטברת מול אשתקד'!A23,מור!A:K,8,0)+VLOOKUP('תפוקה מצטברת מול אשתקד'!A23,'אלטשולר שחם'!A:K,8,0)+VLOOKUP('תפוקה מצטברת מול אשתקד'!A23,'מדיהו '!A:K,8,0)+VLOOKUP('תפוקה מצטברת מול אשתקד'!A23,'אנליסט '!A:K,8,0)+VLOOKUP('תפוקה מצטברת מול אשתקד'!A23,'מיטב דש'!A:K,8,0)+VLOOKUP('תפוקה מצטברת מול אשתקד'!A23,אינפניטי!A:K,8,0)</f>
        <v>819458.93263858301</v>
      </c>
      <c r="M23" s="12">
        <f>VLOOKUP(A23,הכשרה!A:K,9,0)+VLOOKUP('תפוקה מצטברת מול אשתקד'!A23,מגדל!A:K,9,0)+VLOOKUP('תפוקה מצטברת מול אשתקד'!A23,מנורה!A:K,9,0)+VLOOKUP('תפוקה מצטברת מול אשתקד'!A23,איילון!A:K,9,0)+VLOOKUP('תפוקה מצטברת מול אשתקד'!A23,הראל!A:K,9,0)+VLOOKUP('תפוקה מצטברת מול אשתקד'!A23,הפניקס!A:K,9,0)+VLOOKUP('תפוקה מצטברת מול אשתקד'!A23,כלל!A:K,9,0)+VLOOKUP('תפוקה מצטברת מול אשתקד'!A23,מור!A:K,9,0)+VLOOKUP('תפוקה מצטברת מול אשתקד'!A23,'אלטשולר שחם'!A:K,9,0)+VLOOKUP('תפוקה מצטברת מול אשתקד'!A23,'מדיהו '!A:K,9,0)+VLOOKUP('תפוקה מצטברת מול אשתקד'!A23,'אנליסט '!A:K,9,0)+VLOOKUP('תפוקה מצטברת מול אשתקד'!A23,'מיטב דש'!A:K,9,0)+VLOOKUP('תפוקה מצטברת מול אשתקד'!A23,אינפניטי!A:K,9,0)</f>
        <v>103889.05414426225</v>
      </c>
      <c r="N23" s="12">
        <f>VLOOKUP(A23,הכשרה!A:K,10,0)+VLOOKUP('תפוקה מצטברת מול אשתקד'!A23,מגדל!A:K,10,0)+VLOOKUP('תפוקה מצטברת מול אשתקד'!A23,מנורה!A:K,10,0)+VLOOKUP('תפוקה מצטברת מול אשתקד'!A23,איילון!A:K,10,0)+VLOOKUP('תפוקה מצטברת מול אשתקד'!A23,הראל!A:K,10,0)+VLOOKUP('תפוקה מצטברת מול אשתקד'!A23,הפניקס!A:K,10,0)+VLOOKUP('תפוקה מצטברת מול אשתקד'!A23,כלל!A:K,10,0)+VLOOKUP('תפוקה מצטברת מול אשתקד'!A23,מור!A:K,10,0)+VLOOKUP('תפוקה מצטברת מול אשתקד'!A23,'אלטשולר שחם'!A:K,10,0)+VLOOKUP('תפוקה מצטברת מול אשתקד'!A23,'מדיהו '!A:K,10,0)+VLOOKUP('תפוקה מצטברת מול אשתקד'!A23,'אנליסט '!A:K,10,0)+VLOOKUP('תפוקה מצטברת מול אשתקד'!A23,'מיטב דש'!A:K,10,0)+VLOOKUP('תפוקה מצטברת מול אשתקד'!A23,אינפניטי!A:K,10,0)</f>
        <v>1233608.0119599998</v>
      </c>
      <c r="O23" s="12">
        <f>VLOOKUP(A23,הכשרה!A:K,11,0)+VLOOKUP('תפוקה מצטברת מול אשתקד'!A23,מגדל!A:K,11,0)+VLOOKUP('תפוקה מצטברת מול אשתקד'!A23,מנורה!A:K,11,0)+VLOOKUP('תפוקה מצטברת מול אשתקד'!A23,איילון!A:K,11,0)+VLOOKUP('תפוקה מצטברת מול אשתקד'!A23,הראל!A:K,11,0)+VLOOKUP('תפוקה מצטברת מול אשתקד'!A23,הפניקס!A:K,11,0)+VLOOKUP('תפוקה מצטברת מול אשתקד'!A23,כלל!A:K,11,0)+VLOOKUP('תפוקה מצטברת מול אשתקד'!A23,מור!A:K,11,0)+VLOOKUP('תפוקה מצטברת מול אשתקד'!A23,'אלטשולר שחם'!A:K,11,0)+VLOOKUP('תפוקה מצטברת מול אשתקד'!A23,'מדיהו '!A:K,11,0)+VLOOKUP('תפוקה מצטברת מול אשתקד'!A23,'אנליסט '!A:K,11,0)+VLOOKUP('תפוקה מצטברת מול אשתקד'!A23,'מיטב דש'!A:K,11,0)+VLOOKUP('תפוקה מצטברת מול אשתקד'!A23,אינפניטי!A:K,11,0)</f>
        <v>3115497.5943360003</v>
      </c>
    </row>
    <row r="24" spans="1:18" customFormat="1" ht="15.75" customHeight="1" x14ac:dyDescent="0.25">
      <c r="A24" s="30" t="s">
        <v>12</v>
      </c>
      <c r="B24" s="26" t="s">
        <v>56</v>
      </c>
      <c r="C24" s="27" t="s">
        <v>107</v>
      </c>
      <c r="D24" s="19">
        <f t="shared" si="0"/>
        <v>0</v>
      </c>
      <c r="E24" s="19">
        <f t="shared" si="1"/>
        <v>1</v>
      </c>
      <c r="F24" s="19">
        <f t="shared" si="2"/>
        <v>0</v>
      </c>
      <c r="G24" s="19">
        <f t="shared" si="5"/>
        <v>-0.98433286512767271</v>
      </c>
      <c r="H24" s="58">
        <f>VLOOKUP(A24,הכשרה!A:G,4,0)+VLOOKUP('תפוקה מצטברת מול אשתקד'!A24,מגדל!A:G,4,0)+VLOOKUP('תפוקה מצטברת מול אשתקד'!A24,מנורה!A:G,4,0)+VLOOKUP('תפוקה מצטברת מול אשתקד'!A24,איילון!A:G,4,0)+VLOOKUP('תפוקה מצטברת מול אשתקד'!A24,הראל!A:G,4,0)+VLOOKUP('תפוקה מצטברת מול אשתקד'!A24,הפניקס!A:G,4,0)+VLOOKUP('תפוקה מצטברת מול אשתקד'!A24,כלל!A:G,4,0)+VLOOKUP('תפוקה מצטברת מול אשתקד'!A24,מור!A:G,4,0)+VLOOKUP('תפוקה מצטברת מול אשתקד'!A24,'אלטשולר שחם'!A:G,4,0)+VLOOKUP('תפוקה מצטברת מול אשתקד'!A24,'מדיהו '!A:G,4,0)+VLOOKUP('תפוקה מצטברת מול אשתקד'!A24,'אנליסט '!A:G,4,0)+VLOOKUP('תפוקה מצטברת מול אשתקד'!A24,'מיטב דש'!A:G,4,0)+VLOOKUP('תפוקה מצטברת מול אשתקד'!A24,אינפניטי!A:G,4,0)</f>
        <v>0</v>
      </c>
      <c r="I24" s="58">
        <f>VLOOKUP(A24,הכשרה!A:G,5,0)+VLOOKUP('תפוקה מצטברת מול אשתקד'!A24,מגדל!A:G,5,0)+VLOOKUP('תפוקה מצטברת מול אשתקד'!A24,מנורה!A:G,5,0)+VLOOKUP('תפוקה מצטברת מול אשתקד'!A24,איילון!A:G,5,0)+VLOOKUP('תפוקה מצטברת מול אשתקד'!A24,הראל!A:G,5,0)+VLOOKUP('תפוקה מצטברת מול אשתקד'!A24,הפניקס!A:G,5,0)+VLOOKUP('תפוקה מצטברת מול אשתקד'!A24,כלל!A:G,5,0)+VLOOKUP('תפוקה מצטברת מול אשתקד'!A24,מור!A:G,5,0)+VLOOKUP('תפוקה מצטברת מול אשתקד'!A24,'אלטשולר שחם'!A:G,5,0)+VLOOKUP('תפוקה מצטברת מול אשתקד'!A24,'מדיהו '!A:G,5,0)+VLOOKUP('תפוקה מצטברת מול אשתקד'!A24,'אנליסט '!A:G,5,0)+VLOOKUP('תפוקה מצטברת מול אשתקד'!A24,'מיטב דש'!A:G,5,0)+VLOOKUP('תפוקה מצטברת מול אשתקד'!A24,אינפניטי!A:G,5,0)</f>
        <v>3071.9442883237321</v>
      </c>
      <c r="J24" s="58">
        <f>VLOOKUP(A24,הכשרה!A:G,6,0)+VLOOKUP('תפוקה מצטברת מול אשתקד'!A24,מגדל!A:G,6,0)+VLOOKUP('תפוקה מצטברת מול אשתקד'!A24,מנורה!A:G,6,0)+VLOOKUP('תפוקה מצטברת מול אשתקד'!A24,איילון!A:G,6,0)+VLOOKUP(A24,הראל!A:G,6,0)+VLOOKUP('תפוקה מצטברת מול אשתקד'!A24,הפניקס!A:G,6,0)+VLOOKUP('תפוקה מצטברת מול אשתקד'!A24,כלל!A:G,6,0)+VLOOKUP('תפוקה מצטברת מול אשתקד'!A24,מור!A:G,6,0)+VLOOKUP('תפוקה מצטברת מול אשתקד'!A24,'אלטשולר שחם'!A:G,6,0)+VLOOKUP('תפוקה מצטברת מול אשתקד'!A24,'מדיהו '!A:G,6,0)+VLOOKUP('תפוקה מצטברת מול אשתקד'!A24,'אנליסט '!A:G,6,0)+VLOOKUP('תפוקה מצטברת מול אשתקד'!A24,'מיטב דש'!A:G,6,0)+VLOOKUP('תפוקה מצטברת מול אשתקד'!A24,אינפניטי!A:G,6,0)</f>
        <v>0</v>
      </c>
      <c r="K24" s="58">
        <f>VLOOKUP(A24,הכשרה!A:G,7,0)+VLOOKUP('תפוקה מצטברת מול אשתקד'!A24,מגדל!A:G,7,0)+VLOOKUP('תפוקה מצטברת מול אשתקד'!A24,מנורה!A:G,7,0)+VLOOKUP('תפוקה מצטברת מול אשתקד'!A24,איילון!A:G,7,0)+VLOOKUP('תפוקה מצטברת מול אשתקד'!A24,הראל!A:G,7,0)+VLOOKUP('תפוקה מצטברת מול אשתקד'!A24,הפניקס!A:G,7,0)+VLOOKUP('תפוקה מצטברת מול אשתקד'!A24,כלל!A:G,7,0)+VLOOKUP('תפוקה מצטברת מול אשתקד'!A24,מור!A:G,7,0)+VLOOKUP('תפוקה מצטברת מול אשתקד'!A24,'אלטשולר שחם'!A:G,7,0)+VLOOKUP('תפוקה מצטברת מול אשתקד'!A24,'מדיהו '!A:K,7,0)+VLOOKUP(A24,'אנליסט '!A:G,7,0)+VLOOKUP('תפוקה מצטברת מול אשתקד'!A24,'מיטב דש'!A:G,7,0)+VLOOKUP('תפוקה מצטברת מול אשתקד'!A24,אינפניטי!A:G,7,0)</f>
        <v>-11711.17</v>
      </c>
      <c r="L24" s="12">
        <f>VLOOKUP(A24,הכשרה!A:K,8,0)+VLOOKUP('תפוקה מצטברת מול אשתקד'!A24,מגדל!A:K,8,0)+VLOOKUP('תפוקה מצטברת מול אשתקד'!A24,מנורה!A:K,8,0)+VLOOKUP('תפוקה מצטברת מול אשתקד'!A24,איילון!A:K,8,0)+VLOOKUP('תפוקה מצטברת מול אשתקד'!A24,הראל!A:K,8,0)+VLOOKUP('תפוקה מצטברת מול אשתקד'!A24,הפניקס!A:K,8,0)+VLOOKUP('תפוקה מצטברת מול אשתקד'!A24,כלל!A:K,8,0)+VLOOKUP('תפוקה מצטברת מול אשתקד'!A24,מור!A:K,8,0)+VLOOKUP('תפוקה מצטברת מול אשתקד'!A24,'אלטשולר שחם'!A:K,8,0)+VLOOKUP('תפוקה מצטברת מול אשתקד'!A24,'מדיהו '!A:K,8,0)+VLOOKUP('תפוקה מצטברת מול אשתקד'!A24,'אנליסט '!A:K,8,0)+VLOOKUP('תפוקה מצטברת מול אשתקד'!A24,'מיטב דש'!A:K,8,0)+VLOOKUP('תפוקה מצטברת מול אשתקד'!A24,אינפניטי!A:K,8,0)</f>
        <v>-1752.2375399864841</v>
      </c>
      <c r="M24" s="12">
        <f>VLOOKUP(A24,הכשרה!A:K,9,0)+VLOOKUP('תפוקה מצטברת מול אשתקד'!A24,מגדל!A:K,9,0)+VLOOKUP('תפוקה מצטברת מול אשתקד'!A24,מנורה!A:K,9,0)+VLOOKUP('תפוקה מצטברת מול אשתקד'!A24,איילון!A:K,9,0)+VLOOKUP('תפוקה מצטברת מול אשתקד'!A24,הראל!A:K,9,0)+VLOOKUP('תפוקה מצטברת מול אשתקד'!A24,הפניקס!A:K,9,0)+VLOOKUP('תפוקה מצטברת מול אשתקד'!A24,כלל!A:K,9,0)+VLOOKUP('תפוקה מצטברת מול אשתקד'!A24,מור!A:K,9,0)+VLOOKUP('תפוקה מצטברת מול אשתקד'!A24,'אלטשולר שחם'!A:K,9,0)+VLOOKUP('תפוקה מצטברת מול אשתקד'!A24,'מדיהו '!A:K,9,0)+VLOOKUP('תפוקה מצטברת מול אשתקד'!A24,'אנליסט '!A:K,9,0)+VLOOKUP('תפוקה מצטברת מול אשתקד'!A24,'מיטב דש'!A:K,9,0)+VLOOKUP('תפוקה מצטברת מול אשתקד'!A24,אינפניטי!A:K,9,0)</f>
        <v>0</v>
      </c>
      <c r="N24" s="12">
        <f>VLOOKUP(A24,הכשרה!A:K,10,0)+VLOOKUP('תפוקה מצטברת מול אשתקד'!A24,מגדל!A:K,10,0)+VLOOKUP('תפוקה מצטברת מול אשתקד'!A24,מנורה!A:K,10,0)+VLOOKUP('תפוקה מצטברת מול אשתקד'!A24,איילון!A:K,10,0)+VLOOKUP('תפוקה מצטברת מול אשתקד'!A24,הראל!A:K,10,0)+VLOOKUP('תפוקה מצטברת מול אשתקד'!A24,הפניקס!A:K,10,0)+VLOOKUP('תפוקה מצטברת מול אשתקד'!A24,כלל!A:K,10,0)+VLOOKUP('תפוקה מצטברת מול אשתקד'!A24,מור!A:K,10,0)+VLOOKUP('תפוקה מצטברת מול אשתקד'!A24,'אלטשולר שחם'!A:K,10,0)+VLOOKUP('תפוקה מצטברת מול אשתקד'!A24,'מדיהו '!A:K,10,0)+VLOOKUP('תפוקה מצטברת מול אשתקד'!A24,'אנליסט '!A:K,10,0)+VLOOKUP('תפוקה מצטברת מול אשתקד'!A24,'מיטב דש'!A:K,10,0)+VLOOKUP('תפוקה מצטברת מול אשתקד'!A24,אינפניטי!A:K,10,0)</f>
        <v>6300</v>
      </c>
      <c r="O24" s="12">
        <f>VLOOKUP(A24,הכשרה!A:K,11,0)+VLOOKUP('תפוקה מצטברת מול אשתקד'!A24,מגדל!A:K,11,0)+VLOOKUP('תפוקה מצטברת מול אשתקד'!A24,מנורה!A:K,11,0)+VLOOKUP('תפוקה מצטברת מול אשתקד'!A24,איילון!A:K,11,0)+VLOOKUP('תפוקה מצטברת מול אשתקד'!A24,הראל!A:K,11,0)+VLOOKUP('תפוקה מצטברת מול אשתקד'!A24,הפניקס!A:K,11,0)+VLOOKUP('תפוקה מצטברת מול אשתקד'!A24,כלל!A:K,11,0)+VLOOKUP('תפוקה מצטברת מול אשתקד'!A24,מור!A:K,11,0)+VLOOKUP('תפוקה מצטברת מול אשתקד'!A24,'אלטשולר שחם'!A:K,11,0)+VLOOKUP('תפוקה מצטברת מול אשתקד'!A24,'מדיהו '!A:K,11,0)+VLOOKUP('תפוקה מצטברת מול אשתקד'!A24,'אנליסט '!A:K,11,0)+VLOOKUP('תפוקה מצטברת מול אשתקד'!A24,'מיטב דש'!A:K,11,0)+VLOOKUP('תפוקה מצטברת מול אשתקד'!A24,אינפניטי!A:K,11,0)</f>
        <v>-747499.15000000014</v>
      </c>
    </row>
    <row r="25" spans="1:18" ht="15.75" customHeight="1" x14ac:dyDescent="0.25">
      <c r="A25" s="30" t="s">
        <v>13</v>
      </c>
      <c r="B25" s="26" t="s">
        <v>56</v>
      </c>
      <c r="C25" s="27" t="s">
        <v>107</v>
      </c>
      <c r="D25" s="19">
        <f t="shared" si="0"/>
        <v>-0.63281841499993041</v>
      </c>
      <c r="E25" s="19">
        <f t="shared" si="1"/>
        <v>-0.47418267004999559</v>
      </c>
      <c r="F25" s="19">
        <f t="shared" si="2"/>
        <v>-0.89239250243567769</v>
      </c>
      <c r="G25" s="19">
        <f t="shared" si="5"/>
        <v>0</v>
      </c>
      <c r="H25" s="58">
        <f>VLOOKUP(A25,הכשרה!A:G,4,0)+VLOOKUP('תפוקה מצטברת מול אשתקד'!A25,מגדל!A:G,4,0)+VLOOKUP('תפוקה מצטברת מול אשתקד'!A25,מנורה!A:G,4,0)+VLOOKUP('תפוקה מצטברת מול אשתקד'!A25,איילון!A:G,4,0)+VLOOKUP('תפוקה מצטברת מול אשתקד'!A25,הראל!A:G,4,0)+VLOOKUP('תפוקה מצטברת מול אשתקד'!A25,הפניקס!A:G,4,0)+VLOOKUP('תפוקה מצטברת מול אשתקד'!A25,כלל!A:G,4,0)+VLOOKUP('תפוקה מצטברת מול אשתקד'!A25,מור!A:G,4,0)+VLOOKUP('תפוקה מצטברת מול אשתקד'!A25,'אלטשולר שחם'!A:G,4,0)+VLOOKUP('תפוקה מצטברת מול אשתקד'!A25,'מדיהו '!A:G,4,0)+VLOOKUP('תפוקה מצטברת מול אשתקד'!A25,'אנליסט '!A:G,4,0)+VLOOKUP('תפוקה מצטברת מול אשתקד'!A25,'מיטב דש'!A:G,4,0)+VLOOKUP('תפוקה מצטברת מול אשתקד'!A25,אינפניטי!A:G,4,0)</f>
        <v>13040.009862627679</v>
      </c>
      <c r="I25" s="58">
        <f>VLOOKUP(A25,הכשרה!A:G,5,0)+VLOOKUP('תפוקה מצטברת מול אשתקד'!A25,מגדל!A:G,5,0)+VLOOKUP('תפוקה מצטברת מול אשתקד'!A25,מנורה!A:G,5,0)+VLOOKUP('תפוקה מצטברת מול אשתקד'!A25,איילון!A:G,5,0)+VLOOKUP('תפוקה מצטברת מול אשתקד'!A25,הראל!A:G,5,0)+VLOOKUP('תפוקה מצטברת מול אשתקד'!A25,הפניקס!A:G,5,0)+VLOOKUP('תפוקה מצטברת מול אשתקד'!A25,כלל!A:G,5,0)+VLOOKUP('תפוקה מצטברת מול אשתקד'!A25,מור!A:G,5,0)+VLOOKUP('תפוקה מצטברת מול אשתקד'!A25,'אלטשולר שחם'!A:G,5,0)+VLOOKUP('תפוקה מצטברת מול אשתקד'!A25,'מדיהו '!A:G,5,0)+VLOOKUP('תפוקה מצטברת מול אשתקד'!A25,'אנליסט '!A:G,5,0)+VLOOKUP('תפוקה מצטברת מול אשתקד'!A25,'מיטב דש'!A:G,5,0)+VLOOKUP('תפוקה מצטברת מול אשתקד'!A25,אינפניטי!A:G,5,0)</f>
        <v>11825</v>
      </c>
      <c r="J25" s="58">
        <f>VLOOKUP(A25,הכשרה!A:G,6,0)+VLOOKUP('תפוקה מצטברת מול אשתקד'!A25,מגדל!A:G,6,0)+VLOOKUP('תפוקה מצטברת מול אשתקד'!A25,מנורה!A:G,6,0)+VLOOKUP('תפוקה מצטברת מול אשתקד'!A25,איילון!A:G,6,0)+VLOOKUP(A25,הראל!A:G,6,0)+VLOOKUP('תפוקה מצטברת מול אשתקד'!A25,הפניקס!A:G,6,0)+VLOOKUP('תפוקה מצטברת מול אשתקד'!A25,כלל!A:G,6,0)+VLOOKUP('תפוקה מצטברת מול אשתקד'!A25,מור!A:G,6,0)+VLOOKUP('תפוקה מצטברת מול אשתקד'!A25,'אלטשולר שחם'!A:G,6,0)+VLOOKUP('תפוקה מצטברת מול אשתקד'!A25,'מדיהו '!A:G,6,0)+VLOOKUP('תפוקה מצטברת מול אשתקד'!A25,'אנליסט '!A:G,6,0)+VLOOKUP('תפוקה מצטברת מול אשתקד'!A25,'מיטב דש'!A:G,6,0)+VLOOKUP('תפוקה מצטברת מול אשתקד'!A25,אינפניטי!A:G,6,0)</f>
        <v>3961.350288042715</v>
      </c>
      <c r="K25" s="58">
        <f>VLOOKUP(A25,הכשרה!A:G,7,0)+VLOOKUP('תפוקה מצטברת מול אשתקד'!A25,מגדל!A:G,7,0)+VLOOKUP('תפוקה מצטברת מול אשתקד'!A25,מנורה!A:G,7,0)+VLOOKUP('תפוקה מצטברת מול אשתקד'!A25,איילון!A:G,7,0)+VLOOKUP('תפוקה מצטברת מול אשתקד'!A25,הראל!A:G,7,0)+VLOOKUP('תפוקה מצטברת מול אשתקד'!A25,הפניקס!A:G,7,0)+VLOOKUP('תפוקה מצטברת מול אשתקד'!A25,כלל!A:G,7,0)+VLOOKUP('תפוקה מצטברת מול אשתקד'!A25,מור!A:G,7,0)+VLOOKUP('תפוקה מצטברת מול אשתקד'!A25,'אלטשולר שחם'!A:G,7,0)+VLOOKUP('תפוקה מצטברת מול אשתקד'!A25,'מדיהו '!A:K,7,0)+VLOOKUP(A25,'אנליסט '!A:G,7,0)+VLOOKUP('תפוקה מצטברת מול אשתקד'!A25,'מיטב דש'!A:G,7,0)+VLOOKUP('תפוקה מצטברת מול אשתקד'!A25,אינפניטי!A:G,7,0)</f>
        <v>0</v>
      </c>
      <c r="L25" s="12">
        <f>VLOOKUP(A25,הכשרה!A:K,8,0)+VLOOKUP('תפוקה מצטברת מול אשתקד'!A25,מגדל!A:K,8,0)+VLOOKUP('תפוקה מצטברת מול אשתקד'!A25,מנורה!A:K,8,0)+VLOOKUP('תפוקה מצטברת מול אשתקד'!A25,איילון!A:K,8,0)+VLOOKUP('תפוקה מצטברת מול אשתקד'!A25,הראל!A:K,8,0)+VLOOKUP('תפוקה מצטברת מול אשתקד'!A25,הפניקס!A:K,8,0)+VLOOKUP('תפוקה מצטברת מול אשתקד'!A25,כלל!A:K,8,0)+VLOOKUP('תפוקה מצטברת מול אשתקד'!A25,מור!A:K,8,0)+VLOOKUP('תפוקה מצטברת מול אשתקד'!A25,'אלטשולר שחם'!A:K,8,0)+VLOOKUP('תפוקה מצטברת מול אשתקד'!A25,'מדיהו '!A:K,8,0)+VLOOKUP('תפוקה מצטברת מול אשתקד'!A25,'אנליסט '!A:K,8,0)+VLOOKUP('תפוקה מצטברת מול אשתקד'!A25,'מיטב דש'!A:K,8,0)+VLOOKUP('תפוקה מצטברת מול אשתקד'!A25,אינפניטי!A:K,8,0)</f>
        <v>35513.790438660501</v>
      </c>
      <c r="M25" s="12">
        <f>VLOOKUP(A25,הכשרה!A:K,9,0)+VLOOKUP('תפוקה מצטברת מול אשתקד'!A25,מגדל!A:K,9,0)+VLOOKUP('תפוקה מצטברת מול אשתקד'!A25,מנורה!A:K,9,0)+VLOOKUP('תפוקה מצטברת מול אשתקד'!A25,איילון!A:K,9,0)+VLOOKUP('תפוקה מצטברת מול אשתקד'!A25,הראל!A:K,9,0)+VLOOKUP('תפוקה מצטברת מול אשתקד'!A25,הפניקס!A:K,9,0)+VLOOKUP('תפוקה מצטברת מול אשתקד'!A25,כלל!A:K,9,0)+VLOOKUP('תפוקה מצטברת מול אשתקד'!A25,מור!A:K,9,0)+VLOOKUP('תפוקה מצטברת מול אשתקד'!A25,'אלטשולר שחם'!A:K,9,0)+VLOOKUP('תפוקה מצטברת מול אשתקד'!A25,'מדיהו '!A:K,9,0)+VLOOKUP('תפוקה מצטברת מול אשתקד'!A25,'אנליסט '!A:K,9,0)+VLOOKUP('תפוקה מצטברת מול אשתקד'!A25,'מיטב דש'!A:K,9,0)+VLOOKUP('תפוקה מצטברת מול אשתקד'!A25,אינפניטי!A:K,9,0)</f>
        <v>22488.798536032162</v>
      </c>
      <c r="N25" s="12">
        <f>VLOOKUP(A25,הכשרה!A:K,10,0)+VLOOKUP('תפוקה מצטברת מול אשתקד'!A25,מגדל!A:K,10,0)+VLOOKUP('תפוקה מצטברת מול אשתקד'!A25,מנורה!A:K,10,0)+VLOOKUP('תפוקה מצטברת מול אשתקד'!A25,איילון!A:K,10,0)+VLOOKUP('תפוקה מצטברת מול אשתקד'!A25,הראל!A:K,10,0)+VLOOKUP('תפוקה מצטברת מול אשתקד'!A25,הפניקס!A:K,10,0)+VLOOKUP('תפוקה מצטברת מול אשתקד'!A25,כלל!A:K,10,0)+VLOOKUP('תפוקה מצטברת מול אשתקד'!A25,מור!A:K,10,0)+VLOOKUP('תפוקה מצטברת מול אשתקד'!A25,'אלטשולר שחם'!A:K,10,0)+VLOOKUP('תפוקה מצטברת מול אשתקד'!A25,'מדיהו '!A:K,10,0)+VLOOKUP('תפוקה מצטברת מול אשתקד'!A25,'אנליסט '!A:K,10,0)+VLOOKUP('תפוקה מצטברת מול אשתקד'!A25,'מיטב דש'!A:K,10,0)+VLOOKUP('תפוקה מצטברת מול אשתקד'!A25,אינפניטי!A:K,10,0)</f>
        <v>36812.957997418533</v>
      </c>
      <c r="O25" s="12">
        <f>VLOOKUP(A25,הכשרה!A:K,11,0)+VLOOKUP('תפוקה מצטברת מול אשתקד'!A25,מגדל!A:K,11,0)+VLOOKUP('תפוקה מצטברת מול אשתקד'!A25,מנורה!A:K,11,0)+VLOOKUP('תפוקה מצטברת מול אשתקד'!A25,איילון!A:K,11,0)+VLOOKUP('תפוקה מצטברת מול אשתקד'!A25,הראל!A:K,11,0)+VLOOKUP('תפוקה מצטברת מול אשתקד'!A25,הפניקס!A:K,11,0)+VLOOKUP('תפוקה מצטברת מול אשתקד'!A25,כלל!A:K,11,0)+VLOOKUP('תפוקה מצטברת מול אשתקד'!A25,מור!A:K,11,0)+VLOOKUP('תפוקה מצטברת מול אשתקד'!A25,'אלטשולר שחם'!A:K,11,0)+VLOOKUP('תפוקה מצטברת מול אשתקד'!A25,'מדיהו '!A:K,11,0)+VLOOKUP('תפוקה מצטברת מול אשתקד'!A25,'אנליסט '!A:K,11,0)+VLOOKUP('תפוקה מצטברת מול אשתקד'!A25,'מיטב דש'!A:K,11,0)+VLOOKUP('תפוקה מצטברת מול אשתקד'!A25,אינפניטי!A:K,11,0)</f>
        <v>-2249.4099999999962</v>
      </c>
    </row>
    <row r="26" spans="1:18" ht="15.75" customHeight="1" x14ac:dyDescent="0.25">
      <c r="A26" s="30" t="s">
        <v>15</v>
      </c>
      <c r="B26" s="26" t="s">
        <v>56</v>
      </c>
      <c r="C26" s="27" t="s">
        <v>107</v>
      </c>
      <c r="D26" s="19">
        <f t="shared" si="0"/>
        <v>0.43964122625875279</v>
      </c>
      <c r="E26" s="19">
        <f t="shared" si="1"/>
        <v>-2.2654934447657316E-2</v>
      </c>
      <c r="F26" s="19">
        <f t="shared" si="2"/>
        <v>6.7274385090693833E-2</v>
      </c>
      <c r="G26" s="19">
        <f t="shared" si="5"/>
        <v>2.1600243097612464</v>
      </c>
      <c r="H26" s="58">
        <f>VLOOKUP(A26,הכשרה!A:G,4,0)+VLOOKUP('תפוקה מצטברת מול אשתקד'!A26,מגדל!A:G,4,0)+VLOOKUP('תפוקה מצטברת מול אשתקד'!A26,מנורה!A:G,4,0)+VLOOKUP('תפוקה מצטברת מול אשתקד'!A26,איילון!A:G,4,0)+VLOOKUP('תפוקה מצטברת מול אשתקד'!A26,הראל!A:G,4,0)+VLOOKUP('תפוקה מצטברת מול אשתקד'!A26,הפניקס!A:G,4,0)+VLOOKUP('תפוקה מצטברת מול אשתקד'!A26,כלל!A:G,4,0)+VLOOKUP('תפוקה מצטברת מול אשתקד'!A26,מור!A:G,4,0)+VLOOKUP('תפוקה מצטברת מול אשתקד'!A26,'אלטשולר שחם'!A:G,4,0)+VLOOKUP('תפוקה מצטברת מול אשתקד'!A26,'מדיהו '!A:G,4,0)+VLOOKUP('תפוקה מצטברת מול אשתקד'!A26,'אנליסט '!A:G,4,0)+VLOOKUP('תפוקה מצטברת מול אשתקד'!A26,'מיטב דש'!A:G,4,0)+VLOOKUP('תפוקה מצטברת מול אשתקד'!A26,אינפניטי!A:G,4,0)</f>
        <v>878891.9224898424</v>
      </c>
      <c r="I26" s="58">
        <f>VLOOKUP(A26,הכשרה!A:G,5,0)+VLOOKUP('תפוקה מצטברת מול אשתקד'!A26,מגדל!A:G,5,0)+VLOOKUP('תפוקה מצטברת מול אשתקד'!A26,מנורה!A:G,5,0)+VLOOKUP('תפוקה מצטברת מול אשתקד'!A26,איילון!A:G,5,0)+VLOOKUP('תפוקה מצטברת מול אשתקד'!A26,הראל!A:G,5,0)+VLOOKUP('תפוקה מצטברת מול אשתקד'!A26,הפניקס!A:G,5,0)+VLOOKUP('תפוקה מצטברת מול אשתקד'!A26,כלל!A:G,5,0)+VLOOKUP('תפוקה מצטברת מול אשתקד'!A26,מור!A:G,5,0)+VLOOKUP('תפוקה מצטברת מול אשתקד'!A26,'אלטשולר שחם'!A:G,5,0)+VLOOKUP('תפוקה מצטברת מול אשתקד'!A26,'מדיהו '!A:G,5,0)+VLOOKUP('תפוקה מצטברת מול אשתקד'!A26,'אנליסט '!A:G,5,0)+VLOOKUP('תפוקה מצטברת מול אשתקד'!A26,'מיטב דש'!A:G,5,0)+VLOOKUP('תפוקה מצטברת מול אשתקד'!A26,אינפניטי!A:G,5,0)</f>
        <v>85777.39443</v>
      </c>
      <c r="J26" s="58">
        <f>VLOOKUP(A26,הכשרה!A:G,6,0)+VLOOKUP('תפוקה מצטברת מול אשתקד'!A26,מגדל!A:G,6,0)+VLOOKUP('תפוקה מצטברת מול אשתקד'!A26,מנורה!A:G,6,0)+VLOOKUP('תפוקה מצטברת מול אשתקד'!A26,איילון!A:G,6,0)+VLOOKUP(A26,הראל!A:G,6,0)+VLOOKUP('תפוקה מצטברת מול אשתקד'!A26,הפניקס!A:G,6,0)+VLOOKUP('תפוקה מצטברת מול אשתקד'!A26,כלל!A:G,6,0)+VLOOKUP('תפוקה מצטברת מול אשתקד'!A26,מור!A:G,6,0)+VLOOKUP('תפוקה מצטברת מול אשתקד'!A26,'אלטשולר שחם'!A:G,6,0)+VLOOKUP('תפוקה מצטברת מול אשתקד'!A26,'מדיהו '!A:G,6,0)+VLOOKUP('תפוקה מצטברת מול אשתקד'!A26,'אנליסט '!A:G,6,0)+VLOOKUP('תפוקה מצטברת מול אשתקד'!A26,'מיטב דש'!A:G,6,0)+VLOOKUP('תפוקה מצטברת מול אשתקד'!A26,אינפניטי!A:G,6,0)</f>
        <v>611804.1764</v>
      </c>
      <c r="K26" s="58">
        <f>VLOOKUP(A26,הכשרה!A:G,7,0)+VLOOKUP('תפוקה מצטברת מול אשתקד'!A26,מגדל!A:G,7,0)+VLOOKUP('תפוקה מצטברת מול אשתקד'!A26,מנורה!A:G,7,0)+VLOOKUP('תפוקה מצטברת מול אשתקד'!A26,איילון!A:G,7,0)+VLOOKUP('תפוקה מצטברת מול אשתקד'!A26,הראל!A:G,7,0)+VLOOKUP('תפוקה מצטברת מול אשתקד'!A26,הפניקס!A:G,7,0)+VLOOKUP('תפוקה מצטברת מול אשתקד'!A26,כלל!A:G,7,0)+VLOOKUP('תפוקה מצטברת מול אשתקד'!A26,מור!A:G,7,0)+VLOOKUP('תפוקה מצטברת מול אשתקד'!A26,'אלטשולר שחם'!A:G,7,0)+VLOOKUP('תפוקה מצטברת מול אשתקד'!A26,'מדיהו '!A:K,7,0)+VLOOKUP(A26,'אנליסט '!A:G,7,0)+VLOOKUP('תפוקה מצטברת מול אשתקד'!A26,'מיטב דש'!A:G,7,0)+VLOOKUP('תפוקה מצטברת מול אשתקד'!A26,אינפניטי!A:G,7,0)</f>
        <v>1524521.97</v>
      </c>
      <c r="L26" s="12">
        <f>VLOOKUP(A26,הכשרה!A:K,8,0)+VLOOKUP('תפוקה מצטברת מול אשתקד'!A26,מגדל!A:K,8,0)+VLOOKUP('תפוקה מצטברת מול אשתקד'!A26,מנורה!A:K,8,0)+VLOOKUP('תפוקה מצטברת מול אשתקד'!A26,איילון!A:K,8,0)+VLOOKUP('תפוקה מצטברת מול אשתקד'!A26,הראל!A:K,8,0)+VLOOKUP('תפוקה מצטברת מול אשתקד'!A26,הפניקס!A:K,8,0)+VLOOKUP('תפוקה מצטברת מול אשתקד'!A26,כלל!A:K,8,0)+VLOOKUP('תפוקה מצטברת מול אשתקד'!A26,מור!A:K,8,0)+VLOOKUP('תפוקה מצטברת מול אשתקד'!A26,'אלטשולר שחם'!A:K,8,0)+VLOOKUP('תפוקה מצטברת מול אשתקד'!A26,'מדיהו '!A:K,8,0)+VLOOKUP('תפוקה מצטברת מול אשתקד'!A26,'אנליסט '!A:K,8,0)+VLOOKUP('תפוקה מצטברת מול אשתקד'!A26,'מיטב דש'!A:K,8,0)+VLOOKUP('תפוקה מצטברת מול אשתקד'!A26,אינפניטי!A:K,8,0)</f>
        <v>610493.71639200021</v>
      </c>
      <c r="M26" s="12">
        <f>VLOOKUP(A26,הכשרה!A:K,9,0)+VLOOKUP('תפוקה מצטברת מול אשתקד'!A26,מגדל!A:K,9,0)+VLOOKUP('תפוקה מצטברת מול אשתקד'!A26,מנורה!A:K,9,0)+VLOOKUP('תפוקה מצטברת מול אשתקד'!A26,איילון!A:K,9,0)+VLOOKUP('תפוקה מצטברת מול אשתקד'!A26,הראל!A:K,9,0)+VLOOKUP('תפוקה מצטברת מול אשתקד'!A26,הפניקס!A:K,9,0)+VLOOKUP('תפוקה מצטברת מול אשתקד'!A26,כלל!A:K,9,0)+VLOOKUP('תפוקה מצטברת מול אשתקד'!A26,מור!A:K,9,0)+VLOOKUP('תפוקה מצטברת מול אשתקד'!A26,'אלטשולר שחם'!A:K,9,0)+VLOOKUP('תפוקה מצטברת מול אשתקד'!A26,'מדיהו '!A:K,9,0)+VLOOKUP('תפוקה מצטברת מול אשתקד'!A26,'אנליסט '!A:K,9,0)+VLOOKUP('תפוקה מצטברת מול אשתקד'!A26,'מיטב דש'!A:K,9,0)+VLOOKUP('תפוקה מצטברת מול אשתקד'!A26,אינפניטי!A:K,9,0)</f>
        <v>87765.72108800002</v>
      </c>
      <c r="N26" s="12">
        <f>VLOOKUP(A26,הכשרה!A:K,10,0)+VLOOKUP('תפוקה מצטברת מול אשתקד'!A26,מגדל!A:K,10,0)+VLOOKUP('תפוקה מצטברת מול אשתקד'!A26,מנורה!A:K,10,0)+VLOOKUP('תפוקה מצטברת מול אשתקד'!A26,איילון!A:K,10,0)+VLOOKUP('תפוקה מצטברת מול אשתקד'!A26,הראל!A:K,10,0)+VLOOKUP('תפוקה מצטברת מול אשתקד'!A26,הפניקס!A:K,10,0)+VLOOKUP('תפוקה מצטברת מול אשתקד'!A26,כלל!A:K,10,0)+VLOOKUP('תפוקה מצטברת מול אשתקד'!A26,מור!A:K,10,0)+VLOOKUP('תפוקה מצטברת מול אשתקד'!A26,'אלטשולר שחם'!A:K,10,0)+VLOOKUP('תפוקה מצטברת מול אשתקד'!A26,'מדיהו '!A:K,10,0)+VLOOKUP('תפוקה מצטברת מול אשתקד'!A26,'אנליסט '!A:K,10,0)+VLOOKUP('תפוקה מצטברת מול אשתקד'!A26,'מיטב דש'!A:K,10,0)+VLOOKUP('תפוקה מצטברת מול אשתקד'!A26,אינפניטי!A:K,10,0)</f>
        <v>573239.81999999995</v>
      </c>
      <c r="O26" s="12">
        <f>VLOOKUP(A26,הכשרה!A:K,11,0)+VLOOKUP('תפוקה מצטברת מול אשתקד'!A26,מגדל!A:K,11,0)+VLOOKUP('תפוקה מצטברת מול אשתקד'!A26,מנורה!A:K,11,0)+VLOOKUP('תפוקה מצטברת מול אשתקד'!A26,איילון!A:K,11,0)+VLOOKUP('תפוקה מצטברת מול אשתקד'!A26,הראל!A:K,11,0)+VLOOKUP('תפוקה מצטברת מול אשתקד'!A26,הפניקס!A:K,11,0)+VLOOKUP('תפוקה מצטברת מול אשתקד'!A26,כלל!A:K,11,0)+VLOOKUP('תפוקה מצטברת מול אשתקד'!A26,מור!A:K,11,0)+VLOOKUP('תפוקה מצטברת מול אשתקד'!A26,'אלטשולר שחם'!A:K,11,0)+VLOOKUP('תפוקה מצטברת מול אשתקד'!A26,'מדיהו '!A:K,11,0)+VLOOKUP('תפוקה מצטברת מול אשתקד'!A26,'אנליסט '!A:K,11,0)+VLOOKUP('תפוקה מצטברת מול אשתקד'!A26,'מיטב דש'!A:K,11,0)+VLOOKUP('תפוקה מצטברת מול אשתקד'!A26,אינפניטי!A:K,11,0)</f>
        <v>482439.94999999995</v>
      </c>
    </row>
    <row r="27" spans="1:18" ht="15.75" customHeight="1" x14ac:dyDescent="0.25">
      <c r="A27" s="30" t="s">
        <v>17</v>
      </c>
      <c r="B27" s="26" t="s">
        <v>56</v>
      </c>
      <c r="C27" s="27" t="s">
        <v>107</v>
      </c>
      <c r="D27" s="19">
        <f t="shared" si="0"/>
        <v>-0.62918194743642153</v>
      </c>
      <c r="E27" s="19">
        <f t="shared" si="0"/>
        <v>0.23530011788753469</v>
      </c>
      <c r="F27" s="19">
        <f t="shared" si="0"/>
        <v>5.8264329790717513</v>
      </c>
      <c r="G27" s="19">
        <f t="shared" si="5"/>
        <v>0.29306238255266415</v>
      </c>
      <c r="H27" s="58">
        <f>VLOOKUP(A27,הכשרה!A:G,4,0)+VLOOKUP('תפוקה מצטברת מול אשתקד'!A27,מגדל!A:G,4,0)+VLOOKUP('תפוקה מצטברת מול אשתקד'!A27,מנורה!A:G,4,0)+VLOOKUP('תפוקה מצטברת מול אשתקד'!A27,איילון!A:G,4,0)+VLOOKUP('תפוקה מצטברת מול אשתקד'!A27,הראל!A:G,4,0)+VLOOKUP('תפוקה מצטברת מול אשתקד'!A27,הפניקס!A:G,4,0)+VLOOKUP('תפוקה מצטברת מול אשתקד'!A27,כלל!A:G,4,0)+VLOOKUP('תפוקה מצטברת מול אשתקד'!A27,מור!A:G,4,0)+VLOOKUP('תפוקה מצטברת מול אשתקד'!A27,'אלטשולר שחם'!A:G,4,0)+VLOOKUP('תפוקה מצטברת מול אשתקד'!A27,'מדיהו '!A:G,4,0)+VLOOKUP('תפוקה מצטברת מול אשתקד'!A27,'אנליסט '!A:G,4,0)+VLOOKUP('תפוקה מצטברת מול אשתקד'!A27,'מיטב דש'!A:G,4,0)+VLOOKUP('תפוקה מצטברת מול אשתקד'!A27,אינפניטי!A:G,4,0)</f>
        <v>66178.085751183025</v>
      </c>
      <c r="I27" s="58">
        <f>VLOOKUP(A27,הכשרה!A:G,5,0)+VLOOKUP('תפוקה מצטברת מול אשתקד'!A27,מגדל!A:G,5,0)+VLOOKUP('תפוקה מצטברת מול אשתקד'!A27,מנורה!A:G,5,0)+VLOOKUP('תפוקה מצטברת מול אשתקד'!A27,איילון!A:G,5,0)+VLOOKUP('תפוקה מצטברת מול אשתקד'!A27,הראל!A:G,5,0)+VLOOKUP('תפוקה מצטברת מול אשתקד'!A27,הפניקס!A:G,5,0)+VLOOKUP('תפוקה מצטברת מול אשתקד'!A27,כלל!A:G,5,0)+VLOOKUP('תפוקה מצטברת מול אשתקד'!A27,מור!A:G,5,0)+VLOOKUP('תפוקה מצטברת מול אשתקד'!A27,'אלטשולר שחם'!A:G,5,0)+VLOOKUP('תפוקה מצטברת מול אשתקד'!A27,'מדיהו '!A:G,5,0)+VLOOKUP('תפוקה מצטברת מול אשתקד'!A27,'אנליסט '!A:G,5,0)+VLOOKUP('תפוקה מצטברת מול אשתקד'!A27,'מיטב דש'!A:G,5,0)+VLOOKUP('תפוקה מצטברת מול אשתקד'!A27,אינפניטי!A:G,5,0)</f>
        <v>58360.581820415682</v>
      </c>
      <c r="J27" s="58">
        <f>VLOOKUP(A27,הכשרה!A:G,6,0)+VLOOKUP('תפוקה מצטברת מול אשתקד'!A27,מגדל!A:G,6,0)+VLOOKUP('תפוקה מצטברת מול אשתקד'!A27,מנורה!A:G,6,0)+VLOOKUP('תפוקה מצטברת מול אשתקד'!A27,איילון!A:G,6,0)+VLOOKUP(A27,הראל!A:G,6,0)+VLOOKUP('תפוקה מצטברת מול אשתקד'!A27,הפניקס!A:G,6,0)+VLOOKUP('תפוקה מצטברת מול אשתקד'!A27,כלל!A:G,6,0)+VLOOKUP('תפוקה מצטברת מול אשתקד'!A27,מור!A:G,6,0)+VLOOKUP('תפוקה מצטברת מול אשתקד'!A27,'אלטשולר שחם'!A:G,6,0)+VLOOKUP('תפוקה מצטברת מול אשתקד'!A27,'מדיהו '!A:G,6,0)+VLOOKUP('תפוקה מצטברת מול אשתקד'!A27,'אנליסט '!A:G,6,0)+VLOOKUP('תפוקה מצטברת מול אשתקד'!A27,'מיטב דש'!A:G,6,0)+VLOOKUP('תפוקה מצטברת מול אשתקד'!A27,אינפניטי!A:G,6,0)</f>
        <v>100590.01369959253</v>
      </c>
      <c r="K27" s="58">
        <f>VLOOKUP(A27,הכשרה!A:G,7,0)+VLOOKUP('תפוקה מצטברת מול אשתקד'!A27,מגדל!A:G,7,0)+VLOOKUP('תפוקה מצטברת מול אשתקד'!A27,מנורה!A:G,7,0)+VLOOKUP('תפוקה מצטברת מול אשתקד'!A27,איילון!A:G,7,0)+VLOOKUP('תפוקה מצטברת מול אשתקד'!A27,הראל!A:G,7,0)+VLOOKUP('תפוקה מצטברת מול אשתקד'!A27,הפניקס!A:G,7,0)+VLOOKUP('תפוקה מצטברת מול אשתקד'!A27,כלל!A:G,7,0)+VLOOKUP('תפוקה מצטברת מול אשתקד'!A27,מור!A:G,7,0)+VLOOKUP('תפוקה מצטברת מול אשתקד'!A27,'אלטשולר שחם'!A:G,7,0)+VLOOKUP('תפוקה מצטברת מול אשתקד'!A27,'מדיהו '!A:K,7,0)+VLOOKUP(A27,'אנליסט '!A:G,7,0)+VLOOKUP('תפוקה מצטברת מול אשתקד'!A27,'מיטב דש'!A:G,7,0)+VLOOKUP('תפוקה מצטברת מול אשתקד'!A27,אינפניטי!A:G,7,0)</f>
        <v>190903.65</v>
      </c>
      <c r="L27" s="12">
        <f>VLOOKUP(A27,הכשרה!A:K,8,0)+VLOOKUP('תפוקה מצטברת מול אשתקד'!A27,מגדל!A:K,8,0)+VLOOKUP('תפוקה מצטברת מול אשתקד'!A27,מנורה!A:K,8,0)+VLOOKUP('תפוקה מצטברת מול אשתקד'!A27,איילון!A:K,8,0)+VLOOKUP('תפוקה מצטברת מול אשתקד'!A27,הראל!A:K,8,0)+VLOOKUP('תפוקה מצטברת מול אשתקד'!A27,הפניקס!A:K,8,0)+VLOOKUP('תפוקה מצטברת מול אשתקד'!A27,כלל!A:K,8,0)+VLOOKUP('תפוקה מצטברת מול אשתקד'!A27,מור!A:K,8,0)+VLOOKUP('תפוקה מצטברת מול אשתקד'!A27,'אלטשולר שחם'!A:K,8,0)+VLOOKUP('תפוקה מצטברת מול אשתקד'!A27,'מדיהו '!A:K,8,0)+VLOOKUP('תפוקה מצטברת מול אשתקד'!A27,'אנליסט '!A:K,8,0)+VLOOKUP('תפוקה מצטברת מול אשתקד'!A27,'מיטב דש'!A:K,8,0)+VLOOKUP('תפוקה מצטברת מול אשתקד'!A27,אינפניטי!A:K,8,0)</f>
        <v>178465.11326423756</v>
      </c>
      <c r="M27" s="12">
        <f>VLOOKUP(A27,הכשרה!A:K,9,0)+VLOOKUP('תפוקה מצטברת מול אשתקד'!A27,מגדל!A:K,9,0)+VLOOKUP('תפוקה מצטברת מול אשתקד'!A27,מנורה!A:K,9,0)+VLOOKUP('תפוקה מצטברת מול אשתקד'!A27,איילון!A:K,9,0)+VLOOKUP('תפוקה מצטברת מול אשתקד'!A27,הראל!A:K,9,0)+VLOOKUP('תפוקה מצטברת מול אשתקד'!A27,הפניקס!A:K,9,0)+VLOOKUP('תפוקה מצטברת מול אשתקד'!A27,כלל!A:K,9,0)+VLOOKUP('תפוקה מצטברת מול אשתקד'!A27,מור!A:K,9,0)+VLOOKUP('תפוקה מצטברת מול אשתקד'!A27,'אלטשולר שחם'!A:K,9,0)+VLOOKUP('תפוקה מצטברת מול אשתקד'!A27,'מדיהו '!A:K,9,0)+VLOOKUP('תפוקה מצטברת מול אשתקד'!A27,'אנליסט '!A:K,9,0)+VLOOKUP('תפוקה מצטברת מול אשתקד'!A27,'מיטב דש'!A:K,9,0)+VLOOKUP('תפוקה מצטברת מול אשתקד'!A27,אינפניטי!A:K,9,0)</f>
        <v>47244.051040986786</v>
      </c>
      <c r="N27" s="12">
        <f>VLOOKUP(A27,הכשרה!A:K,10,0)+VLOOKUP('תפוקה מצטברת מול אשתקד'!A27,מגדל!A:K,10,0)+VLOOKUP('תפוקה מצטברת מול אשתקד'!A27,מנורה!A:K,10,0)+VLOOKUP('תפוקה מצטברת מול אשתקד'!A27,איילון!A:K,10,0)+VLOOKUP('תפוקה מצטברת מול אשתקד'!A27,הראל!A:K,10,0)+VLOOKUP('תפוקה מצטברת מול אשתקד'!A27,הפניקס!A:K,10,0)+VLOOKUP('תפוקה מצטברת מול אשתקד'!A27,כלל!A:K,10,0)+VLOOKUP('תפוקה מצטברת מול אשתקד'!A27,מור!A:K,10,0)+VLOOKUP('תפוקה מצטברת מול אשתקד'!A27,'אלטשולר שחם'!A:K,10,0)+VLOOKUP('תפוקה מצטברת מול אשתקד'!A27,'מדיהו '!A:K,10,0)+VLOOKUP('תפוקה מצטברת מול אשתקד'!A27,'אנליסט '!A:K,10,0)+VLOOKUP('תפוקה מצטברת מול אשתקד'!A27,'מיטב דש'!A:K,10,0)+VLOOKUP('תפוקה מצטברת מול אשתקד'!A27,אינפניטי!A:K,10,0)</f>
        <v>14735.369703032024</v>
      </c>
      <c r="O27" s="12">
        <f>VLOOKUP(A27,הכשרה!A:K,11,0)+VLOOKUP('תפוקה מצטברת מול אשתקד'!A27,מגדל!A:K,11,0)+VLOOKUP('תפוקה מצטברת מול אשתקד'!A27,מנורה!A:K,11,0)+VLOOKUP('תפוקה מצטברת מול אשתקד'!A27,איילון!A:K,11,0)+VLOOKUP('תפוקה מצטברת מול אשתקד'!A27,הראל!A:K,11,0)+VLOOKUP('תפוקה מצטברת מול אשתקד'!A27,הפניקס!A:K,11,0)+VLOOKUP('תפוקה מצטברת מול אשתקד'!A27,כלל!A:K,11,0)+VLOOKUP('תפוקה מצטברת מול אשתקד'!A27,מור!A:K,11,0)+VLOOKUP('תפוקה מצטברת מול אשתקד'!A27,'אלטשולר שחם'!A:K,11,0)+VLOOKUP('תפוקה מצטברת מול אשתקד'!A27,'מדיהו '!A:K,11,0)+VLOOKUP('תפוקה מצטברת מול אשתקד'!A27,'אנליסט '!A:K,11,0)+VLOOKUP('תפוקה מצטברת מול אשתקד'!A27,'מיטב דש'!A:K,11,0)+VLOOKUP('תפוקה מצטברת מול אשתקד'!A27,אינפניטי!A:K,11,0)</f>
        <v>147636.84457600006</v>
      </c>
    </row>
    <row r="28" spans="1:18" ht="15.75" customHeight="1" x14ac:dyDescent="0.25">
      <c r="A28" s="30" t="s">
        <v>18</v>
      </c>
      <c r="B28" s="26" t="s">
        <v>56</v>
      </c>
      <c r="C28" s="27" t="s">
        <v>107</v>
      </c>
      <c r="D28" s="19">
        <f t="shared" si="0"/>
        <v>-0.75488537064978445</v>
      </c>
      <c r="E28" s="19">
        <f t="shared" si="0"/>
        <v>0.28765350647479471</v>
      </c>
      <c r="F28" s="19">
        <f t="shared" si="0"/>
        <v>0.47401991702822266</v>
      </c>
      <c r="G28" s="19">
        <f t="shared" si="5"/>
        <v>-0.77680032513156394</v>
      </c>
      <c r="H28" s="58">
        <f>VLOOKUP(A28,הכשרה!A:G,4,0)+VLOOKUP('תפוקה מצטברת מול אשתקד'!A28,מגדל!A:G,4,0)+VLOOKUP('תפוקה מצטברת מול אשתקד'!A28,מנורה!A:G,4,0)+VLOOKUP('תפוקה מצטברת מול אשתקד'!A28,איילון!A:G,4,0)+VLOOKUP('תפוקה מצטברת מול אשתקד'!A28,הראל!A:G,4,0)+VLOOKUP('תפוקה מצטברת מול אשתקד'!A28,הפניקס!A:G,4,0)+VLOOKUP('תפוקה מצטברת מול אשתקד'!A28,כלל!A:G,4,0)+VLOOKUP('תפוקה מצטברת מול אשתקד'!A28,מור!A:G,4,0)+VLOOKUP('תפוקה מצטברת מול אשתקד'!A28,'אלטשולר שחם'!A:G,4,0)+VLOOKUP('תפוקה מצטברת מול אשתקד'!A28,'מדיהו '!A:G,4,0)+VLOOKUP('תפוקה מצטברת מול אשתקד'!A28,'אנליסט '!A:G,4,0)+VLOOKUP('תפוקה מצטברת מול אשתקד'!A28,'מיטב דש'!A:G,4,0)+VLOOKUP('תפוקה מצטברת מול אשתקד'!A28,אינפניטי!A:G,4,0)</f>
        <v>26923.31</v>
      </c>
      <c r="I28" s="58">
        <f>VLOOKUP(A28,הכשרה!A:G,5,0)+VLOOKUP('תפוקה מצטברת מול אשתקד'!A28,מגדל!A:G,5,0)+VLOOKUP('תפוקה מצטברת מול אשתקד'!A28,מנורה!A:G,5,0)+VLOOKUP('תפוקה מצטברת מול אשתקד'!A28,איילון!A:G,5,0)+VLOOKUP('תפוקה מצטברת מול אשתקד'!A28,הראל!A:G,5,0)+VLOOKUP('תפוקה מצטברת מול אשתקד'!A28,הפניקס!A:G,5,0)+VLOOKUP('תפוקה מצטברת מול אשתקד'!A28,כלל!A:G,5,0)+VLOOKUP('תפוקה מצטברת מול אשתקד'!A28,מור!A:G,5,0)+VLOOKUP('תפוקה מצטברת מול אשתקד'!A28,'אלטשולר שחם'!A:G,5,0)+VLOOKUP('תפוקה מצטברת מול אשתקד'!A28,'מדיהו '!A:G,5,0)+VLOOKUP('תפוקה מצטברת מול אשתקד'!A28,'אנליסט '!A:G,5,0)+VLOOKUP('תפוקה מצטברת מול אשתקד'!A28,'מיטב דש'!A:G,5,0)+VLOOKUP('תפוקה מצטברת מול אשתקד'!A28,אינפניטי!A:G,5,0)</f>
        <v>52483.182339999999</v>
      </c>
      <c r="J28" s="58">
        <f>VLOOKUP(A28,הכשרה!A:G,6,0)+VLOOKUP('תפוקה מצטברת מול אשתקד'!A28,מגדל!A:G,6,0)+VLOOKUP('תפוקה מצטברת מול אשתקד'!A28,מנורה!A:G,6,0)+VLOOKUP('תפוקה מצטברת מול אשתקד'!A28,איילון!A:G,6,0)+VLOOKUP(A28,הראל!A:G,6,0)+VLOOKUP('תפוקה מצטברת מול אשתקד'!A28,הפניקס!A:G,6,0)+VLOOKUP('תפוקה מצטברת מול אשתקד'!A28,כלל!A:G,6,0)+VLOOKUP('תפוקה מצטברת מול אשתקד'!A28,מור!A:G,6,0)+VLOOKUP('תפוקה מצטברת מול אשתקד'!A28,'אלטשולר שחם'!A:G,6,0)+VLOOKUP('תפוקה מצטברת מול אשתקד'!A28,'מדיהו '!A:G,6,0)+VLOOKUP('תפוקה מצטברת מול אשתקד'!A28,'אנליסט '!A:G,6,0)+VLOOKUP('תפוקה מצטברת מול אשתקד'!A28,'מיטב דש'!A:G,6,0)+VLOOKUP('תפוקה מצטברת מול אשתקד'!A28,אינפניטי!A:G,6,0)</f>
        <v>174156.92</v>
      </c>
      <c r="K28" s="58">
        <f>VLOOKUP(A28,הכשרה!A:G,7,0)+VLOOKUP('תפוקה מצטברת מול אשתקד'!A28,מגדל!A:G,7,0)+VLOOKUP('תפוקה מצטברת מול אשתקד'!A28,מנורה!A:G,7,0)+VLOOKUP('תפוקה מצטברת מול אשתקד'!A28,איילון!A:G,7,0)+VLOOKUP('תפוקה מצטברת מול אשתקד'!A28,הראל!A:G,7,0)+VLOOKUP('תפוקה מצטברת מול אשתקד'!A28,הפניקס!A:G,7,0)+VLOOKUP('תפוקה מצטברת מול אשתקד'!A28,כלל!A:G,7,0)+VLOOKUP('תפוקה מצטברת מול אשתקד'!A28,מור!A:G,7,0)+VLOOKUP('תפוקה מצטברת מול אשתקד'!A28,'אלטשולר שחם'!A:G,7,0)+VLOOKUP('תפוקה מצטברת מול אשתקד'!A28,'מדיהו '!A:K,7,0)+VLOOKUP(A28,'אנליסט '!A:G,7,0)+VLOOKUP('תפוקה מצטברת מול אשתקד'!A28,'מיטב דש'!A:G,7,0)+VLOOKUP('תפוקה מצטברת מול אשתקד'!A28,אינפניטי!A:G,7,0)</f>
        <v>58928.33</v>
      </c>
      <c r="L28" s="12">
        <f>VLOOKUP(A28,הכשרה!A:K,8,0)+VLOOKUP('תפוקה מצטברת מול אשתקד'!A28,מגדל!A:K,8,0)+VLOOKUP('תפוקה מצטברת מול אשתקד'!A28,מנורה!A:K,8,0)+VLOOKUP('תפוקה מצטברת מול אשתקד'!A28,איילון!A:K,8,0)+VLOOKUP('תפוקה מצטברת מול אשתקד'!A28,הראל!A:K,8,0)+VLOOKUP('תפוקה מצטברת מול אשתקד'!A28,הפניקס!A:K,8,0)+VLOOKUP('תפוקה מצטברת מול אשתקד'!A28,כלל!A:K,8,0)+VLOOKUP('תפוקה מצטברת מול אשתקד'!A28,מור!A:K,8,0)+VLOOKUP('תפוקה מצטברת מול אשתקד'!A28,'אלטשולר שחם'!A:K,8,0)+VLOOKUP('תפוקה מצטברת מול אשתקד'!A28,'מדיהו '!A:K,8,0)+VLOOKUP('תפוקה מצטברת מול אשתקד'!A28,'אנליסט '!A:K,8,0)+VLOOKUP('תפוקה מצטברת מול אשתקד'!A28,'מיטב דש'!A:K,8,0)+VLOOKUP('תפוקה מצטברת מול אשתקד'!A28,אינפניטי!A:K,8,0)</f>
        <v>109839.67000000001</v>
      </c>
      <c r="M28" s="12">
        <f>VLOOKUP(A28,הכשרה!A:K,9,0)+VLOOKUP('תפוקה מצטברת מול אשתקד'!A28,מגדל!A:K,9,0)+VLOOKUP('תפוקה מצטברת מול אשתקד'!A28,מנורה!A:K,9,0)+VLOOKUP('תפוקה מצטברת מול אשתקד'!A28,איילון!A:K,9,0)+VLOOKUP('תפוקה מצטברת מול אשתקד'!A28,הראל!A:K,9,0)+VLOOKUP('תפוקה מצטברת מול אשתקד'!A28,הפניקס!A:K,9,0)+VLOOKUP('תפוקה מצטברת מול אשתקד'!A28,כלל!A:K,9,0)+VLOOKUP('תפוקה מצטברת מול אשתקד'!A28,מור!A:K,9,0)+VLOOKUP('תפוקה מצטברת מול אשתקד'!A28,'אלטשולר שחם'!A:K,9,0)+VLOOKUP('תפוקה מצטברת מול אשתקד'!A28,'מדיהו '!A:K,9,0)+VLOOKUP('תפוקה מצטברת מול אשתקד'!A28,'אנליסט '!A:K,9,0)+VLOOKUP('תפוקה מצטברת מול אשתקד'!A28,'מיטב דש'!A:K,9,0)+VLOOKUP('תפוקה מצטברת מול אשתקד'!A28,אינפניטי!A:K,9,0)</f>
        <v>40758.777168000001</v>
      </c>
      <c r="N28" s="12">
        <f>VLOOKUP(A28,הכשרה!A:K,10,0)+VLOOKUP('תפוקה מצטברת מול אשתקד'!A28,מגדל!A:K,10,0)+VLOOKUP('תפוקה מצטברת מול אשתקד'!A28,מנורה!A:K,10,0)+VLOOKUP('תפוקה מצטברת מול אשתקד'!A28,איילון!A:K,10,0)+VLOOKUP('תפוקה מצטברת מול אשתקד'!A28,הראל!A:K,10,0)+VLOOKUP('תפוקה מצטברת מול אשתקד'!A28,הפניקס!A:K,10,0)+VLOOKUP('תפוקה מצטברת מול אשתקד'!A28,כלל!A:K,10,0)+VLOOKUP('תפוקה מצטברת מול אשתקד'!A28,מור!A:K,10,0)+VLOOKUP('תפוקה מצטברת מול אשתקד'!A28,'אלטשולר שחם'!A:K,10,0)+VLOOKUP('תפוקה מצטברת מול אשתקד'!A28,'מדיהו '!A:K,10,0)+VLOOKUP('תפוקה מצטברת מול אשתקד'!A28,'אנליסט '!A:K,10,0)+VLOOKUP('תפוקה מצטברת מול אשתקד'!A28,'מיטב דש'!A:K,10,0)+VLOOKUP('תפוקה מצטברת מול אשתקד'!A28,אינפניטי!A:K,10,0)</f>
        <v>118150.995104</v>
      </c>
      <c r="O28" s="12">
        <f>VLOOKUP(A28,הכשרה!A:K,11,0)+VLOOKUP('תפוקה מצטברת מול אשתקד'!A28,מגדל!A:K,11,0)+VLOOKUP('תפוקה מצטברת מול אשתקד'!A28,מנורה!A:K,11,0)+VLOOKUP('תפוקה מצטברת מול אשתקד'!A28,איילון!A:K,11,0)+VLOOKUP('תפוקה מצטברת מול אשתקד'!A28,הראל!A:K,11,0)+VLOOKUP('תפוקה מצטברת מול אשתקד'!A28,הפניקס!A:K,11,0)+VLOOKUP('תפוקה מצטברת מול אשתקד'!A28,כלל!A:K,11,0)+VLOOKUP('תפוקה מצטברת מול אשתקד'!A28,מור!A:K,11,0)+VLOOKUP('תפוקה מצטברת מול אשתקד'!A28,'אלטשולר שחם'!A:K,11,0)+VLOOKUP('תפוקה מצטברת מול אשתקד'!A28,'מדיהו '!A:K,11,0)+VLOOKUP('תפוקה מצטברת מול אשתקד'!A28,'אנליסט '!A:K,11,0)+VLOOKUP('תפוקה מצטברת מול אשתקד'!A28,'מיטב דש'!A:K,11,0)+VLOOKUP('תפוקה מצטברת מול אשתקד'!A28,אינפניטי!A:K,11,0)</f>
        <v>264016.2</v>
      </c>
    </row>
    <row r="29" spans="1:18" ht="15.75" customHeight="1" x14ac:dyDescent="0.25">
      <c r="A29" s="26" t="s">
        <v>19</v>
      </c>
      <c r="B29" s="26" t="s">
        <v>56</v>
      </c>
      <c r="C29" s="27" t="s">
        <v>107</v>
      </c>
      <c r="D29" s="19">
        <f t="shared" si="0"/>
        <v>-0.58455559946554081</v>
      </c>
      <c r="E29" s="19">
        <f t="shared" si="0"/>
        <v>-0.2371030688064053</v>
      </c>
      <c r="F29" s="19">
        <f t="shared" si="0"/>
        <v>0.29425155426454275</v>
      </c>
      <c r="G29" s="19">
        <f t="shared" si="5"/>
        <v>-0.71407103167548924</v>
      </c>
      <c r="H29" s="58">
        <f>VLOOKUP(A29,הכשרה!A:G,4,0)+VLOOKUP('תפוקה מצטברת מול אשתקד'!A29,מגדל!A:G,4,0)+VLOOKUP('תפוקה מצטברת מול אשתקד'!A29,מנורה!A:G,4,0)+VLOOKUP('תפוקה מצטברת מול אשתקד'!A29,איילון!A:G,4,0)+VLOOKUP('תפוקה מצטברת מול אשתקד'!A29,הראל!A:G,4,0)+VLOOKUP('תפוקה מצטברת מול אשתקד'!A29,הפניקס!A:G,4,0)+VLOOKUP('תפוקה מצטברת מול אשתקד'!A29,כלל!A:G,4,0)+VLOOKUP('תפוקה מצטברת מול אשתקד'!A29,מור!A:G,4,0)+VLOOKUP('תפוקה מצטברת מול אשתקד'!A29,'אלטשולר שחם'!A:G,4,0)+VLOOKUP('תפוקה מצטברת מול אשתקד'!A29,'מדיהו '!A:G,4,0)+VLOOKUP('תפוקה מצטברת מול אשתקד'!A29,'אנליסט '!A:G,4,0)+VLOOKUP('תפוקה מצטברת מול אשתקד'!A29,'מיטב דש'!A:G,4,0)+VLOOKUP('תפוקה מצטברת מול אשתקד'!A29,אינפניטי!A:G,4,0)</f>
        <v>444458.69951124891</v>
      </c>
      <c r="I29" s="58">
        <f>VLOOKUP(A29,הכשרה!A:G,5,0)+VLOOKUP('תפוקה מצטברת מול אשתקד'!A29,מגדל!A:G,5,0)+VLOOKUP('תפוקה מצטברת מול אשתקד'!A29,מנורה!A:G,5,0)+VLOOKUP('תפוקה מצטברת מול אשתקד'!A29,איילון!A:G,5,0)+VLOOKUP('תפוקה מצטברת מול אשתקד'!A29,הראל!A:G,5,0)+VLOOKUP('תפוקה מצטברת מול אשתקד'!A29,הפניקס!A:G,5,0)+VLOOKUP('תפוקה מצטברת מול אשתקד'!A29,כלל!A:G,5,0)+VLOOKUP('תפוקה מצטברת מול אשתקד'!A29,מור!A:G,5,0)+VLOOKUP('תפוקה מצטברת מול אשתקד'!A29,'אלטשולר שחם'!A:G,5,0)+VLOOKUP('תפוקה מצטברת מול אשתקד'!A29,'מדיהו '!A:G,5,0)+VLOOKUP('תפוקה מצטברת מול אשתקד'!A29,'אנליסט '!A:G,5,0)+VLOOKUP('תפוקה מצטברת מול אשתקד'!A29,'מיטב דש'!A:G,5,0)+VLOOKUP('תפוקה מצטברת מול אשתקד'!A29,אינפניטי!A:G,5,0)</f>
        <v>61714.45</v>
      </c>
      <c r="J29" s="58">
        <f>VLOOKUP(A29,הכשרה!A:G,6,0)+VLOOKUP('תפוקה מצטברת מול אשתקד'!A29,מגדל!A:G,6,0)+VLOOKUP('תפוקה מצטברת מול אשתקד'!A29,מנורה!A:G,6,0)+VLOOKUP('תפוקה מצטברת מול אשתקד'!A29,איילון!A:G,6,0)+VLOOKUP(A29,הראל!A:G,6,0)+VLOOKUP('תפוקה מצטברת מול אשתקד'!A29,הפניקס!A:G,6,0)+VLOOKUP('תפוקה מצטברת מול אשתקד'!A29,כלל!A:G,6,0)+VLOOKUP('תפוקה מצטברת מול אשתקד'!A29,מור!A:G,6,0)+VLOOKUP('תפוקה מצטברת מול אשתקד'!A29,'אלטשולר שחם'!A:G,6,0)+VLOOKUP('תפוקה מצטברת מול אשתקד'!A29,'מדיהו '!A:G,6,0)+VLOOKUP('תפוקה מצטברת מול אשתקד'!A29,'אנליסט '!A:G,6,0)+VLOOKUP('תפוקה מצטברת מול אשתקד'!A29,'מיטב דש'!A:G,6,0)+VLOOKUP('תפוקה מצטברת מול אשתקד'!A29,אינפניטי!A:G,6,0)</f>
        <v>803958.56</v>
      </c>
      <c r="K29" s="58">
        <f>VLOOKUP(A29,הכשרה!A:G,7,0)+VLOOKUP('תפוקה מצטברת מול אשתקד'!A29,מגדל!A:G,7,0)+VLOOKUP('תפוקה מצטברת מול אשתקד'!A29,מנורה!A:G,7,0)+VLOOKUP('תפוקה מצטברת מול אשתקד'!A29,איילון!A:G,7,0)+VLOOKUP('תפוקה מצטברת מול אשתקד'!A29,הראל!A:G,7,0)+VLOOKUP('תפוקה מצטברת מול אשתקד'!A29,הפניקס!A:G,7,0)+VLOOKUP('תפוקה מצטברת מול אשתקד'!A29,כלל!A:G,7,0)+VLOOKUP('תפוקה מצטברת מול אשתקד'!A29,מור!A:G,7,0)+VLOOKUP('תפוקה מצטברת מול אשתקד'!A29,'אלטשולר שחם'!A:G,7,0)+VLOOKUP('תפוקה מצטברת מול אשתקד'!A29,'מדיהו '!A:K,7,0)+VLOOKUP(A29,'אנליסט '!A:G,7,0)+VLOOKUP('תפוקה מצטברת מול אשתקד'!A29,'מיטב דש'!A:G,7,0)+VLOOKUP('תפוקה מצטברת מול אשתקד'!A29,אינפניטי!A:G,7,0)</f>
        <v>1080443.93</v>
      </c>
      <c r="L29" s="12">
        <f>VLOOKUP(A29,הכשרה!A:K,8,0)+VLOOKUP('תפוקה מצטברת מול אשתקד'!A29,מגדל!A:K,8,0)+VLOOKUP('תפוקה מצטברת מול אשתקד'!A29,מנורה!A:K,8,0)+VLOOKUP('תפוקה מצטברת מול אשתקד'!A29,איילון!A:K,8,0)+VLOOKUP('תפוקה מצטברת מול אשתקד'!A29,הראל!A:K,8,0)+VLOOKUP('תפוקה מצטברת מול אשתקד'!A29,הפניקס!A:K,8,0)+VLOOKUP('תפוקה מצטברת מול אשתקד'!A29,כלל!A:K,8,0)+VLOOKUP('תפוקה מצטברת מול אשתקד'!A29,מור!A:K,8,0)+VLOOKUP('תפוקה מצטברת מול אשתקד'!A29,'אלטשולר שחם'!A:K,8,0)+VLOOKUP('תפוקה מצטברת מול אשתקד'!A29,'מדיהו '!A:K,8,0)+VLOOKUP('תפוקה מצטברת מול אשתקד'!A29,'אנליסט '!A:K,8,0)+VLOOKUP('תפוקה מצטברת מול אשתקד'!A29,'מיטב דש'!A:K,8,0)+VLOOKUP('תפוקה מצטברת מול אשתקד'!A29,אינפניטי!A:K,8,0)</f>
        <v>1069839.1865180118</v>
      </c>
      <c r="M29" s="12">
        <f>VLOOKUP(A29,הכשרה!A:K,9,0)+VLOOKUP('תפוקה מצטברת מול אשתקד'!A29,מגדל!A:K,9,0)+VLOOKUP('תפוקה מצטברת מול אשתקד'!A29,מנורה!A:K,9,0)+VLOOKUP('תפוקה מצטברת מול אשתקד'!A29,איילון!A:K,9,0)+VLOOKUP('תפוקה מצטברת מול אשתקד'!A29,הראל!A:K,9,0)+VLOOKUP('תפוקה מצטברת מול אשתקד'!A29,הפניקס!A:K,9,0)+VLOOKUP('תפוקה מצטברת מול אשתקד'!A29,כלל!A:K,9,0)+VLOOKUP('תפוקה מצטברת מול אשתקד'!A29,מור!A:K,9,0)+VLOOKUP('תפוקה מצטברת מול אשתקד'!A29,'אלטשולר שחם'!A:K,9,0)+VLOOKUP('תפוקה מצטברת מול אשתקד'!A29,'מדיהו '!A:K,9,0)+VLOOKUP('תפוקה מצטברת מול אשתקד'!A29,'אנליסט '!A:K,9,0)+VLOOKUP('תפוקה מצטברת מול אשתקד'!A29,'מיטב דש'!A:K,9,0)+VLOOKUP('תפוקה מצטברת מול אשתקד'!A29,אינפניטי!A:K,9,0)</f>
        <v>80894.8725268095</v>
      </c>
      <c r="N29" s="12">
        <f>VLOOKUP(A29,הכשרה!A:K,10,0)+VLOOKUP('תפוקה מצטברת מול אשתקד'!A29,מגדל!A:K,10,0)+VLOOKUP('תפוקה מצטברת מול אשתקד'!A29,מנורה!A:K,10,0)+VLOOKUP('תפוקה מצטברת מול אשתקד'!A29,איילון!A:K,10,0)+VLOOKUP('תפוקה מצטברת מול אשתקד'!A29,הראל!A:K,10,0)+VLOOKUP('תפוקה מצטברת מול אשתקד'!A29,הפניקס!A:K,10,0)+VLOOKUP('תפוקה מצטברת מול אשתקד'!A29,כלל!A:K,10,0)+VLOOKUP('תפוקה מצטברת מול אשתקד'!A29,מור!A:K,10,0)+VLOOKUP('תפוקה מצטברת מול אשתקד'!A29,'אלטשולר שחם'!A:K,10,0)+VLOOKUP('תפוקה מצטברת מול אשתקד'!A29,'מדיהו '!A:K,10,0)+VLOOKUP('תפוקה מצטברת מול אשתקד'!A29,'אנליסט '!A:K,10,0)+VLOOKUP('תפוקה מצטברת מול אשתקד'!A29,'מיטב דש'!A:K,10,0)+VLOOKUP('תפוקה מצטברת מול אשתקד'!A29,אינפניטי!A:K,10,0)</f>
        <v>621176.43000000005</v>
      </c>
      <c r="O29" s="12">
        <f>VLOOKUP(A29,הכשרה!A:K,11,0)+VLOOKUP('תפוקה מצטברת מול אשתקד'!A29,מגדל!A:K,11,0)+VLOOKUP('תפוקה מצטברת מול אשתקד'!A29,מנורה!A:K,11,0)+VLOOKUP('תפוקה מצטברת מול אשתקד'!A29,איילון!A:K,11,0)+VLOOKUP('תפוקה מצטברת מול אשתקד'!A29,הראל!A:K,11,0)+VLOOKUP('תפוקה מצטברת מול אשתקד'!A29,הפניקס!A:K,11,0)+VLOOKUP('תפוקה מצטברת מול אשתקד'!A29,כלל!A:K,11,0)+VLOOKUP('תפוקה מצטברת מול אשתקד'!A29,מור!A:K,11,0)+VLOOKUP('תפוקה מצטברת מול אשתקד'!A29,'אלטשולר שחם'!A:K,11,0)+VLOOKUP('תפוקה מצטברת מול אשתקד'!A29,'מדיהו '!A:K,11,0)+VLOOKUP('תפוקה מצטברת מול אשתקד'!A29,'אנליסט '!A:K,11,0)+VLOOKUP('תפוקה מצטברת מול אשתקד'!A29,'מיטב דש'!A:K,11,0)+VLOOKUP('תפוקה מצטברת מול אשתקד'!A29,אינפניטי!A:K,11,0)</f>
        <v>3778714.4699999993</v>
      </c>
    </row>
    <row r="30" spans="1:18" ht="15.75" customHeight="1" x14ac:dyDescent="0.25">
      <c r="A30" s="26" t="s">
        <v>20</v>
      </c>
      <c r="B30" s="26" t="s">
        <v>56</v>
      </c>
      <c r="C30" s="27" t="s">
        <v>107</v>
      </c>
      <c r="D30" s="19">
        <f t="shared" si="0"/>
        <v>-2.1269804062062914E-4</v>
      </c>
      <c r="E30" s="19">
        <f t="shared" si="0"/>
        <v>5.6910140196447578E-2</v>
      </c>
      <c r="F30" s="19">
        <f t="shared" si="0"/>
        <v>5.9451907751497446E-2</v>
      </c>
      <c r="G30" s="19">
        <f t="shared" si="5"/>
        <v>-0.58719654767504825</v>
      </c>
      <c r="H30" s="58">
        <f>VLOOKUP(A30,הכשרה!A:G,4,0)+VLOOKUP('תפוקה מצטברת מול אשתקד'!A30,מגדל!A:G,4,0)+VLOOKUP('תפוקה מצטברת מול אשתקד'!A30,מנורה!A:G,4,0)+VLOOKUP('תפוקה מצטברת מול אשתקד'!A30,איילון!A:G,4,0)+VLOOKUP('תפוקה מצטברת מול אשתקד'!A30,הראל!A:G,4,0)+VLOOKUP('תפוקה מצטברת מול אשתקד'!A30,הפניקס!A:G,4,0)+VLOOKUP('תפוקה מצטברת מול אשתקד'!A30,כלל!A:G,4,0)+VLOOKUP('תפוקה מצטברת מול אשתקד'!A30,מור!A:G,4,0)+VLOOKUP('תפוקה מצטברת מול אשתקד'!A30,'אלטשולר שחם'!A:G,4,0)+VLOOKUP('תפוקה מצטברת מול אשתקד'!A30,'מדיהו '!A:G,4,0)+VLOOKUP('תפוקה מצטברת מול אשתקד'!A30,'אנליסט '!A:G,4,0)+VLOOKUP('תפוקה מצטברת מול אשתקד'!A30,'מיטב דש'!A:G,4,0)+VLOOKUP('תפוקה מצטברת מול אשתקד'!A30,אינפניטי!A:G,4,0)</f>
        <v>782400.07000000007</v>
      </c>
      <c r="I30" s="58">
        <f>VLOOKUP(A30,הכשרה!A:G,5,0)+VLOOKUP('תפוקה מצטברת מול אשתקד'!A30,מגדל!A:G,5,0)+VLOOKUP('תפוקה מצטברת מול אשתקד'!A30,מנורה!A:G,5,0)+VLOOKUP('תפוקה מצטברת מול אשתקד'!A30,איילון!A:G,5,0)+VLOOKUP('תפוקה מצטברת מול אשתקד'!A30,הראל!A:G,5,0)+VLOOKUP('תפוקה מצטברת מול אשתקד'!A30,הפניקס!A:G,5,0)+VLOOKUP('תפוקה מצטברת מול אשתקד'!A30,כלל!A:G,5,0)+VLOOKUP('תפוקה מצטברת מול אשתקד'!A30,מור!A:G,5,0)+VLOOKUP('תפוקה מצטברת מול אשתקד'!A30,'אלטשולר שחם'!A:G,5,0)+VLOOKUP('תפוקה מצטברת מול אשתקד'!A30,'מדיהו '!A:G,5,0)+VLOOKUP('תפוקה מצטברת מול אשתקד'!A30,'אנליסט '!A:G,5,0)+VLOOKUP('תפוקה מצטברת מול אשתקד'!A30,'מיטב דש'!A:G,5,0)+VLOOKUP('תפוקה מצטברת מול אשתקד'!A30,אינפניטי!A:G,5,0)</f>
        <v>88150.442573954773</v>
      </c>
      <c r="J30" s="58">
        <f>VLOOKUP(A30,הכשרה!A:G,6,0)+VLOOKUP('תפוקה מצטברת מול אשתקד'!A30,מגדל!A:G,6,0)+VLOOKUP('תפוקה מצטברת מול אשתקד'!A30,מנורה!A:G,6,0)+VLOOKUP('תפוקה מצטברת מול אשתקד'!A30,איילון!A:G,6,0)+VLOOKUP(A30,הראל!A:G,6,0)+VLOOKUP('תפוקה מצטברת מול אשתקד'!A30,הפניקס!A:G,6,0)+VLOOKUP('תפוקה מצטברת מול אשתקד'!A30,כלל!A:G,6,0)+VLOOKUP('תפוקה מצטברת מול אשתקד'!A30,מור!A:G,6,0)+VLOOKUP('תפוקה מצטברת מול אשתקד'!A30,'אלטשולר שחם'!A:G,6,0)+VLOOKUP('תפוקה מצטברת מול אשתקד'!A30,'מדיהו '!A:G,6,0)+VLOOKUP('תפוקה מצטברת מול אשתקד'!A30,'אנליסט '!A:G,6,0)+VLOOKUP('תפוקה מצטברת מול אשתקד'!A30,'מיטב דש'!A:G,6,0)+VLOOKUP('תפוקה מצטברת מול אשתקד'!A30,אינפניטי!A:G,6,0)</f>
        <v>2303815.0300000003</v>
      </c>
      <c r="K30" s="58">
        <f>VLOOKUP(A30,הכשרה!A:G,7,0)+VLOOKUP('תפוקה מצטברת מול אשתקד'!A30,מגדל!A:G,7,0)+VLOOKUP('תפוקה מצטברת מול אשתקד'!A30,מנורה!A:G,7,0)+VLOOKUP('תפוקה מצטברת מול אשתקד'!A30,איילון!A:G,7,0)+VLOOKUP('תפוקה מצטברת מול אשתקד'!A30,הראל!A:G,7,0)+VLOOKUP('תפוקה מצטברת מול אשתקד'!A30,הפניקס!A:G,7,0)+VLOOKUP('תפוקה מצטברת מול אשתקד'!A30,כלל!A:G,7,0)+VLOOKUP('תפוקה מצטברת מול אשתקד'!A30,מור!A:G,7,0)+VLOOKUP('תפוקה מצטברת מול אשתקד'!A30,'אלטשולר שחם'!A:G,7,0)+VLOOKUP('תפוקה מצטברת מול אשתקד'!A30,'מדיהו '!A:K,7,0)+VLOOKUP(A30,'אנליסט '!A:G,7,0)+VLOOKUP('תפוקה מצטברת מול אשתקד'!A30,'מיטב דש'!A:G,7,0)+VLOOKUP('תפוקה מצטברת מול אשתקד'!A30,אינפניטי!A:G,7,0)</f>
        <v>1580825.8399999996</v>
      </c>
      <c r="L30" s="12">
        <f>VLOOKUP(A30,הכשרה!A:K,8,0)+VLOOKUP('תפוקה מצטברת מול אשתקד'!A30,מגדל!A:K,8,0)+VLOOKUP('תפוקה מצטברת מול אשתקד'!A30,מנורה!A:K,8,0)+VLOOKUP('תפוקה מצטברת מול אשתקד'!A30,איילון!A:K,8,0)+VLOOKUP('תפוקה מצטברת מול אשתקד'!A30,הראל!A:K,8,0)+VLOOKUP('תפוקה מצטברת מול אשתקד'!A30,הפניקס!A:K,8,0)+VLOOKUP('תפוקה מצטברת מול אשתקד'!A30,כלל!A:K,8,0)+VLOOKUP('תפוקה מצטברת מול אשתקד'!A30,מור!A:K,8,0)+VLOOKUP('תפוקה מצטברת מול אשתקד'!A30,'אלטשולר שחם'!A:K,8,0)+VLOOKUP('תפוקה מצטברת מול אשתקד'!A30,'מדיהו '!A:K,8,0)+VLOOKUP('תפוקה מצטברת מול אשתקד'!A30,'אנליסט '!A:K,8,0)+VLOOKUP('תפוקה מצטברת מול אשתקד'!A30,'מיטב דש'!A:K,8,0)+VLOOKUP('תפוקה מצטברת מול אשתקד'!A30,אינפניטי!A:K,8,0)</f>
        <v>782566.52036553714</v>
      </c>
      <c r="M30" s="12">
        <f>VLOOKUP(A30,הכשרה!A:K,9,0)+VLOOKUP('תפוקה מצטברת מול אשתקד'!A30,מגדל!A:K,9,0)+VLOOKUP('תפוקה מצטברת מול אשתקד'!A30,מנורה!A:K,9,0)+VLOOKUP('תפוקה מצטברת מול אשתקד'!A30,איילון!A:K,9,0)+VLOOKUP('תפוקה מצטברת מול אשתקד'!A30,הראל!A:K,9,0)+VLOOKUP('תפוקה מצטברת מול אשתקד'!A30,הפניקס!A:K,9,0)+VLOOKUP('תפוקה מצטברת מול אשתקד'!A30,כלל!A:K,9,0)+VLOOKUP('תפוקה מצטברת מול אשתקד'!A30,מור!A:K,9,0)+VLOOKUP('תפוקה מצטברת מול אשתקד'!A30,'אלטשולר שחם'!A:K,9,0)+VLOOKUP('תפוקה מצטברת מול אשתקד'!A30,'מדיהו '!A:K,9,0)+VLOOKUP('תפוקה מצטברת מול אשתקד'!A30,'אנליסט '!A:K,9,0)+VLOOKUP('תפוקה מצטברת מול אשתקד'!A30,'מיטב דש'!A:K,9,0)+VLOOKUP('תפוקה מצטברת מול אשתקד'!A30,אינפניטי!A:K,9,0)</f>
        <v>83403.914127997938</v>
      </c>
      <c r="N30" s="12">
        <f>VLOOKUP(A30,הכשרה!A:K,10,0)+VLOOKUP('תפוקה מצטברת מול אשתקד'!A30,מגדל!A:K,10,0)+VLOOKUP('תפוקה מצטברת מול אשתקד'!A30,מנורה!A:K,10,0)+VLOOKUP('תפוקה מצטברת מול אשתקד'!A30,איילון!A:K,10,0)+VLOOKUP('תפוקה מצטברת מול אשתקד'!A30,הראל!A:K,10,0)+VLOOKUP('תפוקה מצטברת מול אשתקד'!A30,הפניקס!A:K,10,0)+VLOOKUP('תפוקה מצטברת מול אשתקד'!A30,כלל!A:K,10,0)+VLOOKUP('תפוקה מצטברת מול אשתקד'!A30,מור!A:K,10,0)+VLOOKUP('תפוקה מצטברת מול אשתקד'!A30,'אלטשולר שחם'!A:K,10,0)+VLOOKUP('תפוקה מצטברת מול אשתקד'!A30,'מדיהו '!A:K,10,0)+VLOOKUP('תפוקה מצטברת מול אשתקד'!A30,'אנליסט '!A:K,10,0)+VLOOKUP('תפוקה מצטברת מול אשתקד'!A30,'מיטב דש'!A:K,10,0)+VLOOKUP('תפוקה מצטברת מול אשתקד'!A30,אינפניטי!A:K,10,0)</f>
        <v>2174534.7883599997</v>
      </c>
      <c r="O30" s="12">
        <f>VLOOKUP(A30,הכשרה!A:K,11,0)+VLOOKUP('תפוקה מצטברת מול אשתקד'!A30,מגדל!A:K,11,0)+VLOOKUP('תפוקה מצטברת מול אשתקד'!A30,מנורה!A:K,11,0)+VLOOKUP('תפוקה מצטברת מול אשתקד'!A30,איילון!A:K,11,0)+VLOOKUP('תפוקה מצטברת מול אשתקד'!A30,הראל!A:K,11,0)+VLOOKUP('תפוקה מצטברת מול אשתקד'!A30,הפניקס!A:K,11,0)+VLOOKUP('תפוקה מצטברת מול אשתקד'!A30,כלל!A:K,11,0)+VLOOKUP('תפוקה מצטברת מול אשתקד'!A30,מור!A:K,11,0)+VLOOKUP('תפוקה מצטברת מול אשתקד'!A30,'אלטשולר שחם'!A:K,11,0)+VLOOKUP('תפוקה מצטברת מול אשתקד'!A30,'מדיהו '!A:K,11,0)+VLOOKUP('תפוקה מצטברת מול אשתקד'!A30,'אנליסט '!A:K,11,0)+VLOOKUP('תפוקה מצטברת מול אשתקד'!A30,'מיטב דש'!A:K,11,0)+VLOOKUP('תפוקה מצטברת מול אשתקד'!A30,אינפניטי!A:K,11,0)</f>
        <v>3829487.9345039991</v>
      </c>
    </row>
    <row r="31" spans="1:18" ht="15.75" customHeight="1" x14ac:dyDescent="0.25">
      <c r="A31" s="26" t="s">
        <v>21</v>
      </c>
      <c r="B31" s="26" t="s">
        <v>56</v>
      </c>
      <c r="C31" s="27" t="s">
        <v>107</v>
      </c>
      <c r="D31" s="19">
        <f t="shared" si="0"/>
        <v>0</v>
      </c>
      <c r="E31" s="19">
        <f t="shared" si="0"/>
        <v>-0.99442458768280373</v>
      </c>
      <c r="F31" s="19">
        <f t="shared" si="0"/>
        <v>0</v>
      </c>
      <c r="G31" s="19">
        <f t="shared" ref="G31:G38" si="7">IF(K31=0,0%,IF(O31=H55,100%,K31/O31-1))</f>
        <v>0</v>
      </c>
      <c r="H31" s="58">
        <f>VLOOKUP(A31,הכשרה!A:G,4,0)+VLOOKUP('תפוקה מצטברת מול אשתקד'!A31,מגדל!A:G,4,0)+VLOOKUP('תפוקה מצטברת מול אשתקד'!A31,מנורה!A:G,4,0)+VLOOKUP('תפוקה מצטברת מול אשתקד'!A31,איילון!A:G,4,0)+VLOOKUP('תפוקה מצטברת מול אשתקד'!A31,הראל!A:G,4,0)+VLOOKUP('תפוקה מצטברת מול אשתקד'!A31,הפניקס!A:G,4,0)+VLOOKUP('תפוקה מצטברת מול אשתקד'!A31,כלל!A:G,4,0)+VLOOKUP('תפוקה מצטברת מול אשתקד'!A31,מור!A:G,4,0)+VLOOKUP('תפוקה מצטברת מול אשתקד'!A31,'אלטשולר שחם'!A:G,4,0)+VLOOKUP('תפוקה מצטברת מול אשתקד'!A31,'מדיהו '!A:G,4,0)+VLOOKUP('תפוקה מצטברת מול אשתקד'!A31,'אנליסט '!A:G,4,0)+VLOOKUP('תפוקה מצטברת מול אשתקד'!A31,'מיטב דש'!A:G,4,0)+VLOOKUP('תפוקה מצטברת מול אשתקד'!A31,אינפניטי!A:G,4,0)</f>
        <v>0</v>
      </c>
      <c r="I31" s="58">
        <f>VLOOKUP(A31,הכשרה!A:G,5,0)+VLOOKUP('תפוקה מצטברת מול אשתקד'!A31,מגדל!A:G,5,0)+VLOOKUP('תפוקה מצטברת מול אשתקד'!A31,מנורה!A:G,5,0)+VLOOKUP('תפוקה מצטברת מול אשתקד'!A31,איילון!A:G,5,0)+VLOOKUP('תפוקה מצטברת מול אשתקד'!A31,הראל!A:G,5,0)+VLOOKUP('תפוקה מצטברת מול אשתקד'!A31,הפניקס!A:G,5,0)+VLOOKUP('תפוקה מצטברת מול אשתקד'!A31,כלל!A:G,5,0)+VLOOKUP('תפוקה מצטברת מול אשתקד'!A31,מור!A:G,5,0)+VLOOKUP('תפוקה מצטברת מול אשתקד'!A31,'אלטשולר שחם'!A:G,5,0)+VLOOKUP('תפוקה מצטברת מול אשתקד'!A31,'מדיהו '!A:G,5,0)+VLOOKUP('תפוקה מצטברת מול אשתקד'!A31,'אנליסט '!A:G,5,0)+VLOOKUP('תפוקה מצטברת מול אשתקד'!A31,'מיטב דש'!A:G,5,0)+VLOOKUP('תפוקה מצטברת מול אשתקד'!A31,אינפניטי!A:G,5,0)</f>
        <v>9.74</v>
      </c>
      <c r="J31" s="58">
        <f>VLOOKUP(A31,הכשרה!A:G,6,0)+VLOOKUP('תפוקה מצטברת מול אשתקד'!A31,מגדל!A:G,6,0)+VLOOKUP('תפוקה מצטברת מול אשתקד'!A31,מנורה!A:G,6,0)+VLOOKUP('תפוקה מצטברת מול אשתקד'!A31,איילון!A:G,6,0)+VLOOKUP(A31,הראל!A:G,6,0)+VLOOKUP('תפוקה מצטברת מול אשתקד'!A31,הפניקס!A:G,6,0)+VLOOKUP('תפוקה מצטברת מול אשתקד'!A31,כלל!A:G,6,0)+VLOOKUP('תפוקה מצטברת מול אשתקד'!A31,מור!A:G,6,0)+VLOOKUP('תפוקה מצטברת מול אשתקד'!A31,'אלטשולר שחם'!A:G,6,0)+VLOOKUP('תפוקה מצטברת מול אשתקד'!A31,'מדיהו '!A:G,6,0)+VLOOKUP('תפוקה מצטברת מול אשתקד'!A31,'אנליסט '!A:G,6,0)+VLOOKUP('תפוקה מצטברת מול אשתקד'!A31,'מיטב דש'!A:G,6,0)+VLOOKUP('תפוקה מצטברת מול אשתקד'!A31,אינפניטי!A:G,6,0)</f>
        <v>0</v>
      </c>
      <c r="K31" s="58">
        <f>VLOOKUP(A31,הכשרה!A:G,7,0)+VLOOKUP('תפוקה מצטברת מול אשתקד'!A31,מגדל!A:G,7,0)+VLOOKUP('תפוקה מצטברת מול אשתקד'!A31,מנורה!A:G,7,0)+VLOOKUP('תפוקה מצטברת מול אשתקד'!A31,איילון!A:G,7,0)+VLOOKUP('תפוקה מצטברת מול אשתקד'!A31,הראל!A:G,7,0)+VLOOKUP('תפוקה מצטברת מול אשתקד'!A31,הפניקס!A:G,7,0)+VLOOKUP('תפוקה מצטברת מול אשתקד'!A31,כלל!A:G,7,0)+VLOOKUP('תפוקה מצטברת מול אשתקד'!A31,מור!A:G,7,0)+VLOOKUP('תפוקה מצטברת מול אשתקד'!A31,'אלטשולר שחם'!A:G,7,0)+VLOOKUP('תפוקה מצטברת מול אשתקד'!A31,'מדיהו '!A:K,7,0)+VLOOKUP(A31,'אנליסט '!A:G,7,0)+VLOOKUP('תפוקה מצטברת מול אשתקד'!A31,'מיטב דש'!A:G,7,0)+VLOOKUP('תפוקה מצטברת מול אשתקד'!A31,אינפניטי!A:G,7,0)</f>
        <v>0</v>
      </c>
      <c r="L31" s="12">
        <f>VLOOKUP(A31,הכשרה!A:K,8,0)+VLOOKUP('תפוקה מצטברת מול אשתקד'!A31,מגדל!A:K,8,0)+VLOOKUP('תפוקה מצטברת מול אשתקד'!A31,מנורה!A:K,8,0)+VLOOKUP('תפוקה מצטברת מול אשתקד'!A31,איילון!A:K,8,0)+VLOOKUP('תפוקה מצטברת מול אשתקד'!A31,הראל!A:K,8,0)+VLOOKUP('תפוקה מצטברת מול אשתקד'!A31,הפניקס!A:K,8,0)+VLOOKUP('תפוקה מצטברת מול אשתקד'!A31,כלל!A:K,8,0)+VLOOKUP('תפוקה מצטברת מול אשתקד'!A31,מור!A:K,8,0)+VLOOKUP('תפוקה מצטברת מול אשתקד'!A31,'אלטשולר שחם'!A:K,8,0)+VLOOKUP('תפוקה מצטברת מול אשתקד'!A31,'מדיהו '!A:K,8,0)+VLOOKUP('תפוקה מצטברת מול אשתקד'!A31,'אנליסט '!A:K,8,0)+VLOOKUP('תפוקה מצטברת מול אשתקד'!A31,'מיטב דש'!A:K,8,0)+VLOOKUP('תפוקה מצטברת מול אשתקד'!A31,אינפניטי!A:K,8,0)</f>
        <v>0</v>
      </c>
      <c r="M31" s="12">
        <f>VLOOKUP(A31,הכשרה!A:K,9,0)+VLOOKUP('תפוקה מצטברת מול אשתקד'!A31,מגדל!A:K,9,0)+VLOOKUP('תפוקה מצטברת מול אשתקד'!A31,מנורה!A:K,9,0)+VLOOKUP('תפוקה מצטברת מול אשתקד'!A31,איילון!A:K,9,0)+VLOOKUP('תפוקה מצטברת מול אשתקד'!A31,הראל!A:K,9,0)+VLOOKUP('תפוקה מצטברת מול אשתקד'!A31,הפניקס!A:K,9,0)+VLOOKUP('תפוקה מצטברת מול אשתקד'!A31,כלל!A:K,9,0)+VLOOKUP('תפוקה מצטברת מול אשתקד'!A31,מור!A:K,9,0)+VLOOKUP('תפוקה מצטברת מול אשתקד'!A31,'אלטשולר שחם'!A:K,9,0)+VLOOKUP('תפוקה מצטברת מול אשתקד'!A31,'מדיהו '!A:K,9,0)+VLOOKUP('תפוקה מצטברת מול אשתקד'!A31,'אנליסט '!A:K,9,0)+VLOOKUP('תפוקה מצטברת מול אשתקד'!A31,'מיטב דש'!A:K,9,0)+VLOOKUP('תפוקה מצטברת מול אשתקד'!A31,אינפניטי!A:K,9,0)</f>
        <v>1746.9560000000001</v>
      </c>
      <c r="N31" s="12">
        <f>VLOOKUP(A31,הכשרה!A:K,10,0)+VLOOKUP('תפוקה מצטברת מול אשתקד'!A31,מגדל!A:K,10,0)+VLOOKUP('תפוקה מצטברת מול אשתקד'!A31,מנורה!A:K,10,0)+VLOOKUP('תפוקה מצטברת מול אשתקד'!A31,איילון!A:K,10,0)+VLOOKUP('תפוקה מצטברת מול אשתקד'!A31,הראל!A:K,10,0)+VLOOKUP('תפוקה מצטברת מול אשתקד'!A31,הפניקס!A:K,10,0)+VLOOKUP('תפוקה מצטברת מול אשתקד'!A31,כלל!A:K,10,0)+VLOOKUP('תפוקה מצטברת מול אשתקד'!A31,מור!A:K,10,0)+VLOOKUP('תפוקה מצטברת מול אשתקד'!A31,'אלטשולר שחם'!A:K,10,0)+VLOOKUP('תפוקה מצטברת מול אשתקד'!A31,'מדיהו '!A:K,10,0)+VLOOKUP('תפוקה מצטברת מול אשתקד'!A31,'אנליסט '!A:K,10,0)+VLOOKUP('תפוקה מצטברת מול אשתקד'!A31,'מיטב דש'!A:K,10,0)+VLOOKUP('תפוקה מצטברת מול אשתקד'!A31,אינפניטי!A:K,10,0)</f>
        <v>0</v>
      </c>
      <c r="O31" s="12">
        <f>VLOOKUP(A31,הכשרה!A:K,11,0)+VLOOKUP('תפוקה מצטברת מול אשתקד'!A31,מגדל!A:K,11,0)+VLOOKUP('תפוקה מצטברת מול אשתקד'!A31,מנורה!A:K,11,0)+VLOOKUP('תפוקה מצטברת מול אשתקד'!A31,איילון!A:K,11,0)+VLOOKUP('תפוקה מצטברת מול אשתקד'!A31,הראל!A:K,11,0)+VLOOKUP('תפוקה מצטברת מול אשתקד'!A31,הפניקס!A:K,11,0)+VLOOKUP('תפוקה מצטברת מול אשתקד'!A31,כלל!A:K,11,0)+VLOOKUP('תפוקה מצטברת מול אשתקד'!A31,מור!A:K,11,0)+VLOOKUP('תפוקה מצטברת מול אשתקד'!A31,'אלטשולר שחם'!A:K,11,0)+VLOOKUP('תפוקה מצטברת מול אשתקד'!A31,'מדיהו '!A:K,11,0)+VLOOKUP('תפוקה מצטברת מול אשתקד'!A31,'אנליסט '!A:K,11,0)+VLOOKUP('תפוקה מצטברת מול אשתקד'!A31,'מיטב דש'!A:K,11,0)+VLOOKUP('תפוקה מצטברת מול אשתקד'!A31,אינפניטי!A:K,11,0)</f>
        <v>0</v>
      </c>
    </row>
    <row r="32" spans="1:18" ht="15.75" customHeight="1" x14ac:dyDescent="0.25">
      <c r="A32" s="26" t="s">
        <v>22</v>
      </c>
      <c r="B32" s="26" t="s">
        <v>56</v>
      </c>
      <c r="C32" s="27" t="s">
        <v>107</v>
      </c>
      <c r="D32" s="19">
        <f t="shared" si="0"/>
        <v>-1.8767720497328713</v>
      </c>
      <c r="E32" s="19">
        <f t="shared" si="0"/>
        <v>0.16189490113777705</v>
      </c>
      <c r="F32" s="19">
        <f t="shared" si="0"/>
        <v>0.94076153339348934</v>
      </c>
      <c r="G32" s="19">
        <f t="shared" si="7"/>
        <v>0</v>
      </c>
      <c r="H32" s="58">
        <f>VLOOKUP(A32,הכשרה!A:G,4,0)+VLOOKUP('תפוקה מצטברת מול אשתקד'!A32,מגדל!A:G,4,0)+VLOOKUP('תפוקה מצטברת מול אשתקד'!A32,מנורה!A:G,4,0)+VLOOKUP('תפוקה מצטברת מול אשתקד'!A32,איילון!A:G,4,0)+VLOOKUP('תפוקה מצטברת מול אשתקד'!A32,הראל!A:G,4,0)+VLOOKUP('תפוקה מצטברת מול אשתקד'!A32,הפניקס!A:G,4,0)+VLOOKUP('תפוקה מצטברת מול אשתקד'!A32,כלל!A:G,4,0)+VLOOKUP('תפוקה מצטברת מול אשתקד'!A32,מור!A:G,4,0)+VLOOKUP('תפוקה מצטברת מול אשתקד'!A32,'אלטשולר שחם'!A:G,4,0)+VLOOKUP('תפוקה מצטברת מול אשתקד'!A32,'מדיהו '!A:G,4,0)+VLOOKUP('תפוקה מצטברת מול אשתקד'!A32,'אנליסט '!A:G,4,0)+VLOOKUP('תפוקה מצטברת מול אשתקד'!A32,'מיטב דש'!A:G,4,0)+VLOOKUP('תפוקה מצטברת מול אשתקד'!A32,אינפניטי!A:G,4,0)</f>
        <v>40386.726434271317</v>
      </c>
      <c r="I32" s="58">
        <f>VLOOKUP(A32,הכשרה!A:G,5,0)+VLOOKUP('תפוקה מצטברת מול אשתקד'!A32,מגדל!A:G,5,0)+VLOOKUP('תפוקה מצטברת מול אשתקד'!A32,מנורה!A:G,5,0)+VLOOKUP('תפוקה מצטברת מול אשתקד'!A32,איילון!A:G,5,0)+VLOOKUP('תפוקה מצטברת מול אשתקד'!A32,הראל!A:G,5,0)+VLOOKUP('תפוקה מצטברת מול אשתקד'!A32,הפניקס!A:G,5,0)+VLOOKUP('תפוקה מצטברת מול אשתקד'!A32,כלל!A:G,5,0)+VLOOKUP('תפוקה מצטברת מול אשתקד'!A32,מור!A:G,5,0)+VLOOKUP('תפוקה מצטברת מול אשתקד'!A32,'אלטשולר שחם'!A:G,5,0)+VLOOKUP('תפוקה מצטברת מול אשתקד'!A32,'מדיהו '!A:G,5,0)+VLOOKUP('תפוקה מצטברת מול אשתקד'!A32,'אנליסט '!A:G,5,0)+VLOOKUP('תפוקה מצטברת מול אשתקד'!A32,'מיטב דש'!A:G,5,0)+VLOOKUP('תפוקה מצטברת מול אשתקד'!A32,אינפניטי!A:G,5,0)</f>
        <v>4862.865542000698</v>
      </c>
      <c r="J32" s="58">
        <f>VLOOKUP(A32,הכשרה!A:G,6,0)+VLOOKUP('תפוקה מצטברת מול אשתקד'!A32,מגדל!A:G,6,0)+VLOOKUP('תפוקה מצטברת מול אשתקד'!A32,מנורה!A:G,6,0)+VLOOKUP('תפוקה מצטברת מול אשתקד'!A32,איילון!A:G,6,0)+VLOOKUP(A32,הראל!A:G,6,0)+VLOOKUP('תפוקה מצטברת מול אשתקד'!A32,הפניקס!A:G,6,0)+VLOOKUP('תפוקה מצטברת מול אשתקד'!A32,כלל!A:G,6,0)+VLOOKUP('תפוקה מצטברת מול אשתקד'!A32,מור!A:G,6,0)+VLOOKUP('תפוקה מצטברת מול אשתקד'!A32,'אלטשולר שחם'!A:G,6,0)+VLOOKUP('תפוקה מצטברת מול אשתקד'!A32,'מדיהו '!A:G,6,0)+VLOOKUP('תפוקה מצטברת מול אשתקד'!A32,'אנליסט '!A:G,6,0)+VLOOKUP('תפוקה מצטברת מול אשתקד'!A32,'מיטב דש'!A:G,6,0)+VLOOKUP('תפוקה מצטברת מול אשתקד'!A32,אינפניטי!A:G,6,0)</f>
        <v>47440.186354350124</v>
      </c>
      <c r="K32" s="58">
        <f>VLOOKUP(A32,הכשרה!A:G,7,0)+VLOOKUP('תפוקה מצטברת מול אשתקד'!A32,מגדל!A:G,7,0)+VLOOKUP('תפוקה מצטברת מול אשתקד'!A32,מנורה!A:G,7,0)+VLOOKUP('תפוקה מצטברת מול אשתקד'!A32,איילון!A:G,7,0)+VLOOKUP('תפוקה מצטברת מול אשתקד'!A32,הראל!A:G,7,0)+VLOOKUP('תפוקה מצטברת מול אשתקד'!A32,הפניקס!A:G,7,0)+VLOOKUP('תפוקה מצטברת מול אשתקד'!A32,כלל!A:G,7,0)+VLOOKUP('תפוקה מצטברת מול אשתקד'!A32,מור!A:G,7,0)+VLOOKUP('תפוקה מצטברת מול אשתקד'!A32,'אלטשולר שחם'!A:G,7,0)+VLOOKUP('תפוקה מצטברת מול אשתקד'!A32,'מדיהו '!A:K,7,0)+VLOOKUP(A32,'אנליסט '!A:G,7,0)+VLOOKUP('תפוקה מצטברת מול אשתקד'!A32,'מיטב דש'!A:G,7,0)+VLOOKUP('תפוקה מצטברת מול אשתקד'!A32,אינפניטי!A:G,7,0)</f>
        <v>0</v>
      </c>
      <c r="L32" s="12">
        <f>VLOOKUP(A32,הכשרה!A:K,8,0)+VLOOKUP('תפוקה מצטברת מול אשתקד'!A32,מגדל!A:K,8,0)+VLOOKUP('תפוקה מצטברת מול אשתקד'!A32,מנורה!A:K,8,0)+VLOOKUP('תפוקה מצטברת מול אשתקד'!A32,איילון!A:K,8,0)+VLOOKUP('תפוקה מצטברת מול אשתקד'!A32,הראל!A:K,8,0)+VLOOKUP('תפוקה מצטברת מול אשתקד'!A32,הפניקס!A:K,8,0)+VLOOKUP('תפוקה מצטברת מול אשתקד'!A32,כלל!A:K,8,0)+VLOOKUP('תפוקה מצטברת מול אשתקד'!A32,מור!A:K,8,0)+VLOOKUP('תפוקה מצטברת מול אשתקד'!A32,'אלטשולר שחם'!A:K,8,0)+VLOOKUP('תפוקה מצטברת מול אשתקד'!A32,'מדיהו '!A:K,8,0)+VLOOKUP('תפוקה מצטברת מול אשתקד'!A32,'אנליסט '!A:K,8,0)+VLOOKUP('תפוקה מצטברת מול אשתקד'!A32,'מיטב דש'!A:K,8,0)+VLOOKUP('תפוקה מצטברת מול אשתקד'!A32,אינפניטי!A:K,8,0)</f>
        <v>-46062.972065060763</v>
      </c>
      <c r="M32" s="12">
        <f>VLOOKUP(A32,הכשרה!A:K,9,0)+VLOOKUP('תפוקה מצטברת מול אשתקד'!A32,מגדל!A:K,9,0)+VLOOKUP('תפוקה מצטברת מול אשתקד'!A32,מנורה!A:K,9,0)+VLOOKUP('תפוקה מצטברת מול אשתקד'!A32,איילון!A:K,9,0)+VLOOKUP('תפוקה מצטברת מול אשתקד'!A32,הראל!A:K,9,0)+VLOOKUP('תפוקה מצטברת מול אשתקד'!A32,הפניקס!A:K,9,0)+VLOOKUP('תפוקה מצטברת מול אשתקד'!A32,כלל!A:K,9,0)+VLOOKUP('תפוקה מצטברת מול אשתקד'!A32,מור!A:K,9,0)+VLOOKUP('תפוקה מצטברת מול אשתקד'!A32,'אלטשולר שחם'!A:K,9,0)+VLOOKUP('תפוקה מצטברת מול אשתקד'!A32,'מדיהו '!A:K,9,0)+VLOOKUP('תפוקה מצטברת מול אשתקד'!A32,'אנליסט '!A:K,9,0)+VLOOKUP('תפוקה מצטברת מול אשתקד'!A32,'מיטב דש'!A:K,9,0)+VLOOKUP('תפוקה מצטברת מול אשתקד'!A32,אינפניטי!A:K,9,0)</f>
        <v>4185.2886498071148</v>
      </c>
      <c r="N32" s="12">
        <f>VLOOKUP(A32,הכשרה!A:K,10,0)+VLOOKUP('תפוקה מצטברת מול אשתקד'!A32,מגדל!A:K,10,0)+VLOOKUP('תפוקה מצטברת מול אשתקד'!A32,מנורה!A:K,10,0)+VLOOKUP('תפוקה מצטברת מול אשתקד'!A32,איילון!A:K,10,0)+VLOOKUP('תפוקה מצטברת מול אשתקד'!A32,הראל!A:K,10,0)+VLOOKUP('תפוקה מצטברת מול אשתקד'!A32,הפניקס!A:K,10,0)+VLOOKUP('תפוקה מצטברת מול אשתקד'!A32,כלל!A:K,10,0)+VLOOKUP('תפוקה מצטברת מול אשתקד'!A32,מור!A:K,10,0)+VLOOKUP('תפוקה מצטברת מול אשתקד'!A32,'אלטשולר שחם'!A:K,10,0)+VLOOKUP('תפוקה מצטברת מול אשתקד'!A32,'מדיהו '!A:K,10,0)+VLOOKUP('תפוקה מצטברת מול אשתקד'!A32,'אנליסט '!A:K,10,0)+VLOOKUP('תפוקה מצטברת מול אשתקד'!A32,'מיטב דש'!A:K,10,0)+VLOOKUP('תפוקה מצטברת מול אשתקד'!A32,אינפניטי!A:K,10,0)</f>
        <v>24444.10894284333</v>
      </c>
      <c r="O32" s="12">
        <f>VLOOKUP(A32,הכשרה!A:K,11,0)+VLOOKUP('תפוקה מצטברת מול אשתקד'!A32,מגדל!A:K,11,0)+VLOOKUP('תפוקה מצטברת מול אשתקד'!A32,מנורה!A:K,11,0)+VLOOKUP('תפוקה מצטברת מול אשתקד'!A32,איילון!A:K,11,0)+VLOOKUP('תפוקה מצטברת מול אשתקד'!A32,הראל!A:K,11,0)+VLOOKUP('תפוקה מצטברת מול אשתקד'!A32,הפניקס!A:K,11,0)+VLOOKUP('תפוקה מצטברת מול אשתקד'!A32,כלל!A:K,11,0)+VLOOKUP('תפוקה מצטברת מול אשתקד'!A32,מור!A:K,11,0)+VLOOKUP('תפוקה מצטברת מול אשתקד'!A32,'אלטשולר שחם'!A:K,11,0)+VLOOKUP('תפוקה מצטברת מול אשתקד'!A32,'מדיהו '!A:K,11,0)+VLOOKUP('תפוקה מצטברת מול אשתקד'!A32,'אנליסט '!A:K,11,0)+VLOOKUP('תפוקה מצטברת מול אשתקד'!A32,'מיטב דש'!A:K,11,0)+VLOOKUP('תפוקה מצטברת מול אשתקד'!A32,אינפניטי!A:K,11,0)</f>
        <v>0</v>
      </c>
      <c r="P32" s="10"/>
      <c r="Q32" s="106"/>
    </row>
    <row r="33" spans="1:15" ht="15.75" customHeight="1" x14ac:dyDescent="0.25">
      <c r="A33" s="26" t="s">
        <v>23</v>
      </c>
      <c r="B33" s="26" t="s">
        <v>56</v>
      </c>
      <c r="C33" s="27" t="s">
        <v>107</v>
      </c>
      <c r="D33" s="19">
        <f t="shared" si="0"/>
        <v>0</v>
      </c>
      <c r="E33" s="19">
        <f t="shared" si="0"/>
        <v>0</v>
      </c>
      <c r="F33" s="19">
        <f t="shared" si="0"/>
        <v>0</v>
      </c>
      <c r="G33" s="19">
        <f t="shared" si="7"/>
        <v>0</v>
      </c>
      <c r="H33" s="58">
        <f>VLOOKUP(A33,הכשרה!A:G,4,0)+VLOOKUP('תפוקה מצטברת מול אשתקד'!A33,מגדל!A:G,4,0)+VLOOKUP('תפוקה מצטברת מול אשתקד'!A33,מנורה!A:G,4,0)+VLOOKUP('תפוקה מצטברת מול אשתקד'!A33,איילון!A:G,4,0)+VLOOKUP('תפוקה מצטברת מול אשתקד'!A33,הראל!A:G,4,0)+VLOOKUP('תפוקה מצטברת מול אשתקד'!A33,הפניקס!A:G,4,0)+VLOOKUP('תפוקה מצטברת מול אשתקד'!A33,כלל!A:G,4,0)+VLOOKUP('תפוקה מצטברת מול אשתקד'!A33,מור!A:G,4,0)+VLOOKUP('תפוקה מצטברת מול אשתקד'!A33,'אלטשולר שחם'!A:G,4,0)+VLOOKUP('תפוקה מצטברת מול אשתקד'!A33,'מדיהו '!A:G,4,0)+VLOOKUP('תפוקה מצטברת מול אשתקד'!A33,'אנליסט '!A:G,4,0)+VLOOKUP('תפוקה מצטברת מול אשתקד'!A33,'מיטב דש'!A:G,4,0)+VLOOKUP('תפוקה מצטברת מול אשתקד'!A33,אינפניטי!A:G,4,0)</f>
        <v>0</v>
      </c>
      <c r="I33" s="58">
        <f>VLOOKUP(A33,הכשרה!A:G,5,0)+VLOOKUP('תפוקה מצטברת מול אשתקד'!A33,מגדל!A:G,5,0)+VLOOKUP('תפוקה מצטברת מול אשתקד'!A33,מנורה!A:G,5,0)+VLOOKUP('תפוקה מצטברת מול אשתקד'!A33,איילון!A:G,5,0)+VLOOKUP('תפוקה מצטברת מול אשתקד'!A33,הראל!A:G,5,0)+VLOOKUP('תפוקה מצטברת מול אשתקד'!A33,הפניקס!A:G,5,0)+VLOOKUP('תפוקה מצטברת מול אשתקד'!A33,כלל!A:G,5,0)+VLOOKUP('תפוקה מצטברת מול אשתקד'!A33,מור!A:G,5,0)+VLOOKUP('תפוקה מצטברת מול אשתקד'!A33,'אלטשולר שחם'!A:G,5,0)+VLOOKUP('תפוקה מצטברת מול אשתקד'!A33,'מדיהו '!A:G,5,0)+VLOOKUP('תפוקה מצטברת מול אשתקד'!A33,'אנליסט '!A:G,5,0)+VLOOKUP('תפוקה מצטברת מול אשתקד'!A33,'מיטב דש'!A:G,5,0)+VLOOKUP('תפוקה מצטברת מול אשתקד'!A33,אינפניטי!A:G,5,0)</f>
        <v>0</v>
      </c>
      <c r="J33" s="58">
        <f>VLOOKUP(A33,הכשרה!A:G,6,0)+VLOOKUP('תפוקה מצטברת מול אשתקד'!A33,מגדל!A:G,6,0)+VLOOKUP('תפוקה מצטברת מול אשתקד'!A33,מנורה!A:G,6,0)+VLOOKUP('תפוקה מצטברת מול אשתקד'!A33,איילון!A:G,6,0)+VLOOKUP(A33,הראל!A:G,6,0)+VLOOKUP('תפוקה מצטברת מול אשתקד'!A33,הפניקס!A:G,6,0)+VLOOKUP('תפוקה מצטברת מול אשתקד'!A33,כלל!A:G,6,0)+VLOOKUP('תפוקה מצטברת מול אשתקד'!A33,מור!A:G,6,0)+VLOOKUP('תפוקה מצטברת מול אשתקד'!A33,'אלטשולר שחם'!A:G,6,0)+VLOOKUP('תפוקה מצטברת מול אשתקד'!A33,'מדיהו '!A:G,6,0)+VLOOKUP('תפוקה מצטברת מול אשתקד'!A33,'אנליסט '!A:G,6,0)+VLOOKUP('תפוקה מצטברת מול אשתקד'!A33,'מיטב דש'!A:G,6,0)+VLOOKUP('תפוקה מצטברת מול אשתקד'!A33,אינפניטי!A:G,6,0)</f>
        <v>0</v>
      </c>
      <c r="K33" s="58">
        <f>VLOOKUP(A33,הכשרה!A:G,7,0)+VLOOKUP('תפוקה מצטברת מול אשתקד'!A33,מגדל!A:G,7,0)+VLOOKUP('תפוקה מצטברת מול אשתקד'!A33,מנורה!A:G,7,0)+VLOOKUP('תפוקה מצטברת מול אשתקד'!A33,איילון!A:G,7,0)+VLOOKUP('תפוקה מצטברת מול אשתקד'!A33,הראל!A:G,7,0)+VLOOKUP('תפוקה מצטברת מול אשתקד'!A33,הפניקס!A:G,7,0)+VLOOKUP('תפוקה מצטברת מול אשתקד'!A33,כלל!A:G,7,0)+VLOOKUP('תפוקה מצטברת מול אשתקד'!A33,מור!A:G,7,0)+VLOOKUP('תפוקה מצטברת מול אשתקד'!A33,'אלטשולר שחם'!A:G,7,0)+VLOOKUP('תפוקה מצטברת מול אשתקד'!A33,'מדיהו '!A:K,7,0)+VLOOKUP(A33,'אנליסט '!A:G,7,0)+VLOOKUP('תפוקה מצטברת מול אשתקד'!A33,'מיטב דש'!A:G,7,0)+VLOOKUP('תפוקה מצטברת מול אשתקד'!A33,אינפניטי!A:G,7,0)</f>
        <v>0</v>
      </c>
      <c r="L33" s="12">
        <f>VLOOKUP(A33,הכשרה!A:K,8,0)+VLOOKUP('תפוקה מצטברת מול אשתקד'!A33,מגדל!A:K,8,0)+VLOOKUP('תפוקה מצטברת מול אשתקד'!A33,מנורה!A:K,8,0)+VLOOKUP('תפוקה מצטברת מול אשתקד'!A33,איילון!A:K,8,0)+VLOOKUP('תפוקה מצטברת מול אשתקד'!A33,הראל!A:K,8,0)+VLOOKUP('תפוקה מצטברת מול אשתקד'!A33,הפניקס!A:K,8,0)+VLOOKUP('תפוקה מצטברת מול אשתקד'!A33,כלל!A:K,8,0)+VLOOKUP('תפוקה מצטברת מול אשתקד'!A33,מור!A:K,8,0)+VLOOKUP('תפוקה מצטברת מול אשתקד'!A33,'אלטשולר שחם'!A:K,8,0)+VLOOKUP('תפוקה מצטברת מול אשתקד'!A33,'מדיהו '!A:K,8,0)+VLOOKUP('תפוקה מצטברת מול אשתקד'!A33,'אנליסט '!A:K,8,0)+VLOOKUP('תפוקה מצטברת מול אשתקד'!A33,'מיטב דש'!A:K,8,0)+VLOOKUP('תפוקה מצטברת מול אשתקד'!A33,אינפניטי!A:K,8,0)</f>
        <v>0</v>
      </c>
      <c r="M33" s="12">
        <f>VLOOKUP(A33,הכשרה!A:K,9,0)+VLOOKUP('תפוקה מצטברת מול אשתקד'!A33,מגדל!A:K,9,0)+VLOOKUP('תפוקה מצטברת מול אשתקד'!A33,מנורה!A:K,9,0)+VLOOKUP('תפוקה מצטברת מול אשתקד'!A33,איילון!A:K,9,0)+VLOOKUP('תפוקה מצטברת מול אשתקד'!A33,הראל!A:K,9,0)+VLOOKUP('תפוקה מצטברת מול אשתקד'!A33,הפניקס!A:K,9,0)+VLOOKUP('תפוקה מצטברת מול אשתקד'!A33,כלל!A:K,9,0)+VLOOKUP('תפוקה מצטברת מול אשתקד'!A33,מור!A:K,9,0)+VLOOKUP('תפוקה מצטברת מול אשתקד'!A33,'אלטשולר שחם'!A:K,9,0)+VLOOKUP('תפוקה מצטברת מול אשתקד'!A33,'מדיהו '!A:K,9,0)+VLOOKUP('תפוקה מצטברת מול אשתקד'!A33,'אנליסט '!A:K,9,0)+VLOOKUP('תפוקה מצטברת מול אשתקד'!A33,'מיטב דש'!A:K,9,0)+VLOOKUP('תפוקה מצטברת מול אשתקד'!A33,אינפניטי!A:K,9,0)</f>
        <v>7.45</v>
      </c>
      <c r="N33" s="12">
        <f>VLOOKUP(A33,הכשרה!A:K,10,0)+VLOOKUP('תפוקה מצטברת מול אשתקד'!A33,מגדל!A:K,10,0)+VLOOKUP('תפוקה מצטברת מול אשתקד'!A33,מנורה!A:K,10,0)+VLOOKUP('תפוקה מצטברת מול אשתקד'!A33,איילון!A:K,10,0)+VLOOKUP('תפוקה מצטברת מול אשתקד'!A33,הראל!A:K,10,0)+VLOOKUP('תפוקה מצטברת מול אשתקד'!A33,הפניקס!A:K,10,0)+VLOOKUP('תפוקה מצטברת מול אשתקד'!A33,כלל!A:K,10,0)+VLOOKUP('תפוקה מצטברת מול אשתקד'!A33,מור!A:K,10,0)+VLOOKUP('תפוקה מצטברת מול אשתקד'!A33,'אלטשולר שחם'!A:K,10,0)+VLOOKUP('תפוקה מצטברת מול אשתקד'!A33,'מדיהו '!A:K,10,0)+VLOOKUP('תפוקה מצטברת מול אשתקד'!A33,'אנליסט '!A:K,10,0)+VLOOKUP('תפוקה מצטברת מול אשתקד'!A33,'מיטב דש'!A:K,10,0)+VLOOKUP('תפוקה מצטברת מול אשתקד'!A33,אינפניטי!A:K,10,0)</f>
        <v>0</v>
      </c>
      <c r="O33" s="12">
        <f>VLOOKUP(A33,הכשרה!A:K,11,0)+VLOOKUP('תפוקה מצטברת מול אשתקד'!A33,מגדל!A:K,11,0)+VLOOKUP('תפוקה מצטברת מול אשתקד'!A33,מנורה!A:K,11,0)+VLOOKUP('תפוקה מצטברת מול אשתקד'!A33,איילון!A:K,11,0)+VLOOKUP('תפוקה מצטברת מול אשתקד'!A33,הראל!A:K,11,0)+VLOOKUP('תפוקה מצטברת מול אשתקד'!A33,הפניקס!A:K,11,0)+VLOOKUP('תפוקה מצטברת מול אשתקד'!A33,כלל!A:K,11,0)+VLOOKUP('תפוקה מצטברת מול אשתקד'!A33,מור!A:K,11,0)+VLOOKUP('תפוקה מצטברת מול אשתקד'!A33,'אלטשולר שחם'!A:K,11,0)+VLOOKUP('תפוקה מצטברת מול אשתקד'!A33,'מדיהו '!A:K,11,0)+VLOOKUP('תפוקה מצטברת מול אשתקד'!A33,'אנליסט '!A:K,11,0)+VLOOKUP('תפוקה מצטברת מול אשתקד'!A33,'מיטב דש'!A:K,11,0)+VLOOKUP('תפוקה מצטברת מול אשתקד'!A33,אינפניטי!A:K,11,0)</f>
        <v>0</v>
      </c>
    </row>
    <row r="34" spans="1:15" ht="15.75" customHeight="1" x14ac:dyDescent="0.25">
      <c r="A34" s="26" t="s">
        <v>24</v>
      </c>
      <c r="B34" s="26" t="s">
        <v>56</v>
      </c>
      <c r="C34" s="27" t="s">
        <v>107</v>
      </c>
      <c r="D34" s="19">
        <f t="shared" si="0"/>
        <v>0</v>
      </c>
      <c r="E34" s="19">
        <f t="shared" si="0"/>
        <v>-14.053267575280339</v>
      </c>
      <c r="F34" s="19">
        <f t="shared" si="0"/>
        <v>0</v>
      </c>
      <c r="G34" s="19">
        <f t="shared" si="7"/>
        <v>0</v>
      </c>
      <c r="H34" s="58">
        <f>VLOOKUP(A34,הכשרה!A:G,4,0)+VLOOKUP('תפוקה מצטברת מול אשתקד'!A34,מגדל!A:G,4,0)+VLOOKUP('תפוקה מצטברת מול אשתקד'!A34,מנורה!A:G,4,0)+VLOOKUP('תפוקה מצטברת מול אשתקד'!A34,איילון!A:G,4,0)+VLOOKUP('תפוקה מצטברת מול אשתקד'!A34,הראל!A:G,4,0)+VLOOKUP('תפוקה מצטברת מול אשתקד'!A34,הפניקס!A:G,4,0)+VLOOKUP('תפוקה מצטברת מול אשתקד'!A34,כלל!A:G,4,0)+VLOOKUP('תפוקה מצטברת מול אשתקד'!A34,מור!A:G,4,0)+VLOOKUP('תפוקה מצטברת מול אשתקד'!A34,'אלטשולר שחם'!A:G,4,0)+VLOOKUP('תפוקה מצטברת מול אשתקד'!A34,'מדיהו '!A:G,4,0)+VLOOKUP('תפוקה מצטברת מול אשתקד'!A34,'אנליסט '!A:G,4,0)+VLOOKUP('תפוקה מצטברת מול אשתקד'!A34,'מיטב דש'!A:G,4,0)+VLOOKUP('תפוקה מצטברת מול אשתקד'!A34,אינפניטי!A:G,4,0)</f>
        <v>0</v>
      </c>
      <c r="I34" s="58">
        <f>VLOOKUP(A34,הכשרה!A:G,5,0)+VLOOKUP('תפוקה מצטברת מול אשתקד'!A34,מגדל!A:G,5,0)+VLOOKUP('תפוקה מצטברת מול אשתקד'!A34,מנורה!A:G,5,0)+VLOOKUP('תפוקה מצטברת מול אשתקד'!A34,איילון!A:G,5,0)+VLOOKUP('תפוקה מצטברת מול אשתקד'!A34,הראל!A:G,5,0)+VLOOKUP('תפוקה מצטברת מול אשתקד'!A34,הפניקס!A:G,5,0)+VLOOKUP('תפוקה מצטברת מול אשתקד'!A34,כלל!A:G,5,0)+VLOOKUP('תפוקה מצטברת מול אשתקד'!A34,מור!A:G,5,0)+VLOOKUP('תפוקה מצטברת מול אשתקד'!A34,'אלטשולר שחם'!A:G,5,0)+VLOOKUP('תפוקה מצטברת מול אשתקד'!A34,'מדיהו '!A:G,5,0)+VLOOKUP('תפוקה מצטברת מול אשתקד'!A34,'אנליסט '!A:G,5,0)+VLOOKUP('תפוקה מצטברת מול אשתקד'!A34,'מיטב דש'!A:G,5,0)+VLOOKUP('תפוקה מצטברת מול אשתקד'!A34,אינפניטי!A:G,5,0)</f>
        <v>6614.1689999999999</v>
      </c>
      <c r="J34" s="58">
        <f>VLOOKUP(A34,הכשרה!A:G,6,0)+VLOOKUP('תפוקה מצטברת מול אשתקד'!A34,מגדל!A:G,6,0)+VLOOKUP('תפוקה מצטברת מול אשתקד'!A34,מנורה!A:G,6,0)+VLOOKUP('תפוקה מצטברת מול אשתקד'!A34,איילון!A:G,6,0)+VLOOKUP(A34,הראל!A:G,6,0)+VLOOKUP('תפוקה מצטברת מול אשתקד'!A34,הפניקס!A:G,6,0)+VLOOKUP('תפוקה מצטברת מול אשתקד'!A34,כלל!A:G,6,0)+VLOOKUP('תפוקה מצטברת מול אשתקד'!A34,מור!A:G,6,0)+VLOOKUP('תפוקה מצטברת מול אשתקד'!A34,'אלטשולר שחם'!A:G,6,0)+VLOOKUP('תפוקה מצטברת מול אשתקד'!A34,'מדיהו '!A:G,6,0)+VLOOKUP('תפוקה מצטברת מול אשתקד'!A34,'אנליסט '!A:G,6,0)+VLOOKUP('תפוקה מצטברת מול אשתקד'!A34,'מיטב דש'!A:G,6,0)+VLOOKUP('תפוקה מצטברת מול אשתקד'!A34,אינפניטי!A:G,6,0)</f>
        <v>0</v>
      </c>
      <c r="K34" s="58">
        <f>VLOOKUP(A34,הכשרה!A:G,7,0)+VLOOKUP('תפוקה מצטברת מול אשתקד'!A34,מגדל!A:G,7,0)+VLOOKUP('תפוקה מצטברת מול אשתקד'!A34,מנורה!A:G,7,0)+VLOOKUP('תפוקה מצטברת מול אשתקד'!A34,איילון!A:G,7,0)+VLOOKUP('תפוקה מצטברת מול אשתקד'!A34,הראל!A:G,7,0)+VLOOKUP('תפוקה מצטברת מול אשתקד'!A34,הפניקס!A:G,7,0)+VLOOKUP('תפוקה מצטברת מול אשתקד'!A34,כלל!A:G,7,0)+VLOOKUP('תפוקה מצטברת מול אשתקד'!A34,מור!A:G,7,0)+VLOOKUP('תפוקה מצטברת מול אשתקד'!A34,'אלטשולר שחם'!A:G,7,0)+VLOOKUP('תפוקה מצטברת מול אשתקד'!A34,'מדיהו '!A:K,7,0)+VLOOKUP(A34,'אנליסט '!A:G,7,0)+VLOOKUP('תפוקה מצטברת מול אשתקד'!A34,'מיטב דש'!A:G,7,0)+VLOOKUP('תפוקה מצטברת מול אשתקד'!A34,אינפניטי!A:G,7,0)</f>
        <v>0</v>
      </c>
      <c r="L34" s="12">
        <f>VLOOKUP(A34,הכשרה!A:K,8,0)+VLOOKUP('תפוקה מצטברת מול אשתקד'!A34,מגדל!A:K,8,0)+VLOOKUP('תפוקה מצטברת מול אשתקד'!A34,מנורה!A:K,8,0)+VLOOKUP('תפוקה מצטברת מול אשתקד'!A34,איילון!A:K,8,0)+VLOOKUP('תפוקה מצטברת מול אשתקד'!A34,הראל!A:K,8,0)+VLOOKUP('תפוקה מצטברת מול אשתקד'!A34,הפניקס!A:K,8,0)+VLOOKUP('תפוקה מצטברת מול אשתקד'!A34,כלל!A:K,8,0)+VLOOKUP('תפוקה מצטברת מול אשתקד'!A34,מור!A:K,8,0)+VLOOKUP('תפוקה מצטברת מול אשתקד'!A34,'אלטשולר שחם'!A:K,8,0)+VLOOKUP('תפוקה מצטברת מול אשתקד'!A34,'מדיהו '!A:K,8,0)+VLOOKUP('תפוקה מצטברת מול אשתקד'!A34,'אנליסט '!A:K,8,0)+VLOOKUP('תפוקה מצטברת מול אשתקד'!A34,'מיטב דש'!A:K,8,0)+VLOOKUP('תפוקה מצטברת מול אשתקד'!A34,אינפניטי!A:K,8,0)</f>
        <v>0</v>
      </c>
      <c r="M34" s="12">
        <f>VLOOKUP(A34,הכשרה!A:K,9,0)+VLOOKUP('תפוקה מצטברת מול אשתקד'!A34,מגדל!A:K,9,0)+VLOOKUP('תפוקה מצטברת מול אשתקד'!A34,מנורה!A:K,9,0)+VLOOKUP('תפוקה מצטברת מול אשתקד'!A34,איילון!A:K,9,0)+VLOOKUP('תפוקה מצטברת מול אשתקד'!A34,הראל!A:K,9,0)+VLOOKUP('תפוקה מצטברת מול אשתקד'!A34,הפניקס!A:K,9,0)+VLOOKUP('תפוקה מצטברת מול אשתקד'!A34,כלל!A:K,9,0)+VLOOKUP('תפוקה מצטברת מול אשתקד'!A34,מור!A:K,9,0)+VLOOKUP('תפוקה מצטברת מול אשתקד'!A34,'אלטשולר שחם'!A:K,9,0)+VLOOKUP('תפוקה מצטברת מול אשתקד'!A34,'מדיהו '!A:K,9,0)+VLOOKUP('תפוקה מצטברת מול אשתקד'!A34,'אנליסט '!A:K,9,0)+VLOOKUP('תפוקה מצטברת מול אשתקד'!A34,'מיטב דש'!A:K,9,0)+VLOOKUP('תפוקה מצטברת מול אשתקד'!A34,אינפניטי!A:K,9,0)</f>
        <v>-506.70600000000002</v>
      </c>
      <c r="N34" s="12">
        <f>VLOOKUP(A34,הכשרה!A:K,10,0)+VLOOKUP('תפוקה מצטברת מול אשתקד'!A34,מגדל!A:K,10,0)+VLOOKUP('תפוקה מצטברת מול אשתקד'!A34,מנורה!A:K,10,0)+VLOOKUP('תפוקה מצטברת מול אשתקד'!A34,איילון!A:K,10,0)+VLOOKUP('תפוקה מצטברת מול אשתקד'!A34,הראל!A:K,10,0)+VLOOKUP('תפוקה מצטברת מול אשתקד'!A34,הפניקס!A:K,10,0)+VLOOKUP('תפוקה מצטברת מול אשתקד'!A34,כלל!A:K,10,0)+VLOOKUP('תפוקה מצטברת מול אשתקד'!A34,מור!A:K,10,0)+VLOOKUP('תפוקה מצטברת מול אשתקד'!A34,'אלטשולר שחם'!A:K,10,0)+VLOOKUP('תפוקה מצטברת מול אשתקד'!A34,'מדיהו '!A:K,10,0)+VLOOKUP('תפוקה מצטברת מול אשתקד'!A34,'אנליסט '!A:K,10,0)+VLOOKUP('תפוקה מצטברת מול אשתקד'!A34,'מיטב דש'!A:K,10,0)+VLOOKUP('תפוקה מצטברת מול אשתקד'!A34,אינפניטי!A:K,10,0)</f>
        <v>0</v>
      </c>
      <c r="O34" s="12">
        <f>VLOOKUP(A34,הכשרה!A:K,11,0)+VLOOKUP('תפוקה מצטברת מול אשתקד'!A34,מגדל!A:K,11,0)+VLOOKUP('תפוקה מצטברת מול אשתקד'!A34,מנורה!A:K,11,0)+VLOOKUP('תפוקה מצטברת מול אשתקד'!A34,איילון!A:K,11,0)+VLOOKUP('תפוקה מצטברת מול אשתקד'!A34,הראל!A:K,11,0)+VLOOKUP('תפוקה מצטברת מול אשתקד'!A34,הפניקס!A:K,11,0)+VLOOKUP('תפוקה מצטברת מול אשתקד'!A34,כלל!A:K,11,0)+VLOOKUP('תפוקה מצטברת מול אשתקד'!A34,מור!A:K,11,0)+VLOOKUP('תפוקה מצטברת מול אשתקד'!A34,'אלטשולר שחם'!A:K,11,0)+VLOOKUP('תפוקה מצטברת מול אשתקד'!A34,'מדיהו '!A:K,11,0)+VLOOKUP('תפוקה מצטברת מול אשתקד'!A34,'אנליסט '!A:K,11,0)+VLOOKUP('תפוקה מצטברת מול אשתקד'!A34,'מיטב דש'!A:K,11,0)+VLOOKUP('תפוקה מצטברת מול אשתקד'!A34,אינפניטי!A:K,11,0)</f>
        <v>0</v>
      </c>
    </row>
    <row r="35" spans="1:15" ht="15.75" customHeight="1" x14ac:dyDescent="0.25">
      <c r="A35" s="30" t="s">
        <v>25</v>
      </c>
      <c r="B35" s="26" t="s">
        <v>56</v>
      </c>
      <c r="C35" s="27" t="s">
        <v>107</v>
      </c>
      <c r="D35" s="19">
        <f t="shared" si="0"/>
        <v>0.31022120960166744</v>
      </c>
      <c r="E35" s="19">
        <f t="shared" si="0"/>
        <v>-0.41942988442271567</v>
      </c>
      <c r="F35" s="19">
        <f t="shared" si="0"/>
        <v>-0.67213943973472468</v>
      </c>
      <c r="G35" s="19">
        <f t="shared" si="7"/>
        <v>-0.80415403831701515</v>
      </c>
      <c r="H35" s="58">
        <f>VLOOKUP(A35,הכשרה!A:G,4,0)+VLOOKUP('תפוקה מצטברת מול אשתקד'!A35,מגדל!A:G,4,0)+VLOOKUP('תפוקה מצטברת מול אשתקד'!A35,מנורה!A:G,4,0)+VLOOKUP('תפוקה מצטברת מול אשתקד'!A35,איילון!A:G,4,0)+VLOOKUP('תפוקה מצטברת מול אשתקד'!A35,הראל!A:G,4,0)+VLOOKUP('תפוקה מצטברת מול אשתקד'!A35,הפניקס!A:G,4,0)+VLOOKUP('תפוקה מצטברת מול אשתקד'!A35,כלל!A:G,4,0)+VLOOKUP('תפוקה מצטברת מול אשתקד'!A35,מור!A:G,4,0)+VLOOKUP('תפוקה מצטברת מול אשתקד'!A35,'אלטשולר שחם'!A:G,4,0)+VLOOKUP('תפוקה מצטברת מול אשתקד'!A35,'מדיהו '!A:G,4,0)+VLOOKUP('תפוקה מצטברת מול אשתקד'!A35,'אנליסט '!A:G,4,0)+VLOOKUP('תפוקה מצטברת מול אשתקד'!A35,'מיטב דש'!A:G,4,0)+VLOOKUP('תפוקה מצטברת מול אשתקד'!A35,אינפניטי!A:G,4,0)</f>
        <v>1675101.9178027797</v>
      </c>
      <c r="I35" s="58">
        <f>VLOOKUP(A35,הכשרה!A:G,5,0)+VLOOKUP('תפוקה מצטברת מול אשתקד'!A35,מגדל!A:G,5,0)+VLOOKUP('תפוקה מצטברת מול אשתקד'!A35,מנורה!A:G,5,0)+VLOOKUP('תפוקה מצטברת מול אשתקד'!A35,איילון!A:G,5,0)+VLOOKUP('תפוקה מצטברת מול אשתקד'!A35,הראל!A:G,5,0)+VLOOKUP('תפוקה מצטברת מול אשתקד'!A35,הפניקס!A:G,5,0)+VLOOKUP('תפוקה מצטברת מול אשתקד'!A35,כלל!A:G,5,0)+VLOOKUP('תפוקה מצטברת מול אשתקד'!A35,מור!A:G,5,0)+VLOOKUP('תפוקה מצטברת מול אשתקד'!A35,'אלטשולר שחם'!A:G,5,0)+VLOOKUP('תפוקה מצטברת מול אשתקד'!A35,'מדיהו '!A:G,5,0)+VLOOKUP('תפוקה מצטברת מול אשתקד'!A35,'אנליסט '!A:G,5,0)+VLOOKUP('תפוקה מצטברת מול אשתקד'!A35,'מיטב דש'!A:G,5,0)+VLOOKUP('תפוקה מצטברת מול אשתקד'!A35,אינפניטי!A:G,5,0)</f>
        <v>191973.7551223443</v>
      </c>
      <c r="J35" s="58">
        <f>VLOOKUP(A35,הכשרה!A:G,6,0)+VLOOKUP('תפוקה מצטברת מול אשתקד'!A35,מגדל!A:G,6,0)+VLOOKUP('תפוקה מצטברת מול אשתקד'!A35,מנורה!A:G,6,0)+VLOOKUP('תפוקה מצטברת מול אשתקד'!A35,איילון!A:G,6,0)+VLOOKUP(A35,הראל!A:G,6,0)+VLOOKUP('תפוקה מצטברת מול אשתקד'!A35,הפניקס!A:G,6,0)+VLOOKUP('תפוקה מצטברת מול אשתקד'!A35,כלל!A:G,6,0)+VLOOKUP('תפוקה מצטברת מול אשתקד'!A35,מור!A:G,6,0)+VLOOKUP('תפוקה מצטברת מול אשתקד'!A35,'אלטשולר שחם'!A:G,6,0)+VLOOKUP('תפוקה מצטברת מול אשתקד'!A35,'מדיהו '!A:G,6,0)+VLOOKUP('תפוקה מצטברת מול אשתקד'!A35,'אנליסט '!A:G,6,0)+VLOOKUP('תפוקה מצטברת מול אשתקד'!A35,'מיטב דש'!A:G,6,0)+VLOOKUP('תפוקה מצטברת מול אשתקד'!A35,אינפניטי!A:G,6,0)</f>
        <v>1826828.34938931</v>
      </c>
      <c r="K35" s="58">
        <f>VLOOKUP(A35,הכשרה!A:G,7,0)+VLOOKUP('תפוקה מצטברת מול אשתקד'!A35,מגדל!A:G,7,0)+VLOOKUP('תפוקה מצטברת מול אשתקד'!A35,מנורה!A:G,7,0)+VLOOKUP('תפוקה מצטברת מול אשתקד'!A35,איילון!A:G,7,0)+VLOOKUP('תפוקה מצטברת מול אשתקד'!A35,הראל!A:G,7,0)+VLOOKUP('תפוקה מצטברת מול אשתקד'!A35,הפניקס!A:G,7,0)+VLOOKUP('תפוקה מצטברת מול אשתקד'!A35,כלל!A:G,7,0)+VLOOKUP('תפוקה מצטברת מול אשתקד'!A35,מור!A:G,7,0)+VLOOKUP('תפוקה מצטברת מול אשתקד'!A35,'אלטשולר שחם'!A:G,7,0)+VLOOKUP('תפוקה מצטברת מול אשתקד'!A35,'מדיהו '!A:K,7,0)+VLOOKUP(A35,'אנליסט '!A:G,7,0)+VLOOKUP('תפוקה מצטברת מול אשתקד'!A35,'מיטב דש'!A:G,7,0)+VLOOKUP('תפוקה מצטברת מול אשתקד'!A35,אינפניטי!A:G,7,0)</f>
        <v>2486019.21</v>
      </c>
      <c r="L35" s="12">
        <f>VLOOKUP(A35,הכשרה!A:K,8,0)+VLOOKUP('תפוקה מצטברת מול אשתקד'!A35,מגדל!A:K,8,0)+VLOOKUP('תפוקה מצטברת מול אשתקד'!A35,מנורה!A:K,8,0)+VLOOKUP('תפוקה מצטברת מול אשתקד'!A35,איילון!A:K,8,0)+VLOOKUP('תפוקה מצטברת מול אשתקד'!A35,הראל!A:K,8,0)+VLOOKUP('תפוקה מצטברת מול אשתקד'!A35,הפניקס!A:K,8,0)+VLOOKUP('תפוקה מצטברת מול אשתקד'!A35,כלל!A:K,8,0)+VLOOKUP('תפוקה מצטברת מול אשתקד'!A35,מור!A:K,8,0)+VLOOKUP('תפוקה מצטברת מול אשתקד'!A35,'אלטשולר שחם'!A:K,8,0)+VLOOKUP('תפוקה מצטברת מול אשתקד'!A35,'מדיהו '!A:K,8,0)+VLOOKUP('תפוקה מצטברת מול אשתקד'!A35,'אנליסט '!A:K,8,0)+VLOOKUP('תפוקה מצטברת מול אשתקד'!A35,'מיטב דש'!A:K,8,0)+VLOOKUP('תפוקה מצטברת מול אשתקד'!A35,אינפניטי!A:K,8,0)</f>
        <v>1278487.8656574665</v>
      </c>
      <c r="M35" s="12">
        <f>VLOOKUP(A35,הכשרה!A:K,9,0)+VLOOKUP('תפוקה מצטברת מול אשתקד'!A35,מגדל!A:K,9,0)+VLOOKUP('תפוקה מצטברת מול אשתקד'!A35,מנורה!A:K,9,0)+VLOOKUP('תפוקה מצטברת מול אשתקד'!A35,איילון!A:K,9,0)+VLOOKUP('תפוקה מצטברת מול אשתקד'!A35,הראל!A:K,9,0)+VLOOKUP('תפוקה מצטברת מול אשתקד'!A35,הפניקס!A:K,9,0)+VLOOKUP('תפוקה מצטברת מול אשתקד'!A35,כלל!A:K,9,0)+VLOOKUP('תפוקה מצטברת מול אשתקד'!A35,מור!A:K,9,0)+VLOOKUP('תפוקה מצטברת מול אשתקד'!A35,'אלטשולר שחם'!A:K,9,0)+VLOOKUP('תפוקה מצטברת מול אשתקד'!A35,'מדיהו '!A:K,9,0)+VLOOKUP('תפוקה מצטברת מול אשתקד'!A35,'אנליסט '!A:K,9,0)+VLOOKUP('תפוקה מצטברת מול אשתקד'!A35,'מיטב דש'!A:K,9,0)+VLOOKUP('תפוקה מצטברת מול אשתקד'!A35,אינפניטי!A:K,9,0)</f>
        <v>330664.20398069755</v>
      </c>
      <c r="N35" s="12">
        <f>VLOOKUP(A35,הכשרה!A:K,10,0)+VLOOKUP('תפוקה מצטברת מול אשתקד'!A35,מגדל!A:K,10,0)+VLOOKUP('תפוקה מצטברת מול אשתקד'!A35,מנורה!A:K,10,0)+VLOOKUP('תפוקה מצטברת מול אשתקד'!A35,איילון!A:K,10,0)+VLOOKUP('תפוקה מצטברת מול אשתקד'!A35,הראל!A:K,10,0)+VLOOKUP('תפוקה מצטברת מול אשתקד'!A35,הפניקס!A:K,10,0)+VLOOKUP('תפוקה מצטברת מול אשתקד'!A35,כלל!A:K,10,0)+VLOOKUP('תפוקה מצטברת מול אשתקד'!A35,מור!A:K,10,0)+VLOOKUP('תפוקה מצטברת מול אשתקד'!A35,'אלטשולר שחם'!A:K,10,0)+VLOOKUP('תפוקה מצטברת מול אשתקד'!A35,'מדיהו '!A:K,10,0)+VLOOKUP('תפוקה מצטברת מול אשתקד'!A35,'אנליסט '!A:K,10,0)+VLOOKUP('תפוקה מצטברת מול אשתקד'!A35,'מיטב דש'!A:K,10,0)+VLOOKUP('תפוקה מצטברת מול אשתקד'!A35,אינפניטי!A:K,10,0)</f>
        <v>5571967.3873283342</v>
      </c>
      <c r="O35" s="12">
        <f>VLOOKUP(A35,הכשרה!A:K,11,0)+VLOOKUP('תפוקה מצטברת מול אשתקד'!A35,מגדל!A:K,11,0)+VLOOKUP('תפוקה מצטברת מול אשתקד'!A35,מנורה!A:K,11,0)+VLOOKUP('תפוקה מצטברת מול אשתקד'!A35,איילון!A:K,11,0)+VLOOKUP('תפוקה מצטברת מול אשתקד'!A35,הראל!A:K,11,0)+VLOOKUP('תפוקה מצטברת מול אשתקד'!A35,הפניקס!A:K,11,0)+VLOOKUP('תפוקה מצטברת מול אשתקד'!A35,כלל!A:K,11,0)+VLOOKUP('תפוקה מצטברת מול אשתקד'!A35,מור!A:K,11,0)+VLOOKUP('תפוקה מצטברת מול אשתקד'!A35,'אלטשולר שחם'!A:K,11,0)+VLOOKUP('תפוקה מצטברת מול אשתקד'!A35,'מדיהו '!A:K,11,0)+VLOOKUP('תפוקה מצטברת מול אשתקד'!A35,'אנליסט '!A:K,11,0)+VLOOKUP('תפוקה מצטברת מול אשתקד'!A35,'מיטב דש'!A:K,11,0)+VLOOKUP('תפוקה מצטברת מול אשתקד'!A35,אינפניטי!A:K,11,0)</f>
        <v>12693747.619999999</v>
      </c>
    </row>
    <row r="36" spans="1:15" ht="15.75" customHeight="1" x14ac:dyDescent="0.25">
      <c r="A36" s="26" t="s">
        <v>26</v>
      </c>
      <c r="B36" s="26" t="s">
        <v>56</v>
      </c>
      <c r="C36" s="27" t="s">
        <v>107</v>
      </c>
      <c r="D36" s="19">
        <f t="shared" si="0"/>
        <v>-0.53638800757519867</v>
      </c>
      <c r="E36" s="19">
        <f t="shared" si="0"/>
        <v>0</v>
      </c>
      <c r="F36" s="19">
        <f t="shared" si="0"/>
        <v>0</v>
      </c>
      <c r="G36" s="19">
        <f t="shared" si="7"/>
        <v>0</v>
      </c>
      <c r="H36" s="58">
        <f>VLOOKUP(A36,הכשרה!A:G,4,0)+VLOOKUP('תפוקה מצטברת מול אשתקד'!A36,מגדל!A:G,4,0)+VLOOKUP('תפוקה מצטברת מול אשתקד'!A36,מנורה!A:G,4,0)+VLOOKUP('תפוקה מצטברת מול אשתקד'!A36,איילון!A:G,4,0)+VLOOKUP('תפוקה מצטברת מול אשתקד'!A36,הראל!A:G,4,0)+VLOOKUP('תפוקה מצטברת מול אשתקד'!A36,הפניקס!A:G,4,0)+VLOOKUP('תפוקה מצטברת מול אשתקד'!A36,כלל!A:G,4,0)+VLOOKUP('תפוקה מצטברת מול אשתקד'!A36,מור!A:G,4,0)+VLOOKUP('תפוקה מצטברת מול אשתקד'!A36,'אלטשולר שחם'!A:G,4,0)+VLOOKUP('תפוקה מצטברת מול אשתקד'!A36,'מדיהו '!A:G,4,0)+VLOOKUP('תפוקה מצטברת מול אשתקד'!A36,'אנליסט '!A:G,4,0)+VLOOKUP('תפוקה מצטברת מול אשתקד'!A36,'מיטב דש'!A:G,4,0)+VLOOKUP('תפוקה מצטברת מול אשתקד'!A36,אינפניטי!A:G,4,0)</f>
        <v>2262</v>
      </c>
      <c r="I36" s="58">
        <f>VLOOKUP(A36,הכשרה!A:G,5,0)+VLOOKUP('תפוקה מצטברת מול אשתקד'!A36,מגדל!A:G,5,0)+VLOOKUP('תפוקה מצטברת מול אשתקד'!A36,מנורה!A:G,5,0)+VLOOKUP('תפוקה מצטברת מול אשתקד'!A36,איילון!A:G,5,0)+VLOOKUP('תפוקה מצטברת מול אשתקד'!A36,הראל!A:G,5,0)+VLOOKUP('תפוקה מצטברת מול אשתקד'!A36,הפניקס!A:G,5,0)+VLOOKUP('תפוקה מצטברת מול אשתקד'!A36,כלל!A:G,5,0)+VLOOKUP('תפוקה מצטברת מול אשתקד'!A36,מור!A:G,5,0)+VLOOKUP('תפוקה מצטברת מול אשתקד'!A36,'אלטשולר שחם'!A:G,5,0)+VLOOKUP('תפוקה מצטברת מול אשתקד'!A36,'מדיהו '!A:G,5,0)+VLOOKUP('תפוקה מצטברת מול אשתקד'!A36,'אנליסט '!A:G,5,0)+VLOOKUP('תפוקה מצטברת מול אשתקד'!A36,'מיטב דש'!A:G,5,0)+VLOOKUP('תפוקה מצטברת מול אשתקד'!A36,אינפניטי!A:G,5,0)</f>
        <v>0</v>
      </c>
      <c r="J36" s="58">
        <f>VLOOKUP(A36,הכשרה!A:G,6,0)+VLOOKUP('תפוקה מצטברת מול אשתקד'!A36,מגדל!A:G,6,0)+VLOOKUP('תפוקה מצטברת מול אשתקד'!A36,מנורה!A:G,6,0)+VLOOKUP('תפוקה מצטברת מול אשתקד'!A36,איילון!A:G,6,0)+VLOOKUP(A36,הראל!A:G,6,0)+VLOOKUP('תפוקה מצטברת מול אשתקד'!A36,הפניקס!A:G,6,0)+VLOOKUP('תפוקה מצטברת מול אשתקד'!A36,כלל!A:G,6,0)+VLOOKUP('תפוקה מצטברת מול אשתקד'!A36,מור!A:G,6,0)+VLOOKUP('תפוקה מצטברת מול אשתקד'!A36,'אלטשולר שחם'!A:G,6,0)+VLOOKUP('תפוקה מצטברת מול אשתקד'!A36,'מדיהו '!A:G,6,0)+VLOOKUP('תפוקה מצטברת מול אשתקד'!A36,'אנליסט '!A:G,6,0)+VLOOKUP('תפוקה מצטברת מול אשתקד'!A36,'מיטב דש'!A:G,6,0)+VLOOKUP('תפוקה מצטברת מול אשתקד'!A36,אינפניטי!A:G,6,0)</f>
        <v>0</v>
      </c>
      <c r="K36" s="58">
        <f>VLOOKUP(A36,הכשרה!A:G,7,0)+VLOOKUP('תפוקה מצטברת מול אשתקד'!A36,מגדל!A:G,7,0)+VLOOKUP('תפוקה מצטברת מול אשתקד'!A36,מנורה!A:G,7,0)+VLOOKUP('תפוקה מצטברת מול אשתקד'!A36,איילון!A:G,7,0)+VLOOKUP('תפוקה מצטברת מול אשתקד'!A36,הראל!A:G,7,0)+VLOOKUP('תפוקה מצטברת מול אשתקד'!A36,הפניקס!A:G,7,0)+VLOOKUP('תפוקה מצטברת מול אשתקד'!A36,כלל!A:G,7,0)+VLOOKUP('תפוקה מצטברת מול אשתקד'!A36,מור!A:G,7,0)+VLOOKUP('תפוקה מצטברת מול אשתקד'!A36,'אלטשולר שחם'!A:G,7,0)+VLOOKUP('תפוקה מצטברת מול אשתקד'!A36,'מדיהו '!A:K,7,0)+VLOOKUP(A36,'אנליסט '!A:G,7,0)+VLOOKUP('תפוקה מצטברת מול אשתקד'!A36,'מיטב דש'!A:G,7,0)+VLOOKUP('תפוקה מצטברת מול אשתקד'!A36,אינפניטי!A:G,7,0)</f>
        <v>0</v>
      </c>
      <c r="L36" s="12">
        <f>VLOOKUP(A36,הכשרה!A:K,8,0)+VLOOKUP('תפוקה מצטברת מול אשתקד'!A36,מגדל!A:K,8,0)+VLOOKUP('תפוקה מצטברת מול אשתקד'!A36,מנורה!A:K,8,0)+VLOOKUP('תפוקה מצטברת מול אשתקד'!A36,איילון!A:K,8,0)+VLOOKUP('תפוקה מצטברת מול אשתקד'!A36,הראל!A:K,8,0)+VLOOKUP('תפוקה מצטברת מול אשתקד'!A36,הפניקס!A:K,8,0)+VLOOKUP('תפוקה מצטברת מול אשתקד'!A36,כלל!A:K,8,0)+VLOOKUP('תפוקה מצטברת מול אשתקד'!A36,מור!A:K,8,0)+VLOOKUP('תפוקה מצטברת מול אשתקד'!A36,'אלטשולר שחם'!A:K,8,0)+VLOOKUP('תפוקה מצטברת מול אשתקד'!A36,'מדיהו '!A:K,8,0)+VLOOKUP('תפוקה מצטברת מול אשתקד'!A36,'אנליסט '!A:K,8,0)+VLOOKUP('תפוקה מצטברת מול אשתקד'!A36,'מיטב דש'!A:K,8,0)+VLOOKUP('תפוקה מצטברת מול אשתקד'!A36,אינפניטי!A:K,8,0)</f>
        <v>4879.0800000000008</v>
      </c>
      <c r="M36" s="12">
        <f>VLOOKUP(A36,הכשרה!A:K,9,0)+VLOOKUP('תפוקה מצטברת מול אשתקד'!A36,מגדל!A:K,9,0)+VLOOKUP('תפוקה מצטברת מול אשתקד'!A36,מנורה!A:K,9,0)+VLOOKUP('תפוקה מצטברת מול אשתקד'!A36,איילון!A:K,9,0)+VLOOKUP('תפוקה מצטברת מול אשתקד'!A36,הראל!A:K,9,0)+VLOOKUP('תפוקה מצטברת מול אשתקד'!A36,הפניקס!A:K,9,0)+VLOOKUP('תפוקה מצטברת מול אשתקד'!A36,כלל!A:K,9,0)+VLOOKUP('תפוקה מצטברת מול אשתקד'!A36,מור!A:K,9,0)+VLOOKUP('תפוקה מצטברת מול אשתקד'!A36,'אלטשולר שחם'!A:K,9,0)+VLOOKUP('תפוקה מצטברת מול אשתקד'!A36,'מדיהו '!A:K,9,0)+VLOOKUP('תפוקה מצטברת מול אשתקד'!A36,'אנליסט '!A:K,9,0)+VLOOKUP('תפוקה מצטברת מול אשתקד'!A36,'מיטב דש'!A:K,9,0)+VLOOKUP('תפוקה מצטברת מול אשתקד'!A36,אינפניטי!A:K,9,0)</f>
        <v>2887.83</v>
      </c>
      <c r="N36" s="12">
        <f>VLOOKUP(A36,הכשרה!A:K,10,0)+VLOOKUP('תפוקה מצטברת מול אשתקד'!A36,מגדל!A:K,10,0)+VLOOKUP('תפוקה מצטברת מול אשתקד'!A36,מנורה!A:K,10,0)+VLOOKUP('תפוקה מצטברת מול אשתקד'!A36,איילון!A:K,10,0)+VLOOKUP('תפוקה מצטברת מול אשתקד'!A36,הראל!A:K,10,0)+VLOOKUP('תפוקה מצטברת מול אשתקד'!A36,הפניקס!A:K,10,0)+VLOOKUP('תפוקה מצטברת מול אשתקד'!A36,כלל!A:K,10,0)+VLOOKUP('תפוקה מצטברת מול אשתקד'!A36,מור!A:K,10,0)+VLOOKUP('תפוקה מצטברת מול אשתקד'!A36,'אלטשולר שחם'!A:K,10,0)+VLOOKUP('תפוקה מצטברת מול אשתקד'!A36,'מדיהו '!A:K,10,0)+VLOOKUP('תפוקה מצטברת מול אשתקד'!A36,'אנליסט '!A:K,10,0)+VLOOKUP('תפוקה מצטברת מול אשתקד'!A36,'מיטב דש'!A:K,10,0)+VLOOKUP('תפוקה מצטברת מול אשתקד'!A36,אינפניטי!A:K,10,0)</f>
        <v>0</v>
      </c>
      <c r="O36" s="12">
        <f>VLOOKUP(A36,הכשרה!A:K,11,0)+VLOOKUP('תפוקה מצטברת מול אשתקד'!A36,מגדל!A:K,11,0)+VLOOKUP('תפוקה מצטברת מול אשתקד'!A36,מנורה!A:K,11,0)+VLOOKUP('תפוקה מצטברת מול אשתקד'!A36,איילון!A:K,11,0)+VLOOKUP('תפוקה מצטברת מול אשתקד'!A36,הראל!A:K,11,0)+VLOOKUP('תפוקה מצטברת מול אשתקד'!A36,הפניקס!A:K,11,0)+VLOOKUP('תפוקה מצטברת מול אשתקד'!A36,כלל!A:K,11,0)+VLOOKUP('תפוקה מצטברת מול אשתקד'!A36,מור!A:K,11,0)+VLOOKUP('תפוקה מצטברת מול אשתקד'!A36,'אלטשולר שחם'!A:K,11,0)+VLOOKUP('תפוקה מצטברת מול אשתקד'!A36,'מדיהו '!A:K,11,0)+VLOOKUP('תפוקה מצטברת מול אשתקד'!A36,'אנליסט '!A:K,11,0)+VLOOKUP('תפוקה מצטברת מול אשתקד'!A36,'מיטב דש'!A:K,11,0)+VLOOKUP('תפוקה מצטברת מול אשתקד'!A36,אינפניטי!A:K,11,0)</f>
        <v>0</v>
      </c>
    </row>
    <row r="37" spans="1:15" ht="15.75" customHeight="1" x14ac:dyDescent="0.25">
      <c r="A37" s="26" t="s">
        <v>27</v>
      </c>
      <c r="B37" s="26" t="s">
        <v>56</v>
      </c>
      <c r="C37" s="27" t="s">
        <v>107</v>
      </c>
      <c r="D37" s="19">
        <f t="shared" si="0"/>
        <v>0.24101529158460733</v>
      </c>
      <c r="E37" s="19">
        <f t="shared" si="0"/>
        <v>-0.37090153144060722</v>
      </c>
      <c r="F37" s="19">
        <f t="shared" si="0"/>
        <v>1</v>
      </c>
      <c r="G37" s="19">
        <f t="shared" si="7"/>
        <v>2.1332579552383288</v>
      </c>
      <c r="H37" s="58">
        <f>VLOOKUP(A37,הכשרה!A:G,4,0)+VLOOKUP('תפוקה מצטברת מול אשתקד'!A37,מגדל!A:G,4,0)+VLOOKUP('תפוקה מצטברת מול אשתקד'!A37,מנורה!A:G,4,0)+VLOOKUP('תפוקה מצטברת מול אשתקד'!A37,איילון!A:G,4,0)+VLOOKUP('תפוקה מצטברת מול אשתקד'!A37,הראל!A:G,4,0)+VLOOKUP('תפוקה מצטברת מול אשתקד'!A37,הפניקס!A:G,4,0)+VLOOKUP('תפוקה מצטברת מול אשתקד'!A37,כלל!A:G,4,0)+VLOOKUP('תפוקה מצטברת מול אשתקד'!A37,מור!A:G,4,0)+VLOOKUP('תפוקה מצטברת מול אשתקד'!A37,'אלטשולר שחם'!A:G,4,0)+VLOOKUP('תפוקה מצטברת מול אשתקד'!A37,'מדיהו '!A:G,4,0)+VLOOKUP('תפוקה מצטברת מול אשתקד'!A37,'אנליסט '!A:G,4,0)+VLOOKUP('תפוקה מצטברת מול אשתקד'!A37,'מיטב דש'!A:G,4,0)+VLOOKUP('תפוקה מצטברת מול אשתקד'!A37,אינפניטי!A:G,4,0)</f>
        <v>44755.199999999997</v>
      </c>
      <c r="I37" s="58">
        <f>VLOOKUP(A37,הכשרה!A:G,5,0)+VLOOKUP('תפוקה מצטברת מול אשתקד'!A37,מגדל!A:G,5,0)+VLOOKUP('תפוקה מצטברת מול אשתקד'!A37,מנורה!A:G,5,0)+VLOOKUP('תפוקה מצטברת מול אשתקד'!A37,איילון!A:G,5,0)+VLOOKUP('תפוקה מצטברת מול אשתקד'!A37,הראל!A:G,5,0)+VLOOKUP('תפוקה מצטברת מול אשתקד'!A37,הפניקס!A:G,5,0)+VLOOKUP('תפוקה מצטברת מול אשתקד'!A37,כלל!A:G,5,0)+VLOOKUP('תפוקה מצטברת מול אשתקד'!A37,מור!A:G,5,0)+VLOOKUP('תפוקה מצטברת מול אשתקד'!A37,'אלטשולר שחם'!A:G,5,0)+VLOOKUP('תפוקה מצטברת מול אשתקד'!A37,'מדיהו '!A:G,5,0)+VLOOKUP('תפוקה מצטברת מול אשתקד'!A37,'אנליסט '!A:G,5,0)+VLOOKUP('תפוקה מצטברת מול אשתקד'!A37,'מיטב דש'!A:G,5,0)+VLOOKUP('תפוקה מצטברת מול אשתקד'!A37,אינפניטי!A:G,5,0)</f>
        <v>-3440.7660000000001</v>
      </c>
      <c r="J37" s="58">
        <f>VLOOKUP(A37,הכשרה!A:G,6,0)+VLOOKUP('תפוקה מצטברת מול אשתקד'!A37,מגדל!A:G,6,0)+VLOOKUP('תפוקה מצטברת מול אשתקד'!A37,מנורה!A:G,6,0)+VLOOKUP('תפוקה מצטברת מול אשתקד'!A37,איילון!A:G,6,0)+VLOOKUP(A37,הראל!A:G,6,0)+VLOOKUP('תפוקה מצטברת מול אשתקד'!A37,הפניקס!A:G,6,0)+VLOOKUP('תפוקה מצטברת מול אשתקד'!A37,כלל!A:G,6,0)+VLOOKUP('תפוקה מצטברת מול אשתקד'!A37,מור!A:G,6,0)+VLOOKUP('תפוקה מצטברת מול אשתקד'!A37,'אלטשולר שחם'!A:G,6,0)+VLOOKUP('תפוקה מצטברת מול אשתקד'!A37,'מדיהו '!A:G,6,0)+VLOOKUP('תפוקה מצטברת מול אשתקד'!A37,'אנליסט '!A:G,6,0)+VLOOKUP('תפוקה מצטברת מול אשתקד'!A37,'מיטב דש'!A:G,6,0)+VLOOKUP('תפוקה מצטברת מול אשתקד'!A37,אינפניטי!A:G,6,0)</f>
        <v>23102.44</v>
      </c>
      <c r="K37" s="58">
        <f>VLOOKUP(A37,הכשרה!A:G,7,0)+VLOOKUP('תפוקה מצטברת מול אשתקד'!A37,מגדל!A:G,7,0)+VLOOKUP('תפוקה מצטברת מול אשתקד'!A37,מנורה!A:G,7,0)+VLOOKUP('תפוקה מצטברת מול אשתקד'!A37,איילון!A:G,7,0)+VLOOKUP('תפוקה מצטברת מול אשתקד'!A37,הראל!A:G,7,0)+VLOOKUP('תפוקה מצטברת מול אשתקד'!A37,הפניקס!A:G,7,0)+VLOOKUP('תפוקה מצטברת מול אשתקד'!A37,כלל!A:G,7,0)+VLOOKUP('תפוקה מצטברת מול אשתקד'!A37,מור!A:G,7,0)+VLOOKUP('תפוקה מצטברת מול אשתקד'!A37,'אלטשולר שחם'!A:G,7,0)+VLOOKUP('תפוקה מצטברת מול אשתקד'!A37,'מדיהו '!A:K,7,0)+VLOOKUP(A37,'אנליסט '!A:G,7,0)+VLOOKUP('תפוקה מצטברת מול אשתקד'!A37,'מיטב דש'!A:G,7,0)+VLOOKUP('תפוקה מצטברת מול אשתקד'!A37,אינפניטי!A:G,7,0)</f>
        <v>-580576.23</v>
      </c>
      <c r="L37" s="12">
        <f>VLOOKUP(A37,הכשרה!A:K,8,0)+VLOOKUP('תפוקה מצטברת מול אשתקד'!A37,מגדל!A:K,8,0)+VLOOKUP('תפוקה מצטברת מול אשתקד'!A37,מנורה!A:K,8,0)+VLOOKUP('תפוקה מצטברת מול אשתקד'!A37,איילון!A:K,8,0)+VLOOKUP('תפוקה מצטברת מול אשתקד'!A37,הראל!A:K,8,0)+VLOOKUP('תפוקה מצטברת מול אשתקד'!A37,הפניקס!A:K,8,0)+VLOOKUP('תפוקה מצטברת מול אשתקד'!A37,כלל!A:K,8,0)+VLOOKUP('תפוקה מצטברת מול אשתקד'!A37,מור!A:K,8,0)+VLOOKUP('תפוקה מצטברת מול אשתקד'!A37,'אלטשולר שחם'!A:K,8,0)+VLOOKUP('תפוקה מצטברת מול אשתקד'!A37,'מדיהו '!A:K,8,0)+VLOOKUP('תפוקה מצטברת מול אשתקד'!A37,'אנליסט '!A:K,8,0)+VLOOKUP('תפוקה מצטברת מול אשתקד'!A37,'מיטב דש'!A:K,8,0)+VLOOKUP('תפוקה מצטברת מול אשתקד'!A37,אינפניטי!A:K,8,0)</f>
        <v>36063.375128</v>
      </c>
      <c r="M37" s="12">
        <f>VLOOKUP(A37,הכשרה!A:K,9,0)+VLOOKUP('תפוקה מצטברת מול אשתקד'!A37,מגדל!A:K,9,0)+VLOOKUP('תפוקה מצטברת מול אשתקד'!A37,מנורה!A:K,9,0)+VLOOKUP('תפוקה מצטברת מול אשתקד'!A37,איילון!A:K,9,0)+VLOOKUP('תפוקה מצטברת מול אשתקד'!A37,הראל!A:K,9,0)+VLOOKUP('תפוקה מצטברת מול אשתקד'!A37,הפניקס!A:K,9,0)+VLOOKUP('תפוקה מצטברת מול אשתקד'!A37,כלל!A:K,9,0)+VLOOKUP('תפוקה מצטברת מול אשתקד'!A37,מור!A:K,9,0)+VLOOKUP('תפוקה מצטברת מול אשתקד'!A37,'אלטשולר שחם'!A:K,9,0)+VLOOKUP('תפוקה מצטברת מול אשתקד'!A37,'מדיהו '!A:K,9,0)+VLOOKUP('תפוקה מצטברת מול אשתקד'!A37,'אנליסט '!A:K,9,0)+VLOOKUP('תפוקה מצטברת מול אשתקד'!A37,'מיטב דש'!A:K,9,0)+VLOOKUP('תפוקה מצטברת מול אשתקד'!A37,אינפניטי!A:K,9,0)</f>
        <v>-5469.36</v>
      </c>
      <c r="N37" s="12">
        <f>VLOOKUP(A37,הכשרה!A:K,10,0)+VLOOKUP('תפוקה מצטברת מול אשתקד'!A37,מגדל!A:K,10,0)+VLOOKUP('תפוקה מצטברת מול אשתקד'!A37,מנורה!A:K,10,0)+VLOOKUP('תפוקה מצטברת מול אשתקד'!A37,איילון!A:K,10,0)+VLOOKUP('תפוקה מצטברת מול אשתקד'!A37,הראל!A:K,10,0)+VLOOKUP('תפוקה מצטברת מול אשתקד'!A37,הפניקס!A:K,10,0)+VLOOKUP('תפוקה מצטברת מול אשתקד'!A37,כלל!A:K,10,0)+VLOOKUP('תפוקה מצטברת מול אשתקד'!A37,מור!A:K,10,0)+VLOOKUP('תפוקה מצטברת מול אשתקד'!A37,'אלטשולר שחם'!A:K,10,0)+VLOOKUP('תפוקה מצטברת מול אשתקד'!A37,'מדיהו '!A:K,10,0)+VLOOKUP('תפוקה מצטברת מול אשתקד'!A37,'אנליסט '!A:K,10,0)+VLOOKUP('תפוקה מצטברת מול אשתקד'!A37,'מיטב דש'!A:K,10,0)+VLOOKUP('תפוקה מצטברת מול אשתקד'!A37,אינפניטי!A:K,10,0)</f>
        <v>0</v>
      </c>
      <c r="O37" s="12">
        <f>VLOOKUP(A37,הכשרה!A:K,11,0)+VLOOKUP('תפוקה מצטברת מול אשתקד'!A37,מגדל!A:K,11,0)+VLOOKUP('תפוקה מצטברת מול אשתקד'!A37,מנורה!A:K,11,0)+VLOOKUP('תפוקה מצטברת מול אשתקד'!A37,איילון!A:K,11,0)+VLOOKUP('תפוקה מצטברת מול אשתקד'!A37,הראל!A:K,11,0)+VLOOKUP('תפוקה מצטברת מול אשתקד'!A37,הפניקס!A:K,11,0)+VLOOKUP('תפוקה מצטברת מול אשתקד'!A37,כלל!A:K,11,0)+VLOOKUP('תפוקה מצטברת מול אשתקד'!A37,מור!A:K,11,0)+VLOOKUP('תפוקה מצטברת מול אשתקד'!A37,'אלטשולר שחם'!A:K,11,0)+VLOOKUP('תפוקה מצטברת מול אשתקד'!A37,'מדיהו '!A:K,11,0)+VLOOKUP('תפוקה מצטברת מול אשתקד'!A37,'אנליסט '!A:K,11,0)+VLOOKUP('תפוקה מצטברת מול אשתקד'!A37,'מיטב דש'!A:K,11,0)+VLOOKUP('תפוקה מצטברת מול אשתקד'!A37,אינפניטי!A:K,11,0)</f>
        <v>-185294.74377600005</v>
      </c>
    </row>
    <row r="38" spans="1:15" ht="15.75" customHeight="1" x14ac:dyDescent="0.25">
      <c r="A38" s="26" t="s">
        <v>28</v>
      </c>
      <c r="B38" s="26" t="s">
        <v>56</v>
      </c>
      <c r="C38" s="27" t="s">
        <v>107</v>
      </c>
      <c r="D38" s="19">
        <f t="shared" si="0"/>
        <v>-2.4535396293922576</v>
      </c>
      <c r="E38" s="19">
        <f t="shared" si="0"/>
        <v>0</v>
      </c>
      <c r="F38" s="19">
        <f t="shared" si="0"/>
        <v>0</v>
      </c>
      <c r="G38" s="19">
        <f t="shared" si="7"/>
        <v>0</v>
      </c>
      <c r="H38" s="58">
        <f>VLOOKUP(A38,הכשרה!A:G,4,0)+VLOOKUP('תפוקה מצטברת מול אשתקד'!A38,מגדל!A:G,4,0)+VLOOKUP('תפוקה מצטברת מול אשתקד'!A38,מנורה!A:G,4,0)+VLOOKUP('תפוקה מצטברת מול אשתקד'!A38,איילון!A:G,4,0)+VLOOKUP('תפוקה מצטברת מול אשתקד'!A38,הראל!A:G,4,0)+VLOOKUP('תפוקה מצטברת מול אשתקד'!A38,הפניקס!A:G,4,0)+VLOOKUP('תפוקה מצטברת מול אשתקד'!A38,כלל!A:G,4,0)+VLOOKUP('תפוקה מצטברת מול אשתקד'!A38,מור!A:G,4,0)+VLOOKUP('תפוקה מצטברת מול אשתקד'!A38,'אלטשולר שחם'!A:G,4,0)+VLOOKUP('תפוקה מצטברת מול אשתקד'!A38,'מדיהו '!A:G,4,0)+VLOOKUP('תפוקה מצטברת מול אשתקד'!A38,'אנליסט '!A:G,4,0)+VLOOKUP('תפוקה מצטברת מול אשתקד'!A38,'מיטב דש'!A:G,4,0)+VLOOKUP('תפוקה מצטברת מול אשתקד'!A38,אינפניטי!A:G,4,0)</f>
        <v>37915.581688366226</v>
      </c>
      <c r="I38" s="58">
        <f>VLOOKUP(A38,הכשרה!A:G,5,0)+VLOOKUP('תפוקה מצטברת מול אשתקד'!A38,מגדל!A:G,5,0)+VLOOKUP('תפוקה מצטברת מול אשתקד'!A38,מנורה!A:G,5,0)+VLOOKUP('תפוקה מצטברת מול אשתקד'!A38,איילון!A:G,5,0)+VLOOKUP('תפוקה מצטברת מול אשתקד'!A38,הראל!A:G,5,0)+VLOOKUP('תפוקה מצטברת מול אשתקד'!A38,הפניקס!A:G,5,0)+VLOOKUP('תפוקה מצטברת מול אשתקד'!A38,כלל!A:G,5,0)+VLOOKUP('תפוקה מצטברת מול אשתקד'!A38,מור!A:G,5,0)+VLOOKUP('תפוקה מצטברת מול אשתקד'!A38,'אלטשולר שחם'!A:G,5,0)+VLOOKUP('תפוקה מצטברת מול אשתקד'!A38,'מדיהו '!A:G,5,0)+VLOOKUP('תפוקה מצטברת מול אשתקד'!A38,'אנליסט '!A:G,5,0)+VLOOKUP('תפוקה מצטברת מול אשתקד'!A38,'מיטב דש'!A:G,5,0)+VLOOKUP('תפוקה מצטברת מול אשתקד'!A38,אינפניטי!A:G,5,0)</f>
        <v>0</v>
      </c>
      <c r="J38" s="58">
        <f>VLOOKUP(A38,הכשרה!A:G,6,0)+VLOOKUP('תפוקה מצטברת מול אשתקד'!A38,מגדל!A:G,6,0)+VLOOKUP('תפוקה מצטברת מול אשתקד'!A38,מנורה!A:G,6,0)+VLOOKUP('תפוקה מצטברת מול אשתקד'!A38,איילון!A:G,6,0)+VLOOKUP(A38,הראל!A:G,6,0)+VLOOKUP('תפוקה מצטברת מול אשתקד'!A38,הפניקס!A:G,6,0)+VLOOKUP('תפוקה מצטברת מול אשתקד'!A38,כלל!A:G,6,0)+VLOOKUP('תפוקה מצטברת מול אשתקד'!A38,מור!A:G,6,0)+VLOOKUP('תפוקה מצטברת מול אשתקד'!A38,'אלטשולר שחם'!A:G,6,0)+VLOOKUP('תפוקה מצטברת מול אשתקד'!A38,'מדיהו '!A:G,6,0)+VLOOKUP('תפוקה מצטברת מול אשתקד'!A38,'אנליסט '!A:G,6,0)+VLOOKUP('תפוקה מצטברת מול אשתקד'!A38,'מיטב דש'!A:G,6,0)+VLOOKUP('תפוקה מצטברת מול אשתקד'!A38,אינפניטי!A:G,6,0)</f>
        <v>0</v>
      </c>
      <c r="K38" s="58">
        <f>VLOOKUP(A38,הכשרה!A:G,7,0)+VLOOKUP('תפוקה מצטברת מול אשתקד'!A38,מגדל!A:G,7,0)+VLOOKUP('תפוקה מצטברת מול אשתקד'!A38,מנורה!A:G,7,0)+VLOOKUP('תפוקה מצטברת מול אשתקד'!A38,איילון!A:G,7,0)+VLOOKUP('תפוקה מצטברת מול אשתקד'!A38,הראל!A:G,7,0)+VLOOKUP('תפוקה מצטברת מול אשתקד'!A38,הפניקס!A:G,7,0)+VLOOKUP('תפוקה מצטברת מול אשתקד'!A38,כלל!A:G,7,0)+VLOOKUP('תפוקה מצטברת מול אשתקד'!A38,מור!A:G,7,0)+VLOOKUP('תפוקה מצטברת מול אשתקד'!A38,'אלטשולר שחם'!A:G,7,0)+VLOOKUP('תפוקה מצטברת מול אשתקד'!A38,'מדיהו '!A:K,7,0)+VLOOKUP(A38,'אנליסט '!A:G,7,0)+VLOOKUP('תפוקה מצטברת מול אשתקד'!A38,'מיטב דש'!A:G,7,0)+VLOOKUP('תפוקה מצטברת מול אשתקד'!A38,אינפניטי!A:G,7,0)</f>
        <v>0</v>
      </c>
      <c r="L38" s="12">
        <f>VLOOKUP(A38,הכשרה!A:K,8,0)+VLOOKUP('תפוקה מצטברת מול אשתקד'!A38,מגדל!A:K,8,0)+VLOOKUP('תפוקה מצטברת מול אשתקד'!A38,מנורה!A:K,8,0)+VLOOKUP('תפוקה מצטברת מול אשתקד'!A38,איילון!A:K,8,0)+VLOOKUP('תפוקה מצטברת מול אשתקד'!A38,הראל!A:K,8,0)+VLOOKUP('תפוקה מצטברת מול אשתקד'!A38,הפניקס!A:K,8,0)+VLOOKUP('תפוקה מצטברת מול אשתקד'!A38,כלל!A:K,8,0)+VLOOKUP('תפוקה מצטברת מול אשתקד'!A38,מור!A:K,8,0)+VLOOKUP('תפוקה מצטברת מול אשתקד'!A38,'אלטשולר שחם'!A:K,8,0)+VLOOKUP('תפוקה מצטברת מול אשתקד'!A38,'מדיהו '!A:K,8,0)+VLOOKUP('תפוקה מצטברת מול אשתקד'!A38,'אנליסט '!A:K,8,0)+VLOOKUP('תפוקה מצטברת מול אשתקד'!A38,'מיטב דש'!A:K,8,0)+VLOOKUP('תפוקה מצטברת מול אשתקד'!A38,אינפניטי!A:K,8,0)</f>
        <v>-26085.000313489341</v>
      </c>
      <c r="M38" s="12">
        <f>VLOOKUP(A38,הכשרה!A:K,9,0)+VLOOKUP('תפוקה מצטברת מול אשתקד'!A38,מגדל!A:K,9,0)+VLOOKUP('תפוקה מצטברת מול אשתקד'!A38,מנורה!A:K,9,0)+VLOOKUP('תפוקה מצטברת מול אשתקד'!A38,איילון!A:K,9,0)+VLOOKUP('תפוקה מצטברת מול אשתקד'!A38,הראל!A:K,9,0)+VLOOKUP('תפוקה מצטברת מול אשתקד'!A38,הפניקס!A:K,9,0)+VLOOKUP('תפוקה מצטברת מול אשתקד'!A38,כלל!A:K,9,0)+VLOOKUP('תפוקה מצטברת מול אשתקד'!A38,מור!A:K,9,0)+VLOOKUP('תפוקה מצטברת מול אשתקד'!A38,'אלטשולר שחם'!A:K,9,0)+VLOOKUP('תפוקה מצטברת מול אשתקד'!A38,'מדיהו '!A:K,9,0)+VLOOKUP('תפוקה מצטברת מול אשתקד'!A38,'אנליסט '!A:K,9,0)+VLOOKUP('תפוקה מצטברת מול אשתקד'!A38,'מיטב דש'!A:K,9,0)+VLOOKUP('תפוקה מצטברת מול אשתקד'!A38,אינפניטי!A:K,9,0)</f>
        <v>0</v>
      </c>
      <c r="N38" s="12">
        <f>VLOOKUP(A38,הכשרה!A:K,10,0)+VLOOKUP('תפוקה מצטברת מול אשתקד'!A38,מגדל!A:K,10,0)+VLOOKUP('תפוקה מצטברת מול אשתקד'!A38,מנורה!A:K,10,0)+VLOOKUP('תפוקה מצטברת מול אשתקד'!A38,איילון!A:K,10,0)+VLOOKUP('תפוקה מצטברת מול אשתקד'!A38,הראל!A:K,10,0)+VLOOKUP('תפוקה מצטברת מול אשתקד'!A38,הפניקס!A:K,10,0)+VLOOKUP('תפוקה מצטברת מול אשתקד'!A38,כלל!A:K,10,0)+VLOOKUP('תפוקה מצטברת מול אשתקד'!A38,מור!A:K,10,0)+VLOOKUP('תפוקה מצטברת מול אשתקד'!A38,'אלטשולר שחם'!A:K,10,0)+VLOOKUP('תפוקה מצטברת מול אשתקד'!A38,'מדיהו '!A:K,10,0)+VLOOKUP('תפוקה מצטברת מול אשתקד'!A38,'אנליסט '!A:K,10,0)+VLOOKUP('תפוקה מצטברת מול אשתקד'!A38,'מיטב דש'!A:K,10,0)+VLOOKUP('תפוקה מצטברת מול אשתקד'!A38,אינפניטי!A:K,10,0)</f>
        <v>0</v>
      </c>
      <c r="O38" s="12">
        <f>VLOOKUP(A38,הכשרה!A:K,11,0)+VLOOKUP('תפוקה מצטברת מול אשתקד'!A38,מגדל!A:K,11,0)+VLOOKUP('תפוקה מצטברת מול אשתקד'!A38,מנורה!A:K,11,0)+VLOOKUP('תפוקה מצטברת מול אשתקד'!A38,איילון!A:K,11,0)+VLOOKUP('תפוקה מצטברת מול אשתקד'!A38,הראל!A:K,11,0)+VLOOKUP('תפוקה מצטברת מול אשתקד'!A38,הפניקס!A:K,11,0)+VLOOKUP('תפוקה מצטברת מול אשתקד'!A38,כלל!A:K,11,0)+VLOOKUP('תפוקה מצטברת מול אשתקד'!A38,מור!A:K,11,0)+VLOOKUP('תפוקה מצטברת מול אשתקד'!A38,'אלטשולר שחם'!A:K,11,0)+VLOOKUP('תפוקה מצטברת מול אשתקד'!A38,'מדיהו '!A:K,11,0)+VLOOKUP('תפוקה מצטברת מול אשתקד'!A38,'אנליסט '!A:K,11,0)+VLOOKUP('תפוקה מצטברת מול אשתקד'!A38,'מיטב דש'!A:K,11,0)+VLOOKUP('תפוקה מצטברת מול אשתקד'!A38,אינפניטי!A:K,11,0)</f>
        <v>623322.27</v>
      </c>
    </row>
    <row r="39" spans="1:15" ht="15.75" customHeight="1" x14ac:dyDescent="0.25">
      <c r="A39" s="26" t="s">
        <v>29</v>
      </c>
      <c r="B39" s="26" t="s">
        <v>56</v>
      </c>
      <c r="C39" s="27" t="s">
        <v>107</v>
      </c>
      <c r="D39" s="19">
        <f t="shared" si="0"/>
        <v>2.1572291334751714</v>
      </c>
      <c r="E39" s="19">
        <f t="shared" si="0"/>
        <v>2.4290958370612077</v>
      </c>
      <c r="F39" s="19">
        <f t="shared" si="0"/>
        <v>1</v>
      </c>
      <c r="G39" s="19">
        <f t="shared" ref="G39:G54" si="8">IF(K39=0,0%,IF(O39=H65,100%,K39/O39-1))</f>
        <v>1</v>
      </c>
      <c r="H39" s="58">
        <f>VLOOKUP(A39,הכשרה!A:G,4,0)+VLOOKUP('תפוקה מצטברת מול אשתקד'!A39,מגדל!A:G,4,0)+VLOOKUP('תפוקה מצטברת מול אשתקד'!A39,מנורה!A:G,4,0)+VLOOKUP('תפוקה מצטברת מול אשתקד'!A39,איילון!A:G,4,0)+VLOOKUP('תפוקה מצטברת מול אשתקד'!A39,הראל!A:G,4,0)+VLOOKUP('תפוקה מצטברת מול אשתקד'!A39,הפניקס!A:G,4,0)+VLOOKUP('תפוקה מצטברת מול אשתקד'!A39,כלל!A:G,4,0)+VLOOKUP('תפוקה מצטברת מול אשתקד'!A39,מור!A:G,4,0)+VLOOKUP('תפוקה מצטברת מול אשתקד'!A39,'אלטשולר שחם'!A:G,4,0)+VLOOKUP('תפוקה מצטברת מול אשתקד'!A39,'מדיהו '!A:G,4,0)+VLOOKUP('תפוקה מצטברת מול אשתקד'!A39,'אנליסט '!A:G,4,0)+VLOOKUP('תפוקה מצטברת מול אשתקד'!A39,'מיטב דש'!A:G,4,0)+VLOOKUP('תפוקה מצטברת מול אשתקד'!A39,אינפניטי!A:G,4,0)</f>
        <v>25403.37</v>
      </c>
      <c r="I39" s="58">
        <f>VLOOKUP(A39,הכשרה!A:G,5,0)+VLOOKUP('תפוקה מצטברת מול אשתקד'!A39,מגדל!A:G,5,0)+VLOOKUP('תפוקה מצטברת מול אשתקד'!A39,מנורה!A:G,5,0)+VLOOKUP('תפוקה מצטברת מול אשתקד'!A39,איילון!A:G,5,0)+VLOOKUP('תפוקה מצטברת מול אשתקד'!A39,הראל!A:G,5,0)+VLOOKUP('תפוקה מצטברת מול אשתקד'!A39,הפניקס!A:G,5,0)+VLOOKUP('תפוקה מצטברת מול אשתקד'!A39,כלל!A:G,5,0)+VLOOKUP('תפוקה מצטברת מול אשתקד'!A39,מור!A:G,5,0)+VLOOKUP('תפוקה מצטברת מול אשתקד'!A39,'אלטשולר שחם'!A:G,5,0)+VLOOKUP('תפוקה מצטברת מול אשתקד'!A39,'מדיהו '!A:G,5,0)+VLOOKUP('תפוקה מצטברת מול אשתקד'!A39,'אנליסט '!A:G,5,0)+VLOOKUP('תפוקה מצטברת מול אשתקד'!A39,'מיטב דש'!A:G,5,0)+VLOOKUP('תפוקה מצטברת מול אשתקד'!A39,אינפניטי!A:G,5,0)</f>
        <v>2606.25</v>
      </c>
      <c r="J39" s="58">
        <f>VLOOKUP(A39,הכשרה!A:G,6,0)+VLOOKUP('תפוקה מצטברת מול אשתקד'!A39,מגדל!A:G,6,0)+VLOOKUP('תפוקה מצטברת מול אשתקד'!A39,מנורה!A:G,6,0)+VLOOKUP('תפוקה מצטברת מול אשתקד'!A39,איילון!A:G,6,0)+VLOOKUP(A39,הראל!A:G,6,0)+VLOOKUP('תפוקה מצטברת מול אשתקד'!A39,הפניקס!A:G,6,0)+VLOOKUP('תפוקה מצטברת מול אשתקד'!A39,כלל!A:G,6,0)+VLOOKUP('תפוקה מצטברת מול אשתקד'!A39,מור!A:G,6,0)+VLOOKUP('תפוקה מצטברת מול אשתקד'!A39,'אלטשולר שחם'!A:G,6,0)+VLOOKUP('תפוקה מצטברת מול אשתקד'!A39,'מדיהו '!A:G,6,0)+VLOOKUP('תפוקה מצטברת מול אשתקד'!A39,'אנליסט '!A:G,6,0)+VLOOKUP('תפוקה מצטברת מול אשתקד'!A39,'מיטב דש'!A:G,6,0)+VLOOKUP('תפוקה מצטברת מול אשתקד'!A39,אינפניטי!A:G,6,0)</f>
        <v>245920.63</v>
      </c>
      <c r="K39" s="58">
        <f>VLOOKUP(A39,הכשרה!A:G,7,0)+VLOOKUP('תפוקה מצטברת מול אשתקד'!A39,מגדל!A:G,7,0)+VLOOKUP('תפוקה מצטברת מול אשתקד'!A39,מנורה!A:G,7,0)+VLOOKUP('תפוקה מצטברת מול אשתקד'!A39,איילון!A:G,7,0)+VLOOKUP('תפוקה מצטברת מול אשתקד'!A39,הראל!A:G,7,0)+VLOOKUP('תפוקה מצטברת מול אשתקד'!A39,הפניקס!A:G,7,0)+VLOOKUP('תפוקה מצטברת מול אשתקד'!A39,כלל!A:G,7,0)+VLOOKUP('תפוקה מצטברת מול אשתקד'!A39,מור!A:G,7,0)+VLOOKUP('תפוקה מצטברת מול אשתקד'!A39,'אלטשולר שחם'!A:G,7,0)+VLOOKUP('תפוקה מצטברת מול אשתקד'!A39,'מדיהו '!A:K,7,0)+VLOOKUP(A39,'אנליסט '!A:G,7,0)+VLOOKUP('תפוקה מצטברת מול אשתקד'!A39,'מיטב דש'!A:G,7,0)+VLOOKUP('תפוקה מצטברת מול אשתקד'!A39,אינפניטי!A:G,7,0)</f>
        <v>229331.73</v>
      </c>
      <c r="L39" s="12">
        <f>VLOOKUP(A39,הכשרה!A:K,8,0)+VLOOKUP('תפוקה מצטברת מול אשתקד'!A39,מגדל!A:K,8,0)+VLOOKUP('תפוקה מצטברת מול אשתקד'!A39,מנורה!A:K,8,0)+VLOOKUP('תפוקה מצטברת מול אשתקד'!A39,איילון!A:K,8,0)+VLOOKUP('תפוקה מצטברת מול אשתקד'!A39,הראל!A:K,8,0)+VLOOKUP('תפוקה מצטברת מול אשתקד'!A39,הפניקס!A:K,8,0)+VLOOKUP('תפוקה מצטברת מול אשתקד'!A39,כלל!A:K,8,0)+VLOOKUP('תפוקה מצטברת מול אשתקד'!A39,מור!A:K,8,0)+VLOOKUP('תפוקה מצטברת מול אשתקד'!A39,'אלטשולר שחם'!A:K,8,0)+VLOOKUP('תפוקה מצטברת מול אשתקד'!A39,'מדיהו '!A:K,8,0)+VLOOKUP('תפוקה מצטברת מול אשתקד'!A39,'אנליסט '!A:K,8,0)+VLOOKUP('תפוקה מצטברת מול אשתקד'!A39,'מיטב דש'!A:K,8,0)+VLOOKUP('תפוקה מצטברת מול אשתקד'!A39,אינפניטי!A:K,8,0)</f>
        <v>8046.0964111396106</v>
      </c>
      <c r="M39" s="12">
        <f>VLOOKUP(A39,הכשרה!A:K,9,0)+VLOOKUP('תפוקה מצטברת מול אשתקד'!A39,מגדל!A:K,9,0)+VLOOKUP('תפוקה מצטברת מול אשתקד'!A39,מנורה!A:K,9,0)+VLOOKUP('תפוקה מצטברת מול אשתקד'!A39,איילון!A:K,9,0)+VLOOKUP('תפוקה מצטברת מול אשתקד'!A39,הראל!A:K,9,0)+VLOOKUP('תפוקה מצטברת מול אשתקד'!A39,הפניקס!A:K,9,0)+VLOOKUP('תפוקה מצטברת מול אשתקד'!A39,כלל!A:K,9,0)+VLOOKUP('תפוקה מצטברת מול אשתקד'!A39,מור!A:K,9,0)+VLOOKUP('תפוקה מצטברת מול אשתקד'!A39,'אלטשולר שחם'!A:K,9,0)+VLOOKUP('תפוקה מצטברת מול אשתקד'!A39,'מדיהו '!A:K,9,0)+VLOOKUP('תפוקה מצטברת מול אשתקד'!A39,'אנליסט '!A:K,9,0)+VLOOKUP('תפוקה מצטברת מול אשתקד'!A39,'מיטב דש'!A:K,9,0)+VLOOKUP('תפוקה מצטברת מול אשתקד'!A39,אינפניטי!A:K,9,0)</f>
        <v>760.04</v>
      </c>
      <c r="N39" s="12">
        <f>VLOOKUP(A39,הכשרה!A:K,10,0)+VLOOKUP('תפוקה מצטברת מול אשתקד'!A39,מגדל!A:K,10,0)+VLOOKUP('תפוקה מצטברת מול אשתקד'!A39,מנורה!A:K,10,0)+VLOOKUP('תפוקה מצטברת מול אשתקד'!A39,איילון!A:K,10,0)+VLOOKUP('תפוקה מצטברת מול אשתקד'!A39,הראל!A:K,10,0)+VLOOKUP('תפוקה מצטברת מול אשתקד'!A39,הפניקס!A:K,10,0)+VLOOKUP('תפוקה מצטברת מול אשתקד'!A39,כלל!A:K,10,0)+VLOOKUP('תפוקה מצטברת מול אשתקד'!A39,מור!A:K,10,0)+VLOOKUP('תפוקה מצטברת מול אשתקד'!A39,'אלטשולר שחם'!A:K,10,0)+VLOOKUP('תפוקה מצטברת מול אשתקד'!A39,'מדיהו '!A:K,10,0)+VLOOKUP('תפוקה מצטברת מול אשתקד'!A39,'אנליסט '!A:K,10,0)+VLOOKUP('תפוקה מצטברת מול אשתקד'!A39,'מיטב דש'!A:K,10,0)+VLOOKUP('תפוקה מצטברת מול אשתקד'!A39,אינפניטי!A:K,10,0)</f>
        <v>0</v>
      </c>
      <c r="O39" s="12">
        <f>VLOOKUP(A39,הכשרה!A:K,11,0)+VLOOKUP('תפוקה מצטברת מול אשתקד'!A39,מגדל!A:K,11,0)+VLOOKUP('תפוקה מצטברת מול אשתקד'!A39,מנורה!A:K,11,0)+VLOOKUP('תפוקה מצטברת מול אשתקד'!A39,איילון!A:K,11,0)+VLOOKUP('תפוקה מצטברת מול אשתקד'!A39,הראל!A:K,11,0)+VLOOKUP('תפוקה מצטברת מול אשתקד'!A39,הפניקס!A:K,11,0)+VLOOKUP('תפוקה מצטברת מול אשתקד'!A39,כלל!A:K,11,0)+VLOOKUP('תפוקה מצטברת מול אשתקד'!A39,מור!A:K,11,0)+VLOOKUP('תפוקה מצטברת מול אשתקד'!A39,'אלטשולר שחם'!A:K,11,0)+VLOOKUP('תפוקה מצטברת מול אשתקד'!A39,'מדיהו '!A:K,11,0)+VLOOKUP('תפוקה מצטברת מול אשתקד'!A39,'אנליסט '!A:K,11,0)+VLOOKUP('תפוקה מצטברת מול אשתקד'!A39,'מיטב דש'!A:K,11,0)+VLOOKUP('תפוקה מצטברת מול אשתקד'!A39,אינפניטי!A:K,11,0)</f>
        <v>0</v>
      </c>
    </row>
    <row r="40" spans="1:15" ht="15.75" customHeight="1" x14ac:dyDescent="0.25">
      <c r="A40" s="30" t="s">
        <v>95</v>
      </c>
      <c r="B40" s="26" t="s">
        <v>56</v>
      </c>
      <c r="C40" s="27" t="s">
        <v>107</v>
      </c>
      <c r="D40" s="19">
        <f t="shared" si="0"/>
        <v>-5.0370627636277865E-2</v>
      </c>
      <c r="E40" s="19">
        <f t="shared" si="0"/>
        <v>-0.35577409761589918</v>
      </c>
      <c r="F40" s="19">
        <f t="shared" si="0"/>
        <v>0.30724655800826661</v>
      </c>
      <c r="G40" s="19">
        <f t="shared" si="8"/>
        <v>-0.56522909393115928</v>
      </c>
      <c r="H40" s="58">
        <f>VLOOKUP(A40,הכשרה!A:G,4,0)+VLOOKUP('תפוקה מצטברת מול אשתקד'!A40,מגדל!A:G,4,0)+VLOOKUP('תפוקה מצטברת מול אשתקד'!A40,מנורה!A:G,4,0)+VLOOKUP('תפוקה מצטברת מול אשתקד'!A40,איילון!A:G,4,0)+VLOOKUP('תפוקה מצטברת מול אשתקד'!A40,הראל!A:G,4,0)+VLOOKUP('תפוקה מצטברת מול אשתקד'!A40,הפניקס!A:G,4,0)+VLOOKUP('תפוקה מצטברת מול אשתקד'!A40,כלל!A:G,4,0)+VLOOKUP('תפוקה מצטברת מול אשתקד'!A40,מור!A:G,4,0)+VLOOKUP('תפוקה מצטברת מול אשתקד'!A40,'אלטשולר שחם'!A:G,4,0)+VLOOKUP('תפוקה מצטברת מול אשתקד'!A40,'מדיהו '!A:G,4,0)+VLOOKUP('תפוקה מצטברת מול אשתקד'!A40,'אנליסט '!A:G,4,0)+VLOOKUP('תפוקה מצטברת מול אשתקד'!A40,'מיטב דש'!A:G,4,0)+VLOOKUP('תפוקה מצטברת מול אשתקד'!A40,אינפניטי!A:G,4,0)</f>
        <v>292726.81280443771</v>
      </c>
      <c r="I40" s="58">
        <f>VLOOKUP(A40,הכשרה!A:G,5,0)+VLOOKUP('תפוקה מצטברת מול אשתקד'!A40,מגדל!A:G,5,0)+VLOOKUP('תפוקה מצטברת מול אשתקד'!A40,מנורה!A:G,5,0)+VLOOKUP('תפוקה מצטברת מול אשתקד'!A40,איילון!A:G,5,0)+VLOOKUP('תפוקה מצטברת מול אשתקד'!A40,הראל!A:G,5,0)+VLOOKUP('תפוקה מצטברת מול אשתקד'!A40,הפניקס!A:G,5,0)+VLOOKUP('תפוקה מצטברת מול אשתקד'!A40,כלל!A:G,5,0)+VLOOKUP('תפוקה מצטברת מול אשתקד'!A40,מור!A:G,5,0)+VLOOKUP('תפוקה מצטברת מול אשתקד'!A40,'אלטשולר שחם'!A:G,5,0)+VLOOKUP('תפוקה מצטברת מול אשתקד'!A40,'מדיהו '!A:G,5,0)+VLOOKUP('תפוקה מצטברת מול אשתקד'!A40,'אנליסט '!A:G,5,0)+VLOOKUP('תפוקה מצטברת מול אשתקד'!A40,'מיטב דש'!A:G,5,0)+VLOOKUP('תפוקה מצטברת מול אשתקד'!A40,אינפניטי!A:G,5,0)</f>
        <v>30300.5074922044</v>
      </c>
      <c r="J40" s="58">
        <f>VLOOKUP(A40,הכשרה!A:G,6,0)+VLOOKUP('תפוקה מצטברת מול אשתקד'!A40,מגדל!A:G,6,0)+VLOOKUP('תפוקה מצטברת מול אשתקד'!A40,מנורה!A:G,6,0)+VLOOKUP('תפוקה מצטברת מול אשתקד'!A40,איילון!A:G,6,0)+VLOOKUP(A40,הראל!A:G,6,0)+VLOOKUP('תפוקה מצטברת מול אשתקד'!A40,הפניקס!A:G,6,0)+VLOOKUP('תפוקה מצטברת מול אשתקד'!A40,כלל!A:G,6,0)+VLOOKUP('תפוקה מצטברת מול אשתקד'!A40,מור!A:G,6,0)+VLOOKUP('תפוקה מצטברת מול אשתקד'!A40,'אלטשולר שחם'!A:G,6,0)+VLOOKUP('תפוקה מצטברת מול אשתקד'!A40,'מדיהו '!A:G,6,0)+VLOOKUP('תפוקה מצטברת מול אשתקד'!A40,'אנליסט '!A:G,6,0)+VLOOKUP('תפוקה מצטברת מול אשתקד'!A40,'מיטב דש'!A:G,6,0)+VLOOKUP('תפוקה מצטברת מול אשתקד'!A40,אינפניטי!A:G,6,0)</f>
        <v>504815.3653751447</v>
      </c>
      <c r="K40" s="58">
        <f>VLOOKUP(A40,הכשרה!A:G,7,0)+VLOOKUP('תפוקה מצטברת מול אשתקד'!A40,מגדל!A:G,7,0)+VLOOKUP('תפוקה מצטברת מול אשתקד'!A40,מנורה!A:G,7,0)+VLOOKUP('תפוקה מצטברת מול אשתקד'!A40,איילון!A:G,7,0)+VLOOKUP('תפוקה מצטברת מול אשתקד'!A40,הראל!A:G,7,0)+VLOOKUP('תפוקה מצטברת מול אשתקד'!A40,הפניקס!A:G,7,0)+VLOOKUP('תפוקה מצטברת מול אשתקד'!A40,כלל!A:G,7,0)+VLOOKUP('תפוקה מצטברת מול אשתקד'!A40,מור!A:G,7,0)+VLOOKUP('תפוקה מצטברת מול אשתקד'!A40,'אלטשולר שחם'!A:G,7,0)+VLOOKUP('תפוקה מצטברת מול אשתקד'!A40,'מדיהו '!A:K,7,0)+VLOOKUP(A40,'אנליסט '!A:G,7,0)+VLOOKUP('תפוקה מצטברת מול אשתקד'!A40,'מיטב דש'!A:G,7,0)+VLOOKUP('תפוקה מצטברת מול אשתקד'!A40,אינפניטי!A:G,7,0)</f>
        <v>837097.91</v>
      </c>
      <c r="L40" s="12">
        <f>VLOOKUP(A40,הכשרה!A:K,8,0)+VLOOKUP('תפוקה מצטברת מול אשתקד'!A40,מגדל!A:K,8,0)+VLOOKUP('תפוקה מצטברת מול אשתקד'!A40,מנורה!A:K,8,0)+VLOOKUP('תפוקה מצטברת מול אשתקד'!A40,איילון!A:K,8,0)+VLOOKUP('תפוקה מצטברת מול אשתקד'!A40,הראל!A:K,8,0)+VLOOKUP('תפוקה מצטברת מול אשתקד'!A40,הפניקס!A:K,8,0)+VLOOKUP('תפוקה מצטברת מול אשתקד'!A40,כלל!A:K,8,0)+VLOOKUP('תפוקה מצטברת מול אשתקד'!A40,מור!A:K,8,0)+VLOOKUP('תפוקה מצטברת מול אשתקד'!A40,'אלטשולר שחם'!A:K,8,0)+VLOOKUP('תפוקה מצטברת מול אשתקד'!A40,'מדיהו '!A:K,8,0)+VLOOKUP('תפוקה מצטברת מול אשתקד'!A40,'אנליסט '!A:K,8,0)+VLOOKUP('תפוקה מצטברת מול אשתקד'!A40,'מיטב דש'!A:K,8,0)+VLOOKUP('תפוקה מצטברת מול אשתקד'!A40,אינפניטי!A:K,8,0)</f>
        <v>308253.74753922311</v>
      </c>
      <c r="M40" s="12">
        <f>VLOOKUP(A40,הכשרה!A:K,9,0)+VLOOKUP('תפוקה מצטברת מול אשתקד'!A40,מגדל!A:K,9,0)+VLOOKUP('תפוקה מצטברת מול אשתקד'!A40,מנורה!A:K,9,0)+VLOOKUP('תפוקה מצטברת מול אשתקד'!A40,איילון!A:K,9,0)+VLOOKUP('תפוקה מצטברת מול אשתקד'!A40,הראל!A:K,9,0)+VLOOKUP('תפוקה מצטברת מול אשתקד'!A40,הפניקס!A:K,9,0)+VLOOKUP('תפוקה מצטברת מול אשתקד'!A40,כלל!A:K,9,0)+VLOOKUP('תפוקה מצטברת מול אשתקד'!A40,מור!A:K,9,0)+VLOOKUP('תפוקה מצטברת מול אשתקד'!A40,'אלטשולר שחם'!A:K,9,0)+VLOOKUP('תפוקה מצטברת מול אשתקד'!A40,'מדיהו '!A:K,9,0)+VLOOKUP('תפוקה מצטברת מול אשתקד'!A40,'אנליסט '!A:K,9,0)+VLOOKUP('תפוקה מצטברת מול אשתקד'!A40,'מיטב דש'!A:K,9,0)+VLOOKUP('תפוקה מצטברת מול אשתקד'!A40,אינפניטי!A:K,9,0)</f>
        <v>47033.978888571</v>
      </c>
      <c r="N40" s="12">
        <f>VLOOKUP(A40,הכשרה!A:K,10,0)+VLOOKUP('תפוקה מצטברת מול אשתקד'!A40,מגדל!A:K,10,0)+VLOOKUP('תפוקה מצטברת מול אשתקד'!A40,מנורה!A:K,10,0)+VLOOKUP('תפוקה מצטברת מול אשתקד'!A40,איילון!A:K,10,0)+VLOOKUP('תפוקה מצטברת מול אשתקד'!A40,הראל!A:K,10,0)+VLOOKUP('תפוקה מצטברת מול אשתקד'!A40,הפניקס!A:K,10,0)+VLOOKUP('תפוקה מצטברת מול אשתקד'!A40,כלל!A:K,10,0)+VLOOKUP('תפוקה מצטברת מול אשתקד'!A40,מור!A:K,10,0)+VLOOKUP('תפוקה מצטברת מול אשתקד'!A40,'אלטשולר שחם'!A:K,10,0)+VLOOKUP('תפוקה מצטברת מול אשתקד'!A40,'מדיהו '!A:K,10,0)+VLOOKUP('תפוקה מצטברת מול אשתקד'!A40,'אנליסט '!A:K,10,0)+VLOOKUP('תפוקה מצטברת מול אשתקד'!A40,'מיטב דש'!A:K,10,0)+VLOOKUP('תפוקה מצטברת מול אשתקד'!A40,אינפניטי!A:K,10,0)</f>
        <v>386166.91111758305</v>
      </c>
      <c r="O40" s="12">
        <f>VLOOKUP(A40,הכשרה!A:K,11,0)+VLOOKUP('תפוקה מצטברת מול אשתקד'!A40,מגדל!A:K,11,0)+VLOOKUP('תפוקה מצטברת מול אשתקד'!A40,מנורה!A:K,11,0)+VLOOKUP('תפוקה מצטברת מול אשתקד'!A40,איילון!A:K,11,0)+VLOOKUP('תפוקה מצטברת מול אשתקד'!A40,הראל!A:K,11,0)+VLOOKUP('תפוקה מצטברת מול אשתקד'!A40,הפניקס!A:K,11,0)+VLOOKUP('תפוקה מצטברת מול אשתקד'!A40,כלל!A:K,11,0)+VLOOKUP('תפוקה מצטברת מול אשתקד'!A40,מור!A:K,11,0)+VLOOKUP('תפוקה מצטברת מול אשתקד'!A40,'אלטשולר שחם'!A:K,11,0)+VLOOKUP('תפוקה מצטברת מול אשתקד'!A40,'מדיהו '!A:K,11,0)+VLOOKUP('תפוקה מצטברת מול אשתקד'!A40,'אנליסט '!A:K,11,0)+VLOOKUP('תפוקה מצטברת מול אשתקד'!A40,'מיטב דש'!A:K,11,0)+VLOOKUP('תפוקה מצטברת מול אשתקד'!A40,אינפניטי!A:K,11,0)</f>
        <v>1925377.0165280004</v>
      </c>
    </row>
    <row r="41" spans="1:15" ht="15.75" customHeight="1" x14ac:dyDescent="0.25">
      <c r="A41" s="26" t="s">
        <v>83</v>
      </c>
      <c r="B41" s="26" t="s">
        <v>56</v>
      </c>
      <c r="C41" s="27" t="s">
        <v>107</v>
      </c>
      <c r="D41" s="19">
        <f t="shared" si="0"/>
        <v>-0.9590852137714313</v>
      </c>
      <c r="E41" s="19">
        <f t="shared" si="0"/>
        <v>-0.41766979027720641</v>
      </c>
      <c r="F41" s="19">
        <f t="shared" si="0"/>
        <v>-0.76329343434343433</v>
      </c>
      <c r="G41" s="19">
        <f t="shared" si="8"/>
        <v>0</v>
      </c>
      <c r="H41" s="58">
        <f>VLOOKUP(A41,הכשרה!A:G,4,0)+VLOOKUP('תפוקה מצטברת מול אשתקד'!A41,מגדל!A:G,4,0)+VLOOKUP('תפוקה מצטברת מול אשתקד'!A41,מנורה!A:G,4,0)+VLOOKUP('תפוקה מצטברת מול אשתקד'!A41,איילון!A:G,4,0)+VLOOKUP('תפוקה מצטברת מול אשתקד'!A41,הראל!A:G,4,0)+VLOOKUP('תפוקה מצטברת מול אשתקד'!A41,הפניקס!A:G,4,0)+VLOOKUP('תפוקה מצטברת מול אשתקד'!A41,כלל!A:G,4,0)+VLOOKUP('תפוקה מצטברת מול אשתקד'!A41,מור!A:G,4,0)+VLOOKUP('תפוקה מצטברת מול אשתקד'!A41,'אלטשולר שחם'!A:G,4,0)+VLOOKUP('תפוקה מצטברת מול אשתקד'!A41,'מדיהו '!A:G,4,0)+VLOOKUP('תפוקה מצטברת מול אשתקד'!A41,'אנליסט '!A:G,4,0)+VLOOKUP('תפוקה מצטברת מול אשתקד'!A41,'מיטב דש'!A:G,4,0)+VLOOKUP('תפוקה מצטברת מול אשתקד'!A41,אינפניטי!A:G,4,0)</f>
        <v>9990</v>
      </c>
      <c r="I41" s="58">
        <f>VLOOKUP(A41,הכשרה!A:G,5,0)+VLOOKUP('תפוקה מצטברת מול אשתקד'!A41,מגדל!A:G,5,0)+VLOOKUP('תפוקה מצטברת מול אשתקד'!A41,מנורה!A:G,5,0)+VLOOKUP('תפוקה מצטברת מול אשתקד'!A41,איילון!A:G,5,0)+VLOOKUP('תפוקה מצטברת מול אשתקד'!A41,הראל!A:G,5,0)+VLOOKUP('תפוקה מצטברת מול אשתקד'!A41,הפניקס!A:G,5,0)+VLOOKUP('תפוקה מצטברת מול אשתקד'!A41,כלל!A:G,5,0)+VLOOKUP('תפוקה מצטברת מול אשתקד'!A41,מור!A:G,5,0)+VLOOKUP('תפוקה מצטברת מול אשתקד'!A41,'אלטשולר שחם'!A:G,5,0)+VLOOKUP('תפוקה מצטברת מול אשתקד'!A41,'מדיהו '!A:G,5,0)+VLOOKUP('תפוקה מצטברת מול אשתקד'!A41,'אנליסט '!A:G,5,0)+VLOOKUP('תפוקה מצטברת מול אשתקד'!A41,'מיטב דש'!A:G,5,0)+VLOOKUP('תפוקה מצטברת מול אשתקד'!A41,אינפניטי!A:G,5,0)</f>
        <v>22361.585827814568</v>
      </c>
      <c r="J41" s="58">
        <f>VLOOKUP(A41,הכשרה!A:G,6,0)+VLOOKUP('תפוקה מצטברת מול אשתקד'!A41,מגדל!A:G,6,0)+VLOOKUP('תפוקה מצטברת מול אשתקד'!A41,מנורה!A:G,6,0)+VLOOKUP('תפוקה מצטברת מול אשתקד'!A41,איילון!A:G,6,0)+VLOOKUP(A41,הראל!A:G,6,0)+VLOOKUP('תפוקה מצטברת מול אשתקד'!A41,הפניקס!A:G,6,0)+VLOOKUP('תפוקה מצטברת מול אשתקד'!A41,כלל!A:G,6,0)+VLOOKUP('תפוקה מצטברת מול אשתקד'!A41,מור!A:G,6,0)+VLOOKUP('תפוקה מצטברת מול אשתקד'!A41,'אלטשולר שחם'!A:G,6,0)+VLOOKUP('תפוקה מצטברת מול אשתקד'!A41,'מדיהו '!A:G,6,0)+VLOOKUP('תפוקה מצטברת מול אשתקד'!A41,'אנליסט '!A:G,6,0)+VLOOKUP('תפוקה מצטברת מול אשתקד'!A41,'מיטב דש'!A:G,6,0)+VLOOKUP('תפוקה מצטברת מול אשתקד'!A41,אינפניטי!A:G,6,0)</f>
        <v>9373.58</v>
      </c>
      <c r="K41" s="58">
        <f>VLOOKUP(A41,הכשרה!A:G,7,0)+VLOOKUP('תפוקה מצטברת מול אשתקד'!A41,מגדל!A:G,7,0)+VLOOKUP('תפוקה מצטברת מול אשתקד'!A41,מנורה!A:G,7,0)+VLOOKUP('תפוקה מצטברת מול אשתקד'!A41,איילון!A:G,7,0)+VLOOKUP('תפוקה מצטברת מול אשתקד'!A41,הראל!A:G,7,0)+VLOOKUP('תפוקה מצטברת מול אשתקד'!A41,הפניקס!A:G,7,0)+VLOOKUP('תפוקה מצטברת מול אשתקד'!A41,כלל!A:G,7,0)+VLOOKUP('תפוקה מצטברת מול אשתקד'!A41,מור!A:G,7,0)+VLOOKUP('תפוקה מצטברת מול אשתקד'!A41,'אלטשולר שחם'!A:G,7,0)+VLOOKUP('תפוקה מצטברת מול אשתקד'!A41,'מדיהו '!A:K,7,0)+VLOOKUP(A41,'אנליסט '!A:G,7,0)+VLOOKUP('תפוקה מצטברת מול אשתקד'!A41,'מיטב דש'!A:G,7,0)+VLOOKUP('תפוקה מצטברת מול אשתקד'!A41,אינפניטי!A:G,7,0)</f>
        <v>0</v>
      </c>
      <c r="L41" s="12">
        <f>VLOOKUP(A41,הכשרה!A:K,8,0)+VLOOKUP('תפוקה מצטברת מול אשתקד'!A41,מגדל!A:K,8,0)+VLOOKUP('תפוקה מצטברת מול אשתקד'!A41,מנורה!A:K,8,0)+VLOOKUP('תפוקה מצטברת מול אשתקד'!A41,איילון!A:K,8,0)+VLOOKUP('תפוקה מצטברת מול אשתקד'!A41,הראל!A:K,8,0)+VLOOKUP('תפוקה מצטברת מול אשתקד'!A41,הפניקס!A:K,8,0)+VLOOKUP('תפוקה מצטברת מול אשתקד'!A41,כלל!A:K,8,0)+VLOOKUP('תפוקה מצטברת מול אשתקד'!A41,מור!A:K,8,0)+VLOOKUP('תפוקה מצטברת מול אשתקד'!A41,'אלטשולר שחם'!A:K,8,0)+VLOOKUP('תפוקה מצטברת מול אשתקד'!A41,'מדיהו '!A:K,8,0)+VLOOKUP('תפוקה מצטברת מול אשתקד'!A41,'אנליסט '!A:K,8,0)+VLOOKUP('תפוקה מצטברת מול אשתקד'!A41,'מיטב דש'!A:K,8,0)+VLOOKUP('תפוקה מצטברת מול אשתקד'!A41,אינפניטי!A:K,8,0)</f>
        <v>244166.00747200003</v>
      </c>
      <c r="M41" s="12">
        <f>VLOOKUP(A41,הכשרה!A:K,9,0)+VLOOKUP('תפוקה מצטברת מול אשתקד'!A41,מגדל!A:K,9,0)+VLOOKUP('תפוקה מצטברת מול אשתקד'!A41,מנורה!A:K,9,0)+VLOOKUP('תפוקה מצטברת מול אשתקד'!A41,איילון!A:K,9,0)+VLOOKUP('תפוקה מצטברת מול אשתקד'!A41,הראל!A:K,9,0)+VLOOKUP('תפוקה מצטברת מול אשתקד'!A41,הפניקס!A:K,9,0)+VLOOKUP('תפוקה מצטברת מול אשתקד'!A41,כלל!A:K,9,0)+VLOOKUP('תפוקה מצטברת מול אשתקד'!A41,מור!A:K,9,0)+VLOOKUP('תפוקה מצטברת מול אשתקד'!A41,'אלטשולר שחם'!A:K,9,0)+VLOOKUP('תפוקה מצטברת מול אשתקד'!A41,'מדיהו '!A:K,9,0)+VLOOKUP('תפוקה מצטברת מול אשתקד'!A41,'אנליסט '!A:K,9,0)+VLOOKUP('תפוקה מצטברת מול אשתקד'!A41,'מיטב דש'!A:K,9,0)+VLOOKUP('תפוקה מצטברת מול אשתקד'!A41,אינפניטי!A:K,9,0)</f>
        <v>38400.181640000003</v>
      </c>
      <c r="N41" s="12">
        <f>VLOOKUP(A41,הכשרה!A:K,10,0)+VLOOKUP('תפוקה מצטברת מול אשתקד'!A41,מגדל!A:K,10,0)+VLOOKUP('תפוקה מצטברת מול אשתקד'!A41,מנורה!A:K,10,0)+VLOOKUP('תפוקה מצטברת מול אשתקד'!A41,איילון!A:K,10,0)+VLOOKUP('תפוקה מצטברת מול אשתקד'!A41,הראל!A:K,10,0)+VLOOKUP('תפוקה מצטברת מול אשתקד'!A41,הפניקס!A:K,10,0)+VLOOKUP('תפוקה מצטברת מול אשתקד'!A41,כלל!A:K,10,0)+VLOOKUP('תפוקה מצטברת מול אשתקד'!A41,מור!A:K,10,0)+VLOOKUP('תפוקה מצטברת מול אשתקד'!A41,'אלטשולר שחם'!A:K,10,0)+VLOOKUP('תפוקה מצטברת מול אשתקד'!A41,'מדיהו '!A:K,10,0)+VLOOKUP('תפוקה מצטברת מול אשתקד'!A41,'אנליסט '!A:K,10,0)+VLOOKUP('תפוקה מצטברת מול אשתקד'!A41,'מיטב דש'!A:K,10,0)+VLOOKUP('תפוקה מצטברת מול אשתקד'!A41,אינפניטי!A:K,10,0)</f>
        <v>39600</v>
      </c>
      <c r="O41" s="12">
        <f>VLOOKUP(A41,הכשרה!A:K,11,0)+VLOOKUP('תפוקה מצטברת מול אשתקד'!A41,מגדל!A:K,11,0)+VLOOKUP('תפוקה מצטברת מול אשתקד'!A41,מנורה!A:K,11,0)+VLOOKUP('תפוקה מצטברת מול אשתקד'!A41,איילון!A:K,11,0)+VLOOKUP('תפוקה מצטברת מול אשתקד'!A41,הראל!A:K,11,0)+VLOOKUP('תפוקה מצטברת מול אשתקד'!A41,הפניקס!A:K,11,0)+VLOOKUP('תפוקה מצטברת מול אשתקד'!A41,כלל!A:K,11,0)+VLOOKUP('תפוקה מצטברת מול אשתקד'!A41,מור!A:K,11,0)+VLOOKUP('תפוקה מצטברת מול אשתקד'!A41,'אלטשולר שחם'!A:K,11,0)+VLOOKUP('תפוקה מצטברת מול אשתקד'!A41,'מדיהו '!A:K,11,0)+VLOOKUP('תפוקה מצטברת מול אשתקד'!A41,'אנליסט '!A:K,11,0)+VLOOKUP('תפוקה מצטברת מול אשתקד'!A41,'מיטב דש'!A:K,11,0)+VLOOKUP('תפוקה מצטברת מול אשתקד'!A41,אינפניטי!A:K,11,0)</f>
        <v>130867.38503999999</v>
      </c>
    </row>
    <row r="42" spans="1:15" ht="15.75" customHeight="1" x14ac:dyDescent="0.25">
      <c r="A42" s="26" t="s">
        <v>82</v>
      </c>
      <c r="B42" s="26" t="s">
        <v>56</v>
      </c>
      <c r="C42" s="27" t="s">
        <v>107</v>
      </c>
      <c r="D42" s="19">
        <f t="shared" si="0"/>
        <v>1</v>
      </c>
      <c r="E42" s="19">
        <f t="shared" si="0"/>
        <v>7.1759269931143219</v>
      </c>
      <c r="F42" s="19">
        <f t="shared" si="0"/>
        <v>2.9178720204433941</v>
      </c>
      <c r="G42" s="19">
        <f t="shared" si="8"/>
        <v>-0.95536478523856116</v>
      </c>
      <c r="H42" s="58">
        <f>VLOOKUP(A42,הכשרה!A:G,4,0)+VLOOKUP('תפוקה מצטברת מול אשתקד'!A42,מגדל!A:G,4,0)+VLOOKUP('תפוקה מצטברת מול אשתקד'!A42,מנורה!A:G,4,0)+VLOOKUP('תפוקה מצטברת מול אשתקד'!A42,איילון!A:G,4,0)+VLOOKUP('תפוקה מצטברת מול אשתקד'!A42,הראל!A:G,4,0)+VLOOKUP('תפוקה מצטברת מול אשתקד'!A42,הפניקס!A:G,4,0)+VLOOKUP('תפוקה מצטברת מול אשתקד'!A42,כלל!A:G,4,0)+VLOOKUP('תפוקה מצטברת מול אשתקד'!A42,מור!A:G,4,0)+VLOOKUP('תפוקה מצטברת מול אשתקד'!A42,'אלטשולר שחם'!A:G,4,0)+VLOOKUP('תפוקה מצטברת מול אשתקד'!A42,'מדיהו '!A:G,4,0)+VLOOKUP('תפוקה מצטברת מול אשתקד'!A42,'אנליסט '!A:G,4,0)+VLOOKUP('תפוקה מצטברת מול אשתקד'!A42,'מיטב דש'!A:G,4,0)+VLOOKUP('תפוקה מצטברת מול אשתקד'!A42,אינפניטי!A:G,4,0)</f>
        <v>7023.9139754816115</v>
      </c>
      <c r="I42" s="58">
        <f>VLOOKUP(A42,הכשרה!A:G,5,0)+VLOOKUP('תפוקה מצטברת מול אשתקד'!A42,מגדל!A:G,5,0)+VLOOKUP('תפוקה מצטברת מול אשתקד'!A42,מנורה!A:G,5,0)+VLOOKUP('תפוקה מצטברת מול אשתקד'!A42,איילון!A:G,5,0)+VLOOKUP('תפוקה מצטברת מול אשתקד'!A42,הראל!A:G,5,0)+VLOOKUP('תפוקה מצטברת מול אשתקד'!A42,הפניקס!A:G,5,0)+VLOOKUP('תפוקה מצטברת מול אשתקד'!A42,כלל!A:G,5,0)+VLOOKUP('תפוקה מצטברת מול אשתקד'!A42,מור!A:G,5,0)+VLOOKUP('תפוקה מצטברת מול אשתקד'!A42,'אלטשולר שחם'!A:G,5,0)+VLOOKUP('תפוקה מצטברת מול אשתקד'!A42,'מדיהו '!A:G,5,0)+VLOOKUP('תפוקה מצטברת מול אשתקד'!A42,'אנליסט '!A:G,5,0)+VLOOKUP('תפוקה מצטברת מול אשתקד'!A42,'מיטב דש'!A:G,5,0)+VLOOKUP('תפוקה מצטברת מול אשתקד'!A42,אינפניטי!A:G,5,0)</f>
        <v>24963.574239929949</v>
      </c>
      <c r="J42" s="58">
        <f>VLOOKUP(A42,הכשרה!A:G,6,0)+VLOOKUP('תפוקה מצטברת מול אשתקד'!A42,מגדל!A:G,6,0)+VLOOKUP('תפוקה מצטברת מול אשתקד'!A42,מנורה!A:G,6,0)+VLOOKUP('תפוקה מצטברת מול אשתקד'!A42,איילון!A:G,6,0)+VLOOKUP(A42,הראל!A:G,6,0)+VLOOKUP('תפוקה מצטברת מול אשתקד'!A42,הפניקס!A:G,6,0)+VLOOKUP('תפוקה מצטברת מול אשתקד'!A42,כלל!A:G,6,0)+VLOOKUP('תפוקה מצטברת מול אשתקד'!A42,מור!A:G,6,0)+VLOOKUP('תפוקה מצטברת מול אשתקד'!A42,'אלטשולר שחם'!A:G,6,0)+VLOOKUP('תפוקה מצטברת מול אשתקד'!A42,'מדיהו '!A:G,6,0)+VLOOKUP('תפוקה מצטברת מול אשתקד'!A42,'אנליסט '!A:G,6,0)+VLOOKUP('תפוקה מצטברת מול אשתקד'!A42,'מיטב דש'!A:G,6,0)+VLOOKUP('תפוקה מצטברת מול אשתקד'!A42,אינפניטי!A:G,6,0)</f>
        <v>495701</v>
      </c>
      <c r="K42" s="58">
        <f>VLOOKUP(A42,הכשרה!A:G,7,0)+VLOOKUP('תפוקה מצטברת מול אשתקד'!A42,מגדל!A:G,7,0)+VLOOKUP('תפוקה מצטברת מול אשתקד'!A42,מנורה!A:G,7,0)+VLOOKUP('תפוקה מצטברת מול אשתקד'!A42,איילון!A:G,7,0)+VLOOKUP('תפוקה מצטברת מול אשתקד'!A42,הראל!A:G,7,0)+VLOOKUP('תפוקה מצטברת מול אשתקד'!A42,הפניקס!A:G,7,0)+VLOOKUP('תפוקה מצטברת מול אשתקד'!A42,כלל!A:G,7,0)+VLOOKUP('תפוקה מצטברת מול אשתקד'!A42,מור!A:G,7,0)+VLOOKUP('תפוקה מצטברת מול אשתקד'!A42,'אלטשולר שחם'!A:G,7,0)+VLOOKUP('תפוקה מצטברת מול אשתקד'!A42,'מדיהו '!A:K,7,0)+VLOOKUP(A42,'אנליסט '!A:G,7,0)+VLOOKUP('תפוקה מצטברת מול אשתקד'!A42,'מיטב דש'!A:G,7,0)+VLOOKUP('תפוקה מצטברת מול אשתקד'!A42,אינפניטי!A:G,7,0)</f>
        <v>131441.16000000003</v>
      </c>
      <c r="L42" s="12">
        <f>VLOOKUP(A42,הכשרה!A:K,8,0)+VLOOKUP('תפוקה מצטברת מול אשתקד'!A42,מגדל!A:K,8,0)+VLOOKUP('תפוקה מצטברת מול אשתקד'!A42,מנורה!A:K,8,0)+VLOOKUP('תפוקה מצטברת מול אשתקד'!A42,איילון!A:K,8,0)+VLOOKUP('תפוקה מצטברת מול אשתקד'!A42,הראל!A:K,8,0)+VLOOKUP('תפוקה מצטברת מול אשתקד'!A42,הפניקס!A:K,8,0)+VLOOKUP('תפוקה מצטברת מול אשתקד'!A42,כלל!A:K,8,0)+VLOOKUP('תפוקה מצטברת מול אשתקד'!A42,מור!A:K,8,0)+VLOOKUP('תפוקה מצטברת מול אשתקד'!A42,'אלטשולר שחם'!A:K,8,0)+VLOOKUP('תפוקה מצטברת מול אשתקד'!A42,'מדיהו '!A:K,8,0)+VLOOKUP('תפוקה מצטברת מול אשתקד'!A42,'אנליסט '!A:K,8,0)+VLOOKUP('תפוקה מצטברת מול אשתקד'!A42,'מיטב דש'!A:K,8,0)+VLOOKUP('תפוקה מצטברת מול אשתקד'!A42,אינפניטי!A:K,8,0)</f>
        <v>0</v>
      </c>
      <c r="M42" s="12">
        <f>VLOOKUP(A42,הכשרה!A:K,9,0)+VLOOKUP('תפוקה מצטברת מול אשתקד'!A42,מגדל!A:K,9,0)+VLOOKUP('תפוקה מצטברת מול אשתקד'!A42,מנורה!A:K,9,0)+VLOOKUP('תפוקה מצטברת מול אשתקד'!A42,איילון!A:K,9,0)+VLOOKUP('תפוקה מצטברת מול אשתקד'!A42,הראל!A:K,9,0)+VLOOKUP('תפוקה מצטברת מול אשתקד'!A42,הפניקס!A:K,9,0)+VLOOKUP('תפוקה מצטברת מול אשתקד'!A42,כלל!A:K,9,0)+VLOOKUP('תפוקה מצטברת מול אשתקד'!A42,מור!A:K,9,0)+VLOOKUP('תפוקה מצטברת מול אשתקד'!A42,'אלטשולר שחם'!A:K,9,0)+VLOOKUP('תפוקה מצטברת מול אשתקד'!A42,'מדיהו '!A:K,9,0)+VLOOKUP('תפוקה מצטברת מול אשתקד'!A42,'אנליסט '!A:K,9,0)+VLOOKUP('תפוקה מצטברת מול אשתקד'!A42,'מיטב דש'!A:K,9,0)+VLOOKUP('תפוקה מצטברת מול אשתקד'!A42,אינפניטי!A:K,9,0)</f>
        <v>3053.3020000000001</v>
      </c>
      <c r="N42" s="12">
        <f>VLOOKUP(A42,הכשרה!A:K,10,0)+VLOOKUP('תפוקה מצטברת מול אשתקד'!A42,מגדל!A:K,10,0)+VLOOKUP('תפוקה מצטברת מול אשתקד'!A42,מנורה!A:K,10,0)+VLOOKUP('תפוקה מצטברת מול אשתקד'!A42,איילון!A:K,10,0)+VLOOKUP('תפוקה מצטברת מול אשתקד'!A42,הראל!A:K,10,0)+VLOOKUP('תפוקה מצטברת מול אשתקד'!A42,הפניקס!A:K,10,0)+VLOOKUP('תפוקה מצטברת מול אשתקד'!A42,כלל!A:K,10,0)+VLOOKUP('תפוקה מצטברת מול אשתקד'!A42,מור!A:K,10,0)+VLOOKUP('תפוקה מצטברת מול אשתקד'!A42,'אלטשולר שחם'!A:K,10,0)+VLOOKUP('תפוקה מצטברת מול אשתקד'!A42,'מדיהו '!A:K,10,0)+VLOOKUP('תפוקה מצטברת מול אשתקד'!A42,'אנליסט '!A:K,10,0)+VLOOKUP('תפוקה מצטברת מול אשתקד'!A42,'מיטב דש'!A:K,10,0)+VLOOKUP('תפוקה מצטברת מול אשתקד'!A42,אינפניטי!A:K,10,0)</f>
        <v>126523.02</v>
      </c>
      <c r="O42" s="12">
        <f>VLOOKUP(A42,הכשרה!A:K,11,0)+VLOOKUP('תפוקה מצטברת מול אשתקד'!A42,מגדל!A:K,11,0)+VLOOKUP('תפוקה מצטברת מול אשתקד'!A42,מנורה!A:K,11,0)+VLOOKUP('תפוקה מצטברת מול אשתקד'!A42,איילון!A:K,11,0)+VLOOKUP('תפוקה מצטברת מול אשתקד'!A42,הראל!A:K,11,0)+VLOOKUP('תפוקה מצטברת מול אשתקד'!A42,הפניקס!A:K,11,0)+VLOOKUP('תפוקה מצטברת מול אשתקד'!A42,כלל!A:K,11,0)+VLOOKUP('תפוקה מצטברת מול אשתקד'!A42,מור!A:K,11,0)+VLOOKUP('תפוקה מצטברת מול אשתקד'!A42,'אלטשולר שחם'!A:K,11,0)+VLOOKUP('תפוקה מצטברת מול אשתקד'!A42,'מדיהו '!A:K,11,0)+VLOOKUP('תפוקה מצטברת מול אשתקד'!A42,'אנליסט '!A:K,11,0)+VLOOKUP('תפוקה מצטברת מול אשתקד'!A42,'מיטב דש'!A:K,11,0)+VLOOKUP('תפוקה מצטברת מול אשתקד'!A42,אינפניטי!A:K,11,0)</f>
        <v>2944786.0999999996</v>
      </c>
    </row>
    <row r="43" spans="1:15" ht="15.75" customHeight="1" x14ac:dyDescent="0.25">
      <c r="A43" s="28" t="s">
        <v>85</v>
      </c>
      <c r="B43" s="26" t="s">
        <v>56</v>
      </c>
      <c r="C43" s="27" t="s">
        <v>107</v>
      </c>
      <c r="D43" s="19">
        <f t="shared" si="0"/>
        <v>0</v>
      </c>
      <c r="E43" s="19">
        <f t="shared" si="0"/>
        <v>1</v>
      </c>
      <c r="F43" s="19">
        <f t="shared" si="0"/>
        <v>0</v>
      </c>
      <c r="G43" s="19">
        <f t="shared" si="8"/>
        <v>0</v>
      </c>
      <c r="H43" s="58">
        <f>VLOOKUP(A43,הכשרה!A:G,4,0)+VLOOKUP('תפוקה מצטברת מול אשתקד'!A43,מגדל!A:G,4,0)+VLOOKUP('תפוקה מצטברת מול אשתקד'!A43,מנורה!A:G,4,0)+VLOOKUP('תפוקה מצטברת מול אשתקד'!A43,איילון!A:G,4,0)+VLOOKUP('תפוקה מצטברת מול אשתקד'!A43,הראל!A:G,4,0)+VLOOKUP('תפוקה מצטברת מול אשתקד'!A43,הפניקס!A:G,4,0)+VLOOKUP('תפוקה מצטברת מול אשתקד'!A43,כלל!A:G,4,0)+VLOOKUP('תפוקה מצטברת מול אשתקד'!A43,מור!A:G,4,0)+VLOOKUP('תפוקה מצטברת מול אשתקד'!A43,'אלטשולר שחם'!A:G,4,0)+VLOOKUP('תפוקה מצטברת מול אשתקד'!A43,'מדיהו '!A:G,4,0)+VLOOKUP('תפוקה מצטברת מול אשתקד'!A43,'אנליסט '!A:G,4,0)+VLOOKUP('תפוקה מצטברת מול אשתקד'!A43,'מיטב דש'!A:G,4,0)+VLOOKUP('תפוקה מצטברת מול אשתקד'!A43,אינפניטי!A:G,4,0)</f>
        <v>0</v>
      </c>
      <c r="I43" s="58">
        <f>VLOOKUP(A43,הכשרה!A:G,5,0)+VLOOKUP('תפוקה מצטברת מול אשתקד'!A43,מגדל!A:G,5,0)+VLOOKUP('תפוקה מצטברת מול אשתקד'!A43,מנורה!A:G,5,0)+VLOOKUP('תפוקה מצטברת מול אשתקד'!A43,איילון!A:G,5,0)+VLOOKUP('תפוקה מצטברת מול אשתקד'!A43,הראל!A:G,5,0)+VLOOKUP('תפוקה מצטברת מול אשתקד'!A43,הפניקס!A:G,5,0)+VLOOKUP('תפוקה מצטברת מול אשתקד'!A43,כלל!A:G,5,0)+VLOOKUP('תפוקה מצטברת מול אשתקד'!A43,מור!A:G,5,0)+VLOOKUP('תפוקה מצטברת מול אשתקד'!A43,'אלטשולר שחם'!A:G,5,0)+VLOOKUP('תפוקה מצטברת מול אשתקד'!A43,'מדיהו '!A:G,5,0)+VLOOKUP('תפוקה מצטברת מול אשתקד'!A43,'אנליסט '!A:G,5,0)+VLOOKUP('תפוקה מצטברת מול אשתקד'!A43,'מיטב דש'!A:G,5,0)+VLOOKUP('תפוקה מצטברת מול אשתקד'!A43,אינפניטי!A:G,5,0)</f>
        <v>5594.8389999999999</v>
      </c>
      <c r="J43" s="58">
        <f>VLOOKUP(A43,הכשרה!A:G,6,0)+VLOOKUP('תפוקה מצטברת מול אשתקד'!A43,מגדל!A:G,6,0)+VLOOKUP('תפוקה מצטברת מול אשתקד'!A43,מנורה!A:G,6,0)+VLOOKUP('תפוקה מצטברת מול אשתקד'!A43,איילון!A:G,6,0)+VLOOKUP(A43,הראל!A:G,6,0)+VLOOKUP('תפוקה מצטברת מול אשתקד'!A43,הפניקס!A:G,6,0)+VLOOKUP('תפוקה מצטברת מול אשתקד'!A43,כלל!A:G,6,0)+VLOOKUP('תפוקה מצטברת מול אשתקד'!A43,מור!A:G,6,0)+VLOOKUP('תפוקה מצטברת מול אשתקד'!A43,'אלטשולר שחם'!A:G,6,0)+VLOOKUP('תפוקה מצטברת מול אשתקד'!A43,'מדיהו '!A:G,6,0)+VLOOKUP('תפוקה מצטברת מול אשתקד'!A43,'אנליסט '!A:G,6,0)+VLOOKUP('תפוקה מצטברת מול אשתקד'!A43,'מיטב דש'!A:G,6,0)+VLOOKUP('תפוקה מצטברת מול אשתקד'!A43,אינפניטי!A:G,6,0)</f>
        <v>0</v>
      </c>
      <c r="K43" s="58">
        <f>VLOOKUP(A43,הכשרה!A:G,7,0)+VLOOKUP('תפוקה מצטברת מול אשתקד'!A43,מגדל!A:G,7,0)+VLOOKUP('תפוקה מצטברת מול אשתקד'!A43,מנורה!A:G,7,0)+VLOOKUP('תפוקה מצטברת מול אשתקד'!A43,איילון!A:G,7,0)+VLOOKUP('תפוקה מצטברת מול אשתקד'!A43,הראל!A:G,7,0)+VLOOKUP('תפוקה מצטברת מול אשתקד'!A43,הפניקס!A:G,7,0)+VLOOKUP('תפוקה מצטברת מול אשתקד'!A43,כלל!A:G,7,0)+VLOOKUP('תפוקה מצטברת מול אשתקד'!A43,מור!A:G,7,0)+VLOOKUP('תפוקה מצטברת מול אשתקד'!A43,'אלטשולר שחם'!A:G,7,0)+VLOOKUP('תפוקה מצטברת מול אשתקד'!A43,'מדיהו '!A:K,7,0)+VLOOKUP(A43,'אנליסט '!A:G,7,0)+VLOOKUP('תפוקה מצטברת מול אשתקד'!A43,'מיטב דש'!A:G,7,0)+VLOOKUP('תפוקה מצטברת מול אשתקד'!A43,אינפניטי!A:G,7,0)</f>
        <v>0</v>
      </c>
      <c r="L43" s="12">
        <f>VLOOKUP(A43,הכשרה!A:K,8,0)+VLOOKUP('תפוקה מצטברת מול אשתקד'!A43,מגדל!A:K,8,0)+VLOOKUP('תפוקה מצטברת מול אשתקד'!A43,מנורה!A:K,8,0)+VLOOKUP('תפוקה מצטברת מול אשתקד'!A43,איילון!A:K,8,0)+VLOOKUP('תפוקה מצטברת מול אשתקד'!A43,הראל!A:K,8,0)+VLOOKUP('תפוקה מצטברת מול אשתקד'!A43,הפניקס!A:K,8,0)+VLOOKUP('תפוקה מצטברת מול אשתקד'!A43,כלל!A:K,8,0)+VLOOKUP('תפוקה מצטברת מול אשתקד'!A43,מור!A:K,8,0)+VLOOKUP('תפוקה מצטברת מול אשתקד'!A43,'אלטשולר שחם'!A:K,8,0)+VLOOKUP('תפוקה מצטברת מול אשתקד'!A43,'מדיהו '!A:K,8,0)+VLOOKUP('תפוקה מצטברת מול אשתקד'!A43,'אנליסט '!A:K,8,0)+VLOOKUP('תפוקה מצטברת מול אשתקד'!A43,'מיטב דש'!A:K,8,0)+VLOOKUP('תפוקה מצטברת מול אשתקד'!A43,אינפניטי!A:K,8,0)</f>
        <v>0</v>
      </c>
      <c r="M43" s="12">
        <f>VLOOKUP(A43,הכשרה!A:K,9,0)+VLOOKUP('תפוקה מצטברת מול אשתקד'!A43,מגדל!A:K,9,0)+VLOOKUP('תפוקה מצטברת מול אשתקד'!A43,מנורה!A:K,9,0)+VLOOKUP('תפוקה מצטברת מול אשתקד'!A43,איילון!A:K,9,0)+VLOOKUP('תפוקה מצטברת מול אשתקד'!A43,הראל!A:K,9,0)+VLOOKUP('תפוקה מצטברת מול אשתקד'!A43,הפניקס!A:K,9,0)+VLOOKUP('תפוקה מצטברת מול אשתקד'!A43,כלל!A:K,9,0)+VLOOKUP('תפוקה מצטברת מול אשתקד'!A43,מור!A:K,9,0)+VLOOKUP('תפוקה מצטברת מול אשתקד'!A43,'אלטשולר שחם'!A:K,9,0)+VLOOKUP('תפוקה מצטברת מול אשתקד'!A43,'מדיהו '!A:K,9,0)+VLOOKUP('תפוקה מצטברת מול אשתקד'!A43,'אנליסט '!A:K,9,0)+VLOOKUP('תפוקה מצטברת מול אשתקד'!A43,'מיטב דש'!A:K,9,0)+VLOOKUP('תפוקה מצטברת מול אשתקד'!A43,אינפניטי!A:K,9,0)</f>
        <v>0</v>
      </c>
      <c r="N43" s="12">
        <f>VLOOKUP(A43,הכשרה!A:K,10,0)+VLOOKUP('תפוקה מצטברת מול אשתקד'!A43,מגדל!A:K,10,0)+VLOOKUP('תפוקה מצטברת מול אשתקד'!A43,מנורה!A:K,10,0)+VLOOKUP('תפוקה מצטברת מול אשתקד'!A43,איילון!A:K,10,0)+VLOOKUP('תפוקה מצטברת מול אשתקד'!A43,הראל!A:K,10,0)+VLOOKUP('תפוקה מצטברת מול אשתקד'!A43,הפניקס!A:K,10,0)+VLOOKUP('תפוקה מצטברת מול אשתקד'!A43,כלל!A:K,10,0)+VLOOKUP('תפוקה מצטברת מול אשתקד'!A43,מור!A:K,10,0)+VLOOKUP('תפוקה מצטברת מול אשתקד'!A43,'אלטשולר שחם'!A:K,10,0)+VLOOKUP('תפוקה מצטברת מול אשתקד'!A43,'מדיהו '!A:K,10,0)+VLOOKUP('תפוקה מצטברת מול אשתקד'!A43,'אנליסט '!A:K,10,0)+VLOOKUP('תפוקה מצטברת מול אשתקד'!A43,'מיטב דש'!A:K,10,0)+VLOOKUP('תפוקה מצטברת מול אשתקד'!A43,אינפניטי!A:K,10,0)</f>
        <v>0</v>
      </c>
      <c r="O43" s="12">
        <f>VLOOKUP(A43,הכשרה!A:K,11,0)+VLOOKUP('תפוקה מצטברת מול אשתקד'!A43,מגדל!A:K,11,0)+VLOOKUP('תפוקה מצטברת מול אשתקד'!A43,מנורה!A:K,11,0)+VLOOKUP('תפוקה מצטברת מול אשתקד'!A43,איילון!A:K,11,0)+VLOOKUP('תפוקה מצטברת מול אשתקד'!A43,הראל!A:K,11,0)+VLOOKUP('תפוקה מצטברת מול אשתקד'!A43,הפניקס!A:K,11,0)+VLOOKUP('תפוקה מצטברת מול אשתקד'!A43,כלל!A:K,11,0)+VLOOKUP('תפוקה מצטברת מול אשתקד'!A43,מור!A:K,11,0)+VLOOKUP('תפוקה מצטברת מול אשתקד'!A43,'אלטשולר שחם'!A:K,11,0)+VLOOKUP('תפוקה מצטברת מול אשתקד'!A43,'מדיהו '!A:K,11,0)+VLOOKUP('תפוקה מצטברת מול אשתקד'!A43,'אנליסט '!A:K,11,0)+VLOOKUP('תפוקה מצטברת מול אשתקד'!A43,'מיטב דש'!A:K,11,0)+VLOOKUP('תפוקה מצטברת מול אשתקד'!A43,אינפניטי!A:K,11,0)</f>
        <v>0</v>
      </c>
    </row>
    <row r="44" spans="1:15" ht="15.75" customHeight="1" x14ac:dyDescent="0.25">
      <c r="A44" s="28" t="s">
        <v>87</v>
      </c>
      <c r="B44" s="26" t="s">
        <v>56</v>
      </c>
      <c r="C44" s="27" t="s">
        <v>107</v>
      </c>
      <c r="D44" s="19">
        <f t="shared" si="0"/>
        <v>-0.7596836537957885</v>
      </c>
      <c r="E44" s="19">
        <f t="shared" si="0"/>
        <v>-2.1627077652159374</v>
      </c>
      <c r="F44" s="19">
        <f t="shared" si="0"/>
        <v>1.0175774456496276</v>
      </c>
      <c r="G44" s="19">
        <v>1</v>
      </c>
      <c r="H44" s="58">
        <f>VLOOKUP(A44,הכשרה!A:G,4,0)+VLOOKUP('תפוקה מצטברת מול אשתקד'!A44,מגדל!A:G,4,0)+VLOOKUP('תפוקה מצטברת מול אשתקד'!A44,מנורה!A:G,4,0)+VLOOKUP('תפוקה מצטברת מול אשתקד'!A44,איילון!A:G,4,0)+VLOOKUP('תפוקה מצטברת מול אשתקד'!A44,הראל!A:G,4,0)+VLOOKUP('תפוקה מצטברת מול אשתקד'!A44,הפניקס!A:G,4,0)+VLOOKUP('תפוקה מצטברת מול אשתקד'!A44,כלל!A:G,4,0)+VLOOKUP('תפוקה מצטברת מול אשתקד'!A44,מור!A:G,4,0)+VLOOKUP('תפוקה מצטברת מול אשתקד'!A44,'אלטשולר שחם'!A:G,4,0)+VLOOKUP('תפוקה מצטברת מול אשתקד'!A44,'מדיהו '!A:G,4,0)+VLOOKUP('תפוקה מצטברת מול אשתקד'!A44,'אנליסט '!A:G,4,0)+VLOOKUP('תפוקה מצטברת מול אשתקד'!A44,'מיטב דש'!A:G,4,0)+VLOOKUP('תפוקה מצטברת מול אשתקד'!A44,אינפניטי!A:G,4,0)</f>
        <v>3349.2</v>
      </c>
      <c r="I44" s="58">
        <f>VLOOKUP(A44,הכשרה!A:G,5,0)+VLOOKUP('תפוקה מצטברת מול אשתקד'!A44,מגדל!A:G,5,0)+VLOOKUP('תפוקה מצטברת מול אשתקד'!A44,מנורה!A:G,5,0)+VLOOKUP('תפוקה מצטברת מול אשתקד'!A44,איילון!A:G,5,0)+VLOOKUP('תפוקה מצטברת מול אשתקד'!A44,הראל!A:G,5,0)+VLOOKUP('תפוקה מצטברת מול אשתקד'!A44,הפניקס!A:G,5,0)+VLOOKUP('תפוקה מצטברת מול אשתקד'!A44,כלל!A:G,5,0)+VLOOKUP('תפוקה מצטברת מול אשתקד'!A44,מור!A:G,5,0)+VLOOKUP('תפוקה מצטברת מול אשתקד'!A44,'אלטשולר שחם'!A:G,5,0)+VLOOKUP('תפוקה מצטברת מול אשתקד'!A44,'מדיהו '!A:G,5,0)+VLOOKUP('תפוקה מצטברת מול אשתקד'!A44,'אנליסט '!A:G,5,0)+VLOOKUP('תפוקה מצטברת מול אשתקד'!A44,'מיטב דש'!A:G,5,0)+VLOOKUP('תפוקה מצטברת מול אשתקד'!A44,אינפניטי!A:G,5,0)</f>
        <v>-4033.5030000000002</v>
      </c>
      <c r="J44" s="58">
        <f>VLOOKUP(A44,הכשרה!A:G,6,0)+VLOOKUP('תפוקה מצטברת מול אשתקד'!A44,מגדל!A:G,6,0)+VLOOKUP('תפוקה מצטברת מול אשתקד'!A44,מנורה!A:G,6,0)+VLOOKUP('תפוקה מצטברת מול אשתקד'!A44,איילון!A:G,6,0)+VLOOKUP(A44,הראל!A:G,6,0)+VLOOKUP('תפוקה מצטברת מול אשתקד'!A44,הפניקס!A:G,6,0)+VLOOKUP('תפוקה מצטברת מול אשתקד'!A44,כלל!A:G,6,0)+VLOOKUP('תפוקה מצטברת מול אשתקד'!A44,מור!A:G,6,0)+VLOOKUP('תפוקה מצטברת מול אשתקד'!A44,'אלטשולר שחם'!A:G,6,0)+VLOOKUP('תפוקה מצטברת מול אשתקד'!A44,'מדיהו '!A:G,6,0)+VLOOKUP('תפוקה מצטברת מול אשתקד'!A44,'אנליסט '!A:G,6,0)+VLOOKUP('תפוקה מצטברת מול אשתקד'!A44,'מיטב דש'!A:G,6,0)+VLOOKUP('תפוקה מצטברת מול אשתקד'!A44,אינפניטי!A:G,6,0)</f>
        <v>1022688.52</v>
      </c>
      <c r="K44" s="58">
        <f>VLOOKUP(A44,הכשרה!A:G,7,0)+VLOOKUP('תפוקה מצטברת מול אשתקד'!A44,מגדל!A:G,7,0)+VLOOKUP('תפוקה מצטברת מול אשתקד'!A44,מנורה!A:G,7,0)+VLOOKUP('תפוקה מצטברת מול אשתקד'!A44,איילון!A:G,7,0)+VLOOKUP('תפוקה מצטברת מול אשתקד'!A44,הראל!A:G,7,0)+VLOOKUP('תפוקה מצטברת מול אשתקד'!A44,הפניקס!A:G,7,0)+VLOOKUP('תפוקה מצטברת מול אשתקד'!A44,כלל!A:G,7,0)+VLOOKUP('תפוקה מצטברת מול אשתקד'!A44,מור!A:G,7,0)+VLOOKUP('תפוקה מצטברת מול אשתקד'!A44,'אלטשולר שחם'!A:G,7,0)+VLOOKUP('תפוקה מצטברת מול אשתקד'!A44,'מדיהו '!A:K,7,0)+VLOOKUP(A44,'אנליסט '!A:G,7,0)+VLOOKUP('תפוקה מצטברת מול אשתקד'!A44,'מיטב דש'!A:G,7,0)+VLOOKUP('תפוקה מצטברת מול אשתקד'!A44,אינפניטי!A:G,7,0)</f>
        <v>955923.42</v>
      </c>
      <c r="L44" s="12">
        <f>VLOOKUP(A44,הכשרה!A:K,8,0)+VLOOKUP('תפוקה מצטברת מול אשתקד'!A44,מגדל!A:K,8,0)+VLOOKUP('תפוקה מצטברת מול אשתקד'!A44,מנורה!A:K,8,0)+VLOOKUP('תפוקה מצטברת מול אשתקד'!A44,איילון!A:K,8,0)+VLOOKUP('תפוקה מצטברת מול אשתקד'!A44,הראל!A:K,8,0)+VLOOKUP('תפוקה מצטברת מול אשתקד'!A44,הפניקס!A:K,8,0)+VLOOKUP('תפוקה מצטברת מול אשתקד'!A44,כלל!A:K,8,0)+VLOOKUP('תפוקה מצטברת מול אשתקד'!A44,מור!A:K,8,0)+VLOOKUP('תפוקה מצטברת מול אשתקד'!A44,'אלטשולר שחם'!A:K,8,0)+VLOOKUP('תפוקה מצטברת מול אשתקד'!A44,'מדיהו '!A:K,8,0)+VLOOKUP('תפוקה מצטברת מול אשתקד'!A44,'אנליסט '!A:K,8,0)+VLOOKUP('תפוקה מצטברת מול אשתקד'!A44,'מיטב דש'!A:K,8,0)+VLOOKUP('תפוקה מצטברת מול אשתקד'!A44,אינפניטי!A:K,8,0)</f>
        <v>13936.630000000001</v>
      </c>
      <c r="M44" s="12">
        <f>VLOOKUP(A44,הכשרה!A:K,9,0)+VLOOKUP('תפוקה מצטברת מול אשתקד'!A44,מגדל!A:K,9,0)+VLOOKUP('תפוקה מצטברת מול אשתקד'!A44,מנורה!A:K,9,0)+VLOOKUP('תפוקה מצטברת מול אשתקד'!A44,איילון!A:K,9,0)+VLOOKUP('תפוקה מצטברת מול אשתקד'!A44,הראל!A:K,9,0)+VLOOKUP('תפוקה מצטברת מול אשתקד'!A44,הפניקס!A:K,9,0)+VLOOKUP('תפוקה מצטברת מול אשתקד'!A44,כלל!A:K,9,0)+VLOOKUP('תפוקה מצטברת מול אשתקד'!A44,מור!A:K,9,0)+VLOOKUP('תפוקה מצטברת מול אשתקד'!A44,'אלטשולר שחם'!A:K,9,0)+VLOOKUP('תפוקה מצטברת מול אשתקד'!A44,'מדיהו '!A:K,9,0)+VLOOKUP('תפוקה מצטברת מול אשתקד'!A44,'אנליסט '!A:K,9,0)+VLOOKUP('תפוקה מצטברת מול אשתקד'!A44,'מיטב דש'!A:K,9,0)+VLOOKUP('תפוקה מצטברת מול אשתקד'!A44,אינפניטי!A:K,9,0)</f>
        <v>3469.06</v>
      </c>
      <c r="N44" s="12">
        <f>VLOOKUP(A44,הכשרה!A:K,10,0)+VLOOKUP('תפוקה מצטברת מול אשתקד'!A44,מגדל!A:K,10,0)+VLOOKUP('תפוקה מצטברת מול אשתקד'!A44,מנורה!A:K,10,0)+VLOOKUP('תפוקה מצטברת מול אשתקד'!A44,איילון!A:K,10,0)+VLOOKUP('תפוקה מצטברת מול אשתקד'!A44,הראל!A:K,10,0)+VLOOKUP('תפוקה מצטברת מול אשתקד'!A44,הפניקס!A:K,10,0)+VLOOKUP('תפוקה מצטברת מול אשתקד'!A44,כלל!A:K,10,0)+VLOOKUP('תפוקה מצטברת מול אשתקד'!A44,מור!A:K,10,0)+VLOOKUP('תפוקה מצטברת מול אשתקד'!A44,'אלטשולר שחם'!A:K,10,0)+VLOOKUP('תפוקה מצטברת מול אשתקד'!A44,'מדיהו '!A:K,10,0)+VLOOKUP('תפוקה מצטברת מול אשתקד'!A44,'אנליסט '!A:K,10,0)+VLOOKUP('תפוקה מצטברת מול אשתקד'!A44,'מיטב דש'!A:K,10,0)+VLOOKUP('תפוקה מצטברת מול אשתקד'!A44,אינפניטי!A:K,10,0)</f>
        <v>506889.35</v>
      </c>
      <c r="O44" s="12">
        <f>VLOOKUP(A44,הכשרה!A:K,11,0)+VLOOKUP('תפוקה מצטברת מול אשתקד'!A44,מגדל!A:K,11,0)+VLOOKUP('תפוקה מצטברת מול אשתקד'!A44,מנורה!A:K,11,0)+VLOOKUP('תפוקה מצטברת מול אשתקד'!A44,איילון!A:K,11,0)+VLOOKUP('תפוקה מצטברת מול אשתקד'!A44,הראל!A:K,11,0)+VLOOKUP('תפוקה מצטברת מול אשתקד'!A44,הפניקס!A:K,11,0)+VLOOKUP('תפוקה מצטברת מול אשתקד'!A44,כלל!A:K,11,0)+VLOOKUP('תפוקה מצטברת מול אשתקד'!A44,מור!A:K,11,0)+VLOOKUP('תפוקה מצטברת מול אשתקד'!A44,'אלטשולר שחם'!A:K,11,0)+VLOOKUP('תפוקה מצטברת מול אשתקד'!A44,'מדיהו '!A:K,11,0)+VLOOKUP('תפוקה מצטברת מול אשתקד'!A44,'אנליסט '!A:K,11,0)+VLOOKUP('תפוקה מצטברת מול אשתקד'!A44,'מיטב דש'!A:K,11,0)+VLOOKUP('תפוקה מצטברת מול אשתקד'!A44,אינפניטי!A:K,11,0)</f>
        <v>0</v>
      </c>
    </row>
    <row r="45" spans="1:15" ht="15.75" customHeight="1" x14ac:dyDescent="0.25">
      <c r="A45" s="26" t="s">
        <v>97</v>
      </c>
      <c r="B45" s="26" t="s">
        <v>56</v>
      </c>
      <c r="C45" s="26" t="s">
        <v>107</v>
      </c>
      <c r="D45" s="19">
        <f t="shared" si="0"/>
        <v>0.79224592594023369</v>
      </c>
      <c r="E45" s="19">
        <f t="shared" si="0"/>
        <v>0.30884607482100801</v>
      </c>
      <c r="F45" s="19">
        <f t="shared" si="0"/>
        <v>19.544938178929858</v>
      </c>
      <c r="G45" s="19">
        <f t="shared" si="8"/>
        <v>-0.67465215354007058</v>
      </c>
      <c r="H45" s="58">
        <f>VLOOKUP(A45,הכשרה!A:G,4,0)+VLOOKUP('תפוקה מצטברת מול אשתקד'!A45,מגדל!A:G,4,0)+VLOOKUP('תפוקה מצטברת מול אשתקד'!A45,מנורה!A:G,4,0)+VLOOKUP('תפוקה מצטברת מול אשתקד'!A45,איילון!A:G,4,0)+VLOOKUP('תפוקה מצטברת מול אשתקד'!A45,הראל!A:G,4,0)+VLOOKUP('תפוקה מצטברת מול אשתקד'!A45,הפניקס!A:G,4,0)+VLOOKUP('תפוקה מצטברת מול אשתקד'!A45,כלל!A:G,4,0)+VLOOKUP('תפוקה מצטברת מול אשתקד'!A45,מור!A:G,4,0)+VLOOKUP('תפוקה מצטברת מול אשתקד'!A45,'אלטשולר שחם'!A:G,4,0)+VLOOKUP('תפוקה מצטברת מול אשתקד'!A45,'מדיהו '!A:G,4,0)+VLOOKUP('תפוקה מצטברת מול אשתקד'!A45,'אנליסט '!A:G,4,0)+VLOOKUP('תפוקה מצטברת מול אשתקד'!A45,'מיטב דש'!A:G,4,0)+VLOOKUP('תפוקה מצטברת מול אשתקד'!A45,אינפניטי!A:G,4,0)</f>
        <v>120698.38178</v>
      </c>
      <c r="I45" s="58">
        <f>VLOOKUP(A45,הכשרה!A:G,5,0)+VLOOKUP('תפוקה מצטברת מול אשתקד'!A45,מגדל!A:G,5,0)+VLOOKUP('תפוקה מצטברת מול אשתקד'!A45,מנורה!A:G,5,0)+VLOOKUP('תפוקה מצטברת מול אשתקד'!A45,איילון!A:G,5,0)+VLOOKUP('תפוקה מצטברת מול אשתקד'!A45,הראל!A:G,5,0)+VLOOKUP('תפוקה מצטברת מול אשתקד'!A45,הפניקס!A:G,5,0)+VLOOKUP('תפוקה מצטברת מול אשתקד'!A45,כלל!A:G,5,0)+VLOOKUP('תפוקה מצטברת מול אשתקד'!A45,מור!A:G,5,0)+VLOOKUP('תפוקה מצטברת מול אשתקד'!A45,'אלטשולר שחם'!A:G,5,0)+VLOOKUP('תפוקה מצטברת מול אשתקד'!A45,'מדיהו '!A:G,5,0)+VLOOKUP('תפוקה מצטברת מול אשתקד'!A45,'אנליסט '!A:G,5,0)+VLOOKUP('תפוקה מצטברת מול אשתקד'!A45,'מיטב דש'!A:G,5,0)+VLOOKUP('תפוקה מצטברת מול אשתקד'!A45,אינפניטי!A:G,5,0)</f>
        <v>1656.24</v>
      </c>
      <c r="J45" s="58">
        <f>VLOOKUP(A45,הכשרה!A:G,6,0)+VLOOKUP('תפוקה מצטברת מול אשתקד'!A45,מגדל!A:G,6,0)+VLOOKUP('תפוקה מצטברת מול אשתקד'!A45,מנורה!A:G,6,0)+VLOOKUP('תפוקה מצטברת מול אשתקד'!A45,איילון!A:G,6,0)+VLOOKUP(A45,הראל!A:G,6,0)+VLOOKUP('תפוקה מצטברת מול אשתקד'!A45,הפניקס!A:G,6,0)+VLOOKUP('תפוקה מצטברת מול אשתקד'!A45,כלל!A:G,6,0)+VLOOKUP('תפוקה מצטברת מול אשתקד'!A45,מור!A:G,6,0)+VLOOKUP('תפוקה מצטברת מול אשתקד'!A45,'אלטשולר שחם'!A:G,6,0)+VLOOKUP('תפוקה מצטברת מול אשתקד'!A45,'מדיהו '!A:G,6,0)+VLOOKUP('תפוקה מצטברת מול אשתקד'!A45,'אנליסט '!A:G,6,0)+VLOOKUP('תפוקה מצטברת מול אשתקד'!A45,'מיטב דש'!A:G,6,0)+VLOOKUP('תפוקה מצטברת מול אשתקד'!A45,אינפניטי!A:G,6,0)</f>
        <v>1489554.53</v>
      </c>
      <c r="K45" s="58">
        <f>VLOOKUP(A45,הכשרה!A:G,7,0)+VLOOKUP('תפוקה מצטברת מול אשתקד'!A45,מגדל!A:G,7,0)+VLOOKUP('תפוקה מצטברת מול אשתקד'!A45,מנורה!A:G,7,0)+VLOOKUP('תפוקה מצטברת מול אשתקד'!A45,איילון!A:G,7,0)+VLOOKUP('תפוקה מצטברת מול אשתקד'!A45,הראל!A:G,7,0)+VLOOKUP('תפוקה מצטברת מול אשתקד'!A45,הפניקס!A:G,7,0)+VLOOKUP('תפוקה מצטברת מול אשתקד'!A45,כלל!A:G,7,0)+VLOOKUP('תפוקה מצטברת מול אשתקד'!A45,מור!A:G,7,0)+VLOOKUP('תפוקה מצטברת מול אשתקד'!A45,'אלטשולר שחם'!A:G,7,0)+VLOOKUP('תפוקה מצטברת מול אשתקד'!A45,'מדיהו '!A:K,7,0)+VLOOKUP(A45,'אנליסט '!A:G,7,0)+VLOOKUP('תפוקה מצטברת מול אשתקד'!A45,'מיטב דש'!A:G,7,0)+VLOOKUP('תפוקה מצטברת מול אשתקד'!A45,אינפניטי!A:G,7,0)</f>
        <v>378465.19</v>
      </c>
      <c r="L45" s="12">
        <f>VLOOKUP(A45,הכשרה!A:K,8,0)+VLOOKUP('תפוקה מצטברת מול אשתקד'!A45,מגדל!A:K,8,0)+VLOOKUP('תפוקה מצטברת מול אשתקד'!A45,מנורה!A:K,8,0)+VLOOKUP('תפוקה מצטברת מול אשתקד'!A45,איילון!A:K,8,0)+VLOOKUP('תפוקה מצטברת מול אשתקד'!A45,הראל!A:K,8,0)+VLOOKUP('תפוקה מצטברת מול אשתקד'!A45,הפניקס!A:K,8,0)+VLOOKUP('תפוקה מצטברת מול אשתקד'!A45,כלל!A:K,8,0)+VLOOKUP('תפוקה מצטברת מול אשתקד'!A45,מור!A:K,8,0)+VLOOKUP('תפוקה מצטברת מול אשתקד'!A45,'אלטשולר שחם'!A:K,8,0)+VLOOKUP('תפוקה מצטברת מול אשתקד'!A45,'מדיהו '!A:K,8,0)+VLOOKUP('תפוקה מצטברת מול אשתקד'!A45,'אנליסט '!A:K,8,0)+VLOOKUP('תפוקה מצטברת מול אשתקד'!A45,'מיטב דש'!A:K,8,0)+VLOOKUP('תפוקה מצטברת מול אשתקד'!A45,אינפניטי!A:K,8,0)</f>
        <v>67344.765599999999</v>
      </c>
      <c r="M45" s="12">
        <f>VLOOKUP(A45,הכשרה!A:K,9,0)+VLOOKUP('תפוקה מצטברת מול אשתקד'!A45,מגדל!A:K,9,0)+VLOOKUP('תפוקה מצטברת מול אשתקד'!A45,מנורה!A:K,9,0)+VLOOKUP('תפוקה מצטברת מול אשתקד'!A45,איילון!A:K,9,0)+VLOOKUP('תפוקה מצטברת מול אשתקד'!A45,הראל!A:K,9,0)+VLOOKUP('תפוקה מצטברת מול אשתקד'!A45,הפניקס!A:K,9,0)+VLOOKUP('תפוקה מצטברת מול אשתקד'!A45,כלל!A:K,9,0)+VLOOKUP('תפוקה מצטברת מול אשתקד'!A45,מור!A:K,9,0)+VLOOKUP('תפוקה מצטברת מול אשתקד'!A45,'אלטשולר שחם'!A:K,9,0)+VLOOKUP('תפוקה מצטברת מול אשתקד'!A45,'מדיהו '!A:K,9,0)+VLOOKUP('תפוקה מצטברת מול אשתקד'!A45,'אנליסט '!A:K,9,0)+VLOOKUP('תפוקה מצטברת מול אשתקד'!A45,'מיטב דש'!A:K,9,0)+VLOOKUP('תפוקה מצטברת מול אשתקד'!A45,אינפניטי!A:K,9,0)</f>
        <v>1265.42</v>
      </c>
      <c r="N45" s="12">
        <f>VLOOKUP(A45,הכשרה!A:K,10,0)+VLOOKUP('תפוקה מצטברת מול אשתקד'!A45,מגדל!A:K,10,0)+VLOOKUP('תפוקה מצטברת מול אשתקד'!A45,מנורה!A:K,10,0)+VLOOKUP('תפוקה מצטברת מול אשתקד'!A45,איילון!A:K,10,0)+VLOOKUP('תפוקה מצטברת מול אשתקד'!A45,הראל!A:K,10,0)+VLOOKUP('תפוקה מצטברת מול אשתקד'!A45,הפניקס!A:K,10,0)+VLOOKUP('תפוקה מצטברת מול אשתקד'!A45,כלל!A:K,10,0)+VLOOKUP('תפוקה מצטברת מול אשתקד'!A45,מור!A:K,10,0)+VLOOKUP('תפוקה מצטברת מול אשתקד'!A45,'אלטשולר שחם'!A:K,10,0)+VLOOKUP('תפוקה מצטברת מול אשתקד'!A45,'מדיהו '!A:K,10,0)+VLOOKUP('תפוקה מצטברת מול אשתקד'!A45,'אנליסט '!A:K,10,0)+VLOOKUP('תפוקה מצטברת מול אשתקד'!A45,'מיטב דש'!A:K,10,0)+VLOOKUP('תפוקה מצטברת מול אשתקד'!A45,אינפניטי!A:K,10,0)</f>
        <v>72502.263916648488</v>
      </c>
      <c r="O45" s="12">
        <f>VLOOKUP(A45,הכשרה!A:K,11,0)+VLOOKUP('תפוקה מצטברת מול אשתקד'!A45,מגדל!A:K,11,0)+VLOOKUP('תפוקה מצטברת מול אשתקד'!A45,מנורה!A:K,11,0)+VLOOKUP('תפוקה מצטברת מול אשתקד'!A45,איילון!A:K,11,0)+VLOOKUP('תפוקה מצטברת מול אשתקד'!A45,הראל!A:K,11,0)+VLOOKUP('תפוקה מצטברת מול אשתקד'!A45,הפניקס!A:K,11,0)+VLOOKUP('תפוקה מצטברת מול אשתקד'!A45,כלל!A:K,11,0)+VLOOKUP('תפוקה מצטברת מול אשתקד'!A45,מור!A:K,11,0)+VLOOKUP('תפוקה מצטברת מול אשתקד'!A45,'אלטשולר שחם'!A:K,11,0)+VLOOKUP('תפוקה מצטברת מול אשתקד'!A45,'מדיהו '!A:K,11,0)+VLOOKUP('תפוקה מצטברת מול אשתקד'!A45,'אנליסט '!A:K,11,0)+VLOOKUP('תפוקה מצטברת מול אשתקד'!A45,'מיטב דש'!A:K,11,0)+VLOOKUP('תפוקה מצטברת מול אשתקד'!A45,אינפניטי!A:K,11,0)</f>
        <v>1163263.24</v>
      </c>
    </row>
    <row r="46" spans="1:15" ht="15.75" customHeight="1" x14ac:dyDescent="0.25">
      <c r="A46" s="26" t="s">
        <v>39</v>
      </c>
      <c r="B46" s="26" t="s">
        <v>56</v>
      </c>
      <c r="C46" s="26" t="s">
        <v>107</v>
      </c>
      <c r="D46" s="19">
        <f t="shared" si="0"/>
        <v>-0.77871360985991034</v>
      </c>
      <c r="E46" s="19">
        <f t="shared" si="0"/>
        <v>9.6301714001564314</v>
      </c>
      <c r="F46" s="19">
        <f t="shared" si="0"/>
        <v>0</v>
      </c>
      <c r="G46" s="19">
        <v>1</v>
      </c>
      <c r="H46" s="58">
        <f>VLOOKUP(A46,הכשרה!A:G,4,0)+VLOOKUP('תפוקה מצטברת מול אשתקד'!A46,מגדל!A:G,4,0)+VLOOKUP('תפוקה מצטברת מול אשתקד'!A46,מנורה!A:G,4,0)+VLOOKUP('תפוקה מצטברת מול אשתקד'!A46,איילון!A:G,4,0)+VLOOKUP('תפוקה מצטברת מול אשתקד'!A46,הראל!A:G,4,0)+VLOOKUP('תפוקה מצטברת מול אשתקד'!A46,הפניקס!A:G,4,0)+VLOOKUP('תפוקה מצטברת מול אשתקד'!A46,כלל!A:G,4,0)+VLOOKUP('תפוקה מצטברת מול אשתקד'!A46,מור!A:G,4,0)+VLOOKUP('תפוקה מצטברת מול אשתקד'!A46,'אלטשולר שחם'!A:G,4,0)+VLOOKUP('תפוקה מצטברת מול אשתקד'!A46,'מדיהו '!A:G,4,0)+VLOOKUP('תפוקה מצטברת מול אשתקד'!A46,'אנליסט '!A:G,4,0)+VLOOKUP('תפוקה מצטברת מול אשתקד'!A46,'מיטב דש'!A:G,4,0)+VLOOKUP('תפוקה מצטברת מול אשתקד'!A46,אינפניטי!A:G,4,0)</f>
        <v>25403.37</v>
      </c>
      <c r="I46" s="58">
        <f>VLOOKUP(A46,הכשרה!A:G,5,0)+VLOOKUP('תפוקה מצטברת מול אשתקד'!A46,מגדל!A:G,5,0)+VLOOKUP('תפוקה מצטברת מול אשתקד'!A46,מנורה!A:G,5,0)+VLOOKUP('תפוקה מצטברת מול אשתקד'!A46,איילון!A:G,5,0)+VLOOKUP('תפוקה מצטברת מול אשתקד'!A46,הראל!A:G,5,0)+VLOOKUP('תפוקה מצטברת מול אשתקד'!A46,הפניקס!A:G,5,0)+VLOOKUP('תפוקה מצטברת מול אשתקד'!A46,כלל!A:G,5,0)+VLOOKUP('תפוקה מצטברת מול אשתקד'!A46,מור!A:G,5,0)+VLOOKUP('תפוקה מצטברת מול אשתקד'!A46,'אלטשולר שחם'!A:G,5,0)+VLOOKUP('תפוקה מצטברת מול אשתקד'!A46,'מדיהו '!A:G,5,0)+VLOOKUP('תפוקה מצטברת מול אשתקד'!A46,'אנליסט '!A:G,5,0)+VLOOKUP('תפוקה מצטברת מול אשתקד'!A46,'מיטב דש'!A:G,5,0)+VLOOKUP('תפוקה מצטברת מול אשתקד'!A46,אינפניטי!A:G,5,0)</f>
        <v>20522.29</v>
      </c>
      <c r="J46" s="58">
        <f>VLOOKUP(A46,הכשרה!A:G,6,0)+VLOOKUP('תפוקה מצטברת מול אשתקד'!A46,מגדל!A:G,6,0)+VLOOKUP('תפוקה מצטברת מול אשתקד'!A46,מנורה!A:G,6,0)+VLOOKUP('תפוקה מצטברת מול אשתקד'!A46,איילון!A:G,6,0)+VLOOKUP(A46,הראל!A:G,6,0)+VLOOKUP('תפוקה מצטברת מול אשתקד'!A46,הפניקס!A:G,6,0)+VLOOKUP('תפוקה מצטברת מול אשתקד'!A46,כלל!A:G,6,0)+VLOOKUP('תפוקה מצטברת מול אשתקד'!A46,מור!A:G,6,0)+VLOOKUP('תפוקה מצטברת מול אשתקד'!A46,'אלטשולר שחם'!A:G,6,0)+VLOOKUP('תפוקה מצטברת מול אשתקד'!A46,'מדיהו '!A:G,6,0)+VLOOKUP('תפוקה מצטברת מול אשתקד'!A46,'אנליסט '!A:G,6,0)+VLOOKUP('תפוקה מצטברת מול אשתקד'!A46,'מיטב דש'!A:G,6,0)+VLOOKUP('תפוקה מצטברת מול אשתקד'!A46,אינפניטי!A:G,6,0)</f>
        <v>0</v>
      </c>
      <c r="K46" s="58">
        <f>VLOOKUP(A46,הכשרה!A:G,7,0)+VLOOKUP('תפוקה מצטברת מול אשתקד'!A46,מגדל!A:G,7,0)+VLOOKUP('תפוקה מצטברת מול אשתקד'!A46,מנורה!A:G,7,0)+VLOOKUP('תפוקה מצטברת מול אשתקד'!A46,איילון!A:G,7,0)+VLOOKUP('תפוקה מצטברת מול אשתקד'!A46,הראל!A:G,7,0)+VLOOKUP('תפוקה מצטברת מול אשתקד'!A46,הפניקס!A:G,7,0)+VLOOKUP('תפוקה מצטברת מול אשתקד'!A46,כלל!A:G,7,0)+VLOOKUP('תפוקה מצטברת מול אשתקד'!A46,מור!A:G,7,0)+VLOOKUP('תפוקה מצטברת מול אשתקד'!A46,'אלטשולר שחם'!A:G,7,0)+VLOOKUP('תפוקה מצטברת מול אשתקד'!A46,'מדיהו '!A:K,7,0)+VLOOKUP(A46,'אנליסט '!A:G,7,0)+VLOOKUP('תפוקה מצטברת מול אשתקד'!A46,'מיטב דש'!A:G,7,0)+VLOOKUP('תפוקה מצטברת מול אשתקד'!A46,אינפניטי!A:G,7,0)</f>
        <v>140389.29</v>
      </c>
      <c r="L46" s="12">
        <f>VLOOKUP(A46,הכשרה!A:K,8,0)+VLOOKUP('תפוקה מצטברת מול אשתקד'!A46,מגדל!A:K,8,0)+VLOOKUP('תפוקה מצטברת מול אשתקד'!A46,מנורה!A:K,8,0)+VLOOKUP('תפוקה מצטברת מול אשתקד'!A46,איילון!A:K,8,0)+VLOOKUP('תפוקה מצטברת מול אשתקד'!A46,הראל!A:K,8,0)+VLOOKUP('תפוקה מצטברת מול אשתקד'!A46,הפניקס!A:K,8,0)+VLOOKUP('תפוקה מצטברת מול אשתקד'!A46,כלל!A:K,8,0)+VLOOKUP('תפוקה מצטברת מול אשתקד'!A46,מור!A:K,8,0)+VLOOKUP('תפוקה מצטברת מול אשתקד'!A46,'אלטשולר שחם'!A:K,8,0)+VLOOKUP('תפוקה מצטברת מול אשתקד'!A46,'מדיהו '!A:K,8,0)+VLOOKUP('תפוקה מצטברת מול אשתקד'!A46,'אנליסט '!A:K,8,0)+VLOOKUP('תפוקה מצטברת מול אשתקד'!A46,'מיטב דש'!A:K,8,0)+VLOOKUP('תפוקה מצטברת מול אשתקד'!A46,אינפניטי!A:K,8,0)</f>
        <v>114798.61</v>
      </c>
      <c r="M46" s="12">
        <f>VLOOKUP(A46,הכשרה!A:K,9,0)+VLOOKUP('תפוקה מצטברת מול אשתקד'!A46,מגדל!A:K,9,0)+VLOOKUP('תפוקה מצטברת מול אשתקד'!A46,מנורה!A:K,9,0)+VLOOKUP('תפוקה מצטברת מול אשתקד'!A46,איילון!A:K,9,0)+VLOOKUP('תפוקה מצטברת מול אשתקד'!A46,הראל!A:K,9,0)+VLOOKUP('תפוקה מצטברת מול אשתקד'!A46,הפניקס!A:K,9,0)+VLOOKUP('תפוקה מצטברת מול אשתקד'!A46,כלל!A:K,9,0)+VLOOKUP('תפוקה מצטברת מול אשתקד'!A46,מור!A:K,9,0)+VLOOKUP('תפוקה מצטברת מול אשתקד'!A46,'אלטשולר שחם'!A:K,9,0)+VLOOKUP('תפוקה מצטברת מול אשתקד'!A46,'מדיהו '!A:K,9,0)+VLOOKUP('תפוקה מצטברת מול אשתקד'!A46,'אנליסט '!A:K,9,0)+VLOOKUP('תפוקה מצטברת מול אשתקד'!A46,'מיטב דש'!A:K,9,0)+VLOOKUP('תפוקה מצטברת מול אשתקד'!A46,אינפניטי!A:K,9,0)</f>
        <v>1930.57</v>
      </c>
      <c r="N46" s="12">
        <f>VLOOKUP(A46,הכשרה!A:K,10,0)+VLOOKUP('תפוקה מצטברת מול אשתקד'!A46,מגדל!A:K,10,0)+VLOOKUP('תפוקה מצטברת מול אשתקד'!A46,מנורה!A:K,10,0)+VLOOKUP('תפוקה מצטברת מול אשתקד'!A46,איילון!A:K,10,0)+VLOOKUP('תפוקה מצטברת מול אשתקד'!A46,הראל!A:K,10,0)+VLOOKUP('תפוקה מצטברת מול אשתקד'!A46,הפניקס!A:K,10,0)+VLOOKUP('תפוקה מצטברת מול אשתקד'!A46,כלל!A:K,10,0)+VLOOKUP('תפוקה מצטברת מול אשתקד'!A46,מור!A:K,10,0)+VLOOKUP('תפוקה מצטברת מול אשתקד'!A46,'אלטשולר שחם'!A:K,10,0)+VLOOKUP('תפוקה מצטברת מול אשתקד'!A46,'מדיהו '!A:K,10,0)+VLOOKUP('תפוקה מצטברת מול אשתקד'!A46,'אנליסט '!A:K,10,0)+VLOOKUP('תפוקה מצטברת מול אשתקד'!A46,'מיטב דש'!A:K,10,0)+VLOOKUP('תפוקה מצטברת מול אשתקד'!A46,אינפניטי!A:K,10,0)</f>
        <v>22032.02</v>
      </c>
      <c r="O46" s="12">
        <f>VLOOKUP(A46,הכשרה!A:K,11,0)+VLOOKUP('תפוקה מצטברת מול אשתקד'!A46,מגדל!A:K,11,0)+VLOOKUP('תפוקה מצטברת מול אשתקד'!A46,מנורה!A:K,11,0)+VLOOKUP('תפוקה מצטברת מול אשתקד'!A46,איילון!A:K,11,0)+VLOOKUP('תפוקה מצטברת מול אשתקד'!A46,הראל!A:K,11,0)+VLOOKUP('תפוקה מצטברת מול אשתקד'!A46,הפניקס!A:K,11,0)+VLOOKUP('תפוקה מצטברת מול אשתקד'!A46,כלל!A:K,11,0)+VLOOKUP('תפוקה מצטברת מול אשתקד'!A46,מור!A:K,11,0)+VLOOKUP('תפוקה מצטברת מול אשתקד'!A46,'אלטשולר שחם'!A:K,11,0)+VLOOKUP('תפוקה מצטברת מול אשתקד'!A46,'מדיהו '!A:K,11,0)+VLOOKUP('תפוקה מצטברת מול אשתקד'!A46,'אנליסט '!A:K,11,0)+VLOOKUP('תפוקה מצטברת מול אשתקד'!A46,'מיטב דש'!A:K,11,0)+VLOOKUP('תפוקה מצטברת מול אשתקד'!A46,אינפניטי!A:K,11,0)</f>
        <v>0</v>
      </c>
    </row>
    <row r="47" spans="1:15" ht="15.75" customHeight="1" x14ac:dyDescent="0.25">
      <c r="A47" s="26" t="s">
        <v>91</v>
      </c>
      <c r="B47" s="26" t="s">
        <v>56</v>
      </c>
      <c r="C47" s="26" t="s">
        <v>107</v>
      </c>
      <c r="D47" s="19">
        <f t="shared" si="0"/>
        <v>0.36564775717233133</v>
      </c>
      <c r="E47" s="19">
        <f t="shared" si="0"/>
        <v>-0.23432917839667533</v>
      </c>
      <c r="F47" s="19">
        <f t="shared" si="0"/>
        <v>-0.58389487089964365</v>
      </c>
      <c r="G47" s="19">
        <f t="shared" si="8"/>
        <v>-0.60564694212235504</v>
      </c>
      <c r="H47" s="58">
        <f>VLOOKUP(A47,הכשרה!A:G,4,0)+VLOOKUP('תפוקה מצטברת מול אשתקד'!A47,מגדל!A:G,4,0)+VLOOKUP('תפוקה מצטברת מול אשתקד'!A47,מנורה!A:G,4,0)+VLOOKUP('תפוקה מצטברת מול אשתקד'!A47,איילון!A:G,4,0)+VLOOKUP('תפוקה מצטברת מול אשתקד'!A47,הראל!A:G,4,0)+VLOOKUP('תפוקה מצטברת מול אשתקד'!A47,הפניקס!A:G,4,0)+VLOOKUP('תפוקה מצטברת מול אשתקד'!A47,כלל!A:G,4,0)+VLOOKUP('תפוקה מצטברת מול אשתקד'!A47,מור!A:G,4,0)+VLOOKUP('תפוקה מצטברת מול אשתקד'!A47,'אלטשולר שחם'!A:G,4,0)+VLOOKUP('תפוקה מצטברת מול אשתקד'!A47,'מדיהו '!A:G,4,0)+VLOOKUP('תפוקה מצטברת מול אשתקד'!A47,'אנליסט '!A:G,4,0)+VLOOKUP('תפוקה מצטברת מול אשתקד'!A47,'מיטב דש'!A:G,4,0)+VLOOKUP('תפוקה מצטברת מול אשתקד'!A47,אינפניטי!A:G,4,0)</f>
        <v>178455.35940000002</v>
      </c>
      <c r="I47" s="58">
        <f>VLOOKUP(A47,הכשרה!A:G,5,0)+VLOOKUP('תפוקה מצטברת מול אשתקד'!A47,מגדל!A:G,5,0)+VLOOKUP('תפוקה מצטברת מול אשתקד'!A47,מנורה!A:G,5,0)+VLOOKUP('תפוקה מצטברת מול אשתקד'!A47,איילון!A:G,5,0)+VLOOKUP('תפוקה מצטברת מול אשתקד'!A47,הראל!A:G,5,0)+VLOOKUP('תפוקה מצטברת מול אשתקד'!A47,הפניקס!A:G,5,0)+VLOOKUP('תפוקה מצטברת מול אשתקד'!A47,כלל!A:G,5,0)+VLOOKUP('תפוקה מצטברת מול אשתקד'!A47,מור!A:G,5,0)+VLOOKUP('תפוקה מצטברת מול אשתקד'!A47,'אלטשולר שחם'!A:G,5,0)+VLOOKUP('תפוקה מצטברת מול אשתקד'!A47,'מדיהו '!A:G,5,0)+VLOOKUP('תפוקה מצטברת מול אשתקד'!A47,'אנליסט '!A:G,5,0)+VLOOKUP('תפוקה מצטברת מול אשתקד'!A47,'מיטב דש'!A:G,5,0)+VLOOKUP('תפוקה מצטברת מול אשתקד'!A47,אינפניטי!A:G,5,0)</f>
        <v>7373.1709999999994</v>
      </c>
      <c r="J47" s="58">
        <f>VLOOKUP(A47,הכשרה!A:G,6,0)+VLOOKUP('תפוקה מצטברת מול אשתקד'!A47,מגדל!A:G,6,0)+VLOOKUP('תפוקה מצטברת מול אשתקד'!A47,מנורה!A:G,6,0)+VLOOKUP('תפוקה מצטברת מול אשתקד'!A47,איילון!A:G,6,0)+VLOOKUP(A47,הראל!A:G,6,0)+VLOOKUP('תפוקה מצטברת מול אשתקד'!A47,הפניקס!A:G,6,0)+VLOOKUP('תפוקה מצטברת מול אשתקד'!A47,כלל!A:G,6,0)+VLOOKUP('תפוקה מצטברת מול אשתקד'!A47,מור!A:G,6,0)+VLOOKUP('תפוקה מצטברת מול אשתקד'!A47,'אלטשולר שחם'!A:G,6,0)+VLOOKUP('תפוקה מצטברת מול אשתקד'!A47,'מדיהו '!A:G,6,0)+VLOOKUP('תפוקה מצטברת מול אשתקד'!A47,'אנליסט '!A:G,6,0)+VLOOKUP('תפוקה מצטברת מול אשתקד'!A47,'מיטב דש'!A:G,6,0)+VLOOKUP('תפוקה מצטברת מול אשתקד'!A47,אינפניטי!A:G,6,0)</f>
        <v>136950.97</v>
      </c>
      <c r="K47" s="58">
        <f>VLOOKUP(A47,הכשרה!A:G,7,0)+VLOOKUP('תפוקה מצטברת מול אשתקד'!A47,מגדל!A:G,7,0)+VLOOKUP('תפוקה מצטברת מול אשתקד'!A47,מנורה!A:G,7,0)+VLOOKUP('תפוקה מצטברת מול אשתקד'!A47,איילון!A:G,7,0)+VLOOKUP('תפוקה מצטברת מול אשתקד'!A47,הראל!A:G,7,0)+VLOOKUP('תפוקה מצטברת מול אשתקד'!A47,הפניקס!A:G,7,0)+VLOOKUP('תפוקה מצטברת מול אשתקד'!A47,כלל!A:G,7,0)+VLOOKUP('תפוקה מצטברת מול אשתקד'!A47,מור!A:G,7,0)+VLOOKUP('תפוקה מצטברת מול אשתקד'!A47,'אלטשולר שחם'!A:G,7,0)+VLOOKUP('תפוקה מצטברת מול אשתקד'!A47,'מדיהו '!A:K,7,0)+VLOOKUP(A47,'אנליסט '!A:G,7,0)+VLOOKUP('תפוקה מצטברת מול אשתקד'!A47,'מיטב דש'!A:G,7,0)+VLOOKUP('תפוקה מצטברת מול אשתקד'!A47,אינפניטי!A:G,7,0)</f>
        <v>616216.09000000008</v>
      </c>
      <c r="L47" s="12">
        <f>VLOOKUP(A47,הכשרה!A:K,8,0)+VLOOKUP('תפוקה מצטברת מול אשתקד'!A47,מגדל!A:K,8,0)+VLOOKUP('תפוקה מצטברת מול אשתקד'!A47,מנורה!A:K,8,0)+VLOOKUP('תפוקה מצטברת מול אשתקד'!A47,איילון!A:K,8,0)+VLOOKUP('תפוקה מצטברת מול אשתקד'!A47,הראל!A:K,8,0)+VLOOKUP('תפוקה מצטברת מול אשתקד'!A47,הפניקס!A:K,8,0)+VLOOKUP('תפוקה מצטברת מול אשתקד'!A47,כלל!A:K,8,0)+VLOOKUP('תפוקה מצטברת מול אשתקד'!A47,מור!A:K,8,0)+VLOOKUP('תפוקה מצטברת מול אשתקד'!A47,'אלטשולר שחם'!A:K,8,0)+VLOOKUP('תפוקה מצטברת מול אשתקד'!A47,'מדיהו '!A:K,8,0)+VLOOKUP('תפוקה מצטברת מול אשתקד'!A47,'אנליסט '!A:K,8,0)+VLOOKUP('תפוקה מצטברת מול אשתקד'!A47,'מיטב דש'!A:K,8,0)+VLOOKUP('תפוקה מצטברת מול אשתקד'!A47,אינפניטי!A:K,8,0)</f>
        <v>130674.515784</v>
      </c>
      <c r="M47" s="12">
        <f>VLOOKUP(A47,הכשרה!A:K,9,0)+VLOOKUP('תפוקה מצטברת מול אשתקד'!A47,מגדל!A:K,9,0)+VLOOKUP('תפוקה מצטברת מול אשתקד'!A47,מנורה!A:K,9,0)+VLOOKUP('תפוקה מצטברת מול אשתקד'!A47,איילון!A:K,9,0)+VLOOKUP('תפוקה מצטברת מול אשתקד'!A47,הראל!A:K,9,0)+VLOOKUP('תפוקה מצטברת מול אשתקד'!A47,הפניקס!A:K,9,0)+VLOOKUP('תפוקה מצטברת מול אשתקד'!A47,כלל!A:K,9,0)+VLOOKUP('תפוקה מצטברת מול אשתקד'!A47,מור!A:K,9,0)+VLOOKUP('תפוקה מצטברת מול אשתקד'!A47,'אלטשולר שחם'!A:K,9,0)+VLOOKUP('תפוקה מצטברת מול אשתקד'!A47,'מדיהו '!A:K,9,0)+VLOOKUP('תפוקה מצטברת מול אשתקד'!A47,'אנליסט '!A:K,9,0)+VLOOKUP('תפוקה מצטברת מול אשתקד'!A47,'מיטב דש'!A:K,9,0)+VLOOKUP('תפוקה מצטברת מול אשתקד'!A47,אינפניטי!A:K,9,0)</f>
        <v>9629.6878396913216</v>
      </c>
      <c r="N47" s="12">
        <f>VLOOKUP(A47,הכשרה!A:K,10,0)+VLOOKUP('תפוקה מצטברת מול אשתקד'!A47,מגדל!A:K,10,0)+VLOOKUP('תפוקה מצטברת מול אשתקד'!A47,מנורה!A:K,10,0)+VLOOKUP('תפוקה מצטברת מול אשתקד'!A47,איילון!A:K,10,0)+VLOOKUP('תפוקה מצטברת מול אשתקד'!A47,הראל!A:K,10,0)+VLOOKUP('תפוקה מצטברת מול אשתקד'!A47,הפניקס!A:K,10,0)+VLOOKUP('תפוקה מצטברת מול אשתקד'!A47,כלל!A:K,10,0)+VLOOKUP('תפוקה מצטברת מול אשתקד'!A47,מור!A:K,10,0)+VLOOKUP('תפוקה מצטברת מול אשתקד'!A47,'אלטשולר שחם'!A:K,10,0)+VLOOKUP('תפוקה מצטברת מול אשתקד'!A47,'מדיהו '!A:K,10,0)+VLOOKUP('תפוקה מצטברת מול אשתקד'!A47,'אנליסט '!A:K,10,0)+VLOOKUP('תפוקה מצטברת מול אשתקד'!A47,'מיטב דש'!A:K,10,0)+VLOOKUP('תפוקה מצטברת מול אשתקד'!A47,אינפניטי!A:K,10,0)</f>
        <v>329125.88772</v>
      </c>
      <c r="O47" s="12">
        <f>VLOOKUP(A47,הכשרה!A:K,11,0)+VLOOKUP('תפוקה מצטברת מול אשתקד'!A47,מגדל!A:K,11,0)+VLOOKUP('תפוקה מצטברת מול אשתקד'!A47,מנורה!A:K,11,0)+VLOOKUP('תפוקה מצטברת מול אשתקד'!A47,איילון!A:K,11,0)+VLOOKUP('תפוקה מצטברת מול אשתקד'!A47,הראל!A:K,11,0)+VLOOKUP('תפוקה מצטברת מול אשתקד'!A47,הפניקס!A:K,11,0)+VLOOKUP('תפוקה מצטברת מול אשתקד'!A47,כלל!A:K,11,0)+VLOOKUP('תפוקה מצטברת מול אשתקד'!A47,מור!A:K,11,0)+VLOOKUP('תפוקה מצטברת מול אשתקד'!A47,'אלטשולר שחם'!A:K,11,0)+VLOOKUP('תפוקה מצטברת מול אשתקד'!A47,'מדיהו '!A:K,11,0)+VLOOKUP('תפוקה מצטברת מול אשתקד'!A47,'אנליסט '!A:K,11,0)+VLOOKUP('תפוקה מצטברת מול אשתקד'!A47,'מיטב דש'!A:K,11,0)+VLOOKUP('תפוקה מצטברת מול אשתקד'!A47,אינפניטי!A:K,11,0)</f>
        <v>1562600.004464</v>
      </c>
    </row>
    <row r="48" spans="1:15" ht="15.75" customHeight="1" x14ac:dyDescent="0.25">
      <c r="A48" s="26" t="s">
        <v>41</v>
      </c>
      <c r="B48" s="26" t="s">
        <v>56</v>
      </c>
      <c r="C48" s="26" t="s">
        <v>107</v>
      </c>
      <c r="D48" s="19">
        <f t="shared" si="0"/>
        <v>-0.57712441815387794</v>
      </c>
      <c r="E48" s="19">
        <f t="shared" si="0"/>
        <v>-1.0714308352032695</v>
      </c>
      <c r="F48" s="19">
        <f t="shared" si="0"/>
        <v>0</v>
      </c>
      <c r="G48" s="19">
        <f t="shared" si="8"/>
        <v>0</v>
      </c>
      <c r="H48" s="58">
        <f>VLOOKUP(A48,הכשרה!A:G,4,0)+VLOOKUP('תפוקה מצטברת מול אשתקד'!A48,מגדל!A:G,4,0)+VLOOKUP('תפוקה מצטברת מול אשתקד'!A48,מנורה!A:G,4,0)+VLOOKUP('תפוקה מצטברת מול אשתקד'!A48,איילון!A:G,4,0)+VLOOKUP('תפוקה מצטברת מול אשתקד'!A48,הראל!A:G,4,0)+VLOOKUP('תפוקה מצטברת מול אשתקד'!A48,הפניקס!A:G,4,0)+VLOOKUP('תפוקה מצטברת מול אשתקד'!A48,כלל!A:G,4,0)+VLOOKUP('תפוקה מצטברת מול אשתקד'!A48,מור!A:G,4,0)+VLOOKUP('תפוקה מצטברת מול אשתקד'!A48,'אלטשולר שחם'!A:G,4,0)+VLOOKUP('תפוקה מצטברת מול אשתקד'!A48,'מדיהו '!A:G,4,0)+VLOOKUP('תפוקה מצטברת מול אשתקד'!A48,'אנליסט '!A:G,4,0)+VLOOKUP('תפוקה מצטברת מול אשתקד'!A48,'מיטב דש'!A:G,4,0)+VLOOKUP('תפוקה מצטברת מול אשתקד'!A48,אינפניטי!A:G,4,0)</f>
        <v>12130</v>
      </c>
      <c r="I48" s="58">
        <f>VLOOKUP(A48,הכשרה!A:G,5,0)+VLOOKUP('תפוקה מצטברת מול אשתקד'!A48,מגדל!A:G,5,0)+VLOOKUP('תפוקה מצטברת מול אשתקד'!A48,מנורה!A:G,5,0)+VLOOKUP('תפוקה מצטברת מול אשתקד'!A48,איילון!A:G,5,0)+VLOOKUP('תפוקה מצטברת מול אשתקד'!A48,הראל!A:G,5,0)+VLOOKUP('תפוקה מצטברת מול אשתקד'!A48,הפניקס!A:G,5,0)+VLOOKUP('תפוקה מצטברת מול אשתקד'!A48,כלל!A:G,5,0)+VLOOKUP('תפוקה מצטברת מול אשתקד'!A48,מור!A:G,5,0)+VLOOKUP('תפוקה מצטברת מול אשתקד'!A48,'אלטשולר שחם'!A:G,5,0)+VLOOKUP('תפוקה מצטברת מול אשתקד'!A48,'מדיהו '!A:G,5,0)+VLOOKUP('תפוקה מצטברת מול אשתקד'!A48,'אנליסט '!A:G,5,0)+VLOOKUP('תפוקה מצטברת מול אשתקד'!A48,'מיטב דש'!A:G,5,0)+VLOOKUP('תפוקה מצטברת מול אשתקד'!A48,אינפניטי!A:G,5,0)</f>
        <v>867.42</v>
      </c>
      <c r="J48" s="58">
        <f>VLOOKUP(A48,הכשרה!A:G,6,0)+VLOOKUP('תפוקה מצטברת מול אשתקד'!A48,מגדל!A:G,6,0)+VLOOKUP('תפוקה מצטברת מול אשתקד'!A48,מנורה!A:G,6,0)+VLOOKUP('תפוקה מצטברת מול אשתקד'!A48,איילון!A:G,6,0)+VLOOKUP(A48,הראל!A:G,6,0)+VLOOKUP('תפוקה מצטברת מול אשתקד'!A48,הפניקס!A:G,6,0)+VLOOKUP('תפוקה מצטברת מול אשתקד'!A48,כלל!A:G,6,0)+VLOOKUP('תפוקה מצטברת מול אשתקד'!A48,מור!A:G,6,0)+VLOOKUP('תפוקה מצטברת מול אשתקד'!A48,'אלטשולר שחם'!A:G,6,0)+VLOOKUP('תפוקה מצטברת מול אשתקד'!A48,'מדיהו '!A:G,6,0)+VLOOKUP('תפוקה מצטברת מול אשתקד'!A48,'אנליסט '!A:G,6,0)+VLOOKUP('תפוקה מצטברת מול אשתקד'!A48,'מיטב דש'!A:G,6,0)+VLOOKUP('תפוקה מצטברת מול אשתקד'!A48,אינפניטי!A:G,6,0)</f>
        <v>0</v>
      </c>
      <c r="K48" s="58">
        <f>VLOOKUP(A48,הכשרה!A:G,7,0)+VLOOKUP('תפוקה מצטברת מול אשתקד'!A48,מגדל!A:G,7,0)+VLOOKUP('תפוקה מצטברת מול אשתקד'!A48,מנורה!A:G,7,0)+VLOOKUP('תפוקה מצטברת מול אשתקד'!A48,איילון!A:G,7,0)+VLOOKUP('תפוקה מצטברת מול אשתקד'!A48,הראל!A:G,7,0)+VLOOKUP('תפוקה מצטברת מול אשתקד'!A48,הפניקס!A:G,7,0)+VLOOKUP('תפוקה מצטברת מול אשתקד'!A48,כלל!A:G,7,0)+VLOOKUP('תפוקה מצטברת מול אשתקד'!A48,מור!A:G,7,0)+VLOOKUP('תפוקה מצטברת מול אשתקד'!A48,'אלטשולר שחם'!A:G,7,0)+VLOOKUP('תפוקה מצטברת מול אשתקד'!A48,'מדיהו '!A:K,7,0)+VLOOKUP(A48,'אנליסט '!A:G,7,0)+VLOOKUP('תפוקה מצטברת מול אשתקד'!A48,'מיטב דש'!A:G,7,0)+VLOOKUP('תפוקה מצטברת מול אשתקד'!A48,אינפניטי!A:G,7,0)</f>
        <v>0</v>
      </c>
      <c r="L48" s="12">
        <f>VLOOKUP(A48,הכשרה!A:K,8,0)+VLOOKUP('תפוקה מצטברת מול אשתקד'!A48,מגדל!A:K,8,0)+VLOOKUP('תפוקה מצטברת מול אשתקד'!A48,מנורה!A:K,8,0)+VLOOKUP('תפוקה מצטברת מול אשתקד'!A48,איילון!A:K,8,0)+VLOOKUP('תפוקה מצטברת מול אשתקד'!A48,הראל!A:K,8,0)+VLOOKUP('תפוקה מצטברת מול אשתקד'!A48,הפניקס!A:K,8,0)+VLOOKUP('תפוקה מצטברת מול אשתקד'!A48,כלל!A:K,8,0)+VLOOKUP('תפוקה מצטברת מול אשתקד'!A48,מור!A:K,8,0)+VLOOKUP('תפוקה מצטברת מול אשתקד'!A48,'אלטשולר שחם'!A:K,8,0)+VLOOKUP('תפוקה מצטברת מול אשתקד'!A48,'מדיהו '!A:K,8,0)+VLOOKUP('תפוקה מצטברת מול אשתקד'!A48,'אנליסט '!A:K,8,0)+VLOOKUP('תפוקה מצטברת מול אשתקד'!A48,'מיטב דש'!A:K,8,0)+VLOOKUP('תפוקה מצטברת מול אשתקד'!A48,אינפניטי!A:K,8,0)</f>
        <v>28684.560000000001</v>
      </c>
      <c r="M48" s="12">
        <f>VLOOKUP(A48,הכשרה!A:K,9,0)+VLOOKUP('תפוקה מצטברת מול אשתקד'!A48,מגדל!A:K,9,0)+VLOOKUP('תפוקה מצטברת מול אשתקד'!A48,מנורה!A:K,9,0)+VLOOKUP('תפוקה מצטברת מול אשתקד'!A48,איילון!A:K,9,0)+VLOOKUP('תפוקה מצטברת מול אשתקד'!A48,הראל!A:K,9,0)+VLOOKUP('תפוקה מצטברת מול אשתקד'!A48,הפניקס!A:K,9,0)+VLOOKUP('תפוקה מצטברת מול אשתקד'!A48,כלל!A:K,9,0)+VLOOKUP('תפוקה מצטברת מול אשתקד'!A48,מור!A:K,9,0)+VLOOKUP('תפוקה מצטברת מול אשתקד'!A48,'אלטשולר שחם'!A:K,9,0)+VLOOKUP('תפוקה מצטברת מול אשתקד'!A48,'מדיהו '!A:K,9,0)+VLOOKUP('תפוקה מצטברת מול אשתקד'!A48,'אנליסט '!A:K,9,0)+VLOOKUP('תפוקה מצטברת מול אשתקד'!A48,'מיטב דש'!A:K,9,0)+VLOOKUP('תפוקה מצטברת מול אשתקד'!A48,אינפניטי!A:K,9,0)</f>
        <v>-12143.495138081449</v>
      </c>
      <c r="N48" s="12">
        <f>VLOOKUP(A48,הכשרה!A:K,10,0)+VLOOKUP('תפוקה מצטברת מול אשתקד'!A48,מגדל!A:K,10,0)+VLOOKUP('תפוקה מצטברת מול אשתקד'!A48,מנורה!A:K,10,0)+VLOOKUP('תפוקה מצטברת מול אשתקד'!A48,איילון!A:K,10,0)+VLOOKUP('תפוקה מצטברת מול אשתקד'!A48,הראל!A:K,10,0)+VLOOKUP('תפוקה מצטברת מול אשתקד'!A48,הפניקס!A:K,10,0)+VLOOKUP('תפוקה מצטברת מול אשתקד'!A48,כלל!A:K,10,0)+VLOOKUP('תפוקה מצטברת מול אשתקד'!A48,מור!A:K,10,0)+VLOOKUP('תפוקה מצטברת מול אשתקד'!A48,'אלטשולר שחם'!A:K,10,0)+VLOOKUP('תפוקה מצטברת מול אשתקד'!A48,'מדיהו '!A:K,10,0)+VLOOKUP('תפוקה מצטברת מול אשתקד'!A48,'אנליסט '!A:K,10,0)+VLOOKUP('תפוקה מצטברת מול אשתקד'!A48,'מיטב דש'!A:K,10,0)+VLOOKUP('תפוקה מצטברת מול אשתקד'!A48,אינפניטי!A:K,10,0)</f>
        <v>0</v>
      </c>
      <c r="O48" s="12">
        <f>VLOOKUP(A48,הכשרה!A:K,11,0)+VLOOKUP('תפוקה מצטברת מול אשתקד'!A48,מגדל!A:K,11,0)+VLOOKUP('תפוקה מצטברת מול אשתקד'!A48,מנורה!A:K,11,0)+VLOOKUP('תפוקה מצטברת מול אשתקד'!A48,איילון!A:K,11,0)+VLOOKUP('תפוקה מצטברת מול אשתקד'!A48,הראל!A:K,11,0)+VLOOKUP('תפוקה מצטברת מול אשתקד'!A48,הפניקס!A:K,11,0)+VLOOKUP('תפוקה מצטברת מול אשתקד'!A48,כלל!A:K,11,0)+VLOOKUP('תפוקה מצטברת מול אשתקד'!A48,מור!A:K,11,0)+VLOOKUP('תפוקה מצטברת מול אשתקד'!A48,'אלטשולר שחם'!A:K,11,0)+VLOOKUP('תפוקה מצטברת מול אשתקד'!A48,'מדיהו '!A:K,11,0)+VLOOKUP('תפוקה מצטברת מול אשתקד'!A48,'אנליסט '!A:K,11,0)+VLOOKUP('תפוקה מצטברת מול אשתקד'!A48,'מיטב דש'!A:K,11,0)+VLOOKUP('תפוקה מצטברת מול אשתקד'!A48,אינפניטי!A:K,11,0)</f>
        <v>0</v>
      </c>
    </row>
    <row r="49" spans="1:15" ht="15.75" customHeight="1" x14ac:dyDescent="0.25">
      <c r="A49" s="28" t="s">
        <v>88</v>
      </c>
      <c r="B49" s="28" t="s">
        <v>56</v>
      </c>
      <c r="C49" s="26" t="s">
        <v>107</v>
      </c>
      <c r="D49" s="101">
        <f t="shared" si="0"/>
        <v>0</v>
      </c>
      <c r="E49" s="101">
        <f t="shared" si="0"/>
        <v>-5.9571673112106165</v>
      </c>
      <c r="F49" s="101">
        <f t="shared" si="0"/>
        <v>0</v>
      </c>
      <c r="G49" s="19">
        <f t="shared" si="8"/>
        <v>-1.4250569764474736</v>
      </c>
      <c r="H49" s="58">
        <f>VLOOKUP(A49,הכשרה!A:G,4,0)+VLOOKUP('תפוקה מצטברת מול אשתקד'!A49,מגדל!A:G,4,0)+VLOOKUP('תפוקה מצטברת מול אשתקד'!A49,מנורה!A:G,4,0)+VLOOKUP('תפוקה מצטברת מול אשתקד'!A49,איילון!A:G,4,0)+VLOOKUP('תפוקה מצטברת מול אשתקד'!A49,הראל!A:G,4,0)+VLOOKUP('תפוקה מצטברת מול אשתקד'!A49,הפניקס!A:G,4,0)+VLOOKUP('תפוקה מצטברת מול אשתקד'!A49,כלל!A:G,4,0)+VLOOKUP('תפוקה מצטברת מול אשתקד'!A49,מור!A:G,4,0)+VLOOKUP('תפוקה מצטברת מול אשתקד'!A49,'אלטשולר שחם'!A:G,4,0)+VLOOKUP('תפוקה מצטברת מול אשתקד'!A49,'מדיהו '!A:G,4,0)+VLOOKUP('תפוקה מצטברת מול אשתקד'!A49,'אנליסט '!A:G,4,0)+VLOOKUP('תפוקה מצטברת מול אשתקד'!A49,'מיטב דש'!A:G,4,0)+VLOOKUP('תפוקה מצטברת מול אשתקד'!A49,אינפניטי!A:G,4,0)</f>
        <v>0</v>
      </c>
      <c r="I49" s="58">
        <f>VLOOKUP(A49,הכשרה!A:G,5,0)+VLOOKUP('תפוקה מצטברת מול אשתקד'!A49,מגדל!A:G,5,0)+VLOOKUP('תפוקה מצטברת מול אשתקד'!A49,מנורה!A:G,5,0)+VLOOKUP('תפוקה מצטברת מול אשתקד'!A49,איילון!A:G,5,0)+VLOOKUP('תפוקה מצטברת מול אשתקד'!A49,הראל!A:G,5,0)+VLOOKUP('תפוקה מצטברת מול אשתקד'!A49,הפניקס!A:G,5,0)+VLOOKUP('תפוקה מצטברת מול אשתקד'!A49,כלל!A:G,5,0)+VLOOKUP('תפוקה מצטברת מול אשתקד'!A49,מור!A:G,5,0)+VLOOKUP('תפוקה מצטברת מול אשתקד'!A49,'אלטשולר שחם'!A:G,5,0)+VLOOKUP('תפוקה מצטברת מול אשתקד'!A49,'מדיהו '!A:G,5,0)+VLOOKUP('תפוקה מצטברת מול אשתקד'!A49,'אנליסט '!A:G,5,0)+VLOOKUP('תפוקה מצטברת מול אשתקד'!A49,'מיטב דש'!A:G,5,0)+VLOOKUP('תפוקה מצטברת מול אשתקד'!A49,אינפניטי!A:G,5,0)</f>
        <v>3267.65</v>
      </c>
      <c r="J49" s="58">
        <f>VLOOKUP(A49,הכשרה!A:G,6,0)+VLOOKUP('תפוקה מצטברת מול אשתקד'!A49,מגדל!A:G,6,0)+VLOOKUP('תפוקה מצטברת מול אשתקד'!A49,מנורה!A:G,6,0)+VLOOKUP('תפוקה מצטברת מול אשתקד'!A49,איילון!A:G,6,0)+VLOOKUP(A49,הראל!A:G,6,0)+VLOOKUP('תפוקה מצטברת מול אשתקד'!A49,הפניקס!A:G,6,0)+VLOOKUP('תפוקה מצטברת מול אשתקד'!A49,כלל!A:G,6,0)+VLOOKUP('תפוקה מצטברת מול אשתקד'!A49,מור!A:G,6,0)+VLOOKUP('תפוקה מצטברת מול אשתקד'!A49,'אלטשולר שחם'!A:G,6,0)+VLOOKUP('תפוקה מצטברת מול אשתקד'!A49,'מדיהו '!A:G,6,0)+VLOOKUP('תפוקה מצטברת מול אשתקד'!A49,'אנליסט '!A:G,6,0)+VLOOKUP('תפוקה מצטברת מול אשתקד'!A49,'מיטב דש'!A:G,6,0)+VLOOKUP('תפוקה מצטברת מול אשתקד'!A49,אינפניטי!A:G,6,0)</f>
        <v>0</v>
      </c>
      <c r="K49" s="58">
        <f>VLOOKUP(A49,הכשרה!A:G,7,0)+VLOOKUP('תפוקה מצטברת מול אשתקד'!A49,מגדל!A:G,7,0)+VLOOKUP('תפוקה מצטברת מול אשתקד'!A49,מנורה!A:G,7,0)+VLOOKUP('תפוקה מצטברת מול אשתקד'!A49,איילון!A:G,7,0)+VLOOKUP('תפוקה מצטברת מול אשתקד'!A49,הראל!A:G,7,0)+VLOOKUP('תפוקה מצטברת מול אשתקד'!A49,הפניקס!A:G,7,0)+VLOOKUP('תפוקה מצטברת מול אשתקד'!A49,כלל!A:G,7,0)+VLOOKUP('תפוקה מצטברת מול אשתקד'!A49,מור!A:G,7,0)+VLOOKUP('תפוקה מצטברת מול אשתקד'!A49,'אלטשולר שחם'!A:G,7,0)+VLOOKUP('תפוקה מצטברת מול אשתקד'!A49,'מדיהו '!A:K,7,0)+VLOOKUP(A49,'אנליסט '!A:G,7,0)+VLOOKUP('תפוקה מצטברת מול אשתקד'!A49,'מיטב דש'!A:G,7,0)+VLOOKUP('תפוקה מצטברת מול אשתקד'!A49,אינפניטי!A:G,7,0)</f>
        <v>-2038</v>
      </c>
      <c r="L49" s="12">
        <f>VLOOKUP(A49,הכשרה!A:K,8,0)+VLOOKUP('תפוקה מצטברת מול אשתקד'!A49,מגדל!A:K,8,0)+VLOOKUP('תפוקה מצטברת מול אשתקד'!A49,מנורה!A:K,8,0)+VLOOKUP('תפוקה מצטברת מול אשתקד'!A49,איילון!A:K,8,0)+VLOOKUP('תפוקה מצטברת מול אשתקד'!A49,הראל!A:K,8,0)+VLOOKUP('תפוקה מצטברת מול אשתקד'!A49,הפניקס!A:K,8,0)+VLOOKUP('תפוקה מצטברת מול אשתקד'!A49,כלל!A:K,8,0)+VLOOKUP('תפוקה מצטברת מול אשתקד'!A49,מור!A:K,8,0)+VLOOKUP('תפוקה מצטברת מול אשתקד'!A49,'אלטשולר שחם'!A:K,8,0)+VLOOKUP('תפוקה מצטברת מול אשתקד'!A49,'מדיהו '!A:K,8,0)+VLOOKUP('תפוקה מצטברת מול אשתקד'!A49,'אנליסט '!A:K,8,0)+VLOOKUP('תפוקה מצטברת מול אשתקד'!A49,'מיטב דש'!A:K,8,0)+VLOOKUP('תפוקה מצטברת מול אשתקד'!A49,אינפניטי!A:K,8,0)</f>
        <v>17482.07</v>
      </c>
      <c r="M49" s="12">
        <f>VLOOKUP(A49,הכשרה!A:K,9,0)+VLOOKUP('תפוקה מצטברת מול אשתקד'!A49,מגדל!A:K,9,0)+VLOOKUP('תפוקה מצטברת מול אשתקד'!A49,מנורה!A:K,9,0)+VLOOKUP('תפוקה מצטברת מול אשתקד'!A49,איילון!A:K,9,0)+VLOOKUP('תפוקה מצטברת מול אשתקד'!A49,הראל!A:K,9,0)+VLOOKUP('תפוקה מצטברת מול אשתקד'!A49,הפניקס!A:K,9,0)+VLOOKUP('תפוקה מצטברת מול אשתקד'!A49,כלל!A:K,9,0)+VLOOKUP('תפוקה מצטברת מול אשתקד'!A49,מור!A:K,9,0)+VLOOKUP('תפוקה מצטברת מול אשתקד'!A49,'אלטשולר שחם'!A:K,9,0)+VLOOKUP('תפוקה מצטברת מול אשתקד'!A49,'מדיהו '!A:K,9,0)+VLOOKUP('תפוקה מצטברת מול אשתקד'!A49,'אנליסט '!A:K,9,0)+VLOOKUP('תפוקה מצטברת מול אשתקד'!A49,'מיטב דש'!A:K,9,0)+VLOOKUP('תפוקה מצטברת מול אשתקד'!A49,אינפניטי!A:K,9,0)</f>
        <v>-659.17686349020767</v>
      </c>
      <c r="N49" s="12">
        <f>VLOOKUP(A49,הכשרה!A:K,10,0)+VLOOKUP('תפוקה מצטברת מול אשתקד'!A49,מגדל!A:K,10,0)+VLOOKUP('תפוקה מצטברת מול אשתקד'!A49,מנורה!A:K,10,0)+VLOOKUP('תפוקה מצטברת מול אשתקד'!A49,איילון!A:K,10,0)+VLOOKUP('תפוקה מצטברת מול אשתקד'!A49,הראל!A:K,10,0)+VLOOKUP('תפוקה מצטברת מול אשתקד'!A49,הפניקס!A:K,10,0)+VLOOKUP('תפוקה מצטברת מול אשתקד'!A49,כלל!A:K,10,0)+VLOOKUP('תפוקה מצטברת מול אשתקד'!A49,מור!A:K,10,0)+VLOOKUP('תפוקה מצטברת מול אשתקד'!A49,'אלטשולר שחם'!A:K,10,0)+VLOOKUP('תפוקה מצטברת מול אשתקד'!A49,'מדיהו '!A:K,10,0)+VLOOKUP('תפוקה מצטברת מול אשתקד'!A49,'אנליסט '!A:K,10,0)+VLOOKUP('תפוקה מצטברת מול אשתקד'!A49,'מיטב דש'!A:K,10,0)+VLOOKUP('תפוקה מצטברת מול אשתקד'!A49,אינפניטי!A:K,10,0)</f>
        <v>406.42954400000002</v>
      </c>
      <c r="O49" s="12">
        <f>VLOOKUP(A49,הכשרה!A:K,11,0)+VLOOKUP('תפוקה מצטברת מול אשתקד'!A49,מגדל!A:K,11,0)+VLOOKUP('תפוקה מצטברת מול אשתקד'!A49,מנורה!A:K,11,0)+VLOOKUP('תפוקה מצטברת מול אשתקד'!A49,איילון!A:K,11,0)+VLOOKUP('תפוקה מצטברת מול אשתקד'!A49,הראל!A:K,11,0)+VLOOKUP('תפוקה מצטברת מול אשתקד'!A49,הפניקס!A:K,11,0)+VLOOKUP('תפוקה מצטברת מול אשתקד'!A49,כלל!A:K,11,0)+VLOOKUP('תפוקה מצטברת מול אשתקד'!A49,מור!A:K,11,0)+VLOOKUP('תפוקה מצטברת מול אשתקד'!A49,'אלטשולר שחם'!A:K,11,0)+VLOOKUP('תפוקה מצטברת מול אשתקד'!A49,'מדיהו '!A:K,11,0)+VLOOKUP('תפוקה מצטברת מול אשתקד'!A49,'אנליסט '!A:K,11,0)+VLOOKUP('תפוקה מצטברת מול אשתקד'!A49,'מיטב דש'!A:K,11,0)+VLOOKUP('תפוקה מצטברת מול אשתקד'!A49,אינפניטי!A:K,11,0)</f>
        <v>4794.6513359999999</v>
      </c>
    </row>
    <row r="50" spans="1:15" ht="15.75" customHeight="1" x14ac:dyDescent="0.25">
      <c r="A50" s="26" t="s">
        <v>14</v>
      </c>
      <c r="B50" s="26" t="s">
        <v>55</v>
      </c>
      <c r="C50" s="26" t="s">
        <v>107</v>
      </c>
      <c r="D50" s="19">
        <f t="shared" ref="D50:F55" si="9">IF(H50=0,0%,IF(L50=0,100%,H50/L50-1))</f>
        <v>0</v>
      </c>
      <c r="E50" s="19">
        <f t="shared" si="9"/>
        <v>0</v>
      </c>
      <c r="F50" s="19">
        <f t="shared" si="9"/>
        <v>0</v>
      </c>
      <c r="G50" s="19">
        <f t="shared" si="8"/>
        <v>0</v>
      </c>
      <c r="H50" s="58">
        <f>VLOOKUP(A50,הכשרה!A:G,4,0)+VLOOKUP('תפוקה מצטברת מול אשתקד'!A50,מגדל!A:G,4,0)+VLOOKUP('תפוקה מצטברת מול אשתקד'!A50,מנורה!A:G,4,0)+VLOOKUP('תפוקה מצטברת מול אשתקד'!A50,איילון!A:G,4,0)+VLOOKUP('תפוקה מצטברת מול אשתקד'!A50,הראל!A:G,4,0)+VLOOKUP('תפוקה מצטברת מול אשתקד'!A50,הפניקס!A:G,4,0)+VLOOKUP('תפוקה מצטברת מול אשתקד'!A50,כלל!A:G,4,0)+VLOOKUP('תפוקה מצטברת מול אשתקד'!A50,מור!A:G,4,0)+VLOOKUP('תפוקה מצטברת מול אשתקד'!A50,'אלטשולר שחם'!A:G,4,0)+VLOOKUP('תפוקה מצטברת מול אשתקד'!A50,'מדיהו '!A:G,4,0)+VLOOKUP('תפוקה מצטברת מול אשתקד'!A50,'אנליסט '!A:G,4,0)+VLOOKUP('תפוקה מצטברת מול אשתקד'!A50,'מיטב דש'!A:G,4,0)+VLOOKUP('תפוקה מצטברת מול אשתקד'!A50,אינפניטי!A:G,4,0)</f>
        <v>0</v>
      </c>
      <c r="I50" s="58">
        <f>VLOOKUP(A50,הכשרה!A:G,5,0)+VLOOKUP('תפוקה מצטברת מול אשתקד'!A50,מגדל!A:G,5,0)+VLOOKUP('תפוקה מצטברת מול אשתקד'!A50,מנורה!A:G,5,0)+VLOOKUP('תפוקה מצטברת מול אשתקד'!A50,איילון!A:G,5,0)+VLOOKUP('תפוקה מצטברת מול אשתקד'!A50,הראל!A:G,5,0)+VLOOKUP('תפוקה מצטברת מול אשתקד'!A50,הפניקס!A:G,5,0)+VLOOKUP('תפוקה מצטברת מול אשתקד'!A50,כלל!A:G,5,0)+VLOOKUP('תפוקה מצטברת מול אשתקד'!A50,מור!A:G,5,0)+VLOOKUP('תפוקה מצטברת מול אשתקד'!A50,'אלטשולר שחם'!A:G,5,0)+VLOOKUP('תפוקה מצטברת מול אשתקד'!A50,'מדיהו '!A:G,5,0)+VLOOKUP('תפוקה מצטברת מול אשתקד'!A50,'אנליסט '!A:G,5,0)+VLOOKUP('תפוקה מצטברת מול אשתקד'!A50,'מיטב דש'!A:G,5,0)+VLOOKUP('תפוקה מצטברת מול אשתקד'!A50,אינפניטי!A:G,5,0)</f>
        <v>0</v>
      </c>
      <c r="J50" s="58">
        <f>VLOOKUP(A50,הכשרה!A:G,6,0)+VLOOKUP('תפוקה מצטברת מול אשתקד'!A50,מגדל!A:G,6,0)+VLOOKUP('תפוקה מצטברת מול אשתקד'!A50,מנורה!A:G,6,0)+VLOOKUP('תפוקה מצטברת מול אשתקד'!A50,איילון!A:G,6,0)+VLOOKUP(A50,הראל!A:G,6,0)+VLOOKUP('תפוקה מצטברת מול אשתקד'!A50,הפניקס!A:G,6,0)+VLOOKUP('תפוקה מצטברת מול אשתקד'!A50,כלל!A:G,6,0)+VLOOKUP('תפוקה מצטברת מול אשתקד'!A50,מור!A:G,6,0)+VLOOKUP('תפוקה מצטברת מול אשתקד'!A50,'אלטשולר שחם'!A:G,6,0)+VLOOKUP('תפוקה מצטברת מול אשתקד'!A50,'מדיהו '!A:G,6,0)+VLOOKUP('תפוקה מצטברת מול אשתקד'!A50,'אנליסט '!A:G,6,0)+VLOOKUP('תפוקה מצטברת מול אשתקד'!A50,'מיטב דש'!A:G,6,0)+VLOOKUP('תפוקה מצטברת מול אשתקד'!A50,אינפניטי!A:G,6,0)</f>
        <v>0</v>
      </c>
      <c r="K50" s="58">
        <f>VLOOKUP(A50,הכשרה!A:G,7,0)+VLOOKUP('תפוקה מצטברת מול אשתקד'!A50,מגדל!A:G,7,0)+VLOOKUP('תפוקה מצטברת מול אשתקד'!A50,מנורה!A:G,7,0)+VLOOKUP('תפוקה מצטברת מול אשתקד'!A50,איילון!A:G,7,0)+VLOOKUP('תפוקה מצטברת מול אשתקד'!A50,הראל!A:G,7,0)+VLOOKUP('תפוקה מצטברת מול אשתקד'!A50,הפניקס!A:G,7,0)+VLOOKUP('תפוקה מצטברת מול אשתקד'!A50,כלל!A:G,7,0)+VLOOKUP('תפוקה מצטברת מול אשתקד'!A50,מור!A:G,7,0)+VLOOKUP('תפוקה מצטברת מול אשתקד'!A50,'אלטשולר שחם'!A:G,7,0)+VLOOKUP('תפוקה מצטברת מול אשתקד'!A50,'מדיהו '!A:K,7,0)+VLOOKUP(A50,'אנליסט '!A:G,7,0)+VLOOKUP('תפוקה מצטברת מול אשתקד'!A50,'מיטב דש'!A:G,7,0)+VLOOKUP('תפוקה מצטברת מול אשתקד'!A50,אינפניטי!A:G,7,0)</f>
        <v>0</v>
      </c>
      <c r="L50" s="12">
        <f>VLOOKUP(A50,הכשרה!A:K,8,0)+VLOOKUP('תפוקה מצטברת מול אשתקד'!A50,מגדל!A:K,8,0)+VLOOKUP('תפוקה מצטברת מול אשתקד'!A50,מנורה!A:K,8,0)+VLOOKUP('תפוקה מצטברת מול אשתקד'!A50,איילון!A:K,8,0)+VLOOKUP('תפוקה מצטברת מול אשתקד'!A50,הראל!A:K,8,0)+VLOOKUP('תפוקה מצטברת מול אשתקד'!A50,הפניקס!A:K,8,0)+VLOOKUP('תפוקה מצטברת מול אשתקד'!A50,כלל!A:K,8,0)+VLOOKUP('תפוקה מצטברת מול אשתקד'!A50,מור!A:K,8,0)+VLOOKUP('תפוקה מצטברת מול אשתקד'!A50,'אלטשולר שחם'!A:K,8,0)+VLOOKUP('תפוקה מצטברת מול אשתקד'!A50,'מדיהו '!A:K,8,0)+VLOOKUP('תפוקה מצטברת מול אשתקד'!A50,'אנליסט '!A:K,8,0)+VLOOKUP('תפוקה מצטברת מול אשתקד'!A50,'מיטב דש'!A:K,8,0)+VLOOKUP('תפוקה מצטברת מול אשתקד'!A50,אינפניטי!A:K,8,0)</f>
        <v>0</v>
      </c>
      <c r="M50" s="12">
        <f>VLOOKUP(A50,הכשרה!A:K,9,0)+VLOOKUP('תפוקה מצטברת מול אשתקד'!A50,מגדל!A:K,9,0)+VLOOKUP('תפוקה מצטברת מול אשתקד'!A50,מנורה!A:K,9,0)+VLOOKUP('תפוקה מצטברת מול אשתקד'!A50,איילון!A:K,9,0)+VLOOKUP('תפוקה מצטברת מול אשתקד'!A50,הראל!A:K,9,0)+VLOOKUP('תפוקה מצטברת מול אשתקד'!A50,הפניקס!A:K,9,0)+VLOOKUP('תפוקה מצטברת מול אשתקד'!A50,כלל!A:K,9,0)+VLOOKUP('תפוקה מצטברת מול אשתקד'!A50,מור!A:K,9,0)+VLOOKUP('תפוקה מצטברת מול אשתקד'!A50,'אלטשולר שחם'!A:K,9,0)+VLOOKUP('תפוקה מצטברת מול אשתקד'!A50,'מדיהו '!A:K,9,0)+VLOOKUP('תפוקה מצטברת מול אשתקד'!A50,'אנליסט '!A:K,9,0)+VLOOKUP('תפוקה מצטברת מול אשתקד'!A50,'מיטב דש'!A:K,9,0)+VLOOKUP('תפוקה מצטברת מול אשתקד'!A50,אינפניטי!A:K,9,0)</f>
        <v>0</v>
      </c>
      <c r="N50" s="12">
        <f>VLOOKUP(A50,הכשרה!A:K,10,0)+VLOOKUP('תפוקה מצטברת מול אשתקד'!A50,מגדל!A:K,10,0)+VLOOKUP('תפוקה מצטברת מול אשתקד'!A50,מנורה!A:K,10,0)+VLOOKUP('תפוקה מצטברת מול אשתקד'!A50,איילון!A:K,10,0)+VLOOKUP('תפוקה מצטברת מול אשתקד'!A50,הראל!A:K,10,0)+VLOOKUP('תפוקה מצטברת מול אשתקד'!A50,הפניקס!A:K,10,0)+VLOOKUP('תפוקה מצטברת מול אשתקד'!A50,כלל!A:K,10,0)+VLOOKUP('תפוקה מצטברת מול אשתקד'!A50,מור!A:K,10,0)+VLOOKUP('תפוקה מצטברת מול אשתקד'!A50,'אלטשולר שחם'!A:K,10,0)+VLOOKUP('תפוקה מצטברת מול אשתקד'!A50,'מדיהו '!A:K,10,0)+VLOOKUP('תפוקה מצטברת מול אשתקד'!A50,'אנליסט '!A:K,10,0)+VLOOKUP('תפוקה מצטברת מול אשתקד'!A50,'מיטב דש'!A:K,10,0)+VLOOKUP('תפוקה מצטברת מול אשתקד'!A50,אינפניטי!A:K,10,0)</f>
        <v>0</v>
      </c>
      <c r="O50" s="12">
        <f>VLOOKUP(A50,הכשרה!A:K,11,0)+VLOOKUP('תפוקה מצטברת מול אשתקד'!A50,מגדל!A:K,11,0)+VLOOKUP('תפוקה מצטברת מול אשתקד'!A50,מנורה!A:K,11,0)+VLOOKUP('תפוקה מצטברת מול אשתקד'!A50,איילון!A:K,11,0)+VLOOKUP('תפוקה מצטברת מול אשתקד'!A50,הראל!A:K,11,0)+VLOOKUP('תפוקה מצטברת מול אשתקד'!A50,הפניקס!A:K,11,0)+VLOOKUP('תפוקה מצטברת מול אשתקד'!A50,כלל!A:K,11,0)+VLOOKUP('תפוקה מצטברת מול אשתקד'!A50,מור!A:K,11,0)+VLOOKUP('תפוקה מצטברת מול אשתקד'!A50,'אלטשולר שחם'!A:K,11,0)+VLOOKUP('תפוקה מצטברת מול אשתקד'!A50,'מדיהו '!A:K,11,0)+VLOOKUP('תפוקה מצטברת מול אשתקד'!A50,'אנליסט '!A:K,11,0)+VLOOKUP('תפוקה מצטברת מול אשתקד'!A50,'מיטב דש'!A:K,11,0)+VLOOKUP('תפוקה מצטברת מול אשתקד'!A50,אינפניטי!A:K,11,0)</f>
        <v>0</v>
      </c>
    </row>
    <row r="51" spans="1:15" ht="15.75" customHeight="1" x14ac:dyDescent="0.25">
      <c r="A51" s="26" t="s">
        <v>36</v>
      </c>
      <c r="B51" s="26" t="s">
        <v>55</v>
      </c>
      <c r="C51" s="26" t="s">
        <v>107</v>
      </c>
      <c r="D51" s="19">
        <f t="shared" si="9"/>
        <v>0</v>
      </c>
      <c r="E51" s="19">
        <f t="shared" si="9"/>
        <v>0</v>
      </c>
      <c r="F51" s="19">
        <f t="shared" si="9"/>
        <v>0</v>
      </c>
      <c r="G51" s="19">
        <f t="shared" si="8"/>
        <v>0</v>
      </c>
      <c r="H51" s="58">
        <f>VLOOKUP(A51,הכשרה!A:G,4,0)+VLOOKUP('תפוקה מצטברת מול אשתקד'!A51,מגדל!A:G,4,0)+VLOOKUP('תפוקה מצטברת מול אשתקד'!A51,מנורה!A:G,4,0)+VLOOKUP('תפוקה מצטברת מול אשתקד'!A51,איילון!A:G,4,0)+VLOOKUP('תפוקה מצטברת מול אשתקד'!A51,הראל!A:G,4,0)+VLOOKUP('תפוקה מצטברת מול אשתקד'!A51,הפניקס!A:G,4,0)+VLOOKUP('תפוקה מצטברת מול אשתקד'!A51,כלל!A:G,4,0)+VLOOKUP('תפוקה מצטברת מול אשתקד'!A51,מור!A:G,4,0)+VLOOKUP('תפוקה מצטברת מול אשתקד'!A51,'אלטשולר שחם'!A:G,4,0)+VLOOKUP('תפוקה מצטברת מול אשתקד'!A51,'מדיהו '!A:G,4,0)+VLOOKUP('תפוקה מצטברת מול אשתקד'!A51,'אנליסט '!A:G,4,0)+VLOOKUP('תפוקה מצטברת מול אשתקד'!A51,'מיטב דש'!A:G,4,0)+VLOOKUP('תפוקה מצטברת מול אשתקד'!A51,אינפניטי!A:G,4,0)</f>
        <v>0</v>
      </c>
      <c r="I51" s="58">
        <f>VLOOKUP(A51,הכשרה!A:G,5,0)+VLOOKUP('תפוקה מצטברת מול אשתקד'!A51,מגדל!A:G,5,0)+VLOOKUP('תפוקה מצטברת מול אשתקד'!A51,מנורה!A:G,5,0)+VLOOKUP('תפוקה מצטברת מול אשתקד'!A51,איילון!A:G,5,0)+VLOOKUP('תפוקה מצטברת מול אשתקד'!A51,הראל!A:G,5,0)+VLOOKUP('תפוקה מצטברת מול אשתקד'!A51,הפניקס!A:G,5,0)+VLOOKUP('תפוקה מצטברת מול אשתקד'!A51,כלל!A:G,5,0)+VLOOKUP('תפוקה מצטברת מול אשתקד'!A51,מור!A:G,5,0)+VLOOKUP('תפוקה מצטברת מול אשתקד'!A51,'אלטשולר שחם'!A:G,5,0)+VLOOKUP('תפוקה מצטברת מול אשתקד'!A51,'מדיהו '!A:G,5,0)+VLOOKUP('תפוקה מצטברת מול אשתקד'!A51,'אנליסט '!A:G,5,0)+VLOOKUP('תפוקה מצטברת מול אשתקד'!A51,'מיטב דש'!A:G,5,0)+VLOOKUP('תפוקה מצטברת מול אשתקד'!A51,אינפניטי!A:G,5,0)</f>
        <v>0</v>
      </c>
      <c r="J51" s="58">
        <f>VLOOKUP(A51,הכשרה!A:G,6,0)+VLOOKUP('תפוקה מצטברת מול אשתקד'!A51,מגדל!A:G,6,0)+VLOOKUP('תפוקה מצטברת מול אשתקד'!A51,מנורה!A:G,6,0)+VLOOKUP('תפוקה מצטברת מול אשתקד'!A51,איילון!A:G,6,0)+VLOOKUP(A51,הראל!A:G,6,0)+VLOOKUP('תפוקה מצטברת מול אשתקד'!A51,הפניקס!A:G,6,0)+VLOOKUP('תפוקה מצטברת מול אשתקד'!A51,כלל!A:G,6,0)+VLOOKUP('תפוקה מצטברת מול אשתקד'!A51,מור!A:G,6,0)+VLOOKUP('תפוקה מצטברת מול אשתקד'!A51,'אלטשולר שחם'!A:G,6,0)+VLOOKUP('תפוקה מצטברת מול אשתקד'!A51,'מדיהו '!A:G,6,0)+VLOOKUP('תפוקה מצטברת מול אשתקד'!A51,'אנליסט '!A:G,6,0)+VLOOKUP('תפוקה מצטברת מול אשתקד'!A51,'מיטב דש'!A:G,6,0)+VLOOKUP('תפוקה מצטברת מול אשתקד'!A51,אינפניטי!A:G,6,0)</f>
        <v>0</v>
      </c>
      <c r="K51" s="58">
        <f>VLOOKUP(A51,הכשרה!A:G,7,0)+VLOOKUP('תפוקה מצטברת מול אשתקד'!A51,מגדל!A:G,7,0)+VLOOKUP('תפוקה מצטברת מול אשתקד'!A51,מנורה!A:G,7,0)+VLOOKUP('תפוקה מצטברת מול אשתקד'!A51,איילון!A:G,7,0)+VLOOKUP('תפוקה מצטברת מול אשתקד'!A51,הראל!A:G,7,0)+VLOOKUP('תפוקה מצטברת מול אשתקד'!A51,הפניקס!A:G,7,0)+VLOOKUP('תפוקה מצטברת מול אשתקד'!A51,כלל!A:G,7,0)+VLOOKUP('תפוקה מצטברת מול אשתקד'!A51,מור!A:G,7,0)+VLOOKUP('תפוקה מצטברת מול אשתקד'!A51,'אלטשולר שחם'!A:G,7,0)+VLOOKUP('תפוקה מצטברת מול אשתקד'!A51,'מדיהו '!A:K,7,0)+VLOOKUP(A51,'אנליסט '!A:G,7,0)+VLOOKUP('תפוקה מצטברת מול אשתקד'!A51,'מיטב דש'!A:G,7,0)+VLOOKUP('תפוקה מצטברת מול אשתקד'!A51,אינפניטי!A:G,7,0)</f>
        <v>0</v>
      </c>
      <c r="L51" s="12">
        <f>VLOOKUP(A51,הכשרה!A:K,8,0)+VLOOKUP('תפוקה מצטברת מול אשתקד'!A51,מגדל!A:K,8,0)+VLOOKUP('תפוקה מצטברת מול אשתקד'!A51,מנורה!A:K,8,0)+VLOOKUP('תפוקה מצטברת מול אשתקד'!A51,איילון!A:K,8,0)+VLOOKUP('תפוקה מצטברת מול אשתקד'!A51,הראל!A:K,8,0)+VLOOKUP('תפוקה מצטברת מול אשתקד'!A51,הפניקס!A:K,8,0)+VLOOKUP('תפוקה מצטברת מול אשתקד'!A51,כלל!A:K,8,0)+VLOOKUP('תפוקה מצטברת מול אשתקד'!A51,מור!A:K,8,0)+VLOOKUP('תפוקה מצטברת מול אשתקד'!A51,'אלטשולר שחם'!A:K,8,0)+VLOOKUP('תפוקה מצטברת מול אשתקד'!A51,'מדיהו '!A:K,8,0)+VLOOKUP('תפוקה מצטברת מול אשתקד'!A51,'אנליסט '!A:K,8,0)+VLOOKUP('תפוקה מצטברת מול אשתקד'!A51,'מיטב דש'!A:K,8,0)+VLOOKUP('תפוקה מצטברת מול אשתקד'!A51,אינפניטי!A:K,8,0)</f>
        <v>0</v>
      </c>
      <c r="M51" s="12">
        <f>VLOOKUP(A51,הכשרה!A:K,9,0)+VLOOKUP('תפוקה מצטברת מול אשתקד'!A51,מגדל!A:K,9,0)+VLOOKUP('תפוקה מצטברת מול אשתקד'!A51,מנורה!A:K,9,0)+VLOOKUP('תפוקה מצטברת מול אשתקד'!A51,איילון!A:K,9,0)+VLOOKUP('תפוקה מצטברת מול אשתקד'!A51,הראל!A:K,9,0)+VLOOKUP('תפוקה מצטברת מול אשתקד'!A51,הפניקס!A:K,9,0)+VLOOKUP('תפוקה מצטברת מול אשתקד'!A51,כלל!A:K,9,0)+VLOOKUP('תפוקה מצטברת מול אשתקד'!A51,מור!A:K,9,0)+VLOOKUP('תפוקה מצטברת מול אשתקד'!A51,'אלטשולר שחם'!A:K,9,0)+VLOOKUP('תפוקה מצטברת מול אשתקד'!A51,'מדיהו '!A:K,9,0)+VLOOKUP('תפוקה מצטברת מול אשתקד'!A51,'אנליסט '!A:K,9,0)+VLOOKUP('תפוקה מצטברת מול אשתקד'!A51,'מיטב דש'!A:K,9,0)+VLOOKUP('תפוקה מצטברת מול אשתקד'!A51,אינפניטי!A:K,9,0)</f>
        <v>0</v>
      </c>
      <c r="N51" s="12">
        <f>VLOOKUP(A51,הכשרה!A:K,10,0)+VLOOKUP('תפוקה מצטברת מול אשתקד'!A51,מגדל!A:K,10,0)+VLOOKUP('תפוקה מצטברת מול אשתקד'!A51,מנורה!A:K,10,0)+VLOOKUP('תפוקה מצטברת מול אשתקד'!A51,איילון!A:K,10,0)+VLOOKUP('תפוקה מצטברת מול אשתקד'!A51,הראל!A:K,10,0)+VLOOKUP('תפוקה מצטברת מול אשתקד'!A51,הפניקס!A:K,10,0)+VLOOKUP('תפוקה מצטברת מול אשתקד'!A51,כלל!A:K,10,0)+VLOOKUP('תפוקה מצטברת מול אשתקד'!A51,מור!A:K,10,0)+VLOOKUP('תפוקה מצטברת מול אשתקד'!A51,'אלטשולר שחם'!A:K,10,0)+VLOOKUP('תפוקה מצטברת מול אשתקד'!A51,'מדיהו '!A:K,10,0)+VLOOKUP('תפוקה מצטברת מול אשתקד'!A51,'אנליסט '!A:K,10,0)+VLOOKUP('תפוקה מצטברת מול אשתקד'!A51,'מיטב דש'!A:K,10,0)+VLOOKUP('תפוקה מצטברת מול אשתקד'!A51,אינפניטי!A:K,10,0)</f>
        <v>0</v>
      </c>
      <c r="O51" s="12">
        <f>VLOOKUP(A51,הכשרה!A:K,11,0)+VLOOKUP('תפוקה מצטברת מול אשתקד'!A51,מגדל!A:K,11,0)+VLOOKUP('תפוקה מצטברת מול אשתקד'!A51,מנורה!A:K,11,0)+VLOOKUP('תפוקה מצטברת מול אשתקד'!A51,איילון!A:K,11,0)+VLOOKUP('תפוקה מצטברת מול אשתקד'!A51,הראל!A:K,11,0)+VLOOKUP('תפוקה מצטברת מול אשתקד'!A51,הפניקס!A:K,11,0)+VLOOKUP('תפוקה מצטברת מול אשתקד'!A51,כלל!A:K,11,0)+VLOOKUP('תפוקה מצטברת מול אשתקד'!A51,מור!A:K,11,0)+VLOOKUP('תפוקה מצטברת מול אשתקד'!A51,'אלטשולר שחם'!A:K,11,0)+VLOOKUP('תפוקה מצטברת מול אשתקד'!A51,'מדיהו '!A:K,11,0)+VLOOKUP('תפוקה מצטברת מול אשתקד'!A51,'אנליסט '!A:K,11,0)+VLOOKUP('תפוקה מצטברת מול אשתקד'!A51,'מיטב דש'!A:K,11,0)+VLOOKUP('תפוקה מצטברת מול אשתקד'!A51,אינפניטי!A:K,11,0)</f>
        <v>0</v>
      </c>
    </row>
    <row r="52" spans="1:15" ht="15.75" customHeight="1" x14ac:dyDescent="0.25">
      <c r="A52" s="26" t="s">
        <v>94</v>
      </c>
      <c r="B52" s="26" t="s">
        <v>55</v>
      </c>
      <c r="C52" s="26" t="s">
        <v>107</v>
      </c>
      <c r="D52" s="19">
        <f t="shared" si="9"/>
        <v>0</v>
      </c>
      <c r="E52" s="19">
        <f t="shared" si="9"/>
        <v>0</v>
      </c>
      <c r="F52" s="19">
        <f t="shared" si="9"/>
        <v>0</v>
      </c>
      <c r="G52" s="19">
        <f t="shared" si="8"/>
        <v>0</v>
      </c>
      <c r="H52" s="58">
        <f>VLOOKUP(A52,הכשרה!A:G,4,0)+VLOOKUP('תפוקה מצטברת מול אשתקד'!A52,מגדל!A:G,4,0)+VLOOKUP('תפוקה מצטברת מול אשתקד'!A52,מנורה!A:G,4,0)+VLOOKUP('תפוקה מצטברת מול אשתקד'!A52,איילון!A:G,4,0)+VLOOKUP('תפוקה מצטברת מול אשתקד'!A52,הראל!A:G,4,0)+VLOOKUP('תפוקה מצטברת מול אשתקד'!A52,הפניקס!A:G,4,0)+VLOOKUP('תפוקה מצטברת מול אשתקד'!A52,כלל!A:G,4,0)+VLOOKUP('תפוקה מצטברת מול אשתקד'!A52,מור!A:G,4,0)+VLOOKUP('תפוקה מצטברת מול אשתקד'!A52,'אלטשולר שחם'!A:G,4,0)+VLOOKUP('תפוקה מצטברת מול אשתקד'!A52,'מדיהו '!A:G,4,0)+VLOOKUP('תפוקה מצטברת מול אשתקד'!A52,'אנליסט '!A:G,4,0)+VLOOKUP('תפוקה מצטברת מול אשתקד'!A52,'מיטב דש'!A:G,4,0)+VLOOKUP('תפוקה מצטברת מול אשתקד'!A52,אינפניטי!A:G,4,0)</f>
        <v>0</v>
      </c>
      <c r="I52" s="58">
        <f>VLOOKUP(A52,הכשרה!A:G,5,0)+VLOOKUP('תפוקה מצטברת מול אשתקד'!A52,מגדל!A:G,5,0)+VLOOKUP('תפוקה מצטברת מול אשתקד'!A52,מנורה!A:G,5,0)+VLOOKUP('תפוקה מצטברת מול אשתקד'!A52,איילון!A:G,5,0)+VLOOKUP('תפוקה מצטברת מול אשתקד'!A52,הראל!A:G,5,0)+VLOOKUP('תפוקה מצטברת מול אשתקד'!A52,הפניקס!A:G,5,0)+VLOOKUP('תפוקה מצטברת מול אשתקד'!A52,כלל!A:G,5,0)+VLOOKUP('תפוקה מצטברת מול אשתקד'!A52,מור!A:G,5,0)+VLOOKUP('תפוקה מצטברת מול אשתקד'!A52,'אלטשולר שחם'!A:G,5,0)+VLOOKUP('תפוקה מצטברת מול אשתקד'!A52,'מדיהו '!A:G,5,0)+VLOOKUP('תפוקה מצטברת מול אשתקד'!A52,'אנליסט '!A:G,5,0)+VLOOKUP('תפוקה מצטברת מול אשתקד'!A52,'מיטב דש'!A:G,5,0)+VLOOKUP('תפוקה מצטברת מול אשתקד'!A52,אינפניטי!A:G,5,0)</f>
        <v>0</v>
      </c>
      <c r="J52" s="58">
        <f>VLOOKUP(A52,הכשרה!A:G,6,0)+VLOOKUP('תפוקה מצטברת מול אשתקד'!A52,מגדל!A:G,6,0)+VLOOKUP('תפוקה מצטברת מול אשתקד'!A52,מנורה!A:G,6,0)+VLOOKUP('תפוקה מצטברת מול אשתקד'!A52,איילון!A:G,6,0)+VLOOKUP(A52,הראל!A:G,6,0)+VLOOKUP('תפוקה מצטברת מול אשתקד'!A52,הפניקס!A:G,6,0)+VLOOKUP('תפוקה מצטברת מול אשתקד'!A52,כלל!A:G,6,0)+VLOOKUP('תפוקה מצטברת מול אשתקד'!A52,מור!A:G,6,0)+VLOOKUP('תפוקה מצטברת מול אשתקד'!A52,'אלטשולר שחם'!A:G,6,0)+VLOOKUP('תפוקה מצטברת מול אשתקד'!A52,'מדיהו '!A:G,6,0)+VLOOKUP('תפוקה מצטברת מול אשתקד'!A52,'אנליסט '!A:G,6,0)+VLOOKUP('תפוקה מצטברת מול אשתקד'!A52,'מיטב דש'!A:G,6,0)+VLOOKUP('תפוקה מצטברת מול אשתקד'!A52,אינפניטי!A:G,6,0)</f>
        <v>0</v>
      </c>
      <c r="K52" s="58">
        <f>VLOOKUP(A52,הכשרה!A:G,7,0)+VLOOKUP('תפוקה מצטברת מול אשתקד'!A52,מגדל!A:G,7,0)+VLOOKUP('תפוקה מצטברת מול אשתקד'!A52,מנורה!A:G,7,0)+VLOOKUP('תפוקה מצטברת מול אשתקד'!A52,איילון!A:G,7,0)+VLOOKUP('תפוקה מצטברת מול אשתקד'!A52,הראל!A:G,7,0)+VLOOKUP('תפוקה מצטברת מול אשתקד'!A52,הפניקס!A:G,7,0)+VLOOKUP('תפוקה מצטברת מול אשתקד'!A52,כלל!A:G,7,0)+VLOOKUP('תפוקה מצטברת מול אשתקד'!A52,מור!A:G,7,0)+VLOOKUP('תפוקה מצטברת מול אשתקד'!A52,'אלטשולר שחם'!A:G,7,0)+VLOOKUP('תפוקה מצטברת מול אשתקד'!A52,'מדיהו '!A:K,7,0)+VLOOKUP(A52,'אנליסט '!A:G,7,0)+VLOOKUP('תפוקה מצטברת מול אשתקד'!A52,'מיטב דש'!A:G,7,0)+VLOOKUP('תפוקה מצטברת מול אשתקד'!A52,אינפניטי!A:G,7,0)</f>
        <v>0</v>
      </c>
      <c r="L52" s="12">
        <f>VLOOKUP(A52,הכשרה!A:K,8,0)+VLOOKUP('תפוקה מצטברת מול אשתקד'!A52,מגדל!A:K,8,0)+VLOOKUP('תפוקה מצטברת מול אשתקד'!A52,מנורה!A:K,8,0)+VLOOKUP('תפוקה מצטברת מול אשתקד'!A52,איילון!A:K,8,0)+VLOOKUP('תפוקה מצטברת מול אשתקד'!A52,הראל!A:K,8,0)+VLOOKUP('תפוקה מצטברת מול אשתקד'!A52,הפניקס!A:K,8,0)+VLOOKUP('תפוקה מצטברת מול אשתקד'!A52,כלל!A:K,8,0)+VLOOKUP('תפוקה מצטברת מול אשתקד'!A52,מור!A:K,8,0)+VLOOKUP('תפוקה מצטברת מול אשתקד'!A52,'אלטשולר שחם'!A:K,8,0)+VLOOKUP('תפוקה מצטברת מול אשתקד'!A52,'מדיהו '!A:K,8,0)+VLOOKUP('תפוקה מצטברת מול אשתקד'!A52,'אנליסט '!A:K,8,0)+VLOOKUP('תפוקה מצטברת מול אשתקד'!A52,'מיטב דש'!A:K,8,0)+VLOOKUP('תפוקה מצטברת מול אשתקד'!A52,אינפניטי!A:K,8,0)</f>
        <v>221.54159199999998</v>
      </c>
      <c r="M52" s="12">
        <f>VLOOKUP(A52,הכשרה!A:K,9,0)+VLOOKUP('תפוקה מצטברת מול אשתקד'!A52,מגדל!A:K,9,0)+VLOOKUP('תפוקה מצטברת מול אשתקד'!A52,מנורה!A:K,9,0)+VLOOKUP('תפוקה מצטברת מול אשתקד'!A52,איילון!A:K,9,0)+VLOOKUP('תפוקה מצטברת מול אשתקד'!A52,הראל!A:K,9,0)+VLOOKUP('תפוקה מצטברת מול אשתקד'!A52,הפניקס!A:K,9,0)+VLOOKUP('תפוקה מצטברת מול אשתקד'!A52,כלל!A:K,9,0)+VLOOKUP('תפוקה מצטברת מול אשתקד'!A52,מור!A:K,9,0)+VLOOKUP('תפוקה מצטברת מול אשתקד'!A52,'אלטשולר שחם'!A:K,9,0)+VLOOKUP('תפוקה מצטברת מול אשתקד'!A52,'מדיהו '!A:K,9,0)+VLOOKUP('תפוקה מצטברת מול אשתקד'!A52,'אנליסט '!A:K,9,0)+VLOOKUP('תפוקה מצטברת מול אשתקד'!A52,'מיטב דש'!A:K,9,0)+VLOOKUP('תפוקה מצטברת מול אשתקד'!A52,אינפניטי!A:K,9,0)</f>
        <v>3405.9261968804522</v>
      </c>
      <c r="N52" s="12">
        <f>VLOOKUP(A52,הכשרה!A:K,10,0)+VLOOKUP('תפוקה מצטברת מול אשתקד'!A52,מגדל!A:K,10,0)+VLOOKUP('תפוקה מצטברת מול אשתקד'!A52,מנורה!A:K,10,0)+VLOOKUP('תפוקה מצטברת מול אשתקד'!A52,איילון!A:K,10,0)+VLOOKUP('תפוקה מצטברת מול אשתקד'!A52,הראל!A:K,10,0)+VLOOKUP('תפוקה מצטברת מול אשתקד'!A52,הפניקס!A:K,10,0)+VLOOKUP('תפוקה מצטברת מול אשתקד'!A52,כלל!A:K,10,0)+VLOOKUP('תפוקה מצטברת מול אשתקד'!A52,מור!A:K,10,0)+VLOOKUP('תפוקה מצטברת מול אשתקד'!A52,'אלטשולר שחם'!A:K,10,0)+VLOOKUP('תפוקה מצטברת מול אשתקד'!A52,'מדיהו '!A:K,10,0)+VLOOKUP('תפוקה מצטברת מול אשתקד'!A52,'אנליסט '!A:K,10,0)+VLOOKUP('תפוקה מצטברת מול אשתקד'!A52,'מיטב דש'!A:K,10,0)+VLOOKUP('תפוקה מצטברת מול אשתקד'!A52,אינפניטי!A:K,10,0)</f>
        <v>0</v>
      </c>
      <c r="O52" s="12">
        <f>VLOOKUP(A52,הכשרה!A:K,11,0)+VLOOKUP('תפוקה מצטברת מול אשתקד'!A52,מגדל!A:K,11,0)+VLOOKUP('תפוקה מצטברת מול אשתקד'!A52,מנורה!A:K,11,0)+VLOOKUP('תפוקה מצטברת מול אשתקד'!A52,איילון!A:K,11,0)+VLOOKUP('תפוקה מצטברת מול אשתקד'!A52,הראל!A:K,11,0)+VLOOKUP('תפוקה מצטברת מול אשתקד'!A52,הפניקס!A:K,11,0)+VLOOKUP('תפוקה מצטברת מול אשתקד'!A52,כלל!A:K,11,0)+VLOOKUP('תפוקה מצטברת מול אשתקד'!A52,מור!A:K,11,0)+VLOOKUP('תפוקה מצטברת מול אשתקד'!A52,'אלטשולר שחם'!A:K,11,0)+VLOOKUP('תפוקה מצטברת מול אשתקד'!A52,'מדיהו '!A:K,11,0)+VLOOKUP('תפוקה מצטברת מול אשתקד'!A52,'אנליסט '!A:K,11,0)+VLOOKUP('תפוקה מצטברת מול אשתקד'!A52,'מיטב דש'!A:K,11,0)+VLOOKUP('תפוקה מצטברת מול אשתקד'!A52,אינפניטי!A:K,11,0)</f>
        <v>-115261.93999999999</v>
      </c>
    </row>
    <row r="53" spans="1:15" ht="15.75" customHeight="1" x14ac:dyDescent="0.25">
      <c r="A53" s="26" t="s">
        <v>98</v>
      </c>
      <c r="B53" s="26" t="s">
        <v>55</v>
      </c>
      <c r="C53" s="27" t="s">
        <v>107</v>
      </c>
      <c r="D53" s="19">
        <f t="shared" si="9"/>
        <v>1</v>
      </c>
      <c r="E53" s="19">
        <f t="shared" si="9"/>
        <v>1</v>
      </c>
      <c r="F53" s="19">
        <f t="shared" si="9"/>
        <v>0</v>
      </c>
      <c r="G53" s="19">
        <f t="shared" si="8"/>
        <v>0</v>
      </c>
      <c r="H53" s="58">
        <f>VLOOKUP(A53,הכשרה!A:G,4,0)+VLOOKUP('תפוקה מצטברת מול אשתקד'!A53,מגדל!A:G,4,0)+VLOOKUP('תפוקה מצטברת מול אשתקד'!A53,מנורה!A:G,4,0)+VLOOKUP('תפוקה מצטברת מול אשתקד'!A53,איילון!A:G,4,0)+VLOOKUP('תפוקה מצטברת מול אשתקד'!A53,הראל!A:G,4,0)+VLOOKUP('תפוקה מצטברת מול אשתקד'!A53,הפניקס!A:G,4,0)+VLOOKUP('תפוקה מצטברת מול אשתקד'!A53,כלל!A:G,4,0)+VLOOKUP('תפוקה מצטברת מול אשתקד'!A53,מור!A:G,4,0)+VLOOKUP('תפוקה מצטברת מול אשתקד'!A53,'אלטשולר שחם'!A:G,4,0)+VLOOKUP('תפוקה מצטברת מול אשתקד'!A53,'מדיהו '!A:G,4,0)+VLOOKUP('תפוקה מצטברת מול אשתקד'!A53,'אנליסט '!A:G,4,0)+VLOOKUP('תפוקה מצטברת מול אשתקד'!A53,'מיטב דש'!A:G,4,0)+VLOOKUP('תפוקה מצטברת מול אשתקד'!A53,אינפניטי!A:G,4,0)</f>
        <v>29942.03</v>
      </c>
      <c r="I53" s="58">
        <f>VLOOKUP(A53,הכשרה!A:G,5,0)+VLOOKUP('תפוקה מצטברת מול אשתקד'!A53,מגדל!A:G,5,0)+VLOOKUP('תפוקה מצטברת מול אשתקד'!A53,מנורה!A:G,5,0)+VLOOKUP('תפוקה מצטברת מול אשתקד'!A53,איילון!A:G,5,0)+VLOOKUP('תפוקה מצטברת מול אשתקד'!A53,הראל!A:G,5,0)+VLOOKUP('תפוקה מצטברת מול אשתקד'!A53,הפניקס!A:G,5,0)+VLOOKUP('תפוקה מצטברת מול אשתקד'!A53,כלל!A:G,5,0)+VLOOKUP('תפוקה מצטברת מול אשתקד'!A53,מור!A:G,5,0)+VLOOKUP('תפוקה מצטברת מול אשתקד'!A53,'אלטשולר שחם'!A:G,5,0)+VLOOKUP('תפוקה מצטברת מול אשתקד'!A53,'מדיהו '!A:G,5,0)+VLOOKUP('תפוקה מצטברת מול אשתקד'!A53,'אנליסט '!A:G,5,0)+VLOOKUP('תפוקה מצטברת מול אשתקד'!A53,'מיטב דש'!A:G,5,0)+VLOOKUP('תפוקה מצטברת מול אשתקד'!A53,אינפניטי!A:G,5,0)</f>
        <v>17842.41</v>
      </c>
      <c r="J53" s="58">
        <f>VLOOKUP(A53,הכשרה!A:G,6,0)+VLOOKUP('תפוקה מצטברת מול אשתקד'!A53,מגדל!A:G,6,0)+VLOOKUP('תפוקה מצטברת מול אשתקד'!A53,מנורה!A:G,6,0)+VLOOKUP('תפוקה מצטברת מול אשתקד'!A53,איילון!A:G,6,0)+VLOOKUP(A53,הראל!A:G,6,0)+VLOOKUP('תפוקה מצטברת מול אשתקד'!A53,הפניקס!A:G,6,0)+VLOOKUP('תפוקה מצטברת מול אשתקד'!A53,כלל!A:G,6,0)+VLOOKUP('תפוקה מצטברת מול אשתקד'!A53,מור!A:G,6,0)+VLOOKUP('תפוקה מצטברת מול אשתקד'!A53,'אלטשולר שחם'!A:G,6,0)+VLOOKUP('תפוקה מצטברת מול אשתקד'!A53,'מדיהו '!A:G,6,0)+VLOOKUP('תפוקה מצטברת מול אשתקד'!A53,'אנליסט '!A:G,6,0)+VLOOKUP('תפוקה מצטברת מול אשתקד'!A53,'מיטב דש'!A:G,6,0)+VLOOKUP('תפוקה מצטברת מול אשתקד'!A53,אינפניטי!A:G,6,0)</f>
        <v>0</v>
      </c>
      <c r="K53" s="58">
        <f>VLOOKUP(A53,הכשרה!A:G,7,0)+VLOOKUP('תפוקה מצטברת מול אשתקד'!A53,מגדל!A:G,7,0)+VLOOKUP('תפוקה מצטברת מול אשתקד'!A53,מנורה!A:G,7,0)+VLOOKUP('תפוקה מצטברת מול אשתקד'!A53,איילון!A:G,7,0)+VLOOKUP('תפוקה מצטברת מול אשתקד'!A53,הראל!A:G,7,0)+VLOOKUP('תפוקה מצטברת מול אשתקד'!A53,הפניקס!A:G,7,0)+VLOOKUP('תפוקה מצטברת מול אשתקד'!A53,כלל!A:G,7,0)+VLOOKUP('תפוקה מצטברת מול אשתקד'!A53,מור!A:G,7,0)+VLOOKUP('תפוקה מצטברת מול אשתקד'!A53,'אלטשולר שחם'!A:G,7,0)+VLOOKUP('תפוקה מצטברת מול אשתקד'!A53,'מדיהו '!A:K,7,0)+VLOOKUP(A53,'אנליסט '!A:G,7,0)+VLOOKUP('תפוקה מצטברת מול אשתקד'!A53,'מיטב דש'!A:G,7,0)+VLOOKUP('תפוקה מצטברת מול אשתקד'!A53,אינפניטי!A:G,7,0)</f>
        <v>0</v>
      </c>
      <c r="L53" s="12">
        <f>VLOOKUP(A53,הכשרה!A:K,8,0)+VLOOKUP('תפוקה מצטברת מול אשתקד'!A53,מגדל!A:K,8,0)+VLOOKUP('תפוקה מצטברת מול אשתקד'!A53,מנורה!A:K,8,0)+VLOOKUP('תפוקה מצטברת מול אשתקד'!A53,איילון!A:K,8,0)+VLOOKUP('תפוקה מצטברת מול אשתקד'!A53,הראל!A:K,8,0)+VLOOKUP('תפוקה מצטברת מול אשתקד'!A53,הפניקס!A:K,8,0)+VLOOKUP('תפוקה מצטברת מול אשתקד'!A53,כלל!A:K,8,0)+VLOOKUP('תפוקה מצטברת מול אשתקד'!A53,מור!A:K,8,0)+VLOOKUP('תפוקה מצטברת מול אשתקד'!A53,'אלטשולר שחם'!A:K,8,0)+VLOOKUP('תפוקה מצטברת מול אשתקד'!A53,'מדיהו '!A:K,8,0)+VLOOKUP('תפוקה מצטברת מול אשתקד'!A53,'אנליסט '!A:K,8,0)+VLOOKUP('תפוקה מצטברת מול אשתקד'!A53,'מיטב דש'!A:K,8,0)+VLOOKUP('תפוקה מצטברת מול אשתקד'!A53,אינפניטי!A:K,8,0)</f>
        <v>0</v>
      </c>
      <c r="M53" s="12">
        <f>VLOOKUP(A53,הכשרה!A:K,9,0)+VLOOKUP('תפוקה מצטברת מול אשתקד'!A53,מגדל!A:K,9,0)+VLOOKUP('תפוקה מצטברת מול אשתקד'!A53,מנורה!A:K,9,0)+VLOOKUP('תפוקה מצטברת מול אשתקד'!A53,איילון!A:K,9,0)+VLOOKUP('תפוקה מצטברת מול אשתקד'!A53,הראל!A:K,9,0)+VLOOKUP('תפוקה מצטברת מול אשתקד'!A53,הפניקס!A:K,9,0)+VLOOKUP('תפוקה מצטברת מול אשתקד'!A53,כלל!A:K,9,0)+VLOOKUP('תפוקה מצטברת מול אשתקד'!A53,מור!A:K,9,0)+VLOOKUP('תפוקה מצטברת מול אשתקד'!A53,'אלטשולר שחם'!A:K,9,0)+VLOOKUP('תפוקה מצטברת מול אשתקד'!A53,'מדיהו '!A:K,9,0)+VLOOKUP('תפוקה מצטברת מול אשתקד'!A53,'אנליסט '!A:K,9,0)+VLOOKUP('תפוקה מצטברת מול אשתקד'!A53,'מיטב דש'!A:K,9,0)+VLOOKUP('תפוקה מצטברת מול אשתקד'!A53,אינפניטי!A:K,9,0)</f>
        <v>0</v>
      </c>
      <c r="N53" s="12">
        <f>VLOOKUP(A53,הכשרה!A:K,10,0)+VLOOKUP('תפוקה מצטברת מול אשתקד'!A53,מגדל!A:K,10,0)+VLOOKUP('תפוקה מצטברת מול אשתקד'!A53,מנורה!A:K,10,0)+VLOOKUP('תפוקה מצטברת מול אשתקד'!A53,איילון!A:K,10,0)+VLOOKUP('תפוקה מצטברת מול אשתקד'!A53,הראל!A:K,10,0)+VLOOKUP('תפוקה מצטברת מול אשתקד'!A53,הפניקס!A:K,10,0)+VLOOKUP('תפוקה מצטברת מול אשתקד'!A53,כלל!A:K,10,0)+VLOOKUP('תפוקה מצטברת מול אשתקד'!A53,מור!A:K,10,0)+VLOOKUP('תפוקה מצטברת מול אשתקד'!A53,'אלטשולר שחם'!A:K,10,0)+VLOOKUP('תפוקה מצטברת מול אשתקד'!A53,'מדיהו '!A:K,10,0)+VLOOKUP('תפוקה מצטברת מול אשתקד'!A53,'אנליסט '!A:K,10,0)+VLOOKUP('תפוקה מצטברת מול אשתקד'!A53,'מיטב דש'!A:K,10,0)+VLOOKUP('תפוקה מצטברת מול אשתקד'!A53,אינפניטי!A:K,10,0)</f>
        <v>0</v>
      </c>
      <c r="O53" s="12">
        <f>VLOOKUP(A53,הכשרה!A:K,11,0)+VLOOKUP('תפוקה מצטברת מול אשתקד'!A53,מגדל!A:K,11,0)+VLOOKUP('תפוקה מצטברת מול אשתקד'!A53,מנורה!A:K,11,0)+VLOOKUP('תפוקה מצטברת מול אשתקד'!A53,איילון!A:K,11,0)+VLOOKUP('תפוקה מצטברת מול אשתקד'!A53,הראל!A:K,11,0)+VLOOKUP('תפוקה מצטברת מול אשתקד'!A53,הפניקס!A:K,11,0)+VLOOKUP('תפוקה מצטברת מול אשתקד'!A53,כלל!A:K,11,0)+VLOOKUP('תפוקה מצטברת מול אשתקד'!A53,מור!A:K,11,0)+VLOOKUP('תפוקה מצטברת מול אשתקד'!A53,'אלטשולר שחם'!A:K,11,0)+VLOOKUP('תפוקה מצטברת מול אשתקד'!A53,'מדיהו '!A:K,11,0)+VLOOKUP('תפוקה מצטברת מול אשתקד'!A53,'אנליסט '!A:K,11,0)+VLOOKUP('תפוקה מצטברת מול אשתקד'!A53,'מיטב דש'!A:K,11,0)+VLOOKUP('תפוקה מצטברת מול אשתקד'!A53,אינפניטי!A:K,11,0)</f>
        <v>-52867.72</v>
      </c>
    </row>
    <row r="54" spans="1:15" ht="15.75" customHeight="1" x14ac:dyDescent="0.25">
      <c r="A54" s="26" t="s">
        <v>129</v>
      </c>
      <c r="B54" s="26" t="s">
        <v>108</v>
      </c>
      <c r="C54" s="27" t="s">
        <v>107</v>
      </c>
      <c r="D54" s="19">
        <f t="shared" si="9"/>
        <v>0</v>
      </c>
      <c r="E54" s="19">
        <f t="shared" si="9"/>
        <v>0</v>
      </c>
      <c r="F54" s="19">
        <f t="shared" si="9"/>
        <v>0</v>
      </c>
      <c r="G54" s="19">
        <f t="shared" si="8"/>
        <v>1</v>
      </c>
      <c r="H54" s="58">
        <f>VLOOKUP(A54,הכשרה!A:G,4,0)+VLOOKUP('תפוקה מצטברת מול אשתקד'!A54,מגדל!A:G,4,0)+VLOOKUP('תפוקה מצטברת מול אשתקד'!A54,מנורה!A:G,4,0)+VLOOKUP('תפוקה מצטברת מול אשתקד'!A54,איילון!A:G,4,0)+VLOOKUP('תפוקה מצטברת מול אשתקד'!A54,הראל!A:G,4,0)+VLOOKUP('תפוקה מצטברת מול אשתקד'!A54,הפניקס!A:G,4,0)+VLOOKUP('תפוקה מצטברת מול אשתקד'!A54,כלל!A:G,4,0)+VLOOKUP('תפוקה מצטברת מול אשתקד'!A54,מור!A:G,4,0)+VLOOKUP('תפוקה מצטברת מול אשתקד'!A54,'אלטשולר שחם'!A:G,4,0)+VLOOKUP('תפוקה מצטברת מול אשתקד'!A54,'מדיהו '!A:G,4,0)+VLOOKUP('תפוקה מצטברת מול אשתקד'!A54,'אנליסט '!A:G,4,0)+VLOOKUP('תפוקה מצטברת מול אשתקד'!A54,'מיטב דש'!A:G,4,0)+VLOOKUP('תפוקה מצטברת מול אשתקד'!A54,אינפניטי!A:G,4,0)</f>
        <v>0</v>
      </c>
      <c r="I54" s="58">
        <f>VLOOKUP(A54,הכשרה!A:G,5,0)+VLOOKUP('תפוקה מצטברת מול אשתקד'!A54,מגדל!A:G,5,0)+VLOOKUP('תפוקה מצטברת מול אשתקד'!A54,מנורה!A:G,5,0)+VLOOKUP('תפוקה מצטברת מול אשתקד'!A54,איילון!A:G,5,0)+VLOOKUP('תפוקה מצטברת מול אשתקד'!A54,הראל!A:G,5,0)+VLOOKUP('תפוקה מצטברת מול אשתקד'!A54,הפניקס!A:G,5,0)+VLOOKUP('תפוקה מצטברת מול אשתקד'!A54,כלל!A:G,5,0)+VLOOKUP('תפוקה מצטברת מול אשתקד'!A54,מור!A:G,5,0)+VLOOKUP('תפוקה מצטברת מול אשתקד'!A54,'אלטשולר שחם'!A:G,5,0)+VLOOKUP('תפוקה מצטברת מול אשתקד'!A54,'מדיהו '!A:G,5,0)+VLOOKUP('תפוקה מצטברת מול אשתקד'!A54,'אנליסט '!A:G,5,0)+VLOOKUP('תפוקה מצטברת מול אשתקד'!A54,'מיטב דש'!A:G,5,0)+VLOOKUP('תפוקה מצטברת מול אשתקד'!A54,אינפניטי!A:G,5,0)</f>
        <v>0</v>
      </c>
      <c r="J54" s="58">
        <f>VLOOKUP(A54,הכשרה!A:G,6,0)+VLOOKUP('תפוקה מצטברת מול אשתקד'!A54,מגדל!A:G,6,0)+VLOOKUP('תפוקה מצטברת מול אשתקד'!A54,מנורה!A:G,6,0)+VLOOKUP('תפוקה מצטברת מול אשתקד'!A54,איילון!A:G,6,0)+VLOOKUP(A54,הראל!A:G,6,0)+VLOOKUP('תפוקה מצטברת מול אשתקד'!A54,הפניקס!A:G,6,0)+VLOOKUP('תפוקה מצטברת מול אשתקד'!A54,כלל!A:G,6,0)+VLOOKUP('תפוקה מצטברת מול אשתקד'!A54,מור!A:G,6,0)+VLOOKUP('תפוקה מצטברת מול אשתקד'!A54,'אלטשולר שחם'!A:G,6,0)+VLOOKUP('תפוקה מצטברת מול אשתקד'!A54,'מדיהו '!A:G,6,0)+VLOOKUP('תפוקה מצטברת מול אשתקד'!A54,'אנליסט '!A:G,6,0)+VLOOKUP('תפוקה מצטברת מול אשתקד'!A54,'מיטב דש'!A:G,6,0)+VLOOKUP('תפוקה מצטברת מול אשתקד'!A54,אינפניטי!A:G,6,0)</f>
        <v>0</v>
      </c>
      <c r="K54" s="58">
        <f>VLOOKUP(A54,הכשרה!A:G,7,0)+VLOOKUP('תפוקה מצטברת מול אשתקד'!A54,מגדל!A:G,7,0)+VLOOKUP('תפוקה מצטברת מול אשתקד'!A54,מנורה!A:G,7,0)+VLOOKUP('תפוקה מצטברת מול אשתקד'!A54,איילון!A:G,7,0)+VLOOKUP('תפוקה מצטברת מול אשתקד'!A54,הראל!A:G,7,0)+VLOOKUP('תפוקה מצטברת מול אשתקד'!A54,הפניקס!A:G,7,0)+VLOOKUP('תפוקה מצטברת מול אשתקד'!A54,כלל!A:G,7,0)+VLOOKUP('תפוקה מצטברת מול אשתקד'!A54,מור!A:G,7,0)+VLOOKUP('תפוקה מצטברת מול אשתקד'!A54,'אלטשולר שחם'!A:G,7,0)+VLOOKUP('תפוקה מצטברת מול אשתקד'!A54,'מדיהו '!A:K,7,0)+VLOOKUP(A54,'אנליסט '!A:G,7,0)+VLOOKUP('תפוקה מצטברת מול אשתקד'!A54,'מיטב דש'!A:G,7,0)+VLOOKUP('תפוקה מצטברת מול אשתקד'!A54,אינפניטי!A:G,7,0)</f>
        <v>-59363.66</v>
      </c>
      <c r="L54" s="12">
        <f>VLOOKUP(A54,הכשרה!A:K,8,0)+VLOOKUP('תפוקה מצטברת מול אשתקד'!A54,מגדל!A:K,8,0)+VLOOKUP('תפוקה מצטברת מול אשתקד'!A54,מנורה!A:K,8,0)+VLOOKUP('תפוקה מצטברת מול אשתקד'!A54,איילון!A:K,8,0)+VLOOKUP('תפוקה מצטברת מול אשתקד'!A54,הראל!A:K,8,0)+VLOOKUP('תפוקה מצטברת מול אשתקד'!A54,הפניקס!A:K,8,0)+VLOOKUP('תפוקה מצטברת מול אשתקד'!A54,כלל!A:K,8,0)+VLOOKUP('תפוקה מצטברת מול אשתקד'!A54,מור!A:K,8,0)+VLOOKUP('תפוקה מצטברת מול אשתקד'!A54,'אלטשולר שחם'!A:K,8,0)+VLOOKUP('תפוקה מצטברת מול אשתקד'!A54,'מדיהו '!A:K,8,0)+VLOOKUP('תפוקה מצטברת מול אשתקד'!A54,'אנליסט '!A:K,8,0)+VLOOKUP('תפוקה מצטברת מול אשתקד'!A54,'מיטב דש'!A:K,8,0)+VLOOKUP('תפוקה מצטברת מול אשתקד'!A54,אינפניטי!A:K,8,0)</f>
        <v>0</v>
      </c>
      <c r="M54" s="12">
        <f>VLOOKUP(A54,הכשרה!A:K,9,0)+VLOOKUP('תפוקה מצטברת מול אשתקד'!A54,מגדל!A:K,9,0)+VLOOKUP('תפוקה מצטברת מול אשתקד'!A54,מנורה!A:K,9,0)+VLOOKUP('תפוקה מצטברת מול אשתקד'!A54,איילון!A:K,9,0)+VLOOKUP('תפוקה מצטברת מול אשתקד'!A54,הראל!A:K,9,0)+VLOOKUP('תפוקה מצטברת מול אשתקד'!A54,הפניקס!A:K,9,0)+VLOOKUP('תפוקה מצטברת מול אשתקד'!A54,כלל!A:K,9,0)+VLOOKUP('תפוקה מצטברת מול אשתקד'!A54,מור!A:K,9,0)+VLOOKUP('תפוקה מצטברת מול אשתקד'!A54,'אלטשולר שחם'!A:K,9,0)+VLOOKUP('תפוקה מצטברת מול אשתקד'!A54,'מדיהו '!A:K,9,0)+VLOOKUP('תפוקה מצטברת מול אשתקד'!A54,'אנליסט '!A:K,9,0)+VLOOKUP('תפוקה מצטברת מול אשתקד'!A54,'מיטב דש'!A:K,9,0)+VLOOKUP('תפוקה מצטברת מול אשתקד'!A54,אינפניטי!A:K,9,0)</f>
        <v>0</v>
      </c>
      <c r="N54" s="12">
        <f>VLOOKUP(A54,הכשרה!A:K,10,0)+VLOOKUP('תפוקה מצטברת מול אשתקד'!A54,מגדל!A:K,10,0)+VLOOKUP('תפוקה מצטברת מול אשתקד'!A54,מנורה!A:K,10,0)+VLOOKUP('תפוקה מצטברת מול אשתקד'!A54,איילון!A:K,10,0)+VLOOKUP('תפוקה מצטברת מול אשתקד'!A54,הראל!A:K,10,0)+VLOOKUP('תפוקה מצטברת מול אשתקד'!A54,הפניקס!A:K,10,0)+VLOOKUP('תפוקה מצטברת מול אשתקד'!A54,כלל!A:K,10,0)+VLOOKUP('תפוקה מצטברת מול אשתקד'!A54,מור!A:K,10,0)+VLOOKUP('תפוקה מצטברת מול אשתקד'!A54,'אלטשולר שחם'!A:K,10,0)+VLOOKUP('תפוקה מצטברת מול אשתקד'!A54,'מדיהו '!A:K,10,0)+VLOOKUP('תפוקה מצטברת מול אשתקד'!A54,'אנליסט '!A:K,10,0)+VLOOKUP('תפוקה מצטברת מול אשתקד'!A54,'מיטב דש'!A:K,10,0)+VLOOKUP('תפוקה מצטברת מול אשתקד'!A54,אינפניטי!A:K,10,0)</f>
        <v>0</v>
      </c>
      <c r="O54" s="12">
        <f>VLOOKUP(A54,הכשרה!A:K,11,0)+VLOOKUP('תפוקה מצטברת מול אשתקד'!A54,מגדל!A:K,11,0)+VLOOKUP('תפוקה מצטברת מול אשתקד'!A54,מנורה!A:K,11,0)+VLOOKUP('תפוקה מצטברת מול אשתקד'!A54,איילון!A:K,11,0)+VLOOKUP('תפוקה מצטברת מול אשתקד'!A54,הראל!A:K,11,0)+VLOOKUP('תפוקה מצטברת מול אשתקד'!A54,הפניקס!A:K,11,0)+VLOOKUP('תפוקה מצטברת מול אשתקד'!A54,כלל!A:K,11,0)+VLOOKUP('תפוקה מצטברת מול אשתקד'!A54,מור!A:K,11,0)+VLOOKUP('תפוקה מצטברת מול אשתקד'!A54,'אלטשולר שחם'!A:K,11,0)+VLOOKUP('תפוקה מצטברת מול אשתקד'!A54,'מדיהו '!A:K,11,0)+VLOOKUP('תפוקה מצטברת מול אשתקד'!A54,'אנליסט '!A:K,11,0)+VLOOKUP('תפוקה מצטברת מול אשתקד'!A54,'מיטב דש'!A:K,11,0)+VLOOKUP('תפוקה מצטברת מול אשתקד'!A54,אינפניטי!A:K,11,0)</f>
        <v>0</v>
      </c>
    </row>
    <row r="55" spans="1:15" ht="15.75" customHeight="1" thickBot="1" x14ac:dyDescent="0.3">
      <c r="A55" s="26" t="s">
        <v>32</v>
      </c>
      <c r="B55" s="26" t="s">
        <v>55</v>
      </c>
      <c r="C55" s="27" t="s">
        <v>107</v>
      </c>
      <c r="D55" s="19">
        <f t="shared" si="9"/>
        <v>0</v>
      </c>
      <c r="E55" s="19">
        <f t="shared" si="9"/>
        <v>0</v>
      </c>
      <c r="F55" s="19">
        <f t="shared" si="9"/>
        <v>0</v>
      </c>
      <c r="G55" s="19">
        <f t="shared" ref="G55:G64" si="10">IF(K55=0,0%,IF(O55=H80,100%,K55/O55-1))</f>
        <v>0</v>
      </c>
      <c r="H55" s="58">
        <f>VLOOKUP(A55,הכשרה!A:G,4,0)+VLOOKUP('תפוקה מצטברת מול אשתקד'!A55,מגדל!A:G,4,0)+VLOOKUP('תפוקה מצטברת מול אשתקד'!A55,מנורה!A:G,4,0)+VLOOKUP('תפוקה מצטברת מול אשתקד'!A55,איילון!A:G,4,0)+VLOOKUP('תפוקה מצטברת מול אשתקד'!A55,הראל!A:G,4,0)+VLOOKUP('תפוקה מצטברת מול אשתקד'!A55,הפניקס!A:G,4,0)+VLOOKUP('תפוקה מצטברת מול אשתקד'!A55,כלל!A:G,4,0)+VLOOKUP('תפוקה מצטברת מול אשתקד'!A55,מור!A:G,4,0)+VLOOKUP('תפוקה מצטברת מול אשתקד'!A55,'אלטשולר שחם'!A:G,4,0)+VLOOKUP('תפוקה מצטברת מול אשתקד'!A55,'מדיהו '!A:G,4,0)+VLOOKUP('תפוקה מצטברת מול אשתקד'!A55,'אנליסט '!A:G,4,0)+VLOOKUP('תפוקה מצטברת מול אשתקד'!A55,'מיטב דש'!A:G,4,0)+VLOOKUP('תפוקה מצטברת מול אשתקד'!A55,אינפניטי!A:G,4,0)</f>
        <v>0</v>
      </c>
      <c r="I55" s="58">
        <f>VLOOKUP(A55,הכשרה!A:G,5,0)+VLOOKUP('תפוקה מצטברת מול אשתקד'!A55,מגדל!A:G,5,0)+VLOOKUP('תפוקה מצטברת מול אשתקד'!A55,מנורה!A:G,5,0)+VLOOKUP('תפוקה מצטברת מול אשתקד'!A55,איילון!A:G,5,0)+VLOOKUP('תפוקה מצטברת מול אשתקד'!A55,הראל!A:G,5,0)+VLOOKUP('תפוקה מצטברת מול אשתקד'!A55,הפניקס!A:G,5,0)+VLOOKUP('תפוקה מצטברת מול אשתקד'!A55,כלל!A:G,5,0)+VLOOKUP('תפוקה מצטברת מול אשתקד'!A55,מור!A:G,5,0)+VLOOKUP('תפוקה מצטברת מול אשתקד'!A55,'אלטשולר שחם'!A:G,5,0)+VLOOKUP('תפוקה מצטברת מול אשתקד'!A55,'מדיהו '!A:G,5,0)+VLOOKUP('תפוקה מצטברת מול אשתקד'!A55,'אנליסט '!A:G,5,0)+VLOOKUP('תפוקה מצטברת מול אשתקד'!A55,'מיטב דש'!A:G,5,0)+VLOOKUP('תפוקה מצטברת מול אשתקד'!A55,אינפניטי!A:G,5,0)</f>
        <v>0</v>
      </c>
      <c r="J55" s="58">
        <f>VLOOKUP(A55,הכשרה!A:G,6,0)+VLOOKUP('תפוקה מצטברת מול אשתקד'!A55,מגדל!A:G,6,0)+VLOOKUP('תפוקה מצטברת מול אשתקד'!A55,מנורה!A:G,6,0)+VLOOKUP('תפוקה מצטברת מול אשתקד'!A55,איילון!A:G,6,0)+VLOOKUP(A55,הראל!A:G,6,0)+VLOOKUP('תפוקה מצטברת מול אשתקד'!A55,הפניקס!A:G,6,0)+VLOOKUP('תפוקה מצטברת מול אשתקד'!A55,כלל!A:G,6,0)+VLOOKUP('תפוקה מצטברת מול אשתקד'!A55,מור!A:G,6,0)+VLOOKUP('תפוקה מצטברת מול אשתקד'!A55,'אלטשולר שחם'!A:G,6,0)+VLOOKUP('תפוקה מצטברת מול אשתקד'!A55,'מדיהו '!A:G,6,0)+VLOOKUP('תפוקה מצטברת מול אשתקד'!A55,'אנליסט '!A:G,6,0)+VLOOKUP('תפוקה מצטברת מול אשתקד'!A55,'מיטב דש'!A:G,6,0)+VLOOKUP('תפוקה מצטברת מול אשתקד'!A55,אינפניטי!A:G,6,0)</f>
        <v>0</v>
      </c>
      <c r="K55" s="58">
        <f>VLOOKUP(A55,הכשרה!A:G,7,0)+VLOOKUP('תפוקה מצטברת מול אשתקד'!A55,מגדל!A:G,7,0)+VLOOKUP('תפוקה מצטברת מול אשתקד'!A55,מנורה!A:G,7,0)+VLOOKUP('תפוקה מצטברת מול אשתקד'!A55,איילון!A:G,7,0)+VLOOKUP('תפוקה מצטברת מול אשתקד'!A55,הראל!A:G,7,0)+VLOOKUP('תפוקה מצטברת מול אשתקד'!A55,הפניקס!A:G,7,0)+VLOOKUP('תפוקה מצטברת מול אשתקד'!A55,כלל!A:G,7,0)+VLOOKUP('תפוקה מצטברת מול אשתקד'!A55,מור!A:G,7,0)+VLOOKUP('תפוקה מצטברת מול אשתקד'!A55,'אלטשולר שחם'!A:G,7,0)+VLOOKUP('תפוקה מצטברת מול אשתקד'!A55,'מדיהו '!A:K,7,0)+VLOOKUP(A55,'אנליסט '!A:G,7,0)+VLOOKUP('תפוקה מצטברת מול אשתקד'!A55,'מיטב דש'!A:G,7,0)+VLOOKUP('תפוקה מצטברת מול אשתקד'!A55,אינפניטי!A:G,7,0)</f>
        <v>0</v>
      </c>
      <c r="L55" s="12">
        <f>VLOOKUP(A55,הכשרה!A:K,8,0)+VLOOKUP('תפוקה מצטברת מול אשתקד'!A55,מגדל!A:K,8,0)+VLOOKUP('תפוקה מצטברת מול אשתקד'!A55,מנורה!A:K,8,0)+VLOOKUP('תפוקה מצטברת מול אשתקד'!A55,איילון!A:K,8,0)+VLOOKUP('תפוקה מצטברת מול אשתקד'!A55,הראל!A:K,8,0)+VLOOKUP('תפוקה מצטברת מול אשתקד'!A55,הפניקס!A:K,8,0)+VLOOKUP('תפוקה מצטברת מול אשתקד'!A55,כלל!A:K,8,0)+VLOOKUP('תפוקה מצטברת מול אשתקד'!A55,מור!A:K,8,0)+VLOOKUP('תפוקה מצטברת מול אשתקד'!A55,'אלטשולר שחם'!A:K,8,0)+VLOOKUP('תפוקה מצטברת מול אשתקד'!A55,'מדיהו '!A:K,8,0)+VLOOKUP('תפוקה מצטברת מול אשתקד'!A55,'אנליסט '!A:K,8,0)+VLOOKUP('תפוקה מצטברת מול אשתקד'!A55,'מיטב דש'!A:K,8,0)+VLOOKUP('תפוקה מצטברת מול אשתקד'!A55,אינפניטי!A:K,8,0)</f>
        <v>126.21</v>
      </c>
      <c r="M55" s="12">
        <f>VLOOKUP(A55,הכשרה!A:K,9,0)+VLOOKUP('תפוקה מצטברת מול אשתקד'!A55,מגדל!A:K,9,0)+VLOOKUP('תפוקה מצטברת מול אשתקד'!A55,מנורה!A:K,9,0)+VLOOKUP('תפוקה מצטברת מול אשתקד'!A55,איילון!A:K,9,0)+VLOOKUP('תפוקה מצטברת מול אשתקד'!A55,הראל!A:K,9,0)+VLOOKUP('תפוקה מצטברת מול אשתקד'!A55,הפניקס!A:K,9,0)+VLOOKUP('תפוקה מצטברת מול אשתקד'!A55,כלל!A:K,9,0)+VLOOKUP('תפוקה מצטברת מול אשתקד'!A55,מור!A:K,9,0)+VLOOKUP('תפוקה מצטברת מול אשתקד'!A55,'אלטשולר שחם'!A:K,9,0)+VLOOKUP('תפוקה מצטברת מול אשתקד'!A55,'מדיהו '!A:K,9,0)+VLOOKUP('תפוקה מצטברת מול אשתקד'!A55,'אנליסט '!A:K,9,0)+VLOOKUP('תפוקה מצטברת מול אשתקד'!A55,'מיטב דש'!A:K,9,0)+VLOOKUP('תפוקה מצטברת מול אשתקד'!A55,אינפניטי!A:K,9,0)</f>
        <v>0</v>
      </c>
      <c r="N55" s="12">
        <f>VLOOKUP(A55,הכשרה!A:K,10,0)+VLOOKUP('תפוקה מצטברת מול אשתקד'!A55,מגדל!A:K,10,0)+VLOOKUP('תפוקה מצטברת מול אשתקד'!A55,מנורה!A:K,10,0)+VLOOKUP('תפוקה מצטברת מול אשתקד'!A55,איילון!A:K,10,0)+VLOOKUP('תפוקה מצטברת מול אשתקד'!A55,הראל!A:K,10,0)+VLOOKUP('תפוקה מצטברת מול אשתקד'!A55,הפניקס!A:K,10,0)+VLOOKUP('תפוקה מצטברת מול אשתקד'!A55,כלל!A:K,10,0)+VLOOKUP('תפוקה מצטברת מול אשתקד'!A55,מור!A:K,10,0)+VLOOKUP('תפוקה מצטברת מול אשתקד'!A55,'אלטשולר שחם'!A:K,10,0)+VLOOKUP('תפוקה מצטברת מול אשתקד'!A55,'מדיהו '!A:K,10,0)+VLOOKUP('תפוקה מצטברת מול אשתקד'!A55,'אנליסט '!A:K,10,0)+VLOOKUP('תפוקה מצטברת מול אשתקד'!A55,'מיטב דש'!A:K,10,0)+VLOOKUP('תפוקה מצטברת מול אשתקד'!A55,אינפניטי!A:K,10,0)</f>
        <v>0</v>
      </c>
      <c r="O55" s="12">
        <f>VLOOKUP(A55,הכשרה!A:K,11,0)+VLOOKUP('תפוקה מצטברת מול אשתקד'!A55,מגדל!A:K,11,0)+VLOOKUP('תפוקה מצטברת מול אשתקד'!A55,מנורה!A:K,11,0)+VLOOKUP('תפוקה מצטברת מול אשתקד'!A55,איילון!A:K,11,0)+VLOOKUP('תפוקה מצטברת מול אשתקד'!A55,הראל!A:K,11,0)+VLOOKUP('תפוקה מצטברת מול אשתקד'!A55,הפניקס!A:K,11,0)+VLOOKUP('תפוקה מצטברת מול אשתקד'!A55,כלל!A:K,11,0)+VLOOKUP('תפוקה מצטברת מול אשתקד'!A55,מור!A:K,11,0)+VLOOKUP('תפוקה מצטברת מול אשתקד'!A55,'אלטשולר שחם'!A:K,11,0)+VLOOKUP('תפוקה מצטברת מול אשתקד'!A55,'מדיהו '!A:K,11,0)+VLOOKUP('תפוקה מצטברת מול אשתקד'!A55,'אנליסט '!A:K,11,0)+VLOOKUP('תפוקה מצטברת מול אשתקד'!A55,'מיטב דש'!A:K,11,0)+VLOOKUP('תפוקה מצטברת מול אשתקד'!A55,אינפניטי!A:K,11,0)</f>
        <v>0</v>
      </c>
    </row>
    <row r="56" spans="1:15" ht="27" customHeight="1" thickBot="1" x14ac:dyDescent="0.3">
      <c r="A56" s="123" t="s">
        <v>115</v>
      </c>
      <c r="B56" s="121"/>
      <c r="C56" s="121"/>
      <c r="D56" s="19">
        <f t="shared" ref="D56:D57" si="11">IF(H56=0,0%,IF(L56=0,100%,H56/L56-1))</f>
        <v>-8.6128497844859542E-2</v>
      </c>
      <c r="E56" s="19">
        <f t="shared" ref="E56:E57" si="12">IF(I56=0,0%,IF(M56=0,100%,I56/M56-1))</f>
        <v>-0.17835468177811631</v>
      </c>
      <c r="F56" s="19">
        <f t="shared" ref="F56:F57" si="13">IF(J56=0,0%,IF(N56=0,100%,J56/N56-1))</f>
        <v>-0.14539997637849789</v>
      </c>
      <c r="G56" s="19">
        <f t="shared" si="10"/>
        <v>-0.61460501889795482</v>
      </c>
      <c r="H56" s="123">
        <f>SUM(H23:H55)</f>
        <v>5287150.3837202396</v>
      </c>
      <c r="I56" s="123">
        <f t="shared" ref="I56:O56" si="14">SUM(I23:I55)</f>
        <v>736281.58367698814</v>
      </c>
      <c r="J56" s="123">
        <f t="shared" si="14"/>
        <v>10134031.461506441</v>
      </c>
      <c r="K56" s="123">
        <f t="shared" si="14"/>
        <v>12164367.589999998</v>
      </c>
      <c r="L56" s="123">
        <f t="shared" si="14"/>
        <v>5785441.7948823217</v>
      </c>
      <c r="M56" s="123">
        <f t="shared" si="14"/>
        <v>896106.34582616435</v>
      </c>
      <c r="N56" s="123">
        <f t="shared" si="14"/>
        <v>11858215.75169386</v>
      </c>
      <c r="O56" s="123">
        <f t="shared" si="14"/>
        <v>31563378.317007996</v>
      </c>
    </row>
    <row r="57" spans="1:15" ht="15.75" customHeight="1" x14ac:dyDescent="0.25">
      <c r="A57" s="26" t="s">
        <v>35</v>
      </c>
      <c r="B57" s="26" t="s">
        <v>114</v>
      </c>
      <c r="C57" s="27" t="s">
        <v>107</v>
      </c>
      <c r="D57" s="19">
        <f t="shared" si="11"/>
        <v>-0.66237420213542431</v>
      </c>
      <c r="E57" s="19">
        <f t="shared" si="12"/>
        <v>0</v>
      </c>
      <c r="F57" s="19">
        <f t="shared" si="13"/>
        <v>-0.99575978447050528</v>
      </c>
      <c r="G57" s="19">
        <f t="shared" si="10"/>
        <v>0</v>
      </c>
      <c r="H57" s="58">
        <f>VLOOKUP(A57,הכשרה!A:G,4,0)+VLOOKUP('תפוקה מצטברת מול אשתקד'!A57,מגדל!A:G,4,0)+VLOOKUP('תפוקה מצטברת מול אשתקד'!A57,מנורה!A:G,4,0)+VLOOKUP('תפוקה מצטברת מול אשתקד'!A57,איילון!A:G,4,0)+VLOOKUP('תפוקה מצטברת מול אשתקד'!A57,הראל!A:G,4,0)+VLOOKUP('תפוקה מצטברת מול אשתקד'!A57,הפניקס!A:G,4,0)+VLOOKUP('תפוקה מצטברת מול אשתקד'!A57,כלל!A:G,4,0)+VLOOKUP('תפוקה מצטברת מול אשתקד'!A57,מור!A:G,4,0)+VLOOKUP('תפוקה מצטברת מול אשתקד'!A57,'אלטשולר שחם'!A:G,4,0)+VLOOKUP('תפוקה מצטברת מול אשתקד'!A57,'מדיהו '!A:G,4,0)+VLOOKUP('תפוקה מצטברת מול אשתקד'!A57,'אנליסט '!A:G,4,0)+VLOOKUP('תפוקה מצטברת מול אשתקד'!A57,'מיטב דש'!A:G,4,0)+VLOOKUP('תפוקה מצטברת מול אשתקד'!A57,אינפניטי!A:G,4,0)</f>
        <v>17462.3</v>
      </c>
      <c r="I57" s="58">
        <f>VLOOKUP(A57,הכשרה!A:G,5,0)+VLOOKUP('תפוקה מצטברת מול אשתקד'!A57,מגדל!A:G,5,0)+VLOOKUP('תפוקה מצטברת מול אשתקד'!A57,מנורה!A:G,5,0)+VLOOKUP('תפוקה מצטברת מול אשתקד'!A57,איילון!A:G,5,0)+VLOOKUP('תפוקה מצטברת מול אשתקד'!A57,הראל!A:G,5,0)+VLOOKUP('תפוקה מצטברת מול אשתקד'!A57,הפניקס!A:G,5,0)+VLOOKUP('תפוקה מצטברת מול אשתקד'!A57,כלל!A:G,5,0)+VLOOKUP('תפוקה מצטברת מול אשתקד'!A57,מור!A:G,5,0)+VLOOKUP('תפוקה מצטברת מול אשתקד'!A57,'אלטשולר שחם'!A:G,5,0)+VLOOKUP('תפוקה מצטברת מול אשתקד'!A57,'מדיהו '!A:G,5,0)+VLOOKUP('תפוקה מצטברת מול אשתקד'!A57,'אנליסט '!A:G,5,0)+VLOOKUP('תפוקה מצטברת מול אשתקד'!A57,'מיטב דש'!A:G,5,0)+VLOOKUP('תפוקה מצטברת מול אשתקד'!A57,אינפניטי!A:G,5,0)</f>
        <v>0</v>
      </c>
      <c r="J57" s="58">
        <f>VLOOKUP(A57,הכשרה!A:G,6,0)+VLOOKUP('תפוקה מצטברת מול אשתקד'!A57,מגדל!A:G,6,0)+VLOOKUP('תפוקה מצטברת מול אשתקד'!A57,מנורה!A:G,6,0)+VLOOKUP('תפוקה מצטברת מול אשתקד'!A57,איילון!A:G,6,0)+VLOOKUP(A57,הראל!A:G,6,0)+VLOOKUP('תפוקה מצטברת מול אשתקד'!A57,הפניקס!A:G,6,0)+VLOOKUP('תפוקה מצטברת מול אשתקד'!A57,כלל!A:G,6,0)+VLOOKUP('תפוקה מצטברת מול אשתקד'!A57,מור!A:G,6,0)+VLOOKUP('תפוקה מצטברת מול אשתקד'!A57,'אלטשולר שחם'!A:G,6,0)+VLOOKUP('תפוקה מצטברת מול אשתקד'!A57,'מדיהו '!A:G,6,0)+VLOOKUP('תפוקה מצטברת מול אשתקד'!A57,'אנליסט '!A:G,6,0)+VLOOKUP('תפוקה מצטברת מול אשתקד'!A57,'מיטב דש'!A:G,6,0)+VLOOKUP('תפוקה מצטברת מול אשתקד'!A57,אינפניטי!A:G,6,0)</f>
        <v>582.76</v>
      </c>
      <c r="K57" s="58">
        <f>VLOOKUP(A57,הכשרה!A:G,7,0)+VLOOKUP('תפוקה מצטברת מול אשתקד'!A57,מגדל!A:G,7,0)+VLOOKUP('תפוקה מצטברת מול אשתקד'!A57,מנורה!A:G,7,0)+VLOOKUP('תפוקה מצטברת מול אשתקד'!A57,איילון!A:G,7,0)+VLOOKUP('תפוקה מצטברת מול אשתקד'!A57,הראל!A:G,7,0)+VLOOKUP('תפוקה מצטברת מול אשתקד'!A57,הפניקס!A:G,7,0)+VLOOKUP('תפוקה מצטברת מול אשתקד'!A57,כלל!A:G,7,0)+VLOOKUP('תפוקה מצטברת מול אשתקד'!A57,מור!A:G,7,0)+VLOOKUP('תפוקה מצטברת מול אשתקד'!A57,'אלטשולר שחם'!A:G,7,0)+VLOOKUP('תפוקה מצטברת מול אשתקד'!A57,'מדיהו '!A:K,7,0)+VLOOKUP(A57,'אנליסט '!A:G,7,0)+VLOOKUP('תפוקה מצטברת מול אשתקד'!A57,'מיטב דש'!A:G,7,0)+VLOOKUP('תפוקה מצטברת מול אשתקד'!A57,אינפניטי!A:G,7,0)</f>
        <v>0</v>
      </c>
      <c r="L57" s="12">
        <f>VLOOKUP(A57,הכשרה!A:K,8,0)+VLOOKUP('תפוקה מצטברת מול אשתקד'!A57,מגדל!A:K,8,0)+VLOOKUP('תפוקה מצטברת מול אשתקד'!A57,מנורה!A:K,8,0)+VLOOKUP('תפוקה מצטברת מול אשתקד'!A57,איילון!A:K,8,0)+VLOOKUP('תפוקה מצטברת מול אשתקד'!A57,הראל!A:K,8,0)+VLOOKUP('תפוקה מצטברת מול אשתקד'!A57,הפניקס!A:K,8,0)+VLOOKUP('תפוקה מצטברת מול אשתקד'!A57,כלל!A:K,8,0)+VLOOKUP('תפוקה מצטברת מול אשתקד'!A57,מור!A:K,8,0)+VLOOKUP('תפוקה מצטברת מול אשתקד'!A57,'אלטשולר שחם'!A:K,8,0)+VLOOKUP('תפוקה מצטברת מול אשתקד'!A57,'מדיהו '!A:K,8,0)+VLOOKUP('תפוקה מצטברת מול אשתקד'!A57,'אנליסט '!A:K,8,0)+VLOOKUP('תפוקה מצטברת מול אשתקד'!A57,'מיטב דש'!A:K,8,0)+VLOOKUP('תפוקה מצטברת מול אשתקד'!A57,אינפניטי!A:K,8,0)</f>
        <v>51720.87</v>
      </c>
      <c r="M57" s="12">
        <f>VLOOKUP(A57,הכשרה!A:K,9,0)+VLOOKUP('תפוקה מצטברת מול אשתקד'!A57,מגדל!A:K,9,0)+VLOOKUP('תפוקה מצטברת מול אשתקד'!A57,מנורה!A:K,9,0)+VLOOKUP('תפוקה מצטברת מול אשתקד'!A57,איילון!A:K,9,0)+VLOOKUP('תפוקה מצטברת מול אשתקד'!A57,הראל!A:K,9,0)+VLOOKUP('תפוקה מצטברת מול אשתקד'!A57,הפניקס!A:K,9,0)+VLOOKUP('תפוקה מצטברת מול אשתקד'!A57,כלל!A:K,9,0)+VLOOKUP('תפוקה מצטברת מול אשתקד'!A57,מור!A:K,9,0)+VLOOKUP('תפוקה מצטברת מול אשתקד'!A57,'אלטשולר שחם'!A:K,9,0)+VLOOKUP('תפוקה מצטברת מול אשתקד'!A57,'מדיהו '!A:K,9,0)+VLOOKUP('תפוקה מצטברת מול אשתקד'!A57,'אנליסט '!A:K,9,0)+VLOOKUP('תפוקה מצטברת מול אשתקד'!A57,'מיטב דש'!A:K,9,0)+VLOOKUP('תפוקה מצטברת מול אשתקד'!A57,אינפניטי!A:K,9,0)</f>
        <v>2467.98</v>
      </c>
      <c r="N57" s="12">
        <f>VLOOKUP(A57,הכשרה!A:K,10,0)+VLOOKUP('תפוקה מצטברת מול אשתקד'!A57,מגדל!A:K,10,0)+VLOOKUP('תפוקה מצטברת מול אשתקד'!A57,מנורה!A:K,10,0)+VLOOKUP('תפוקה מצטברת מול אשתקד'!A57,איילון!A:K,10,0)+VLOOKUP('תפוקה מצטברת מול אשתקד'!A57,הראל!A:K,10,0)+VLOOKUP('תפוקה מצטברת מול אשתקד'!A57,הפניקס!A:K,10,0)+VLOOKUP('תפוקה מצטברת מול אשתקד'!A57,כלל!A:K,10,0)+VLOOKUP('תפוקה מצטברת מול אשתקד'!A57,מור!A:K,10,0)+VLOOKUP('תפוקה מצטברת מול אשתקד'!A57,'אלטשולר שחם'!A:K,10,0)+VLOOKUP('תפוקה מצטברת מול אשתקד'!A57,'מדיהו '!A:K,10,0)+VLOOKUP('תפוקה מצטברת מול אשתקד'!A57,'אנליסט '!A:K,10,0)+VLOOKUP('תפוקה מצטברת מול אשתקד'!A57,'מיטב דש'!A:K,10,0)+VLOOKUP('תפוקה מצטברת מול אשתקד'!A57,אינפניטי!A:K,10,0)</f>
        <v>137436.41</v>
      </c>
      <c r="O57" s="12">
        <f>VLOOKUP(A57,הכשרה!A:K,11,0)+VLOOKUP('תפוקה מצטברת מול אשתקד'!A57,מגדל!A:K,11,0)+VLOOKUP('תפוקה מצטברת מול אשתקד'!A57,מנורה!A:K,11,0)+VLOOKUP('תפוקה מצטברת מול אשתקד'!A57,איילון!A:K,11,0)+VLOOKUP('תפוקה מצטברת מול אשתקד'!A57,הראל!A:K,11,0)+VLOOKUP('תפוקה מצטברת מול אשתקד'!A57,הפניקס!A:K,11,0)+VLOOKUP('תפוקה מצטברת מול אשתקד'!A57,כלל!A:K,11,0)+VLOOKUP('תפוקה מצטברת מול אשתקד'!A57,מור!A:K,11,0)+VLOOKUP('תפוקה מצטברת מול אשתקד'!A57,'אלטשולר שחם'!A:K,11,0)+VLOOKUP('תפוקה מצטברת מול אשתקד'!A57,'מדיהו '!A:K,11,0)+VLOOKUP('תפוקה מצטברת מול אשתקד'!A57,'אנליסט '!A:K,11,0)+VLOOKUP('תפוקה מצטברת מול אשתקד'!A57,'מיטב דש'!A:K,11,0)+VLOOKUP('תפוקה מצטברת מול אשתקד'!A57,אינפניטי!A:K,11,0)</f>
        <v>0</v>
      </c>
    </row>
    <row r="58" spans="1:15" ht="15.75" customHeight="1" x14ac:dyDescent="0.25">
      <c r="A58" s="27" t="s">
        <v>86</v>
      </c>
      <c r="B58" s="27" t="s">
        <v>114</v>
      </c>
      <c r="C58" s="27" t="s">
        <v>107</v>
      </c>
      <c r="D58" s="19">
        <f t="shared" ref="D58:F65" si="15">IF(H58=0,0%,IF(L58=0,100%,H58/L58-1))</f>
        <v>-0.47158123027780097</v>
      </c>
      <c r="E58" s="19">
        <f t="shared" si="15"/>
        <v>-0.72531855585101623</v>
      </c>
      <c r="F58" s="19">
        <f t="shared" si="15"/>
        <v>-0.40815780437965843</v>
      </c>
      <c r="G58" s="19">
        <f t="shared" si="10"/>
        <v>9.3758167349533572E-2</v>
      </c>
      <c r="H58" s="58">
        <f>VLOOKUP(A58,הכשרה!A:G,4,0)+VLOOKUP('תפוקה מצטברת מול אשתקד'!A58,מגדל!A:G,4,0)+VLOOKUP('תפוקה מצטברת מול אשתקד'!A58,מנורה!A:G,4,0)+VLOOKUP('תפוקה מצטברת מול אשתקד'!A58,איילון!A:G,4,0)+VLOOKUP('תפוקה מצטברת מול אשתקד'!A58,הראל!A:G,4,0)+VLOOKUP('תפוקה מצטברת מול אשתקד'!A58,הפניקס!A:G,4,0)+VLOOKUP('תפוקה מצטברת מול אשתקד'!A58,כלל!A:G,4,0)+VLOOKUP('תפוקה מצטברת מול אשתקד'!A58,מור!A:G,4,0)+VLOOKUP('תפוקה מצטברת מול אשתקד'!A58,'אלטשולר שחם'!A:G,4,0)+VLOOKUP('תפוקה מצטברת מול אשתקד'!A58,'מדיהו '!A:G,4,0)+VLOOKUP('תפוקה מצטברת מול אשתקד'!A58,'אנליסט '!A:G,4,0)+VLOOKUP('תפוקה מצטברת מול אשתקד'!A58,'מיטב דש'!A:G,4,0)+VLOOKUP('תפוקה מצטברת מול אשתקד'!A58,אינפניטי!A:G,4,0)</f>
        <v>471194.69</v>
      </c>
      <c r="I58" s="58">
        <f>VLOOKUP(A58,הכשרה!A:G,5,0)+VLOOKUP('תפוקה מצטברת מול אשתקד'!A58,מגדל!A:G,5,0)+VLOOKUP('תפוקה מצטברת מול אשתקד'!A58,מנורה!A:G,5,0)+VLOOKUP('תפוקה מצטברת מול אשתקד'!A58,איילון!A:G,5,0)+VLOOKUP('תפוקה מצטברת מול אשתקד'!A58,הראל!A:G,5,0)+VLOOKUP('תפוקה מצטברת מול אשתקד'!A58,הפניקס!A:G,5,0)+VLOOKUP('תפוקה מצטברת מול אשתקד'!A58,כלל!A:G,5,0)+VLOOKUP('תפוקה מצטברת מול אשתקד'!A58,מור!A:G,5,0)+VLOOKUP('תפוקה מצטברת מול אשתקד'!A58,'אלטשולר שחם'!A:G,5,0)+VLOOKUP('תפוקה מצטברת מול אשתקד'!A58,'מדיהו '!A:G,5,0)+VLOOKUP('תפוקה מצטברת מול אשתקד'!A58,'אנליסט '!A:G,5,0)+VLOOKUP('תפוקה מצטברת מול אשתקד'!A58,'מיטב דש'!A:G,5,0)+VLOOKUP('תפוקה מצטברת מול אשתקד'!A58,אינפניטי!A:G,5,0)</f>
        <v>29133.71</v>
      </c>
      <c r="J58" s="58">
        <f>VLOOKUP(A58,הכשרה!A:G,6,0)+VLOOKUP('תפוקה מצטברת מול אשתקד'!A58,מגדל!A:G,6,0)+VLOOKUP('תפוקה מצטברת מול אשתקד'!A58,מנורה!A:G,6,0)+VLOOKUP('תפוקה מצטברת מול אשתקד'!A58,איילון!A:G,6,0)+VLOOKUP(A58,הראל!A:G,6,0)+VLOOKUP('תפוקה מצטברת מול אשתקד'!A58,הפניקס!A:G,6,0)+VLOOKUP('תפוקה מצטברת מול אשתקד'!A58,כלל!A:G,6,0)+VLOOKUP('תפוקה מצטברת מול אשתקד'!A58,מור!A:G,6,0)+VLOOKUP('תפוקה מצטברת מול אשתקד'!A58,'אלטשולר שחם'!A:G,6,0)+VLOOKUP('תפוקה מצטברת מול אשתקד'!A58,'מדיהו '!A:G,6,0)+VLOOKUP('תפוקה מצטברת מול אשתקד'!A58,'אנליסט '!A:G,6,0)+VLOOKUP('תפוקה מצטברת מול אשתקד'!A58,'מיטב דש'!A:G,6,0)+VLOOKUP('תפוקה מצטברת מול אשתקד'!A58,אינפניטי!A:G,6,0)</f>
        <v>3570864.09</v>
      </c>
      <c r="K58" s="58">
        <f>VLOOKUP(A58,הכשרה!A:G,7,0)+VLOOKUP('תפוקה מצטברת מול אשתקד'!A58,מגדל!A:G,7,0)+VLOOKUP('תפוקה מצטברת מול אשתקד'!A58,מנורה!A:G,7,0)+VLOOKUP('תפוקה מצטברת מול אשתקד'!A58,איילון!A:G,7,0)+VLOOKUP('תפוקה מצטברת מול אשתקד'!A58,הראל!A:G,7,0)+VLOOKUP('תפוקה מצטברת מול אשתקד'!A58,הפניקס!A:G,7,0)+VLOOKUP('תפוקה מצטברת מול אשתקד'!A58,כלל!A:G,7,0)+VLOOKUP('תפוקה מצטברת מול אשתקד'!A58,מור!A:G,7,0)+VLOOKUP('תפוקה מצטברת מול אשתקד'!A58,'אלטשולר שחם'!A:G,7,0)+VLOOKUP('תפוקה מצטברת מול אשתקד'!A58,'מדיהו '!A:K,7,0)+VLOOKUP(A58,'אנליסט '!A:G,7,0)+VLOOKUP('תפוקה מצטברת מול אשתקד'!A58,'מיטב דש'!A:G,7,0)+VLOOKUP('תפוקה מצטברת מול אשתקד'!A58,אינפניטי!A:G,7,0)</f>
        <v>4035286.1899999995</v>
      </c>
      <c r="L58" s="12">
        <f>VLOOKUP(A58,הכשרה!A:K,8,0)+VLOOKUP('תפוקה מצטברת מול אשתקד'!A58,מגדל!A:K,8,0)+VLOOKUP('תפוקה מצטברת מול אשתקד'!A58,מנורה!A:K,8,0)+VLOOKUP('תפוקה מצטברת מול אשתקד'!A58,איילון!A:K,8,0)+VLOOKUP('תפוקה מצטברת מול אשתקד'!A58,הראל!A:K,8,0)+VLOOKUP('תפוקה מצטברת מול אשתקד'!A58,הפניקס!A:K,8,0)+VLOOKUP('תפוקה מצטברת מול אשתקד'!A58,כלל!A:K,8,0)+VLOOKUP('תפוקה מצטברת מול אשתקד'!A58,מור!A:K,8,0)+VLOOKUP('תפוקה מצטברת מול אשתקד'!A58,'אלטשולר שחם'!A:K,8,0)+VLOOKUP('תפוקה מצטברת מול אשתקד'!A58,'מדיהו '!A:K,8,0)+VLOOKUP('תפוקה מצטברת מול אשתקד'!A58,'אנליסט '!A:K,8,0)+VLOOKUP('תפוקה מצטברת מול אשתקד'!A58,'מיטב דש'!A:K,8,0)+VLOOKUP('תפוקה מצטברת מול אשתקד'!A58,אינפניטי!A:K,8,0)</f>
        <v>891706.95099971001</v>
      </c>
      <c r="M58" s="12">
        <f>VLOOKUP(A58,הכשרה!A:K,9,0)+VLOOKUP('תפוקה מצטברת מול אשתקד'!A58,מגדל!A:K,9,0)+VLOOKUP('תפוקה מצטברת מול אשתקד'!A58,מנורה!A:K,9,0)+VLOOKUP('תפוקה מצטברת מול אשתקד'!A58,איילון!A:K,9,0)+VLOOKUP('תפוקה מצטברת מול אשתקד'!A58,הראל!A:K,9,0)+VLOOKUP('תפוקה מצטברת מול אשתקד'!A58,הפניקס!A:K,9,0)+VLOOKUP('תפוקה מצטברת מול אשתקד'!A58,כלל!A:K,9,0)+VLOOKUP('תפוקה מצטברת מול אשתקד'!A58,מור!A:K,9,0)+VLOOKUP('תפוקה מצטברת מול אשתקד'!A58,'אלטשולר שחם'!A:K,9,0)+VLOOKUP('תפוקה מצטברת מול אשתקד'!A58,'מדיהו '!A:K,9,0)+VLOOKUP('תפוקה מצטברת מול אשתקד'!A58,'אנליסט '!A:K,9,0)+VLOOKUP('תפוקה מצטברת מול אשתקד'!A58,'מיטב דש'!A:K,9,0)+VLOOKUP('תפוקה מצטברת מול אשתקד'!A58,אינפניטי!A:K,9,0)</f>
        <v>106063.62614068043</v>
      </c>
      <c r="N58" s="12">
        <f>VLOOKUP(A58,הכשרה!A:K,10,0)+VLOOKUP('תפוקה מצטברת מול אשתקד'!A58,מגדל!A:K,10,0)+VLOOKUP('תפוקה מצטברת מול אשתקד'!A58,מנורה!A:K,10,0)+VLOOKUP('תפוקה מצטברת מול אשתקד'!A58,איילון!A:K,10,0)+VLOOKUP('תפוקה מצטברת מול אשתקד'!A58,הראל!A:K,10,0)+VLOOKUP('תפוקה מצטברת מול אשתקד'!A58,הפניקס!A:K,10,0)+VLOOKUP('תפוקה מצטברת מול אשתקד'!A58,כלל!A:K,10,0)+VLOOKUP('תפוקה מצטברת מול אשתקד'!A58,מור!A:K,10,0)+VLOOKUP('תפוקה מצטברת מול אשתקד'!A58,'אלטשולר שחם'!A:K,10,0)+VLOOKUP('תפוקה מצטברת מול אשתקד'!A58,'מדיהו '!A:K,10,0)+VLOOKUP('תפוקה מצטברת מול אשתקד'!A58,'אנליסט '!A:K,10,0)+VLOOKUP('תפוקה מצטברת מול אשתקד'!A58,'מיטב דש'!A:K,10,0)+VLOOKUP('תפוקה מצטברת מול אשתקד'!A58,אינפניטי!A:K,10,0)</f>
        <v>6033473.308298314</v>
      </c>
      <c r="O58" s="12">
        <f>VLOOKUP(A58,הכשרה!A:K,11,0)+VLOOKUP('תפוקה מצטברת מול אשתקד'!A58,מגדל!A:K,11,0)+VLOOKUP('תפוקה מצטברת מול אשתקד'!A58,מנורה!A:K,11,0)+VLOOKUP('תפוקה מצטברת מול אשתקד'!A58,איילון!A:K,11,0)+VLOOKUP('תפוקה מצטברת מול אשתקד'!A58,הראל!A:K,11,0)+VLOOKUP('תפוקה מצטברת מול אשתקד'!A58,הפניקס!A:K,11,0)+VLOOKUP('תפוקה מצטברת מול אשתקד'!A58,כלל!A:K,11,0)+VLOOKUP('תפוקה מצטברת מול אשתקד'!A58,מור!A:K,11,0)+VLOOKUP('תפוקה מצטברת מול אשתקד'!A58,'אלטשולר שחם'!A:K,11,0)+VLOOKUP('תפוקה מצטברת מול אשתקד'!A58,'מדיהו '!A:K,11,0)+VLOOKUP('תפוקה מצטברת מול אשתקד'!A58,'אנליסט '!A:K,11,0)+VLOOKUP('תפוקה מצטברת מול אשתקד'!A58,'מיטב דש'!A:K,11,0)+VLOOKUP('תפוקה מצטברת מול אשתקד'!A58,אינפניטי!A:K,11,0)</f>
        <v>3689376.9669199996</v>
      </c>
    </row>
    <row r="59" spans="1:15" ht="15.75" customHeight="1" x14ac:dyDescent="0.25">
      <c r="A59" s="26" t="s">
        <v>37</v>
      </c>
      <c r="B59" s="26" t="s">
        <v>114</v>
      </c>
      <c r="C59" s="27" t="s">
        <v>107</v>
      </c>
      <c r="D59" s="19">
        <f t="shared" si="15"/>
        <v>-0.96926060180002227</v>
      </c>
      <c r="E59" s="19">
        <f t="shared" si="15"/>
        <v>-0.93571863914668818</v>
      </c>
      <c r="F59" s="19">
        <f t="shared" si="15"/>
        <v>2.7849758893543353E-2</v>
      </c>
      <c r="G59" s="19">
        <f t="shared" si="10"/>
        <v>-1.8136846327715692</v>
      </c>
      <c r="H59" s="58">
        <f>VLOOKUP(A59,הכשרה!A:G,4,0)+VLOOKUP('תפוקה מצטברת מול אשתקד'!A59,מגדל!A:G,4,0)+VLOOKUP('תפוקה מצטברת מול אשתקד'!A59,מנורה!A:G,4,0)+VLOOKUP('תפוקה מצטברת מול אשתקד'!A59,איילון!A:G,4,0)+VLOOKUP('תפוקה מצטברת מול אשתקד'!A59,הראל!A:G,4,0)+VLOOKUP('תפוקה מצטברת מול אשתקד'!A59,הפניקס!A:G,4,0)+VLOOKUP('תפוקה מצטברת מול אשתקד'!A59,כלל!A:G,4,0)+VLOOKUP('תפוקה מצטברת מול אשתקד'!A59,מור!A:G,4,0)+VLOOKUP('תפוקה מצטברת מול אשתקד'!A59,'אלטשולר שחם'!A:G,4,0)+VLOOKUP('תפוקה מצטברת מול אשתקד'!A59,'מדיהו '!A:G,4,0)+VLOOKUP('תפוקה מצטברת מול אשתקד'!A59,'אנליסט '!A:G,4,0)+VLOOKUP('תפוקה מצטברת מול אשתקד'!A59,'מיטב דש'!A:G,4,0)+VLOOKUP('תפוקה מצטברת מול אשתקד'!A59,אינפניטי!A:G,4,0)</f>
        <v>32381.562009999998</v>
      </c>
      <c r="I59" s="58">
        <f>VLOOKUP(A59,הכשרה!A:G,5,0)+VLOOKUP('תפוקה מצטברת מול אשתקד'!A59,מגדל!A:G,5,0)+VLOOKUP('תפוקה מצטברת מול אשתקד'!A59,מנורה!A:G,5,0)+VLOOKUP('תפוקה מצטברת מול אשתקד'!A59,איילון!A:G,5,0)+VLOOKUP('תפוקה מצטברת מול אשתקד'!A59,הראל!A:G,5,0)+VLOOKUP('תפוקה מצטברת מול אשתקד'!A59,הפניקס!A:G,5,0)+VLOOKUP('תפוקה מצטברת מול אשתקד'!A59,כלל!A:G,5,0)+VLOOKUP('תפוקה מצטברת מול אשתקד'!A59,מור!A:G,5,0)+VLOOKUP('תפוקה מצטברת מול אשתקד'!A59,'אלטשולר שחם'!A:G,5,0)+VLOOKUP('תפוקה מצטברת מול אשתקד'!A59,'מדיהו '!A:G,5,0)+VLOOKUP('תפוקה מצטברת מול אשתקד'!A59,'אנליסט '!A:G,5,0)+VLOOKUP('תפוקה מצטברת מול אשתקד'!A59,'מיטב דש'!A:G,5,0)+VLOOKUP('תפוקה מצטברת מול אשתקד'!A59,אינפניטי!A:G,5,0)</f>
        <v>7967.03</v>
      </c>
      <c r="J59" s="58">
        <f>VLOOKUP(A59,הכשרה!A:G,6,0)+VLOOKUP('תפוקה מצטברת מול אשתקד'!A59,מגדל!A:G,6,0)+VLOOKUP('תפוקה מצטברת מול אשתקד'!A59,מנורה!A:G,6,0)+VLOOKUP('תפוקה מצטברת מול אשתקד'!A59,איילון!A:G,6,0)+VLOOKUP(A59,הראל!A:G,6,0)+VLOOKUP('תפוקה מצטברת מול אשתקד'!A59,הפניקס!A:G,6,0)+VLOOKUP('תפוקה מצטברת מול אשתקד'!A59,כלל!A:G,6,0)+VLOOKUP('תפוקה מצטברת מול אשתקד'!A59,מור!A:G,6,0)+VLOOKUP('תפוקה מצטברת מול אשתקד'!A59,'אלטשולר שחם'!A:G,6,0)+VLOOKUP('תפוקה מצטברת מול אשתקד'!A59,'מדיהו '!A:G,6,0)+VLOOKUP('תפוקה מצטברת מול אשתקד'!A59,'אנליסט '!A:G,6,0)+VLOOKUP('תפוקה מצטברת מול אשתקד'!A59,'מיטב דש'!A:G,6,0)+VLOOKUP('תפוקה מצטברת מול אשתקד'!A59,אינפניטי!A:G,6,0)</f>
        <v>1106701</v>
      </c>
      <c r="K59" s="58">
        <f>VLOOKUP(A59,הכשרה!A:G,7,0)+VLOOKUP('תפוקה מצטברת מול אשתקד'!A59,מגדל!A:G,7,0)+VLOOKUP('תפוקה מצטברת מול אשתקד'!A59,מנורה!A:G,7,0)+VLOOKUP('תפוקה מצטברת מול אשתקד'!A59,איילון!A:G,7,0)+VLOOKUP('תפוקה מצטברת מול אשתקד'!A59,הראל!A:G,7,0)+VLOOKUP('תפוקה מצטברת מול אשתקד'!A59,הפניקס!A:G,7,0)+VLOOKUP('תפוקה מצטברת מול אשתקד'!A59,כלל!A:G,7,0)+VLOOKUP('תפוקה מצטברת מול אשתקד'!A59,מור!A:G,7,0)+VLOOKUP('תפוקה מצטברת מול אשתקד'!A59,'אלטשולר שחם'!A:G,7,0)+VLOOKUP('תפוקה מצטברת מול אשתקד'!A59,'מדיהו '!A:K,7,0)+VLOOKUP(A59,'אנליסט '!A:G,7,0)+VLOOKUP('תפוקה מצטברת מול אשתקד'!A59,'מיטב דש'!A:G,7,0)+VLOOKUP('תפוקה מצטברת מול אשתקד'!A59,אינפניטי!A:G,7,0)</f>
        <v>389732.45</v>
      </c>
      <c r="L59" s="12">
        <f>VLOOKUP(A59,הכשרה!A:K,8,0)+VLOOKUP('תפוקה מצטברת מול אשתקד'!A59,מגדל!A:K,8,0)+VLOOKUP('תפוקה מצטברת מול אשתקד'!A59,מנורה!A:K,8,0)+VLOOKUP('תפוקה מצטברת מול אשתקד'!A59,איילון!A:K,8,0)+VLOOKUP('תפוקה מצטברת מול אשתקד'!A59,הראל!A:K,8,0)+VLOOKUP('תפוקה מצטברת מול אשתקד'!A59,הפניקס!A:K,8,0)+VLOOKUP('תפוקה מצטברת מול אשתקד'!A59,כלל!A:K,8,0)+VLOOKUP('תפוקה מצטברת מול אשתקד'!A59,מור!A:K,8,0)+VLOOKUP('תפוקה מצטברת מול אשתקד'!A59,'אלטשולר שחם'!A:K,8,0)+VLOOKUP('תפוקה מצטברת מול אשתקד'!A59,'מדיהו '!A:K,8,0)+VLOOKUP('תפוקה מצטברת מול אשתקד'!A59,'אנליסט '!A:K,8,0)+VLOOKUP('תפוקה מצטברת מול אשתקד'!A59,'מיטב דש'!A:K,8,0)+VLOOKUP('תפוקה מצטברת מול אשתקד'!A59,אינפניטי!A:K,8,0)</f>
        <v>1053422.1196959999</v>
      </c>
      <c r="M59" s="12">
        <f>VLOOKUP(A59,הכשרה!A:K,9,0)+VLOOKUP('תפוקה מצטברת מול אשתקד'!A59,מגדל!A:K,9,0)+VLOOKUP('תפוקה מצטברת מול אשתקד'!A59,מנורה!A:K,9,0)+VLOOKUP('תפוקה מצטברת מול אשתקד'!A59,איילון!A:K,9,0)+VLOOKUP('תפוקה מצטברת מול אשתקד'!A59,הראל!A:K,9,0)+VLOOKUP('תפוקה מצטברת מול אשתקד'!A59,הפניקס!A:K,9,0)+VLOOKUP('תפוקה מצטברת מול אשתקד'!A59,כלל!A:K,9,0)+VLOOKUP('תפוקה מצטברת מול אשתקד'!A59,מור!A:K,9,0)+VLOOKUP('תפוקה מצטברת מול אשתקד'!A59,'אלטשולר שחם'!A:K,9,0)+VLOOKUP('תפוקה מצטברת מול אשתקד'!A59,'מדיהו '!A:K,9,0)+VLOOKUP('תפוקה מצטברת מול אשתקד'!A59,'אנליסט '!A:K,9,0)+VLOOKUP('תפוקה מצטברת מול אשתקד'!A59,'מיטב דש'!A:K,9,0)+VLOOKUP('תפוקה מצטברת מול אשתקד'!A59,אינפניטי!A:K,9,0)</f>
        <v>123939.97099999999</v>
      </c>
      <c r="N59" s="12">
        <f>VLOOKUP(A59,הכשרה!A:K,10,0)+VLOOKUP('תפוקה מצטברת מול אשתקד'!A59,מגדל!A:K,10,0)+VLOOKUP('תפוקה מצטברת מול אשתקד'!A59,מנורה!A:K,10,0)+VLOOKUP('תפוקה מצטברת מול אשתקד'!A59,איילון!A:K,10,0)+VLOOKUP('תפוקה מצטברת מול אשתקד'!A59,הראל!A:K,10,0)+VLOOKUP('תפוקה מצטברת מול אשתקד'!A59,הפניקס!A:K,10,0)+VLOOKUP('תפוקה מצטברת מול אשתקד'!A59,כלל!A:K,10,0)+VLOOKUP('תפוקה מצטברת מול אשתקד'!A59,מור!A:K,10,0)+VLOOKUP('תפוקה מצטברת מול אשתקד'!A59,'אלטשולר שחם'!A:K,10,0)+VLOOKUP('תפוקה מצטברת מול אשתקד'!A59,'מדיהו '!A:K,10,0)+VLOOKUP('תפוקה מצטברת מול אשתקד'!A59,'אנליסט '!A:K,10,0)+VLOOKUP('תפוקה מצטברת מול אשתקד'!A59,'מיטב דש'!A:K,10,0)+VLOOKUP('תפוקה מצטברת מול אשתקד'!A59,אינפניטי!A:K,10,0)</f>
        <v>1076714.7537119999</v>
      </c>
      <c r="O59" s="12">
        <f>VLOOKUP(A59,הכשרה!A:K,11,0)+VLOOKUP('תפוקה מצטברת מול אשתקד'!A59,מגדל!A:K,11,0)+VLOOKUP('תפוקה מצטברת מול אשתקד'!A59,מנורה!A:K,11,0)+VLOOKUP('תפוקה מצטברת מול אשתקד'!A59,איילון!A:K,11,0)+VLOOKUP('תפוקה מצטברת מול אשתקד'!A59,הראל!A:K,11,0)+VLOOKUP('תפוקה מצטברת מול אשתקד'!A59,הפניקס!A:K,11,0)+VLOOKUP('תפוקה מצטברת מול אשתקד'!A59,כלל!A:K,11,0)+VLOOKUP('תפוקה מצטברת מול אשתקד'!A59,מור!A:K,11,0)+VLOOKUP('תפוקה מצטברת מול אשתקד'!A59,'אלטשולר שחם'!A:K,11,0)+VLOOKUP('תפוקה מצטברת מול אשתקד'!A59,'מדיהו '!A:K,11,0)+VLOOKUP('תפוקה מצטברת מול אשתקד'!A59,'אנליסט '!A:K,11,0)+VLOOKUP('תפוקה מצטברת מול אשתקד'!A59,'מיטב דש'!A:K,11,0)+VLOOKUP('תפוקה מצטברת מול אשתקד'!A59,אינפניטי!A:K,11,0)</f>
        <v>-478972.36140800029</v>
      </c>
    </row>
    <row r="60" spans="1:15" ht="15.75" customHeight="1" x14ac:dyDescent="0.25">
      <c r="A60" s="30" t="s">
        <v>33</v>
      </c>
      <c r="B60" s="26" t="s">
        <v>114</v>
      </c>
      <c r="C60" s="26" t="s">
        <v>107</v>
      </c>
      <c r="D60" s="19">
        <f t="shared" si="15"/>
        <v>0.84714038308436668</v>
      </c>
      <c r="E60" s="19">
        <f t="shared" si="15"/>
        <v>-0.5551948360868828</v>
      </c>
      <c r="F60" s="19">
        <f t="shared" si="15"/>
        <v>-0.15685328702911572</v>
      </c>
      <c r="G60" s="19">
        <f t="shared" si="10"/>
        <v>-12.735658696807548</v>
      </c>
      <c r="H60" s="58">
        <f>VLOOKUP(A60,הכשרה!A:G,4,0)+VLOOKUP('תפוקה מצטברת מול אשתקד'!A60,מגדל!A:G,4,0)+VLOOKUP('תפוקה מצטברת מול אשתקד'!A60,מנורה!A:G,4,0)+VLOOKUP('תפוקה מצטברת מול אשתקד'!A60,איילון!A:G,4,0)+VLOOKUP('תפוקה מצטברת מול אשתקד'!A60,הראל!A:G,4,0)+VLOOKUP('תפוקה מצטברת מול אשתקד'!A60,הפניקס!A:G,4,0)+VLOOKUP('תפוקה מצטברת מול אשתקד'!A60,כלל!A:G,4,0)+VLOOKUP('תפוקה מצטברת מול אשתקד'!A60,מור!A:G,4,0)+VLOOKUP('תפוקה מצטברת מול אשתקד'!A60,'אלטשולר שחם'!A:G,4,0)+VLOOKUP('תפוקה מצטברת מול אשתקד'!A60,'מדיהו '!A:G,4,0)+VLOOKUP('תפוקה מצטברת מול אשתקד'!A60,'אנליסט '!A:G,4,0)+VLOOKUP('תפוקה מצטברת מול אשתקד'!A60,'מיטב דש'!A:G,4,0)+VLOOKUP('תפוקה מצטברת מול אשתקד'!A60,אינפניטי!A:G,4,0)</f>
        <v>75128.759999999995</v>
      </c>
      <c r="I60" s="58">
        <f>VLOOKUP(A60,הכשרה!A:G,5,0)+VLOOKUP('תפוקה מצטברת מול אשתקד'!A60,מגדל!A:G,5,0)+VLOOKUP('תפוקה מצטברת מול אשתקד'!A60,מנורה!A:G,5,0)+VLOOKUP('תפוקה מצטברת מול אשתקד'!A60,איילון!A:G,5,0)+VLOOKUP('תפוקה מצטברת מול אשתקד'!A60,הראל!A:G,5,0)+VLOOKUP('תפוקה מצטברת מול אשתקד'!A60,הפניקס!A:G,5,0)+VLOOKUP('תפוקה מצטברת מול אשתקד'!A60,כלל!A:G,5,0)+VLOOKUP('תפוקה מצטברת מול אשתקד'!A60,מור!A:G,5,0)+VLOOKUP('תפוקה מצטברת מול אשתקד'!A60,'אלטשולר שחם'!A:G,5,0)+VLOOKUP('תפוקה מצטברת מול אשתקד'!A60,'מדיהו '!A:G,5,0)+VLOOKUP('תפוקה מצטברת מול אשתקד'!A60,'אנליסט '!A:G,5,0)+VLOOKUP('תפוקה מצטברת מול אשתקד'!A60,'מיטב דש'!A:G,5,0)+VLOOKUP('תפוקה מצטברת מול אשתקד'!A60,אינפניטי!A:G,5,0)</f>
        <v>4404.6317218543045</v>
      </c>
      <c r="J60" s="58">
        <f>VLOOKUP(A60,הכשרה!A:G,6,0)+VLOOKUP('תפוקה מצטברת מול אשתקד'!A60,מגדל!A:G,6,0)+VLOOKUP('תפוקה מצטברת מול אשתקד'!A60,מנורה!A:G,6,0)+VLOOKUP('תפוקה מצטברת מול אשתקד'!A60,איילון!A:G,6,0)+VLOOKUP(A60,הראל!A:G,6,0)+VLOOKUP('תפוקה מצטברת מול אשתקד'!A60,הפניקס!A:G,6,0)+VLOOKUP('תפוקה מצטברת מול אשתקד'!A60,כלל!A:G,6,0)+VLOOKUP('תפוקה מצטברת מול אשתקד'!A60,מור!A:G,6,0)+VLOOKUP('תפוקה מצטברת מול אשתקד'!A60,'אלטשולר שחם'!A:G,6,0)+VLOOKUP('תפוקה מצטברת מול אשתקד'!A60,'מדיהו '!A:G,6,0)+VLOOKUP('תפוקה מצטברת מול אשתקד'!A60,'אנליסט '!A:G,6,0)+VLOOKUP('תפוקה מצטברת מול אשתקד'!A60,'מיטב דש'!A:G,6,0)+VLOOKUP('תפוקה מצטברת מול אשתקד'!A60,אינפניטי!A:G,6,0)</f>
        <v>991643.8637687302</v>
      </c>
      <c r="K60" s="58">
        <f>VLOOKUP(A60,הכשרה!A:G,7,0)+VLOOKUP('תפוקה מצטברת מול אשתקד'!A60,מגדל!A:G,7,0)+VLOOKUP('תפוקה מצטברת מול אשתקד'!A60,מנורה!A:G,7,0)+VLOOKUP('תפוקה מצטברת מול אשתקד'!A60,איילון!A:G,7,0)+VLOOKUP('תפוקה מצטברת מול אשתקד'!A60,הראל!A:G,7,0)+VLOOKUP('תפוקה מצטברת מול אשתקד'!A60,הפניקס!A:G,7,0)+VLOOKUP('תפוקה מצטברת מול אשתקד'!A60,כלל!A:G,7,0)+VLOOKUP('תפוקה מצטברת מול אשתקד'!A60,מור!A:G,7,0)+VLOOKUP('תפוקה מצטברת מול אשתקד'!A60,'אלטשולר שחם'!A:G,7,0)+VLOOKUP('תפוקה מצטברת מול אשתקד'!A60,'מדיהו '!A:K,7,0)+VLOOKUP(A60,'אנליסט '!A:G,7,0)+VLOOKUP('תפוקה מצטברת מול אשתקד'!A60,'מיטב דש'!A:G,7,0)+VLOOKUP('תפוקה מצטברת מול אשתקד'!A60,אינפניטי!A:G,7,0)</f>
        <v>274690.93</v>
      </c>
      <c r="L60" s="12">
        <f>VLOOKUP(A60,הכשרה!A:K,8,0)+VLOOKUP('תפוקה מצטברת מול אשתקד'!A60,מגדל!A:K,8,0)+VLOOKUP('תפוקה מצטברת מול אשתקד'!A60,מנורה!A:K,8,0)+VLOOKUP('תפוקה מצטברת מול אשתקד'!A60,איילון!A:K,8,0)+VLOOKUP('תפוקה מצטברת מול אשתקד'!A60,הראל!A:K,8,0)+VLOOKUP('תפוקה מצטברת מול אשתקד'!A60,הפניקס!A:K,8,0)+VLOOKUP('תפוקה מצטברת מול אשתקד'!A60,כלל!A:K,8,0)+VLOOKUP('תפוקה מצטברת מול אשתקד'!A60,מור!A:K,8,0)+VLOOKUP('תפוקה מצטברת מול אשתקד'!A60,'אלטשולר שחם'!A:K,8,0)+VLOOKUP('תפוקה מצטברת מול אשתקד'!A60,'מדיהו '!A:K,8,0)+VLOOKUP('תפוקה מצטברת מול אשתקד'!A60,'אנליסט '!A:K,8,0)+VLOOKUP('תפוקה מצטברת מול אשתקד'!A60,'מיטב דש'!A:K,8,0)+VLOOKUP('תפוקה מצטברת מול אשתקד'!A60,אינפניטי!A:K,8,0)</f>
        <v>40673.010393800992</v>
      </c>
      <c r="M60" s="12">
        <f>VLOOKUP(A60,הכשרה!A:K,9,0)+VLOOKUP('תפוקה מצטברת מול אשתקד'!A60,מגדל!A:K,9,0)+VLOOKUP('תפוקה מצטברת מול אשתקד'!A60,מנורה!A:K,9,0)+VLOOKUP('תפוקה מצטברת מול אשתקד'!A60,איילון!A:K,9,0)+VLOOKUP('תפוקה מצטברת מול אשתקד'!A60,הראל!A:K,9,0)+VLOOKUP('תפוקה מצטברת מול אשתקד'!A60,הפניקס!A:K,9,0)+VLOOKUP('תפוקה מצטברת מול אשתקד'!A60,כלל!A:K,9,0)+VLOOKUP('תפוקה מצטברת מול אשתקד'!A60,מור!A:K,9,0)+VLOOKUP('תפוקה מצטברת מול אשתקד'!A60,'אלטשולר שחם'!A:K,9,0)+VLOOKUP('תפוקה מצטברת מול אשתקד'!A60,'מדיהו '!A:K,9,0)+VLOOKUP('תפוקה מצטברת מול אשתקד'!A60,'אנליסט '!A:K,9,0)+VLOOKUP('תפוקה מצטברת מול אשתקד'!A60,'מיטב דש'!A:K,9,0)+VLOOKUP('תפוקה מצטברת מול אשתקד'!A60,אינפניטי!A:K,9,0)</f>
        <v>9902.3844127732536</v>
      </c>
      <c r="N60" s="12">
        <f>VLOOKUP(A60,הכשרה!A:K,10,0)+VLOOKUP('תפוקה מצטברת מול אשתקד'!A60,מגדל!A:K,10,0)+VLOOKUP('תפוקה מצטברת מול אשתקד'!A60,מנורה!A:K,10,0)+VLOOKUP('תפוקה מצטברת מול אשתקד'!A60,איילון!A:K,10,0)+VLOOKUP('תפוקה מצטברת מול אשתקד'!A60,הראל!A:K,10,0)+VLOOKUP('תפוקה מצטברת מול אשתקד'!A60,הפניקס!A:K,10,0)+VLOOKUP('תפוקה מצטברת מול אשתקד'!A60,כלל!A:K,10,0)+VLOOKUP('תפוקה מצטברת מול אשתקד'!A60,מור!A:K,10,0)+VLOOKUP('תפוקה מצטברת מול אשתקד'!A60,'אלטשולר שחם'!A:K,10,0)+VLOOKUP('תפוקה מצטברת מול אשתקד'!A60,'מדיהו '!A:K,10,0)+VLOOKUP('תפוקה מצטברת מול אשתקד'!A60,'אנליסט '!A:K,10,0)+VLOOKUP('תפוקה מצטברת מול אשתקד'!A60,'מיטב דש'!A:K,10,0)+VLOOKUP('תפוקה מצטברת מול אשתקד'!A60,אינפניטי!A:K,10,0)</f>
        <v>1176122.5519988167</v>
      </c>
      <c r="O60" s="12">
        <f>VLOOKUP(A60,הכשרה!A:K,11,0)+VLOOKUP('תפוקה מצטברת מול אשתקד'!A60,מגדל!A:K,11,0)+VLOOKUP('תפוקה מצטברת מול אשתקד'!A60,מנורה!A:K,11,0)+VLOOKUP('תפוקה מצטברת מול אשתקד'!A60,איילון!A:K,11,0)+VLOOKUP('תפוקה מצטברת מול אשתקד'!A60,הראל!A:K,11,0)+VLOOKUP('תפוקה מצטברת מול אשתקד'!A60,הפניקס!A:K,11,0)+VLOOKUP('תפוקה מצטברת מול אשתקד'!A60,כלל!A:K,11,0)+VLOOKUP('תפוקה מצטברת מול אשתקד'!A60,מור!A:K,11,0)+VLOOKUP('תפוקה מצטברת מול אשתקד'!A60,'אלטשולר שחם'!A:K,11,0)+VLOOKUP('תפוקה מצטברת מול אשתקד'!A60,'מדיהו '!A:K,11,0)+VLOOKUP('תפוקה מצטברת מול אשתקד'!A60,'אנליסט '!A:K,11,0)+VLOOKUP('תפוקה מצטברת מול אשתקד'!A60,'מיטב דש'!A:K,11,0)+VLOOKUP('תפוקה מצטברת מול אשתקד'!A60,אינפניטי!A:K,11,0)</f>
        <v>-23406.520000000015</v>
      </c>
    </row>
    <row r="61" spans="1:15" ht="15.75" customHeight="1" x14ac:dyDescent="0.25">
      <c r="A61" s="26" t="s">
        <v>84</v>
      </c>
      <c r="B61" s="26" t="s">
        <v>114</v>
      </c>
      <c r="C61" s="26" t="s">
        <v>107</v>
      </c>
      <c r="D61" s="19">
        <f t="shared" si="15"/>
        <v>-0.21112898011903203</v>
      </c>
      <c r="E61" s="19">
        <f t="shared" si="15"/>
        <v>6.7935987820177512E-2</v>
      </c>
      <c r="F61" s="19">
        <f t="shared" si="15"/>
        <v>1.6363111636205105</v>
      </c>
      <c r="G61" s="19">
        <f t="shared" si="10"/>
        <v>0.91457679225536337</v>
      </c>
      <c r="H61" s="58">
        <f>VLOOKUP(A61,הכשרה!A:G,4,0)+VLOOKUP('תפוקה מצטברת מול אשתקד'!A61,מגדל!A:G,4,0)+VLOOKUP('תפוקה מצטברת מול אשתקד'!A61,מנורה!A:G,4,0)+VLOOKUP('תפוקה מצטברת מול אשתקד'!A61,איילון!A:G,4,0)+VLOOKUP('תפוקה מצטברת מול אשתקד'!A61,הראל!A:G,4,0)+VLOOKUP('תפוקה מצטברת מול אשתקד'!A61,הפניקס!A:G,4,0)+VLOOKUP('תפוקה מצטברת מול אשתקד'!A61,כלל!A:G,4,0)+VLOOKUP('תפוקה מצטברת מול אשתקד'!A61,מור!A:G,4,0)+VLOOKUP('תפוקה מצטברת מול אשתקד'!A61,'אלטשולר שחם'!A:G,4,0)+VLOOKUP('תפוקה מצטברת מול אשתקד'!A61,'מדיהו '!A:G,4,0)+VLOOKUP('תפוקה מצטברת מול אשתקד'!A61,'אנליסט '!A:G,4,0)+VLOOKUP('תפוקה מצטברת מול אשתקד'!A61,'מיטב דש'!A:G,4,0)+VLOOKUP('תפוקה מצטברת מול אשתקד'!A61,אינפניטי!A:G,4,0)</f>
        <v>539750.06162269833</v>
      </c>
      <c r="I61" s="58">
        <f>VLOOKUP(A61,הכשרה!A:G,5,0)+VLOOKUP('תפוקה מצטברת מול אשתקד'!A61,מגדל!A:G,5,0)+VLOOKUP('תפוקה מצטברת מול אשתקד'!A61,מנורה!A:G,5,0)+VLOOKUP('תפוקה מצטברת מול אשתקד'!A61,איילון!A:G,5,0)+VLOOKUP('תפוקה מצטברת מול אשתקד'!A61,הראל!A:G,5,0)+VLOOKUP('תפוקה מצטברת מול אשתקד'!A61,הפניקס!A:G,5,0)+VLOOKUP('תפוקה מצטברת מול אשתקד'!A61,כלל!A:G,5,0)+VLOOKUP('תפוקה מצטברת מול אשתקד'!A61,מור!A:G,5,0)+VLOOKUP('תפוקה מצטברת מול אשתקד'!A61,'אלטשולר שחם'!A:G,5,0)+VLOOKUP('תפוקה מצטברת מול אשתקד'!A61,'מדיהו '!A:G,5,0)+VLOOKUP('תפוקה מצטברת מול אשתקד'!A61,'אנליסט '!A:G,5,0)+VLOOKUP('תפוקה מצטברת מול אשתקד'!A61,'מיטב דש'!A:G,5,0)+VLOOKUP('תפוקה מצטברת מול אשתקד'!A61,אינפניטי!A:G,5,0)</f>
        <v>31517.901581432918</v>
      </c>
      <c r="J61" s="58">
        <f>VLOOKUP(A61,הכשרה!A:G,6,0)+VLOOKUP('תפוקה מצטברת מול אשתקד'!A61,מגדל!A:G,6,0)+VLOOKUP('תפוקה מצטברת מול אשתקד'!A61,מנורה!A:G,6,0)+VLOOKUP('תפוקה מצטברת מול אשתקד'!A61,איילון!A:G,6,0)+VLOOKUP(A61,הראל!A:G,6,0)+VLOOKUP('תפוקה מצטברת מול אשתקד'!A61,הפניקס!A:G,6,0)+VLOOKUP('תפוקה מצטברת מול אשתקד'!A61,כלל!A:G,6,0)+VLOOKUP('תפוקה מצטברת מול אשתקד'!A61,מור!A:G,6,0)+VLOOKUP('תפוקה מצטברת מול אשתקד'!A61,'אלטשולר שחם'!A:G,6,0)+VLOOKUP('תפוקה מצטברת מול אשתקד'!A61,'מדיהו '!A:G,6,0)+VLOOKUP('תפוקה מצטברת מול אשתקד'!A61,'אנליסט '!A:G,6,0)+VLOOKUP('תפוקה מצטברת מול אשתקד'!A61,'מיטב דש'!A:G,6,0)+VLOOKUP('תפוקה מצטברת מול אשתקד'!A61,אינפניטי!A:G,6,0)</f>
        <v>3456056.08</v>
      </c>
      <c r="K61" s="58">
        <f>VLOOKUP(A61,הכשרה!A:G,7,0)+VLOOKUP('תפוקה מצטברת מול אשתקד'!A61,מגדל!A:G,7,0)+VLOOKUP('תפוקה מצטברת מול אשתקד'!A61,מנורה!A:G,7,0)+VLOOKUP('תפוקה מצטברת מול אשתקד'!A61,איילון!A:G,7,0)+VLOOKUP('תפוקה מצטברת מול אשתקד'!A61,הראל!A:G,7,0)+VLOOKUP('תפוקה מצטברת מול אשתקד'!A61,הפניקס!A:G,7,0)+VLOOKUP('תפוקה מצטברת מול אשתקד'!A61,כלל!A:G,7,0)+VLOOKUP('תפוקה מצטברת מול אשתקד'!A61,מור!A:G,7,0)+VLOOKUP('תפוקה מצטברת מול אשתקד'!A61,'אלטשולר שחם'!A:G,7,0)+VLOOKUP('תפוקה מצטברת מול אשתקד'!A61,'מדיהו '!A:K,7,0)+VLOOKUP(A61,'אנליסט '!A:G,7,0)+VLOOKUP('תפוקה מצטברת מול אשתקד'!A61,'מיטב דש'!A:G,7,0)+VLOOKUP('תפוקה מצטברת מול אשתקד'!A61,אינפניטי!A:G,7,0)</f>
        <v>1539604.63</v>
      </c>
      <c r="L61" s="12">
        <f>VLOOKUP(A61,הכשרה!A:K,8,0)+VLOOKUP('תפוקה מצטברת מול אשתקד'!A61,מגדל!A:K,8,0)+VLOOKUP('תפוקה מצטברת מול אשתקד'!A61,מנורה!A:K,8,0)+VLOOKUP('תפוקה מצטברת מול אשתקד'!A61,איילון!A:K,8,0)+VLOOKUP('תפוקה מצטברת מול אשתקד'!A61,הראל!A:K,8,0)+VLOOKUP('תפוקה מצטברת מול אשתקד'!A61,הפניקס!A:K,8,0)+VLOOKUP('תפוקה מצטברת מול אשתקד'!A61,כלל!A:K,8,0)+VLOOKUP('תפוקה מצטברת מול אשתקד'!A61,מור!A:K,8,0)+VLOOKUP('תפוקה מצטברת מול אשתקד'!A61,'אלטשולר שחם'!A:K,8,0)+VLOOKUP('תפוקה מצטברת מול אשתקד'!A61,'מדיהו '!A:K,8,0)+VLOOKUP('תפוקה מצטברת מול אשתקד'!A61,'אנליסט '!A:K,8,0)+VLOOKUP('תפוקה מצטברת מול אשתקד'!A61,'מיטב דש'!A:K,8,0)+VLOOKUP('תפוקה מצטברת מול אשתקד'!A61,אינפניטי!A:K,8,0)</f>
        <v>684205.71680290741</v>
      </c>
      <c r="M61" s="12">
        <f>VLOOKUP(A61,הכשרה!A:K,9,0)+VLOOKUP('תפוקה מצטברת מול אשתקד'!A61,מגדל!A:K,9,0)+VLOOKUP('תפוקה מצטברת מול אשתקד'!A61,מנורה!A:K,9,0)+VLOOKUP('תפוקה מצטברת מול אשתקד'!A61,איילון!A:K,9,0)+VLOOKUP('תפוקה מצטברת מול אשתקד'!A61,הראל!A:K,9,0)+VLOOKUP('תפוקה מצטברת מול אשתקד'!A61,הפניקס!A:K,9,0)+VLOOKUP('תפוקה מצטברת מול אשתקד'!A61,כלל!A:K,9,0)+VLOOKUP('תפוקה מצטברת מול אשתקד'!A61,מור!A:K,9,0)+VLOOKUP('תפוקה מצטברת מול אשתקד'!A61,'אלטשולר שחם'!A:K,9,0)+VLOOKUP('תפוקה מצטברת מול אשתקד'!A61,'מדיהו '!A:K,9,0)+VLOOKUP('תפוקה מצטברת מול אשתקד'!A61,'אנליסט '!A:K,9,0)+VLOOKUP('תפוקה מצטברת מול אשתקד'!A61,'מיטב דש'!A:K,9,0)+VLOOKUP('תפוקה מצטברת מול אשתקד'!A61,אינפניטי!A:K,9,0)</f>
        <v>29512.912703471888</v>
      </c>
      <c r="N61" s="12">
        <f>VLOOKUP(A61,הכשרה!A:K,10,0)+VLOOKUP('תפוקה מצטברת מול אשתקד'!A61,מגדל!A:K,10,0)+VLOOKUP('תפוקה מצטברת מול אשתקד'!A61,מנורה!A:K,10,0)+VLOOKUP('תפוקה מצטברת מול אשתקד'!A61,איילון!A:K,10,0)+VLOOKUP('תפוקה מצטברת מול אשתקד'!A61,הראל!A:K,10,0)+VLOOKUP('תפוקה מצטברת מול אשתקד'!A61,הפניקס!A:K,10,0)+VLOOKUP('תפוקה מצטברת מול אשתקד'!A61,כלל!A:K,10,0)+VLOOKUP('תפוקה מצטברת מול אשתקד'!A61,מור!A:K,10,0)+VLOOKUP('תפוקה מצטברת מול אשתקד'!A61,'אלטשולר שחם'!A:K,10,0)+VLOOKUP('תפוקה מצטברת מול אשתקד'!A61,'מדיהו '!A:K,10,0)+VLOOKUP('תפוקה מצטברת מול אשתקד'!A61,'אנליסט '!A:K,10,0)+VLOOKUP('תפוקה מצטברת מול אשתקד'!A61,'מיטב דש'!A:K,10,0)+VLOOKUP('תפוקה מצטברת מול אשתקד'!A61,אינפניטי!A:K,10,0)</f>
        <v>1310943.9157605788</v>
      </c>
      <c r="O61" s="12">
        <f>VLOOKUP(A61,הכשרה!A:K,11,0)+VLOOKUP('תפוקה מצטברת מול אשתקד'!A61,מגדל!A:K,11,0)+VLOOKUP('תפוקה מצטברת מול אשתקד'!A61,מנורה!A:K,11,0)+VLOOKUP('תפוקה מצטברת מול אשתקד'!A61,איילון!A:K,11,0)+VLOOKUP('תפוקה מצטברת מול אשתקד'!A61,הראל!A:K,11,0)+VLOOKUP('תפוקה מצטברת מול אשתקד'!A61,הפניקס!A:K,11,0)+VLOOKUP('תפוקה מצטברת מול אשתקד'!A61,כלל!A:K,11,0)+VLOOKUP('תפוקה מצטברת מול אשתקד'!A61,מור!A:K,11,0)+VLOOKUP('תפוקה מצטברת מול אשתקד'!A61,'אלטשולר שחם'!A:K,11,0)+VLOOKUP('תפוקה מצטברת מול אשתקד'!A61,'מדיהו '!A:K,11,0)+VLOOKUP('תפוקה מצטברת מול אשתקד'!A61,'אנליסט '!A:K,11,0)+VLOOKUP('תפוקה מצטברת מול אשתקד'!A61,'מיטב דש'!A:K,11,0)+VLOOKUP('תפוקה מצטברת מול אשתקד'!A61,אינפניטי!A:K,11,0)</f>
        <v>804148.8</v>
      </c>
    </row>
    <row r="62" spans="1:15" ht="15.75" customHeight="1" x14ac:dyDescent="0.25">
      <c r="A62" s="107" t="s">
        <v>99</v>
      </c>
      <c r="B62" s="26" t="s">
        <v>114</v>
      </c>
      <c r="C62" s="27" t="s">
        <v>107</v>
      </c>
      <c r="D62" s="19">
        <f t="shared" si="15"/>
        <v>1</v>
      </c>
      <c r="E62" s="19">
        <f t="shared" si="15"/>
        <v>1</v>
      </c>
      <c r="F62" s="19">
        <f t="shared" si="15"/>
        <v>1</v>
      </c>
      <c r="G62" s="19">
        <f t="shared" si="10"/>
        <v>1</v>
      </c>
      <c r="H62" s="58">
        <f>VLOOKUP(A62,הכשרה!A:G,4,0)+VLOOKUP('תפוקה מצטברת מול אשתקד'!A62,מגדל!A:G,4,0)+VLOOKUP('תפוקה מצטברת מול אשתקד'!A62,מנורה!A:G,4,0)+VLOOKUP('תפוקה מצטברת מול אשתקד'!A62,איילון!A:G,4,0)+VLOOKUP('תפוקה מצטברת מול אשתקד'!A62,הראל!A:G,4,0)+VLOOKUP('תפוקה מצטברת מול אשתקד'!A62,הפניקס!A:G,4,0)+VLOOKUP('תפוקה מצטברת מול אשתקד'!A62,כלל!A:G,4,0)+VLOOKUP('תפוקה מצטברת מול אשתקד'!A62,מור!A:G,4,0)+VLOOKUP('תפוקה מצטברת מול אשתקד'!A62,'אלטשולר שחם'!A:G,4,0)+VLOOKUP('תפוקה מצטברת מול אשתקד'!A62,'מדיהו '!A:G,4,0)+VLOOKUP('תפוקה מצטברת מול אשתקד'!A62,'אנליסט '!A:G,4,0)+VLOOKUP('תפוקה מצטברת מול אשתקד'!A62,'מיטב דש'!A:G,4,0)+VLOOKUP('תפוקה מצטברת מול אשתקד'!A62,אינפניטי!A:G,4,0)</f>
        <v>182410.61</v>
      </c>
      <c r="I62" s="58">
        <f>VLOOKUP(A62,הכשרה!A:G,5,0)+VLOOKUP('תפוקה מצטברת מול אשתקד'!A62,מגדל!A:G,5,0)+VLOOKUP('תפוקה מצטברת מול אשתקד'!A62,מנורה!A:G,5,0)+VLOOKUP('תפוקה מצטברת מול אשתקד'!A62,איילון!A:G,5,0)+VLOOKUP('תפוקה מצטברת מול אשתקד'!A62,הראל!A:G,5,0)+VLOOKUP('תפוקה מצטברת מול אשתקד'!A62,הפניקס!A:G,5,0)+VLOOKUP('תפוקה מצטברת מול אשתקד'!A62,כלל!A:G,5,0)+VLOOKUP('תפוקה מצטברת מול אשתקד'!A62,מור!A:G,5,0)+VLOOKUP('תפוקה מצטברת מול אשתקד'!A62,'אלטשולר שחם'!A:G,5,0)+VLOOKUP('תפוקה מצטברת מול אשתקד'!A62,'מדיהו '!A:G,5,0)+VLOOKUP('תפוקה מצטברת מול אשתקד'!A62,'אנליסט '!A:G,5,0)+VLOOKUP('תפוקה מצטברת מול אשתקד'!A62,'מיטב דש'!A:G,5,0)+VLOOKUP('תפוקה מצטברת מול אשתקד'!A62,אינפניטי!A:G,5,0)</f>
        <v>8491.5402379999996</v>
      </c>
      <c r="J62" s="58">
        <f>VLOOKUP(A62,הכשרה!A:G,6,0)+VLOOKUP('תפוקה מצטברת מול אשתקד'!A62,מגדל!A:G,6,0)+VLOOKUP('תפוקה מצטברת מול אשתקד'!A62,מנורה!A:G,6,0)+VLOOKUP('תפוקה מצטברת מול אשתקד'!A62,איילון!A:G,6,0)+VLOOKUP(A62,הראל!A:G,6,0)+VLOOKUP('תפוקה מצטברת מול אשתקד'!A62,הפניקס!A:G,6,0)+VLOOKUP('תפוקה מצטברת מול אשתקד'!A62,כלל!A:G,6,0)+VLOOKUP('תפוקה מצטברת מול אשתקד'!A62,מור!A:G,6,0)+VLOOKUP('תפוקה מצטברת מול אשתקד'!A62,'אלטשולר שחם'!A:G,6,0)+VLOOKUP('תפוקה מצטברת מול אשתקד'!A62,'מדיהו '!A:G,6,0)+VLOOKUP('תפוקה מצטברת מול אשתקד'!A62,'אנליסט '!A:G,6,0)+VLOOKUP('תפוקה מצטברת מול אשתקד'!A62,'מיטב דש'!A:G,6,0)+VLOOKUP('תפוקה מצטברת מול אשתקד'!A62,אינפניטי!A:G,6,0)</f>
        <v>430407.29</v>
      </c>
      <c r="K62" s="58">
        <f>VLOOKUP(A62,הכשרה!A:G,7,0)+VLOOKUP('תפוקה מצטברת מול אשתקד'!A62,מגדל!A:G,7,0)+VLOOKUP('תפוקה מצטברת מול אשתקד'!A62,מנורה!A:G,7,0)+VLOOKUP('תפוקה מצטברת מול אשתקד'!A62,איילון!A:G,7,0)+VLOOKUP('תפוקה מצטברת מול אשתקד'!A62,הראל!A:G,7,0)+VLOOKUP('תפוקה מצטברת מול אשתקד'!A62,הפניקס!A:G,7,0)+VLOOKUP('תפוקה מצטברת מול אשתקד'!A62,כלל!A:G,7,0)+VLOOKUP('תפוקה מצטברת מול אשתקד'!A62,מור!A:G,7,0)+VLOOKUP('תפוקה מצטברת מול אשתקד'!A62,'אלטשולר שחם'!A:G,7,0)+VLOOKUP('תפוקה מצטברת מול אשתקד'!A62,'מדיהו '!A:K,7,0)+VLOOKUP(A62,'אנליסט '!A:G,7,0)+VLOOKUP('תפוקה מצטברת מול אשתקד'!A62,'מיטב דש'!A:G,7,0)+VLOOKUP('תפוקה מצטברת מול אשתקד'!A62,אינפניטי!A:G,7,0)</f>
        <v>735052.54999999993</v>
      </c>
      <c r="L62" s="12">
        <f>VLOOKUP(A62,הכשרה!A:K,8,0)+VLOOKUP('תפוקה מצטברת מול אשתקד'!A62,מגדל!A:K,8,0)+VLOOKUP('תפוקה מצטברת מול אשתקד'!A62,מנורה!A:K,8,0)+VLOOKUP('תפוקה מצטברת מול אשתקד'!A62,איילון!A:K,8,0)+VLOOKUP('תפוקה מצטברת מול אשתקד'!A62,הראל!A:K,8,0)+VLOOKUP('תפוקה מצטברת מול אשתקד'!A62,הפניקס!A:K,8,0)+VLOOKUP('תפוקה מצטברת מול אשתקד'!A62,כלל!A:K,8,0)+VLOOKUP('תפוקה מצטברת מול אשתקד'!A62,מור!A:K,8,0)+VLOOKUP('תפוקה מצטברת מול אשתקד'!A62,'אלטשולר שחם'!A:K,8,0)+VLOOKUP('תפוקה מצטברת מול אשתקד'!A62,'מדיהו '!A:K,8,0)+VLOOKUP('תפוקה מצטברת מול אשתקד'!A62,'אנליסט '!A:K,8,0)+VLOOKUP('תפוקה מצטברת מול אשתקד'!A62,'מיטב דש'!A:K,8,0)+VLOOKUP('תפוקה מצטברת מול אשתקד'!A62,אינפניטי!A:K,8,0)</f>
        <v>0</v>
      </c>
      <c r="M62" s="12">
        <f>VLOOKUP(A62,הכשרה!A:K,9,0)+VLOOKUP('תפוקה מצטברת מול אשתקד'!A62,מגדל!A:K,9,0)+VLOOKUP('תפוקה מצטברת מול אשתקד'!A62,מנורה!A:K,9,0)+VLOOKUP('תפוקה מצטברת מול אשתקד'!A62,איילון!A:K,9,0)+VLOOKUP('תפוקה מצטברת מול אשתקד'!A62,הראל!A:K,9,0)+VLOOKUP('תפוקה מצטברת מול אשתקד'!A62,הפניקס!A:K,9,0)+VLOOKUP('תפוקה מצטברת מול אשתקד'!A62,כלל!A:K,9,0)+VLOOKUP('תפוקה מצטברת מול אשתקד'!A62,מור!A:K,9,0)+VLOOKUP('תפוקה מצטברת מול אשתקד'!A62,'אלטשולר שחם'!A:K,9,0)+VLOOKUP('תפוקה מצטברת מול אשתקד'!A62,'מדיהו '!A:K,9,0)+VLOOKUP('תפוקה מצטברת מול אשתקד'!A62,'אנליסט '!A:K,9,0)+VLOOKUP('תפוקה מצטברת מול אשתקד'!A62,'מיטב דש'!A:K,9,0)+VLOOKUP('תפוקה מצטברת מול אשתקד'!A62,אינפניטי!A:K,9,0)</f>
        <v>0</v>
      </c>
      <c r="N62" s="12">
        <f>VLOOKUP(A62,הכשרה!A:K,10,0)+VLOOKUP('תפוקה מצטברת מול אשתקד'!A62,מגדל!A:K,10,0)+VLOOKUP('תפוקה מצטברת מול אשתקד'!A62,מנורה!A:K,10,0)+VLOOKUP('תפוקה מצטברת מול אשתקד'!A62,איילון!A:K,10,0)+VLOOKUP('תפוקה מצטברת מול אשתקד'!A62,הראל!A:K,10,0)+VLOOKUP('תפוקה מצטברת מול אשתקד'!A62,הפניקס!A:K,10,0)+VLOOKUP('תפוקה מצטברת מול אשתקד'!A62,כלל!A:K,10,0)+VLOOKUP('תפוקה מצטברת מול אשתקד'!A62,מור!A:K,10,0)+VLOOKUP('תפוקה מצטברת מול אשתקד'!A62,'אלטשולר שחם'!A:K,10,0)+VLOOKUP('תפוקה מצטברת מול אשתקד'!A62,'מדיהו '!A:K,10,0)+VLOOKUP('תפוקה מצטברת מול אשתקד'!A62,'אנליסט '!A:K,10,0)+VLOOKUP('תפוקה מצטברת מול אשתקד'!A62,'מיטב דש'!A:K,10,0)+VLOOKUP('תפוקה מצטברת מול אשתקד'!A62,אינפניטי!A:K,10,0)</f>
        <v>0</v>
      </c>
      <c r="O62" s="12">
        <f>VLOOKUP(A62,הכשרה!A:K,11,0)+VLOOKUP('תפוקה מצטברת מול אשתקד'!A62,מגדל!A:K,11,0)+VLOOKUP('תפוקה מצטברת מול אשתקד'!A62,מנורה!A:K,11,0)+VLOOKUP('תפוקה מצטברת מול אשתקד'!A62,איילון!A:K,11,0)+VLOOKUP('תפוקה מצטברת מול אשתקד'!A62,הראל!A:K,11,0)+VLOOKUP('תפוקה מצטברת מול אשתקד'!A62,הפניקס!A:K,11,0)+VLOOKUP('תפוקה מצטברת מול אשתקד'!A62,כלל!A:K,11,0)+VLOOKUP('תפוקה מצטברת מול אשתקד'!A62,מור!A:K,11,0)+VLOOKUP('תפוקה מצטברת מול אשתקד'!A62,'אלטשולר שחם'!A:K,11,0)+VLOOKUP('תפוקה מצטברת מול אשתקד'!A62,'מדיהו '!A:K,11,0)+VLOOKUP('תפוקה מצטברת מול אשתקד'!A62,'אנליסט '!A:K,11,0)+VLOOKUP('תפוקה מצטברת מול אשתקד'!A62,'מיטב דש'!A:K,11,0)+VLOOKUP('תפוקה מצטברת מול אשתקד'!A62,אינפניטי!A:K,11,0)</f>
        <v>0</v>
      </c>
    </row>
    <row r="63" spans="1:15" ht="15.75" customHeight="1" x14ac:dyDescent="0.25">
      <c r="A63" s="194" t="s">
        <v>128</v>
      </c>
      <c r="B63" s="26" t="s">
        <v>114</v>
      </c>
      <c r="C63" s="27" t="s">
        <v>107</v>
      </c>
      <c r="D63" s="19">
        <f t="shared" si="15"/>
        <v>0</v>
      </c>
      <c r="E63" s="19">
        <f t="shared" si="15"/>
        <v>0</v>
      </c>
      <c r="F63" s="19">
        <f t="shared" si="15"/>
        <v>0</v>
      </c>
      <c r="G63" s="19">
        <f t="shared" si="10"/>
        <v>0</v>
      </c>
      <c r="H63" s="58">
        <f>VLOOKUP(A63,הכשרה!A:G,4,0)+VLOOKUP('תפוקה מצטברת מול אשתקד'!A63,מגדל!A:G,4,0)+VLOOKUP('תפוקה מצטברת מול אשתקד'!A63,מנורה!A:G,4,0)+VLOOKUP('תפוקה מצטברת מול אשתקד'!A63,איילון!A:G,4,0)+VLOOKUP('תפוקה מצטברת מול אשתקד'!A63,הראל!A:G,4,0)+VLOOKUP('תפוקה מצטברת מול אשתקד'!A63,הפניקס!A:G,4,0)+VLOOKUP('תפוקה מצטברת מול אשתקד'!A63,כלל!A:G,4,0)+VLOOKUP('תפוקה מצטברת מול אשתקד'!A63,מור!A:G,4,0)+VLOOKUP('תפוקה מצטברת מול אשתקד'!A63,'אלטשולר שחם'!A:G,4,0)+VLOOKUP('תפוקה מצטברת מול אשתקד'!A63,'מדיהו '!A:G,4,0)+VLOOKUP('תפוקה מצטברת מול אשתקד'!A63,'אנליסט '!A:G,4,0)+VLOOKUP('תפוקה מצטברת מול אשתקד'!A63,'מיטב דש'!A:G,4,0)+VLOOKUP('תפוקה מצטברת מול אשתקד'!A63,אינפניטי!A:G,4,0)</f>
        <v>0</v>
      </c>
      <c r="I63" s="58">
        <f>VLOOKUP(A63,הכשרה!A:G,5,0)+VLOOKUP('תפוקה מצטברת מול אשתקד'!A63,מגדל!A:G,5,0)+VLOOKUP('תפוקה מצטברת מול אשתקד'!A63,מנורה!A:G,5,0)+VLOOKUP('תפוקה מצטברת מול אשתקד'!A63,איילון!A:G,5,0)+VLOOKUP('תפוקה מצטברת מול אשתקד'!A63,הראל!A:G,5,0)+VLOOKUP('תפוקה מצטברת מול אשתקד'!A63,הפניקס!A:G,5,0)+VLOOKUP('תפוקה מצטברת מול אשתקד'!A63,כלל!A:G,5,0)+VLOOKUP('תפוקה מצטברת מול אשתקד'!A63,מור!A:G,5,0)+VLOOKUP('תפוקה מצטברת מול אשתקד'!A63,'אלטשולר שחם'!A:G,5,0)+VLOOKUP('תפוקה מצטברת מול אשתקד'!A63,'מדיהו '!A:G,5,0)+VLOOKUP('תפוקה מצטברת מול אשתקד'!A63,'אנליסט '!A:G,5,0)+VLOOKUP('תפוקה מצטברת מול אשתקד'!A63,'מיטב דש'!A:G,5,0)+VLOOKUP('תפוקה מצטברת מול אשתקד'!A63,אינפניטי!A:G,5,0)</f>
        <v>0</v>
      </c>
      <c r="J63" s="58">
        <f>VLOOKUP(A63,הכשרה!A:G,6,0)+VLOOKUP('תפוקה מצטברת מול אשתקד'!A63,מגדל!A:G,6,0)+VLOOKUP('תפוקה מצטברת מול אשתקד'!A63,מנורה!A:G,6,0)+VLOOKUP('תפוקה מצטברת מול אשתקד'!A63,איילון!A:G,6,0)+VLOOKUP(A63,הראל!A:G,6,0)+VLOOKUP('תפוקה מצטברת מול אשתקד'!A63,הפניקס!A:G,6,0)+VLOOKUP('תפוקה מצטברת מול אשתקד'!A63,כלל!A:G,6,0)+VLOOKUP('תפוקה מצטברת מול אשתקד'!A63,מור!A:G,6,0)+VLOOKUP('תפוקה מצטברת מול אשתקד'!A63,'אלטשולר שחם'!A:G,6,0)+VLOOKUP('תפוקה מצטברת מול אשתקד'!A63,'מדיהו '!A:G,6,0)+VLOOKUP('תפוקה מצטברת מול אשתקד'!A63,'אנליסט '!A:G,6,0)+VLOOKUP('תפוקה מצטברת מול אשתקד'!A63,'מיטב דש'!A:G,6,0)+VLOOKUP('תפוקה מצטברת מול אשתקד'!A63,אינפניטי!A:G,6,0)</f>
        <v>0</v>
      </c>
      <c r="K63" s="58">
        <f>VLOOKUP(A63,הכשרה!A:G,7,0)+VLOOKUP('תפוקה מצטברת מול אשתקד'!A63,מגדל!A:G,7,0)+VLOOKUP('תפוקה מצטברת מול אשתקד'!A63,מנורה!A:G,7,0)+VLOOKUP('תפוקה מצטברת מול אשתקד'!A63,איילון!A:G,7,0)+VLOOKUP('תפוקה מצטברת מול אשתקד'!A63,הראל!A:G,7,0)+VLOOKUP('תפוקה מצטברת מול אשתקד'!A63,הפניקס!A:G,7,0)+VLOOKUP('תפוקה מצטברת מול אשתקד'!A63,כלל!A:G,7,0)+VLOOKUP('תפוקה מצטברת מול אשתקד'!A63,מור!A:G,7,0)+VLOOKUP('תפוקה מצטברת מול אשתקד'!A63,'אלטשולר שחם'!A:G,7,0)+VLOOKUP('תפוקה מצטברת מול אשתקד'!A63,'מדיהו '!A:K,7,0)+VLOOKUP(A63,'אנליסט '!A:G,7,0)+VLOOKUP('תפוקה מצטברת מול אשתקד'!A63,'מיטב דש'!A:G,7,0)+VLOOKUP('תפוקה מצטברת מול אשתקד'!A63,אינפניטי!A:G,7,0)</f>
        <v>0</v>
      </c>
      <c r="L63" s="12">
        <f>VLOOKUP(A63,הכשרה!A:K,8,0)+VLOOKUP('תפוקה מצטברת מול אשתקד'!A63,מגדל!A:K,8,0)+VLOOKUP('תפוקה מצטברת מול אשתקד'!A63,מנורה!A:K,8,0)+VLOOKUP('תפוקה מצטברת מול אשתקד'!A63,איילון!A:K,8,0)+VLOOKUP('תפוקה מצטברת מול אשתקד'!A63,הראל!A:K,8,0)+VLOOKUP('תפוקה מצטברת מול אשתקד'!A63,הפניקס!A:K,8,0)+VLOOKUP('תפוקה מצטברת מול אשתקד'!A63,כלל!A:K,8,0)+VLOOKUP('תפוקה מצטברת מול אשתקד'!A63,מור!A:K,8,0)+VLOOKUP('תפוקה מצטברת מול אשתקד'!A63,'אלטשולר שחם'!A:K,8,0)+VLOOKUP('תפוקה מצטברת מול אשתקד'!A63,'מדיהו '!A:K,8,0)+VLOOKUP('תפוקה מצטברת מול אשתקד'!A63,'אנליסט '!A:K,8,0)+VLOOKUP('תפוקה מצטברת מול אשתקד'!A63,'מיטב דש'!A:K,8,0)+VLOOKUP('תפוקה מצטברת מול אשתקד'!A63,אינפניטי!A:K,8,0)</f>
        <v>0</v>
      </c>
      <c r="M63" s="12">
        <f>VLOOKUP(A63,הכשרה!A:K,9,0)+VLOOKUP('תפוקה מצטברת מול אשתקד'!A63,מגדל!A:K,9,0)+VLOOKUP('תפוקה מצטברת מול אשתקד'!A63,מנורה!A:K,9,0)+VLOOKUP('תפוקה מצטברת מול אשתקד'!A63,איילון!A:K,9,0)+VLOOKUP('תפוקה מצטברת מול אשתקד'!A63,הראל!A:K,9,0)+VLOOKUP('תפוקה מצטברת מול אשתקד'!A63,הפניקס!A:K,9,0)+VLOOKUP('תפוקה מצטברת מול אשתקד'!A63,כלל!A:K,9,0)+VLOOKUP('תפוקה מצטברת מול אשתקד'!A63,מור!A:K,9,0)+VLOOKUP('תפוקה מצטברת מול אשתקד'!A63,'אלטשולר שחם'!A:K,9,0)+VLOOKUP('תפוקה מצטברת מול אשתקד'!A63,'מדיהו '!A:K,9,0)+VLOOKUP('תפוקה מצטברת מול אשתקד'!A63,'אנליסט '!A:K,9,0)+VLOOKUP('תפוקה מצטברת מול אשתקד'!A63,'מיטב דש'!A:K,9,0)+VLOOKUP('תפוקה מצטברת מול אשתקד'!A63,אינפניטי!A:K,9,0)</f>
        <v>0</v>
      </c>
      <c r="N63" s="12">
        <f>VLOOKUP(A63,הכשרה!A:K,10,0)+VLOOKUP('תפוקה מצטברת מול אשתקד'!A63,מגדל!A:K,10,0)+VLOOKUP('תפוקה מצטברת מול אשתקד'!A63,מנורה!A:K,10,0)+VLOOKUP('תפוקה מצטברת מול אשתקד'!A63,איילון!A:K,10,0)+VLOOKUP('תפוקה מצטברת מול אשתקד'!A63,הראל!A:K,10,0)+VLOOKUP('תפוקה מצטברת מול אשתקד'!A63,הפניקס!A:K,10,0)+VLOOKUP('תפוקה מצטברת מול אשתקד'!A63,כלל!A:K,10,0)+VLOOKUP('תפוקה מצטברת מול אשתקד'!A63,מור!A:K,10,0)+VLOOKUP('תפוקה מצטברת מול אשתקד'!A63,'אלטשולר שחם'!A:K,10,0)+VLOOKUP('תפוקה מצטברת מול אשתקד'!A63,'מדיהו '!A:K,10,0)+VLOOKUP('תפוקה מצטברת מול אשתקד'!A63,'אנליסט '!A:K,10,0)+VLOOKUP('תפוקה מצטברת מול אשתקד'!A63,'מיטב דש'!A:K,10,0)+VLOOKUP('תפוקה מצטברת מול אשתקד'!A63,אינפניטי!A:K,10,0)</f>
        <v>0</v>
      </c>
      <c r="O63" s="12">
        <f>VLOOKUP(A63,הכשרה!A:K,11,0)+VLOOKUP('תפוקה מצטברת מול אשתקד'!A63,מגדל!A:K,11,0)+VLOOKUP('תפוקה מצטברת מול אשתקד'!A63,מנורה!A:K,11,0)+VLOOKUP('תפוקה מצטברת מול אשתקד'!A63,איילון!A:K,11,0)+VLOOKUP('תפוקה מצטברת מול אשתקד'!A63,הראל!A:K,11,0)+VLOOKUP('תפוקה מצטברת מול אשתקד'!A63,הפניקס!A:K,11,0)+VLOOKUP('תפוקה מצטברת מול אשתקד'!A63,כלל!A:K,11,0)+VLOOKUP('תפוקה מצטברת מול אשתקד'!A63,מור!A:K,11,0)+VLOOKUP('תפוקה מצטברת מול אשתקד'!A63,'אלטשולר שחם'!A:K,11,0)+VLOOKUP('תפוקה מצטברת מול אשתקד'!A63,'מדיהו '!A:K,11,0)+VLOOKUP('תפוקה מצטברת מול אשתקד'!A63,'אנליסט '!A:K,11,0)+VLOOKUP('תפוקה מצטברת מול אשתקד'!A63,'מיטב דש'!A:K,11,0)+VLOOKUP('תפוקה מצטברת מול אשתקד'!A63,אינפניטי!A:K,11,0)</f>
        <v>0</v>
      </c>
    </row>
    <row r="64" spans="1:15" ht="15.75" customHeight="1" x14ac:dyDescent="0.25">
      <c r="A64" s="199" t="s">
        <v>131</v>
      </c>
      <c r="B64" s="26" t="s">
        <v>114</v>
      </c>
      <c r="C64" s="27" t="s">
        <v>107</v>
      </c>
      <c r="D64" s="19">
        <f t="shared" si="15"/>
        <v>1</v>
      </c>
      <c r="E64" s="19">
        <f t="shared" si="15"/>
        <v>1</v>
      </c>
      <c r="F64" s="19">
        <f t="shared" si="15"/>
        <v>1</v>
      </c>
      <c r="G64" s="19">
        <f t="shared" si="10"/>
        <v>1</v>
      </c>
      <c r="H64" s="58">
        <f>VLOOKUP(A64,הכשרה!A:G,4,0)+VLOOKUP('תפוקה מצטברת מול אשתקד'!A64,מגדל!A:G,4,0)+VLOOKUP('תפוקה מצטברת מול אשתקד'!A64,מנורה!A:G,4,0)+VLOOKUP('תפוקה מצטברת מול אשתקד'!A64,איילון!A:G,4,0)+VLOOKUP('תפוקה מצטברת מול אשתקד'!A64,הראל!A:G,4,0)+VLOOKUP('תפוקה מצטברת מול אשתקד'!A64,הפניקס!A:G,4,0)+VLOOKUP('תפוקה מצטברת מול אשתקד'!A64,כלל!A:G,4,0)+VLOOKUP('תפוקה מצטברת מול אשתקד'!A64,מור!A:G,4,0)+VLOOKUP('תפוקה מצטברת מול אשתקד'!A64,'אלטשולר שחם'!A:G,4,0)+VLOOKUP('תפוקה מצטברת מול אשתקד'!A64,'מדיהו '!A:G,4,0)+VLOOKUP('תפוקה מצטברת מול אשתקד'!A64,'אנליסט '!A:G,4,0)+VLOOKUP('תפוקה מצטברת מול אשתקד'!A64,'מיטב דש'!A:G,4,0)+VLOOKUP('תפוקה מצטברת מול אשתקד'!A64,אינפניטי!A:G,4,0)</f>
        <v>124200.08</v>
      </c>
      <c r="I64" s="58">
        <f>VLOOKUP(A64,הכשרה!A:G,5,0)+VLOOKUP('תפוקה מצטברת מול אשתקד'!A64,מגדל!A:G,5,0)+VLOOKUP('תפוקה מצטברת מול אשתקד'!A64,מנורה!A:G,5,0)+VLOOKUP('תפוקה מצטברת מול אשתקד'!A64,איילון!A:G,5,0)+VLOOKUP('תפוקה מצטברת מול אשתקד'!A64,הראל!A:G,5,0)+VLOOKUP('תפוקה מצטברת מול אשתקד'!A64,הפניקס!A:G,5,0)+VLOOKUP('תפוקה מצטברת מול אשתקד'!A64,כלל!A:G,5,0)+VLOOKUP('תפוקה מצטברת מול אשתקד'!A64,מור!A:G,5,0)+VLOOKUP('תפוקה מצטברת מול אשתקד'!A64,'אלטשולר שחם'!A:G,5,0)+VLOOKUP('תפוקה מצטברת מול אשתקד'!A64,'מדיהו '!A:G,5,0)+VLOOKUP('תפוקה מצטברת מול אשתקד'!A64,'אנליסט '!A:G,5,0)+VLOOKUP('תפוקה מצטברת מול אשתקד'!A64,'מיטב דש'!A:G,5,0)+VLOOKUP('תפוקה מצטברת מול אשתקד'!A64,אינפניטי!A:G,5,0)</f>
        <v>22615.347403335312</v>
      </c>
      <c r="J64" s="58">
        <f>VLOOKUP(A64,הכשרה!A:G,6,0)+VLOOKUP('תפוקה מצטברת מול אשתקד'!A64,מגדל!A:G,6,0)+VLOOKUP('תפוקה מצטברת מול אשתקד'!A64,מנורה!A:G,6,0)+VLOOKUP('תפוקה מצטברת מול אשתקד'!A64,איילון!A:G,6,0)+VLOOKUP(A64,הראל!A:G,6,0)+VLOOKUP('תפוקה מצטברת מול אשתקד'!A64,הפניקס!A:G,6,0)+VLOOKUP('תפוקה מצטברת מול אשתקד'!A64,כלל!A:G,6,0)+VLOOKUP('תפוקה מצטברת מול אשתקד'!A64,מור!A:G,6,0)+VLOOKUP('תפוקה מצטברת מול אשתקד'!A64,'אלטשולר שחם'!A:G,6,0)+VLOOKUP('תפוקה מצטברת מול אשתקד'!A64,'מדיהו '!A:G,6,0)+VLOOKUP('תפוקה מצטברת מול אשתקד'!A64,'אנליסט '!A:G,6,0)+VLOOKUP('תפוקה מצטברת מול אשתקד'!A64,'מיטב דש'!A:G,6,0)+VLOOKUP('תפוקה מצטברת מול אשתקד'!A64,אינפניטי!A:G,6,0)</f>
        <v>412058.37</v>
      </c>
      <c r="K64" s="58">
        <f>VLOOKUP(A64,הכשרה!A:G,7,0)+VLOOKUP('תפוקה מצטברת מול אשתקד'!A64,מגדל!A:G,7,0)+VLOOKUP('תפוקה מצטברת מול אשתקד'!A64,מנורה!A:G,7,0)+VLOOKUP('תפוקה מצטברת מול אשתקד'!A64,איילון!A:G,7,0)+VLOOKUP('תפוקה מצטברת מול אשתקד'!A64,הראל!A:G,7,0)+VLOOKUP('תפוקה מצטברת מול אשתקד'!A64,הפניקס!A:G,7,0)+VLOOKUP('תפוקה מצטברת מול אשתקד'!A64,כלל!A:G,7,0)+VLOOKUP('תפוקה מצטברת מול אשתקד'!A64,מור!A:G,7,0)+VLOOKUP('תפוקה מצטברת מול אשתקד'!A64,'אלטשולר שחם'!A:G,7,0)+VLOOKUP('תפוקה מצטברת מול אשתקד'!A64,'מדיהו '!A:K,7,0)+VLOOKUP(A64,'אנליסט '!A:G,7,0)+VLOOKUP('תפוקה מצטברת מול אשתקד'!A64,'מיטב דש'!A:G,7,0)+VLOOKUP('תפוקה מצטברת מול אשתקד'!A64,אינפניטי!A:G,7,0)</f>
        <v>439063.23</v>
      </c>
      <c r="L64" s="12">
        <f>VLOOKUP(A64,הכשרה!A:K,8,0)+VLOOKUP('תפוקה מצטברת מול אשתקד'!A64,מגדל!A:K,8,0)+VLOOKUP('תפוקה מצטברת מול אשתקד'!A64,מנורה!A:K,8,0)+VLOOKUP('תפוקה מצטברת מול אשתקד'!A64,איילון!A:K,8,0)+VLOOKUP('תפוקה מצטברת מול אשתקד'!A64,הראל!A:K,8,0)+VLOOKUP('תפוקה מצטברת מול אשתקד'!A64,הפניקס!A:K,8,0)+VLOOKUP('תפוקה מצטברת מול אשתקד'!A64,כלל!A:K,8,0)+VLOOKUP('תפוקה מצטברת מול אשתקד'!A64,מור!A:K,8,0)+VLOOKUP('תפוקה מצטברת מול אשתקד'!A64,'אלטשולר שחם'!A:K,8,0)+VLOOKUP('תפוקה מצטברת מול אשתקד'!A64,'מדיהו '!A:K,8,0)+VLOOKUP('תפוקה מצטברת מול אשתקד'!A64,'אנליסט '!A:K,8,0)+VLOOKUP('תפוקה מצטברת מול אשתקד'!A64,'מיטב דש'!A:K,8,0)+VLOOKUP('תפוקה מצטברת מול אשתקד'!A64,אינפניטי!A:K,8,0)</f>
        <v>0</v>
      </c>
      <c r="M64" s="12">
        <f>VLOOKUP(A64,הכשרה!A:K,9,0)+VLOOKUP('תפוקה מצטברת מול אשתקד'!A64,מגדל!A:K,9,0)+VLOOKUP('תפוקה מצטברת מול אשתקד'!A64,מנורה!A:K,9,0)+VLOOKUP('תפוקה מצטברת מול אשתקד'!A64,איילון!A:K,9,0)+VLOOKUP('תפוקה מצטברת מול אשתקד'!A64,הראל!A:K,9,0)+VLOOKUP('תפוקה מצטברת מול אשתקד'!A64,הפניקס!A:K,9,0)+VLOOKUP('תפוקה מצטברת מול אשתקד'!A64,כלל!A:K,9,0)+VLOOKUP('תפוקה מצטברת מול אשתקד'!A64,מור!A:K,9,0)+VLOOKUP('תפוקה מצטברת מול אשתקד'!A64,'אלטשולר שחם'!A:K,9,0)+VLOOKUP('תפוקה מצטברת מול אשתקד'!A64,'מדיהו '!A:K,9,0)+VLOOKUP('תפוקה מצטברת מול אשתקד'!A64,'אנליסט '!A:K,9,0)+VLOOKUP('תפוקה מצטברת מול אשתקד'!A64,'מיטב דש'!A:K,9,0)+VLOOKUP('תפוקה מצטברת מול אשתקד'!A64,אינפניטי!A:K,9,0)</f>
        <v>0</v>
      </c>
      <c r="N64" s="12">
        <f>VLOOKUP(A64,הכשרה!A:K,10,0)+VLOOKUP('תפוקה מצטברת מול אשתקד'!A64,מגדל!A:K,10,0)+VLOOKUP('תפוקה מצטברת מול אשתקד'!A64,מנורה!A:K,10,0)+VLOOKUP('תפוקה מצטברת מול אשתקד'!A64,איילון!A:K,10,0)+VLOOKUP('תפוקה מצטברת מול אשתקד'!A64,הראל!A:K,10,0)+VLOOKUP('תפוקה מצטברת מול אשתקד'!A64,הפניקס!A:K,10,0)+VLOOKUP('תפוקה מצטברת מול אשתקד'!A64,כלל!A:K,10,0)+VLOOKUP('תפוקה מצטברת מול אשתקד'!A64,מור!A:K,10,0)+VLOOKUP('תפוקה מצטברת מול אשתקד'!A64,'אלטשולר שחם'!A:K,10,0)+VLOOKUP('תפוקה מצטברת מול אשתקד'!A64,'מדיהו '!A:K,10,0)+VLOOKUP('תפוקה מצטברת מול אשתקד'!A64,'אנליסט '!A:K,10,0)+VLOOKUP('תפוקה מצטברת מול אשתקד'!A64,'מיטב דש'!A:K,10,0)+VLOOKUP('תפוקה מצטברת מול אשתקד'!A64,אינפניטי!A:K,10,0)</f>
        <v>0</v>
      </c>
      <c r="O64" s="12">
        <f>VLOOKUP(A64,הכשרה!A:K,11,0)+VLOOKUP('תפוקה מצטברת מול אשתקד'!A64,מגדל!A:K,11,0)+VLOOKUP('תפוקה מצטברת מול אשתקד'!A64,מנורה!A:K,11,0)+VLOOKUP('תפוקה מצטברת מול אשתקד'!A64,איילון!A:K,11,0)+VLOOKUP('תפוקה מצטברת מול אשתקד'!A64,הראל!A:K,11,0)+VLOOKUP('תפוקה מצטברת מול אשתקד'!A64,הפניקס!A:K,11,0)+VLOOKUP('תפוקה מצטברת מול אשתקד'!A64,כלל!A:K,11,0)+VLOOKUP('תפוקה מצטברת מול אשתקד'!A64,מור!A:K,11,0)+VLOOKUP('תפוקה מצטברת מול אשתקד'!A64,'אלטשולר שחם'!A:K,11,0)+VLOOKUP('תפוקה מצטברת מול אשתקד'!A64,'מדיהו '!A:K,11,0)+VLOOKUP('תפוקה מצטברת מול אשתקד'!A64,'אנליסט '!A:K,11,0)+VLOOKUP('תפוקה מצטברת מול אשתקד'!A64,'מיטב דש'!A:K,11,0)+VLOOKUP('תפוקה מצטברת מול אשתקד'!A64,אינפניטי!A:K,11,0)</f>
        <v>0</v>
      </c>
    </row>
    <row r="65" spans="1:15" ht="15.75" customHeight="1" thickBot="1" x14ac:dyDescent="0.3">
      <c r="A65" s="30" t="s">
        <v>16</v>
      </c>
      <c r="B65" s="26" t="s">
        <v>114</v>
      </c>
      <c r="C65" s="27" t="s">
        <v>107</v>
      </c>
      <c r="D65" s="19">
        <f t="shared" si="15"/>
        <v>0</v>
      </c>
      <c r="E65" s="19">
        <f t="shared" si="15"/>
        <v>0</v>
      </c>
      <c r="F65" s="19">
        <f t="shared" si="15"/>
        <v>0</v>
      </c>
      <c r="G65" s="19">
        <f t="shared" si="5"/>
        <v>0</v>
      </c>
      <c r="H65" s="58">
        <f>VLOOKUP(A65,הכשרה!A:G,4,0)+VLOOKUP('תפוקה מצטברת מול אשתקד'!A65,מגדל!A:G,4,0)+VLOOKUP('תפוקה מצטברת מול אשתקד'!A65,מנורה!A:G,4,0)+VLOOKUP('תפוקה מצטברת מול אשתקד'!A65,איילון!A:G,4,0)+VLOOKUP('תפוקה מצטברת מול אשתקד'!A65,הראל!A:G,4,0)+VLOOKUP('תפוקה מצטברת מול אשתקד'!A65,הפניקס!A:G,4,0)+VLOOKUP('תפוקה מצטברת מול אשתקד'!A65,כלל!A:G,4,0)+VLOOKUP('תפוקה מצטברת מול אשתקד'!A65,מור!A:G,4,0)+VLOOKUP('תפוקה מצטברת מול אשתקד'!A65,'אלטשולר שחם'!A:G,4,0)+VLOOKUP('תפוקה מצטברת מול אשתקד'!A65,'מדיהו '!A:G,4,0)+VLOOKUP('תפוקה מצטברת מול אשתקד'!A65,'אנליסט '!A:G,4,0)+VLOOKUP('תפוקה מצטברת מול אשתקד'!A65,'מיטב דש'!A:G,4,0)+VLOOKUP('תפוקה מצטברת מול אשתקד'!A65,אינפניטי!A:G,4,0)</f>
        <v>0</v>
      </c>
      <c r="I65" s="58">
        <f>VLOOKUP(A65,הכשרה!A:G,5,0)+VLOOKUP('תפוקה מצטברת מול אשתקד'!A65,מגדל!A:G,5,0)+VLOOKUP('תפוקה מצטברת מול אשתקד'!A65,מנורה!A:G,5,0)+VLOOKUP('תפוקה מצטברת מול אשתקד'!A65,איילון!A:G,5,0)+VLOOKUP('תפוקה מצטברת מול אשתקד'!A65,הראל!A:G,5,0)+VLOOKUP('תפוקה מצטברת מול אשתקד'!A65,הפניקס!A:G,5,0)+VLOOKUP('תפוקה מצטברת מול אשתקד'!A65,כלל!A:G,5,0)+VLOOKUP('תפוקה מצטברת מול אשתקד'!A65,מור!A:G,5,0)+VLOOKUP('תפוקה מצטברת מול אשתקד'!A65,'אלטשולר שחם'!A:G,5,0)+VLOOKUP('תפוקה מצטברת מול אשתקד'!A65,'מדיהו '!A:G,5,0)+VLOOKUP('תפוקה מצטברת מול אשתקד'!A65,'אנליסט '!A:G,5,0)+VLOOKUP('תפוקה מצטברת מול אשתקד'!A65,'מיטב דש'!A:G,5,0)+VLOOKUP('תפוקה מצטברת מול אשתקד'!A65,אינפניטי!A:G,5,0)</f>
        <v>0</v>
      </c>
      <c r="J65" s="58">
        <f>VLOOKUP(A65,הכשרה!A:G,6,0)+VLOOKUP('תפוקה מצטברת מול אשתקד'!A65,מגדל!A:G,6,0)+VLOOKUP('תפוקה מצטברת מול אשתקד'!A65,מנורה!A:G,6,0)+VLOOKUP('תפוקה מצטברת מול אשתקד'!A65,איילון!A:G,6,0)+VLOOKUP(A65,הראל!A:G,6,0)+VLOOKUP('תפוקה מצטברת מול אשתקד'!A65,הפניקס!A:G,6,0)+VLOOKUP('תפוקה מצטברת מול אשתקד'!A65,כלל!A:G,6,0)+VLOOKUP('תפוקה מצטברת מול אשתקד'!A65,מור!A:G,6,0)+VLOOKUP('תפוקה מצטברת מול אשתקד'!A65,'אלטשולר שחם'!A:G,6,0)+VLOOKUP('תפוקה מצטברת מול אשתקד'!A65,'מדיהו '!A:G,6,0)+VLOOKUP('תפוקה מצטברת מול אשתקד'!A65,'אנליסט '!A:G,6,0)+VLOOKUP('תפוקה מצטברת מול אשתקד'!A65,'מיטב דש'!A:G,6,0)+VLOOKUP('תפוקה מצטברת מול אשתקד'!A65,אינפניטי!A:G,6,0)</f>
        <v>0</v>
      </c>
      <c r="K65" s="58">
        <f>VLOOKUP(A65,הכשרה!A:G,7,0)+VLOOKUP('תפוקה מצטברת מול אשתקד'!A65,מגדל!A:G,7,0)+VLOOKUP('תפוקה מצטברת מול אשתקד'!A65,מנורה!A:G,7,0)+VLOOKUP('תפוקה מצטברת מול אשתקד'!A65,איילון!A:G,7,0)+VLOOKUP('תפוקה מצטברת מול אשתקד'!A65,הראל!A:G,7,0)+VLOOKUP('תפוקה מצטברת מול אשתקד'!A65,הפניקס!A:G,7,0)+VLOOKUP('תפוקה מצטברת מול אשתקד'!A65,כלל!A:G,7,0)+VLOOKUP('תפוקה מצטברת מול אשתקד'!A65,מור!A:G,7,0)+VLOOKUP('תפוקה מצטברת מול אשתקד'!A65,'אלטשולר שחם'!A:G,7,0)+VLOOKUP('תפוקה מצטברת מול אשתקד'!A65,'מדיהו '!A:K,7,0)+VLOOKUP(A65,'אנליסט '!A:G,7,0)+VLOOKUP('תפוקה מצטברת מול אשתקד'!A65,'מיטב דש'!A:G,7,0)+VLOOKUP('תפוקה מצטברת מול אשתקד'!A65,אינפניטי!A:G,7,0)</f>
        <v>0</v>
      </c>
      <c r="L65" s="12">
        <f>VLOOKUP(A65,הכשרה!A:K,8,0)+VLOOKUP('תפוקה מצטברת מול אשתקד'!A65,מגדל!A:K,8,0)+VLOOKUP('תפוקה מצטברת מול אשתקד'!A65,מנורה!A:K,8,0)+VLOOKUP('תפוקה מצטברת מול אשתקד'!A65,איילון!A:K,8,0)+VLOOKUP('תפוקה מצטברת מול אשתקד'!A65,הראל!A:K,8,0)+VLOOKUP('תפוקה מצטברת מול אשתקד'!A65,הפניקס!A:K,8,0)+VLOOKUP('תפוקה מצטברת מול אשתקד'!A65,כלל!A:K,8,0)+VLOOKUP('תפוקה מצטברת מול אשתקד'!A65,מור!A:K,8,0)+VLOOKUP('תפוקה מצטברת מול אשתקד'!A65,'אלטשולר שחם'!A:K,8,0)+VLOOKUP('תפוקה מצטברת מול אשתקד'!A65,'מדיהו '!A:K,8,0)+VLOOKUP('תפוקה מצטברת מול אשתקד'!A65,'אנליסט '!A:K,8,0)+VLOOKUP('תפוקה מצטברת מול אשתקד'!A65,'מיטב דש'!A:K,8,0)+VLOOKUP('תפוקה מצטברת מול אשתקד'!A65,אינפניטי!A:K,8,0)</f>
        <v>0</v>
      </c>
      <c r="M65" s="12">
        <f>VLOOKUP(A65,הכשרה!A:K,9,0)+VLOOKUP('תפוקה מצטברת מול אשתקד'!A65,מגדל!A:K,9,0)+VLOOKUP('תפוקה מצטברת מול אשתקד'!A65,מנורה!A:K,9,0)+VLOOKUP('תפוקה מצטברת מול אשתקד'!A65,איילון!A:K,9,0)+VLOOKUP('תפוקה מצטברת מול אשתקד'!A65,הראל!A:K,9,0)+VLOOKUP('תפוקה מצטברת מול אשתקד'!A65,הפניקס!A:K,9,0)+VLOOKUP('תפוקה מצטברת מול אשתקד'!A65,כלל!A:K,9,0)+VLOOKUP('תפוקה מצטברת מול אשתקד'!A65,מור!A:K,9,0)+VLOOKUP('תפוקה מצטברת מול אשתקד'!A65,'אלטשולר שחם'!A:K,9,0)+VLOOKUP('תפוקה מצטברת מול אשתקד'!A65,'מדיהו '!A:K,9,0)+VLOOKUP('תפוקה מצטברת מול אשתקד'!A65,'אנליסט '!A:K,9,0)+VLOOKUP('תפוקה מצטברת מול אשתקד'!A65,'מיטב דש'!A:K,9,0)+VLOOKUP('תפוקה מצטברת מול אשתקד'!A65,אינפניטי!A:K,9,0)</f>
        <v>0</v>
      </c>
      <c r="N65" s="12">
        <f>VLOOKUP(A65,הכשרה!A:K,10,0)+VLOOKUP('תפוקה מצטברת מול אשתקד'!A65,מגדל!A:K,10,0)+VLOOKUP('תפוקה מצטברת מול אשתקד'!A65,מנורה!A:K,10,0)+VLOOKUP('תפוקה מצטברת מול אשתקד'!A65,איילון!A:K,10,0)+VLOOKUP('תפוקה מצטברת מול אשתקד'!A65,הראל!A:K,10,0)+VLOOKUP('תפוקה מצטברת מול אשתקד'!A65,הפניקס!A:K,10,0)+VLOOKUP('תפוקה מצטברת מול אשתקד'!A65,כלל!A:K,10,0)+VLOOKUP('תפוקה מצטברת מול אשתקד'!A65,מור!A:K,10,0)+VLOOKUP('תפוקה מצטברת מול אשתקד'!A65,'אלטשולר שחם'!A:K,10,0)+VLOOKUP('תפוקה מצטברת מול אשתקד'!A65,'מדיהו '!A:K,10,0)+VLOOKUP('תפוקה מצטברת מול אשתקד'!A65,'אנליסט '!A:K,10,0)+VLOOKUP('תפוקה מצטברת מול אשתקד'!A65,'מיטב דש'!A:K,10,0)+VLOOKUP('תפוקה מצטברת מול אשתקד'!A65,אינפניטי!A:K,10,0)</f>
        <v>0</v>
      </c>
      <c r="O65" s="12">
        <f>VLOOKUP(A65,הכשרה!A:K,11,0)+VLOOKUP('תפוקה מצטברת מול אשתקד'!A65,מגדל!A:K,11,0)+VLOOKUP('תפוקה מצטברת מול אשתקד'!A65,מנורה!A:K,11,0)+VLOOKUP('תפוקה מצטברת מול אשתקד'!A65,איילון!A:K,11,0)+VLOOKUP('תפוקה מצטברת מול אשתקד'!A65,הראל!A:K,11,0)+VLOOKUP('תפוקה מצטברת מול אשתקד'!A65,הפניקס!A:K,11,0)+VLOOKUP('תפוקה מצטברת מול אשתקד'!A65,כלל!A:K,11,0)+VLOOKUP('תפוקה מצטברת מול אשתקד'!A65,מור!A:K,11,0)+VLOOKUP('תפוקה מצטברת מול אשתקד'!A65,'אלטשולר שחם'!A:K,11,0)+VLOOKUP('תפוקה מצטברת מול אשתקד'!A65,'מדיהו '!A:K,11,0)+VLOOKUP('תפוקה מצטברת מול אשתקד'!A65,'אנליסט '!A:K,11,0)+VLOOKUP('תפוקה מצטברת מול אשתקד'!A65,'מיטב דש'!A:K,11,0)+VLOOKUP('תפוקה מצטברת מול אשתקד'!A65,אינפניטי!A:K,11,0)</f>
        <v>0</v>
      </c>
    </row>
    <row r="66" spans="1:15" ht="24.6" customHeight="1" thickBot="1" x14ac:dyDescent="0.3">
      <c r="A66" s="123" t="s">
        <v>116</v>
      </c>
      <c r="B66" s="121"/>
      <c r="C66" s="121"/>
      <c r="D66" s="126">
        <f t="shared" si="0"/>
        <v>-0.46999563892982554</v>
      </c>
      <c r="E66" s="126">
        <f t="shared" si="0"/>
        <v>-0.6170092387533852</v>
      </c>
      <c r="F66" s="126">
        <f t="shared" si="0"/>
        <v>2.3998965703635022E-2</v>
      </c>
      <c r="G66" s="19">
        <f t="shared" si="5"/>
        <v>0.85746859052243996</v>
      </c>
      <c r="H66" s="123">
        <f>SUM(H57:H65)</f>
        <v>1442528.0636326983</v>
      </c>
      <c r="I66" s="123">
        <f t="shared" ref="I66:O66" si="16">SUM(I57:I65)</f>
        <v>104130.16094462253</v>
      </c>
      <c r="J66" s="123">
        <f t="shared" si="16"/>
        <v>9968313.4537687283</v>
      </c>
      <c r="K66" s="123">
        <f t="shared" si="16"/>
        <v>7413429.9799999986</v>
      </c>
      <c r="L66" s="123">
        <f t="shared" si="16"/>
        <v>2721728.6678924183</v>
      </c>
      <c r="M66" s="123">
        <f t="shared" si="16"/>
        <v>271886.87425692554</v>
      </c>
      <c r="N66" s="123">
        <f t="shared" si="16"/>
        <v>9734690.9397697095</v>
      </c>
      <c r="O66" s="123">
        <f t="shared" si="16"/>
        <v>3991146.885511999</v>
      </c>
    </row>
    <row r="67" spans="1:15" ht="15.75" customHeight="1" x14ac:dyDescent="0.25">
      <c r="A67" s="26" t="s">
        <v>77</v>
      </c>
      <c r="B67" s="26" t="s">
        <v>108</v>
      </c>
      <c r="C67" s="27" t="s">
        <v>102</v>
      </c>
      <c r="D67" s="103">
        <f t="shared" si="0"/>
        <v>1.2935643855930268</v>
      </c>
      <c r="E67" s="103">
        <f t="shared" si="0"/>
        <v>1.4753105628833416</v>
      </c>
      <c r="F67" s="103">
        <f t="shared" si="0"/>
        <v>-0.21657036885199887</v>
      </c>
      <c r="G67" s="19">
        <f t="shared" si="5"/>
        <v>4.5714455144267356</v>
      </c>
      <c r="H67" s="58">
        <f>VLOOKUP(A67,הכשרה!A:G,4,0)+VLOOKUP('תפוקה מצטברת מול אשתקד'!A67,מגדל!A:G,4,0)+VLOOKUP('תפוקה מצטברת מול אשתקד'!A67,מנורה!A:G,4,0)+VLOOKUP('תפוקה מצטברת מול אשתקד'!A67,איילון!A:G,4,0)+VLOOKUP('תפוקה מצטברת מול אשתקד'!A67,הראל!A:G,4,0)+VLOOKUP('תפוקה מצטברת מול אשתקד'!A67,הפניקס!A:G,4,0)+VLOOKUP('תפוקה מצטברת מול אשתקד'!A67,כלל!A:G,4,0)+VLOOKUP('תפוקה מצטברת מול אשתקד'!A67,מור!A:G,4,0)+VLOOKUP('תפוקה מצטברת מול אשתקד'!A67,'אלטשולר שחם'!A:G,4,0)+VLOOKUP('תפוקה מצטברת מול אשתקד'!A67,'מדיהו '!A:G,4,0)+VLOOKUP('תפוקה מצטברת מול אשתקד'!A67,'אנליסט '!A:G,4,0)+VLOOKUP('תפוקה מצטברת מול אשתקד'!A67,'מיטב דש'!A:G,4,0)+VLOOKUP('תפוקה מצטברת מול אשתקד'!A67,אינפניטי!A:G,4,0)</f>
        <v>337758.70693217567</v>
      </c>
      <c r="I67" s="58">
        <f>VLOOKUP(A67,הכשרה!A:G,5,0)+VLOOKUP('תפוקה מצטברת מול אשתקד'!A67,מגדל!A:G,5,0)+VLOOKUP('תפוקה מצטברת מול אשתקד'!A67,מנורה!A:G,5,0)+VLOOKUP('תפוקה מצטברת מול אשתקד'!A67,איילון!A:G,5,0)+VLOOKUP('תפוקה מצטברת מול אשתקד'!A67,הראל!A:G,5,0)+VLOOKUP('תפוקה מצטברת מול אשתקד'!A67,הפניקס!A:G,5,0)+VLOOKUP('תפוקה מצטברת מול אשתקד'!A67,כלל!A:G,5,0)+VLOOKUP('תפוקה מצטברת מול אשתקד'!A67,מור!A:G,5,0)+VLOOKUP('תפוקה מצטברת מול אשתקד'!A67,'אלטשולר שחם'!A:G,5,0)+VLOOKUP('תפוקה מצטברת מול אשתקד'!A67,'מדיהו '!A:G,5,0)+VLOOKUP('תפוקה מצטברת מול אשתקד'!A67,'אנליסט '!A:G,5,0)+VLOOKUP('תפוקה מצטברת מול אשתקד'!A67,'מיטב דש'!A:G,5,0)+VLOOKUP('תפוקה מצטברת מול אשתקד'!A67,אינפניטי!A:G,5,0)</f>
        <v>27736.969833197552</v>
      </c>
      <c r="J67" s="58">
        <f>VLOOKUP(A67,הכשרה!A:G,6,0)+VLOOKUP('תפוקה מצטברת מול אשתקד'!A67,מגדל!A:G,6,0)+VLOOKUP('תפוקה מצטברת מול אשתקד'!A67,מנורה!A:G,6,0)+VLOOKUP('תפוקה מצטברת מול אשתקד'!A67,איילון!A:G,6,0)+VLOOKUP(A67,הראל!A:G,6,0)+VLOOKUP('תפוקה מצטברת מול אשתקד'!A67,הפניקס!A:G,6,0)+VLOOKUP('תפוקה מצטברת מול אשתקד'!A67,כלל!A:G,6,0)+VLOOKUP('תפוקה מצטברת מול אשתקד'!A67,מור!A:G,6,0)+VLOOKUP('תפוקה מצטברת מול אשתקד'!A67,'אלטשולר שחם'!A:G,6,0)+VLOOKUP('תפוקה מצטברת מול אשתקד'!A67,'מדיהו '!A:G,6,0)+VLOOKUP('תפוקה מצטברת מול אשתקד'!A67,'אנליסט '!A:G,6,0)+VLOOKUP('תפוקה מצטברת מול אשתקד'!A67,'מיטב דש'!A:G,6,0)+VLOOKUP('תפוקה מצטברת מול אשתקד'!A67,אינפניטי!A:G,6,0)</f>
        <v>4132463.1633651815</v>
      </c>
      <c r="K67" s="58">
        <f>VLOOKUP(A67,הכשרה!A:G,7,0)+VLOOKUP('תפוקה מצטברת מול אשתקד'!A67,מגדל!A:G,7,0)+VLOOKUP('תפוקה מצטברת מול אשתקד'!A67,מנורה!A:G,7,0)+VLOOKUP('תפוקה מצטברת מול אשתקד'!A67,איילון!A:G,7,0)+VLOOKUP('תפוקה מצטברת מול אשתקד'!A67,הראל!A:G,7,0)+VLOOKUP('תפוקה מצטברת מול אשתקד'!A67,הפניקס!A:G,7,0)+VLOOKUP('תפוקה מצטברת מול אשתקד'!A67,כלל!A:G,7,0)+VLOOKUP('תפוקה מצטברת מול אשתקד'!A67,מור!A:G,7,0)+VLOOKUP('תפוקה מצטברת מול אשתקד'!A67,'אלטשולר שחם'!A:G,7,0)+VLOOKUP('תפוקה מצטברת מול אשתקד'!A67,'מדיהו '!A:K,7,0)+VLOOKUP(A67,'אנליסט '!A:G,7,0)+VLOOKUP('תפוקה מצטברת מול אשתקד'!A67,'מיטב דש'!A:G,7,0)+VLOOKUP('תפוקה מצטברת מול אשתקד'!A67,אינפניטי!A:G,7,0)</f>
        <v>4151926.9000000004</v>
      </c>
      <c r="L67" s="12">
        <f>VLOOKUP(A67,הכשרה!A:K,8,0)+VLOOKUP('תפוקה מצטברת מול אשתקד'!A67,מגדל!A:K,8,0)+VLOOKUP('תפוקה מצטברת מול אשתקד'!A67,מנורה!A:K,8,0)+VLOOKUP('תפוקה מצטברת מול אשתקד'!A67,איילון!A:K,8,0)+VLOOKUP('תפוקה מצטברת מול אשתקד'!A67,הראל!A:K,8,0)+VLOOKUP('תפוקה מצטברת מול אשתקד'!A67,הפניקס!A:K,8,0)+VLOOKUP('תפוקה מצטברת מול אשתקד'!A67,כלל!A:K,8,0)+VLOOKUP('תפוקה מצטברת מול אשתקד'!A67,מור!A:K,8,0)+VLOOKUP('תפוקה מצטברת מול אשתקד'!A67,'אלטשולר שחם'!A:K,8,0)+VLOOKUP('תפוקה מצטברת מול אשתקד'!A67,'מדיהו '!A:K,8,0)+VLOOKUP('תפוקה מצטברת מול אשתקד'!A67,'אנליסט '!A:K,8,0)+VLOOKUP('תפוקה מצטברת מול אשתקד'!A67,'מיטב דש'!A:K,8,0)+VLOOKUP('תפוקה מצטברת מול אשתקד'!A67,אינפניטי!A:K,8,0)</f>
        <v>147263.66918399997</v>
      </c>
      <c r="M67" s="12">
        <f>VLOOKUP(A67,הכשרה!A:K,9,0)+VLOOKUP('תפוקה מצטברת מול אשתקד'!A67,מגדל!A:K,9,0)+VLOOKUP('תפוקה מצטברת מול אשתקד'!A67,מנורה!A:K,9,0)+VLOOKUP('תפוקה מצטברת מול אשתקד'!A67,איילון!A:K,9,0)+VLOOKUP('תפוקה מצטברת מול אשתקד'!A67,הראל!A:K,9,0)+VLOOKUP('תפוקה מצטברת מול אשתקד'!A67,הפניקס!A:K,9,0)+VLOOKUP('תפוקה מצטברת מול אשתקד'!A67,כלל!A:K,9,0)+VLOOKUP('תפוקה מצטברת מול אשתקד'!A67,מור!A:K,9,0)+VLOOKUP('תפוקה מצטברת מול אשתקד'!A67,'אלטשולר שחם'!A:K,9,0)+VLOOKUP('תפוקה מצטברת מול אשתקד'!A67,'מדיהו '!A:K,9,0)+VLOOKUP('תפוקה מצטברת מול אשתקד'!A67,'אנליסט '!A:K,9,0)+VLOOKUP('תפוקה מצטברת מול אשתקד'!A67,'מיטב דש'!A:K,9,0)+VLOOKUP('תפוקה מצטברת מול אשתקד'!A67,אינפניטי!A:K,9,0)</f>
        <v>11205.450438868733</v>
      </c>
      <c r="N67" s="12">
        <f>VLOOKUP(A67,הכשרה!A:K,10,0)+VLOOKUP('תפוקה מצטברת מול אשתקד'!A67,מגדל!A:K,10,0)+VLOOKUP('תפוקה מצטברת מול אשתקד'!A67,מנורה!A:K,10,0)+VLOOKUP('תפוקה מצטברת מול אשתקד'!A67,איילון!A:K,10,0)+VLOOKUP('תפוקה מצטברת מול אשתקד'!A67,הראל!A:K,10,0)+VLOOKUP('תפוקה מצטברת מול אשתקד'!A67,הפניקס!A:K,10,0)+VLOOKUP('תפוקה מצטברת מול אשתקד'!A67,כלל!A:K,10,0)+VLOOKUP('תפוקה מצטברת מול אשתקד'!A67,מור!A:K,10,0)+VLOOKUP('תפוקה מצטברת מול אשתקד'!A67,'אלטשולר שחם'!A:K,10,0)+VLOOKUP('תפוקה מצטברת מול אשתקד'!A67,'מדיהו '!A:K,10,0)+VLOOKUP('תפוקה מצטברת מול אשתקד'!A67,'אנליסט '!A:K,10,0)+VLOOKUP('תפוקה מצטברת מול אשתקד'!A67,'מיטב דש'!A:K,10,0)+VLOOKUP('תפוקה מצטברת מול אשתקד'!A67,אינפניטי!A:K,10,0)</f>
        <v>5274836.4359280914</v>
      </c>
      <c r="O67" s="12">
        <f>VLOOKUP(A67,הכשרה!A:K,11,0)+VLOOKUP('תפוקה מצטברת מול אשתקד'!A67,מגדל!A:K,11,0)+VLOOKUP('תפוקה מצטברת מול אשתקד'!A67,מנורה!A:K,11,0)+VLOOKUP('תפוקה מצטברת מול אשתקד'!A67,איילון!A:K,11,0)+VLOOKUP('תפוקה מצטברת מול אשתקד'!A67,הראל!A:K,11,0)+VLOOKUP('תפוקה מצטברת מול אשתקד'!A67,הפניקס!A:K,11,0)+VLOOKUP('תפוקה מצטברת מול אשתקד'!A67,כלל!A:K,11,0)+VLOOKUP('תפוקה מצטברת מול אשתקד'!A67,מור!A:K,11,0)+VLOOKUP('תפוקה מצטברת מול אשתקד'!A67,'אלטשולר שחם'!A:K,11,0)+VLOOKUP('תפוקה מצטברת מול אשתקד'!A67,'מדיהו '!A:K,11,0)+VLOOKUP('תפוקה מצטברת מול אשתקד'!A67,'אנליסט '!A:K,11,0)+VLOOKUP('תפוקה מצטברת מול אשתקד'!A67,'מיטב דש'!A:K,11,0)+VLOOKUP('תפוקה מצטברת מול אשתקד'!A67,אינפניטי!A:K,11,0)</f>
        <v>745215.38248000003</v>
      </c>
    </row>
    <row r="68" spans="1:15" ht="15.75" customHeight="1" x14ac:dyDescent="0.25">
      <c r="A68" s="30" t="s">
        <v>40</v>
      </c>
      <c r="B68" s="26" t="s">
        <v>56</v>
      </c>
      <c r="C68" s="26" t="s">
        <v>103</v>
      </c>
      <c r="D68" s="19">
        <f t="shared" si="0"/>
        <v>0.14032819760353954</v>
      </c>
      <c r="E68" s="19">
        <f t="shared" si="0"/>
        <v>9.8120258733032317E-2</v>
      </c>
      <c r="F68" s="19">
        <f t="shared" si="0"/>
        <v>0.43459391614246501</v>
      </c>
      <c r="G68" s="19">
        <f t="shared" si="5"/>
        <v>-1.8163674187745782E-2</v>
      </c>
      <c r="H68" s="58">
        <f>VLOOKUP(A68,הכשרה!A:G,4,0)+VLOOKUP('תפוקה מצטברת מול אשתקד'!A68,מגדל!A:G,4,0)+VLOOKUP('תפוקה מצטברת מול אשתקד'!A68,מנורה!A:G,4,0)+VLOOKUP('תפוקה מצטברת מול אשתקד'!A68,איילון!A:G,4,0)+VLOOKUP('תפוקה מצטברת מול אשתקד'!A68,הראל!A:G,4,0)+VLOOKUP('תפוקה מצטברת מול אשתקד'!A68,הפניקס!A:G,4,0)+VLOOKUP('תפוקה מצטברת מול אשתקד'!A68,כלל!A:G,4,0)+VLOOKUP('תפוקה מצטברת מול אשתקד'!A68,מור!A:G,4,0)+VLOOKUP('תפוקה מצטברת מול אשתקד'!A68,'אלטשולר שחם'!A:G,4,0)+VLOOKUP('תפוקה מצטברת מול אשתקד'!A68,'מדיהו '!A:G,4,0)+VLOOKUP('תפוקה מצטברת מול אשתקד'!A68,'אנליסט '!A:G,4,0)+VLOOKUP('תפוקה מצטברת מול אשתקד'!A68,'מיטב דש'!A:G,4,0)+VLOOKUP('תפוקה מצטברת מול אשתקד'!A68,אינפניטי!A:G,4,0)</f>
        <v>1719175.2290957137</v>
      </c>
      <c r="I68" s="58">
        <f>VLOOKUP(A68,הכשרה!A:G,5,0)+VLOOKUP('תפוקה מצטברת מול אשתקד'!A68,מגדל!A:G,5,0)+VLOOKUP('תפוקה מצטברת מול אשתקד'!A68,מנורה!A:G,5,0)+VLOOKUP('תפוקה מצטברת מול אשתקד'!A68,איילון!A:G,5,0)+VLOOKUP('תפוקה מצטברת מול אשתקד'!A68,הראל!A:G,5,0)+VLOOKUP('תפוקה מצטברת מול אשתקד'!A68,הפניקס!A:G,5,0)+VLOOKUP('תפוקה מצטברת מול אשתקד'!A68,כלל!A:G,5,0)+VLOOKUP('תפוקה מצטברת מול אשתקד'!A68,מור!A:G,5,0)+VLOOKUP('תפוקה מצטברת מול אשתקד'!A68,'אלטשולר שחם'!A:G,5,0)+VLOOKUP('תפוקה מצטברת מול אשתקד'!A68,'מדיהו '!A:G,5,0)+VLOOKUP('תפוקה מצטברת מול אשתקד'!A68,'אנליסט '!A:G,5,0)+VLOOKUP('תפוקה מצטברת מול אשתקד'!A68,'מיטב דש'!A:G,5,0)+VLOOKUP('תפוקה מצטברת מול אשתקד'!A68,אינפניטי!A:G,5,0)</f>
        <v>384962.8280000001</v>
      </c>
      <c r="J68" s="58">
        <f>VLOOKUP(A68,הכשרה!A:G,6,0)+VLOOKUP('תפוקה מצטברת מול אשתקד'!A68,מגדל!A:G,6,0)+VLOOKUP('תפוקה מצטברת מול אשתקד'!A68,מנורה!A:G,6,0)+VLOOKUP('תפוקה מצטברת מול אשתקד'!A68,איילון!A:G,6,0)+VLOOKUP(A68,הראל!A:G,6,0)+VLOOKUP('תפוקה מצטברת מול אשתקד'!A68,הפניקס!A:G,6,0)+VLOOKUP('תפוקה מצטברת מול אשתקד'!A68,כלל!A:G,6,0)+VLOOKUP('תפוקה מצטברת מול אשתקד'!A68,מור!A:G,6,0)+VLOOKUP('תפוקה מצטברת מול אשתקד'!A68,'אלטשולר שחם'!A:G,6,0)+VLOOKUP('תפוקה מצטברת מול אשתקד'!A68,'מדיהו '!A:G,6,0)+VLOOKUP('תפוקה מצטברת מול אשתקד'!A68,'אנליסט '!A:G,6,0)+VLOOKUP('תפוקה מצטברת מול אשתקד'!A68,'מיטב דש'!A:G,6,0)+VLOOKUP('תפוקה מצטברת מול אשתקד'!A68,אינפניטי!A:G,6,0)</f>
        <v>4367398.33</v>
      </c>
      <c r="K68" s="58">
        <f>VLOOKUP(A68,הכשרה!A:G,7,0)+VLOOKUP('תפוקה מצטברת מול אשתקד'!A68,מגדל!A:G,7,0)+VLOOKUP('תפוקה מצטברת מול אשתקד'!A68,מנורה!A:G,7,0)+VLOOKUP('תפוקה מצטברת מול אשתקד'!A68,איילון!A:G,7,0)+VLOOKUP('תפוקה מצטברת מול אשתקד'!A68,הראל!A:G,7,0)+VLOOKUP('תפוקה מצטברת מול אשתקד'!A68,הפניקס!A:G,7,0)+VLOOKUP('תפוקה מצטברת מול אשתקד'!A68,כלל!A:G,7,0)+VLOOKUP('תפוקה מצטברת מול אשתקד'!A68,מור!A:G,7,0)+VLOOKUP('תפוקה מצטברת מול אשתקד'!A68,'אלטשולר שחם'!A:G,7,0)+VLOOKUP('תפוקה מצטברת מול אשתקד'!A68,'מדיהו '!A:K,7,0)+VLOOKUP(A68,'אנליסט '!A:G,7,0)+VLOOKUP('תפוקה מצטברת מול אשתקד'!A68,'מיטב דש'!A:G,7,0)+VLOOKUP('תפוקה מצטברת מול אשתקד'!A68,אינפניטי!A:G,7,0)</f>
        <v>8179974.4100000001</v>
      </c>
      <c r="L68" s="12">
        <f>VLOOKUP(A68,הכשרה!A:K,8,0)+VLOOKUP('תפוקה מצטברת מול אשתקד'!A68,מגדל!A:K,8,0)+VLOOKUP('תפוקה מצטברת מול אשתקד'!A68,מנורה!A:K,8,0)+VLOOKUP('תפוקה מצטברת מול אשתקד'!A68,איילון!A:K,8,0)+VLOOKUP('תפוקה מצטברת מול אשתקד'!A68,הראל!A:K,8,0)+VLOOKUP('תפוקה מצטברת מול אשתקד'!A68,הפניקס!A:K,8,0)+VLOOKUP('תפוקה מצטברת מול אשתקד'!A68,כלל!A:K,8,0)+VLOOKUP('תפוקה מצטברת מול אשתקד'!A68,מור!A:K,8,0)+VLOOKUP('תפוקה מצטברת מול אשתקד'!A68,'אלטשולר שחם'!A:K,8,0)+VLOOKUP('תפוקה מצטברת מול אשתקד'!A68,'מדיהו '!A:K,8,0)+VLOOKUP('תפוקה מצטברת מול אשתקד'!A68,'אנליסט '!A:K,8,0)+VLOOKUP('תפוקה מצטברת מול אשתקד'!A68,'מיטב דש'!A:K,8,0)+VLOOKUP('תפוקה מצטברת מול אשתקד'!A68,אינפניטי!A:K,8,0)</f>
        <v>1507614.4154890249</v>
      </c>
      <c r="M68" s="12">
        <f>VLOOKUP(A68,הכשרה!A:K,9,0)+VLOOKUP('תפוקה מצטברת מול אשתקד'!A68,מגדל!A:K,9,0)+VLOOKUP('תפוקה מצטברת מול אשתקד'!A68,מנורה!A:K,9,0)+VLOOKUP('תפוקה מצטברת מול אשתקד'!A68,איילון!A:K,9,0)+VLOOKUP('תפוקה מצטברת מול אשתקד'!A68,הראל!A:K,9,0)+VLOOKUP('תפוקה מצטברת מול אשתקד'!A68,הפניקס!A:K,9,0)+VLOOKUP('תפוקה מצטברת מול אשתקד'!A68,כלל!A:K,9,0)+VLOOKUP('תפוקה מצטברת מול אשתקד'!A68,מור!A:K,9,0)+VLOOKUP('תפוקה מצטברת מול אשתקד'!A68,'אלטשולר שחם'!A:K,9,0)+VLOOKUP('תפוקה מצטברת מול אשתקד'!A68,'מדיהו '!A:K,9,0)+VLOOKUP('תפוקה מצטברת מול אשתקד'!A68,'אנליסט '!A:K,9,0)+VLOOKUP('תפוקה מצטברת מול אשתקד'!A68,'מיטב דש'!A:K,9,0)+VLOOKUP('תפוקה מצטברת מול אשתקד'!A68,אינפניטי!A:K,9,0)</f>
        <v>350565.27273629844</v>
      </c>
      <c r="N68" s="12">
        <f>VLOOKUP(A68,הכשרה!A:K,10,0)+VLOOKUP('תפוקה מצטברת מול אשתקד'!A68,מגדל!A:K,10,0)+VLOOKUP('תפוקה מצטברת מול אשתקד'!A68,מנורה!A:K,10,0)+VLOOKUP('תפוקה מצטברת מול אשתקד'!A68,איילון!A:K,10,0)+VLOOKUP('תפוקה מצטברת מול אשתקד'!A68,הראל!A:K,10,0)+VLOOKUP('תפוקה מצטברת מול אשתקד'!A68,הפניקס!A:K,10,0)+VLOOKUP('תפוקה מצטברת מול אשתקד'!A68,כלל!A:K,10,0)+VLOOKUP('תפוקה מצטברת מול אשתקד'!A68,מור!A:K,10,0)+VLOOKUP('תפוקה מצטברת מול אשתקד'!A68,'אלטשולר שחם'!A:K,10,0)+VLOOKUP('תפוקה מצטברת מול אשתקד'!A68,'מדיהו '!A:K,10,0)+VLOOKUP('תפוקה מצטברת מול אשתקד'!A68,'אנליסט '!A:K,10,0)+VLOOKUP('תפוקה מצטברת מול אשתקד'!A68,'מיטב דש'!A:K,10,0)+VLOOKUP('תפוקה מצטברת מול אשתקד'!A68,אינפניטי!A:K,10,0)</f>
        <v>3044344.6614799998</v>
      </c>
      <c r="O68" s="12">
        <f>VLOOKUP(A68,הכשרה!A:K,11,0)+VLOOKUP('תפוקה מצטברת מול אשתקד'!A68,מגדל!A:K,11,0)+VLOOKUP('תפוקה מצטברת מול אשתקד'!A68,מנורה!A:K,11,0)+VLOOKUP('תפוקה מצטברת מול אשתקד'!A68,איילון!A:K,11,0)+VLOOKUP('תפוקה מצטברת מול אשתקד'!A68,הראל!A:K,11,0)+VLOOKUP('תפוקה מצטברת מול אשתקד'!A68,הפניקס!A:K,11,0)+VLOOKUP('תפוקה מצטברת מול אשתקד'!A68,כלל!A:K,11,0)+VLOOKUP('תפוקה מצטברת מול אשתקד'!A68,מור!A:K,11,0)+VLOOKUP('תפוקה מצטברת מול אשתקד'!A68,'אלטשולר שחם'!A:K,11,0)+VLOOKUP('תפוקה מצטברת מול אשתקד'!A68,'מדיהו '!A:K,11,0)+VLOOKUP('תפוקה מצטברת מול אשתקד'!A68,'אנליסט '!A:K,11,0)+VLOOKUP('תפוקה מצטברת מול אשתקד'!A68,'מיטב דש'!A:K,11,0)+VLOOKUP('תפוקה מצטברת מול אשתקד'!A68,אינפניטי!A:K,11,0)</f>
        <v>8331301.4551919997</v>
      </c>
    </row>
    <row r="69" spans="1:15" ht="15.75" customHeight="1" x14ac:dyDescent="0.25">
      <c r="A69" s="26" t="s">
        <v>90</v>
      </c>
      <c r="B69" s="26" t="s">
        <v>108</v>
      </c>
      <c r="C69" s="26" t="s">
        <v>103</v>
      </c>
      <c r="D69" s="19">
        <f t="shared" si="0"/>
        <v>0</v>
      </c>
      <c r="E69" s="19">
        <f t="shared" si="0"/>
        <v>-1.0731811797544393</v>
      </c>
      <c r="F69" s="19">
        <f t="shared" si="0"/>
        <v>-0.86496931079907302</v>
      </c>
      <c r="G69" s="19">
        <f t="shared" si="5"/>
        <v>0</v>
      </c>
      <c r="H69" s="58">
        <f>VLOOKUP(A69,הכשרה!A:G,4,0)+VLOOKUP('תפוקה מצטברת מול אשתקד'!A69,מגדל!A:G,4,0)+VLOOKUP('תפוקה מצטברת מול אשתקד'!A69,מנורה!A:G,4,0)+VLOOKUP('תפוקה מצטברת מול אשתקד'!A69,איילון!A:G,4,0)+VLOOKUP('תפוקה מצטברת מול אשתקד'!A69,הראל!A:G,4,0)+VLOOKUP('תפוקה מצטברת מול אשתקד'!A69,הפניקס!A:G,4,0)+VLOOKUP('תפוקה מצטברת מול אשתקד'!A69,כלל!A:G,4,0)+VLOOKUP('תפוקה מצטברת מול אשתקד'!A69,מור!A:G,4,0)+VLOOKUP('תפוקה מצטברת מול אשתקד'!A69,'אלטשולר שחם'!A:G,4,0)+VLOOKUP('תפוקה מצטברת מול אשתקד'!A69,'מדיהו '!A:G,4,0)+VLOOKUP('תפוקה מצטברת מול אשתקד'!A69,'אנליסט '!A:G,4,0)+VLOOKUP('תפוקה מצטברת מול אשתקד'!A69,'מיטב דש'!A:G,4,0)+VLOOKUP('תפוקה מצטברת מול אשתקד'!A69,אינפניטי!A:G,4,0)</f>
        <v>0</v>
      </c>
      <c r="I69" s="58">
        <f>VLOOKUP(A69,הכשרה!A:G,5,0)+VLOOKUP('תפוקה מצטברת מול אשתקד'!A69,מגדל!A:G,5,0)+VLOOKUP('תפוקה מצטברת מול אשתקד'!A69,מנורה!A:G,5,0)+VLOOKUP('תפוקה מצטברת מול אשתקד'!A69,איילון!A:G,5,0)+VLOOKUP('תפוקה מצטברת מול אשתקד'!A69,הראל!A:G,5,0)+VLOOKUP('תפוקה מצטברת מול אשתקד'!A69,הפניקס!A:G,5,0)+VLOOKUP('תפוקה מצטברת מול אשתקד'!A69,כלל!A:G,5,0)+VLOOKUP('תפוקה מצטברת מול אשתקד'!A69,מור!A:G,5,0)+VLOOKUP('תפוקה מצטברת מול אשתקד'!A69,'אלטשולר שחם'!A:G,5,0)+VLOOKUP('תפוקה מצטברת מול אשתקד'!A69,'מדיהו '!A:G,5,0)+VLOOKUP('תפוקה מצטברת מול אשתקד'!A69,'אנליסט '!A:G,5,0)+VLOOKUP('תפוקה מצטברת מול אשתקד'!A69,'מיטב דש'!A:G,5,0)+VLOOKUP('תפוקה מצטברת מול אשתקד'!A69,אינפניטי!A:G,5,0)</f>
        <v>-1569.506516828294</v>
      </c>
      <c r="J69" s="58">
        <f>VLOOKUP(A69,הכשרה!A:G,6,0)+VLOOKUP('תפוקה מצטברת מול אשתקד'!A69,מגדל!A:G,6,0)+VLOOKUP('תפוקה מצטברת מול אשתקד'!A69,מנורה!A:G,6,0)+VLOOKUP('תפוקה מצטברת מול אשתקד'!A69,איילון!A:G,6,0)+VLOOKUP(A69,הראל!A:G,6,0)+VLOOKUP('תפוקה מצטברת מול אשתקד'!A69,הפניקס!A:G,6,0)+VLOOKUP('תפוקה מצטברת מול אשתקד'!A69,כלל!A:G,6,0)+VLOOKUP('תפוקה מצטברת מול אשתקד'!A69,מור!A:G,6,0)+VLOOKUP('תפוקה מצטברת מול אשתקד'!A69,'אלטשולר שחם'!A:G,6,0)+VLOOKUP('תפוקה מצטברת מול אשתקד'!A69,'מדיהו '!A:G,6,0)+VLOOKUP('תפוקה מצטברת מול אשתקד'!A69,'אנליסט '!A:G,6,0)+VLOOKUP('תפוקה מצטברת מול אשתקד'!A69,'מיטב דש'!A:G,6,0)+VLOOKUP('תפוקה מצטברת מול אשתקד'!A69,אינפניטי!A:G,6,0)</f>
        <v>10532.36</v>
      </c>
      <c r="K69" s="58">
        <f>VLOOKUP(A69,הכשרה!A:G,7,0)+VLOOKUP('תפוקה מצטברת מול אשתקד'!A69,מגדל!A:G,7,0)+VLOOKUP('תפוקה מצטברת מול אשתקד'!A69,מנורה!A:G,7,0)+VLOOKUP('תפוקה מצטברת מול אשתקד'!A69,איילון!A:G,7,0)+VLOOKUP('תפוקה מצטברת מול אשתקד'!A69,הראל!A:G,7,0)+VLOOKUP('תפוקה מצטברת מול אשתקד'!A69,הפניקס!A:G,7,0)+VLOOKUP('תפוקה מצטברת מול אשתקד'!A69,כלל!A:G,7,0)+VLOOKUP('תפוקה מצטברת מול אשתקד'!A69,מור!A:G,7,0)+VLOOKUP('תפוקה מצטברת מול אשתקד'!A69,'אלטשולר שחם'!A:G,7,0)+VLOOKUP('תפוקה מצטברת מול אשתקד'!A69,'מדיהו '!A:K,7,0)+VLOOKUP(A69,'אנליסט '!A:G,7,0)+VLOOKUP('תפוקה מצטברת מול אשתקד'!A69,'מיטב דש'!A:G,7,0)+VLOOKUP('תפוקה מצטברת מול אשתקד'!A69,אינפניטי!A:G,7,0)</f>
        <v>0</v>
      </c>
      <c r="L69" s="12">
        <f>VLOOKUP(A69,הכשרה!A:K,8,0)+VLOOKUP('תפוקה מצטברת מול אשתקד'!A69,מגדל!A:K,8,0)+VLOOKUP('תפוקה מצטברת מול אשתקד'!A69,מנורה!A:K,8,0)+VLOOKUP('תפוקה מצטברת מול אשתקד'!A69,איילון!A:K,8,0)+VLOOKUP('תפוקה מצטברת מול אשתקד'!A69,הראל!A:K,8,0)+VLOOKUP('תפוקה מצטברת מול אשתקד'!A69,הפניקס!A:K,8,0)+VLOOKUP('תפוקה מצטברת מול אשתקד'!A69,כלל!A:K,8,0)+VLOOKUP('תפוקה מצטברת מול אשתקד'!A69,מור!A:K,8,0)+VLOOKUP('תפוקה מצטברת מול אשתקד'!A69,'אלטשולר שחם'!A:K,8,0)+VLOOKUP('תפוקה מצטברת מול אשתקד'!A69,'מדיהו '!A:K,8,0)+VLOOKUP('תפוקה מצטברת מול אשתקד'!A69,'אנליסט '!A:K,8,0)+VLOOKUP('תפוקה מצטברת מול אשתקד'!A69,'מיטב דש'!A:K,8,0)+VLOOKUP('תפוקה מצטברת מול אשתקד'!A69,אינפניטי!A:K,8,0)</f>
        <v>52808.640000000007</v>
      </c>
      <c r="M69" s="12">
        <f>VLOOKUP(A69,הכשרה!A:K,9,0)+VLOOKUP('תפוקה מצטברת מול אשתקד'!A69,מגדל!A:K,9,0)+VLOOKUP('תפוקה מצטברת מול אשתקד'!A69,מנורה!A:K,9,0)+VLOOKUP('תפוקה מצטברת מול אשתקד'!A69,איילון!A:K,9,0)+VLOOKUP('תפוקה מצטברת מול אשתקד'!A69,הראל!A:K,9,0)+VLOOKUP('תפוקה מצטברת מול אשתקד'!A69,הפניקס!A:K,9,0)+VLOOKUP('תפוקה מצטברת מול אשתקד'!A69,כלל!A:K,9,0)+VLOOKUP('תפוקה מצטברת מול אשתקד'!A69,מור!A:K,9,0)+VLOOKUP('תפוקה מצטברת מול אשתקד'!A69,'אלטשולר שחם'!A:K,9,0)+VLOOKUP('תפוקה מצטברת מול אשתקד'!A69,'מדיהו '!A:K,9,0)+VLOOKUP('תפוקה מצטברת מול אשתקד'!A69,'אנליסט '!A:K,9,0)+VLOOKUP('תפוקה מצטברת מול אשתקד'!A69,'מיטב דש'!A:K,9,0)+VLOOKUP('תפוקה מצטברת מול אשתקד'!A69,אינפניטי!A:K,9,0)</f>
        <v>21446.86</v>
      </c>
      <c r="N69" s="12">
        <f>VLOOKUP(A69,הכשרה!A:K,10,0)+VLOOKUP('תפוקה מצטברת מול אשתקד'!A69,מגדל!A:K,10,0)+VLOOKUP('תפוקה מצטברת מול אשתקד'!A69,מנורה!A:K,10,0)+VLOOKUP('תפוקה מצטברת מול אשתקד'!A69,איילון!A:K,10,0)+VLOOKUP('תפוקה מצטברת מול אשתקד'!A69,הראל!A:K,10,0)+VLOOKUP('תפוקה מצטברת מול אשתקד'!A69,הפניקס!A:K,10,0)+VLOOKUP('תפוקה מצטברת מול אשתקד'!A69,כלל!A:K,10,0)+VLOOKUP('תפוקה מצטברת מול אשתקד'!A69,מור!A:K,10,0)+VLOOKUP('תפוקה מצטברת מול אשתקד'!A69,'אלטשולר שחם'!A:K,10,0)+VLOOKUP('תפוקה מצטברת מול אשתקד'!A69,'מדיהו '!A:K,10,0)+VLOOKUP('תפוקה מצטברת מול אשתקד'!A69,'אנליסט '!A:K,10,0)+VLOOKUP('תפוקה מצטברת מול אשתקד'!A69,'מיטב דש'!A:K,10,0)+VLOOKUP('תפוקה מצטברת מול אשתקד'!A69,אינפניטי!A:K,10,0)</f>
        <v>77999.75</v>
      </c>
      <c r="O69" s="12">
        <f>VLOOKUP(A69,הכשרה!A:K,11,0)+VLOOKUP('תפוקה מצטברת מול אשתקד'!A69,מגדל!A:K,11,0)+VLOOKUP('תפוקה מצטברת מול אשתקד'!A69,מנורה!A:K,11,0)+VLOOKUP('תפוקה מצטברת מול אשתקד'!A69,איילון!A:K,11,0)+VLOOKUP('תפוקה מצטברת מול אשתקד'!A69,הראל!A:K,11,0)+VLOOKUP('תפוקה מצטברת מול אשתקד'!A69,הפניקס!A:K,11,0)+VLOOKUP('תפוקה מצטברת מול אשתקד'!A69,כלל!A:K,11,0)+VLOOKUP('תפוקה מצטברת מול אשתקד'!A69,מור!A:K,11,0)+VLOOKUP('תפוקה מצטברת מול אשתקד'!A69,'אלטשולר שחם'!A:K,11,0)+VLOOKUP('תפוקה מצטברת מול אשתקד'!A69,'מדיהו '!A:K,11,0)+VLOOKUP('תפוקה מצטברת מול אשתקד'!A69,'אנליסט '!A:K,11,0)+VLOOKUP('תפוקה מצטברת מול אשתקד'!A69,'מיטב דש'!A:K,11,0)+VLOOKUP('תפוקה מצטברת מול אשתקד'!A69,אינפניטי!A:K,11,0)</f>
        <v>790363.03</v>
      </c>
    </row>
    <row r="70" spans="1:15" ht="15.75" customHeight="1" x14ac:dyDescent="0.25">
      <c r="A70" s="26" t="s">
        <v>92</v>
      </c>
      <c r="B70" s="26" t="s">
        <v>56</v>
      </c>
      <c r="C70" s="26" t="s">
        <v>103</v>
      </c>
      <c r="D70" s="19">
        <f t="shared" ref="D70:F76" si="17">IF(H70=0,0%,IF(L70=0,100%,H70/L70-1))</f>
        <v>1.5614210747050428</v>
      </c>
      <c r="E70" s="19">
        <f t="shared" si="17"/>
        <v>-1.0643022569848726</v>
      </c>
      <c r="F70" s="19">
        <f t="shared" si="17"/>
        <v>3.6463715115159872</v>
      </c>
      <c r="G70" s="19">
        <f t="shared" si="5"/>
        <v>16.196340477773802</v>
      </c>
      <c r="H70" s="58">
        <f>VLOOKUP(A70,הכשרה!A:G,4,0)+VLOOKUP('תפוקה מצטברת מול אשתקד'!A70,מגדל!A:G,4,0)+VLOOKUP('תפוקה מצטברת מול אשתקד'!A70,מנורה!A:G,4,0)+VLOOKUP('תפוקה מצטברת מול אשתקד'!A70,איילון!A:G,4,0)+VLOOKUP('תפוקה מצטברת מול אשתקד'!A70,הראל!A:G,4,0)+VLOOKUP('תפוקה מצטברת מול אשתקד'!A70,הפניקס!A:G,4,0)+VLOOKUP('תפוקה מצטברת מול אשתקד'!A70,כלל!A:G,4,0)+VLOOKUP('תפוקה מצטברת מול אשתקד'!A70,מור!A:G,4,0)+VLOOKUP('תפוקה מצטברת מול אשתקד'!A70,'אלטשולר שחם'!A:G,4,0)+VLOOKUP('תפוקה מצטברת מול אשתקד'!A70,'מדיהו '!A:G,4,0)+VLOOKUP('תפוקה מצטברת מול אשתקד'!A70,'אנליסט '!A:G,4,0)+VLOOKUP('תפוקה מצטברת מול אשתקד'!A70,'מיטב דש'!A:G,4,0)+VLOOKUP('תפוקה מצטברת מול אשתקד'!A70,אינפניטי!A:G,4,0)</f>
        <v>142420.15062000003</v>
      </c>
      <c r="I70" s="58">
        <f>VLOOKUP(A70,הכשרה!A:G,5,0)+VLOOKUP('תפוקה מצטברת מול אשתקד'!A70,מגדל!A:G,5,0)+VLOOKUP('תפוקה מצטברת מול אשתקד'!A70,מנורה!A:G,5,0)+VLOOKUP('תפוקה מצטברת מול אשתקד'!A70,איילון!A:G,5,0)+VLOOKUP('תפוקה מצטברת מול אשתקד'!A70,הראל!A:G,5,0)+VLOOKUP('תפוקה מצטברת מול אשתקד'!A70,הפניקס!A:G,5,0)+VLOOKUP('תפוקה מצטברת מול אשתקד'!A70,כלל!A:G,5,0)+VLOOKUP('תפוקה מצטברת מול אשתקד'!A70,מור!A:G,5,0)+VLOOKUP('תפוקה מצטברת מול אשתקד'!A70,'אלטשולר שחם'!A:G,5,0)+VLOOKUP('תפוקה מצטברת מול אשתקד'!A70,'מדיהו '!A:G,5,0)+VLOOKUP('תפוקה מצטברת מול אשתקד'!A70,'אנליסט '!A:G,5,0)+VLOOKUP('תפוקה מצטברת מול אשתקד'!A70,'מיטב דש'!A:G,5,0)+VLOOKUP('תפוקה מצטברת מול אשתקד'!A70,אינפניטי!A:G,5,0)</f>
        <v>-294.16349989090099</v>
      </c>
      <c r="J70" s="58">
        <f>VLOOKUP(A70,הכשרה!A:G,6,0)+VLOOKUP('תפוקה מצטברת מול אשתקד'!A70,מגדל!A:G,6,0)+VLOOKUP('תפוקה מצטברת מול אשתקד'!A70,מנורה!A:G,6,0)+VLOOKUP('תפוקה מצטברת מול אשתקד'!A70,איילון!A:G,6,0)+VLOOKUP(A70,הראל!A:G,6,0)+VLOOKUP('תפוקה מצטברת מול אשתקד'!A70,הפניקס!A:G,6,0)+VLOOKUP('תפוקה מצטברת מול אשתקד'!A70,כלל!A:G,6,0)+VLOOKUP('תפוקה מצטברת מול אשתקד'!A70,מור!A:G,6,0)+VLOOKUP('תפוקה מצטברת מול אשתקד'!A70,'אלטשולר שחם'!A:G,6,0)+VLOOKUP('תפוקה מצטברת מול אשתקד'!A70,'מדיהו '!A:G,6,0)+VLOOKUP('תפוקה מצטברת מול אשתקד'!A70,'אנליסט '!A:G,6,0)+VLOOKUP('תפוקה מצטברת מול אשתקד'!A70,'מיטב דש'!A:G,6,0)+VLOOKUP('תפוקה מצטברת מול אשתקד'!A70,אינפניטי!A:G,6,0)</f>
        <v>44968.63</v>
      </c>
      <c r="K70" s="58">
        <f>VLOOKUP(A70,הכשרה!A:G,7,0)+VLOOKUP('תפוקה מצטברת מול אשתקד'!A70,מגדל!A:G,7,0)+VLOOKUP('תפוקה מצטברת מול אשתקד'!A70,מנורה!A:G,7,0)+VLOOKUP('תפוקה מצטברת מול אשתקד'!A70,איילון!A:G,7,0)+VLOOKUP('תפוקה מצטברת מול אשתקד'!A70,הראל!A:G,7,0)+VLOOKUP('תפוקה מצטברת מול אשתקד'!A70,הפניקס!A:G,7,0)+VLOOKUP('תפוקה מצטברת מול אשתקד'!A70,כלל!A:G,7,0)+VLOOKUP('תפוקה מצטברת מול אשתקד'!A70,מור!A:G,7,0)+VLOOKUP('תפוקה מצטברת מול אשתקד'!A70,'אלטשולר שחם'!A:G,7,0)+VLOOKUP('תפוקה מצטברת מול אשתקד'!A70,'מדיהו '!A:K,7,0)+VLOOKUP(A70,'אנליסט '!A:G,7,0)+VLOOKUP('תפוקה מצטברת מול אשתקד'!A70,'מיטב דש'!A:G,7,0)+VLOOKUP('תפוקה מצטברת מול אשתקד'!A70,אינפניטי!A:G,7,0)</f>
        <v>1512770.67</v>
      </c>
      <c r="L70" s="12">
        <f>VLOOKUP(A70,הכשרה!A:K,8,0)+VLOOKUP('תפוקה מצטברת מול אשתקד'!A70,מגדל!A:K,8,0)+VLOOKUP('תפוקה מצטברת מול אשתקד'!A70,מנורה!A:K,8,0)+VLOOKUP('תפוקה מצטברת מול אשתקד'!A70,איילון!A:K,8,0)+VLOOKUP('תפוקה מצטברת מול אשתקד'!A70,הראל!A:K,8,0)+VLOOKUP('תפוקה מצטברת מול אשתקד'!A70,הפניקס!A:K,8,0)+VLOOKUP('תפוקה מצטברת מול אשתקד'!A70,כלל!A:K,8,0)+VLOOKUP('תפוקה מצטברת מול אשתקד'!A70,מור!A:K,8,0)+VLOOKUP('תפוקה מצטברת מול אשתקד'!A70,'אלטשולר שחם'!A:K,8,0)+VLOOKUP('תפוקה מצטברת מול אשתקד'!A70,'מדיהו '!A:K,8,0)+VLOOKUP('תפוקה מצטברת מול אשתקד'!A70,'אנליסט '!A:K,8,0)+VLOOKUP('תפוקה מצטברת מול אשתקד'!A70,'מיטב דש'!A:K,8,0)+VLOOKUP('תפוקה מצטברת מול אשתקד'!A70,אינפניטי!A:K,8,0)</f>
        <v>55602.006256000001</v>
      </c>
      <c r="M70" s="12">
        <f>VLOOKUP(A70,הכשרה!A:K,9,0)+VLOOKUP('תפוקה מצטברת מול אשתקד'!A70,מגדל!A:K,9,0)+VLOOKUP('תפוקה מצטברת מול אשתקד'!A70,מנורה!A:K,9,0)+VLOOKUP('תפוקה מצטברת מול אשתקד'!A70,איילון!A:K,9,0)+VLOOKUP('תפוקה מצטברת מול אשתקד'!A70,הראל!A:K,9,0)+VLOOKUP('תפוקה מצטברת מול אשתקד'!A70,הפניקס!A:K,9,0)+VLOOKUP('תפוקה מצטברת מול אשתקד'!A70,כלל!A:K,9,0)+VLOOKUP('תפוקה מצטברת מול אשתקד'!A70,מור!A:K,9,0)+VLOOKUP('תפוקה מצטברת מול אשתקד'!A70,'אלטשולר שחם'!A:K,9,0)+VLOOKUP('תפוקה מצטברת מול אשתקד'!A70,'מדיהו '!A:K,9,0)+VLOOKUP('תפוקה מצטברת מול אשתקד'!A70,'אנליסט '!A:K,9,0)+VLOOKUP('תפוקה מצטברת מול אשתקד'!A70,'מיטב דש'!A:K,9,0)+VLOOKUP('תפוקה מצטברת מול אשתקד'!A70,אינפניטי!A:K,9,0)</f>
        <v>4574.6994535526946</v>
      </c>
      <c r="N70" s="12">
        <f>VLOOKUP(A70,הכשרה!A:K,10,0)+VLOOKUP('תפוקה מצטברת מול אשתקד'!A70,מגדל!A:K,10,0)+VLOOKUP('תפוקה מצטברת מול אשתקד'!A70,מנורה!A:K,10,0)+VLOOKUP('תפוקה מצטברת מול אשתקד'!A70,איילון!A:K,10,0)+VLOOKUP('תפוקה מצטברת מול אשתקד'!A70,הראל!A:K,10,0)+VLOOKUP('תפוקה מצטברת מול אשתקד'!A70,הפניקס!A:K,10,0)+VLOOKUP('תפוקה מצטברת מול אשתקד'!A70,כלל!A:K,10,0)+VLOOKUP('תפוקה מצטברת מול אשתקד'!A70,מור!A:K,10,0)+VLOOKUP('תפוקה מצטברת מול אשתקד'!A70,'אלטשולר שחם'!A:K,10,0)+VLOOKUP('תפוקה מצטברת מול אשתקד'!A70,'מדיהו '!A:K,10,0)+VLOOKUP('תפוקה מצטברת מול אשתקד'!A70,'אנליסט '!A:K,10,0)+VLOOKUP('תפוקה מצטברת מול אשתקד'!A70,'מיטב דש'!A:K,10,0)+VLOOKUP('תפוקה מצטברת מול אשתקד'!A70,אינפניטי!A:K,10,0)</f>
        <v>9678.2252319999989</v>
      </c>
      <c r="O70" s="12">
        <f>VLOOKUP(A70,הכשרה!A:K,11,0)+VLOOKUP('תפוקה מצטברת מול אשתקד'!A70,מגדל!A:K,11,0)+VLOOKUP('תפוקה מצטברת מול אשתקד'!A70,מנורה!A:K,11,0)+VLOOKUP('תפוקה מצטברת מול אשתקד'!A70,איילון!A:K,11,0)+VLOOKUP('תפוקה מצטברת מול אשתקד'!A70,הראל!A:K,11,0)+VLOOKUP('תפוקה מצטברת מול אשתקד'!A70,הפניקס!A:K,11,0)+VLOOKUP('תפוקה מצטברת מול אשתקד'!A70,כלל!A:K,11,0)+VLOOKUP('תפוקה מצטברת מול אשתקד'!A70,מור!A:K,11,0)+VLOOKUP('תפוקה מצטברת מול אשתקד'!A70,'אלטשולר שחם'!A:K,11,0)+VLOOKUP('תפוקה מצטברת מול אשתקד'!A70,'מדיהו '!A:K,11,0)+VLOOKUP('תפוקה מצטברת מול אשתקד'!A70,'אנליסט '!A:K,11,0)+VLOOKUP('תפוקה מצטברת מול אשתקד'!A70,'מיטב דש'!A:K,11,0)+VLOOKUP('תפוקה מצטברת מול אשתקד'!A70,אינפניטי!A:K,11,0)</f>
        <v>87970.499999999985</v>
      </c>
    </row>
    <row r="71" spans="1:15" ht="15.75" customHeight="1" x14ac:dyDescent="0.25">
      <c r="A71" s="26" t="s">
        <v>93</v>
      </c>
      <c r="B71" s="26" t="s">
        <v>56</v>
      </c>
      <c r="C71" s="26" t="s">
        <v>103</v>
      </c>
      <c r="D71" s="19">
        <f t="shared" si="17"/>
        <v>0</v>
      </c>
      <c r="E71" s="19">
        <f t="shared" si="17"/>
        <v>0.52936713441662953</v>
      </c>
      <c r="F71" s="19">
        <f t="shared" si="17"/>
        <v>0</v>
      </c>
      <c r="G71" s="19">
        <f t="shared" si="5"/>
        <v>0</v>
      </c>
      <c r="H71" s="58">
        <f>VLOOKUP(A71,הכשרה!A:G,4,0)+VLOOKUP('תפוקה מצטברת מול אשתקד'!A71,מגדל!A:G,4,0)+VLOOKUP('תפוקה מצטברת מול אשתקד'!A71,מנורה!A:G,4,0)+VLOOKUP('תפוקה מצטברת מול אשתקד'!A71,איילון!A:G,4,0)+VLOOKUP('תפוקה מצטברת מול אשתקד'!A71,הראל!A:G,4,0)+VLOOKUP('תפוקה מצטברת מול אשתקד'!A71,הפניקס!A:G,4,0)+VLOOKUP('תפוקה מצטברת מול אשתקד'!A71,כלל!A:G,4,0)+VLOOKUP('תפוקה מצטברת מול אשתקד'!A71,מור!A:G,4,0)+VLOOKUP('תפוקה מצטברת מול אשתקד'!A71,'אלטשולר שחם'!A:G,4,0)+VLOOKUP('תפוקה מצטברת מול אשתקד'!A71,'מדיהו '!A:G,4,0)+VLOOKUP('תפוקה מצטברת מול אשתקד'!A71,'אנליסט '!A:G,4,0)+VLOOKUP('תפוקה מצטברת מול אשתקד'!A71,'מיטב דש'!A:G,4,0)+VLOOKUP('תפוקה מצטברת מול אשתקד'!A71,אינפניטי!A:G,4,0)</f>
        <v>0</v>
      </c>
      <c r="I71" s="58">
        <f>VLOOKUP(A71,הכשרה!A:G,5,0)+VLOOKUP('תפוקה מצטברת מול אשתקד'!A71,מגדל!A:G,5,0)+VLOOKUP('תפוקה מצטברת מול אשתקד'!A71,מנורה!A:G,5,0)+VLOOKUP('תפוקה מצטברת מול אשתקד'!A71,איילון!A:G,5,0)+VLOOKUP('תפוקה מצטברת מול אשתקד'!A71,הראל!A:G,5,0)+VLOOKUP('תפוקה מצטברת מול אשתקד'!A71,הפניקס!A:G,5,0)+VLOOKUP('תפוקה מצטברת מול אשתקד'!A71,כלל!A:G,5,0)+VLOOKUP('תפוקה מצטברת מול אשתקד'!A71,מור!A:G,5,0)+VLOOKUP('תפוקה מצטברת מול אשתקד'!A71,'אלטשולר שחם'!A:G,5,0)+VLOOKUP('תפוקה מצטברת מול אשתקד'!A71,'מדיהו '!A:G,5,0)+VLOOKUP('תפוקה מצטברת מול אשתקד'!A71,'אנליסט '!A:G,5,0)+VLOOKUP('תפוקה מצטברת מול אשתקד'!A71,'מיטב דש'!A:G,5,0)+VLOOKUP('תפוקה מצטברת מול אשתקד'!A71,אינפניטי!A:G,5,0)</f>
        <v>75229.853999999992</v>
      </c>
      <c r="J71" s="58">
        <f>VLOOKUP(A71,הכשרה!A:G,6,0)+VLOOKUP('תפוקה מצטברת מול אשתקד'!A71,מגדל!A:G,6,0)+VLOOKUP('תפוקה מצטברת מול אשתקד'!A71,מנורה!A:G,6,0)+VLOOKUP('תפוקה מצטברת מול אשתקד'!A71,איילון!A:G,6,0)+VLOOKUP(A71,הראל!A:G,6,0)+VLOOKUP('תפוקה מצטברת מול אשתקד'!A71,הפניקס!A:G,6,0)+VLOOKUP('תפוקה מצטברת מול אשתקד'!A71,כלל!A:G,6,0)+VLOOKUP('תפוקה מצטברת מול אשתקד'!A71,מור!A:G,6,0)+VLOOKUP('תפוקה מצטברת מול אשתקד'!A71,'אלטשולר שחם'!A:G,6,0)+VLOOKUP('תפוקה מצטברת מול אשתקד'!A71,'מדיהו '!A:G,6,0)+VLOOKUP('תפוקה מצטברת מול אשתקד'!A71,'אנליסט '!A:G,6,0)+VLOOKUP('תפוקה מצטברת מול אשתקד'!A71,'מיטב דש'!A:G,6,0)+VLOOKUP('תפוקה מצטברת מול אשתקד'!A71,אינפניטי!A:G,6,0)</f>
        <v>0</v>
      </c>
      <c r="K71" s="58">
        <f>VLOOKUP(A71,הכשרה!A:G,7,0)+VLOOKUP('תפוקה מצטברת מול אשתקד'!A71,מגדל!A:G,7,0)+VLOOKUP('תפוקה מצטברת מול אשתקד'!A71,מנורה!A:G,7,0)+VLOOKUP('תפוקה מצטברת מול אשתקד'!A71,איילון!A:G,7,0)+VLOOKUP('תפוקה מצטברת מול אשתקד'!A71,הראל!A:G,7,0)+VLOOKUP('תפוקה מצטברת מול אשתקד'!A71,הפניקס!A:G,7,0)+VLOOKUP('תפוקה מצטברת מול אשתקד'!A71,כלל!A:G,7,0)+VLOOKUP('תפוקה מצטברת מול אשתקד'!A71,מור!A:G,7,0)+VLOOKUP('תפוקה מצטברת מול אשתקד'!A71,'אלטשולר שחם'!A:G,7,0)+VLOOKUP('תפוקה מצטברת מול אשתקד'!A71,'מדיהו '!A:K,7,0)+VLOOKUP(A71,'אנליסט '!A:G,7,0)+VLOOKUP('תפוקה מצטברת מול אשתקד'!A71,'מיטב דש'!A:G,7,0)+VLOOKUP('תפוקה מצטברת מול אשתקד'!A71,אינפניטי!A:G,7,0)</f>
        <v>0</v>
      </c>
      <c r="L71" s="12">
        <f>VLOOKUP(A71,הכשרה!A:K,8,0)+VLOOKUP('תפוקה מצטברת מול אשתקד'!A71,מגדל!A:K,8,0)+VLOOKUP('תפוקה מצטברת מול אשתקד'!A71,מנורה!A:K,8,0)+VLOOKUP('תפוקה מצטברת מול אשתקד'!A71,איילון!A:K,8,0)+VLOOKUP('תפוקה מצטברת מול אשתקד'!A71,הראל!A:K,8,0)+VLOOKUP('תפוקה מצטברת מול אשתקד'!A71,הפניקס!A:K,8,0)+VLOOKUP('תפוקה מצטברת מול אשתקד'!A71,כלל!A:K,8,0)+VLOOKUP('תפוקה מצטברת מול אשתקד'!A71,מור!A:K,8,0)+VLOOKUP('תפוקה מצטברת מול אשתקד'!A71,'אלטשולר שחם'!A:K,8,0)+VLOOKUP('תפוקה מצטברת מול אשתקד'!A71,'מדיהו '!A:K,8,0)+VLOOKUP('תפוקה מצטברת מול אשתקד'!A71,'אנליסט '!A:K,8,0)+VLOOKUP('תפוקה מצטברת מול אשתקד'!A71,'מיטב דש'!A:K,8,0)+VLOOKUP('תפוקה מצטברת מול אשתקד'!A71,אינפניטי!A:K,8,0)</f>
        <v>9617.8415119999991</v>
      </c>
      <c r="M71" s="12">
        <f>VLOOKUP(A71,הכשרה!A:K,9,0)+VLOOKUP('תפוקה מצטברת מול אשתקד'!A71,מגדל!A:K,9,0)+VLOOKUP('תפוקה מצטברת מול אשתקד'!A71,מנורה!A:K,9,0)+VLOOKUP('תפוקה מצטברת מול אשתקד'!A71,איילון!A:K,9,0)+VLOOKUP('תפוקה מצטברת מול אשתקד'!A71,הראל!A:K,9,0)+VLOOKUP('תפוקה מצטברת מול אשתקד'!A71,הפניקס!A:K,9,0)+VLOOKUP('תפוקה מצטברת מול אשתקד'!A71,כלל!A:K,9,0)+VLOOKUP('תפוקה מצטברת מול אשתקד'!A71,מור!A:K,9,0)+VLOOKUP('תפוקה מצטברת מול אשתקד'!A71,'אלטשולר שחם'!A:K,9,0)+VLOOKUP('תפוקה מצטברת מול אשתקד'!A71,'מדיהו '!A:K,9,0)+VLOOKUP('תפוקה מצטברת מול אשתקד'!A71,'אנליסט '!A:K,9,0)+VLOOKUP('תפוקה מצטברת מול אשתקד'!A71,'מיטב דש'!A:K,9,0)+VLOOKUP('תפוקה מצטברת מול אשתקד'!A71,אינפניטי!A:K,9,0)</f>
        <v>49190.186127999994</v>
      </c>
      <c r="N71" s="12">
        <f>VLOOKUP(A71,הכשרה!A:K,10,0)+VLOOKUP('תפוקה מצטברת מול אשתקד'!A71,מגדל!A:K,10,0)+VLOOKUP('תפוקה מצטברת מול אשתקד'!A71,מנורה!A:K,10,0)+VLOOKUP('תפוקה מצטברת מול אשתקד'!A71,איילון!A:K,10,0)+VLOOKUP('תפוקה מצטברת מול אשתקד'!A71,הראל!A:K,10,0)+VLOOKUP('תפוקה מצטברת מול אשתקד'!A71,הפניקס!A:K,10,0)+VLOOKUP('תפוקה מצטברת מול אשתקד'!A71,כלל!A:K,10,0)+VLOOKUP('תפוקה מצטברת מול אשתקד'!A71,מור!A:K,10,0)+VLOOKUP('תפוקה מצטברת מול אשתקד'!A71,'אלטשולר שחם'!A:K,10,0)+VLOOKUP('תפוקה מצטברת מול אשתקד'!A71,'מדיהו '!A:K,10,0)+VLOOKUP('תפוקה מצטברת מול אשתקד'!A71,'אנליסט '!A:K,10,0)+VLOOKUP('תפוקה מצטברת מול אשתקד'!A71,'מיטב דש'!A:K,10,0)+VLOOKUP('תפוקה מצטברת מול אשתקד'!A71,אינפניטי!A:K,10,0)</f>
        <v>0</v>
      </c>
      <c r="O71" s="12">
        <f>VLOOKUP(A71,הכשרה!A:K,11,0)+VLOOKUP('תפוקה מצטברת מול אשתקד'!A71,מגדל!A:K,11,0)+VLOOKUP('תפוקה מצטברת מול אשתקד'!A71,מנורה!A:K,11,0)+VLOOKUP('תפוקה מצטברת מול אשתקד'!A71,איילון!A:K,11,0)+VLOOKUP('תפוקה מצטברת מול אשתקד'!A71,הראל!A:K,11,0)+VLOOKUP('תפוקה מצטברת מול אשתקד'!A71,הפניקס!A:K,11,0)+VLOOKUP('תפוקה מצטברת מול אשתקד'!A71,כלל!A:K,11,0)+VLOOKUP('תפוקה מצטברת מול אשתקד'!A71,מור!A:K,11,0)+VLOOKUP('תפוקה מצטברת מול אשתקד'!A71,'אלטשולר שחם'!A:K,11,0)+VLOOKUP('תפוקה מצטברת מול אשתקד'!A71,'מדיהו '!A:K,11,0)+VLOOKUP('תפוקה מצטברת מול אשתקד'!A71,'אנליסט '!A:K,11,0)+VLOOKUP('תפוקה מצטברת מול אשתקד'!A71,'מיטב דש'!A:K,11,0)+VLOOKUP('תפוקה מצטברת מול אשתקד'!A71,אינפניטי!A:K,11,0)</f>
        <v>90372</v>
      </c>
    </row>
    <row r="72" spans="1:15" ht="15.75" customHeight="1" x14ac:dyDescent="0.25">
      <c r="A72" s="26" t="s">
        <v>100</v>
      </c>
      <c r="B72" s="26" t="s">
        <v>56</v>
      </c>
      <c r="C72" s="26" t="s">
        <v>103</v>
      </c>
      <c r="D72" s="19">
        <f t="shared" si="17"/>
        <v>0.30393624874799152</v>
      </c>
      <c r="E72" s="19">
        <f t="shared" si="17"/>
        <v>0.28812897388970837</v>
      </c>
      <c r="F72" s="19">
        <f t="shared" si="17"/>
        <v>0.29114569810821478</v>
      </c>
      <c r="G72" s="19">
        <f t="shared" si="5"/>
        <v>0.29171603661101742</v>
      </c>
      <c r="H72" s="58">
        <f>VLOOKUP(A72,הכשרה!A:G,4,0)+VLOOKUP('תפוקה מצטברת מול אשתקד'!A72,מגדל!A:G,4,0)+VLOOKUP('תפוקה מצטברת מול אשתקד'!A72,מנורה!A:G,4,0)+VLOOKUP('תפוקה מצטברת מול אשתקד'!A72,איילון!A:G,4,0)+VLOOKUP('תפוקה מצטברת מול אשתקד'!A72,הראל!A:G,4,0)+VLOOKUP('תפוקה מצטברת מול אשתקד'!A72,הפניקס!A:G,4,0)+VLOOKUP('תפוקה מצטברת מול אשתקד'!A72,כלל!A:G,4,0)+VLOOKUP('תפוקה מצטברת מול אשתקד'!A72,מור!A:G,4,0)+VLOOKUP('תפוקה מצטברת מול אשתקד'!A72,'אלטשולר שחם'!A:G,4,0)+VLOOKUP('תפוקה מצטברת מול אשתקד'!A72,'מדיהו '!A:G,4,0)+VLOOKUP('תפוקה מצטברת מול אשתקד'!A72,'אנליסט '!A:G,4,0)+VLOOKUP('תפוקה מצטברת מול אשתקד'!A72,'מיטב דש'!A:G,4,0)+VLOOKUP('תפוקה מצטברת מול אשתקד'!A72,אינפניטי!A:G,4,0)</f>
        <v>578985.75832632999</v>
      </c>
      <c r="I72" s="58">
        <f>VLOOKUP(A72,הכשרה!A:G,5,0)+VLOOKUP('תפוקה מצטברת מול אשתקד'!A72,מגדל!A:G,5,0)+VLOOKUP('תפוקה מצטברת מול אשתקד'!A72,מנורה!A:G,5,0)+VLOOKUP('תפוקה מצטברת מול אשתקד'!A72,איילון!A:G,5,0)+VLOOKUP('תפוקה מצטברת מול אשתקד'!A72,הראל!A:G,5,0)+VLOOKUP('תפוקה מצטברת מול אשתקד'!A72,הפניקס!A:G,5,0)+VLOOKUP('תפוקה מצטברת מול אשתקד'!A72,כלל!A:G,5,0)+VLOOKUP('תפוקה מצטברת מול אשתקד'!A72,מור!A:G,5,0)+VLOOKUP('תפוקה מצטברת מול אשתקד'!A72,'אלטשולר שחם'!A:G,5,0)+VLOOKUP('תפוקה מצטברת מול אשתקד'!A72,'מדיהו '!A:G,5,0)+VLOOKUP('תפוקה מצטברת מול אשתקד'!A72,'אנליסט '!A:G,5,0)+VLOOKUP('תפוקה מצטברת מול אשתקד'!A72,'מיטב דש'!A:G,5,0)+VLOOKUP('תפוקה מצטברת מול אשתקד'!A72,אינפניטי!A:G,5,0)</f>
        <v>61090.593406</v>
      </c>
      <c r="J72" s="58">
        <f>VLOOKUP(A72,הכשרה!A:G,6,0)+VLOOKUP('תפוקה מצטברת מול אשתקד'!A72,מגדל!A:G,6,0)+VLOOKUP('תפוקה מצטברת מול אשתקד'!A72,מנורה!A:G,6,0)+VLOOKUP('תפוקה מצטברת מול אשתקד'!A72,איילון!A:G,6,0)+VLOOKUP(A72,הראל!A:G,6,0)+VLOOKUP('תפוקה מצטברת מול אשתקד'!A72,הפניקס!A:G,6,0)+VLOOKUP('תפוקה מצטברת מול אשתקד'!A72,כלל!A:G,6,0)+VLOOKUP('תפוקה מצטברת מול אשתקד'!A72,מור!A:G,6,0)+VLOOKUP('תפוקה מצטברת מול אשתקד'!A72,'אלטשולר שחם'!A:G,6,0)+VLOOKUP('תפוקה מצטברת מול אשתקד'!A72,'מדיהו '!A:G,6,0)+VLOOKUP('תפוקה מצטברת מול אשתקד'!A72,'אנליסט '!A:G,6,0)+VLOOKUP('תפוקה מצטברת מול אשתקד'!A72,'מיטב דש'!A:G,6,0)+VLOOKUP('תפוקה מצטברת מול אשתקד'!A72,אינפניטי!A:G,6,0)</f>
        <v>5121489.87</v>
      </c>
      <c r="K72" s="58">
        <f>VLOOKUP(A72,הכשרה!A:G,7,0)+VLOOKUP('תפוקה מצטברת מול אשתקד'!A72,מגדל!A:G,7,0)+VLOOKUP('תפוקה מצטברת מול אשתקד'!A72,מנורה!A:G,7,0)+VLOOKUP('תפוקה מצטברת מול אשתקד'!A72,איילון!A:G,7,0)+VLOOKUP('תפוקה מצטברת מול אשתקד'!A72,הראל!A:G,7,0)+VLOOKUP('תפוקה מצטברת מול אשתקד'!A72,הפניקס!A:G,7,0)+VLOOKUP('תפוקה מצטברת מול אשתקד'!A72,כלל!A:G,7,0)+VLOOKUP('תפוקה מצטברת מול אשתקד'!A72,מור!A:G,7,0)+VLOOKUP('תפוקה מצטברת מול אשתקד'!A72,'אלטשולר שחם'!A:G,7,0)+VLOOKUP('תפוקה מצטברת מול אשתקד'!A72,'מדיהו '!A:K,7,0)+VLOOKUP(A72,'אנליסט '!A:G,7,0)+VLOOKUP('תפוקה מצטברת מול אשתקד'!A72,'מיטב דש'!A:G,7,0)+VLOOKUP('תפוקה מצטברת מול אשתקד'!A72,אינפניטי!A:G,7,0)</f>
        <v>3693094.53</v>
      </c>
      <c r="L72" s="12">
        <f>VLOOKUP(A72,הכשרה!A:K,8,0)+VLOOKUP('תפוקה מצטברת מול אשתקד'!A72,מגדל!A:K,8,0)+VLOOKUP('תפוקה מצטברת מול אשתקד'!A72,מנורה!A:K,8,0)+VLOOKUP('תפוקה מצטברת מול אשתקד'!A72,איילון!A:K,8,0)+VLOOKUP('תפוקה מצטברת מול אשתקד'!A72,הראל!A:K,8,0)+VLOOKUP('תפוקה מצטברת מול אשתקד'!A72,הפניקס!A:K,8,0)+VLOOKUP('תפוקה מצטברת מול אשתקד'!A72,כלל!A:K,8,0)+VLOOKUP('תפוקה מצטברת מול אשתקד'!A72,מור!A:K,8,0)+VLOOKUP('תפוקה מצטברת מול אשתקד'!A72,'אלטשולר שחם'!A:K,8,0)+VLOOKUP('תפוקה מצטברת מול אשתקד'!A72,'מדיהו '!A:K,8,0)+VLOOKUP('תפוקה מצטברת מול אשתקד'!A72,'אנליסט '!A:K,8,0)+VLOOKUP('תפוקה מצטברת מול אשתקד'!A72,'מיטב דש'!A:K,8,0)+VLOOKUP('תפוקה מצטברת מול אשתקד'!A72,אינפניטי!A:K,8,0)</f>
        <v>444029.19152087253</v>
      </c>
      <c r="M72" s="12">
        <f>VLOOKUP(A72,הכשרה!A:K,9,0)+VLOOKUP('תפוקה מצטברת מול אשתקד'!A72,מגדל!A:K,9,0)+VLOOKUP('תפוקה מצטברת מול אשתקד'!A72,מנורה!A:K,9,0)+VLOOKUP('תפוקה מצטברת מול אשתקד'!A72,איילון!A:K,9,0)+VLOOKUP('תפוקה מצטברת מול אשתקד'!A72,הראל!A:K,9,0)+VLOOKUP('תפוקה מצטברת מול אשתקד'!A72,הפניקס!A:K,9,0)+VLOOKUP('תפוקה מצטברת מול אשתקד'!A72,כלל!A:K,9,0)+VLOOKUP('תפוקה מצטברת מול אשתקד'!A72,מור!A:K,9,0)+VLOOKUP('תפוקה מצטברת מול אשתקד'!A72,'אלטשולר שחם'!A:K,9,0)+VLOOKUP('תפוקה מצטברת מול אשתקד'!A72,'מדיהו '!A:K,9,0)+VLOOKUP('תפוקה מצטברת מול אשתקד'!A72,'אנליסט '!A:K,9,0)+VLOOKUP('תפוקה מצטברת מול אשתקד'!A72,'מיטב דש'!A:K,9,0)+VLOOKUP('תפוקה מצטברת מול אשתקד'!A72,אינפניטי!A:K,9,0)</f>
        <v>47425.835956105642</v>
      </c>
      <c r="N72" s="12">
        <f>VLOOKUP(A72,הכשרה!A:K,10,0)+VLOOKUP('תפוקה מצטברת מול אשתקד'!A72,מגדל!A:K,10,0)+VLOOKUP('תפוקה מצטברת מול אשתקד'!A72,מנורה!A:K,10,0)+VLOOKUP('תפוקה מצטברת מול אשתקד'!A72,איילון!A:K,10,0)+VLOOKUP('תפוקה מצטברת מול אשתקד'!A72,הראל!A:K,10,0)+VLOOKUP('תפוקה מצטברת מול אשתקד'!A72,הפניקס!A:K,10,0)+VLOOKUP('תפוקה מצטברת מול אשתקד'!A72,כלל!A:K,10,0)+VLOOKUP('תפוקה מצטברת מול אשתקד'!A72,מור!A:K,10,0)+VLOOKUP('תפוקה מצטברת מול אשתקד'!A72,'אלטשולר שחם'!A:K,10,0)+VLOOKUP('תפוקה מצטברת מול אשתקד'!A72,'מדיהו '!A:K,10,0)+VLOOKUP('תפוקה מצטברת מול אשתקד'!A72,'אנליסט '!A:K,10,0)+VLOOKUP('תפוקה מצטברת מול אשתקד'!A72,'מיטב דש'!A:K,10,0)+VLOOKUP('תפוקה מצטברת מול אשתקד'!A72,אינפניטי!A:K,10,0)</f>
        <v>3966624.2760240003</v>
      </c>
      <c r="O72" s="12">
        <f>VLOOKUP(A72,הכשרה!A:K,11,0)+VLOOKUP('תפוקה מצטברת מול אשתקד'!A72,מגדל!A:K,11,0)+VLOOKUP('תפוקה מצטברת מול אשתקד'!A72,מנורה!A:K,11,0)+VLOOKUP('תפוקה מצטברת מול אשתקד'!A72,איילון!A:K,11,0)+VLOOKUP('תפוקה מצטברת מול אשתקד'!A72,הראל!A:K,11,0)+VLOOKUP('תפוקה מצטברת מול אשתקד'!A72,הפניקס!A:K,11,0)+VLOOKUP('תפוקה מצטברת מול אשתקד'!A72,כלל!A:K,11,0)+VLOOKUP('תפוקה מצטברת מול אשתקד'!A72,מור!A:K,11,0)+VLOOKUP('תפוקה מצטברת מול אשתקד'!A72,'אלטשולר שחם'!A:K,11,0)+VLOOKUP('תפוקה מצטברת מול אשתקד'!A72,'מדיהו '!A:K,11,0)+VLOOKUP('תפוקה מצטברת מול אשתקד'!A72,'אנליסט '!A:K,11,0)+VLOOKUP('תפוקה מצטברת מול אשתקד'!A72,'מיטב דש'!A:K,11,0)+VLOOKUP('תפוקה מצטברת מול אשתקד'!A72,אינפניטי!A:K,11,0)</f>
        <v>2859060.6799999997</v>
      </c>
    </row>
    <row r="73" spans="1:15" ht="15.75" customHeight="1" x14ac:dyDescent="0.25">
      <c r="A73" s="98" t="s">
        <v>101</v>
      </c>
      <c r="B73" s="26" t="s">
        <v>56</v>
      </c>
      <c r="C73" s="26" t="s">
        <v>103</v>
      </c>
      <c r="D73" s="19">
        <f t="shared" si="17"/>
        <v>0.45537301982236955</v>
      </c>
      <c r="E73" s="19">
        <f t="shared" si="17"/>
        <v>0.19689511297458284</v>
      </c>
      <c r="F73" s="19">
        <f t="shared" si="17"/>
        <v>0.70143898982769604</v>
      </c>
      <c r="G73" s="19">
        <f t="shared" si="5"/>
        <v>0.35027734547301259</v>
      </c>
      <c r="H73" s="58">
        <f>VLOOKUP(A73,הכשרה!A:G,4,0)+VLOOKUP('תפוקה מצטברת מול אשתקד'!A73,מגדל!A:G,4,0)+VLOOKUP('תפוקה מצטברת מול אשתקד'!A73,מנורה!A:G,4,0)+VLOOKUP('תפוקה מצטברת מול אשתקד'!A73,איילון!A:G,4,0)+VLOOKUP('תפוקה מצטברת מול אשתקד'!A73,הראל!A:G,4,0)+VLOOKUP('תפוקה מצטברת מול אשתקד'!A73,הפניקס!A:G,4,0)+VLOOKUP('תפוקה מצטברת מול אשתקד'!A73,כלל!A:G,4,0)+VLOOKUP('תפוקה מצטברת מול אשתקד'!A73,מור!A:G,4,0)+VLOOKUP('תפוקה מצטברת מול אשתקד'!A73,'אלטשולר שחם'!A:G,4,0)+VLOOKUP('תפוקה מצטברת מול אשתקד'!A73,'מדיהו '!A:G,4,0)+VLOOKUP('תפוקה מצטברת מול אשתקד'!A73,'אנליסט '!A:G,4,0)+VLOOKUP('תפוקה מצטברת מול אשתקד'!A73,'מיטב דש'!A:G,4,0)+VLOOKUP('תפוקה מצטברת מול אשתקד'!A73,אינפניטי!A:G,4,0)</f>
        <v>1901458.5280148154</v>
      </c>
      <c r="I73" s="58">
        <f>VLOOKUP(A73,הכשרה!A:G,5,0)+VLOOKUP('תפוקה מצטברת מול אשתקד'!A73,מגדל!A:G,5,0)+VLOOKUP('תפוקה מצטברת מול אשתקד'!A73,מנורה!A:G,5,0)+VLOOKUP('תפוקה מצטברת מול אשתקד'!A73,איילון!A:G,5,0)+VLOOKUP('תפוקה מצטברת מול אשתקד'!A73,הראל!A:G,5,0)+VLOOKUP('תפוקה מצטברת מול אשתקד'!A73,הפניקס!A:G,5,0)+VLOOKUP('תפוקה מצטברת מול אשתקד'!A73,כלל!A:G,5,0)+VLOOKUP('תפוקה מצטברת מול אשתקד'!A73,מור!A:G,5,0)+VLOOKUP('תפוקה מצטברת מול אשתקד'!A73,'אלטשולר שחם'!A:G,5,0)+VLOOKUP('תפוקה מצטברת מול אשתקד'!A73,'מדיהו '!A:G,5,0)+VLOOKUP('תפוקה מצטברת מול אשתקד'!A73,'אנליסט '!A:G,5,0)+VLOOKUP('תפוקה מצטברת מול אשתקד'!A73,'מיטב דש'!A:G,5,0)+VLOOKUP('תפוקה מצטברת מול אשתקד'!A73,אינפניטי!A:G,5,0)</f>
        <v>198421.81710755598</v>
      </c>
      <c r="J73" s="58">
        <f>VLOOKUP(A73,הכשרה!A:G,6,0)+VLOOKUP('תפוקה מצטברת מול אשתקד'!A73,מגדל!A:G,6,0)+VLOOKUP('תפוקה מצטברת מול אשתקד'!A73,מנורה!A:G,6,0)+VLOOKUP('תפוקה מצטברת מול אשתקד'!A73,איילון!A:G,6,0)+VLOOKUP(A73,הראל!A:G,6,0)+VLOOKUP('תפוקה מצטברת מול אשתקד'!A73,הפניקס!A:G,6,0)+VLOOKUP('תפוקה מצטברת מול אשתקד'!A73,כלל!A:G,6,0)+VLOOKUP('תפוקה מצטברת מול אשתקד'!A73,מור!A:G,6,0)+VLOOKUP('תפוקה מצטברת מול אשתקד'!A73,'אלטשולר שחם'!A:G,6,0)+VLOOKUP('תפוקה מצטברת מול אשתקד'!A73,'מדיהו '!A:G,6,0)+VLOOKUP('תפוקה מצטברת מול אשתקד'!A73,'אנליסט '!A:G,6,0)+VLOOKUP('תפוקה מצטברת מול אשתקד'!A73,'מיטב דש'!A:G,6,0)+VLOOKUP('תפוקה מצטברת מול אשתקד'!A73,אינפניטי!A:G,6,0)</f>
        <v>20001896.011716284</v>
      </c>
      <c r="K73" s="58">
        <f>VLOOKUP(A73,הכשרה!A:G,7,0)+VLOOKUP('תפוקה מצטברת מול אשתקד'!A73,מגדל!A:G,7,0)+VLOOKUP('תפוקה מצטברת מול אשתקד'!A73,מנורה!A:G,7,0)+VLOOKUP('תפוקה מצטברת מול אשתקד'!A73,איילון!A:G,7,0)+VLOOKUP('תפוקה מצטברת מול אשתקד'!A73,הראל!A:G,7,0)+VLOOKUP('תפוקה מצטברת מול אשתקד'!A73,הפניקס!A:G,7,0)+VLOOKUP('תפוקה מצטברת מול אשתקד'!A73,כלל!A:G,7,0)+VLOOKUP('תפוקה מצטברת מול אשתקד'!A73,מור!A:G,7,0)+VLOOKUP('תפוקה מצטברת מול אשתקד'!A73,'אלטשולר שחם'!A:G,7,0)+VLOOKUP('תפוקה מצטברת מול אשתקד'!A73,'מדיהו '!A:K,7,0)+VLOOKUP(A73,'אנליסט '!A:G,7,0)+VLOOKUP('תפוקה מצטברת מול אשתקד'!A73,'מיטב דש'!A:G,7,0)+VLOOKUP('תפוקה מצטברת מול אשתקד'!A73,אינפניטי!A:G,7,0)</f>
        <v>16797376.100000001</v>
      </c>
      <c r="L73" s="12">
        <f>VLOOKUP(A73,הכשרה!A:K,8,0)+VLOOKUP('תפוקה מצטברת מול אשתקד'!A73,מגדל!A:K,8,0)+VLOOKUP('תפוקה מצטברת מול אשתקד'!A73,מנורה!A:K,8,0)+VLOOKUP('תפוקה מצטברת מול אשתקד'!A73,איילון!A:K,8,0)+VLOOKUP('תפוקה מצטברת מול אשתקד'!A73,הראל!A:K,8,0)+VLOOKUP('תפוקה מצטברת מול אשתקד'!A73,הפניקס!A:K,8,0)+VLOOKUP('תפוקה מצטברת מול אשתקד'!A73,כלל!A:K,8,0)+VLOOKUP('תפוקה מצטברת מול אשתקד'!A73,מור!A:K,8,0)+VLOOKUP('תפוקה מצטברת מול אשתקד'!A73,'אלטשולר שחם'!A:K,8,0)+VLOOKUP('תפוקה מצטברת מול אשתקד'!A73,'מדיהו '!A:K,8,0)+VLOOKUP('תפוקה מצטברת מול אשתקד'!A73,'אנליסט '!A:K,8,0)+VLOOKUP('תפוקה מצטברת מול אשתקד'!A73,'מיטב דש'!A:K,8,0)+VLOOKUP('תפוקה מצטברת מול אשתקד'!A73,אינפניטי!A:K,8,0)</f>
        <v>1306509.3980146006</v>
      </c>
      <c r="M73" s="12">
        <f>VLOOKUP(A73,הכשרה!A:K,9,0)+VLOOKUP('תפוקה מצטברת מול אשתקד'!A73,מגדל!A:K,9,0)+VLOOKUP('תפוקה מצטברת מול אשתקד'!A73,מנורה!A:K,9,0)+VLOOKUP('תפוקה מצטברת מול אשתקד'!A73,איילון!A:K,9,0)+VLOOKUP('תפוקה מצטברת מול אשתקד'!A73,הראל!A:K,9,0)+VLOOKUP('תפוקה מצטברת מול אשתקד'!A73,הפניקס!A:K,9,0)+VLOOKUP('תפוקה מצטברת מול אשתקד'!A73,כלל!A:K,9,0)+VLOOKUP('תפוקה מצטברת מול אשתקד'!A73,מור!A:K,9,0)+VLOOKUP('תפוקה מצטברת מול אשתקד'!A73,'אלטשולר שחם'!A:K,9,0)+VLOOKUP('תפוקה מצטברת מול אשתקד'!A73,'מדיהו '!A:K,9,0)+VLOOKUP('תפוקה מצטברת מול אשתקד'!A73,'אנליסט '!A:K,9,0)+VLOOKUP('תפוקה מצטברת מול אשתקד'!A73,'מיטב דש'!A:K,9,0)+VLOOKUP('תפוקה מצטברת מול אשתקד'!A73,אינפניטי!A:K,9,0)</f>
        <v>165780.45557762223</v>
      </c>
      <c r="N73" s="12">
        <f>VLOOKUP(A73,הכשרה!A:K,10,0)+VLOOKUP('תפוקה מצטברת מול אשתקד'!A73,מגדל!A:K,10,0)+VLOOKUP('תפוקה מצטברת מול אשתקד'!A73,מנורה!A:K,10,0)+VLOOKUP('תפוקה מצטברת מול אשתקד'!A73,איילון!A:K,10,0)+VLOOKUP('תפוקה מצטברת מול אשתקד'!A73,הראל!A:K,10,0)+VLOOKUP('תפוקה מצטברת מול אשתקד'!A73,הפניקס!A:K,10,0)+VLOOKUP('תפוקה מצטברת מול אשתקד'!A73,כלל!A:K,10,0)+VLOOKUP('תפוקה מצטברת מול אשתקד'!A73,מור!A:K,10,0)+VLOOKUP('תפוקה מצטברת מול אשתקד'!A73,'אלטשולר שחם'!A:K,10,0)+VLOOKUP('תפוקה מצטברת מול אשתקד'!A73,'מדיהו '!A:K,10,0)+VLOOKUP('תפוקה מצטברת מול אשתקד'!A73,'אנליסט '!A:K,10,0)+VLOOKUP('תפוקה מצטברת מול אשתקד'!A73,'מיטב דש'!A:K,10,0)+VLOOKUP('תפוקה מצטברת מול אשתקד'!A73,אינפניטי!A:K,10,0)</f>
        <v>11755870.255295999</v>
      </c>
      <c r="O73" s="12">
        <f>VLOOKUP(A73,הכשרה!A:K,11,0)+VLOOKUP('תפוקה מצטברת מול אשתקד'!A73,מגדל!A:K,11,0)+VLOOKUP('תפוקה מצטברת מול אשתקד'!A73,מנורה!A:K,11,0)+VLOOKUP('תפוקה מצטברת מול אשתקד'!A73,איילון!A:K,11,0)+VLOOKUP('תפוקה מצטברת מול אשתקד'!A73,הראל!A:K,11,0)+VLOOKUP('תפוקה מצטברת מול אשתקד'!A73,הפניקס!A:K,11,0)+VLOOKUP('תפוקה מצטברת מול אשתקד'!A73,כלל!A:K,11,0)+VLOOKUP('תפוקה מצטברת מול אשתקד'!A73,מור!A:K,11,0)+VLOOKUP('תפוקה מצטברת מול אשתקד'!A73,'אלטשולר שחם'!A:K,11,0)+VLOOKUP('תפוקה מצטברת מול אשתקד'!A73,'מדיהו '!A:K,11,0)+VLOOKUP('תפוקה מצטברת מול אשתקד'!A73,'אנליסט '!A:K,11,0)+VLOOKUP('תפוקה מצטברת מול אשתקד'!A73,'מיטב דש'!A:K,11,0)+VLOOKUP('תפוקה מצטברת מול אשתקד'!A73,אינפניטי!A:K,11,0)</f>
        <v>12439945.138912</v>
      </c>
    </row>
    <row r="74" spans="1:15" ht="15.75" customHeight="1" thickBot="1" x14ac:dyDescent="0.3">
      <c r="A74" s="26" t="s">
        <v>81</v>
      </c>
      <c r="B74" s="26" t="s">
        <v>56</v>
      </c>
      <c r="C74" s="28" t="s">
        <v>103</v>
      </c>
      <c r="D74" s="101">
        <f t="shared" si="17"/>
        <v>3.6396296844181464</v>
      </c>
      <c r="E74" s="101">
        <f t="shared" si="17"/>
        <v>-6.3807054164483179E-2</v>
      </c>
      <c r="F74" s="101">
        <f t="shared" si="17"/>
        <v>0</v>
      </c>
      <c r="G74" s="19">
        <f t="shared" si="5"/>
        <v>0</v>
      </c>
      <c r="H74" s="58">
        <f>VLOOKUP(A74,הכשרה!A:G,4,0)+VLOOKUP('תפוקה מצטברת מול אשתקד'!A74,מגדל!A:G,4,0)+VLOOKUP('תפוקה מצטברת מול אשתקד'!A74,מנורה!A:G,4,0)+VLOOKUP('תפוקה מצטברת מול אשתקד'!A74,איילון!A:G,4,0)+VLOOKUP('תפוקה מצטברת מול אשתקד'!A74,הראל!A:G,4,0)+VLOOKUP('תפוקה מצטברת מול אשתקד'!A74,הפניקס!A:G,4,0)+VLOOKUP('תפוקה מצטברת מול אשתקד'!A74,כלל!A:G,4,0)+VLOOKUP('תפוקה מצטברת מול אשתקד'!A74,מור!A:G,4,0)+VLOOKUP('תפוקה מצטברת מול אשתקד'!A74,'אלטשולר שחם'!A:G,4,0)+VLOOKUP('תפוקה מצטברת מול אשתקד'!A74,'מדיהו '!A:G,4,0)+VLOOKUP('תפוקה מצטברת מול אשתקד'!A74,'אנליסט '!A:G,4,0)+VLOOKUP('תפוקה מצטברת מול אשתקד'!A74,'מיטב דש'!A:G,4,0)+VLOOKUP('תפוקה מצטברת מול אשתקד'!A74,אינפניטי!A:G,4,0)</f>
        <v>94091.69</v>
      </c>
      <c r="I74" s="58">
        <f>VLOOKUP(A74,הכשרה!A:G,5,0)+VLOOKUP('תפוקה מצטברת מול אשתקד'!A74,מגדל!A:G,5,0)+VLOOKUP('תפוקה מצטברת מול אשתקד'!A74,מנורה!A:G,5,0)+VLOOKUP('תפוקה מצטברת מול אשתקד'!A74,איילון!A:G,5,0)+VLOOKUP('תפוקה מצטברת מול אשתקד'!A74,הראל!A:G,5,0)+VLOOKUP('תפוקה מצטברת מול אשתקד'!A74,הפניקס!A:G,5,0)+VLOOKUP('תפוקה מצטברת מול אשתקד'!A74,כלל!A:G,5,0)+VLOOKUP('תפוקה מצטברת מול אשתקד'!A74,מור!A:G,5,0)+VLOOKUP('תפוקה מצטברת מול אשתקד'!A74,'אלטשולר שחם'!A:G,5,0)+VLOOKUP('תפוקה מצטברת מול אשתקד'!A74,'מדיהו '!A:G,5,0)+VLOOKUP('תפוקה מצטברת מול אשתקד'!A74,'אנליסט '!A:G,5,0)+VLOOKUP('תפוקה מצטברת מול אשתקד'!A74,'מיטב דש'!A:G,5,0)+VLOOKUP('תפוקה מצטברת מול אשתקד'!A74,אינפניטי!A:G,5,0)</f>
        <v>23157.643</v>
      </c>
      <c r="J74" s="58">
        <f>VLOOKUP(A74,הכשרה!A:G,6,0)+VLOOKUP('תפוקה מצטברת מול אשתקד'!A74,מגדל!A:G,6,0)+VLOOKUP('תפוקה מצטברת מול אשתקד'!A74,מנורה!A:G,6,0)+VLOOKUP('תפוקה מצטברת מול אשתקד'!A74,איילון!A:G,6,0)+VLOOKUP(A74,הראל!A:G,6,0)+VLOOKUP('תפוקה מצטברת מול אשתקד'!A74,הפניקס!A:G,6,0)+VLOOKUP('תפוקה מצטברת מול אשתקד'!A74,כלל!A:G,6,0)+VLOOKUP('תפוקה מצטברת מול אשתקד'!A74,מור!A:G,6,0)+VLOOKUP('תפוקה מצטברת מול אשתקד'!A74,'אלטשולר שחם'!A:G,6,0)+VLOOKUP('תפוקה מצטברת מול אשתקד'!A74,'מדיהו '!A:G,6,0)+VLOOKUP('תפוקה מצטברת מול אשתקד'!A74,'אנליסט '!A:G,6,0)+VLOOKUP('תפוקה מצטברת מול אשתקד'!A74,'מיטב דש'!A:G,6,0)+VLOOKUP('תפוקה מצטברת מול אשתקד'!A74,אינפניטי!A:G,6,0)</f>
        <v>0</v>
      </c>
      <c r="K74" s="58">
        <f>VLOOKUP(A74,הכשרה!A:G,7,0)+VLOOKUP('תפוקה מצטברת מול אשתקד'!A74,מגדל!A:G,7,0)+VLOOKUP('תפוקה מצטברת מול אשתקד'!A74,מנורה!A:G,7,0)+VLOOKUP('תפוקה מצטברת מול אשתקד'!A74,איילון!A:G,7,0)+VLOOKUP('תפוקה מצטברת מול אשתקד'!A74,הראל!A:G,7,0)+VLOOKUP('תפוקה מצטברת מול אשתקד'!A74,הפניקס!A:G,7,0)+VLOOKUP('תפוקה מצטברת מול אשתקד'!A74,כלל!A:G,7,0)+VLOOKUP('תפוקה מצטברת מול אשתקד'!A74,מור!A:G,7,0)+VLOOKUP('תפוקה מצטברת מול אשתקד'!A74,'אלטשולר שחם'!A:G,7,0)+VLOOKUP('תפוקה מצטברת מול אשתקד'!A74,'מדיהו '!A:K,7,0)+VLOOKUP(A74,'אנליסט '!A:G,7,0)+VLOOKUP('תפוקה מצטברת מול אשתקד'!A74,'מיטב דש'!A:G,7,0)+VLOOKUP('תפוקה מצטברת מול אשתקד'!A74,אינפניטי!A:G,7,0)</f>
        <v>0</v>
      </c>
      <c r="L74" s="12">
        <f>VLOOKUP(A74,הכשרה!A:K,8,0)+VLOOKUP('תפוקה מצטברת מול אשתקד'!A74,מגדל!A:K,8,0)+VLOOKUP('תפוקה מצטברת מול אשתקד'!A74,מנורה!A:K,8,0)+VLOOKUP('תפוקה מצטברת מול אשתקד'!A74,איילון!A:K,8,0)+VLOOKUP('תפוקה מצטברת מול אשתקד'!A74,הראל!A:K,8,0)+VLOOKUP('תפוקה מצטברת מול אשתקד'!A74,הפניקס!A:K,8,0)+VLOOKUP('תפוקה מצטברת מול אשתקד'!A74,כלל!A:K,8,0)+VLOOKUP('תפוקה מצטברת מול אשתקד'!A74,מור!A:K,8,0)+VLOOKUP('תפוקה מצטברת מול אשתקד'!A74,'אלטשולר שחם'!A:K,8,0)+VLOOKUP('תפוקה מצטברת מול אשתקד'!A74,'מדיהו '!A:K,8,0)+VLOOKUP('תפוקה מצטברת מול אשתקד'!A74,'אנליסט '!A:K,8,0)+VLOOKUP('תפוקה מצטברת מול אשתקד'!A74,'מיטב דש'!A:K,8,0)+VLOOKUP('תפוקה מצטברת מול אשתקד'!A74,אינפניטי!A:K,8,0)</f>
        <v>20280</v>
      </c>
      <c r="M74" s="12">
        <f>VLOOKUP(A74,הכשרה!A:K,9,0)+VLOOKUP('תפוקה מצטברת מול אשתקד'!A74,מגדל!A:K,9,0)+VLOOKUP('תפוקה מצטברת מול אשתקד'!A74,מנורה!A:K,9,0)+VLOOKUP('תפוקה מצטברת מול אשתקד'!A74,איילון!A:K,9,0)+VLOOKUP('תפוקה מצטברת מול אשתקד'!A74,הראל!A:K,9,0)+VLOOKUP('תפוקה מצטברת מול אשתקד'!A74,הפניקס!A:K,9,0)+VLOOKUP('תפוקה מצטברת מול אשתקד'!A74,כלל!A:K,9,0)+VLOOKUP('תפוקה מצטברת מול אשתקד'!A74,מור!A:K,9,0)+VLOOKUP('תפוקה מצטברת מול אשתקד'!A74,'אלטשולר שחם'!A:K,9,0)+VLOOKUP('תפוקה מצטברת מול אשתקד'!A74,'מדיהו '!A:K,9,0)+VLOOKUP('תפוקה מצטברת מול אשתקד'!A74,'אנליסט '!A:K,9,0)+VLOOKUP('תפוקה מצטברת מול אשתקד'!A74,'מיטב דש'!A:K,9,0)+VLOOKUP('תפוקה מצטברת מול אשתקד'!A74,אינפניטי!A:K,9,0)</f>
        <v>24735.972539648523</v>
      </c>
      <c r="N74" s="12">
        <f>VLOOKUP(A74,הכשרה!A:K,10,0)+VLOOKUP('תפוקה מצטברת מול אשתקד'!A74,מגדל!A:K,10,0)+VLOOKUP('תפוקה מצטברת מול אשתקד'!A74,מנורה!A:K,10,0)+VLOOKUP('תפוקה מצטברת מול אשתקד'!A74,איילון!A:K,10,0)+VLOOKUP('תפוקה מצטברת מול אשתקד'!A74,הראל!A:K,10,0)+VLOOKUP('תפוקה מצטברת מול אשתקד'!A74,הפניקס!A:K,10,0)+VLOOKUP('תפוקה מצטברת מול אשתקד'!A74,כלל!A:K,10,0)+VLOOKUP('תפוקה מצטברת מול אשתקד'!A74,מור!A:K,10,0)+VLOOKUP('תפוקה מצטברת מול אשתקד'!A74,'אלטשולר שחם'!A:K,10,0)+VLOOKUP('תפוקה מצטברת מול אשתקד'!A74,'מדיהו '!A:K,10,0)+VLOOKUP('תפוקה מצטברת מול אשתקד'!A74,'אנליסט '!A:K,10,0)+VLOOKUP('תפוקה מצטברת מול אשתקד'!A74,'מיטב דש'!A:K,10,0)+VLOOKUP('תפוקה מצטברת מול אשתקד'!A74,אינפניטי!A:K,10,0)</f>
        <v>0</v>
      </c>
      <c r="O74" s="12">
        <f>VLOOKUP(A74,הכשרה!A:K,11,0)+VLOOKUP('תפוקה מצטברת מול אשתקד'!A74,מגדל!A:K,11,0)+VLOOKUP('תפוקה מצטברת מול אשתקד'!A74,מנורה!A:K,11,0)+VLOOKUP('תפוקה מצטברת מול אשתקד'!A74,איילון!A:K,11,0)+VLOOKUP('תפוקה מצטברת מול אשתקד'!A74,הראל!A:K,11,0)+VLOOKUP('תפוקה מצטברת מול אשתקד'!A74,הפניקס!A:K,11,0)+VLOOKUP('תפוקה מצטברת מול אשתקד'!A74,כלל!A:K,11,0)+VLOOKUP('תפוקה מצטברת מול אשתקד'!A74,מור!A:K,11,0)+VLOOKUP('תפוקה מצטברת מול אשתקד'!A74,'אלטשולר שחם'!A:K,11,0)+VLOOKUP('תפוקה מצטברת מול אשתקד'!A74,'מדיהו '!A:K,11,0)+VLOOKUP('תפוקה מצטברת מול אשתקד'!A74,'אנליסט '!A:K,11,0)+VLOOKUP('תפוקה מצטברת מול אשתקד'!A74,'מיטב דש'!A:K,11,0)+VLOOKUP('תפוקה מצטברת מול אשתקד'!A74,אינפניטי!A:K,11,0)</f>
        <v>0</v>
      </c>
    </row>
    <row r="75" spans="1:15" ht="28.2" customHeight="1" thickBot="1" x14ac:dyDescent="0.3">
      <c r="A75" s="122" t="s">
        <v>44</v>
      </c>
      <c r="B75" s="121"/>
      <c r="C75" s="121"/>
      <c r="D75" s="126">
        <f t="shared" si="17"/>
        <v>0.34713891308840061</v>
      </c>
      <c r="E75" s="126">
        <f t="shared" si="17"/>
        <v>0.13899520633444329</v>
      </c>
      <c r="F75" s="126">
        <f t="shared" si="17"/>
        <v>0.39575841598815731</v>
      </c>
      <c r="G75" s="19">
        <f t="shared" si="5"/>
        <v>0.3547519520904312</v>
      </c>
      <c r="H75" s="124">
        <f>SUM(H67:H74)</f>
        <v>4773890.0629890356</v>
      </c>
      <c r="I75" s="124">
        <f t="shared" ref="I75:O75" si="18">SUM(I67:I74)</f>
        <v>768736.03533003444</v>
      </c>
      <c r="J75" s="124">
        <f t="shared" si="18"/>
        <v>33678748.365081467</v>
      </c>
      <c r="K75" s="124">
        <f t="shared" si="18"/>
        <v>34335142.609999999</v>
      </c>
      <c r="L75" s="124">
        <f t="shared" si="18"/>
        <v>3543725.1619764976</v>
      </c>
      <c r="M75" s="124">
        <f t="shared" si="18"/>
        <v>674924.73283009615</v>
      </c>
      <c r="N75" s="124">
        <f t="shared" si="18"/>
        <v>24129353.603960089</v>
      </c>
      <c r="O75" s="124">
        <f t="shared" si="18"/>
        <v>25344228.186583996</v>
      </c>
    </row>
    <row r="76" spans="1:15" ht="30" customHeight="1" thickBot="1" x14ac:dyDescent="0.3">
      <c r="A76" s="122" t="s">
        <v>45</v>
      </c>
      <c r="B76" s="121"/>
      <c r="C76" s="121"/>
      <c r="D76" s="126">
        <f t="shared" si="17"/>
        <v>0.20375896655846271</v>
      </c>
      <c r="E76" s="126">
        <f t="shared" si="17"/>
        <v>-7.3031127637607551E-2</v>
      </c>
      <c r="F76" s="126">
        <f t="shared" si="17"/>
        <v>8.4798074088817899E-2</v>
      </c>
      <c r="G76" s="19">
        <f t="shared" si="5"/>
        <v>1.9712705722824353E-2</v>
      </c>
      <c r="H76" s="124">
        <f>H75+H66+H56+H22+H8</f>
        <v>22596877.132060416</v>
      </c>
      <c r="I76" s="124">
        <f t="shared" ref="I76:O76" si="19">I75+I66+I56+I22+I8</f>
        <v>3395928.1391425347</v>
      </c>
      <c r="J76" s="124">
        <f t="shared" si="19"/>
        <v>87944165.470933214</v>
      </c>
      <c r="K76" s="124">
        <f t="shared" si="19"/>
        <v>105117176.22499999</v>
      </c>
      <c r="L76" s="124">
        <f t="shared" si="19"/>
        <v>18771928.400803283</v>
      </c>
      <c r="M76" s="124">
        <f t="shared" si="19"/>
        <v>3663475.9163896916</v>
      </c>
      <c r="N76" s="124">
        <f t="shared" si="19"/>
        <v>81069617.997618958</v>
      </c>
      <c r="O76" s="124">
        <f t="shared" si="19"/>
        <v>103085090.177912</v>
      </c>
    </row>
    <row r="77" spans="1:15" ht="15.75" customHeight="1" x14ac:dyDescent="0.25"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</row>
    <row r="78" spans="1:15" customFormat="1" ht="15.75" customHeight="1" x14ac:dyDescent="0.3">
      <c r="A78" s="32"/>
    </row>
    <row r="79" spans="1:15" customFormat="1" ht="15.75" customHeight="1" x14ac:dyDescent="0.3">
      <c r="A79" s="32"/>
      <c r="H79" s="6"/>
      <c r="I79" s="6"/>
      <c r="J79" s="6"/>
      <c r="K79" s="6"/>
    </row>
    <row r="80" spans="1:15" customFormat="1" ht="15.75" customHeight="1" x14ac:dyDescent="0.3">
      <c r="A80" s="32"/>
    </row>
    <row r="81" spans="1:14" customFormat="1" ht="15.75" customHeight="1" x14ac:dyDescent="0.3">
      <c r="A81" s="32"/>
      <c r="H81" s="9"/>
      <c r="I81" s="9"/>
      <c r="J81" s="9"/>
      <c r="K81" s="9"/>
      <c r="N81" s="97"/>
    </row>
    <row r="82" spans="1:14" ht="15.75" customHeight="1" x14ac:dyDescent="0.25">
      <c r="H82" s="10"/>
      <c r="I82" s="10"/>
      <c r="J82" s="10"/>
      <c r="K82" s="10"/>
    </row>
  </sheetData>
  <mergeCells count="3">
    <mergeCell ref="H1:K1"/>
    <mergeCell ref="D1:F1"/>
    <mergeCell ref="L1:O1"/>
  </mergeCells>
  <conditionalFormatting sqref="A14">
    <cfRule type="duplicateValues" dxfId="361" priority="13"/>
    <cfRule type="duplicateValues" dxfId="360" priority="14"/>
  </conditionalFormatting>
  <conditionalFormatting sqref="A60">
    <cfRule type="duplicateValues" dxfId="359" priority="17"/>
    <cfRule type="duplicateValues" dxfId="358" priority="18"/>
  </conditionalFormatting>
  <conditionalFormatting sqref="A65 A23:A55 A61 A57:A59 A7">
    <cfRule type="duplicateValues" dxfId="357" priority="224"/>
    <cfRule type="duplicateValues" dxfId="356" priority="225"/>
  </conditionalFormatting>
  <conditionalFormatting sqref="A67:A74">
    <cfRule type="duplicateValues" dxfId="355" priority="126"/>
    <cfRule type="duplicateValues" dxfId="354" priority="127"/>
  </conditionalFormatting>
  <conditionalFormatting sqref="A75:A1048576 A1:A6 A8:A13 A15:A22 A66 A56">
    <cfRule type="duplicateValues" dxfId="353" priority="80"/>
    <cfRule type="duplicateValues" dxfId="352" priority="81"/>
  </conditionalFormatting>
  <conditionalFormatting sqref="D1:D25 E2:G25 G15:G76 D26:G77 D82:G1048576">
    <cfRule type="cellIs" dxfId="351" priority="35" operator="lessThan">
      <formula>-0.0001</formula>
    </cfRule>
  </conditionalFormatting>
  <conditionalFormatting sqref="D3:G77 D82:G1048576">
    <cfRule type="cellIs" dxfId="350" priority="36" operator="greaterThan">
      <formula>0.1</formula>
    </cfRule>
  </conditionalFormatting>
  <conditionalFormatting sqref="H8:O8">
    <cfRule type="duplicateValues" dxfId="349" priority="9"/>
    <cfRule type="duplicateValues" dxfId="348" priority="10"/>
  </conditionalFormatting>
  <conditionalFormatting sqref="H22:O22">
    <cfRule type="duplicateValues" dxfId="347" priority="1"/>
    <cfRule type="duplicateValues" dxfId="346" priority="2"/>
  </conditionalFormatting>
  <conditionalFormatting sqref="H56:O56">
    <cfRule type="duplicateValues" dxfId="345" priority="5"/>
    <cfRule type="duplicateValues" dxfId="344" priority="6"/>
  </conditionalFormatting>
  <conditionalFormatting sqref="H66:O66">
    <cfRule type="duplicateValues" dxfId="343" priority="3"/>
    <cfRule type="duplicateValues" dxfId="342" priority="4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C74A9-708B-40D6-85A7-35DB7FD43F66}">
  <sheetPr>
    <tabColor theme="4" tint="0.39997558519241921"/>
  </sheetPr>
  <dimension ref="A1:R82"/>
  <sheetViews>
    <sheetView rightToLeft="1" topLeftCell="A54" workbookViewId="0">
      <selection activeCell="E81" sqref="E81"/>
    </sheetView>
  </sheetViews>
  <sheetFormatPr defaultColWidth="27.69921875" defaultRowHeight="20.399999999999999" x14ac:dyDescent="0.25"/>
  <cols>
    <col min="1" max="1" width="27.59765625" style="94" bestFit="1" customWidth="1"/>
    <col min="2" max="2" width="10.09765625" style="4" bestFit="1" customWidth="1"/>
    <col min="3" max="3" width="10.3984375" style="4" bestFit="1" customWidth="1"/>
    <col min="4" max="4" width="10.69921875" style="3" bestFit="1" customWidth="1"/>
    <col min="5" max="5" width="11" style="3" bestFit="1" customWidth="1"/>
    <col min="6" max="6" width="11.69921875" style="3" bestFit="1" customWidth="1"/>
    <col min="7" max="7" width="13.59765625" style="3" bestFit="1" customWidth="1"/>
    <col min="8" max="8" width="14.69921875" style="3" bestFit="1" customWidth="1"/>
    <col min="9" max="9" width="13.59765625" style="3" bestFit="1" customWidth="1"/>
    <col min="10" max="10" width="15" style="3" bestFit="1" customWidth="1"/>
    <col min="11" max="11" width="16.09765625" style="3" bestFit="1" customWidth="1"/>
    <col min="12" max="12" width="15" style="3" bestFit="1" customWidth="1"/>
    <col min="13" max="13" width="13.59765625" style="3" bestFit="1" customWidth="1"/>
    <col min="14" max="15" width="16.3984375" style="3" bestFit="1" customWidth="1"/>
    <col min="16" max="16384" width="27.69921875" style="3"/>
  </cols>
  <sheetData>
    <row r="1" spans="1:16" ht="15.75" customHeight="1" x14ac:dyDescent="0.25">
      <c r="A1" s="26"/>
      <c r="B1" s="26"/>
      <c r="C1" s="26"/>
      <c r="D1" s="228" t="s">
        <v>52</v>
      </c>
      <c r="E1" s="228"/>
      <c r="F1" s="228"/>
      <c r="G1" s="100"/>
      <c r="H1" s="225" t="s">
        <v>135</v>
      </c>
      <c r="I1" s="226"/>
      <c r="J1" s="226"/>
      <c r="K1" s="227"/>
      <c r="L1" s="229" t="s">
        <v>136</v>
      </c>
      <c r="M1" s="230"/>
      <c r="N1" s="230"/>
      <c r="O1" s="230"/>
    </row>
    <row r="2" spans="1:16" ht="15.75" customHeight="1" x14ac:dyDescent="0.25">
      <c r="A2" s="11" t="s">
        <v>0</v>
      </c>
      <c r="B2" s="23" t="s">
        <v>53</v>
      </c>
      <c r="C2" s="23" t="s">
        <v>109</v>
      </c>
      <c r="D2" s="24" t="s">
        <v>46</v>
      </c>
      <c r="E2" s="24" t="s">
        <v>50</v>
      </c>
      <c r="F2" s="24" t="s">
        <v>51</v>
      </c>
      <c r="G2" s="24" t="s">
        <v>49</v>
      </c>
      <c r="H2" s="25" t="s">
        <v>46</v>
      </c>
      <c r="I2" s="25" t="s">
        <v>50</v>
      </c>
      <c r="J2" s="25" t="s">
        <v>48</v>
      </c>
      <c r="K2" s="25" t="s">
        <v>49</v>
      </c>
      <c r="L2" s="29" t="s">
        <v>46</v>
      </c>
      <c r="M2" s="29" t="s">
        <v>47</v>
      </c>
      <c r="N2" s="29" t="s">
        <v>48</v>
      </c>
      <c r="O2" s="29" t="s">
        <v>89</v>
      </c>
      <c r="P2" s="5"/>
    </row>
    <row r="3" spans="1:16" ht="15.75" customHeight="1" x14ac:dyDescent="0.25">
      <c r="A3" s="26" t="s">
        <v>1</v>
      </c>
      <c r="B3" s="26" t="s">
        <v>108</v>
      </c>
      <c r="C3" s="26" t="s">
        <v>58</v>
      </c>
      <c r="D3" s="19">
        <f>IF(H3=0,0%,IF(L3=0,100%,H3/L3-1))</f>
        <v>7.8829513506896154E-2</v>
      </c>
      <c r="E3" s="19">
        <f>IF(I3=0,0%,IF(M3=0,100%,I3/M3-1))</f>
        <v>-0.73669908621005764</v>
      </c>
      <c r="F3" s="19">
        <f>IF(J3=0,0%,IF(N3=G29,100%,J3/N3-1))</f>
        <v>5.1882140122735789</v>
      </c>
      <c r="G3" s="19">
        <f>IF(K3=0,0%,IF(O3=H29,100%,K3/O3-1))</f>
        <v>0.19452324492888828</v>
      </c>
      <c r="H3" s="58">
        <v>667115.58828760311</v>
      </c>
      <c r="I3" s="58">
        <v>34313.309336576029</v>
      </c>
      <c r="J3" s="58">
        <v>4261223.3294310197</v>
      </c>
      <c r="K3" s="58">
        <v>3501586.2800000012</v>
      </c>
      <c r="L3" s="12">
        <v>618369.79794800421</v>
      </c>
      <c r="M3" s="12">
        <v>130319.75029129861</v>
      </c>
      <c r="N3" s="12">
        <v>688603.09630200174</v>
      </c>
      <c r="O3" s="12">
        <v>2931367.216892004</v>
      </c>
      <c r="P3" s="89"/>
    </row>
    <row r="4" spans="1:16" ht="15.75" customHeight="1" x14ac:dyDescent="0.25">
      <c r="A4" s="26" t="s">
        <v>2</v>
      </c>
      <c r="B4" s="26" t="s">
        <v>108</v>
      </c>
      <c r="C4" s="26" t="s">
        <v>58</v>
      </c>
      <c r="D4" s="19">
        <f t="shared" ref="D4:F69" si="0">IF(H4=0,0%,IF(L4=0,100%,H4/L4-1))</f>
        <v>-2.6504248797906307</v>
      </c>
      <c r="E4" s="19">
        <f t="shared" si="0"/>
        <v>-1.0000103821228541</v>
      </c>
      <c r="F4" s="19">
        <f t="shared" si="0"/>
        <v>0.62109853687873851</v>
      </c>
      <c r="G4" s="19">
        <f>IF(K4=0,0%,IF(O4=H30,100%,K4/O4-1))</f>
        <v>-0.28951269137467528</v>
      </c>
      <c r="H4" s="58">
        <v>28437.100000000035</v>
      </c>
      <c r="I4" s="58">
        <v>-1.999999999998181E-2</v>
      </c>
      <c r="J4" s="58">
        <v>423733.11059999978</v>
      </c>
      <c r="K4" s="58">
        <v>267337.66000000061</v>
      </c>
      <c r="L4" s="12">
        <v>-17230.169241999974</v>
      </c>
      <c r="M4" s="12">
        <v>1926.3883004714953</v>
      </c>
      <c r="N4" s="12">
        <v>261386.39999999944</v>
      </c>
      <c r="O4" s="12">
        <v>376273.66000000015</v>
      </c>
      <c r="P4" s="89"/>
    </row>
    <row r="5" spans="1:16" ht="15.75" customHeight="1" x14ac:dyDescent="0.25">
      <c r="A5" s="26" t="s">
        <v>104</v>
      </c>
      <c r="B5" s="26" t="s">
        <v>108</v>
      </c>
      <c r="C5" s="26" t="s">
        <v>58</v>
      </c>
      <c r="D5" s="19">
        <f t="shared" si="0"/>
        <v>0</v>
      </c>
      <c r="E5" s="19">
        <f t="shared" si="0"/>
        <v>1</v>
      </c>
      <c r="F5" s="19">
        <f t="shared" si="0"/>
        <v>1</v>
      </c>
      <c r="G5" s="19">
        <f>IF(K5=0,0%,IF(O5=H31,100%,K5/O5-1))</f>
        <v>0</v>
      </c>
      <c r="H5" s="58">
        <v>0</v>
      </c>
      <c r="I5" s="58">
        <v>-619.57152086553106</v>
      </c>
      <c r="J5" s="58">
        <v>300000</v>
      </c>
      <c r="K5" s="58">
        <v>0</v>
      </c>
      <c r="L5" s="12"/>
      <c r="M5" s="12"/>
      <c r="N5" s="12"/>
      <c r="O5" s="12"/>
      <c r="P5" s="89"/>
    </row>
    <row r="6" spans="1:16" ht="15.75" customHeight="1" x14ac:dyDescent="0.25">
      <c r="A6" s="28" t="s">
        <v>105</v>
      </c>
      <c r="B6" s="26" t="s">
        <v>108</v>
      </c>
      <c r="C6" s="28" t="s">
        <v>58</v>
      </c>
      <c r="D6" s="101">
        <f t="shared" si="0"/>
        <v>1</v>
      </c>
      <c r="E6" s="101">
        <f t="shared" si="0"/>
        <v>1</v>
      </c>
      <c r="F6" s="101">
        <f t="shared" si="0"/>
        <v>1</v>
      </c>
      <c r="G6" s="19">
        <v>-1</v>
      </c>
      <c r="H6" s="58">
        <v>-172176.73722238434</v>
      </c>
      <c r="I6" s="58">
        <v>-5219.4371480581758</v>
      </c>
      <c r="J6" s="58">
        <v>13531.010000000009</v>
      </c>
      <c r="K6" s="58">
        <v>-95073.949999999953</v>
      </c>
      <c r="L6" s="12"/>
      <c r="M6" s="12"/>
      <c r="N6" s="12"/>
      <c r="O6" s="12"/>
      <c r="P6" s="89"/>
    </row>
    <row r="7" spans="1:16" ht="15.75" customHeight="1" thickBot="1" x14ac:dyDescent="0.3">
      <c r="A7" s="26" t="s">
        <v>34</v>
      </c>
      <c r="B7" s="26" t="s">
        <v>108</v>
      </c>
      <c r="C7" s="27" t="s">
        <v>58</v>
      </c>
      <c r="D7" s="19">
        <f>IF(H7=0,0%,IF(L7=0,100%,H7/L7-1))</f>
        <v>-1.3200468933176814</v>
      </c>
      <c r="E7" s="19">
        <f>IF(I7=0,0%,IF(M7=0,100%,I7/M7-1))</f>
        <v>-1.000408890703224</v>
      </c>
      <c r="F7" s="19">
        <f>IF(J7=0,0%,IF(N7=0,100%,J7/N7-1))</f>
        <v>29.457414525591552</v>
      </c>
      <c r="G7" s="19">
        <f>IF(K7=0,0%,IF(O7=H74,100%,K7/O7-1))</f>
        <v>-1.8041936635886602</v>
      </c>
      <c r="H7" s="58">
        <v>-24.569999999999709</v>
      </c>
      <c r="I7" s="58">
        <v>-1.1800000000000637</v>
      </c>
      <c r="J7" s="58">
        <v>3011.0199999999986</v>
      </c>
      <c r="K7" s="58">
        <v>-157.62999999999738</v>
      </c>
      <c r="L7" s="12">
        <v>76.770000000004075</v>
      </c>
      <c r="M7" s="12">
        <v>2885.8567600000001</v>
      </c>
      <c r="N7" s="12">
        <v>98.860000000000582</v>
      </c>
      <c r="O7" s="12">
        <v>196.00999999998021</v>
      </c>
    </row>
    <row r="8" spans="1:16" ht="26.4" customHeight="1" thickBot="1" x14ac:dyDescent="0.3">
      <c r="A8" s="122" t="s">
        <v>3</v>
      </c>
      <c r="B8" s="121"/>
      <c r="C8" s="121"/>
      <c r="D8" s="126">
        <f t="shared" si="0"/>
        <v>-0.1295124647437661</v>
      </c>
      <c r="E8" s="126">
        <f t="shared" si="0"/>
        <v>-0.7892941594362437</v>
      </c>
      <c r="F8" s="126">
        <f t="shared" si="0"/>
        <v>4.2642456218474178</v>
      </c>
      <c r="G8" s="19">
        <f>IF(K8=0,0%,IF(O8=H75,100%,K8/O8-1))</f>
        <v>0.11060263417394522</v>
      </c>
      <c r="H8" s="124">
        <f>SUM(H3:H7)</f>
        <v>523351.38106521888</v>
      </c>
      <c r="I8" s="124">
        <f t="shared" ref="I8:O8" si="1">SUM(I3:I7)</f>
        <v>28473.100667652325</v>
      </c>
      <c r="J8" s="124">
        <f t="shared" si="1"/>
        <v>5001498.4700310193</v>
      </c>
      <c r="K8" s="124">
        <f t="shared" si="1"/>
        <v>3673692.3600000022</v>
      </c>
      <c r="L8" s="124">
        <f t="shared" si="1"/>
        <v>601216.39870600426</v>
      </c>
      <c r="M8" s="124">
        <f t="shared" si="1"/>
        <v>135131.99535177011</v>
      </c>
      <c r="N8" s="124">
        <f t="shared" si="1"/>
        <v>950088.35630200116</v>
      </c>
      <c r="O8" s="124">
        <f t="shared" si="1"/>
        <v>3307836.8868920039</v>
      </c>
    </row>
    <row r="9" spans="1:16" ht="15.75" customHeight="1" x14ac:dyDescent="0.25">
      <c r="A9" s="27" t="s">
        <v>4</v>
      </c>
      <c r="B9" s="26" t="s">
        <v>108</v>
      </c>
      <c r="C9" s="27" t="s">
        <v>106</v>
      </c>
      <c r="D9" s="103">
        <f t="shared" si="0"/>
        <v>-1.0025993391535981</v>
      </c>
      <c r="E9" s="103">
        <f t="shared" si="0"/>
        <v>-1.0063722551972165</v>
      </c>
      <c r="F9" s="103">
        <f t="shared" si="0"/>
        <v>0</v>
      </c>
      <c r="G9" s="103">
        <f t="shared" ref="G9:G20" si="2">IF(K9=0,0%,IF(O9=H33,100%,K9/O9-1))</f>
        <v>0.85604900830859809</v>
      </c>
      <c r="H9" s="58">
        <v>-0.38999999999941792</v>
      </c>
      <c r="I9" s="58">
        <v>-3.48700000000008</v>
      </c>
      <c r="J9" s="58">
        <v>0</v>
      </c>
      <c r="K9" s="58">
        <v>-91826.27999999997</v>
      </c>
      <c r="L9" s="12">
        <v>150.03813544668583</v>
      </c>
      <c r="M9" s="12">
        <v>547.21600000000001</v>
      </c>
      <c r="N9" s="12">
        <v>0</v>
      </c>
      <c r="O9" s="12">
        <v>-49474.059999999939</v>
      </c>
    </row>
    <row r="10" spans="1:16" ht="15.75" customHeight="1" x14ac:dyDescent="0.25">
      <c r="A10" s="26" t="s">
        <v>5</v>
      </c>
      <c r="B10" s="26" t="s">
        <v>108</v>
      </c>
      <c r="C10" s="26" t="s">
        <v>106</v>
      </c>
      <c r="D10" s="19">
        <f t="shared" si="0"/>
        <v>-0.32929307738081137</v>
      </c>
      <c r="E10" s="19">
        <f t="shared" si="0"/>
        <v>-7.3119414465905308E-2</v>
      </c>
      <c r="F10" s="19">
        <f t="shared" si="0"/>
        <v>-4.5834503741817958</v>
      </c>
      <c r="G10" s="19">
        <f t="shared" si="2"/>
        <v>0.19329717606945973</v>
      </c>
      <c r="H10" s="58">
        <v>124141.77132493933</v>
      </c>
      <c r="I10" s="58">
        <v>93476.655081925681</v>
      </c>
      <c r="J10" s="58">
        <v>11747</v>
      </c>
      <c r="K10" s="58">
        <v>102265.20999999996</v>
      </c>
      <c r="L10" s="12">
        <v>185090.9348604175</v>
      </c>
      <c r="M10" s="12">
        <v>100850.80704119161</v>
      </c>
      <c r="N10" s="12">
        <v>-3278.1254861614143</v>
      </c>
      <c r="O10" s="12">
        <v>85699.70000000007</v>
      </c>
    </row>
    <row r="11" spans="1:16" ht="15.75" customHeight="1" x14ac:dyDescent="0.25">
      <c r="A11" s="26" t="s">
        <v>6</v>
      </c>
      <c r="B11" s="26" t="s">
        <v>108</v>
      </c>
      <c r="C11" s="26" t="s">
        <v>106</v>
      </c>
      <c r="D11" s="19">
        <f t="shared" si="0"/>
        <v>-0.73661921051822676</v>
      </c>
      <c r="E11" s="19">
        <f t="shared" si="0"/>
        <v>-0.50319693610661775</v>
      </c>
      <c r="F11" s="19">
        <f t="shared" si="0"/>
        <v>20.098504118437166</v>
      </c>
      <c r="G11" s="19">
        <f t="shared" si="2"/>
        <v>-1.054213333288075</v>
      </c>
      <c r="H11" s="58">
        <v>22581.726042031529</v>
      </c>
      <c r="I11" s="58">
        <v>17497.380414030486</v>
      </c>
      <c r="J11" s="58">
        <v>161738.06602002628</v>
      </c>
      <c r="K11" s="58">
        <v>3833.0800000000745</v>
      </c>
      <c r="L11" s="12">
        <v>85737.938922816727</v>
      </c>
      <c r="M11" s="12">
        <v>35219.952705013027</v>
      </c>
      <c r="N11" s="12">
        <v>7665.8546554819332</v>
      </c>
      <c r="O11" s="12">
        <v>-70703.640000000014</v>
      </c>
    </row>
    <row r="12" spans="1:16" ht="15.75" customHeight="1" x14ac:dyDescent="0.25">
      <c r="A12" s="26" t="s">
        <v>7</v>
      </c>
      <c r="B12" s="26" t="s">
        <v>108</v>
      </c>
      <c r="C12" s="26" t="s">
        <v>106</v>
      </c>
      <c r="D12" s="19">
        <f t="shared" si="0"/>
        <v>16262</v>
      </c>
      <c r="E12" s="19">
        <f t="shared" si="0"/>
        <v>9953.5360242420466</v>
      </c>
      <c r="F12" s="19">
        <f t="shared" si="0"/>
        <v>1</v>
      </c>
      <c r="G12" s="19">
        <v>1</v>
      </c>
      <c r="H12" s="58">
        <v>4065.75</v>
      </c>
      <c r="I12" s="58">
        <v>3284.9968879999997</v>
      </c>
      <c r="J12" s="58">
        <v>260023.05000000005</v>
      </c>
      <c r="K12" s="58">
        <v>56590.59</v>
      </c>
      <c r="L12" s="12">
        <v>0.25</v>
      </c>
      <c r="M12" s="12">
        <v>0.33000000000001251</v>
      </c>
      <c r="N12" s="12">
        <v>0</v>
      </c>
      <c r="O12" s="12">
        <v>0</v>
      </c>
    </row>
    <row r="13" spans="1:16" ht="15.75" customHeight="1" x14ac:dyDescent="0.25">
      <c r="A13" s="26" t="s">
        <v>8</v>
      </c>
      <c r="B13" s="26" t="s">
        <v>108</v>
      </c>
      <c r="C13" s="26" t="s">
        <v>106</v>
      </c>
      <c r="D13" s="19">
        <f t="shared" si="0"/>
        <v>1</v>
      </c>
      <c r="E13" s="19">
        <f t="shared" si="0"/>
        <v>2.5291813485362473</v>
      </c>
      <c r="F13" s="19">
        <f t="shared" si="0"/>
        <v>0</v>
      </c>
      <c r="G13" s="19">
        <f t="shared" si="2"/>
        <v>0</v>
      </c>
      <c r="H13" s="58">
        <v>16949.803313</v>
      </c>
      <c r="I13" s="58">
        <v>24218.126626273952</v>
      </c>
      <c r="J13" s="58">
        <v>0</v>
      </c>
      <c r="K13" s="58">
        <v>0</v>
      </c>
      <c r="L13" s="12">
        <v>0</v>
      </c>
      <c r="M13" s="12">
        <v>6862.2505432651087</v>
      </c>
      <c r="N13" s="12">
        <v>1479.7399999999907</v>
      </c>
      <c r="O13" s="12">
        <v>203.10000000000582</v>
      </c>
    </row>
    <row r="14" spans="1:16" ht="15.75" customHeight="1" x14ac:dyDescent="0.25">
      <c r="A14" s="26" t="s">
        <v>9</v>
      </c>
      <c r="B14" s="26" t="s">
        <v>108</v>
      </c>
      <c r="C14" s="26" t="s">
        <v>106</v>
      </c>
      <c r="D14" s="19">
        <f t="shared" si="0"/>
        <v>-1.0044445754992357</v>
      </c>
      <c r="E14" s="19">
        <f t="shared" si="0"/>
        <v>-1.0042916750623245</v>
      </c>
      <c r="F14" s="19">
        <f t="shared" si="0"/>
        <v>-8.4713960781515141</v>
      </c>
      <c r="G14" s="19">
        <f t="shared" si="2"/>
        <v>-1.0019928312561133</v>
      </c>
      <c r="H14" s="58">
        <v>-532.75</v>
      </c>
      <c r="I14" s="58">
        <v>-62.196000000003551</v>
      </c>
      <c r="J14" s="58">
        <v>-192124.85000000009</v>
      </c>
      <c r="K14" s="58">
        <v>-1678.6900000000605</v>
      </c>
      <c r="L14" s="12">
        <v>119865.21549507073</v>
      </c>
      <c r="M14" s="12">
        <v>14492.243493922528</v>
      </c>
      <c r="N14" s="12">
        <v>25714.718908000039</v>
      </c>
      <c r="O14" s="12">
        <v>842364.34713199968</v>
      </c>
    </row>
    <row r="15" spans="1:16" ht="15.75" customHeight="1" x14ac:dyDescent="0.25">
      <c r="A15" s="26" t="s">
        <v>31</v>
      </c>
      <c r="B15" s="26" t="s">
        <v>108</v>
      </c>
      <c r="C15" s="26" t="s">
        <v>106</v>
      </c>
      <c r="D15" s="19">
        <f t="shared" si="0"/>
        <v>1848.8177834323405</v>
      </c>
      <c r="E15" s="19">
        <f t="shared" si="0"/>
        <v>0</v>
      </c>
      <c r="F15" s="19">
        <f t="shared" si="0"/>
        <v>1</v>
      </c>
      <c r="G15" s="19">
        <v>1</v>
      </c>
      <c r="H15" s="58">
        <v>130856.11</v>
      </c>
      <c r="I15" s="58">
        <v>0</v>
      </c>
      <c r="J15" s="58">
        <v>54243.749999999971</v>
      </c>
      <c r="K15" s="58">
        <v>113643.55</v>
      </c>
      <c r="L15" s="12">
        <v>70.739999999997963</v>
      </c>
      <c r="M15" s="12">
        <v>0</v>
      </c>
      <c r="N15" s="12">
        <v>0</v>
      </c>
      <c r="O15" s="12">
        <v>0</v>
      </c>
    </row>
    <row r="16" spans="1:16" ht="15.75" customHeight="1" x14ac:dyDescent="0.25">
      <c r="A16" s="26" t="s">
        <v>96</v>
      </c>
      <c r="B16" s="26" t="s">
        <v>108</v>
      </c>
      <c r="C16" s="26" t="s">
        <v>106</v>
      </c>
      <c r="D16" s="19">
        <f t="shared" si="0"/>
        <v>-3.5096246466259391</v>
      </c>
      <c r="E16" s="19">
        <f t="shared" si="0"/>
        <v>55.023519892109491</v>
      </c>
      <c r="F16" s="19">
        <f t="shared" si="0"/>
        <v>0.4996110254095687</v>
      </c>
      <c r="G16" s="19">
        <f t="shared" si="2"/>
        <v>-1.0421612490161687</v>
      </c>
      <c r="H16" s="58">
        <v>23274.727589999995</v>
      </c>
      <c r="I16" s="58">
        <v>2077.0720000000001</v>
      </c>
      <c r="J16" s="58">
        <v>6094</v>
      </c>
      <c r="K16" s="58">
        <v>-218.22999999999593</v>
      </c>
      <c r="L16" s="12">
        <v>-9274.1867280000079</v>
      </c>
      <c r="M16" s="12">
        <v>37.075000000000728</v>
      </c>
      <c r="N16" s="12">
        <v>4063.720456</v>
      </c>
      <c r="O16" s="12">
        <v>5176.0800520000003</v>
      </c>
    </row>
    <row r="17" spans="1:18" ht="15.75" customHeight="1" x14ac:dyDescent="0.25">
      <c r="A17" s="26" t="s">
        <v>42</v>
      </c>
      <c r="B17" s="26" t="s">
        <v>108</v>
      </c>
      <c r="C17" s="26" t="s">
        <v>106</v>
      </c>
      <c r="D17" s="19">
        <f t="shared" si="0"/>
        <v>-0.81655762294287704</v>
      </c>
      <c r="E17" s="19">
        <f t="shared" si="0"/>
        <v>-0.80661383729845004</v>
      </c>
      <c r="F17" s="19">
        <f t="shared" si="0"/>
        <v>0.72454707774940674</v>
      </c>
      <c r="G17" s="19">
        <f t="shared" si="2"/>
        <v>-4.2267512677038264</v>
      </c>
      <c r="H17" s="58">
        <v>15504.103799999983</v>
      </c>
      <c r="I17" s="58">
        <v>10696.090541999991</v>
      </c>
      <c r="J17" s="58">
        <v>174699.2200000002</v>
      </c>
      <c r="K17" s="58">
        <v>-8609.6499999999069</v>
      </c>
      <c r="L17" s="12">
        <v>84517.569215602183</v>
      </c>
      <c r="M17" s="12">
        <v>55309.492636797964</v>
      </c>
      <c r="N17" s="12">
        <v>101301.50823599938</v>
      </c>
      <c r="O17" s="12">
        <v>2668.2099999999627</v>
      </c>
    </row>
    <row r="18" spans="1:18" ht="15.75" customHeight="1" x14ac:dyDescent="0.25">
      <c r="A18" s="26" t="s">
        <v>43</v>
      </c>
      <c r="B18" s="26" t="s">
        <v>108</v>
      </c>
      <c r="C18" s="26" t="s">
        <v>106</v>
      </c>
      <c r="D18" s="19">
        <f t="shared" si="0"/>
        <v>1.524688107849804</v>
      </c>
      <c r="E18" s="19">
        <f t="shared" si="0"/>
        <v>-0.5770030922053031</v>
      </c>
      <c r="F18" s="19">
        <f t="shared" si="0"/>
        <v>4.1267310286698864</v>
      </c>
      <c r="G18" s="19">
        <f t="shared" si="2"/>
        <v>-0.82303210811975835</v>
      </c>
      <c r="H18" s="58">
        <v>191593.87139999995</v>
      </c>
      <c r="I18" s="58">
        <v>35280.552639999994</v>
      </c>
      <c r="J18" s="58">
        <v>814779.45500000101</v>
      </c>
      <c r="K18" s="58">
        <v>305448.70499999961</v>
      </c>
      <c r="L18" s="12">
        <v>75888.134777635685</v>
      </c>
      <c r="M18" s="12">
        <v>83406.17151065213</v>
      </c>
      <c r="N18" s="12">
        <v>158927.6773919994</v>
      </c>
      <c r="O18" s="12">
        <v>1726012</v>
      </c>
    </row>
    <row r="19" spans="1:18" ht="15.75" customHeight="1" x14ac:dyDescent="0.25">
      <c r="A19" s="26" t="s">
        <v>30</v>
      </c>
      <c r="B19" s="26" t="s">
        <v>108</v>
      </c>
      <c r="C19" s="26" t="s">
        <v>106</v>
      </c>
      <c r="D19" s="19">
        <f t="shared" si="0"/>
        <v>8886.484167593615</v>
      </c>
      <c r="E19" s="19">
        <f t="shared" si="0"/>
        <v>6.8687813932380992</v>
      </c>
      <c r="F19" s="19">
        <f t="shared" si="0"/>
        <v>0</v>
      </c>
      <c r="G19" s="19">
        <f t="shared" si="2"/>
        <v>0</v>
      </c>
      <c r="H19" s="58">
        <v>1198477.2400000002</v>
      </c>
      <c r="I19" s="58">
        <v>61195.245999999992</v>
      </c>
      <c r="J19" s="58">
        <v>0</v>
      </c>
      <c r="K19" s="58">
        <v>0</v>
      </c>
      <c r="L19" s="12">
        <v>134.85000000000014</v>
      </c>
      <c r="M19" s="12">
        <v>7776.9660817603935</v>
      </c>
      <c r="N19" s="12">
        <v>2216.616704</v>
      </c>
      <c r="O19" s="12">
        <v>38422.42</v>
      </c>
    </row>
    <row r="20" spans="1:18" ht="15.75" customHeight="1" x14ac:dyDescent="0.25">
      <c r="A20" s="28" t="s">
        <v>130</v>
      </c>
      <c r="B20" s="26" t="s">
        <v>108</v>
      </c>
      <c r="C20" s="26" t="s">
        <v>106</v>
      </c>
      <c r="D20" s="19">
        <f t="shared" si="0"/>
        <v>0</v>
      </c>
      <c r="E20" s="19">
        <f t="shared" si="0"/>
        <v>0</v>
      </c>
      <c r="F20" s="19">
        <f t="shared" si="0"/>
        <v>0</v>
      </c>
      <c r="G20" s="19">
        <f t="shared" si="2"/>
        <v>0</v>
      </c>
      <c r="H20" s="58"/>
      <c r="I20" s="58"/>
      <c r="J20" s="58"/>
      <c r="K20" s="58"/>
      <c r="L20" s="12"/>
      <c r="M20" s="12"/>
      <c r="N20" s="12"/>
      <c r="O20" s="12"/>
    </row>
    <row r="21" spans="1:18" ht="15.75" customHeight="1" thickBot="1" x14ac:dyDescent="0.3">
      <c r="A21" s="28" t="s">
        <v>38</v>
      </c>
      <c r="B21" s="26" t="s">
        <v>108</v>
      </c>
      <c r="C21" s="28" t="s">
        <v>106</v>
      </c>
      <c r="D21" s="101">
        <f t="shared" si="0"/>
        <v>0</v>
      </c>
      <c r="E21" s="101">
        <f t="shared" si="0"/>
        <v>0</v>
      </c>
      <c r="F21" s="101">
        <f t="shared" si="0"/>
        <v>0</v>
      </c>
      <c r="G21" s="19">
        <f t="shared" ref="G21:G76" si="3">IF(K21=0,0%,IF(O21=H44,100%,K21/O21-1))</f>
        <v>0</v>
      </c>
      <c r="H21" s="58">
        <v>0</v>
      </c>
      <c r="I21" s="58">
        <v>0</v>
      </c>
      <c r="J21" s="58">
        <v>0</v>
      </c>
      <c r="K21" s="58">
        <v>0</v>
      </c>
      <c r="L21" s="12">
        <v>0</v>
      </c>
      <c r="M21" s="12">
        <v>2426.6313737676819</v>
      </c>
      <c r="N21" s="12">
        <v>124964.59</v>
      </c>
      <c r="O21" s="12">
        <v>0</v>
      </c>
    </row>
    <row r="22" spans="1:18" ht="18" customHeight="1" thickBot="1" x14ac:dyDescent="0.3">
      <c r="A22" s="122" t="s">
        <v>10</v>
      </c>
      <c r="B22" s="121"/>
      <c r="C22" s="121"/>
      <c r="D22" s="126">
        <f t="shared" si="0"/>
        <v>2.1851179213403555</v>
      </c>
      <c r="E22" s="126">
        <f t="shared" si="0"/>
        <v>-0.19310222513229047</v>
      </c>
      <c r="F22" s="126">
        <f t="shared" si="0"/>
        <v>2.0520753109669032</v>
      </c>
      <c r="G22" s="19">
        <f t="shared" si="3"/>
        <v>-0.81419384529871508</v>
      </c>
      <c r="H22" s="124">
        <f>SUM(H9:H21)</f>
        <v>1726911.963469971</v>
      </c>
      <c r="I22" s="124">
        <f t="shared" ref="I22:O22" si="4">SUM(I9:I21)</f>
        <v>247660.43719223008</v>
      </c>
      <c r="J22" s="124">
        <f t="shared" si="4"/>
        <v>1291199.6910200273</v>
      </c>
      <c r="K22" s="124">
        <f t="shared" si="4"/>
        <v>479448.28499999974</v>
      </c>
      <c r="L22" s="124">
        <f t="shared" si="4"/>
        <v>542181.48467898951</v>
      </c>
      <c r="M22" s="124">
        <f t="shared" si="4"/>
        <v>306929.13638637046</v>
      </c>
      <c r="N22" s="124">
        <f t="shared" si="4"/>
        <v>423056.30086531932</v>
      </c>
      <c r="O22" s="124">
        <f t="shared" si="4"/>
        <v>2580368.1571839997</v>
      </c>
      <c r="P22" s="35"/>
      <c r="Q22" s="35"/>
      <c r="R22" s="35"/>
    </row>
    <row r="23" spans="1:18" ht="15.75" customHeight="1" x14ac:dyDescent="0.25">
      <c r="A23" s="27" t="s">
        <v>11</v>
      </c>
      <c r="B23" s="27" t="s">
        <v>56</v>
      </c>
      <c r="C23" s="27" t="s">
        <v>107</v>
      </c>
      <c r="D23" s="103">
        <f t="shared" si="0"/>
        <v>-0.28717226684329489</v>
      </c>
      <c r="E23" s="103">
        <f t="shared" si="0"/>
        <v>1.9627821730525508</v>
      </c>
      <c r="F23" s="103">
        <f t="shared" si="0"/>
        <v>0.20200959113150918</v>
      </c>
      <c r="G23" s="19">
        <f t="shared" si="3"/>
        <v>0</v>
      </c>
      <c r="H23" s="58">
        <v>85062.362220000068</v>
      </c>
      <c r="I23" s="58">
        <v>29635.78</v>
      </c>
      <c r="J23" s="58">
        <v>114282.83999999997</v>
      </c>
      <c r="K23" s="58">
        <v>0</v>
      </c>
      <c r="L23" s="12">
        <v>119330.88215199998</v>
      </c>
      <c r="M23" s="12">
        <v>10002.686079843086</v>
      </c>
      <c r="N23" s="12">
        <v>95076.479291999713</v>
      </c>
      <c r="O23" s="12">
        <v>518057.26063199993</v>
      </c>
    </row>
    <row r="24" spans="1:18" customFormat="1" ht="15.75" customHeight="1" x14ac:dyDescent="0.25">
      <c r="A24" s="30" t="s">
        <v>12</v>
      </c>
      <c r="B24" s="26" t="s">
        <v>56</v>
      </c>
      <c r="C24" s="27" t="s">
        <v>107</v>
      </c>
      <c r="D24" s="19">
        <f t="shared" si="0"/>
        <v>0</v>
      </c>
      <c r="E24" s="19">
        <f t="shared" si="0"/>
        <v>0</v>
      </c>
      <c r="F24" s="19">
        <f t="shared" si="0"/>
        <v>0</v>
      </c>
      <c r="G24" s="19">
        <f t="shared" si="3"/>
        <v>0</v>
      </c>
      <c r="H24" s="58">
        <v>0</v>
      </c>
      <c r="I24" s="58">
        <v>0</v>
      </c>
      <c r="J24" s="58">
        <v>0</v>
      </c>
      <c r="K24" s="58">
        <v>0</v>
      </c>
      <c r="L24" s="12">
        <v>-15574.276898031672</v>
      </c>
      <c r="M24" s="12">
        <v>0</v>
      </c>
      <c r="N24" s="12">
        <v>6300</v>
      </c>
      <c r="O24" s="12">
        <v>0</v>
      </c>
    </row>
    <row r="25" spans="1:18" ht="15.75" customHeight="1" x14ac:dyDescent="0.25">
      <c r="A25" s="30" t="s">
        <v>13</v>
      </c>
      <c r="B25" s="26" t="s">
        <v>56</v>
      </c>
      <c r="C25" s="27" t="s">
        <v>107</v>
      </c>
      <c r="D25" s="19">
        <f t="shared" si="0"/>
        <v>0</v>
      </c>
      <c r="E25" s="19">
        <f t="shared" si="0"/>
        <v>174.9094012648271</v>
      </c>
      <c r="F25" s="19">
        <f t="shared" si="0"/>
        <v>-0.4230311469563105</v>
      </c>
      <c r="G25" s="19">
        <f t="shared" si="3"/>
        <v>0</v>
      </c>
      <c r="H25" s="58">
        <v>0</v>
      </c>
      <c r="I25" s="58">
        <v>4403</v>
      </c>
      <c r="J25" s="58">
        <v>3961.350288042715</v>
      </c>
      <c r="K25" s="58">
        <v>0</v>
      </c>
      <c r="L25" s="12">
        <v>-283.440621577618</v>
      </c>
      <c r="M25" s="12">
        <v>25.029929999996966</v>
      </c>
      <c r="N25" s="12">
        <v>6865.7957308186815</v>
      </c>
      <c r="O25" s="12">
        <v>0</v>
      </c>
    </row>
    <row r="26" spans="1:18" ht="15.75" customHeight="1" x14ac:dyDescent="0.25">
      <c r="A26" s="30" t="s">
        <v>15</v>
      </c>
      <c r="B26" s="26" t="s">
        <v>56</v>
      </c>
      <c r="C26" s="27" t="s">
        <v>107</v>
      </c>
      <c r="D26" s="19">
        <f t="shared" si="0"/>
        <v>-0.94148253858742725</v>
      </c>
      <c r="E26" s="19">
        <f t="shared" si="0"/>
        <v>-0.67884117144082767</v>
      </c>
      <c r="F26" s="19">
        <f t="shared" si="0"/>
        <v>11.949262179683839</v>
      </c>
      <c r="G26" s="19">
        <f t="shared" si="3"/>
        <v>-2.4774973572458396</v>
      </c>
      <c r="H26" s="58">
        <v>18646.532699999982</v>
      </c>
      <c r="I26" s="58">
        <v>3927.704429999998</v>
      </c>
      <c r="J26" s="58">
        <v>182485.14639999997</v>
      </c>
      <c r="K26" s="58">
        <v>186982.58000000007</v>
      </c>
      <c r="L26" s="12">
        <v>318649.03654200025</v>
      </c>
      <c r="M26" s="12">
        <v>12229.788132000031</v>
      </c>
      <c r="N26" s="12">
        <v>14092.319999999832</v>
      </c>
      <c r="O26" s="12">
        <v>-126553.58000000007</v>
      </c>
    </row>
    <row r="27" spans="1:18" ht="15.75" customHeight="1" x14ac:dyDescent="0.25">
      <c r="A27" s="30" t="s">
        <v>17</v>
      </c>
      <c r="B27" s="26" t="s">
        <v>56</v>
      </c>
      <c r="C27" s="27" t="s">
        <v>107</v>
      </c>
      <c r="D27" s="19">
        <f t="shared" si="0"/>
        <v>-0.58317857648004079</v>
      </c>
      <c r="E27" s="19">
        <f t="shared" si="0"/>
        <v>-1.5215979517024434</v>
      </c>
      <c r="F27" s="19">
        <f t="shared" si="0"/>
        <v>-0.71920961849129228</v>
      </c>
      <c r="G27" s="19">
        <f t="shared" si="3"/>
        <v>0</v>
      </c>
      <c r="H27" s="58">
        <v>20188.657978161318</v>
      </c>
      <c r="I27" s="58">
        <v>-4920.5639638570065</v>
      </c>
      <c r="J27" s="58">
        <v>590.0136995925277</v>
      </c>
      <c r="K27" s="58">
        <v>0</v>
      </c>
      <c r="L27" s="12">
        <v>48434.789670053025</v>
      </c>
      <c r="M27" s="12">
        <v>9433.6336018896909</v>
      </c>
      <c r="N27" s="12">
        <v>2101.260365196058</v>
      </c>
      <c r="O27" s="12">
        <v>21406.758022000067</v>
      </c>
    </row>
    <row r="28" spans="1:18" ht="15.75" customHeight="1" x14ac:dyDescent="0.25">
      <c r="A28" s="30" t="s">
        <v>18</v>
      </c>
      <c r="B28" s="26" t="s">
        <v>56</v>
      </c>
      <c r="C28" s="27" t="s">
        <v>107</v>
      </c>
      <c r="D28" s="19">
        <f t="shared" si="0"/>
        <v>-0.22732556939734316</v>
      </c>
      <c r="E28" s="19">
        <f t="shared" si="0"/>
        <v>1.2751490539490216</v>
      </c>
      <c r="F28" s="19">
        <f t="shared" si="0"/>
        <v>-25.852840161323826</v>
      </c>
      <c r="G28" s="19">
        <f t="shared" si="3"/>
        <v>-1.0010074273628375</v>
      </c>
      <c r="H28" s="58">
        <v>16848.900000000001</v>
      </c>
      <c r="I28" s="58">
        <v>8773.6253399999987</v>
      </c>
      <c r="J28" s="58">
        <v>30092.320000000007</v>
      </c>
      <c r="K28" s="58">
        <v>-175.27999999999884</v>
      </c>
      <c r="L28" s="12">
        <v>21805.949999999997</v>
      </c>
      <c r="M28" s="12">
        <v>3856.285953999999</v>
      </c>
      <c r="N28" s="12">
        <v>-1210.8201640000043</v>
      </c>
      <c r="O28" s="12">
        <v>173987.73</v>
      </c>
    </row>
    <row r="29" spans="1:18" ht="15.75" customHeight="1" x14ac:dyDescent="0.25">
      <c r="A29" s="26" t="s">
        <v>19</v>
      </c>
      <c r="B29" s="26" t="s">
        <v>56</v>
      </c>
      <c r="C29" s="27" t="s">
        <v>107</v>
      </c>
      <c r="D29" s="19">
        <f t="shared" si="0"/>
        <v>-0.3776533803133385</v>
      </c>
      <c r="E29" s="19">
        <f t="shared" si="0"/>
        <v>5.9190717627854763</v>
      </c>
      <c r="F29" s="19">
        <f t="shared" si="0"/>
        <v>4.7172763847615009</v>
      </c>
      <c r="G29" s="19">
        <f t="shared" si="3"/>
        <v>17.866806376804618</v>
      </c>
      <c r="H29" s="58">
        <v>127775.32875656738</v>
      </c>
      <c r="I29" s="58">
        <v>11476.489999999998</v>
      </c>
      <c r="J29" s="58">
        <v>388646.67000000004</v>
      </c>
      <c r="K29" s="58">
        <v>152868.10999999987</v>
      </c>
      <c r="L29" s="12">
        <v>205312.16000000061</v>
      </c>
      <c r="M29" s="12">
        <v>1658.6748039999802</v>
      </c>
      <c r="N29" s="12">
        <v>67977.590000000084</v>
      </c>
      <c r="O29" s="12">
        <v>8102.4900000002235</v>
      </c>
    </row>
    <row r="30" spans="1:18" ht="15.75" customHeight="1" x14ac:dyDescent="0.25">
      <c r="A30" s="26" t="s">
        <v>20</v>
      </c>
      <c r="B30" s="26" t="s">
        <v>56</v>
      </c>
      <c r="C30" s="27" t="s">
        <v>107</v>
      </c>
      <c r="D30" s="19">
        <f t="shared" si="0"/>
        <v>6.5533068820836649E-2</v>
      </c>
      <c r="E30" s="19">
        <f t="shared" si="0"/>
        <v>-0.89882555535832431</v>
      </c>
      <c r="F30" s="19">
        <f t="shared" si="0"/>
        <v>4.3302355520644786</v>
      </c>
      <c r="G30" s="19">
        <f t="shared" si="3"/>
        <v>-1.0710316370765605</v>
      </c>
      <c r="H30" s="58">
        <v>55386.45000000007</v>
      </c>
      <c r="I30" s="58">
        <v>2646.9406988497794</v>
      </c>
      <c r="J30" s="58">
        <v>482722.99000000022</v>
      </c>
      <c r="K30" s="58">
        <v>-84066.340000000317</v>
      </c>
      <c r="L30" s="12">
        <v>51980.038555999985</v>
      </c>
      <c r="M30" s="12">
        <v>26162.147054271583</v>
      </c>
      <c r="N30" s="12">
        <v>90563.162787999958</v>
      </c>
      <c r="O30" s="12">
        <v>1183505.5963779991</v>
      </c>
    </row>
    <row r="31" spans="1:18" ht="15.75" customHeight="1" x14ac:dyDescent="0.25">
      <c r="A31" s="26" t="s">
        <v>21</v>
      </c>
      <c r="B31" s="26" t="s">
        <v>56</v>
      </c>
      <c r="C31" s="27" t="s">
        <v>107</v>
      </c>
      <c r="D31" s="19">
        <f t="shared" si="0"/>
        <v>1</v>
      </c>
      <c r="E31" s="19">
        <f t="shared" si="0"/>
        <v>-1.0092478421701596</v>
      </c>
      <c r="F31" s="19">
        <f t="shared" si="0"/>
        <v>0</v>
      </c>
      <c r="G31" s="19">
        <f t="shared" ref="G31:G38" si="5">IF(K31=0,0%,IF(O31=H55,100%,K31/O31-1))</f>
        <v>0</v>
      </c>
      <c r="H31" s="58">
        <v>-3534.26</v>
      </c>
      <c r="I31" s="58">
        <v>-2.9999999999999361E-2</v>
      </c>
      <c r="J31" s="58">
        <v>0</v>
      </c>
      <c r="K31" s="58">
        <v>0</v>
      </c>
      <c r="L31" s="12">
        <v>0</v>
      </c>
      <c r="M31" s="12">
        <v>3.2440000000001419</v>
      </c>
      <c r="N31" s="12">
        <v>0</v>
      </c>
      <c r="O31" s="12">
        <v>0</v>
      </c>
    </row>
    <row r="32" spans="1:18" ht="15.75" customHeight="1" x14ac:dyDescent="0.25">
      <c r="A32" s="26" t="s">
        <v>22</v>
      </c>
      <c r="B32" s="26" t="s">
        <v>56</v>
      </c>
      <c r="C32" s="27" t="s">
        <v>107</v>
      </c>
      <c r="D32" s="19">
        <f t="shared" si="0"/>
        <v>-1.4649192610864883</v>
      </c>
      <c r="E32" s="19">
        <f t="shared" si="0"/>
        <v>-0.19125880666485473</v>
      </c>
      <c r="F32" s="19">
        <f t="shared" si="0"/>
        <v>1</v>
      </c>
      <c r="G32" s="19">
        <f t="shared" si="5"/>
        <v>0</v>
      </c>
      <c r="H32" s="58">
        <v>38955.94</v>
      </c>
      <c r="I32" s="58">
        <v>894.96</v>
      </c>
      <c r="J32" s="58">
        <v>32540.540000000005</v>
      </c>
      <c r="K32" s="58">
        <v>0</v>
      </c>
      <c r="L32" s="12">
        <v>-83790.763817705301</v>
      </c>
      <c r="M32" s="12">
        <v>1106.6086498071149</v>
      </c>
      <c r="N32" s="12">
        <v>0</v>
      </c>
      <c r="O32" s="12">
        <v>0</v>
      </c>
      <c r="P32" s="10"/>
      <c r="Q32" s="106"/>
    </row>
    <row r="33" spans="1:15" ht="15.75" customHeight="1" x14ac:dyDescent="0.25">
      <c r="A33" s="26" t="s">
        <v>23</v>
      </c>
      <c r="B33" s="26" t="s">
        <v>56</v>
      </c>
      <c r="C33" s="27" t="s">
        <v>107</v>
      </c>
      <c r="D33" s="19">
        <f t="shared" si="0"/>
        <v>0</v>
      </c>
      <c r="E33" s="19">
        <f t="shared" si="0"/>
        <v>0</v>
      </c>
      <c r="F33" s="19">
        <f t="shared" si="0"/>
        <v>0</v>
      </c>
      <c r="G33" s="19">
        <f t="shared" si="5"/>
        <v>0</v>
      </c>
      <c r="H33" s="58">
        <v>0</v>
      </c>
      <c r="I33" s="58">
        <v>0</v>
      </c>
      <c r="J33" s="58">
        <v>0</v>
      </c>
      <c r="K33" s="58">
        <v>0</v>
      </c>
      <c r="L33" s="12">
        <v>0</v>
      </c>
      <c r="M33" s="12">
        <v>9.9999999999997868E-3</v>
      </c>
      <c r="N33" s="12">
        <v>0</v>
      </c>
      <c r="O33" s="12">
        <v>0</v>
      </c>
    </row>
    <row r="34" spans="1:15" ht="15.75" customHeight="1" x14ac:dyDescent="0.25">
      <c r="A34" s="26" t="s">
        <v>24</v>
      </c>
      <c r="B34" s="26" t="s">
        <v>56</v>
      </c>
      <c r="C34" s="27" t="s">
        <v>107</v>
      </c>
      <c r="D34" s="19">
        <f t="shared" si="0"/>
        <v>0</v>
      </c>
      <c r="E34" s="19">
        <f t="shared" si="0"/>
        <v>63.176599234554075</v>
      </c>
      <c r="F34" s="19">
        <f t="shared" si="0"/>
        <v>0</v>
      </c>
      <c r="G34" s="19">
        <f t="shared" si="5"/>
        <v>0</v>
      </c>
      <c r="H34" s="58">
        <v>0</v>
      </c>
      <c r="I34" s="58">
        <v>-117.37899999999991</v>
      </c>
      <c r="J34" s="58">
        <v>0</v>
      </c>
      <c r="K34" s="58">
        <v>0</v>
      </c>
      <c r="L34" s="12">
        <v>0</v>
      </c>
      <c r="M34" s="12">
        <v>-1.8290000000000077</v>
      </c>
      <c r="N34" s="12">
        <v>0</v>
      </c>
      <c r="O34" s="12">
        <v>0</v>
      </c>
    </row>
    <row r="35" spans="1:15" ht="15.75" customHeight="1" x14ac:dyDescent="0.25">
      <c r="A35" s="30" t="s">
        <v>25</v>
      </c>
      <c r="B35" s="26" t="s">
        <v>56</v>
      </c>
      <c r="C35" s="27" t="s">
        <v>107</v>
      </c>
      <c r="D35" s="19">
        <f t="shared" si="0"/>
        <v>0.87017810279255525</v>
      </c>
      <c r="E35" s="19">
        <f t="shared" si="0"/>
        <v>-0.85642734100403439</v>
      </c>
      <c r="F35" s="19">
        <f t="shared" si="0"/>
        <v>-0.55511618418508502</v>
      </c>
      <c r="G35" s="19">
        <f t="shared" si="5"/>
        <v>-1.1555635938726714</v>
      </c>
      <c r="H35" s="58">
        <v>310177.02241180697</v>
      </c>
      <c r="I35" s="58">
        <v>8625.2500000000873</v>
      </c>
      <c r="J35" s="58">
        <v>160784.41229906003</v>
      </c>
      <c r="K35" s="58">
        <v>-314529.60000000009</v>
      </c>
      <c r="L35" s="12">
        <v>165854.26914615766</v>
      </c>
      <c r="M35" s="12">
        <v>60075.853301863419</v>
      </c>
      <c r="N35" s="12">
        <v>361407.64528496843</v>
      </c>
      <c r="O35" s="12">
        <v>2021871.5199999958</v>
      </c>
    </row>
    <row r="36" spans="1:15" ht="15.75" customHeight="1" x14ac:dyDescent="0.25">
      <c r="A36" s="26" t="s">
        <v>26</v>
      </c>
      <c r="B36" s="26" t="s">
        <v>56</v>
      </c>
      <c r="C36" s="27" t="s">
        <v>107</v>
      </c>
      <c r="D36" s="19">
        <f t="shared" si="0"/>
        <v>-5.5689585521531884</v>
      </c>
      <c r="E36" s="19">
        <f t="shared" si="0"/>
        <v>0</v>
      </c>
      <c r="F36" s="19">
        <f t="shared" si="0"/>
        <v>0</v>
      </c>
      <c r="G36" s="19">
        <f t="shared" si="5"/>
        <v>0</v>
      </c>
      <c r="H36" s="58">
        <v>2262</v>
      </c>
      <c r="I36" s="58">
        <v>0</v>
      </c>
      <c r="J36" s="58">
        <v>0</v>
      </c>
      <c r="K36" s="58">
        <v>0</v>
      </c>
      <c r="L36" s="12">
        <v>-495.07999999999993</v>
      </c>
      <c r="M36" s="12">
        <v>5.3600000000001273</v>
      </c>
      <c r="N36" s="12">
        <v>0</v>
      </c>
      <c r="O36" s="12">
        <v>0</v>
      </c>
    </row>
    <row r="37" spans="1:15" ht="15.75" customHeight="1" x14ac:dyDescent="0.25">
      <c r="A37" s="26" t="s">
        <v>27</v>
      </c>
      <c r="B37" s="26" t="s">
        <v>56</v>
      </c>
      <c r="C37" s="27" t="s">
        <v>107</v>
      </c>
      <c r="D37" s="19">
        <f t="shared" si="0"/>
        <v>0</v>
      </c>
      <c r="E37" s="19">
        <f t="shared" si="0"/>
        <v>-2.0092702169625749</v>
      </c>
      <c r="F37" s="19">
        <f t="shared" si="0"/>
        <v>1</v>
      </c>
      <c r="G37" s="19">
        <f t="shared" si="5"/>
        <v>0</v>
      </c>
      <c r="H37" s="58">
        <v>0</v>
      </c>
      <c r="I37" s="58">
        <v>10.233999999999924</v>
      </c>
      <c r="J37" s="58">
        <v>1000</v>
      </c>
      <c r="K37" s="58">
        <v>0</v>
      </c>
      <c r="L37" s="12">
        <v>-239.16405400000076</v>
      </c>
      <c r="M37" s="12">
        <v>-10.139999999999418</v>
      </c>
      <c r="N37" s="12">
        <v>0</v>
      </c>
      <c r="O37" s="12">
        <v>-210753.40592400005</v>
      </c>
    </row>
    <row r="38" spans="1:15" ht="15.75" customHeight="1" x14ac:dyDescent="0.25">
      <c r="A38" s="26" t="s">
        <v>28</v>
      </c>
      <c r="B38" s="26" t="s">
        <v>56</v>
      </c>
      <c r="C38" s="27" t="s">
        <v>107</v>
      </c>
      <c r="D38" s="19">
        <f t="shared" si="0"/>
        <v>0</v>
      </c>
      <c r="E38" s="19">
        <f t="shared" si="0"/>
        <v>0</v>
      </c>
      <c r="F38" s="19">
        <f t="shared" si="0"/>
        <v>0</v>
      </c>
      <c r="G38" s="19">
        <f t="shared" si="5"/>
        <v>0</v>
      </c>
      <c r="H38" s="58">
        <v>0</v>
      </c>
      <c r="I38" s="58">
        <v>0</v>
      </c>
      <c r="J38" s="58">
        <v>0</v>
      </c>
      <c r="K38" s="58">
        <v>0</v>
      </c>
      <c r="L38" s="12">
        <v>0</v>
      </c>
      <c r="M38" s="12">
        <v>0</v>
      </c>
      <c r="N38" s="12">
        <v>0</v>
      </c>
      <c r="O38" s="12">
        <v>0</v>
      </c>
    </row>
    <row r="39" spans="1:15" ht="15.75" customHeight="1" x14ac:dyDescent="0.25">
      <c r="A39" s="26" t="s">
        <v>29</v>
      </c>
      <c r="B39" s="26" t="s">
        <v>56</v>
      </c>
      <c r="C39" s="27" t="s">
        <v>107</v>
      </c>
      <c r="D39" s="19">
        <f t="shared" si="0"/>
        <v>-985.21312177604784</v>
      </c>
      <c r="E39" s="19">
        <f t="shared" si="0"/>
        <v>-1.0101968317456975</v>
      </c>
      <c r="F39" s="19">
        <f t="shared" si="0"/>
        <v>1</v>
      </c>
      <c r="G39" s="19">
        <f t="shared" ref="G39:G54" si="6">IF(K39=0,0%,IF(O39=H65,100%,K39/O39-1))</f>
        <v>1</v>
      </c>
      <c r="H39" s="58">
        <v>-79068.150000000009</v>
      </c>
      <c r="I39" s="58">
        <v>-7.75</v>
      </c>
      <c r="J39" s="58">
        <v>7519.890000000014</v>
      </c>
      <c r="K39" s="58">
        <v>-682.11999999999534</v>
      </c>
      <c r="L39" s="12">
        <v>80.336411139610391</v>
      </c>
      <c r="M39" s="12">
        <v>760.04</v>
      </c>
      <c r="N39" s="12">
        <v>0</v>
      </c>
      <c r="O39" s="12">
        <v>0</v>
      </c>
    </row>
    <row r="40" spans="1:15" ht="15.75" customHeight="1" x14ac:dyDescent="0.25">
      <c r="A40" s="30" t="s">
        <v>95</v>
      </c>
      <c r="B40" s="26" t="s">
        <v>56</v>
      </c>
      <c r="C40" s="27" t="s">
        <v>107</v>
      </c>
      <c r="D40" s="19">
        <f t="shared" si="0"/>
        <v>0.39518081570447228</v>
      </c>
      <c r="E40" s="19">
        <f t="shared" si="0"/>
        <v>-0.95395039845282192</v>
      </c>
      <c r="F40" s="19">
        <f t="shared" si="0"/>
        <v>0.93433278985648749</v>
      </c>
      <c r="G40" s="19">
        <f t="shared" si="6"/>
        <v>-1.0019996335931367</v>
      </c>
      <c r="H40" s="58">
        <v>89685.849999999977</v>
      </c>
      <c r="I40" s="58">
        <v>682.92052300000068</v>
      </c>
      <c r="J40" s="58">
        <v>167213.96966538858</v>
      </c>
      <c r="K40" s="58">
        <v>-787</v>
      </c>
      <c r="L40" s="12">
        <v>64282.599782390695</v>
      </c>
      <c r="M40" s="12">
        <v>14830.107103105867</v>
      </c>
      <c r="N40" s="12">
        <v>86445.295526316622</v>
      </c>
      <c r="O40" s="12">
        <v>393572.10376000009</v>
      </c>
    </row>
    <row r="41" spans="1:15" ht="15.75" customHeight="1" x14ac:dyDescent="0.25">
      <c r="A41" s="26" t="s">
        <v>83</v>
      </c>
      <c r="B41" s="26" t="s">
        <v>56</v>
      </c>
      <c r="C41" s="27" t="s">
        <v>107</v>
      </c>
      <c r="D41" s="19">
        <f t="shared" si="0"/>
        <v>0</v>
      </c>
      <c r="E41" s="19">
        <f t="shared" si="0"/>
        <v>-1.0243602664022782</v>
      </c>
      <c r="F41" s="19">
        <f t="shared" si="0"/>
        <v>-1.0002625000000001</v>
      </c>
      <c r="G41" s="19">
        <f t="shared" si="6"/>
        <v>0</v>
      </c>
      <c r="H41" s="58">
        <v>0</v>
      </c>
      <c r="I41" s="58">
        <v>-50.920999999998457</v>
      </c>
      <c r="J41" s="58">
        <v>-0.42000000000007276</v>
      </c>
      <c r="K41" s="58">
        <v>0</v>
      </c>
      <c r="L41" s="12">
        <v>107562.84857200005</v>
      </c>
      <c r="M41" s="12">
        <v>2090.3301778028326</v>
      </c>
      <c r="N41" s="12">
        <v>1600</v>
      </c>
      <c r="O41" s="12">
        <v>54298.195039999991</v>
      </c>
    </row>
    <row r="42" spans="1:15" ht="15.75" customHeight="1" x14ac:dyDescent="0.25">
      <c r="A42" s="26" t="s">
        <v>82</v>
      </c>
      <c r="B42" s="26" t="s">
        <v>56</v>
      </c>
      <c r="C42" s="27" t="s">
        <v>107</v>
      </c>
      <c r="D42" s="19">
        <f t="shared" si="0"/>
        <v>1</v>
      </c>
      <c r="E42" s="19">
        <f t="shared" si="0"/>
        <v>12.71428771395747</v>
      </c>
      <c r="F42" s="19">
        <f t="shared" si="0"/>
        <v>0</v>
      </c>
      <c r="G42" s="19">
        <f t="shared" si="6"/>
        <v>0</v>
      </c>
      <c r="H42" s="58">
        <v>1882.0339754816114</v>
      </c>
      <c r="I42" s="58">
        <v>19281.054239929948</v>
      </c>
      <c r="J42" s="58">
        <v>0</v>
      </c>
      <c r="K42" s="58">
        <v>0</v>
      </c>
      <c r="L42" s="12">
        <v>0</v>
      </c>
      <c r="M42" s="12">
        <v>1405.91</v>
      </c>
      <c r="N42" s="12">
        <v>119323.02</v>
      </c>
      <c r="O42" s="12">
        <v>0</v>
      </c>
    </row>
    <row r="43" spans="1:15" ht="15.75" customHeight="1" x14ac:dyDescent="0.25">
      <c r="A43" s="28" t="s">
        <v>85</v>
      </c>
      <c r="B43" s="26" t="s">
        <v>56</v>
      </c>
      <c r="C43" s="27" t="s">
        <v>107</v>
      </c>
      <c r="D43" s="19">
        <f t="shared" si="0"/>
        <v>0</v>
      </c>
      <c r="E43" s="19">
        <f t="shared" si="0"/>
        <v>1</v>
      </c>
      <c r="F43" s="19">
        <f t="shared" si="0"/>
        <v>0</v>
      </c>
      <c r="G43" s="19">
        <f t="shared" si="6"/>
        <v>0</v>
      </c>
      <c r="H43" s="58">
        <v>0</v>
      </c>
      <c r="I43" s="58">
        <v>-16.639000000000124</v>
      </c>
      <c r="J43" s="58">
        <v>0</v>
      </c>
      <c r="K43" s="58">
        <v>0</v>
      </c>
      <c r="L43" s="12">
        <v>0</v>
      </c>
      <c r="M43" s="12">
        <v>0</v>
      </c>
      <c r="N43" s="12">
        <v>0</v>
      </c>
      <c r="O43" s="12">
        <v>0</v>
      </c>
    </row>
    <row r="44" spans="1:15" ht="15.75" customHeight="1" x14ac:dyDescent="0.25">
      <c r="A44" s="28" t="s">
        <v>87</v>
      </c>
      <c r="B44" s="26" t="s">
        <v>56</v>
      </c>
      <c r="C44" s="27" t="s">
        <v>107</v>
      </c>
      <c r="D44" s="19">
        <f t="shared" si="0"/>
        <v>0</v>
      </c>
      <c r="E44" s="19">
        <f t="shared" si="0"/>
        <v>-628.29440124418397</v>
      </c>
      <c r="F44" s="19">
        <f t="shared" si="0"/>
        <v>-0.91037614573163983</v>
      </c>
      <c r="G44" s="19">
        <f t="shared" si="6"/>
        <v>0</v>
      </c>
      <c r="H44" s="58">
        <v>0</v>
      </c>
      <c r="I44" s="58">
        <v>-4033.5030000000002</v>
      </c>
      <c r="J44" s="58">
        <v>23212.520000000019</v>
      </c>
      <c r="K44" s="58">
        <v>0</v>
      </c>
      <c r="L44" s="12">
        <v>-74.5</v>
      </c>
      <c r="M44" s="12">
        <v>6.4299999999998363</v>
      </c>
      <c r="N44" s="12">
        <v>258999.34999999998</v>
      </c>
      <c r="O44" s="12">
        <v>0</v>
      </c>
    </row>
    <row r="45" spans="1:15" ht="15.75" customHeight="1" x14ac:dyDescent="0.25">
      <c r="A45" s="26" t="s">
        <v>97</v>
      </c>
      <c r="B45" s="26" t="s">
        <v>56</v>
      </c>
      <c r="C45" s="26" t="s">
        <v>107</v>
      </c>
      <c r="D45" s="19">
        <f t="shared" si="0"/>
        <v>-0.399227434519836</v>
      </c>
      <c r="E45" s="19">
        <f t="shared" si="0"/>
        <v>-3.0893617021275732</v>
      </c>
      <c r="F45" s="19">
        <f t="shared" si="0"/>
        <v>2.2878033500745212</v>
      </c>
      <c r="G45" s="19">
        <f t="shared" si="6"/>
        <v>0.76079025203060957</v>
      </c>
      <c r="H45" s="58">
        <v>2771.0417799999996</v>
      </c>
      <c r="I45" s="58">
        <v>-4.9100000000000819</v>
      </c>
      <c r="J45" s="58">
        <v>62033.090000000084</v>
      </c>
      <c r="K45" s="58">
        <v>370212.19</v>
      </c>
      <c r="L45" s="12">
        <v>4612.4639159999933</v>
      </c>
      <c r="M45" s="12">
        <v>2.3500000000001364</v>
      </c>
      <c r="N45" s="12">
        <v>18867.640000000014</v>
      </c>
      <c r="O45" s="12">
        <v>210253.42999999993</v>
      </c>
    </row>
    <row r="46" spans="1:15" ht="15.75" customHeight="1" x14ac:dyDescent="0.25">
      <c r="A46" s="26" t="s">
        <v>39</v>
      </c>
      <c r="B46" s="26" t="s">
        <v>56</v>
      </c>
      <c r="C46" s="26" t="s">
        <v>107</v>
      </c>
      <c r="D46" s="19">
        <f t="shared" si="0"/>
        <v>-51.134199463582441</v>
      </c>
      <c r="E46" s="19">
        <f t="shared" si="0"/>
        <v>1.9888875769145029</v>
      </c>
      <c r="F46" s="19">
        <f t="shared" si="0"/>
        <v>0</v>
      </c>
      <c r="G46" s="19">
        <v>-1</v>
      </c>
      <c r="H46" s="58">
        <v>-79068.150000000009</v>
      </c>
      <c r="I46" s="58">
        <v>2278.1600000000035</v>
      </c>
      <c r="J46" s="58">
        <v>0</v>
      </c>
      <c r="K46" s="58">
        <v>-417.56999999997788</v>
      </c>
      <c r="L46" s="12">
        <v>1577.1300000000047</v>
      </c>
      <c r="M46" s="12">
        <v>762.21</v>
      </c>
      <c r="N46" s="12">
        <v>40.840000000000146</v>
      </c>
      <c r="O46" s="12">
        <v>0</v>
      </c>
    </row>
    <row r="47" spans="1:15" ht="15.75" customHeight="1" x14ac:dyDescent="0.25">
      <c r="A47" s="26" t="s">
        <v>91</v>
      </c>
      <c r="B47" s="26" t="s">
        <v>56</v>
      </c>
      <c r="C47" s="26" t="s">
        <v>107</v>
      </c>
      <c r="D47" s="19">
        <f t="shared" si="0"/>
        <v>-0.91483790069428539</v>
      </c>
      <c r="E47" s="19">
        <f t="shared" si="0"/>
        <v>-1.2053010067803687</v>
      </c>
      <c r="F47" s="19">
        <f t="shared" si="0"/>
        <v>-47.61954216618259</v>
      </c>
      <c r="G47" s="19">
        <f t="shared" si="6"/>
        <v>-0.85130613799987787</v>
      </c>
      <c r="H47" s="58">
        <v>3796.4494000000122</v>
      </c>
      <c r="I47" s="58">
        <v>-4.9960000000000946</v>
      </c>
      <c r="J47" s="58">
        <v>40958.11</v>
      </c>
      <c r="K47" s="58">
        <v>22898.39000000013</v>
      </c>
      <c r="L47" s="12">
        <v>44579.095994000003</v>
      </c>
      <c r="M47" s="12">
        <v>24.334999999999127</v>
      </c>
      <c r="N47" s="12">
        <v>-878.56096600001911</v>
      </c>
      <c r="O47" s="12">
        <v>153996.87446399988</v>
      </c>
    </row>
    <row r="48" spans="1:15" ht="15.75" customHeight="1" x14ac:dyDescent="0.25">
      <c r="A48" s="26" t="s">
        <v>41</v>
      </c>
      <c r="B48" s="26" t="s">
        <v>56</v>
      </c>
      <c r="C48" s="26" t="s">
        <v>107</v>
      </c>
      <c r="D48" s="19">
        <f t="shared" si="0"/>
        <v>0</v>
      </c>
      <c r="E48" s="19">
        <f t="shared" si="0"/>
        <v>-0.99707713040801538</v>
      </c>
      <c r="F48" s="19">
        <f t="shared" si="0"/>
        <v>0</v>
      </c>
      <c r="G48" s="19">
        <f t="shared" si="6"/>
        <v>0</v>
      </c>
      <c r="H48" s="58">
        <v>0</v>
      </c>
      <c r="I48" s="58">
        <v>-2.5800000000000409</v>
      </c>
      <c r="J48" s="58">
        <v>0</v>
      </c>
      <c r="K48" s="58">
        <v>0</v>
      </c>
      <c r="L48" s="12">
        <v>0</v>
      </c>
      <c r="M48" s="12">
        <v>-882.69418761451016</v>
      </c>
      <c r="N48" s="12">
        <v>0</v>
      </c>
      <c r="O48" s="12">
        <v>0</v>
      </c>
    </row>
    <row r="49" spans="1:15" ht="15.75" customHeight="1" x14ac:dyDescent="0.25">
      <c r="A49" s="28" t="s">
        <v>88</v>
      </c>
      <c r="B49" s="28" t="s">
        <v>56</v>
      </c>
      <c r="C49" s="26" t="s">
        <v>107</v>
      </c>
      <c r="D49" s="101">
        <f t="shared" si="0"/>
        <v>0</v>
      </c>
      <c r="E49" s="101">
        <f t="shared" si="0"/>
        <v>1</v>
      </c>
      <c r="F49" s="101">
        <f t="shared" si="0"/>
        <v>0</v>
      </c>
      <c r="G49" s="19">
        <f t="shared" si="6"/>
        <v>0</v>
      </c>
      <c r="H49" s="58">
        <v>0</v>
      </c>
      <c r="I49" s="58">
        <v>-5.25</v>
      </c>
      <c r="J49" s="58">
        <v>0</v>
      </c>
      <c r="K49" s="58">
        <v>0</v>
      </c>
      <c r="L49" s="12">
        <v>-47.25</v>
      </c>
      <c r="M49" s="12">
        <v>0</v>
      </c>
      <c r="N49" s="12">
        <v>0.75350600000001577</v>
      </c>
      <c r="O49" s="12">
        <v>8.8891139999996085</v>
      </c>
    </row>
    <row r="50" spans="1:15" ht="15.75" customHeight="1" x14ac:dyDescent="0.25">
      <c r="A50" s="26" t="s">
        <v>14</v>
      </c>
      <c r="B50" s="26" t="s">
        <v>55</v>
      </c>
      <c r="C50" s="26" t="s">
        <v>107</v>
      </c>
      <c r="D50" s="19">
        <f t="shared" si="0"/>
        <v>0</v>
      </c>
      <c r="E50" s="19">
        <f t="shared" si="0"/>
        <v>0</v>
      </c>
      <c r="F50" s="19">
        <f t="shared" si="0"/>
        <v>0</v>
      </c>
      <c r="G50" s="19">
        <f t="shared" si="6"/>
        <v>0</v>
      </c>
      <c r="H50" s="58">
        <v>0</v>
      </c>
      <c r="I50" s="58">
        <v>0</v>
      </c>
      <c r="J50" s="58">
        <v>0</v>
      </c>
      <c r="K50" s="58">
        <v>0</v>
      </c>
      <c r="L50" s="12">
        <v>0</v>
      </c>
      <c r="M50" s="12">
        <v>0</v>
      </c>
      <c r="N50" s="12">
        <v>0</v>
      </c>
      <c r="O50" s="12">
        <v>0</v>
      </c>
    </row>
    <row r="51" spans="1:15" ht="15.75" customHeight="1" x14ac:dyDescent="0.25">
      <c r="A51" s="26" t="s">
        <v>36</v>
      </c>
      <c r="B51" s="26" t="s">
        <v>55</v>
      </c>
      <c r="C51" s="26" t="s">
        <v>107</v>
      </c>
      <c r="D51" s="19">
        <f t="shared" si="0"/>
        <v>0</v>
      </c>
      <c r="E51" s="19">
        <f t="shared" si="0"/>
        <v>0</v>
      </c>
      <c r="F51" s="19">
        <f t="shared" si="0"/>
        <v>0</v>
      </c>
      <c r="G51" s="19">
        <f t="shared" si="6"/>
        <v>0</v>
      </c>
      <c r="H51" s="58">
        <v>0</v>
      </c>
      <c r="I51" s="58">
        <v>0</v>
      </c>
      <c r="J51" s="58">
        <v>0</v>
      </c>
      <c r="K51" s="58">
        <v>0</v>
      </c>
      <c r="L51" s="12">
        <v>0</v>
      </c>
      <c r="M51" s="12">
        <v>0</v>
      </c>
      <c r="N51" s="12">
        <v>0</v>
      </c>
      <c r="O51" s="12">
        <v>0</v>
      </c>
    </row>
    <row r="52" spans="1:15" ht="15.75" customHeight="1" x14ac:dyDescent="0.25">
      <c r="A52" s="26" t="s">
        <v>94</v>
      </c>
      <c r="B52" s="26" t="s">
        <v>55</v>
      </c>
      <c r="C52" s="26" t="s">
        <v>107</v>
      </c>
      <c r="D52" s="19">
        <f t="shared" si="0"/>
        <v>0</v>
      </c>
      <c r="E52" s="19">
        <f t="shared" si="0"/>
        <v>0</v>
      </c>
      <c r="F52" s="19">
        <f t="shared" si="0"/>
        <v>0</v>
      </c>
      <c r="G52" s="19">
        <f t="shared" si="6"/>
        <v>0</v>
      </c>
      <c r="H52" s="58">
        <v>0</v>
      </c>
      <c r="I52" s="58">
        <v>0</v>
      </c>
      <c r="J52" s="58">
        <v>0</v>
      </c>
      <c r="K52" s="58">
        <v>0</v>
      </c>
      <c r="L52" s="12">
        <v>221.54159199999998</v>
      </c>
      <c r="M52" s="12">
        <v>2537.8228720000002</v>
      </c>
      <c r="N52" s="12">
        <v>0</v>
      </c>
      <c r="O52" s="12">
        <v>0</v>
      </c>
    </row>
    <row r="53" spans="1:15" ht="15.75" customHeight="1" x14ac:dyDescent="0.25">
      <c r="A53" s="26" t="s">
        <v>98</v>
      </c>
      <c r="B53" s="26" t="s">
        <v>55</v>
      </c>
      <c r="C53" s="27" t="s">
        <v>107</v>
      </c>
      <c r="D53" s="19">
        <f t="shared" si="0"/>
        <v>1</v>
      </c>
      <c r="E53" s="19">
        <f t="shared" si="0"/>
        <v>1</v>
      </c>
      <c r="F53" s="19">
        <f t="shared" si="0"/>
        <v>0</v>
      </c>
      <c r="G53" s="19">
        <f t="shared" si="6"/>
        <v>0</v>
      </c>
      <c r="H53" s="58">
        <v>-140.06000000000131</v>
      </c>
      <c r="I53" s="58">
        <v>153.45000000000073</v>
      </c>
      <c r="J53" s="58">
        <v>0</v>
      </c>
      <c r="K53" s="58">
        <v>0</v>
      </c>
      <c r="L53" s="12">
        <v>0</v>
      </c>
      <c r="M53" s="12">
        <v>0</v>
      </c>
      <c r="N53" s="12">
        <v>0</v>
      </c>
      <c r="O53" s="12">
        <v>-52867.72</v>
      </c>
    </row>
    <row r="54" spans="1:15" ht="15.75" customHeight="1" x14ac:dyDescent="0.25">
      <c r="A54" s="26" t="s">
        <v>129</v>
      </c>
      <c r="B54" s="26" t="s">
        <v>108</v>
      </c>
      <c r="C54" s="27" t="s">
        <v>107</v>
      </c>
      <c r="D54" s="19">
        <f t="shared" si="0"/>
        <v>0</v>
      </c>
      <c r="E54" s="19">
        <f t="shared" si="0"/>
        <v>0</v>
      </c>
      <c r="F54" s="19">
        <f t="shared" si="0"/>
        <v>0</v>
      </c>
      <c r="G54" s="19">
        <f t="shared" si="6"/>
        <v>0</v>
      </c>
      <c r="H54" s="58"/>
      <c r="I54" s="58"/>
      <c r="J54" s="58"/>
      <c r="K54" s="58"/>
      <c r="L54" s="12"/>
      <c r="M54" s="12"/>
      <c r="N54" s="12"/>
      <c r="O54" s="12"/>
    </row>
    <row r="55" spans="1:15" ht="15.75" customHeight="1" thickBot="1" x14ac:dyDescent="0.3">
      <c r="A55" s="26" t="s">
        <v>32</v>
      </c>
      <c r="B55" s="26" t="s">
        <v>55</v>
      </c>
      <c r="C55" s="27" t="s">
        <v>107</v>
      </c>
      <c r="D55" s="19">
        <f t="shared" si="0"/>
        <v>0</v>
      </c>
      <c r="E55" s="19">
        <f t="shared" si="0"/>
        <v>0</v>
      </c>
      <c r="F55" s="19">
        <f t="shared" si="0"/>
        <v>0</v>
      </c>
      <c r="G55" s="19">
        <f t="shared" ref="G55:G64" si="7">IF(K55=0,0%,IF(O55=H80,100%,K55/O55-1))</f>
        <v>0</v>
      </c>
      <c r="H55" s="58">
        <v>0</v>
      </c>
      <c r="I55" s="58">
        <v>0</v>
      </c>
      <c r="J55" s="58">
        <v>0</v>
      </c>
      <c r="K55" s="58">
        <v>0</v>
      </c>
      <c r="L55" s="12">
        <v>0.23999999999999488</v>
      </c>
      <c r="M55" s="12">
        <v>0</v>
      </c>
      <c r="N55" s="12">
        <v>0</v>
      </c>
      <c r="O55" s="12">
        <v>0</v>
      </c>
    </row>
    <row r="56" spans="1:15" ht="27" customHeight="1" thickBot="1" x14ac:dyDescent="0.3">
      <c r="A56" s="123" t="s">
        <v>115</v>
      </c>
      <c r="B56" s="121"/>
      <c r="C56" s="121"/>
      <c r="D56" s="19">
        <f t="shared" si="0"/>
        <v>-0.41958607712439888</v>
      </c>
      <c r="E56" s="19">
        <f t="shared" si="0"/>
        <v>-0.42755581367263729</v>
      </c>
      <c r="F56" s="19">
        <f t="shared" si="0"/>
        <v>0.50592936563058144</v>
      </c>
      <c r="G56" s="19">
        <f t="shared" si="7"/>
        <v>-0.92358885719494765</v>
      </c>
      <c r="H56" s="123">
        <f>SUM(H23:H55)</f>
        <v>611627.94922201731</v>
      </c>
      <c r="I56" s="123">
        <f t="shared" ref="I56:O56" si="8">SUM(I23:I55)</f>
        <v>83625.047267922797</v>
      </c>
      <c r="J56" s="123">
        <f t="shared" si="8"/>
        <v>1698043.4423520844</v>
      </c>
      <c r="K56" s="123">
        <f t="shared" si="8"/>
        <v>332303.35999999964</v>
      </c>
      <c r="L56" s="123">
        <f t="shared" si="8"/>
        <v>1053778.9069424274</v>
      </c>
      <c r="M56" s="123">
        <f t="shared" si="8"/>
        <v>146084.19347296905</v>
      </c>
      <c r="N56" s="123">
        <f t="shared" si="8"/>
        <v>1127571.7713632993</v>
      </c>
      <c r="O56" s="123">
        <f t="shared" si="8"/>
        <v>4348886.1414859956</v>
      </c>
    </row>
    <row r="57" spans="1:15" ht="15.75" customHeight="1" x14ac:dyDescent="0.25">
      <c r="A57" s="26" t="s">
        <v>35</v>
      </c>
      <c r="B57" s="26" t="s">
        <v>114</v>
      </c>
      <c r="C57" s="27" t="s">
        <v>107</v>
      </c>
      <c r="D57" s="19">
        <f t="shared" si="0"/>
        <v>-2.6024258760107593</v>
      </c>
      <c r="E57" s="19">
        <f t="shared" si="0"/>
        <v>0</v>
      </c>
      <c r="F57" s="19">
        <f t="shared" si="0"/>
        <v>1.287037400416017</v>
      </c>
      <c r="G57" s="19">
        <f t="shared" si="7"/>
        <v>0</v>
      </c>
      <c r="H57" s="58">
        <v>-178.35000000000218</v>
      </c>
      <c r="I57" s="58">
        <v>0</v>
      </c>
      <c r="J57" s="58">
        <v>582.76</v>
      </c>
      <c r="K57" s="58">
        <v>0</v>
      </c>
      <c r="L57" s="12">
        <v>111.30000000000291</v>
      </c>
      <c r="M57" s="12">
        <v>4.5700000000001637</v>
      </c>
      <c r="N57" s="12">
        <v>254.80999999999767</v>
      </c>
      <c r="O57" s="12">
        <v>0</v>
      </c>
    </row>
    <row r="58" spans="1:15" ht="15.75" customHeight="1" x14ac:dyDescent="0.25">
      <c r="A58" s="27" t="s">
        <v>86</v>
      </c>
      <c r="B58" s="27" t="s">
        <v>114</v>
      </c>
      <c r="C58" s="27" t="s">
        <v>107</v>
      </c>
      <c r="D58" s="19">
        <f t="shared" si="0"/>
        <v>-1.0462754706264188</v>
      </c>
      <c r="E58" s="19">
        <f t="shared" si="0"/>
        <v>-0.84455824419658687</v>
      </c>
      <c r="F58" s="19">
        <f t="shared" si="0"/>
        <v>8.296301519420421</v>
      </c>
      <c r="G58" s="19">
        <f t="shared" si="7"/>
        <v>-0.65066412947571739</v>
      </c>
      <c r="H58" s="58">
        <v>-23685.299999999988</v>
      </c>
      <c r="I58" s="58">
        <v>4128.8299999999981</v>
      </c>
      <c r="J58" s="58">
        <v>760604.58000000007</v>
      </c>
      <c r="K58" s="58">
        <v>144297.87999999942</v>
      </c>
      <c r="L58" s="12">
        <v>511832.71999999986</v>
      </c>
      <c r="M58" s="12">
        <v>26561.91046388926</v>
      </c>
      <c r="N58" s="12">
        <v>81817.976580370218</v>
      </c>
      <c r="O58" s="12">
        <v>413063.45032199938</v>
      </c>
    </row>
    <row r="59" spans="1:15" ht="15.75" customHeight="1" x14ac:dyDescent="0.25">
      <c r="A59" s="26" t="s">
        <v>37</v>
      </c>
      <c r="B59" s="26" t="s">
        <v>114</v>
      </c>
      <c r="C59" s="27" t="s">
        <v>107</v>
      </c>
      <c r="D59" s="19">
        <f t="shared" si="0"/>
        <v>-3.9028120142400078</v>
      </c>
      <c r="E59" s="19">
        <f t="shared" si="0"/>
        <v>-3.8815621550514194</v>
      </c>
      <c r="F59" s="19">
        <f t="shared" si="0"/>
        <v>0.18568241257049167</v>
      </c>
      <c r="G59" s="19">
        <f t="shared" si="7"/>
        <v>0</v>
      </c>
      <c r="H59" s="58">
        <v>-730722.51798999996</v>
      </c>
      <c r="I59" s="58">
        <v>-55765.494999999995</v>
      </c>
      <c r="J59" s="58">
        <v>88360</v>
      </c>
      <c r="K59" s="58">
        <v>0</v>
      </c>
      <c r="L59" s="12">
        <v>251729.19031800004</v>
      </c>
      <c r="M59" s="12">
        <v>19352.521999999997</v>
      </c>
      <c r="N59" s="12">
        <v>74522.485163999838</v>
      </c>
      <c r="O59" s="12">
        <v>-160672.1514740006</v>
      </c>
    </row>
    <row r="60" spans="1:15" ht="15.75" customHeight="1" x14ac:dyDescent="0.25">
      <c r="A60" s="30" t="s">
        <v>33</v>
      </c>
      <c r="B60" s="26" t="s">
        <v>114</v>
      </c>
      <c r="C60" s="26" t="s">
        <v>107</v>
      </c>
      <c r="D60" s="19">
        <f t="shared" si="0"/>
        <v>-18.919160493761648</v>
      </c>
      <c r="E60" s="19">
        <f t="shared" si="0"/>
        <v>-0.9996421388938026</v>
      </c>
      <c r="F60" s="19">
        <f t="shared" si="0"/>
        <v>-0.91278268880205826</v>
      </c>
      <c r="G60" s="19">
        <f t="shared" si="7"/>
        <v>-35.068206876622369</v>
      </c>
      <c r="H60" s="58">
        <v>54909.679999999993</v>
      </c>
      <c r="I60" s="58">
        <v>1.8000000000001819</v>
      </c>
      <c r="J60" s="58">
        <v>88401.090000000084</v>
      </c>
      <c r="K60" s="58">
        <v>274690.93</v>
      </c>
      <c r="L60" s="12">
        <v>-3064.2998046206558</v>
      </c>
      <c r="M60" s="12">
        <v>5029.8844127732536</v>
      </c>
      <c r="N60" s="12">
        <v>1013572.7504757822</v>
      </c>
      <c r="O60" s="12">
        <v>-8062.970000000003</v>
      </c>
    </row>
    <row r="61" spans="1:15" ht="15.75" customHeight="1" x14ac:dyDescent="0.25">
      <c r="A61" s="26" t="s">
        <v>84</v>
      </c>
      <c r="B61" s="26" t="s">
        <v>114</v>
      </c>
      <c r="C61" s="26" t="s">
        <v>107</v>
      </c>
      <c r="D61" s="19">
        <f t="shared" si="0"/>
        <v>0.59229728487894229</v>
      </c>
      <c r="E61" s="19">
        <f t="shared" si="0"/>
        <v>-0.74521450496013697</v>
      </c>
      <c r="F61" s="19">
        <f t="shared" si="0"/>
        <v>-2.2755449639165093E-2</v>
      </c>
      <c r="G61" s="19">
        <f t="shared" si="7"/>
        <v>-13.238616139305913</v>
      </c>
      <c r="H61" s="58">
        <v>168103.83072999999</v>
      </c>
      <c r="I61" s="58">
        <v>3391.5221189999938</v>
      </c>
      <c r="J61" s="58">
        <v>395034.87000000011</v>
      </c>
      <c r="K61" s="58">
        <v>308691.79999999981</v>
      </c>
      <c r="L61" s="12">
        <v>105573.14411471877</v>
      </c>
      <c r="M61" s="12">
        <v>13311.284139112258</v>
      </c>
      <c r="N61" s="12">
        <v>404233.38237510622</v>
      </c>
      <c r="O61" s="12">
        <v>-25222.769999999902</v>
      </c>
    </row>
    <row r="62" spans="1:15" ht="15.75" customHeight="1" x14ac:dyDescent="0.25">
      <c r="A62" s="107" t="s">
        <v>99</v>
      </c>
      <c r="B62" s="26" t="s">
        <v>114</v>
      </c>
      <c r="C62" s="27" t="s">
        <v>107</v>
      </c>
      <c r="D62" s="19">
        <f t="shared" si="0"/>
        <v>1</v>
      </c>
      <c r="E62" s="19">
        <f t="shared" si="0"/>
        <v>1</v>
      </c>
      <c r="F62" s="19">
        <f t="shared" si="0"/>
        <v>1</v>
      </c>
      <c r="G62" s="19">
        <f t="shared" si="7"/>
        <v>1</v>
      </c>
      <c r="H62" s="58">
        <v>68221.299999999988</v>
      </c>
      <c r="I62" s="58">
        <v>2777.7502379999996</v>
      </c>
      <c r="J62" s="58">
        <v>-114041.58000000002</v>
      </c>
      <c r="K62" s="58">
        <v>224916.75999999989</v>
      </c>
      <c r="L62" s="12"/>
      <c r="M62" s="12"/>
      <c r="N62" s="12"/>
      <c r="O62" s="12"/>
    </row>
    <row r="63" spans="1:15" ht="15.75" customHeight="1" x14ac:dyDescent="0.25">
      <c r="A63" s="194" t="s">
        <v>128</v>
      </c>
      <c r="B63" s="26" t="s">
        <v>114</v>
      </c>
      <c r="C63" s="27" t="s">
        <v>107</v>
      </c>
      <c r="D63" s="19">
        <f t="shared" si="0"/>
        <v>0</v>
      </c>
      <c r="E63" s="19">
        <f t="shared" si="0"/>
        <v>0</v>
      </c>
      <c r="F63" s="19">
        <f t="shared" si="0"/>
        <v>0</v>
      </c>
      <c r="G63" s="19">
        <f t="shared" si="7"/>
        <v>0</v>
      </c>
      <c r="H63" s="58"/>
      <c r="I63" s="58"/>
      <c r="J63" s="58"/>
      <c r="K63" s="58"/>
      <c r="L63" s="12"/>
      <c r="M63" s="12"/>
      <c r="N63" s="12"/>
      <c r="O63" s="12"/>
    </row>
    <row r="64" spans="1:15" ht="15.75" customHeight="1" x14ac:dyDescent="0.25">
      <c r="A64" s="199" t="s">
        <v>131</v>
      </c>
      <c r="B64" s="26" t="s">
        <v>114</v>
      </c>
      <c r="C64" s="27" t="s">
        <v>107</v>
      </c>
      <c r="D64" s="19">
        <f t="shared" si="0"/>
        <v>0</v>
      </c>
      <c r="E64" s="19">
        <f t="shared" si="0"/>
        <v>0</v>
      </c>
      <c r="F64" s="19">
        <f t="shared" si="0"/>
        <v>0</v>
      </c>
      <c r="G64" s="19">
        <f t="shared" si="7"/>
        <v>0</v>
      </c>
      <c r="H64" s="58"/>
      <c r="I64" s="58"/>
      <c r="J64" s="58"/>
      <c r="K64" s="58"/>
      <c r="L64" s="12"/>
      <c r="M64" s="12"/>
      <c r="N64" s="12"/>
      <c r="O64" s="12"/>
    </row>
    <row r="65" spans="1:15" ht="15.75" customHeight="1" thickBot="1" x14ac:dyDescent="0.3">
      <c r="A65" s="30" t="s">
        <v>16</v>
      </c>
      <c r="B65" s="26" t="s">
        <v>114</v>
      </c>
      <c r="C65" s="27" t="s">
        <v>107</v>
      </c>
      <c r="D65" s="19">
        <f t="shared" si="0"/>
        <v>0</v>
      </c>
      <c r="E65" s="19">
        <f t="shared" si="0"/>
        <v>0</v>
      </c>
      <c r="F65" s="19">
        <f t="shared" si="0"/>
        <v>0</v>
      </c>
      <c r="G65" s="19">
        <f t="shared" si="3"/>
        <v>0</v>
      </c>
      <c r="H65" s="58">
        <v>0</v>
      </c>
      <c r="I65" s="58">
        <v>0</v>
      </c>
      <c r="J65" s="58">
        <v>0</v>
      </c>
      <c r="K65" s="58">
        <v>0</v>
      </c>
      <c r="L65" s="12">
        <v>0</v>
      </c>
      <c r="M65" s="12">
        <v>0</v>
      </c>
      <c r="N65" s="12">
        <v>0</v>
      </c>
      <c r="O65" s="12">
        <v>0</v>
      </c>
    </row>
    <row r="66" spans="1:15" ht="24.6" customHeight="1" thickBot="1" x14ac:dyDescent="0.3">
      <c r="A66" s="123" t="s">
        <v>116</v>
      </c>
      <c r="B66" s="121"/>
      <c r="C66" s="121"/>
      <c r="D66" s="126">
        <f t="shared" si="0"/>
        <v>-1.5349353000148953</v>
      </c>
      <c r="E66" s="126">
        <f t="shared" si="0"/>
        <v>-1.7075236795096449</v>
      </c>
      <c r="F66" s="126">
        <f t="shared" si="0"/>
        <v>-0.22577449661678783</v>
      </c>
      <c r="G66" s="19">
        <f t="shared" si="3"/>
        <v>3.3476640894394141</v>
      </c>
      <c r="H66" s="123">
        <f>SUM(H57:H65)</f>
        <v>-463351.35726000002</v>
      </c>
      <c r="I66" s="123">
        <f t="shared" ref="I66:O66" si="9">SUM(I57:I65)</f>
        <v>-45465.592642999996</v>
      </c>
      <c r="J66" s="123">
        <f t="shared" si="9"/>
        <v>1218941.7200000002</v>
      </c>
      <c r="K66" s="123">
        <f t="shared" si="9"/>
        <v>952597.36999999906</v>
      </c>
      <c r="L66" s="123">
        <f t="shared" si="9"/>
        <v>866182.05462809792</v>
      </c>
      <c r="M66" s="123">
        <f t="shared" si="9"/>
        <v>64260.171015774766</v>
      </c>
      <c r="N66" s="123">
        <f t="shared" si="9"/>
        <v>1574401.4045952584</v>
      </c>
      <c r="O66" s="123">
        <f t="shared" si="9"/>
        <v>219105.55884799888</v>
      </c>
    </row>
    <row r="67" spans="1:15" ht="15.75" customHeight="1" x14ac:dyDescent="0.25">
      <c r="A67" s="26" t="s">
        <v>77</v>
      </c>
      <c r="B67" s="26" t="s">
        <v>108</v>
      </c>
      <c r="C67" s="27" t="s">
        <v>102</v>
      </c>
      <c r="D67" s="103">
        <f t="shared" si="0"/>
        <v>-6.7221884815040385</v>
      </c>
      <c r="E67" s="103">
        <f t="shared" si="0"/>
        <v>0.86377760752074151</v>
      </c>
      <c r="F67" s="103">
        <f t="shared" si="0"/>
        <v>-0.26798145273633611</v>
      </c>
      <c r="G67" s="19">
        <f t="shared" si="3"/>
        <v>1254.9424471018679</v>
      </c>
      <c r="H67" s="58">
        <v>84889.879478847026</v>
      </c>
      <c r="I67" s="58">
        <v>6063.7647509999952</v>
      </c>
      <c r="J67" s="58">
        <v>431444.48336518183</v>
      </c>
      <c r="K67" s="58">
        <v>277168.94000000041</v>
      </c>
      <c r="L67" s="12">
        <v>-14835.212044000044</v>
      </c>
      <c r="M67" s="12">
        <v>3253.4808480000011</v>
      </c>
      <c r="N67" s="12">
        <v>589390.09807599988</v>
      </c>
      <c r="O67" s="12">
        <v>220.68602000002284</v>
      </c>
    </row>
    <row r="68" spans="1:15" ht="15.75" customHeight="1" x14ac:dyDescent="0.25">
      <c r="A68" s="30" t="s">
        <v>40</v>
      </c>
      <c r="B68" s="26" t="s">
        <v>56</v>
      </c>
      <c r="C68" s="26" t="s">
        <v>103</v>
      </c>
      <c r="D68" s="19">
        <f t="shared" si="0"/>
        <v>-0.66629824219176181</v>
      </c>
      <c r="E68" s="19">
        <f t="shared" si="0"/>
        <v>-0.18813218366952633</v>
      </c>
      <c r="F68" s="19">
        <f t="shared" si="0"/>
        <v>9.2915542639968596E-2</v>
      </c>
      <c r="G68" s="19">
        <f t="shared" si="3"/>
        <v>1.2519094965866375</v>
      </c>
      <c r="H68" s="58">
        <v>131126.40971999988</v>
      </c>
      <c r="I68" s="58">
        <v>54792.707000000111</v>
      </c>
      <c r="J68" s="58">
        <v>1124041.8799999999</v>
      </c>
      <c r="K68" s="58">
        <v>1246958.2200000007</v>
      </c>
      <c r="L68" s="12">
        <v>392944.917585216</v>
      </c>
      <c r="M68" s="12">
        <v>67489.68969807832</v>
      </c>
      <c r="N68" s="12">
        <v>1028480.0939739998</v>
      </c>
      <c r="O68" s="12">
        <v>553733.7188240001</v>
      </c>
    </row>
    <row r="69" spans="1:15" ht="15.75" customHeight="1" x14ac:dyDescent="0.25">
      <c r="A69" s="26" t="s">
        <v>90</v>
      </c>
      <c r="B69" s="26" t="s">
        <v>108</v>
      </c>
      <c r="C69" s="26" t="s">
        <v>103</v>
      </c>
      <c r="D69" s="19">
        <f t="shared" si="0"/>
        <v>0</v>
      </c>
      <c r="E69" s="19">
        <f t="shared" si="0"/>
        <v>-1.1348413212080037</v>
      </c>
      <c r="F69" s="19">
        <f t="shared" si="0"/>
        <v>1</v>
      </c>
      <c r="G69" s="19">
        <f t="shared" si="3"/>
        <v>0</v>
      </c>
      <c r="H69" s="58">
        <v>0</v>
      </c>
      <c r="I69" s="58">
        <v>-6.1460000000001855</v>
      </c>
      <c r="J69" s="58">
        <v>0.36000000000058208</v>
      </c>
      <c r="K69" s="58">
        <v>0</v>
      </c>
      <c r="L69" s="12">
        <v>-865.40999999998894</v>
      </c>
      <c r="M69" s="12">
        <v>45.579499999999825</v>
      </c>
      <c r="N69" s="12">
        <v>0</v>
      </c>
      <c r="O69" s="12">
        <v>532754.05000000005</v>
      </c>
    </row>
    <row r="70" spans="1:15" ht="15.75" customHeight="1" x14ac:dyDescent="0.25">
      <c r="A70" s="26" t="s">
        <v>92</v>
      </c>
      <c r="B70" s="26" t="s">
        <v>56</v>
      </c>
      <c r="C70" s="26" t="s">
        <v>103</v>
      </c>
      <c r="D70" s="19">
        <f t="shared" ref="D70:F76" si="10">IF(H70=0,0%,IF(L70=0,100%,H70/L70-1))</f>
        <v>-0.50691108351038849</v>
      </c>
      <c r="E70" s="19">
        <f t="shared" si="10"/>
        <v>52.080247084579042</v>
      </c>
      <c r="F70" s="19">
        <f t="shared" si="10"/>
        <v>-0.99998592364554495</v>
      </c>
      <c r="G70" s="19">
        <f t="shared" si="3"/>
        <v>1</v>
      </c>
      <c r="H70" s="58">
        <v>19757.030620000034</v>
      </c>
      <c r="I70" s="58">
        <v>183.95999999999998</v>
      </c>
      <c r="J70" s="58">
        <v>-0.37000000000261934</v>
      </c>
      <c r="K70" s="58">
        <v>-4450.6800000001676</v>
      </c>
      <c r="L70" s="12">
        <v>40067.886255999998</v>
      </c>
      <c r="M70" s="12">
        <v>3.4656959999992978</v>
      </c>
      <c r="N70" s="12">
        <v>-26285.214768000005</v>
      </c>
      <c r="O70" s="12">
        <v>0</v>
      </c>
    </row>
    <row r="71" spans="1:15" ht="15.75" customHeight="1" x14ac:dyDescent="0.25">
      <c r="A71" s="26" t="s">
        <v>93</v>
      </c>
      <c r="B71" s="26" t="s">
        <v>56</v>
      </c>
      <c r="C71" s="26" t="s">
        <v>103</v>
      </c>
      <c r="D71" s="19">
        <f t="shared" si="10"/>
        <v>0</v>
      </c>
      <c r="E71" s="19">
        <f t="shared" si="10"/>
        <v>80.805663030567032</v>
      </c>
      <c r="F71" s="19">
        <f t="shared" si="10"/>
        <v>0</v>
      </c>
      <c r="G71" s="19">
        <f t="shared" si="3"/>
        <v>0</v>
      </c>
      <c r="H71" s="58">
        <v>0</v>
      </c>
      <c r="I71" s="58">
        <v>8784.2079999999842</v>
      </c>
      <c r="J71" s="58">
        <v>0</v>
      </c>
      <c r="K71" s="58">
        <v>0</v>
      </c>
      <c r="L71" s="12">
        <v>-63.777202000001125</v>
      </c>
      <c r="M71" s="12">
        <v>107.37897199999134</v>
      </c>
      <c r="N71" s="12">
        <v>0</v>
      </c>
      <c r="O71" s="12">
        <v>0</v>
      </c>
    </row>
    <row r="72" spans="1:15" ht="15.75" customHeight="1" x14ac:dyDescent="0.25">
      <c r="A72" s="26" t="s">
        <v>100</v>
      </c>
      <c r="B72" s="26" t="s">
        <v>56</v>
      </c>
      <c r="C72" s="26" t="s">
        <v>103</v>
      </c>
      <c r="D72" s="19">
        <f t="shared" si="10"/>
        <v>1.7896441173396993</v>
      </c>
      <c r="E72" s="19">
        <f t="shared" si="10"/>
        <v>5.6141700253362625E-3</v>
      </c>
      <c r="F72" s="19">
        <f t="shared" si="10"/>
        <v>1.0380067058007501</v>
      </c>
      <c r="G72" s="19">
        <f t="shared" si="3"/>
        <v>9.9354885113032054</v>
      </c>
      <c r="H72" s="58">
        <v>167345.78597000003</v>
      </c>
      <c r="I72" s="58">
        <v>13152.251405999996</v>
      </c>
      <c r="J72" s="58">
        <v>1758918.0900000003</v>
      </c>
      <c r="K72" s="58">
        <v>1857925.6099999999</v>
      </c>
      <c r="L72" s="12">
        <v>59988.220335999969</v>
      </c>
      <c r="M72" s="12">
        <v>13078.824660623693</v>
      </c>
      <c r="N72" s="12">
        <v>863058.04833400017</v>
      </c>
      <c r="O72" s="12">
        <v>169898.72999999952</v>
      </c>
    </row>
    <row r="73" spans="1:15" ht="15.75" customHeight="1" x14ac:dyDescent="0.25">
      <c r="A73" s="98" t="s">
        <v>101</v>
      </c>
      <c r="B73" s="26" t="s">
        <v>56</v>
      </c>
      <c r="C73" s="26" t="s">
        <v>103</v>
      </c>
      <c r="D73" s="19">
        <f t="shared" si="10"/>
        <v>0.77041547434718072</v>
      </c>
      <c r="E73" s="19">
        <f t="shared" si="10"/>
        <v>-0.45188392883469686</v>
      </c>
      <c r="F73" s="19">
        <f t="shared" si="10"/>
        <v>0.13919792283716403</v>
      </c>
      <c r="G73" s="19">
        <f t="shared" si="3"/>
        <v>-0.47269956943604674</v>
      </c>
      <c r="H73" s="58">
        <v>396131.15709899995</v>
      </c>
      <c r="I73" s="58">
        <v>25322.086473000032</v>
      </c>
      <c r="J73" s="58">
        <v>2415709.7300000004</v>
      </c>
      <c r="K73" s="58">
        <v>1365147.1400000006</v>
      </c>
      <c r="L73" s="12">
        <v>223750.39240157371</v>
      </c>
      <c r="M73" s="12">
        <v>46198.401771297984</v>
      </c>
      <c r="N73" s="12">
        <v>2120535.5817220006</v>
      </c>
      <c r="O73" s="12">
        <v>2588936.1374880001</v>
      </c>
    </row>
    <row r="74" spans="1:15" ht="15.75" customHeight="1" thickBot="1" x14ac:dyDescent="0.3">
      <c r="A74" s="26" t="s">
        <v>81</v>
      </c>
      <c r="B74" s="26" t="s">
        <v>56</v>
      </c>
      <c r="C74" s="28" t="s">
        <v>103</v>
      </c>
      <c r="D74" s="101">
        <f t="shared" si="10"/>
        <v>-1.0456548323471402</v>
      </c>
      <c r="E74" s="101">
        <f t="shared" si="10"/>
        <v>2.0109766173643839</v>
      </c>
      <c r="F74" s="101">
        <f t="shared" si="10"/>
        <v>0</v>
      </c>
      <c r="G74" s="19">
        <f t="shared" si="3"/>
        <v>0</v>
      </c>
      <c r="H74" s="58">
        <v>-925.88000000000466</v>
      </c>
      <c r="I74" s="58">
        <v>7747.5619999999999</v>
      </c>
      <c r="J74" s="58">
        <v>0</v>
      </c>
      <c r="K74" s="58">
        <v>0</v>
      </c>
      <c r="L74" s="12">
        <v>20280</v>
      </c>
      <c r="M74" s="12">
        <v>2573.1059999999998</v>
      </c>
      <c r="N74" s="12">
        <v>0</v>
      </c>
      <c r="O74" s="12">
        <v>0</v>
      </c>
    </row>
    <row r="75" spans="1:15" ht="28.2" customHeight="1" thickBot="1" x14ac:dyDescent="0.3">
      <c r="A75" s="122" t="s">
        <v>44</v>
      </c>
      <c r="B75" s="121"/>
      <c r="C75" s="121"/>
      <c r="D75" s="126">
        <f t="shared" si="10"/>
        <v>0.10683611436997587</v>
      </c>
      <c r="E75" s="126">
        <f t="shared" si="10"/>
        <v>-0.12587226129037721</v>
      </c>
      <c r="F75" s="126">
        <f t="shared" si="10"/>
        <v>0.25243507743606197</v>
      </c>
      <c r="G75" s="19">
        <f t="shared" si="3"/>
        <v>0.23331057082563866</v>
      </c>
      <c r="H75" s="124">
        <f>SUM(H67:H74)</f>
        <v>798324.38288784691</v>
      </c>
      <c r="I75" s="124">
        <f t="shared" ref="I75:O75" si="11">SUM(I67:I74)</f>
        <v>116040.39363000012</v>
      </c>
      <c r="J75" s="124">
        <f t="shared" si="11"/>
        <v>5730114.1733651822</v>
      </c>
      <c r="K75" s="124">
        <f t="shared" si="11"/>
        <v>4742749.2300000014</v>
      </c>
      <c r="L75" s="124">
        <f t="shared" si="11"/>
        <v>721267.0173327896</v>
      </c>
      <c r="M75" s="124">
        <f t="shared" si="11"/>
        <v>132749.92714599997</v>
      </c>
      <c r="N75" s="124">
        <f t="shared" si="11"/>
        <v>4575178.6073380001</v>
      </c>
      <c r="O75" s="124">
        <f t="shared" si="11"/>
        <v>3845543.3223319999</v>
      </c>
    </row>
    <row r="76" spans="1:15" ht="30" customHeight="1" thickBot="1" x14ac:dyDescent="0.3">
      <c r="A76" s="122" t="s">
        <v>45</v>
      </c>
      <c r="B76" s="121"/>
      <c r="C76" s="121"/>
      <c r="D76" s="126">
        <f t="shared" si="10"/>
        <v>-0.15530241674876544</v>
      </c>
      <c r="E76" s="126">
        <f t="shared" si="10"/>
        <v>-0.45191312025054653</v>
      </c>
      <c r="F76" s="126">
        <f t="shared" si="10"/>
        <v>0.72708503108445566</v>
      </c>
      <c r="G76" s="19">
        <f t="shared" si="3"/>
        <v>-0.28814322190941388</v>
      </c>
      <c r="H76" s="124">
        <f>H75+H66+H56+H22+H8</f>
        <v>3196864.3193850536</v>
      </c>
      <c r="I76" s="124">
        <f t="shared" ref="I76:O76" si="12">I75+I66+I56+I22+I8</f>
        <v>430333.38611480535</v>
      </c>
      <c r="J76" s="124">
        <f t="shared" si="12"/>
        <v>14939797.496768313</v>
      </c>
      <c r="K76" s="124">
        <f t="shared" si="12"/>
        <v>10180790.605000002</v>
      </c>
      <c r="L76" s="124">
        <f t="shared" si="12"/>
        <v>3784625.8622883083</v>
      </c>
      <c r="M76" s="124">
        <f t="shared" si="12"/>
        <v>785155.4233728844</v>
      </c>
      <c r="N76" s="124">
        <f t="shared" si="12"/>
        <v>8650296.4404638782</v>
      </c>
      <c r="O76" s="124">
        <f t="shared" si="12"/>
        <v>14301740.066741997</v>
      </c>
    </row>
    <row r="77" spans="1:15" ht="15.75" customHeight="1" x14ac:dyDescent="0.25"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</row>
    <row r="78" spans="1:15" customFormat="1" ht="15.75" customHeight="1" x14ac:dyDescent="0.3">
      <c r="A78" s="32"/>
    </row>
    <row r="79" spans="1:15" customFormat="1" ht="15.75" customHeight="1" x14ac:dyDescent="0.3">
      <c r="A79" s="32"/>
      <c r="H79" s="6"/>
      <c r="I79" s="6"/>
      <c r="J79" s="6"/>
      <c r="K79" s="6"/>
    </row>
    <row r="80" spans="1:15" customFormat="1" ht="15.75" customHeight="1" x14ac:dyDescent="0.3">
      <c r="A80" s="32"/>
    </row>
    <row r="81" spans="1:14" customFormat="1" ht="15.75" customHeight="1" x14ac:dyDescent="0.3">
      <c r="A81" s="32"/>
      <c r="H81" s="9"/>
      <c r="I81" s="9"/>
      <c r="J81" s="9"/>
      <c r="K81" s="9"/>
      <c r="N81" s="97"/>
    </row>
    <row r="82" spans="1:14" ht="15.75" customHeight="1" x14ac:dyDescent="0.25">
      <c r="H82" s="10"/>
      <c r="I82" s="10"/>
      <c r="J82" s="10"/>
      <c r="K82" s="10"/>
    </row>
  </sheetData>
  <mergeCells count="3">
    <mergeCell ref="D1:F1"/>
    <mergeCell ref="H1:K1"/>
    <mergeCell ref="L1:O1"/>
  </mergeCells>
  <conditionalFormatting sqref="A14">
    <cfRule type="duplicateValues" dxfId="341" priority="13"/>
    <cfRule type="duplicateValues" dxfId="340" priority="14"/>
  </conditionalFormatting>
  <conditionalFormatting sqref="A20">
    <cfRule type="duplicateValues" dxfId="339" priority="1"/>
    <cfRule type="duplicateValues" dxfId="338" priority="2"/>
  </conditionalFormatting>
  <conditionalFormatting sqref="A54">
    <cfRule type="duplicateValues" dxfId="337" priority="3"/>
    <cfRule type="duplicateValues" dxfId="336" priority="4"/>
  </conditionalFormatting>
  <conditionalFormatting sqref="A60">
    <cfRule type="duplicateValues" dxfId="335" priority="15"/>
    <cfRule type="duplicateValues" dxfId="334" priority="16"/>
  </conditionalFormatting>
  <conditionalFormatting sqref="A65 A23:A53 A61 A57:A59 A7 A55">
    <cfRule type="duplicateValues" dxfId="333" priority="23"/>
    <cfRule type="duplicateValues" dxfId="332" priority="24"/>
  </conditionalFormatting>
  <conditionalFormatting sqref="A67:A74">
    <cfRule type="duplicateValues" dxfId="331" priority="21"/>
    <cfRule type="duplicateValues" dxfId="330" priority="22"/>
  </conditionalFormatting>
  <conditionalFormatting sqref="A75:A1048576 A1:A6 A8:A13 A15:A19 A66 A56 A21:A22">
    <cfRule type="duplicateValues" dxfId="329" priority="19"/>
    <cfRule type="duplicateValues" dxfId="328" priority="20"/>
  </conditionalFormatting>
  <conditionalFormatting sqref="D1:D25 E2:G25 D26:G77 D82:G1048576">
    <cfRule type="cellIs" dxfId="327" priority="17" operator="lessThan">
      <formula>-0.0001</formula>
    </cfRule>
  </conditionalFormatting>
  <conditionalFormatting sqref="D3:G77 D82:G1048576">
    <cfRule type="cellIs" dxfId="326" priority="18" operator="greaterThan">
      <formula>0.1</formula>
    </cfRule>
  </conditionalFormatting>
  <conditionalFormatting sqref="H8:O8">
    <cfRule type="duplicateValues" dxfId="325" priority="11"/>
    <cfRule type="duplicateValues" dxfId="324" priority="12"/>
  </conditionalFormatting>
  <conditionalFormatting sqref="H22:O22">
    <cfRule type="duplicateValues" dxfId="323" priority="5"/>
    <cfRule type="duplicateValues" dxfId="322" priority="6"/>
  </conditionalFormatting>
  <conditionalFormatting sqref="H56:O56">
    <cfRule type="duplicateValues" dxfId="321" priority="9"/>
    <cfRule type="duplicateValues" dxfId="320" priority="10"/>
  </conditionalFormatting>
  <conditionalFormatting sqref="H66:O66">
    <cfRule type="duplicateValues" dxfId="319" priority="7"/>
    <cfRule type="duplicateValues" dxfId="318" priority="8"/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08895-D3E4-49E3-AA83-C6D39DC12A72}">
  <sheetPr>
    <tabColor theme="4" tint="0.39997558519241921"/>
  </sheetPr>
  <dimension ref="A1:P88"/>
  <sheetViews>
    <sheetView rightToLeft="1" workbookViewId="0">
      <pane ySplit="2" topLeftCell="A15" activePane="bottomLeft" state="frozen"/>
      <selection pane="bottomLeft" activeCell="A27" sqref="A27"/>
    </sheetView>
  </sheetViews>
  <sheetFormatPr defaultColWidth="18.8984375" defaultRowHeight="15" x14ac:dyDescent="0.25"/>
  <cols>
    <col min="1" max="1" width="30" style="1" bestFit="1" customWidth="1"/>
    <col min="2" max="2" width="8.69921875" style="1" bestFit="1" customWidth="1"/>
    <col min="3" max="3" width="7.69921875" style="1" bestFit="1" customWidth="1"/>
    <col min="4" max="4" width="7.69921875" style="3" bestFit="1" customWidth="1"/>
    <col min="5" max="5" width="8" style="3" bestFit="1" customWidth="1"/>
    <col min="6" max="6" width="8.8984375" style="3" bestFit="1" customWidth="1"/>
    <col min="7" max="7" width="11" style="3" bestFit="1" customWidth="1"/>
    <col min="8" max="9" width="15.19921875" style="2" bestFit="1" customWidth="1"/>
    <col min="10" max="11" width="16.8984375" style="2" bestFit="1" customWidth="1"/>
    <col min="12" max="13" width="15.19921875" style="2" bestFit="1" customWidth="1"/>
    <col min="14" max="15" width="16.8984375" style="2" bestFit="1" customWidth="1"/>
    <col min="16" max="16384" width="18.8984375" style="2"/>
  </cols>
  <sheetData>
    <row r="1" spans="1:16" ht="21" x14ac:dyDescent="0.4">
      <c r="A1" s="26"/>
      <c r="B1" s="26"/>
      <c r="C1" s="26"/>
      <c r="D1" s="232" t="s">
        <v>62</v>
      </c>
      <c r="E1" s="233"/>
      <c r="F1" s="233"/>
      <c r="G1" s="234"/>
      <c r="H1" s="235" t="s">
        <v>137</v>
      </c>
      <c r="I1" s="236"/>
      <c r="J1" s="236"/>
      <c r="K1" s="237"/>
      <c r="L1" s="231" t="s">
        <v>133</v>
      </c>
      <c r="M1" s="231"/>
      <c r="N1" s="231"/>
      <c r="O1" s="231"/>
    </row>
    <row r="2" spans="1:16" ht="21" x14ac:dyDescent="0.25">
      <c r="A2" s="11" t="s">
        <v>0</v>
      </c>
      <c r="B2" s="23" t="s">
        <v>53</v>
      </c>
      <c r="C2" s="23" t="s">
        <v>109</v>
      </c>
      <c r="D2" s="24" t="s">
        <v>46</v>
      </c>
      <c r="E2" s="24" t="s">
        <v>50</v>
      </c>
      <c r="F2" s="24" t="s">
        <v>51</v>
      </c>
      <c r="G2" s="24" t="s">
        <v>49</v>
      </c>
      <c r="H2" s="60" t="s">
        <v>46</v>
      </c>
      <c r="I2" s="60" t="s">
        <v>50</v>
      </c>
      <c r="J2" s="60" t="s">
        <v>51</v>
      </c>
      <c r="K2" s="60" t="s">
        <v>49</v>
      </c>
      <c r="L2" s="25" t="s">
        <v>46</v>
      </c>
      <c r="M2" s="25" t="s">
        <v>47</v>
      </c>
      <c r="N2" s="25" t="s">
        <v>48</v>
      </c>
      <c r="O2" s="25" t="s">
        <v>49</v>
      </c>
    </row>
    <row r="3" spans="1:16" ht="15.6" x14ac:dyDescent="0.25">
      <c r="A3" s="26" t="s">
        <v>1</v>
      </c>
      <c r="B3" s="26" t="s">
        <v>108</v>
      </c>
      <c r="C3" s="26" t="s">
        <v>58</v>
      </c>
      <c r="D3" s="61">
        <f t="shared" ref="D3:D68" si="0">IF(L3=0,0%,IF(H3=0,100%,L3/H3-1))</f>
        <v>-0.23854696683636145</v>
      </c>
      <c r="E3" s="61">
        <f t="shared" ref="E3:E68" si="1">IF(M3=0,0%,IF(I3=0,100%,M3/I3-1))</f>
        <v>-0.63797607214970886</v>
      </c>
      <c r="F3" s="61">
        <f>IF(N3=0,0%,IF(J3=0,100%,N3/J3-1))</f>
        <v>-0.24200416380359246</v>
      </c>
      <c r="G3" s="61">
        <f>IF(O3=0,0%,IF(K3=0,100%,O3/K3-1))</f>
        <v>-7.69138978991597E-2</v>
      </c>
      <c r="H3" s="12">
        <v>8874000</v>
      </c>
      <c r="I3" s="12">
        <v>676000</v>
      </c>
      <c r="J3" s="12">
        <v>23800000</v>
      </c>
      <c r="K3" s="12">
        <v>47600000</v>
      </c>
      <c r="L3" s="59">
        <f>VLOOKUP(A3,'תפוקה מצטברת מול אשתקד'!A:K,8,0)</f>
        <v>6757134.2162941284</v>
      </c>
      <c r="M3" s="62">
        <f>VLOOKUP(A3,'תפוקה מצטברת מול אשתקד'!A:K,9,0)</f>
        <v>244728.17522679683</v>
      </c>
      <c r="N3" s="62">
        <f>VLOOKUP(A3,'תפוקה מצטברת מול אשתקד'!A:K,10,0)</f>
        <v>18040300.901474498</v>
      </c>
      <c r="O3" s="62">
        <f>VLOOKUP(A3,'תפוקה מצטברת מול אשתקד'!A:K,11,0)</f>
        <v>43938898.460000001</v>
      </c>
    </row>
    <row r="4" spans="1:16" ht="15.6" x14ac:dyDescent="0.25">
      <c r="A4" s="26" t="s">
        <v>2</v>
      </c>
      <c r="B4" s="26" t="s">
        <v>108</v>
      </c>
      <c r="C4" s="26" t="s">
        <v>58</v>
      </c>
      <c r="D4" s="61">
        <f t="shared" si="0"/>
        <v>-0.43299125497512103</v>
      </c>
      <c r="E4" s="61">
        <f t="shared" si="1"/>
        <v>1</v>
      </c>
      <c r="F4" s="61">
        <f t="shared" ref="F4:F69" si="2">IF(N4=0,0%,IF(J4=0,100%,N4/J4-1))</f>
        <v>-0.78691174181038726</v>
      </c>
      <c r="G4" s="61">
        <f t="shared" ref="G4:G69" si="3">IF(O4=0,0%,IF(K4=0,100%,O4/K4-1))</f>
        <v>-0.84344090966386553</v>
      </c>
      <c r="H4" s="12">
        <v>739500</v>
      </c>
      <c r="I4" s="12">
        <v>0</v>
      </c>
      <c r="J4" s="12">
        <v>11900000</v>
      </c>
      <c r="K4" s="12">
        <v>9520000</v>
      </c>
      <c r="L4" s="59">
        <f>VLOOKUP(A4,'תפוקה מצטברת מול אשתקד'!A:K,8,0)</f>
        <v>419302.96694589802</v>
      </c>
      <c r="M4" s="62">
        <f>VLOOKUP(A4,'תפוקה מצטברת מול אשתקד'!A:K,9,0)</f>
        <v>3936.1091768826632</v>
      </c>
      <c r="N4" s="62">
        <f>VLOOKUP(A4,'תפוקה מצטברת מול אשתקד'!A:K,10,0)</f>
        <v>2535750.2724563922</v>
      </c>
      <c r="O4" s="62">
        <f>VLOOKUP(A4,'תפוקה מצטברת מול אשתקד'!A:K,11,0)</f>
        <v>1490442.5400000005</v>
      </c>
    </row>
    <row r="5" spans="1:16" ht="15.6" x14ac:dyDescent="0.25">
      <c r="A5" s="26" t="s">
        <v>104</v>
      </c>
      <c r="B5" s="26" t="s">
        <v>108</v>
      </c>
      <c r="C5" s="26" t="s">
        <v>58</v>
      </c>
      <c r="D5" s="61">
        <f t="shared" si="0"/>
        <v>0</v>
      </c>
      <c r="E5" s="61">
        <f t="shared" si="1"/>
        <v>-0.69382907835400975</v>
      </c>
      <c r="F5" s="61">
        <f t="shared" si="2"/>
        <v>1</v>
      </c>
      <c r="G5" s="61">
        <f t="shared" si="3"/>
        <v>0</v>
      </c>
      <c r="H5" s="12">
        <v>0</v>
      </c>
      <c r="I5" s="12">
        <v>156000</v>
      </c>
      <c r="J5" s="12">
        <v>0</v>
      </c>
      <c r="K5" s="12">
        <v>0</v>
      </c>
      <c r="L5" s="59">
        <f>VLOOKUP(A5,'תפוקה מצטברת מול אשתקד'!A:K,8,0)</f>
        <v>0</v>
      </c>
      <c r="M5" s="62">
        <f>VLOOKUP(A5,'תפוקה מצטברת מול אשתקד'!A:K,9,0)</f>
        <v>47762.663776774483</v>
      </c>
      <c r="N5" s="62">
        <f>VLOOKUP(A5,'תפוקה מצטברת מול אשתקד'!A:K,10,0)</f>
        <v>300000</v>
      </c>
      <c r="O5" s="62">
        <f>VLOOKUP(A5,'תפוקה מצטברת מול אשתקד'!A:K,11,0)</f>
        <v>0</v>
      </c>
    </row>
    <row r="6" spans="1:16" ht="15.6" x14ac:dyDescent="0.25">
      <c r="A6" s="28" t="s">
        <v>105</v>
      </c>
      <c r="B6" s="28" t="s">
        <v>108</v>
      </c>
      <c r="C6" s="28" t="s">
        <v>58</v>
      </c>
      <c r="D6" s="145">
        <f t="shared" si="0"/>
        <v>-0.96301364597363948</v>
      </c>
      <c r="E6" s="145">
        <f t="shared" si="1"/>
        <v>-0.7374563926509794</v>
      </c>
      <c r="F6" s="145">
        <f t="shared" si="2"/>
        <v>-0.45893906512605043</v>
      </c>
      <c r="G6" s="145">
        <f t="shared" si="3"/>
        <v>-1.2232163655462185</v>
      </c>
      <c r="H6" s="12">
        <v>246500</v>
      </c>
      <c r="I6" s="12">
        <v>130000</v>
      </c>
      <c r="J6" s="12">
        <v>952000</v>
      </c>
      <c r="K6" s="12">
        <v>476000</v>
      </c>
      <c r="L6" s="59">
        <f>VLOOKUP(A6,'תפוקה מצטברת מול אשתקד'!A:K,8,0)</f>
        <v>9117.1362674978809</v>
      </c>
      <c r="M6" s="62">
        <f>VLOOKUP(A6,'תפוקה מצטברת מול אשתקד'!A:K,9,0)</f>
        <v>34130.668955372668</v>
      </c>
      <c r="N6" s="62">
        <f>VLOOKUP(A6,'תפוקה מצטברת מול אשתקד'!A:K,10,0)</f>
        <v>515090.01</v>
      </c>
      <c r="O6" s="62">
        <f>VLOOKUP(A6,'תפוקה מצטברת מול אשתקד'!A:K,11,0)</f>
        <v>-106250.98999999999</v>
      </c>
    </row>
    <row r="7" spans="1:16" ht="16.2" thickBot="1" x14ac:dyDescent="0.3">
      <c r="A7" s="26" t="s">
        <v>34</v>
      </c>
      <c r="B7" s="26" t="s">
        <v>108</v>
      </c>
      <c r="C7" s="27" t="s">
        <v>58</v>
      </c>
      <c r="D7" s="61">
        <f>IF(L7=0,0%,IF(H7=0,100%,L7/H7-1))</f>
        <v>1</v>
      </c>
      <c r="E7" s="61">
        <f>IF(M7=0,0%,IF(I7=0,100%,M7/I7-1))</f>
        <v>1</v>
      </c>
      <c r="F7" s="61">
        <f>IF(N7=0,0%,IF(J7=0,100%,N7/J7-1))</f>
        <v>-0.97438506302521011</v>
      </c>
      <c r="G7" s="61">
        <f>IF(O7=0,0%,IF(K7=0,100%,O7/K7-1))</f>
        <v>-0.77732504201680674</v>
      </c>
      <c r="H7" s="12">
        <v>0</v>
      </c>
      <c r="I7" s="12">
        <v>0</v>
      </c>
      <c r="J7" s="12">
        <v>476000</v>
      </c>
      <c r="K7" s="12">
        <v>238000</v>
      </c>
      <c r="L7" s="59">
        <f>VLOOKUP(A7,'תפוקה מצטברת מול אשתקד'!A:K,8,0)</f>
        <v>19363.97</v>
      </c>
      <c r="M7" s="62">
        <f>VLOOKUP(A7,'תפוקה מצטברת מול אשתקד'!A:K,9,0)</f>
        <v>1253.06</v>
      </c>
      <c r="N7" s="62">
        <f>VLOOKUP(A7,'תפוקה מצטברת מול אשתקד'!A:K,10,0)</f>
        <v>12192.71</v>
      </c>
      <c r="O7" s="62">
        <f>VLOOKUP(A7,'תפוקה מצטברת מול אשתקד'!A:K,11,0)</f>
        <v>52996.639999999999</v>
      </c>
    </row>
    <row r="8" spans="1:16" ht="21.6" thickBot="1" x14ac:dyDescent="0.3">
      <c r="A8" s="17" t="s">
        <v>3</v>
      </c>
      <c r="B8" s="57"/>
      <c r="C8" s="147"/>
      <c r="D8" s="148">
        <f t="shared" si="0"/>
        <v>-0.26927806394447018</v>
      </c>
      <c r="E8" s="148">
        <f t="shared" si="1"/>
        <v>-0.65508245619976446</v>
      </c>
      <c r="F8" s="148">
        <f t="shared" si="2"/>
        <v>-0.42352580548559327</v>
      </c>
      <c r="G8" s="148">
        <f t="shared" si="3"/>
        <v>-0.21540812238475637</v>
      </c>
      <c r="H8" s="173">
        <f>SUM(H3:H7)</f>
        <v>9860000</v>
      </c>
      <c r="I8" s="173">
        <f>SUM(I3:I7)</f>
        <v>962000</v>
      </c>
      <c r="J8" s="173">
        <f>SUM(J3:J7)</f>
        <v>37128000</v>
      </c>
      <c r="K8" s="173">
        <f>SUM(K3:K7)</f>
        <v>57834000</v>
      </c>
      <c r="L8" s="173">
        <f>SUM(L3:L7)</f>
        <v>7204918.2895075241</v>
      </c>
      <c r="M8" s="173">
        <f t="shared" ref="M8:O8" si="4">SUM(M3:M7)</f>
        <v>331810.67713582661</v>
      </c>
      <c r="N8" s="173">
        <f t="shared" si="4"/>
        <v>21403333.893930893</v>
      </c>
      <c r="O8" s="173">
        <f t="shared" si="4"/>
        <v>45376086.649999999</v>
      </c>
    </row>
    <row r="9" spans="1:16" ht="15.6" x14ac:dyDescent="0.25">
      <c r="A9" s="27" t="s">
        <v>4</v>
      </c>
      <c r="B9" s="27" t="s">
        <v>108</v>
      </c>
      <c r="C9" s="27" t="s">
        <v>106</v>
      </c>
      <c r="D9" s="146">
        <f t="shared" si="0"/>
        <v>1</v>
      </c>
      <c r="E9" s="146">
        <f t="shared" si="1"/>
        <v>1</v>
      </c>
      <c r="F9" s="146">
        <f t="shared" si="2"/>
        <v>0</v>
      </c>
      <c r="G9" s="146">
        <f t="shared" si="3"/>
        <v>1</v>
      </c>
      <c r="H9" s="12">
        <v>0</v>
      </c>
      <c r="I9" s="12">
        <v>0</v>
      </c>
      <c r="J9" s="12">
        <v>0</v>
      </c>
      <c r="K9" s="12">
        <v>0</v>
      </c>
      <c r="L9" s="59">
        <f>VLOOKUP(A9,'תפוקה מצטברת מול אשתקד'!A:K,8,0)</f>
        <v>42413.399712023362</v>
      </c>
      <c r="M9" s="62">
        <f>VLOOKUP(A9,'תפוקה מצטברת מול אשתקד'!A:K,9,0)</f>
        <v>1169.643</v>
      </c>
      <c r="N9" s="62">
        <f>VLOOKUP(A9,'תפוקה מצטברת מול אשתקד'!A:K,10,0)</f>
        <v>0</v>
      </c>
      <c r="O9" s="62">
        <f>VLOOKUP(A9,'תפוקה מצטברת מול אשתקד'!A:K,11,0)</f>
        <v>-312354.78999999998</v>
      </c>
    </row>
    <row r="10" spans="1:16" ht="15.6" x14ac:dyDescent="0.25">
      <c r="A10" s="26" t="s">
        <v>5</v>
      </c>
      <c r="B10" s="26" t="s">
        <v>108</v>
      </c>
      <c r="C10" s="26" t="s">
        <v>106</v>
      </c>
      <c r="D10" s="61">
        <f t="shared" si="0"/>
        <v>-0.45447103229321006</v>
      </c>
      <c r="E10" s="61">
        <f t="shared" si="1"/>
        <v>0.54262879704104394</v>
      </c>
      <c r="F10" s="61">
        <f t="shared" si="2"/>
        <v>-0.31899430896701941</v>
      </c>
      <c r="G10" s="61">
        <f t="shared" si="3"/>
        <v>4.007494957983182E-2</v>
      </c>
      <c r="H10" s="12">
        <v>1232500</v>
      </c>
      <c r="I10" s="12">
        <v>520000</v>
      </c>
      <c r="J10" s="12">
        <v>476000</v>
      </c>
      <c r="K10" s="12">
        <v>1190000</v>
      </c>
      <c r="L10" s="59">
        <f>VLOOKUP(A10,'תפוקה מצטברת מול אשתקד'!A:K,8,0)</f>
        <v>672364.45269861864</v>
      </c>
      <c r="M10" s="62">
        <f>VLOOKUP(A10,'תפוקה מצטברת מול אשתקד'!A:K,9,0)</f>
        <v>802166.97446134291</v>
      </c>
      <c r="N10" s="62">
        <f>VLOOKUP(A10,'תפוקה מצטברת מול אשתקד'!A:K,10,0)</f>
        <v>324158.70893169875</v>
      </c>
      <c r="O10" s="62">
        <f>VLOOKUP(A10,'תפוקה מצטברת מול אשתקד'!A:K,11,0)</f>
        <v>1237689.19</v>
      </c>
    </row>
    <row r="11" spans="1:16" ht="15.6" x14ac:dyDescent="0.25">
      <c r="A11" s="26" t="s">
        <v>6</v>
      </c>
      <c r="B11" s="26" t="s">
        <v>108</v>
      </c>
      <c r="C11" s="26" t="s">
        <v>106</v>
      </c>
      <c r="D11" s="61">
        <f t="shared" si="0"/>
        <v>-0.43583405930070651</v>
      </c>
      <c r="E11" s="61">
        <f t="shared" si="1"/>
        <v>-0.61098901694517771</v>
      </c>
      <c r="F11" s="61">
        <f t="shared" si="2"/>
        <v>1</v>
      </c>
      <c r="G11" s="61">
        <f t="shared" si="3"/>
        <v>1</v>
      </c>
      <c r="H11" s="12">
        <v>246500</v>
      </c>
      <c r="I11" s="12">
        <v>104000</v>
      </c>
      <c r="J11" s="12">
        <v>0</v>
      </c>
      <c r="K11" s="12">
        <v>0</v>
      </c>
      <c r="L11" s="59">
        <f>VLOOKUP(A11,'תפוקה מצטברת מול אשתקד'!A:K,8,0)</f>
        <v>139066.90438237585</v>
      </c>
      <c r="M11" s="62">
        <f>VLOOKUP(A11,'תפוקה מצטברת מול אשתקד'!A:K,9,0)</f>
        <v>40457.142237701526</v>
      </c>
      <c r="N11" s="62">
        <f>VLOOKUP(A11,'תפוקה מצטברת מול אשתקד'!A:K,10,0)</f>
        <v>669332.15550265776</v>
      </c>
      <c r="O11" s="62">
        <f>VLOOKUP(A11,'תפוקה מצטברת מול אשתקד'!A:K,11,0)</f>
        <v>-3933.5199999999022</v>
      </c>
    </row>
    <row r="12" spans="1:16" ht="15.6" x14ac:dyDescent="0.25">
      <c r="A12" s="26" t="s">
        <v>7</v>
      </c>
      <c r="B12" s="26" t="s">
        <v>108</v>
      </c>
      <c r="C12" s="26" t="s">
        <v>106</v>
      </c>
      <c r="D12" s="61">
        <f t="shared" si="0"/>
        <v>1</v>
      </c>
      <c r="E12" s="61">
        <f t="shared" si="1"/>
        <v>1</v>
      </c>
      <c r="F12" s="61">
        <f t="shared" si="2"/>
        <v>1</v>
      </c>
      <c r="G12" s="61">
        <f t="shared" si="3"/>
        <v>1</v>
      </c>
      <c r="H12" s="12">
        <v>0</v>
      </c>
      <c r="I12" s="12">
        <v>0</v>
      </c>
      <c r="J12" s="12">
        <v>0</v>
      </c>
      <c r="K12" s="12">
        <v>0</v>
      </c>
      <c r="L12" s="59">
        <f>VLOOKUP(A12,'תפוקה מצטברת מול אשתקד'!A:K,8,0)</f>
        <v>162290.68980132451</v>
      </c>
      <c r="M12" s="62">
        <f>VLOOKUP(A12,'תפוקה מצטברת מול אשתקד'!A:K,9,0)</f>
        <v>6576.3568879999993</v>
      </c>
      <c r="N12" s="62">
        <f>VLOOKUP(A12,'תפוקה מצטברת מול אשתקד'!A:K,10,0)</f>
        <v>621438.05000000005</v>
      </c>
      <c r="O12" s="62">
        <f>VLOOKUP(A12,'תפוקה מצטברת מול אשתקד'!A:K,11,0)</f>
        <v>125854.19</v>
      </c>
    </row>
    <row r="13" spans="1:16" ht="15.6" x14ac:dyDescent="0.25">
      <c r="A13" s="26" t="s">
        <v>8</v>
      </c>
      <c r="B13" s="26" t="s">
        <v>108</v>
      </c>
      <c r="C13" s="26" t="s">
        <v>106</v>
      </c>
      <c r="D13" s="61">
        <f t="shared" si="0"/>
        <v>1</v>
      </c>
      <c r="E13" s="61">
        <f t="shared" si="1"/>
        <v>-0.55482827363373732</v>
      </c>
      <c r="F13" s="61">
        <f t="shared" si="2"/>
        <v>0</v>
      </c>
      <c r="G13" s="61">
        <f t="shared" si="3"/>
        <v>0</v>
      </c>
      <c r="H13" s="12">
        <v>0</v>
      </c>
      <c r="I13" s="12">
        <v>312000</v>
      </c>
      <c r="J13" s="12">
        <v>0</v>
      </c>
      <c r="K13" s="12">
        <v>0</v>
      </c>
      <c r="L13" s="59">
        <f>VLOOKUP(A13,'תפוקה מצטברת מול אשתקד'!A:K,8,0)</f>
        <v>32425.803313</v>
      </c>
      <c r="M13" s="62">
        <f>VLOOKUP(A13,'תפוקה מצטברת מול אשתקד'!A:K,9,0)</f>
        <v>138893.57862627396</v>
      </c>
      <c r="N13" s="62">
        <f>VLOOKUP(A13,'תפוקה מצטברת מול אשתקד'!A:K,10,0)</f>
        <v>0</v>
      </c>
      <c r="O13" s="62">
        <f>VLOOKUP(A13,'תפוקה מצטברת מול אשתקד'!A:K,11,0)</f>
        <v>0</v>
      </c>
    </row>
    <row r="14" spans="1:16" ht="15.6" x14ac:dyDescent="0.25">
      <c r="A14" s="26" t="s">
        <v>9</v>
      </c>
      <c r="B14" s="26" t="s">
        <v>108</v>
      </c>
      <c r="C14" s="26" t="s">
        <v>106</v>
      </c>
      <c r="D14" s="61">
        <f t="shared" si="0"/>
        <v>0.13764278923360784</v>
      </c>
      <c r="E14" s="61">
        <f t="shared" si="1"/>
        <v>-0.63266341025641026</v>
      </c>
      <c r="F14" s="61">
        <f t="shared" si="2"/>
        <v>-0.48472116071428573</v>
      </c>
      <c r="G14" s="61">
        <f t="shared" si="3"/>
        <v>-0.84816407387955184</v>
      </c>
      <c r="H14" s="12">
        <v>147900</v>
      </c>
      <c r="I14" s="12">
        <v>78000</v>
      </c>
      <c r="J14" s="12">
        <v>1904000</v>
      </c>
      <c r="K14" s="12">
        <v>5712000</v>
      </c>
      <c r="L14" s="59">
        <f>VLOOKUP(A14,'תפוקה מצטברת מול אשתקד'!A:K,8,0)</f>
        <v>168257.3685276506</v>
      </c>
      <c r="M14" s="62">
        <f>VLOOKUP(A14,'תפוקה מצטברת מול אשתקד'!A:K,9,0)</f>
        <v>28652.254000000001</v>
      </c>
      <c r="N14" s="62">
        <f>VLOOKUP(A14,'תפוקה מצטברת מול אשתקד'!A:K,10,0)</f>
        <v>981090.90999999992</v>
      </c>
      <c r="O14" s="62">
        <f>VLOOKUP(A14,'תפוקה מצטברת מול אשתקד'!A:K,11,0)</f>
        <v>867286.80999999994</v>
      </c>
    </row>
    <row r="15" spans="1:16" ht="31.2" x14ac:dyDescent="0.25">
      <c r="A15" s="26" t="s">
        <v>31</v>
      </c>
      <c r="B15" s="26" t="s">
        <v>55</v>
      </c>
      <c r="C15" s="26" t="s">
        <v>106</v>
      </c>
      <c r="D15" s="61">
        <f t="shared" si="0"/>
        <v>1</v>
      </c>
      <c r="E15" s="61">
        <f t="shared" si="1"/>
        <v>0</v>
      </c>
      <c r="F15" s="61">
        <f t="shared" si="2"/>
        <v>1</v>
      </c>
      <c r="G15" s="61">
        <f t="shared" si="3"/>
        <v>1</v>
      </c>
      <c r="H15" s="12">
        <v>0</v>
      </c>
      <c r="I15" s="12">
        <v>0</v>
      </c>
      <c r="J15" s="12">
        <v>0</v>
      </c>
      <c r="K15" s="12">
        <v>0</v>
      </c>
      <c r="L15" s="59">
        <f>VLOOKUP(A15,'תפוקה מצטברת מול אשתקד'!A:K,8,0)</f>
        <v>130856.11</v>
      </c>
      <c r="M15" s="62">
        <f>VLOOKUP(A15,'תפוקה מצטברת מול אשתקד'!A:K,9,0)</f>
        <v>0</v>
      </c>
      <c r="N15" s="62">
        <f>VLOOKUP(A15,'תפוקה מצטברת מול אשתקד'!A:K,10,0)</f>
        <v>272934.96999999997</v>
      </c>
      <c r="O15" s="62">
        <f>VLOOKUP(A15,'תפוקה מצטברת מול אשתקד'!A:K,11,0)</f>
        <v>113643.55</v>
      </c>
    </row>
    <row r="16" spans="1:16" customFormat="1" ht="15.6" x14ac:dyDescent="0.25">
      <c r="A16" s="26" t="s">
        <v>96</v>
      </c>
      <c r="B16" s="26" t="s">
        <v>108</v>
      </c>
      <c r="C16" s="26" t="s">
        <v>106</v>
      </c>
      <c r="D16" s="61">
        <f t="shared" si="0"/>
        <v>1</v>
      </c>
      <c r="E16" s="61">
        <f t="shared" si="1"/>
        <v>1</v>
      </c>
      <c r="F16" s="61">
        <f t="shared" si="2"/>
        <v>1</v>
      </c>
      <c r="G16" s="61">
        <f t="shared" si="3"/>
        <v>1</v>
      </c>
      <c r="H16" s="12">
        <v>0</v>
      </c>
      <c r="I16" s="12">
        <v>0</v>
      </c>
      <c r="J16" s="12">
        <v>0</v>
      </c>
      <c r="K16" s="12">
        <v>0</v>
      </c>
      <c r="L16" s="59">
        <f>VLOOKUP(A16,'תפוקה מצטברת מול אשתקד'!A:K,8,0)</f>
        <v>114050.51759</v>
      </c>
      <c r="M16" s="62">
        <f>VLOOKUP(A16,'תפוקה מצטברת מול אשתקד'!A:K,9,0)</f>
        <v>37296.549999999996</v>
      </c>
      <c r="N16" s="62">
        <f>VLOOKUP(A16,'תפוקה מצטברת מול אשתקד'!A:K,10,0)</f>
        <v>6094</v>
      </c>
      <c r="O16" s="62">
        <f>VLOOKUP(A16,'תפוקה מצטברת מול אשתקד'!A:K,11,0)</f>
        <v>103330.33</v>
      </c>
      <c r="P16" s="2"/>
    </row>
    <row r="17" spans="1:15" ht="15.6" x14ac:dyDescent="0.25">
      <c r="A17" s="26" t="s">
        <v>42</v>
      </c>
      <c r="B17" s="26" t="s">
        <v>108</v>
      </c>
      <c r="C17" s="26" t="s">
        <v>106</v>
      </c>
      <c r="D17" s="61">
        <f t="shared" si="0"/>
        <v>-0.40627094480884329</v>
      </c>
      <c r="E17" s="61">
        <f t="shared" si="1"/>
        <v>-0.30835751988698168</v>
      </c>
      <c r="F17" s="61">
        <f t="shared" si="2"/>
        <v>-0.48173309394423269</v>
      </c>
      <c r="G17" s="61">
        <f t="shared" si="3"/>
        <v>-0.61319045868347333</v>
      </c>
      <c r="H17" s="12">
        <v>739500</v>
      </c>
      <c r="I17" s="12">
        <v>312000</v>
      </c>
      <c r="J17" s="12">
        <v>5712000</v>
      </c>
      <c r="K17" s="12">
        <v>2856000</v>
      </c>
      <c r="L17" s="59">
        <f>VLOOKUP(A17,'תפוקה מצטברת מול אשתקד'!A:K,8,0)</f>
        <v>439062.63631386042</v>
      </c>
      <c r="M17" s="62">
        <f>VLOOKUP(A17,'תפוקה מצטברת מול אשתקד'!A:K,9,0)</f>
        <v>215792.45379526171</v>
      </c>
      <c r="N17" s="62">
        <f>VLOOKUP(A17,'תפוקה מצטברת מול אשתקד'!A:K,10,0)</f>
        <v>2960340.5673905429</v>
      </c>
      <c r="O17" s="62">
        <f>VLOOKUP(A17,'תפוקה מצטברת מול אשתקד'!A:K,11,0)</f>
        <v>1104728.0500000003</v>
      </c>
    </row>
    <row r="18" spans="1:15" ht="15.6" x14ac:dyDescent="0.25">
      <c r="A18" s="26" t="s">
        <v>43</v>
      </c>
      <c r="B18" s="26" t="s">
        <v>108</v>
      </c>
      <c r="C18" s="26" t="s">
        <v>106</v>
      </c>
      <c r="D18" s="61">
        <f t="shared" si="0"/>
        <v>-0.49224087493964708</v>
      </c>
      <c r="E18" s="61">
        <f t="shared" si="1"/>
        <v>-0.32544240084350085</v>
      </c>
      <c r="F18" s="61">
        <f t="shared" si="2"/>
        <v>-0.58437281303596778</v>
      </c>
      <c r="G18" s="61">
        <f t="shared" si="3"/>
        <v>-0.41242885399159668</v>
      </c>
      <c r="H18" s="12">
        <v>1479000</v>
      </c>
      <c r="I18" s="12">
        <v>182000</v>
      </c>
      <c r="J18" s="12">
        <v>16660000</v>
      </c>
      <c r="K18" s="12">
        <v>4760000</v>
      </c>
      <c r="L18" s="59">
        <f>VLOOKUP(A18,'תפוקה מצטברת מול אשתקד'!A:K,8,0)</f>
        <v>750975.74596426194</v>
      </c>
      <c r="M18" s="62">
        <f>VLOOKUP(A18,'תפוקה מצטברת מול אשתקד'!A:K,9,0)</f>
        <v>122769.48304648286</v>
      </c>
      <c r="N18" s="62">
        <f>VLOOKUP(A18,'תפוקה מצטברת מול אשתקד'!A:K,10,0)</f>
        <v>6924348.9348207777</v>
      </c>
      <c r="O18" s="62">
        <f>VLOOKUP(A18,'תפוקה מצטברת מול אשתקד'!A:K,11,0)</f>
        <v>2796838.6549999998</v>
      </c>
    </row>
    <row r="19" spans="1:15" ht="15.6" x14ac:dyDescent="0.25">
      <c r="A19" s="26" t="s">
        <v>30</v>
      </c>
      <c r="B19" s="26" t="s">
        <v>108</v>
      </c>
      <c r="C19" s="26" t="s">
        <v>106</v>
      </c>
      <c r="D19" s="61">
        <f t="shared" si="0"/>
        <v>1</v>
      </c>
      <c r="E19" s="61">
        <f t="shared" si="1"/>
        <v>1</v>
      </c>
      <c r="F19" s="61">
        <f t="shared" si="2"/>
        <v>0</v>
      </c>
      <c r="G19" s="61">
        <f t="shared" si="3"/>
        <v>1</v>
      </c>
      <c r="H19" s="12">
        <v>0</v>
      </c>
      <c r="I19" s="12">
        <v>0</v>
      </c>
      <c r="J19" s="12">
        <v>0</v>
      </c>
      <c r="K19" s="12">
        <v>0</v>
      </c>
      <c r="L19" s="59">
        <f>VLOOKUP(A19,'תפוקה מצטברת מול אשתקד'!A:K,8,0)</f>
        <v>1207136.3798248689</v>
      </c>
      <c r="M19" s="62">
        <f>VLOOKUP(A19,'תפוקה מצטברת מול אשתקד'!A:K,9,0)</f>
        <v>61195.245999999992</v>
      </c>
      <c r="N19" s="62">
        <f>VLOOKUP(A19,'תפוקה מצטברת מול אשתקד'!A:K,10,0)</f>
        <v>0</v>
      </c>
      <c r="O19" s="62">
        <f>VLOOKUP(A19,'תפוקה מצטברת מול אשתקד'!A:K,11,0)</f>
        <v>-204933.06999999998</v>
      </c>
    </row>
    <row r="20" spans="1:15" ht="15.6" x14ac:dyDescent="0.25">
      <c r="A20" s="28" t="s">
        <v>130</v>
      </c>
      <c r="B20" s="26" t="s">
        <v>108</v>
      </c>
      <c r="C20" s="26" t="s">
        <v>106</v>
      </c>
      <c r="D20" s="61">
        <f t="shared" si="0"/>
        <v>1</v>
      </c>
      <c r="E20" s="61">
        <f t="shared" si="1"/>
        <v>0</v>
      </c>
      <c r="F20" s="61">
        <f t="shared" si="2"/>
        <v>0</v>
      </c>
      <c r="G20" s="61">
        <f t="shared" si="3"/>
        <v>0</v>
      </c>
      <c r="H20" s="12"/>
      <c r="I20" s="12"/>
      <c r="J20" s="12"/>
      <c r="K20" s="12"/>
      <c r="L20" s="59">
        <f>VLOOKUP(A20,'תפוקה מצטברת מול אשתקד'!A:K,8,0)</f>
        <v>29490.324082935349</v>
      </c>
      <c r="M20" s="62">
        <f>VLOOKUP(A20,'תפוקה מצטברת מול אשתקד'!A:K,9,0)</f>
        <v>0</v>
      </c>
      <c r="N20" s="62">
        <f>VLOOKUP(A20,'תפוקה מצטברת מול אשתקד'!A:K,10,0)</f>
        <v>0</v>
      </c>
      <c r="O20" s="62">
        <f>VLOOKUP(A20,'תפוקה מצטברת מול אשתקד'!A:K,11,0)</f>
        <v>0</v>
      </c>
    </row>
    <row r="21" spans="1:15" ht="16.2" thickBot="1" x14ac:dyDescent="0.3">
      <c r="A21" s="28" t="s">
        <v>38</v>
      </c>
      <c r="B21" s="28" t="s">
        <v>108</v>
      </c>
      <c r="C21" s="28" t="s">
        <v>106</v>
      </c>
      <c r="D21" s="145">
        <f t="shared" si="0"/>
        <v>0</v>
      </c>
      <c r="E21" s="145">
        <f t="shared" si="1"/>
        <v>0</v>
      </c>
      <c r="F21" s="145">
        <f t="shared" si="2"/>
        <v>0</v>
      </c>
      <c r="G21" s="145">
        <f t="shared" si="3"/>
        <v>0</v>
      </c>
      <c r="H21" s="12">
        <v>0</v>
      </c>
      <c r="I21" s="12">
        <v>0</v>
      </c>
      <c r="J21" s="12">
        <v>0</v>
      </c>
      <c r="K21" s="12">
        <v>0</v>
      </c>
      <c r="L21" s="59">
        <f>VLOOKUP(A21,'תפוקה מצטברת מול אשתקד'!A:K,8,0)</f>
        <v>0</v>
      </c>
      <c r="M21" s="62">
        <f>VLOOKUP(A21,'תפוקה מצטברת מול אשתקד'!A:K,9,0)</f>
        <v>0</v>
      </c>
      <c r="N21" s="62">
        <f>VLOOKUP(A21,'תפוקה מצטברת מול אשתקד'!A:K,10,0)</f>
        <v>0</v>
      </c>
      <c r="O21" s="62">
        <f>VLOOKUP(A21,'תפוקה מצטברת מול אשתקד'!A:K,11,0)</f>
        <v>0</v>
      </c>
    </row>
    <row r="22" spans="1:15" ht="21.6" thickBot="1" x14ac:dyDescent="0.3">
      <c r="A22" s="17" t="s">
        <v>10</v>
      </c>
      <c r="B22" s="57"/>
      <c r="C22" s="147"/>
      <c r="D22" s="148">
        <f t="shared" si="0"/>
        <v>1.1179677591647064E-2</v>
      </c>
      <c r="E22" s="148">
        <f t="shared" si="1"/>
        <v>-3.5165993332186285E-2</v>
      </c>
      <c r="F22" s="148">
        <f t="shared" si="2"/>
        <v>-0.48449667515167749</v>
      </c>
      <c r="G22" s="148">
        <f t="shared" si="3"/>
        <v>-0.59855700544152091</v>
      </c>
      <c r="H22" s="149">
        <f t="shared" ref="H22:O22" si="5">SUM(H9:H21)</f>
        <v>3845400</v>
      </c>
      <c r="I22" s="149">
        <f t="shared" si="5"/>
        <v>1508000</v>
      </c>
      <c r="J22" s="149">
        <f t="shared" si="5"/>
        <v>24752000</v>
      </c>
      <c r="K22" s="149">
        <f t="shared" si="5"/>
        <v>14518000</v>
      </c>
      <c r="L22" s="149">
        <f t="shared" si="5"/>
        <v>3888390.3322109194</v>
      </c>
      <c r="M22" s="149">
        <f t="shared" si="5"/>
        <v>1454969.6820550631</v>
      </c>
      <c r="N22" s="149">
        <f t="shared" si="5"/>
        <v>12759738.296645679</v>
      </c>
      <c r="O22" s="149">
        <f t="shared" si="5"/>
        <v>5828149.3949999996</v>
      </c>
    </row>
    <row r="23" spans="1:15" ht="15.6" x14ac:dyDescent="0.25">
      <c r="A23" s="27" t="s">
        <v>11</v>
      </c>
      <c r="B23" s="27" t="s">
        <v>56</v>
      </c>
      <c r="C23" s="27" t="s">
        <v>107</v>
      </c>
      <c r="D23" s="146">
        <f t="shared" si="0"/>
        <v>-0.27774540793610536</v>
      </c>
      <c r="E23" s="146">
        <f t="shared" si="1"/>
        <v>-0.5299050904977376</v>
      </c>
      <c r="F23" s="146">
        <f t="shared" si="2"/>
        <v>-0.71985727731092441</v>
      </c>
      <c r="G23" s="146">
        <f t="shared" si="3"/>
        <v>9.5608794117646889E-2</v>
      </c>
      <c r="H23" s="12">
        <v>788800</v>
      </c>
      <c r="I23" s="12">
        <v>88400</v>
      </c>
      <c r="J23" s="12">
        <v>1190000</v>
      </c>
      <c r="K23" s="12">
        <v>2380000</v>
      </c>
      <c r="L23" s="59">
        <f>VLOOKUP(A23,'תפוקה מצטברת מול אשתקד'!A:K,8,0)</f>
        <v>569714.42222000007</v>
      </c>
      <c r="M23" s="62">
        <f>VLOOKUP(A23,'תפוקה מצטברת מול אשתקד'!A:K,9,0)</f>
        <v>41556.39</v>
      </c>
      <c r="N23" s="62">
        <f>VLOOKUP(A23,'תפוקה מצטברת מול אשתקד'!A:K,10,0)</f>
        <v>333369.83999999997</v>
      </c>
      <c r="O23" s="62">
        <f>VLOOKUP(A23,'תפוקה מצטברת מול אשתקד'!A:K,11,0)</f>
        <v>2607548.9299999997</v>
      </c>
    </row>
    <row r="24" spans="1:15" ht="15.6" x14ac:dyDescent="0.25">
      <c r="A24" s="30" t="s">
        <v>12</v>
      </c>
      <c r="B24" s="26" t="s">
        <v>56</v>
      </c>
      <c r="C24" s="27" t="s">
        <v>107</v>
      </c>
      <c r="D24" s="61">
        <f t="shared" si="0"/>
        <v>0</v>
      </c>
      <c r="E24" s="61">
        <f t="shared" si="1"/>
        <v>1</v>
      </c>
      <c r="F24" s="61">
        <f t="shared" si="2"/>
        <v>0</v>
      </c>
      <c r="G24" s="61">
        <f t="shared" si="3"/>
        <v>1</v>
      </c>
      <c r="H24" s="12">
        <v>0</v>
      </c>
      <c r="I24" s="12">
        <v>0</v>
      </c>
      <c r="J24" s="12">
        <v>0</v>
      </c>
      <c r="K24" s="12">
        <v>0</v>
      </c>
      <c r="L24" s="59">
        <f>VLOOKUP(A24,'תפוקה מצטברת מול אשתקד'!A:K,8,0)</f>
        <v>0</v>
      </c>
      <c r="M24" s="62">
        <f>VLOOKUP(A24,'תפוקה מצטברת מול אשתקד'!A:K,9,0)</f>
        <v>3071.9442883237321</v>
      </c>
      <c r="N24" s="62">
        <f>VLOOKUP(A24,'תפוקה מצטברת מול אשתקד'!A:K,10,0)</f>
        <v>0</v>
      </c>
      <c r="O24" s="62">
        <f>VLOOKUP(A24,'תפוקה מצטברת מול אשתקד'!A:K,11,0)</f>
        <v>-11711.17</v>
      </c>
    </row>
    <row r="25" spans="1:15" ht="15.6" x14ac:dyDescent="0.25">
      <c r="A25" s="30" t="s">
        <v>13</v>
      </c>
      <c r="B25" s="26" t="s">
        <v>56</v>
      </c>
      <c r="C25" s="27" t="s">
        <v>107</v>
      </c>
      <c r="D25" s="61">
        <f t="shared" si="0"/>
        <v>-0.73549675735035125</v>
      </c>
      <c r="E25" s="61">
        <f t="shared" si="1"/>
        <v>-0.54519230769230775</v>
      </c>
      <c r="F25" s="61">
        <f t="shared" si="2"/>
        <v>-0.97225945176440676</v>
      </c>
      <c r="G25" s="61">
        <f t="shared" si="3"/>
        <v>0</v>
      </c>
      <c r="H25" s="12">
        <v>49300</v>
      </c>
      <c r="I25" s="12">
        <v>26000</v>
      </c>
      <c r="J25" s="12">
        <v>142800</v>
      </c>
      <c r="K25" s="12">
        <v>47600</v>
      </c>
      <c r="L25" s="59">
        <f>VLOOKUP(A25,'תפוקה מצטברת מול אשתקד'!A:K,8,0)</f>
        <v>13040.009862627679</v>
      </c>
      <c r="M25" s="62">
        <f>VLOOKUP(A25,'תפוקה מצטברת מול אשתקד'!A:K,9,0)</f>
        <v>11825</v>
      </c>
      <c r="N25" s="62">
        <f>VLOOKUP(A25,'תפוקה מצטברת מול אשתקד'!A:K,10,0)</f>
        <v>3961.350288042715</v>
      </c>
      <c r="O25" s="62">
        <f>VLOOKUP(A25,'תפוקה מצטברת מול אשתקד'!A:K,11,0)</f>
        <v>0</v>
      </c>
    </row>
    <row r="26" spans="1:15" ht="31.2" x14ac:dyDescent="0.25">
      <c r="A26" s="26" t="s">
        <v>14</v>
      </c>
      <c r="B26" s="26" t="s">
        <v>55</v>
      </c>
      <c r="C26" s="27" t="s">
        <v>107</v>
      </c>
      <c r="D26" s="61">
        <f t="shared" si="0"/>
        <v>0</v>
      </c>
      <c r="E26" s="61">
        <f t="shared" si="1"/>
        <v>0</v>
      </c>
      <c r="F26" s="61">
        <f t="shared" si="2"/>
        <v>0</v>
      </c>
      <c r="G26" s="61">
        <f t="shared" si="3"/>
        <v>0</v>
      </c>
      <c r="H26" s="12">
        <v>0</v>
      </c>
      <c r="I26" s="12">
        <v>0</v>
      </c>
      <c r="J26" s="12">
        <v>0</v>
      </c>
      <c r="K26" s="12">
        <v>0</v>
      </c>
      <c r="L26" s="59">
        <f>VLOOKUP(A26,'תפוקה מצטברת מול אשתקד'!A:K,8,0)</f>
        <v>0</v>
      </c>
      <c r="M26" s="62">
        <f>VLOOKUP(A26,'תפוקה מצטברת מול אשתקד'!A:K,9,0)</f>
        <v>0</v>
      </c>
      <c r="N26" s="62">
        <f>VLOOKUP(A26,'תפוקה מצטברת מול אשתקד'!A:K,10,0)</f>
        <v>0</v>
      </c>
      <c r="O26" s="62">
        <f>VLOOKUP(A26,'תפוקה מצטברת מול אשתקד'!A:K,11,0)</f>
        <v>0</v>
      </c>
    </row>
    <row r="27" spans="1:15" ht="15.6" x14ac:dyDescent="0.25">
      <c r="A27" s="30" t="s">
        <v>15</v>
      </c>
      <c r="B27" s="26" t="s">
        <v>56</v>
      </c>
      <c r="C27" s="27" t="s">
        <v>107</v>
      </c>
      <c r="D27" s="61">
        <f t="shared" si="0"/>
        <v>-0.28690310548491493</v>
      </c>
      <c r="E27" s="61">
        <f t="shared" si="1"/>
        <v>-0.45014490750000002</v>
      </c>
      <c r="F27" s="61">
        <f t="shared" si="2"/>
        <v>-0.57156570280112051</v>
      </c>
      <c r="G27" s="61">
        <f t="shared" si="3"/>
        <v>-0.19930568802521009</v>
      </c>
      <c r="H27" s="12">
        <v>1232500</v>
      </c>
      <c r="I27" s="12">
        <v>156000</v>
      </c>
      <c r="J27" s="12">
        <v>1428000</v>
      </c>
      <c r="K27" s="12">
        <v>1904000</v>
      </c>
      <c r="L27" s="59">
        <f>VLOOKUP(A27,'תפוקה מצטברת מול אשתקד'!A:K,8,0)</f>
        <v>878891.9224898424</v>
      </c>
      <c r="M27" s="62">
        <f>VLOOKUP(A27,'תפוקה מצטברת מול אשתקד'!A:K,9,0)</f>
        <v>85777.39443</v>
      </c>
      <c r="N27" s="62">
        <f>VLOOKUP(A27,'תפוקה מצטברת מול אשתקד'!A:K,10,0)</f>
        <v>611804.1764</v>
      </c>
      <c r="O27" s="62">
        <f>VLOOKUP(A27,'תפוקה מצטברת מול אשתקד'!A:K,11,0)</f>
        <v>1524521.97</v>
      </c>
    </row>
    <row r="28" spans="1:15" ht="15.6" x14ac:dyDescent="0.25">
      <c r="A28" s="30" t="s">
        <v>17</v>
      </c>
      <c r="B28" s="26" t="s">
        <v>56</v>
      </c>
      <c r="C28" s="27" t="s">
        <v>107</v>
      </c>
      <c r="D28" s="61">
        <f t="shared" si="0"/>
        <v>-0.55254843981620672</v>
      </c>
      <c r="E28" s="61">
        <f t="shared" si="1"/>
        <v>-0.43884055941907996</v>
      </c>
      <c r="F28" s="61">
        <f t="shared" si="2"/>
        <v>1.1132355819242128</v>
      </c>
      <c r="G28" s="61">
        <f t="shared" si="3"/>
        <v>1.0052904411764705</v>
      </c>
      <c r="H28" s="12">
        <v>147900</v>
      </c>
      <c r="I28" s="12">
        <v>104000</v>
      </c>
      <c r="J28" s="12">
        <v>47600</v>
      </c>
      <c r="K28" s="12">
        <v>95200</v>
      </c>
      <c r="L28" s="59">
        <f>VLOOKUP(A28,'תפוקה מצטברת מול אשתקד'!A:K,8,0)</f>
        <v>66178.085751183025</v>
      </c>
      <c r="M28" s="62">
        <f>VLOOKUP(A28,'תפוקה מצטברת מול אשתקד'!A:K,9,0)</f>
        <v>58360.581820415682</v>
      </c>
      <c r="N28" s="62">
        <f>VLOOKUP(A28,'תפוקה מצטברת מול אשתקד'!A:K,10,0)</f>
        <v>100590.01369959253</v>
      </c>
      <c r="O28" s="62">
        <f>VLOOKUP(A28,'תפוקה מצטברת מול אשתקד'!A:K,11,0)</f>
        <v>190903.65</v>
      </c>
    </row>
    <row r="29" spans="1:15" ht="15.6" x14ac:dyDescent="0.25">
      <c r="A29" s="30" t="s">
        <v>18</v>
      </c>
      <c r="B29" s="26" t="s">
        <v>56</v>
      </c>
      <c r="C29" s="27" t="s">
        <v>107</v>
      </c>
      <c r="D29" s="61">
        <f t="shared" si="0"/>
        <v>-0.81796274509803923</v>
      </c>
      <c r="E29" s="61">
        <f t="shared" si="1"/>
        <v>-0.32713868794871792</v>
      </c>
      <c r="F29" s="61">
        <f t="shared" si="2"/>
        <v>-0.75608274509803919</v>
      </c>
      <c r="G29" s="61">
        <f t="shared" si="3"/>
        <v>-0.58733662464985992</v>
      </c>
      <c r="H29" s="12">
        <v>147900</v>
      </c>
      <c r="I29" s="12">
        <v>78000</v>
      </c>
      <c r="J29" s="12">
        <v>714000</v>
      </c>
      <c r="K29" s="12">
        <v>142800</v>
      </c>
      <c r="L29" s="59">
        <f>VLOOKUP(A29,'תפוקה מצטברת מול אשתקד'!A:K,8,0)</f>
        <v>26923.31</v>
      </c>
      <c r="M29" s="62">
        <f>VLOOKUP(A29,'תפוקה מצטברת מול אשתקד'!A:K,9,0)</f>
        <v>52483.182339999999</v>
      </c>
      <c r="N29" s="62">
        <f>VLOOKUP(A29,'תפוקה מצטברת מול אשתקד'!A:K,10,0)</f>
        <v>174156.92</v>
      </c>
      <c r="O29" s="62">
        <f>VLOOKUP(A29,'תפוקה מצטברת מול אשתקד'!A:K,11,0)</f>
        <v>58928.33</v>
      </c>
    </row>
    <row r="30" spans="1:15" ht="15.6" x14ac:dyDescent="0.25">
      <c r="A30" s="26" t="s">
        <v>19</v>
      </c>
      <c r="B30" s="26" t="s">
        <v>56</v>
      </c>
      <c r="C30" s="27" t="s">
        <v>107</v>
      </c>
      <c r="D30" s="61">
        <f t="shared" si="0"/>
        <v>-0.48483488900463756</v>
      </c>
      <c r="E30" s="61">
        <f t="shared" si="1"/>
        <v>-0.20878910256410255</v>
      </c>
      <c r="F30" s="61">
        <f t="shared" si="2"/>
        <v>-0.43700380952380946</v>
      </c>
      <c r="G30" s="61">
        <f t="shared" si="3"/>
        <v>-0.54603196218487393</v>
      </c>
      <c r="H30" s="12">
        <v>862750</v>
      </c>
      <c r="I30" s="12">
        <v>78000</v>
      </c>
      <c r="J30" s="12">
        <v>1428000</v>
      </c>
      <c r="K30" s="12">
        <v>2380000</v>
      </c>
      <c r="L30" s="59">
        <f>VLOOKUP(A30,'תפוקה מצטברת מול אשתקד'!A:K,8,0)</f>
        <v>444458.69951124891</v>
      </c>
      <c r="M30" s="62">
        <f>VLOOKUP(A30,'תפוקה מצטברת מול אשתקד'!A:K,9,0)</f>
        <v>61714.45</v>
      </c>
      <c r="N30" s="62">
        <f>VLOOKUP(A30,'תפוקה מצטברת מול אשתקד'!A:K,10,0)</f>
        <v>803958.56</v>
      </c>
      <c r="O30" s="62">
        <f>VLOOKUP(A30,'תפוקה מצטברת מול אשתקד'!A:K,11,0)</f>
        <v>1080443.93</v>
      </c>
    </row>
    <row r="31" spans="1:15" ht="15.6" x14ac:dyDescent="0.25">
      <c r="A31" s="26" t="s">
        <v>20</v>
      </c>
      <c r="B31" s="26" t="s">
        <v>56</v>
      </c>
      <c r="C31" s="27" t="s">
        <v>107</v>
      </c>
      <c r="D31" s="61">
        <f t="shared" si="0"/>
        <v>0.58701839756592311</v>
      </c>
      <c r="E31" s="61">
        <f t="shared" si="1"/>
        <v>-0.15239959063505026</v>
      </c>
      <c r="F31" s="61">
        <f t="shared" si="2"/>
        <v>0.20998688550420175</v>
      </c>
      <c r="G31" s="61">
        <f t="shared" si="3"/>
        <v>0.32842507563025181</v>
      </c>
      <c r="H31" s="12">
        <v>493000</v>
      </c>
      <c r="I31" s="12">
        <v>104000</v>
      </c>
      <c r="J31" s="12">
        <v>1904000</v>
      </c>
      <c r="K31" s="12">
        <v>1190000</v>
      </c>
      <c r="L31" s="59">
        <f>VLOOKUP(A31,'תפוקה מצטברת מול אשתקד'!A:K,8,0)</f>
        <v>782400.07000000007</v>
      </c>
      <c r="M31" s="62">
        <f>VLOOKUP(A31,'תפוקה מצטברת מול אשתקד'!A:K,9,0)</f>
        <v>88150.442573954773</v>
      </c>
      <c r="N31" s="62">
        <f>VLOOKUP(A31,'תפוקה מצטברת מול אשתקד'!A:K,10,0)</f>
        <v>2303815.0300000003</v>
      </c>
      <c r="O31" s="62">
        <f>VLOOKUP(A31,'תפוקה מצטברת מול אשתקד'!A:K,11,0)</f>
        <v>1580825.8399999996</v>
      </c>
    </row>
    <row r="32" spans="1:15" ht="15.6" x14ac:dyDescent="0.25">
      <c r="A32" s="26" t="s">
        <v>21</v>
      </c>
      <c r="B32" s="26" t="s">
        <v>56</v>
      </c>
      <c r="C32" s="27" t="s">
        <v>107</v>
      </c>
      <c r="D32" s="61">
        <f t="shared" si="0"/>
        <v>0</v>
      </c>
      <c r="E32" s="61">
        <f t="shared" si="1"/>
        <v>1</v>
      </c>
      <c r="F32" s="61">
        <f t="shared" si="2"/>
        <v>0</v>
      </c>
      <c r="G32" s="61">
        <f t="shared" si="3"/>
        <v>0</v>
      </c>
      <c r="H32" s="12">
        <v>0</v>
      </c>
      <c r="I32" s="12">
        <v>0</v>
      </c>
      <c r="J32" s="12">
        <v>0</v>
      </c>
      <c r="K32" s="12">
        <v>0</v>
      </c>
      <c r="L32" s="59">
        <f>VLOOKUP(A32,'תפוקה מצטברת מול אשתקד'!A:K,8,0)</f>
        <v>0</v>
      </c>
      <c r="M32" s="62">
        <f>VLOOKUP(A32,'תפוקה מצטברת מול אשתקד'!A:K,9,0)</f>
        <v>9.74</v>
      </c>
      <c r="N32" s="62">
        <f>VLOOKUP(A32,'תפוקה מצטברת מול אשתקד'!A:K,10,0)</f>
        <v>0</v>
      </c>
      <c r="O32" s="62">
        <f>VLOOKUP(A32,'תפוקה מצטברת מול אשתקד'!A:K,11,0)</f>
        <v>0</v>
      </c>
    </row>
    <row r="33" spans="1:15" ht="15.6" x14ac:dyDescent="0.25">
      <c r="A33" s="26" t="s">
        <v>22</v>
      </c>
      <c r="B33" s="26" t="s">
        <v>56</v>
      </c>
      <c r="C33" s="27" t="s">
        <v>107</v>
      </c>
      <c r="D33" s="61">
        <f t="shared" si="0"/>
        <v>1</v>
      </c>
      <c r="E33" s="61">
        <f t="shared" si="1"/>
        <v>1</v>
      </c>
      <c r="F33" s="61">
        <f t="shared" si="2"/>
        <v>1</v>
      </c>
      <c r="G33" s="61">
        <f t="shared" si="3"/>
        <v>0</v>
      </c>
      <c r="H33" s="12">
        <v>0</v>
      </c>
      <c r="I33" s="12">
        <v>0</v>
      </c>
      <c r="J33" s="12">
        <v>0</v>
      </c>
      <c r="K33" s="12">
        <v>0</v>
      </c>
      <c r="L33" s="59">
        <f>VLOOKUP(A33,'תפוקה מצטברת מול אשתקד'!A:K,8,0)</f>
        <v>40386.726434271317</v>
      </c>
      <c r="M33" s="62">
        <f>VLOOKUP(A33,'תפוקה מצטברת מול אשתקד'!A:K,9,0)</f>
        <v>4862.865542000698</v>
      </c>
      <c r="N33" s="62">
        <f>VLOOKUP(A33,'תפוקה מצטברת מול אשתקד'!A:K,10,0)</f>
        <v>47440.186354350124</v>
      </c>
      <c r="O33" s="62">
        <f>VLOOKUP(A33,'תפוקה מצטברת מול אשתקד'!A:K,11,0)</f>
        <v>0</v>
      </c>
    </row>
    <row r="34" spans="1:15" ht="15.6" x14ac:dyDescent="0.25">
      <c r="A34" s="26" t="s">
        <v>23</v>
      </c>
      <c r="B34" s="26" t="s">
        <v>56</v>
      </c>
      <c r="C34" s="27" t="s">
        <v>107</v>
      </c>
      <c r="D34" s="61">
        <f t="shared" si="0"/>
        <v>0</v>
      </c>
      <c r="E34" s="61">
        <f t="shared" si="1"/>
        <v>0</v>
      </c>
      <c r="F34" s="61">
        <f t="shared" si="2"/>
        <v>0</v>
      </c>
      <c r="G34" s="61">
        <f t="shared" si="3"/>
        <v>0</v>
      </c>
      <c r="H34" s="12">
        <v>0</v>
      </c>
      <c r="I34" s="12">
        <v>0</v>
      </c>
      <c r="J34" s="12">
        <v>0</v>
      </c>
      <c r="K34" s="12">
        <v>0</v>
      </c>
      <c r="L34" s="59">
        <f>VLOOKUP(A34,'תפוקה מצטברת מול אשתקד'!A:K,8,0)</f>
        <v>0</v>
      </c>
      <c r="M34" s="62">
        <f>VLOOKUP(A34,'תפוקה מצטברת מול אשתקד'!A:K,9,0)</f>
        <v>0</v>
      </c>
      <c r="N34" s="62">
        <f>VLOOKUP(A34,'תפוקה מצטברת מול אשתקד'!A:K,10,0)</f>
        <v>0</v>
      </c>
      <c r="O34" s="62">
        <f>VLOOKUP(A34,'תפוקה מצטברת מול אשתקד'!A:K,11,0)</f>
        <v>0</v>
      </c>
    </row>
    <row r="35" spans="1:15" ht="15.6" x14ac:dyDescent="0.25">
      <c r="A35" s="26" t="s">
        <v>24</v>
      </c>
      <c r="B35" s="26" t="s">
        <v>56</v>
      </c>
      <c r="C35" s="27" t="s">
        <v>107</v>
      </c>
      <c r="D35" s="61">
        <f t="shared" si="0"/>
        <v>0</v>
      </c>
      <c r="E35" s="61">
        <f t="shared" si="1"/>
        <v>1</v>
      </c>
      <c r="F35" s="61">
        <f t="shared" si="2"/>
        <v>0</v>
      </c>
      <c r="G35" s="61">
        <f t="shared" si="3"/>
        <v>0</v>
      </c>
      <c r="H35" s="12">
        <v>0</v>
      </c>
      <c r="I35" s="12">
        <v>0</v>
      </c>
      <c r="J35" s="12">
        <v>0</v>
      </c>
      <c r="K35" s="12">
        <v>0</v>
      </c>
      <c r="L35" s="59">
        <f>VLOOKUP(A35,'תפוקה מצטברת מול אשתקד'!A:K,8,0)</f>
        <v>0</v>
      </c>
      <c r="M35" s="62">
        <f>VLOOKUP(A35,'תפוקה מצטברת מול אשתקד'!A:K,9,0)</f>
        <v>6614.1689999999999</v>
      </c>
      <c r="N35" s="62">
        <f>VLOOKUP(A35,'תפוקה מצטברת מול אשתקד'!A:K,10,0)</f>
        <v>0</v>
      </c>
      <c r="O35" s="62">
        <f>VLOOKUP(A35,'תפוקה מצטברת מול אשתקד'!A:K,11,0)</f>
        <v>0</v>
      </c>
    </row>
    <row r="36" spans="1:15" ht="15.6" x14ac:dyDescent="0.25">
      <c r="A36" s="30" t="s">
        <v>25</v>
      </c>
      <c r="B36" s="26" t="s">
        <v>56</v>
      </c>
      <c r="C36" s="27" t="s">
        <v>107</v>
      </c>
      <c r="D36" s="61">
        <f t="shared" si="0"/>
        <v>0.35910906109759</v>
      </c>
      <c r="E36" s="61">
        <f t="shared" si="1"/>
        <v>-0.17959933708399867</v>
      </c>
      <c r="F36" s="61">
        <f t="shared" si="2"/>
        <v>-0.36035421940150214</v>
      </c>
      <c r="G36" s="61">
        <f t="shared" si="3"/>
        <v>0.30568235819327727</v>
      </c>
      <c r="H36" s="12">
        <v>1232500</v>
      </c>
      <c r="I36" s="12">
        <v>234000</v>
      </c>
      <c r="J36" s="12">
        <v>2856000</v>
      </c>
      <c r="K36" s="12">
        <v>1904000</v>
      </c>
      <c r="L36" s="59">
        <f>VLOOKUP(A36,'תפוקה מצטברת מול אשתקד'!A:K,8,0)</f>
        <v>1675101.9178027797</v>
      </c>
      <c r="M36" s="62">
        <f>VLOOKUP(A36,'תפוקה מצטברת מול אשתקד'!A:K,9,0)</f>
        <v>191973.7551223443</v>
      </c>
      <c r="N36" s="62">
        <f>VLOOKUP(A36,'תפוקה מצטברת מול אשתקד'!A:K,10,0)</f>
        <v>1826828.34938931</v>
      </c>
      <c r="O36" s="62">
        <f>VLOOKUP(A36,'תפוקה מצטברת מול אשתקד'!A:K,11,0)</f>
        <v>2486019.21</v>
      </c>
    </row>
    <row r="37" spans="1:15" ht="15.6" x14ac:dyDescent="0.25">
      <c r="A37" s="26" t="s">
        <v>26</v>
      </c>
      <c r="B37" s="26" t="s">
        <v>56</v>
      </c>
      <c r="C37" s="27" t="s">
        <v>107</v>
      </c>
      <c r="D37" s="61">
        <f t="shared" si="0"/>
        <v>1</v>
      </c>
      <c r="E37" s="61">
        <f t="shared" si="1"/>
        <v>0</v>
      </c>
      <c r="F37" s="61">
        <f t="shared" si="2"/>
        <v>0</v>
      </c>
      <c r="G37" s="61">
        <f t="shared" si="3"/>
        <v>0</v>
      </c>
      <c r="H37" s="12">
        <v>0</v>
      </c>
      <c r="I37" s="12">
        <v>0</v>
      </c>
      <c r="J37" s="12">
        <v>0</v>
      </c>
      <c r="K37" s="12">
        <v>0</v>
      </c>
      <c r="L37" s="59">
        <f>VLOOKUP(A37,'תפוקה מצטברת מול אשתקד'!A:K,8,0)</f>
        <v>2262</v>
      </c>
      <c r="M37" s="62">
        <f>VLOOKUP(A37,'תפוקה מצטברת מול אשתקד'!A:K,9,0)</f>
        <v>0</v>
      </c>
      <c r="N37" s="62">
        <f>VLOOKUP(A37,'תפוקה מצטברת מול אשתקד'!A:K,10,0)</f>
        <v>0</v>
      </c>
      <c r="O37" s="62">
        <f>VLOOKUP(A37,'תפוקה מצטברת מול אשתקד'!A:K,11,0)</f>
        <v>0</v>
      </c>
    </row>
    <row r="38" spans="1:15" ht="15.6" x14ac:dyDescent="0.25">
      <c r="A38" s="26" t="s">
        <v>27</v>
      </c>
      <c r="B38" s="26" t="s">
        <v>56</v>
      </c>
      <c r="C38" s="27" t="s">
        <v>107</v>
      </c>
      <c r="D38" s="61">
        <f t="shared" si="0"/>
        <v>1</v>
      </c>
      <c r="E38" s="61">
        <f t="shared" si="1"/>
        <v>1</v>
      </c>
      <c r="F38" s="61">
        <f t="shared" si="2"/>
        <v>1</v>
      </c>
      <c r="G38" s="61">
        <f t="shared" si="3"/>
        <v>1</v>
      </c>
      <c r="H38" s="12">
        <v>0</v>
      </c>
      <c r="I38" s="12">
        <v>0</v>
      </c>
      <c r="J38" s="12">
        <v>0</v>
      </c>
      <c r="K38" s="12">
        <v>0</v>
      </c>
      <c r="L38" s="59">
        <f>VLOOKUP(A38,'תפוקה מצטברת מול אשתקד'!A:K,8,0)</f>
        <v>44755.199999999997</v>
      </c>
      <c r="M38" s="62">
        <f>VLOOKUP(A38,'תפוקה מצטברת מול אשתקד'!A:K,9,0)</f>
        <v>-3440.7660000000001</v>
      </c>
      <c r="N38" s="62">
        <f>VLOOKUP(A38,'תפוקה מצטברת מול אשתקד'!A:K,10,0)</f>
        <v>23102.44</v>
      </c>
      <c r="O38" s="62">
        <f>VLOOKUP(A38,'תפוקה מצטברת מול אשתקד'!A:K,11,0)</f>
        <v>-580576.23</v>
      </c>
    </row>
    <row r="39" spans="1:15" ht="15.6" x14ac:dyDescent="0.25">
      <c r="A39" s="26" t="s">
        <v>28</v>
      </c>
      <c r="B39" s="26" t="s">
        <v>56</v>
      </c>
      <c r="C39" s="27" t="s">
        <v>107</v>
      </c>
      <c r="D39" s="61">
        <f t="shared" si="0"/>
        <v>1</v>
      </c>
      <c r="E39" s="61">
        <f t="shared" si="1"/>
        <v>0</v>
      </c>
      <c r="F39" s="61">
        <f t="shared" si="2"/>
        <v>0</v>
      </c>
      <c r="G39" s="61">
        <f t="shared" si="3"/>
        <v>0</v>
      </c>
      <c r="H39" s="12">
        <v>0</v>
      </c>
      <c r="I39" s="12">
        <v>0</v>
      </c>
      <c r="J39" s="12">
        <v>0</v>
      </c>
      <c r="K39" s="12">
        <v>0</v>
      </c>
      <c r="L39" s="59">
        <f>VLOOKUP(A39,'תפוקה מצטברת מול אשתקד'!A:K,8,0)</f>
        <v>37915.581688366226</v>
      </c>
      <c r="M39" s="62">
        <f>VLOOKUP(A39,'תפוקה מצטברת מול אשתקד'!A:K,9,0)</f>
        <v>0</v>
      </c>
      <c r="N39" s="62">
        <f>VLOOKUP(A39,'תפוקה מצטברת מול אשתקד'!A:K,10,0)</f>
        <v>0</v>
      </c>
      <c r="O39" s="62">
        <f>VLOOKUP(A39,'תפוקה מצטברת מול אשתקד'!A:K,11,0)</f>
        <v>0</v>
      </c>
    </row>
    <row r="40" spans="1:15" ht="15.6" x14ac:dyDescent="0.25">
      <c r="A40" s="26" t="s">
        <v>29</v>
      </c>
      <c r="B40" s="26" t="s">
        <v>56</v>
      </c>
      <c r="C40" s="27" t="s">
        <v>107</v>
      </c>
      <c r="D40" s="61">
        <f t="shared" si="0"/>
        <v>1</v>
      </c>
      <c r="E40" s="61">
        <f t="shared" si="1"/>
        <v>-0.49879807692307687</v>
      </c>
      <c r="F40" s="61">
        <f t="shared" si="2"/>
        <v>1</v>
      </c>
      <c r="G40" s="61">
        <f t="shared" si="3"/>
        <v>1</v>
      </c>
      <c r="H40" s="12">
        <v>0</v>
      </c>
      <c r="I40" s="12">
        <v>5200</v>
      </c>
      <c r="J40" s="12">
        <v>0</v>
      </c>
      <c r="K40" s="12">
        <v>0</v>
      </c>
      <c r="L40" s="59">
        <f>VLOOKUP(A40,'תפוקה מצטברת מול אשתקד'!A:K,8,0)</f>
        <v>25403.37</v>
      </c>
      <c r="M40" s="62">
        <f>VLOOKUP(A40,'תפוקה מצטברת מול אשתקד'!A:K,9,0)</f>
        <v>2606.25</v>
      </c>
      <c r="N40" s="62">
        <f>VLOOKUP(A40,'תפוקה מצטברת מול אשתקד'!A:K,10,0)</f>
        <v>245920.63</v>
      </c>
      <c r="O40" s="62">
        <f>VLOOKUP(A40,'תפוקה מצטברת מול אשתקד'!A:K,11,0)</f>
        <v>229331.73</v>
      </c>
    </row>
    <row r="41" spans="1:15" ht="31.2" x14ac:dyDescent="0.25">
      <c r="A41" s="26" t="s">
        <v>98</v>
      </c>
      <c r="B41" s="26" t="s">
        <v>55</v>
      </c>
      <c r="C41" s="27" t="s">
        <v>107</v>
      </c>
      <c r="D41" s="61">
        <f t="shared" si="0"/>
        <v>-0.84816414807302232</v>
      </c>
      <c r="E41" s="61">
        <f t="shared" si="1"/>
        <v>-0.6568767307692307</v>
      </c>
      <c r="F41" s="61">
        <f t="shared" si="2"/>
        <v>0</v>
      </c>
      <c r="G41" s="61">
        <f t="shared" si="3"/>
        <v>0</v>
      </c>
      <c r="H41" s="12">
        <v>197200</v>
      </c>
      <c r="I41" s="12">
        <v>52000</v>
      </c>
      <c r="J41" s="12">
        <v>476000</v>
      </c>
      <c r="K41" s="12">
        <v>476000</v>
      </c>
      <c r="L41" s="59">
        <f>VLOOKUP(A41,'תפוקה מצטברת מול אשתקד'!A:K,8,0)</f>
        <v>29942.03</v>
      </c>
      <c r="M41" s="62">
        <f>VLOOKUP(A41,'תפוקה מצטברת מול אשתקד'!A:K,9,0)</f>
        <v>17842.41</v>
      </c>
      <c r="N41" s="62">
        <f>VLOOKUP(A41,'תפוקה מצטברת מול אשתקד'!A:K,10,0)</f>
        <v>0</v>
      </c>
      <c r="O41" s="62">
        <f>VLOOKUP(A41,'תפוקה מצטברת מול אשתקד'!A:K,11,0)</f>
        <v>0</v>
      </c>
    </row>
    <row r="42" spans="1:15" ht="31.2" x14ac:dyDescent="0.25">
      <c r="A42" s="26" t="s">
        <v>32</v>
      </c>
      <c r="B42" s="26" t="s">
        <v>55</v>
      </c>
      <c r="C42" s="27" t="s">
        <v>107</v>
      </c>
      <c r="D42" s="61">
        <f t="shared" si="0"/>
        <v>0</v>
      </c>
      <c r="E42" s="61">
        <f t="shared" si="1"/>
        <v>0</v>
      </c>
      <c r="F42" s="61">
        <f t="shared" si="2"/>
        <v>0</v>
      </c>
      <c r="G42" s="61">
        <f t="shared" si="3"/>
        <v>0</v>
      </c>
      <c r="H42" s="12">
        <v>0</v>
      </c>
      <c r="I42" s="12">
        <v>0</v>
      </c>
      <c r="J42" s="12">
        <v>0</v>
      </c>
      <c r="K42" s="12">
        <v>0</v>
      </c>
      <c r="L42" s="59">
        <f>VLOOKUP(A42,'תפוקה מצטברת מול אשתקד'!A:K,8,0)</f>
        <v>0</v>
      </c>
      <c r="M42" s="62">
        <f>VLOOKUP(A42,'תפוקה מצטברת מול אשתקד'!A:K,9,0)</f>
        <v>0</v>
      </c>
      <c r="N42" s="62">
        <f>VLOOKUP(A42,'תפוקה מצטברת מול אשתקד'!A:K,10,0)</f>
        <v>0</v>
      </c>
      <c r="O42" s="62">
        <f>VLOOKUP(A42,'תפוקה מצטברת מול אשתקד'!A:K,11,0)</f>
        <v>0</v>
      </c>
    </row>
    <row r="43" spans="1:15" ht="15.6" x14ac:dyDescent="0.25">
      <c r="A43" s="30" t="s">
        <v>95</v>
      </c>
      <c r="B43" s="26" t="s">
        <v>56</v>
      </c>
      <c r="C43" s="27" t="s">
        <v>107</v>
      </c>
      <c r="D43" s="61">
        <f t="shared" si="0"/>
        <v>1</v>
      </c>
      <c r="E43" s="61">
        <f t="shared" si="1"/>
        <v>1</v>
      </c>
      <c r="F43" s="61">
        <f t="shared" si="2"/>
        <v>1</v>
      </c>
      <c r="G43" s="61">
        <f t="shared" si="3"/>
        <v>1</v>
      </c>
      <c r="H43" s="12">
        <v>0</v>
      </c>
      <c r="I43" s="12">
        <v>0</v>
      </c>
      <c r="J43" s="12">
        <v>0</v>
      </c>
      <c r="K43" s="12">
        <v>0</v>
      </c>
      <c r="L43" s="59">
        <f>VLOOKUP(A43,'תפוקה מצטברת מול אשתקד'!A:K,8,0)</f>
        <v>292726.81280443771</v>
      </c>
      <c r="M43" s="62">
        <f>VLOOKUP(A43,'תפוקה מצטברת מול אשתקד'!A:K,9,0)</f>
        <v>30300.5074922044</v>
      </c>
      <c r="N43" s="62">
        <f>VLOOKUP(A43,'תפוקה מצטברת מול אשתקד'!A:K,10,0)</f>
        <v>504815.3653751447</v>
      </c>
      <c r="O43" s="62">
        <f>VLOOKUP(A43,'תפוקה מצטברת מול אשתקד'!A:K,11,0)</f>
        <v>837097.91</v>
      </c>
    </row>
    <row r="44" spans="1:15" ht="15.6" x14ac:dyDescent="0.25">
      <c r="A44" s="26" t="s">
        <v>83</v>
      </c>
      <c r="B44" s="26" t="s">
        <v>56</v>
      </c>
      <c r="C44" s="27" t="s">
        <v>107</v>
      </c>
      <c r="D44" s="61">
        <f t="shared" si="0"/>
        <v>-0.93245436105476676</v>
      </c>
      <c r="E44" s="61">
        <f t="shared" si="1"/>
        <v>-0.46246187913907288</v>
      </c>
      <c r="F44" s="61">
        <f t="shared" si="2"/>
        <v>-0.93435868347338935</v>
      </c>
      <c r="G44" s="61">
        <f t="shared" si="3"/>
        <v>0</v>
      </c>
      <c r="H44" s="12">
        <v>147900</v>
      </c>
      <c r="I44" s="12">
        <v>41600</v>
      </c>
      <c r="J44" s="12">
        <v>142800</v>
      </c>
      <c r="K44" s="12">
        <v>142800</v>
      </c>
      <c r="L44" s="59">
        <f>VLOOKUP(A44,'תפוקה מצטברת מול אשתקד'!A:K,8,0)</f>
        <v>9990</v>
      </c>
      <c r="M44" s="62">
        <f>VLOOKUP(A44,'תפוקה מצטברת מול אשתקד'!A:K,9,0)</f>
        <v>22361.585827814568</v>
      </c>
      <c r="N44" s="62">
        <f>VLOOKUP(A44,'תפוקה מצטברת מול אשתקד'!A:K,10,0)</f>
        <v>9373.58</v>
      </c>
      <c r="O44" s="62">
        <f>VLOOKUP(A44,'תפוקה מצטברת מול אשתקד'!A:K,11,0)</f>
        <v>0</v>
      </c>
    </row>
    <row r="45" spans="1:15" ht="15.6" x14ac:dyDescent="0.25">
      <c r="A45" s="26" t="s">
        <v>82</v>
      </c>
      <c r="B45" s="26" t="s">
        <v>56</v>
      </c>
      <c r="C45" s="27" t="s">
        <v>107</v>
      </c>
      <c r="D45" s="61">
        <f t="shared" si="0"/>
        <v>-0.7150541997776223</v>
      </c>
      <c r="E45" s="61">
        <f t="shared" si="1"/>
        <v>-3.9862529233463562E-2</v>
      </c>
      <c r="F45" s="61">
        <f t="shared" si="2"/>
        <v>2.4712955182072829</v>
      </c>
      <c r="G45" s="61">
        <f t="shared" si="3"/>
        <v>0.38068445378151305</v>
      </c>
      <c r="H45" s="12">
        <v>24650</v>
      </c>
      <c r="I45" s="12">
        <v>26000</v>
      </c>
      <c r="J45" s="12">
        <v>142800</v>
      </c>
      <c r="K45" s="12">
        <v>95200</v>
      </c>
      <c r="L45" s="59">
        <f>VLOOKUP(A45,'תפוקה מצטברת מול אשתקד'!A:K,8,0)</f>
        <v>7023.9139754816115</v>
      </c>
      <c r="M45" s="62">
        <f>VLOOKUP(A45,'תפוקה מצטברת מול אשתקד'!A:K,9,0)</f>
        <v>24963.574239929949</v>
      </c>
      <c r="N45" s="62">
        <f>VLOOKUP(A45,'תפוקה מצטברת מול אשתקד'!A:K,10,0)</f>
        <v>495701</v>
      </c>
      <c r="O45" s="62">
        <f>VLOOKUP(A45,'תפוקה מצטברת מול אשתקד'!A:K,11,0)</f>
        <v>131441.16000000003</v>
      </c>
    </row>
    <row r="46" spans="1:15" ht="31.2" x14ac:dyDescent="0.25">
      <c r="A46" s="26" t="s">
        <v>36</v>
      </c>
      <c r="B46" s="26" t="s">
        <v>55</v>
      </c>
      <c r="C46" s="27" t="s">
        <v>107</v>
      </c>
      <c r="D46" s="61">
        <f t="shared" si="0"/>
        <v>0</v>
      </c>
      <c r="E46" s="61">
        <f t="shared" si="1"/>
        <v>0</v>
      </c>
      <c r="F46" s="61">
        <f t="shared" si="2"/>
        <v>0</v>
      </c>
      <c r="G46" s="61">
        <f t="shared" si="3"/>
        <v>0</v>
      </c>
      <c r="H46" s="12">
        <v>0</v>
      </c>
      <c r="I46" s="12">
        <v>0</v>
      </c>
      <c r="J46" s="12">
        <v>0</v>
      </c>
      <c r="K46" s="12">
        <v>0</v>
      </c>
      <c r="L46" s="59">
        <f>VLOOKUP(A46,'תפוקה מצטברת מול אשתקד'!A:K,8,0)</f>
        <v>0</v>
      </c>
      <c r="M46" s="62">
        <f>VLOOKUP(A46,'תפוקה מצטברת מול אשתקד'!A:K,9,0)</f>
        <v>0</v>
      </c>
      <c r="N46" s="62">
        <f>VLOOKUP(A46,'תפוקה מצטברת מול אשתקד'!A:K,10,0)</f>
        <v>0</v>
      </c>
      <c r="O46" s="62">
        <f>VLOOKUP(A46,'תפוקה מצטברת מול אשתקד'!A:K,11,0)</f>
        <v>0</v>
      </c>
    </row>
    <row r="47" spans="1:15" ht="31.2" x14ac:dyDescent="0.25">
      <c r="A47" s="26" t="s">
        <v>94</v>
      </c>
      <c r="B47" s="26" t="s">
        <v>55</v>
      </c>
      <c r="C47" s="27" t="s">
        <v>107</v>
      </c>
      <c r="D47" s="61">
        <f t="shared" si="0"/>
        <v>0</v>
      </c>
      <c r="E47" s="61">
        <f t="shared" si="1"/>
        <v>0</v>
      </c>
      <c r="F47" s="61">
        <f t="shared" si="2"/>
        <v>0</v>
      </c>
      <c r="G47" s="61">
        <f t="shared" si="3"/>
        <v>0</v>
      </c>
      <c r="H47" s="12">
        <v>0</v>
      </c>
      <c r="I47" s="12">
        <v>0</v>
      </c>
      <c r="J47" s="12">
        <v>0</v>
      </c>
      <c r="K47" s="12">
        <v>0</v>
      </c>
      <c r="L47" s="59">
        <f>VLOOKUP(A47,'תפוקה מצטברת מול אשתקד'!A:K,8,0)</f>
        <v>0</v>
      </c>
      <c r="M47" s="62">
        <f>VLOOKUP(A47,'תפוקה מצטברת מול אשתקד'!A:K,9,0)</f>
        <v>0</v>
      </c>
      <c r="N47" s="62">
        <f>VLOOKUP(A47,'תפוקה מצטברת מול אשתקד'!A:K,10,0)</f>
        <v>0</v>
      </c>
      <c r="O47" s="62">
        <f>VLOOKUP(A47,'תפוקה מצטברת מול אשתקד'!A:K,11,0)</f>
        <v>0</v>
      </c>
    </row>
    <row r="48" spans="1:15" ht="15.6" x14ac:dyDescent="0.25">
      <c r="A48" s="28" t="s">
        <v>85</v>
      </c>
      <c r="B48" s="26" t="s">
        <v>56</v>
      </c>
      <c r="C48" s="27" t="s">
        <v>107</v>
      </c>
      <c r="D48" s="61">
        <f t="shared" si="0"/>
        <v>0</v>
      </c>
      <c r="E48" s="61">
        <f t="shared" si="1"/>
        <v>-0.78481388461538459</v>
      </c>
      <c r="F48" s="61">
        <f t="shared" si="2"/>
        <v>0</v>
      </c>
      <c r="G48" s="61">
        <f t="shared" si="3"/>
        <v>0</v>
      </c>
      <c r="H48" s="12">
        <v>24650</v>
      </c>
      <c r="I48" s="12">
        <v>26000</v>
      </c>
      <c r="J48" s="12">
        <v>238000</v>
      </c>
      <c r="K48" s="12">
        <v>95200</v>
      </c>
      <c r="L48" s="59">
        <f>VLOOKUP(A48,'תפוקה מצטברת מול אשתקד'!A:K,8,0)</f>
        <v>0</v>
      </c>
      <c r="M48" s="62">
        <f>VLOOKUP(A48,'תפוקה מצטברת מול אשתקד'!A:K,9,0)</f>
        <v>5594.8389999999999</v>
      </c>
      <c r="N48" s="62">
        <f>VLOOKUP(A48,'תפוקה מצטברת מול אשתקד'!A:K,10,0)</f>
        <v>0</v>
      </c>
      <c r="O48" s="62">
        <f>VLOOKUP(A48,'תפוקה מצטברת מול אשתקד'!A:K,11,0)</f>
        <v>0</v>
      </c>
    </row>
    <row r="49" spans="1:15" ht="15.6" x14ac:dyDescent="0.25">
      <c r="A49" s="28" t="s">
        <v>87</v>
      </c>
      <c r="B49" s="26" t="s">
        <v>56</v>
      </c>
      <c r="C49" s="27" t="s">
        <v>107</v>
      </c>
      <c r="D49" s="61">
        <f t="shared" si="0"/>
        <v>-0.93206490872210956</v>
      </c>
      <c r="E49" s="61">
        <f t="shared" si="1"/>
        <v>-1.1551347307692308</v>
      </c>
      <c r="F49" s="61">
        <f t="shared" si="2"/>
        <v>7.4252647058823618E-2</v>
      </c>
      <c r="G49" s="61">
        <f t="shared" si="3"/>
        <v>3.0164849579831934</v>
      </c>
      <c r="H49" s="12">
        <v>49300</v>
      </c>
      <c r="I49" s="12">
        <v>26000</v>
      </c>
      <c r="J49" s="12">
        <v>952000</v>
      </c>
      <c r="K49" s="12">
        <v>238000</v>
      </c>
      <c r="L49" s="59">
        <f>VLOOKUP(A49,'תפוקה מצטברת מול אשתקד'!A:K,8,0)</f>
        <v>3349.2</v>
      </c>
      <c r="M49" s="62">
        <f>VLOOKUP(A49,'תפוקה מצטברת מול אשתקד'!A:K,9,0)</f>
        <v>-4033.5030000000002</v>
      </c>
      <c r="N49" s="62">
        <f>VLOOKUP(A49,'תפוקה מצטברת מול אשתקד'!A:K,10,0)</f>
        <v>1022688.52</v>
      </c>
      <c r="O49" s="62">
        <f>VLOOKUP(A49,'תפוקה מצטברת מול אשתקד'!A:K,11,0)</f>
        <v>955923.42</v>
      </c>
    </row>
    <row r="50" spans="1:15" ht="15.6" x14ac:dyDescent="0.25">
      <c r="A50" s="26" t="s">
        <v>97</v>
      </c>
      <c r="B50" s="26" t="s">
        <v>56</v>
      </c>
      <c r="C50" s="26" t="s">
        <v>107</v>
      </c>
      <c r="D50" s="61">
        <f t="shared" si="0"/>
        <v>1</v>
      </c>
      <c r="E50" s="61">
        <f t="shared" si="1"/>
        <v>1</v>
      </c>
      <c r="F50" s="61">
        <f t="shared" si="2"/>
        <v>1</v>
      </c>
      <c r="G50" s="61">
        <f t="shared" si="3"/>
        <v>1</v>
      </c>
      <c r="H50" s="12">
        <v>0</v>
      </c>
      <c r="I50" s="12">
        <v>0</v>
      </c>
      <c r="J50" s="12">
        <v>0</v>
      </c>
      <c r="K50" s="12">
        <v>0</v>
      </c>
      <c r="L50" s="59">
        <f>VLOOKUP(A50,'תפוקה מצטברת מול אשתקד'!A:K,8,0)</f>
        <v>120698.38178</v>
      </c>
      <c r="M50" s="62">
        <f>VLOOKUP(A50,'תפוקה מצטברת מול אשתקד'!A:K,9,0)</f>
        <v>1656.24</v>
      </c>
      <c r="N50" s="62">
        <f>VLOOKUP(A50,'תפוקה מצטברת מול אשתקד'!A:K,10,0)</f>
        <v>1489554.53</v>
      </c>
      <c r="O50" s="62">
        <f>VLOOKUP(A50,'תפוקה מצטברת מול אשתקד'!A:K,11,0)</f>
        <v>378465.19</v>
      </c>
    </row>
    <row r="51" spans="1:15" ht="15.6" x14ac:dyDescent="0.25">
      <c r="A51" s="26" t="s">
        <v>39</v>
      </c>
      <c r="B51" s="26" t="s">
        <v>56</v>
      </c>
      <c r="C51" s="26" t="s">
        <v>107</v>
      </c>
      <c r="D51" s="61">
        <f t="shared" si="0"/>
        <v>1</v>
      </c>
      <c r="E51" s="61">
        <f t="shared" si="1"/>
        <v>1</v>
      </c>
      <c r="F51" s="61">
        <f t="shared" si="2"/>
        <v>0</v>
      </c>
      <c r="G51" s="61">
        <f t="shared" si="3"/>
        <v>1</v>
      </c>
      <c r="H51" s="12">
        <v>0</v>
      </c>
      <c r="I51" s="12">
        <v>0</v>
      </c>
      <c r="J51" s="12">
        <v>0</v>
      </c>
      <c r="K51" s="12">
        <v>0</v>
      </c>
      <c r="L51" s="59">
        <f>VLOOKUP(A51,'תפוקה מצטברת מול אשתקד'!A:K,8,0)</f>
        <v>25403.37</v>
      </c>
      <c r="M51" s="62">
        <f>VLOOKUP(A51,'תפוקה מצטברת מול אשתקד'!A:K,9,0)</f>
        <v>20522.29</v>
      </c>
      <c r="N51" s="62">
        <f>VLOOKUP(A51,'תפוקה מצטברת מול אשתקד'!A:K,10,0)</f>
        <v>0</v>
      </c>
      <c r="O51" s="62">
        <f>VLOOKUP(A51,'תפוקה מצטברת מול אשתקד'!A:K,11,0)</f>
        <v>140389.29</v>
      </c>
    </row>
    <row r="52" spans="1:15" ht="15.6" x14ac:dyDescent="0.25">
      <c r="A52" s="26" t="s">
        <v>91</v>
      </c>
      <c r="B52" s="26" t="s">
        <v>56</v>
      </c>
      <c r="C52" s="26" t="s">
        <v>107</v>
      </c>
      <c r="D52" s="61">
        <f t="shared" si="0"/>
        <v>1</v>
      </c>
      <c r="E52" s="61">
        <f t="shared" si="1"/>
        <v>1</v>
      </c>
      <c r="F52" s="61">
        <f t="shared" si="2"/>
        <v>1</v>
      </c>
      <c r="G52" s="61">
        <f t="shared" si="3"/>
        <v>1</v>
      </c>
      <c r="H52" s="12">
        <v>0</v>
      </c>
      <c r="I52" s="12">
        <v>0</v>
      </c>
      <c r="J52" s="12">
        <v>0</v>
      </c>
      <c r="K52" s="12">
        <v>0</v>
      </c>
      <c r="L52" s="59">
        <f>VLOOKUP(A52,'תפוקה מצטברת מול אשתקד'!A:K,8,0)</f>
        <v>178455.35940000002</v>
      </c>
      <c r="M52" s="62">
        <f>VLOOKUP(A52,'תפוקה מצטברת מול אשתקד'!A:K,9,0)</f>
        <v>7373.1709999999994</v>
      </c>
      <c r="N52" s="62">
        <f>VLOOKUP(A52,'תפוקה מצטברת מול אשתקד'!A:K,10,0)</f>
        <v>136950.97</v>
      </c>
      <c r="O52" s="62">
        <f>VLOOKUP(A52,'תפוקה מצטברת מול אשתקד'!A:K,11,0)</f>
        <v>616216.09000000008</v>
      </c>
    </row>
    <row r="53" spans="1:15" ht="15.6" x14ac:dyDescent="0.25">
      <c r="A53" s="26" t="s">
        <v>41</v>
      </c>
      <c r="B53" s="26" t="s">
        <v>56</v>
      </c>
      <c r="C53" s="26" t="s">
        <v>107</v>
      </c>
      <c r="D53" s="61">
        <f t="shared" si="0"/>
        <v>1</v>
      </c>
      <c r="E53" s="61">
        <f t="shared" si="1"/>
        <v>1</v>
      </c>
      <c r="F53" s="61">
        <f t="shared" si="2"/>
        <v>0</v>
      </c>
      <c r="G53" s="61">
        <f t="shared" si="3"/>
        <v>0</v>
      </c>
      <c r="H53" s="12">
        <v>0</v>
      </c>
      <c r="I53" s="12">
        <v>0</v>
      </c>
      <c r="J53" s="12">
        <v>0</v>
      </c>
      <c r="K53" s="12">
        <v>0</v>
      </c>
      <c r="L53" s="59">
        <f>VLOOKUP(A53,'תפוקה מצטברת מול אשתקד'!A:K,8,0)</f>
        <v>12130</v>
      </c>
      <c r="M53" s="62">
        <f>VLOOKUP(A53,'תפוקה מצטברת מול אשתקד'!A:K,9,0)</f>
        <v>867.42</v>
      </c>
      <c r="N53" s="62">
        <f>VLOOKUP(A53,'תפוקה מצטברת מול אשתקד'!A:K,10,0)</f>
        <v>0</v>
      </c>
      <c r="O53" s="62">
        <f>VLOOKUP(A53,'תפוקה מצטברת מול אשתקד'!A:K,11,0)</f>
        <v>0</v>
      </c>
    </row>
    <row r="54" spans="1:15" ht="15.6" x14ac:dyDescent="0.25">
      <c r="A54" s="26" t="s">
        <v>129</v>
      </c>
      <c r="B54" s="26" t="s">
        <v>108</v>
      </c>
      <c r="C54" s="27" t="s">
        <v>107</v>
      </c>
      <c r="D54" s="61">
        <f t="shared" si="0"/>
        <v>0</v>
      </c>
      <c r="E54" s="61">
        <f t="shared" si="1"/>
        <v>0</v>
      </c>
      <c r="F54" s="61">
        <f t="shared" si="2"/>
        <v>0</v>
      </c>
      <c r="G54" s="61">
        <f t="shared" si="3"/>
        <v>1</v>
      </c>
      <c r="H54" s="12"/>
      <c r="I54" s="12"/>
      <c r="J54" s="12"/>
      <c r="K54" s="12"/>
      <c r="L54" s="59">
        <f>VLOOKUP(A54,'תפוקה מצטברת מול אשתקד'!A:K,8,0)</f>
        <v>0</v>
      </c>
      <c r="M54" s="62">
        <f>VLOOKUP(A54,'תפוקה מצטברת מול אשתקד'!A:K,9,0)</f>
        <v>0</v>
      </c>
      <c r="N54" s="62">
        <f>VLOOKUP(A54,'תפוקה מצטברת מול אשתקד'!A:K,10,0)</f>
        <v>0</v>
      </c>
      <c r="O54" s="62">
        <f>VLOOKUP(A54,'תפוקה מצטברת מול אשתקד'!A:K,11,0)</f>
        <v>-59363.66</v>
      </c>
    </row>
    <row r="55" spans="1:15" ht="16.2" thickBot="1" x14ac:dyDescent="0.3">
      <c r="A55" s="28" t="s">
        <v>88</v>
      </c>
      <c r="B55" s="28" t="s">
        <v>56</v>
      </c>
      <c r="C55" s="28" t="s">
        <v>107</v>
      </c>
      <c r="D55" s="145">
        <f t="shared" si="0"/>
        <v>0</v>
      </c>
      <c r="E55" s="145">
        <f t="shared" si="1"/>
        <v>1</v>
      </c>
      <c r="F55" s="145">
        <f t="shared" si="2"/>
        <v>0</v>
      </c>
      <c r="G55" s="145">
        <f t="shared" si="3"/>
        <v>1</v>
      </c>
      <c r="H55" s="12">
        <v>0</v>
      </c>
      <c r="I55" s="12">
        <v>0</v>
      </c>
      <c r="J55" s="12">
        <v>0</v>
      </c>
      <c r="K55" s="12">
        <v>0</v>
      </c>
      <c r="L55" s="59">
        <f>VLOOKUP(A55,'תפוקה מצטברת מול אשתקד'!A:K,8,0)</f>
        <v>0</v>
      </c>
      <c r="M55" s="62">
        <f>VLOOKUP(A55,'תפוקה מצטברת מול אשתקד'!A:K,9,0)</f>
        <v>3267.65</v>
      </c>
      <c r="N55" s="62">
        <f>VLOOKUP(A55,'תפוקה מצטברת מול אשתקד'!A:K,10,0)</f>
        <v>0</v>
      </c>
      <c r="O55" s="62">
        <f>VLOOKUP(A55,'תפוקה מצטברת מול אשתקד'!A:K,11,0)</f>
        <v>-2038</v>
      </c>
    </row>
    <row r="56" spans="1:15" ht="21.6" thickBot="1" x14ac:dyDescent="0.3">
      <c r="A56" s="150" t="s">
        <v>115</v>
      </c>
      <c r="B56" s="57"/>
      <c r="C56" s="147"/>
      <c r="D56" s="151">
        <f t="shared" ref="D56" si="6">IF(L56=0,0%,IF(H56=0,100%,L56/H56-1))</f>
        <v>-2.0598815615838095E-2</v>
      </c>
      <c r="E56" s="151">
        <f t="shared" ref="E56" si="7">IF(M56=0,0%,IF(I56=0,100%,M56/I56-1))</f>
        <v>-0.29555914305684261</v>
      </c>
      <c r="F56" s="151">
        <f t="shared" ref="F56" si="8">IF(N56=0,0%,IF(J56=0,100%,N56/J56-1))</f>
        <v>-0.13102114032700729</v>
      </c>
      <c r="G56" s="151">
        <f t="shared" ref="G56" si="9">IF(O56=0,0%,IF(K56=0,100%,O56/K56-1))</f>
        <v>9.6798029898654603E-2</v>
      </c>
      <c r="H56" s="129">
        <f>SUM(H23:H55)</f>
        <v>5398350</v>
      </c>
      <c r="I56" s="129">
        <f>SUM(I23:I55)</f>
        <v>1045200</v>
      </c>
      <c r="J56" s="129">
        <f>SUM(J23:J55)</f>
        <v>11662000</v>
      </c>
      <c r="K56" s="129">
        <f>SUM(K23:K55)</f>
        <v>11090800</v>
      </c>
      <c r="L56" s="129">
        <f>SUM(L23:L55)</f>
        <v>5287150.3837202406</v>
      </c>
      <c r="M56" s="129">
        <f t="shared" ref="M56:O56" si="10">SUM(M23:M55)</f>
        <v>736281.58367698814</v>
      </c>
      <c r="N56" s="129">
        <f t="shared" si="10"/>
        <v>10134031.461506441</v>
      </c>
      <c r="O56" s="129">
        <f t="shared" si="10"/>
        <v>12164367.589999998</v>
      </c>
    </row>
    <row r="57" spans="1:15" ht="15.6" x14ac:dyDescent="0.25">
      <c r="A57" s="26" t="s">
        <v>37</v>
      </c>
      <c r="B57" s="26" t="s">
        <v>114</v>
      </c>
      <c r="C57" s="27" t="s">
        <v>107</v>
      </c>
      <c r="D57" s="61">
        <f t="shared" ref="D57:G65" si="11">IF(L57=0,0%,IF(H57=0,100%,L57/H57-1))</f>
        <v>-0.98357932960953343</v>
      </c>
      <c r="E57" s="61">
        <f t="shared" si="11"/>
        <v>-0.95622510989010989</v>
      </c>
      <c r="F57" s="61">
        <f t="shared" si="11"/>
        <v>-0.41874947478991598</v>
      </c>
      <c r="G57" s="61">
        <f t="shared" si="11"/>
        <v>-0.79530858718487396</v>
      </c>
      <c r="H57" s="12">
        <v>1972000</v>
      </c>
      <c r="I57" s="12">
        <v>182000</v>
      </c>
      <c r="J57" s="12">
        <v>1904000</v>
      </c>
      <c r="K57" s="12">
        <v>1904000</v>
      </c>
      <c r="L57" s="59">
        <f>VLOOKUP(A57,'תפוקה מצטברת מול אשתקד'!A:K,8,0)</f>
        <v>32381.562009999998</v>
      </c>
      <c r="M57" s="62">
        <f>VLOOKUP(A57,'תפוקה מצטברת מול אשתקד'!A:K,9,0)</f>
        <v>7967.03</v>
      </c>
      <c r="N57" s="62">
        <f>VLOOKUP(A57,'תפוקה מצטברת מול אשתקד'!A:K,10,0)</f>
        <v>1106701</v>
      </c>
      <c r="O57" s="62">
        <f>VLOOKUP(A57,'תפוקה מצטברת מול אשתקד'!A:K,11,0)</f>
        <v>389732.45</v>
      </c>
    </row>
    <row r="58" spans="1:15" ht="15.6" x14ac:dyDescent="0.25">
      <c r="A58" s="30" t="s">
        <v>33</v>
      </c>
      <c r="B58" s="26" t="s">
        <v>114</v>
      </c>
      <c r="C58" s="26" t="s">
        <v>107</v>
      </c>
      <c r="D58" s="61">
        <f t="shared" si="11"/>
        <v>-0.69521801217038548</v>
      </c>
      <c r="E58" s="61">
        <f t="shared" si="11"/>
        <v>-0.89411942976311765</v>
      </c>
      <c r="F58" s="61">
        <f t="shared" si="11"/>
        <v>-0.70238779598777601</v>
      </c>
      <c r="G58" s="61">
        <f t="shared" si="11"/>
        <v>-0.4229182142857143</v>
      </c>
      <c r="H58" s="12">
        <v>246500</v>
      </c>
      <c r="I58" s="12">
        <v>41600</v>
      </c>
      <c r="J58" s="12">
        <v>3332000</v>
      </c>
      <c r="K58" s="12">
        <v>476000</v>
      </c>
      <c r="L58" s="59">
        <f>VLOOKUP(A58,'תפוקה מצטברת מול אשתקד'!A:K,8,0)</f>
        <v>75128.759999999995</v>
      </c>
      <c r="M58" s="62">
        <f>VLOOKUP(A58,'תפוקה מצטברת מול אשתקד'!A:K,9,0)</f>
        <v>4404.6317218543045</v>
      </c>
      <c r="N58" s="62">
        <f>VLOOKUP(A58,'תפוקה מצטברת מול אשתקד'!A:K,10,0)</f>
        <v>991643.8637687302</v>
      </c>
      <c r="O58" s="62">
        <f>VLOOKUP(A58,'תפוקה מצטברת מול אשתקד'!A:K,11,0)</f>
        <v>274690.93</v>
      </c>
    </row>
    <row r="59" spans="1:15" ht="15.6" x14ac:dyDescent="0.25">
      <c r="A59" s="26" t="s">
        <v>35</v>
      </c>
      <c r="B59" s="26" t="s">
        <v>114</v>
      </c>
      <c r="C59" s="27" t="s">
        <v>107</v>
      </c>
      <c r="D59" s="61">
        <f t="shared" si="11"/>
        <v>1</v>
      </c>
      <c r="E59" s="61">
        <f t="shared" si="11"/>
        <v>0</v>
      </c>
      <c r="F59" s="61">
        <f t="shared" si="11"/>
        <v>1</v>
      </c>
      <c r="G59" s="61">
        <f t="shared" si="11"/>
        <v>0</v>
      </c>
      <c r="H59" s="12">
        <v>0</v>
      </c>
      <c r="I59" s="12">
        <v>20800</v>
      </c>
      <c r="J59" s="12">
        <v>0</v>
      </c>
      <c r="K59" s="12">
        <v>0</v>
      </c>
      <c r="L59" s="59">
        <f>VLOOKUP(A59,'תפוקה מצטברת מול אשתקד'!A:K,8,0)</f>
        <v>17462.3</v>
      </c>
      <c r="M59" s="62">
        <f>VLOOKUP(A59,'תפוקה מצטברת מול אשתקד'!A:K,9,0)</f>
        <v>0</v>
      </c>
      <c r="N59" s="62">
        <f>VLOOKUP(A59,'תפוקה מצטברת מול אשתקד'!A:K,10,0)</f>
        <v>582.76</v>
      </c>
      <c r="O59" s="62">
        <f>VLOOKUP(A59,'תפוקה מצטברת מול אשתקד'!A:K,11,0)</f>
        <v>0</v>
      </c>
    </row>
    <row r="60" spans="1:15" ht="15.6" x14ac:dyDescent="0.25">
      <c r="A60" s="27" t="s">
        <v>86</v>
      </c>
      <c r="B60" s="27" t="s">
        <v>114</v>
      </c>
      <c r="C60" s="27" t="s">
        <v>107</v>
      </c>
      <c r="D60" s="61">
        <f t="shared" si="11"/>
        <v>-4.4229837728194776E-2</v>
      </c>
      <c r="E60" s="61">
        <f t="shared" si="11"/>
        <v>-0.71986817307692308</v>
      </c>
      <c r="F60" s="61">
        <f t="shared" si="11"/>
        <v>2.0007261260504201</v>
      </c>
      <c r="G60" s="61">
        <f t="shared" si="11"/>
        <v>-0.15225080042016814</v>
      </c>
      <c r="H60" s="12">
        <v>493000</v>
      </c>
      <c r="I60" s="12">
        <v>104000</v>
      </c>
      <c r="J60" s="12">
        <v>1190000</v>
      </c>
      <c r="K60" s="12">
        <v>4760000</v>
      </c>
      <c r="L60" s="59">
        <f>VLOOKUP(A60,'תפוקה מצטברת מול אשתקד'!A:K,8,0)</f>
        <v>471194.69</v>
      </c>
      <c r="M60" s="62">
        <f>VLOOKUP(A60,'תפוקה מצטברת מול אשתקד'!A:K,9,0)</f>
        <v>29133.71</v>
      </c>
      <c r="N60" s="62">
        <f>VLOOKUP(A60,'תפוקה מצטברת מול אשתקד'!A:K,10,0)</f>
        <v>3570864.09</v>
      </c>
      <c r="O60" s="62">
        <f>VLOOKUP(A60,'תפוקה מצטברת מול אשתקד'!A:K,11,0)</f>
        <v>4035286.1899999995</v>
      </c>
    </row>
    <row r="61" spans="1:15" ht="15.6" x14ac:dyDescent="0.25">
      <c r="A61" s="26" t="s">
        <v>84</v>
      </c>
      <c r="B61" s="26" t="s">
        <v>114</v>
      </c>
      <c r="C61" s="26" t="s">
        <v>107</v>
      </c>
      <c r="D61" s="61">
        <f t="shared" si="11"/>
        <v>9.4827711202227771E-2</v>
      </c>
      <c r="E61" s="61">
        <f t="shared" si="11"/>
        <v>-0.39388650804936698</v>
      </c>
      <c r="F61" s="61">
        <f t="shared" si="11"/>
        <v>1.904248806722689</v>
      </c>
      <c r="G61" s="61">
        <f t="shared" si="11"/>
        <v>1.1563090056022407</v>
      </c>
      <c r="H61" s="12">
        <v>493000</v>
      </c>
      <c r="I61" s="12">
        <v>52000</v>
      </c>
      <c r="J61" s="12">
        <v>1190000</v>
      </c>
      <c r="K61" s="12">
        <v>714000</v>
      </c>
      <c r="L61" s="59">
        <f>VLOOKUP(A61,'תפוקה מצטברת מול אשתקד'!A:K,8,0)</f>
        <v>539750.06162269833</v>
      </c>
      <c r="M61" s="62">
        <f>VLOOKUP(A61,'תפוקה מצטברת מול אשתקד'!A:K,9,0)</f>
        <v>31517.901581432918</v>
      </c>
      <c r="N61" s="62">
        <f>VLOOKUP(A61,'תפוקה מצטברת מול אשתקד'!A:K,10,0)</f>
        <v>3456056.08</v>
      </c>
      <c r="O61" s="62">
        <f>VLOOKUP(A61,'תפוקה מצטברת מול אשתקד'!A:K,11,0)</f>
        <v>1539604.63</v>
      </c>
    </row>
    <row r="62" spans="1:15" ht="15.6" x14ac:dyDescent="0.25">
      <c r="A62" s="107" t="s">
        <v>99</v>
      </c>
      <c r="B62" s="26" t="s">
        <v>114</v>
      </c>
      <c r="C62" s="27" t="s">
        <v>107</v>
      </c>
      <c r="D62" s="61">
        <f t="shared" si="11"/>
        <v>2.7000123732251518</v>
      </c>
      <c r="E62" s="61">
        <f t="shared" si="11"/>
        <v>-0.83670114926923078</v>
      </c>
      <c r="F62" s="61">
        <f t="shared" si="11"/>
        <v>-0.54789150210084037</v>
      </c>
      <c r="G62" s="61">
        <f t="shared" si="11"/>
        <v>2.9485364145658055E-2</v>
      </c>
      <c r="H62" s="12">
        <v>49300</v>
      </c>
      <c r="I62" s="12">
        <v>52000</v>
      </c>
      <c r="J62" s="12">
        <v>952000</v>
      </c>
      <c r="K62" s="12">
        <v>714000</v>
      </c>
      <c r="L62" s="59">
        <f>VLOOKUP(A62,'תפוקה מצטברת מול אשתקד'!A:K,8,0)</f>
        <v>182410.61</v>
      </c>
      <c r="M62" s="62">
        <f>VLOOKUP(A62,'תפוקה מצטברת מול אשתקד'!A:K,9,0)</f>
        <v>8491.5402379999996</v>
      </c>
      <c r="N62" s="62">
        <f>VLOOKUP(A62,'תפוקה מצטברת מול אשתקד'!A:K,10,0)</f>
        <v>430407.29</v>
      </c>
      <c r="O62" s="62">
        <f>VLOOKUP(A62,'תפוקה מצטברת מול אשתקד'!A:K,11,0)</f>
        <v>735052.54999999993</v>
      </c>
    </row>
    <row r="63" spans="1:15" ht="15.6" x14ac:dyDescent="0.25">
      <c r="A63" s="194" t="s">
        <v>128</v>
      </c>
      <c r="B63" s="26" t="s">
        <v>114</v>
      </c>
      <c r="C63" s="27" t="s">
        <v>107</v>
      </c>
      <c r="D63" s="61">
        <f t="shared" si="11"/>
        <v>0</v>
      </c>
      <c r="E63" s="61">
        <f t="shared" si="11"/>
        <v>0</v>
      </c>
      <c r="F63" s="61">
        <f t="shared" si="11"/>
        <v>0</v>
      </c>
      <c r="G63" s="61">
        <f t="shared" si="11"/>
        <v>0</v>
      </c>
      <c r="H63" s="12">
        <v>493000</v>
      </c>
      <c r="I63" s="12">
        <v>78000</v>
      </c>
      <c r="J63" s="12">
        <v>2380000</v>
      </c>
      <c r="K63" s="12">
        <v>952000</v>
      </c>
      <c r="L63" s="59">
        <f>VLOOKUP(A63,'תפוקה מצטברת מול אשתקד'!A:K,8,0)</f>
        <v>0</v>
      </c>
      <c r="M63" s="62">
        <f>VLOOKUP(A63,'תפוקה מצטברת מול אשתקד'!A:K,9,0)</f>
        <v>0</v>
      </c>
      <c r="N63" s="62">
        <f>VLOOKUP(A63,'תפוקה מצטברת מול אשתקד'!A:K,10,0)</f>
        <v>0</v>
      </c>
      <c r="O63" s="62">
        <f>VLOOKUP(A63,'תפוקה מצטברת מול אשתקד'!A:K,11,0)</f>
        <v>0</v>
      </c>
    </row>
    <row r="64" spans="1:15" ht="15.6" x14ac:dyDescent="0.25">
      <c r="A64" s="199" t="s">
        <v>131</v>
      </c>
      <c r="B64" s="26" t="s">
        <v>114</v>
      </c>
      <c r="C64" s="27" t="s">
        <v>107</v>
      </c>
      <c r="D64" s="61">
        <f t="shared" si="11"/>
        <v>1</v>
      </c>
      <c r="E64" s="61">
        <f t="shared" si="11"/>
        <v>1</v>
      </c>
      <c r="F64" s="61">
        <f t="shared" si="11"/>
        <v>1</v>
      </c>
      <c r="G64" s="61">
        <f t="shared" si="11"/>
        <v>1</v>
      </c>
      <c r="H64" s="12"/>
      <c r="I64" s="12"/>
      <c r="J64" s="12"/>
      <c r="K64" s="12"/>
      <c r="L64" s="59">
        <f>VLOOKUP(A64,'תפוקה מצטברת מול אשתקד'!A:K,8,0)</f>
        <v>124200.08</v>
      </c>
      <c r="M64" s="62">
        <f>VLOOKUP(A64,'תפוקה מצטברת מול אשתקד'!A:K,9,0)</f>
        <v>22615.347403335312</v>
      </c>
      <c r="N64" s="62">
        <f>VLOOKUP(A64,'תפוקה מצטברת מול אשתקד'!A:K,10,0)</f>
        <v>412058.37</v>
      </c>
      <c r="O64" s="62">
        <f>VLOOKUP(A64,'תפוקה מצטברת מול אשתקד'!A:K,11,0)</f>
        <v>439063.23</v>
      </c>
    </row>
    <row r="65" spans="1:15" ht="16.2" thickBot="1" x14ac:dyDescent="0.3">
      <c r="A65" s="30" t="s">
        <v>16</v>
      </c>
      <c r="B65" s="26" t="s">
        <v>114</v>
      </c>
      <c r="C65" s="27" t="s">
        <v>107</v>
      </c>
      <c r="D65" s="61">
        <f t="shared" si="11"/>
        <v>0</v>
      </c>
      <c r="E65" s="61">
        <f t="shared" si="11"/>
        <v>0</v>
      </c>
      <c r="F65" s="61">
        <f t="shared" si="11"/>
        <v>0</v>
      </c>
      <c r="G65" s="61">
        <f t="shared" si="11"/>
        <v>0</v>
      </c>
      <c r="H65" s="12">
        <v>0</v>
      </c>
      <c r="I65" s="12">
        <v>52000</v>
      </c>
      <c r="J65" s="12">
        <v>0</v>
      </c>
      <c r="K65" s="12">
        <v>0</v>
      </c>
      <c r="L65" s="59">
        <f>VLOOKUP(A65,'תפוקה מצטברת מול אשתקד'!A:K,8,0)</f>
        <v>0</v>
      </c>
      <c r="M65" s="62">
        <f>VLOOKUP(A65,'תפוקה מצטברת מול אשתקד'!A:K,9,0)</f>
        <v>0</v>
      </c>
      <c r="N65" s="62">
        <f>VLOOKUP(A65,'תפוקה מצטברת מול אשתקד'!A:K,10,0)</f>
        <v>0</v>
      </c>
      <c r="O65" s="62">
        <f>VLOOKUP(A65,'תפוקה מצטברת מול אשתקד'!A:K,11,0)</f>
        <v>0</v>
      </c>
    </row>
    <row r="66" spans="1:15" ht="21.6" thickBot="1" x14ac:dyDescent="0.3">
      <c r="A66" s="150" t="s">
        <v>116</v>
      </c>
      <c r="B66" s="57"/>
      <c r="C66" s="147"/>
      <c r="D66" s="151">
        <f t="shared" si="0"/>
        <v>-0.61499731407262237</v>
      </c>
      <c r="E66" s="151">
        <f t="shared" si="1"/>
        <v>-0.82120508079563437</v>
      </c>
      <c r="F66" s="151">
        <f t="shared" si="2"/>
        <v>-8.9485435351778553E-2</v>
      </c>
      <c r="G66" s="151">
        <f t="shared" si="3"/>
        <v>-0.22127836344537832</v>
      </c>
      <c r="H66" s="129">
        <f>SUM(H57:H65)</f>
        <v>3746800</v>
      </c>
      <c r="I66" s="129">
        <f>SUM(I57:I65)</f>
        <v>582400</v>
      </c>
      <c r="J66" s="129">
        <f>SUM(J57:J65)</f>
        <v>10948000</v>
      </c>
      <c r="K66" s="129">
        <f>SUM(K57:K65)</f>
        <v>9520000</v>
      </c>
      <c r="L66" s="129">
        <f>SUM(L57:L65)</f>
        <v>1442528.0636326983</v>
      </c>
      <c r="M66" s="129">
        <f t="shared" ref="M66:O66" si="12">SUM(M57:M65)</f>
        <v>104130.16094462253</v>
      </c>
      <c r="N66" s="129">
        <f t="shared" si="12"/>
        <v>9968313.4537687283</v>
      </c>
      <c r="O66" s="129">
        <f t="shared" si="12"/>
        <v>7413429.9799999986</v>
      </c>
    </row>
    <row r="67" spans="1:15" ht="15.6" x14ac:dyDescent="0.25">
      <c r="A67" s="27" t="s">
        <v>77</v>
      </c>
      <c r="B67" s="27" t="s">
        <v>108</v>
      </c>
      <c r="C67" s="27" t="s">
        <v>102</v>
      </c>
      <c r="D67" s="146">
        <f t="shared" si="0"/>
        <v>-0.3148910609895017</v>
      </c>
      <c r="E67" s="146">
        <f t="shared" si="1"/>
        <v>-0.6443978226513134</v>
      </c>
      <c r="F67" s="146">
        <f t="shared" si="2"/>
        <v>-0.13183546988126438</v>
      </c>
      <c r="G67" s="146">
        <f t="shared" si="3"/>
        <v>0.74450710084033633</v>
      </c>
      <c r="H67" s="12">
        <v>493000</v>
      </c>
      <c r="I67" s="12">
        <v>78000</v>
      </c>
      <c r="J67" s="12">
        <v>4760000</v>
      </c>
      <c r="K67" s="12">
        <v>2380000</v>
      </c>
      <c r="L67" s="59">
        <f>VLOOKUP(A67,'תפוקה מצטברת מול אשתקד'!A:K,8,0)</f>
        <v>337758.70693217567</v>
      </c>
      <c r="M67" s="62">
        <f>VLOOKUP(A67,'תפוקה מצטברת מול אשתקד'!A:K,9,0)</f>
        <v>27736.969833197552</v>
      </c>
      <c r="N67" s="62">
        <f>VLOOKUP(A67,'תפוקה מצטברת מול אשתקד'!A:K,10,0)</f>
        <v>4132463.1633651815</v>
      </c>
      <c r="O67" s="62">
        <f>VLOOKUP(A67,'תפוקה מצטברת מול אשתקד'!A:K,11,0)</f>
        <v>4151926.9000000004</v>
      </c>
    </row>
    <row r="68" spans="1:15" ht="15.6" x14ac:dyDescent="0.25">
      <c r="A68" s="30" t="s">
        <v>40</v>
      </c>
      <c r="B68" s="26" t="s">
        <v>56</v>
      </c>
      <c r="C68" s="26" t="s">
        <v>103</v>
      </c>
      <c r="D68" s="61">
        <f t="shared" si="0"/>
        <v>0.16239028336424188</v>
      </c>
      <c r="E68" s="61">
        <f t="shared" si="1"/>
        <v>0.23385521794871833</v>
      </c>
      <c r="F68" s="61">
        <f t="shared" si="2"/>
        <v>-8.2479342436974745E-2</v>
      </c>
      <c r="G68" s="61">
        <f t="shared" si="3"/>
        <v>1.864136698179272</v>
      </c>
      <c r="H68" s="12">
        <v>1479000</v>
      </c>
      <c r="I68" s="12">
        <v>312000</v>
      </c>
      <c r="J68" s="12">
        <v>4760000</v>
      </c>
      <c r="K68" s="12">
        <v>2856000</v>
      </c>
      <c r="L68" s="59">
        <f>VLOOKUP(A68,'תפוקה מצטברת מול אשתקד'!A:K,8,0)</f>
        <v>1719175.2290957137</v>
      </c>
      <c r="M68" s="62">
        <f>VLOOKUP(A68,'תפוקה מצטברת מול אשתקד'!A:K,9,0)</f>
        <v>384962.8280000001</v>
      </c>
      <c r="N68" s="62">
        <f>VLOOKUP(A68,'תפוקה מצטברת מול אשתקד'!A:K,10,0)</f>
        <v>4367398.33</v>
      </c>
      <c r="O68" s="62">
        <f>VLOOKUP(A68,'תפוקה מצטברת מול אשתקד'!A:K,11,0)</f>
        <v>8179974.4100000001</v>
      </c>
    </row>
    <row r="69" spans="1:15" ht="15.6" x14ac:dyDescent="0.25">
      <c r="A69" s="26" t="s">
        <v>90</v>
      </c>
      <c r="B69" s="26" t="s">
        <v>108</v>
      </c>
      <c r="C69" s="26" t="s">
        <v>103</v>
      </c>
      <c r="D69" s="61">
        <f t="shared" ref="D69:E76" si="13">IF(L69=0,0%,IF(H69=0,100%,L69/H69-1))</f>
        <v>0</v>
      </c>
      <c r="E69" s="61">
        <f t="shared" si="13"/>
        <v>1</v>
      </c>
      <c r="F69" s="61">
        <f t="shared" si="2"/>
        <v>1</v>
      </c>
      <c r="G69" s="61">
        <f t="shared" si="3"/>
        <v>0</v>
      </c>
      <c r="H69" s="12">
        <v>0</v>
      </c>
      <c r="I69" s="12">
        <v>0</v>
      </c>
      <c r="J69" s="12">
        <v>0</v>
      </c>
      <c r="K69" s="12">
        <v>0</v>
      </c>
      <c r="L69" s="59">
        <f>VLOOKUP(A69,'תפוקה מצטברת מול אשתקד'!A:K,8,0)</f>
        <v>0</v>
      </c>
      <c r="M69" s="62">
        <f>VLOOKUP(A69,'תפוקה מצטברת מול אשתקד'!A:K,9,0)</f>
        <v>-1569.506516828294</v>
      </c>
      <c r="N69" s="62">
        <f>VLOOKUP(A69,'תפוקה מצטברת מול אשתקד'!A:K,10,0)</f>
        <v>10532.36</v>
      </c>
      <c r="O69" s="62">
        <f>VLOOKUP(A69,'תפוקה מצטברת מול אשתקד'!A:K,11,0)</f>
        <v>0</v>
      </c>
    </row>
    <row r="70" spans="1:15" ht="15.6" x14ac:dyDescent="0.25">
      <c r="A70" s="26" t="s">
        <v>92</v>
      </c>
      <c r="B70" s="26" t="s">
        <v>56</v>
      </c>
      <c r="C70" s="26" t="s">
        <v>103</v>
      </c>
      <c r="D70" s="61">
        <f t="shared" si="13"/>
        <v>1</v>
      </c>
      <c r="E70" s="61">
        <f t="shared" si="13"/>
        <v>1</v>
      </c>
      <c r="F70" s="61">
        <f t="shared" ref="F70:F76" si="14">IF(N70=0,0%,IF(J70=0,100%,N70/J70-1))</f>
        <v>1</v>
      </c>
      <c r="G70" s="61">
        <f t="shared" ref="G70:G76" si="15">IF(O70=0,0%,IF(K70=0,100%,O70/K70-1))</f>
        <v>1</v>
      </c>
      <c r="H70" s="12">
        <v>0</v>
      </c>
      <c r="I70" s="12">
        <v>0</v>
      </c>
      <c r="J70" s="12">
        <v>0</v>
      </c>
      <c r="K70" s="12">
        <v>0</v>
      </c>
      <c r="L70" s="59">
        <f>VLOOKUP(A70,'תפוקה מצטברת מול אשתקד'!A:K,8,0)</f>
        <v>142420.15062000003</v>
      </c>
      <c r="M70" s="62">
        <f>VLOOKUP(A70,'תפוקה מצטברת מול אשתקד'!A:K,9,0)</f>
        <v>-294.16349989090099</v>
      </c>
      <c r="N70" s="62">
        <f>VLOOKUP(A70,'תפוקה מצטברת מול אשתקד'!A:K,10,0)</f>
        <v>44968.63</v>
      </c>
      <c r="O70" s="62">
        <f>VLOOKUP(A70,'תפוקה מצטברת מול אשתקד'!A:K,11,0)</f>
        <v>1512770.67</v>
      </c>
    </row>
    <row r="71" spans="1:15" ht="15.6" x14ac:dyDescent="0.25">
      <c r="A71" s="26" t="s">
        <v>93</v>
      </c>
      <c r="B71" s="26" t="s">
        <v>56</v>
      </c>
      <c r="C71" s="26" t="s">
        <v>103</v>
      </c>
      <c r="D71" s="61">
        <f t="shared" si="13"/>
        <v>0</v>
      </c>
      <c r="E71" s="61">
        <f t="shared" si="13"/>
        <v>0.44672796153846139</v>
      </c>
      <c r="F71" s="61">
        <f t="shared" si="14"/>
        <v>0</v>
      </c>
      <c r="G71" s="61">
        <f t="shared" si="15"/>
        <v>0</v>
      </c>
      <c r="H71" s="12">
        <v>98600</v>
      </c>
      <c r="I71" s="12">
        <v>52000</v>
      </c>
      <c r="J71" s="12">
        <v>238000</v>
      </c>
      <c r="K71" s="12">
        <v>285600</v>
      </c>
      <c r="L71" s="59">
        <f>VLOOKUP(A71,'תפוקה מצטברת מול אשתקד'!A:K,8,0)</f>
        <v>0</v>
      </c>
      <c r="M71" s="62">
        <f>VLOOKUP(A71,'תפוקה מצטברת מול אשתקד'!A:K,9,0)</f>
        <v>75229.853999999992</v>
      </c>
      <c r="N71" s="62">
        <f>VLOOKUP(A71,'תפוקה מצטברת מול אשתקד'!A:K,10,0)</f>
        <v>0</v>
      </c>
      <c r="O71" s="62">
        <f>VLOOKUP(A71,'תפוקה מצטברת מול אשתקד'!A:K,11,0)</f>
        <v>0</v>
      </c>
    </row>
    <row r="72" spans="1:15" ht="15.6" x14ac:dyDescent="0.25">
      <c r="A72" s="26" t="s">
        <v>100</v>
      </c>
      <c r="B72" s="26" t="s">
        <v>56</v>
      </c>
      <c r="C72" s="26" t="s">
        <v>103</v>
      </c>
      <c r="D72" s="61">
        <f t="shared" si="13"/>
        <v>0.17441330289316426</v>
      </c>
      <c r="E72" s="61">
        <f t="shared" si="13"/>
        <v>-0.21678726402564108</v>
      </c>
      <c r="F72" s="61">
        <f t="shared" si="14"/>
        <v>0.34492906250000011</v>
      </c>
      <c r="G72" s="61">
        <f t="shared" si="15"/>
        <v>0.29310032563025201</v>
      </c>
      <c r="H72" s="12">
        <v>493000</v>
      </c>
      <c r="I72" s="12">
        <v>78000</v>
      </c>
      <c r="J72" s="12">
        <v>3808000</v>
      </c>
      <c r="K72" s="12">
        <v>2856000</v>
      </c>
      <c r="L72" s="59">
        <f>VLOOKUP(A72,'תפוקה מצטברת מול אשתקד'!A:K,8,0)</f>
        <v>578985.75832632999</v>
      </c>
      <c r="M72" s="62">
        <f>VLOOKUP(A72,'תפוקה מצטברת מול אשתקד'!A:K,9,0)</f>
        <v>61090.593406</v>
      </c>
      <c r="N72" s="62">
        <f>VLOOKUP(A72,'תפוקה מצטברת מול אשתקד'!A:K,10,0)</f>
        <v>5121489.87</v>
      </c>
      <c r="O72" s="62">
        <f>VLOOKUP(A72,'תפוקה מצטברת מול אשתקד'!A:K,11,0)</f>
        <v>3693094.53</v>
      </c>
    </row>
    <row r="73" spans="1:15" ht="15.6" x14ac:dyDescent="0.25">
      <c r="A73" s="98" t="s">
        <v>101</v>
      </c>
      <c r="B73" s="26" t="s">
        <v>56</v>
      </c>
      <c r="C73" s="26" t="s">
        <v>103</v>
      </c>
      <c r="D73" s="61">
        <f t="shared" si="13"/>
        <v>0.2856379499762105</v>
      </c>
      <c r="E73" s="61">
        <f t="shared" si="13"/>
        <v>0.52632167005812303</v>
      </c>
      <c r="F73" s="61">
        <f t="shared" si="14"/>
        <v>1.1010394970290216</v>
      </c>
      <c r="G73" s="61">
        <f t="shared" si="15"/>
        <v>4.8814342086834737</v>
      </c>
      <c r="H73" s="12">
        <v>1479000</v>
      </c>
      <c r="I73" s="12">
        <v>130000</v>
      </c>
      <c r="J73" s="12">
        <v>9520000</v>
      </c>
      <c r="K73" s="12">
        <v>2856000</v>
      </c>
      <c r="L73" s="59">
        <f>VLOOKUP(A73,'תפוקה מצטברת מול אשתקד'!A:K,8,0)</f>
        <v>1901458.5280148154</v>
      </c>
      <c r="M73" s="62">
        <f>VLOOKUP(A73,'תפוקה מצטברת מול אשתקד'!A:K,9,0)</f>
        <v>198421.81710755598</v>
      </c>
      <c r="N73" s="62">
        <f>VLOOKUP(A73,'תפוקה מצטברת מול אשתקד'!A:K,10,0)</f>
        <v>20001896.011716284</v>
      </c>
      <c r="O73" s="62">
        <f>VLOOKUP(A73,'תפוקה מצטברת מול אשתקד'!A:K,11,0)</f>
        <v>16797376.100000001</v>
      </c>
    </row>
    <row r="74" spans="1:15" ht="16.2" thickBot="1" x14ac:dyDescent="0.3">
      <c r="A74" s="26" t="s">
        <v>81</v>
      </c>
      <c r="B74" s="26" t="s">
        <v>56</v>
      </c>
      <c r="C74" s="26" t="s">
        <v>103</v>
      </c>
      <c r="D74" s="61">
        <f t="shared" si="13"/>
        <v>-0.61828929006085187</v>
      </c>
      <c r="E74" s="61">
        <f t="shared" si="13"/>
        <v>-0.70310714102564109</v>
      </c>
      <c r="F74" s="61">
        <f t="shared" si="14"/>
        <v>0</v>
      </c>
      <c r="G74" s="61">
        <f t="shared" si="15"/>
        <v>0</v>
      </c>
      <c r="H74" s="12">
        <v>246500</v>
      </c>
      <c r="I74" s="12">
        <v>78000</v>
      </c>
      <c r="J74" s="12">
        <v>476000</v>
      </c>
      <c r="K74" s="12">
        <v>952000</v>
      </c>
      <c r="L74" s="59">
        <f>VLOOKUP(A74,'תפוקה מצטברת מול אשתקד'!A:K,8,0)</f>
        <v>94091.69</v>
      </c>
      <c r="M74" s="62">
        <f>VLOOKUP(A74,'תפוקה מצטברת מול אשתקד'!A:K,9,0)</f>
        <v>23157.643</v>
      </c>
      <c r="N74" s="62">
        <f>VLOOKUP(A74,'תפוקה מצטברת מול אשתקד'!A:K,10,0)</f>
        <v>0</v>
      </c>
      <c r="O74" s="62">
        <f>VLOOKUP(A74,'תפוקה מצטברת מול אשתקד'!A:K,11,0)</f>
        <v>0</v>
      </c>
    </row>
    <row r="75" spans="1:15" ht="21.6" thickBot="1" x14ac:dyDescent="0.3">
      <c r="A75" s="17" t="s">
        <v>44</v>
      </c>
      <c r="B75" s="57"/>
      <c r="C75" s="99"/>
      <c r="D75" s="127">
        <f t="shared" si="13"/>
        <v>0.11302838893684819</v>
      </c>
      <c r="E75" s="127">
        <f t="shared" si="13"/>
        <v>5.5956092486310949E-2</v>
      </c>
      <c r="F75" s="127">
        <f t="shared" si="14"/>
        <v>0.42936713203808963</v>
      </c>
      <c r="G75" s="127">
        <f t="shared" si="15"/>
        <v>1.8176817399225316</v>
      </c>
      <c r="H75" s="63">
        <f>SUM(H67:H74)</f>
        <v>4289100</v>
      </c>
      <c r="I75" s="63">
        <f>SUM(I67:I74)</f>
        <v>728000</v>
      </c>
      <c r="J75" s="63">
        <f>SUM(J67:J74)</f>
        <v>23562000</v>
      </c>
      <c r="K75" s="63">
        <f>SUM(K67:K74)</f>
        <v>12185600</v>
      </c>
      <c r="L75" s="63">
        <f>SUM(L67:L74)</f>
        <v>4773890.0629890356</v>
      </c>
      <c r="M75" s="63">
        <f t="shared" ref="M75:O75" si="16">SUM(M67:M74)</f>
        <v>768736.03533003444</v>
      </c>
      <c r="N75" s="63">
        <f t="shared" si="16"/>
        <v>33678748.365081467</v>
      </c>
      <c r="O75" s="63">
        <f t="shared" si="16"/>
        <v>34335142.609999999</v>
      </c>
    </row>
    <row r="76" spans="1:15" ht="21.6" thickBot="1" x14ac:dyDescent="0.3">
      <c r="A76" s="17" t="s">
        <v>45</v>
      </c>
      <c r="B76" s="57"/>
      <c r="C76" s="99"/>
      <c r="D76" s="127">
        <f t="shared" si="13"/>
        <v>-0.16738509405757185</v>
      </c>
      <c r="E76" s="127">
        <f t="shared" si="13"/>
        <v>-0.29626820724002512</v>
      </c>
      <c r="F76" s="127">
        <f t="shared" si="14"/>
        <v>-0.18609405220696318</v>
      </c>
      <c r="G76" s="127">
        <f t="shared" si="15"/>
        <v>-2.9694959695070189E-4</v>
      </c>
      <c r="H76" s="129">
        <f t="shared" ref="H76:O76" si="17">H75+H66+H56+H22+H8</f>
        <v>27139650</v>
      </c>
      <c r="I76" s="129">
        <f t="shared" si="17"/>
        <v>4825600</v>
      </c>
      <c r="J76" s="129">
        <f t="shared" si="17"/>
        <v>108052000</v>
      </c>
      <c r="K76" s="129">
        <f t="shared" si="17"/>
        <v>105148400</v>
      </c>
      <c r="L76" s="129">
        <f t="shared" si="17"/>
        <v>22596877.13206042</v>
      </c>
      <c r="M76" s="129">
        <f t="shared" si="17"/>
        <v>3395928.1391425347</v>
      </c>
      <c r="N76" s="129">
        <f t="shared" si="17"/>
        <v>87944165.470933214</v>
      </c>
      <c r="O76" s="129">
        <f t="shared" si="17"/>
        <v>105117176.22499999</v>
      </c>
    </row>
    <row r="77" spans="1:15" x14ac:dyDescent="0.25">
      <c r="H77" s="87"/>
    </row>
    <row r="78" spans="1:15" x14ac:dyDescent="0.25">
      <c r="H78" s="87"/>
      <c r="I78" s="87"/>
    </row>
    <row r="79" spans="1:15" x14ac:dyDescent="0.25">
      <c r="J79" s="193"/>
      <c r="N79" s="87"/>
    </row>
    <row r="80" spans="1:15" x14ac:dyDescent="0.25">
      <c r="J80" s="87"/>
      <c r="K80"/>
      <c r="L80"/>
      <c r="M80"/>
      <c r="N80"/>
      <c r="O80"/>
    </row>
    <row r="81" spans="11:15" x14ac:dyDescent="0.25">
      <c r="K81"/>
      <c r="L81" s="6"/>
      <c r="M81" s="6"/>
      <c r="N81" s="6"/>
      <c r="O81" s="6"/>
    </row>
    <row r="82" spans="11:15" x14ac:dyDescent="0.25">
      <c r="K82"/>
      <c r="L82"/>
      <c r="M82"/>
      <c r="N82"/>
      <c r="O82"/>
    </row>
    <row r="83" spans="11:15" x14ac:dyDescent="0.25">
      <c r="K83"/>
      <c r="L83"/>
      <c r="M83"/>
      <c r="N83"/>
      <c r="O83"/>
    </row>
    <row r="84" spans="11:15" x14ac:dyDescent="0.25">
      <c r="K84"/>
      <c r="L84"/>
      <c r="M84"/>
      <c r="N84"/>
      <c r="O84"/>
    </row>
    <row r="85" spans="11:15" x14ac:dyDescent="0.25">
      <c r="K85"/>
      <c r="L85"/>
      <c r="M85"/>
      <c r="N85"/>
      <c r="O85"/>
    </row>
    <row r="88" spans="11:15" x14ac:dyDescent="0.25">
      <c r="L88" s="87"/>
      <c r="M88" s="87"/>
      <c r="N88" s="87"/>
      <c r="O88" s="87"/>
    </row>
  </sheetData>
  <mergeCells count="3">
    <mergeCell ref="L1:O1"/>
    <mergeCell ref="D1:G1"/>
    <mergeCell ref="H1:K1"/>
  </mergeCells>
  <conditionalFormatting sqref="A14">
    <cfRule type="duplicateValues" dxfId="317" priority="7"/>
    <cfRule type="duplicateValues" dxfId="316" priority="8"/>
  </conditionalFormatting>
  <conditionalFormatting sqref="A20">
    <cfRule type="duplicateValues" dxfId="315" priority="1"/>
    <cfRule type="duplicateValues" dxfId="314" priority="2"/>
  </conditionalFormatting>
  <conditionalFormatting sqref="A54">
    <cfRule type="duplicateValues" dxfId="313" priority="3"/>
    <cfRule type="duplicateValues" dxfId="312" priority="4"/>
  </conditionalFormatting>
  <conditionalFormatting sqref="A58">
    <cfRule type="duplicateValues" dxfId="311" priority="11"/>
    <cfRule type="duplicateValues" dxfId="310" priority="12"/>
  </conditionalFormatting>
  <conditionalFormatting sqref="A60">
    <cfRule type="duplicateValues" dxfId="309" priority="5"/>
    <cfRule type="duplicateValues" dxfId="308" priority="6"/>
  </conditionalFormatting>
  <conditionalFormatting sqref="A61 A57 A59 A7 A23:A53 A65 A55">
    <cfRule type="duplicateValues" dxfId="307" priority="236"/>
    <cfRule type="duplicateValues" dxfId="306" priority="237"/>
  </conditionalFormatting>
  <conditionalFormatting sqref="A67:A74">
    <cfRule type="duplicateValues" dxfId="305" priority="15"/>
    <cfRule type="duplicateValues" dxfId="304" priority="16"/>
  </conditionalFormatting>
  <conditionalFormatting sqref="A75:A76 A1:A6 A8:A13 A15:A19 A56 A66 A21:A22">
    <cfRule type="duplicateValues" dxfId="303" priority="13"/>
    <cfRule type="duplicateValues" dxfId="302" priority="14"/>
  </conditionalFormatting>
  <conditionalFormatting sqref="D1 D2:G1048576">
    <cfRule type="cellIs" dxfId="301" priority="34" operator="lessThan">
      <formula>-0.0001</formula>
    </cfRule>
  </conditionalFormatting>
  <conditionalFormatting sqref="D3:G1048576">
    <cfRule type="cellIs" dxfId="300" priority="40" operator="greaterThan">
      <formula>0.1</formula>
    </cfRule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00A0E-83EC-4DBB-BD3E-7E64456E7812}">
  <sheetPr>
    <tabColor theme="4" tint="0.39997558519241921"/>
  </sheetPr>
  <dimension ref="A1:O83"/>
  <sheetViews>
    <sheetView rightToLeft="1" workbookViewId="0">
      <selection activeCell="A27" sqref="A27"/>
    </sheetView>
  </sheetViews>
  <sheetFormatPr defaultRowHeight="15" x14ac:dyDescent="0.25"/>
  <cols>
    <col min="1" max="1" width="27.59765625" style="1" bestFit="1" customWidth="1"/>
    <col min="2" max="2" width="10.09765625" style="1" bestFit="1" customWidth="1"/>
    <col min="3" max="3" width="10.3984375" style="1" bestFit="1" customWidth="1"/>
    <col min="4" max="4" width="10.69921875" style="3" bestFit="1" customWidth="1"/>
    <col min="5" max="5" width="11" style="3" bestFit="1" customWidth="1"/>
    <col min="6" max="6" width="11.69921875" style="3" bestFit="1" customWidth="1"/>
    <col min="7" max="8" width="13.59765625" style="3" bestFit="1" customWidth="1"/>
    <col min="9" max="9" width="12" style="3" bestFit="1" customWidth="1"/>
    <col min="10" max="12" width="15" style="3" bestFit="1" customWidth="1"/>
    <col min="13" max="13" width="13.59765625" style="3" bestFit="1" customWidth="1"/>
    <col min="14" max="15" width="15" style="3" bestFit="1" customWidth="1"/>
    <col min="16" max="16" width="19" bestFit="1" customWidth="1"/>
    <col min="18" max="19" width="9.8984375" bestFit="1" customWidth="1"/>
    <col min="20" max="20" width="12.3984375" bestFit="1" customWidth="1"/>
    <col min="21" max="21" width="10.8984375" bestFit="1" customWidth="1"/>
    <col min="22" max="22" width="9.8984375" bestFit="1" customWidth="1"/>
    <col min="23" max="23" width="12.3984375" bestFit="1" customWidth="1"/>
  </cols>
  <sheetData>
    <row r="1" spans="1:15" ht="21" x14ac:dyDescent="0.25">
      <c r="A1" s="26"/>
      <c r="B1" s="26"/>
      <c r="C1" s="26"/>
      <c r="D1" s="232" t="s">
        <v>62</v>
      </c>
      <c r="E1" s="233"/>
      <c r="F1" s="233"/>
      <c r="G1" s="234"/>
      <c r="H1" s="238" t="s">
        <v>138</v>
      </c>
      <c r="I1" s="239"/>
      <c r="J1" s="239"/>
      <c r="K1" s="240"/>
      <c r="L1" s="231" t="s">
        <v>139</v>
      </c>
      <c r="M1" s="231"/>
      <c r="N1" s="231"/>
      <c r="O1" s="231"/>
    </row>
    <row r="2" spans="1:15" ht="21" x14ac:dyDescent="0.25">
      <c r="A2" s="11" t="s">
        <v>0</v>
      </c>
      <c r="B2" s="23" t="s">
        <v>53</v>
      </c>
      <c r="C2" s="23" t="s">
        <v>109</v>
      </c>
      <c r="D2" s="24" t="s">
        <v>46</v>
      </c>
      <c r="E2" s="24" t="s">
        <v>50</v>
      </c>
      <c r="F2" s="24" t="s">
        <v>51</v>
      </c>
      <c r="G2" s="24" t="s">
        <v>49</v>
      </c>
      <c r="H2" s="60" t="s">
        <v>46</v>
      </c>
      <c r="I2" s="60" t="s">
        <v>47</v>
      </c>
      <c r="J2" s="60" t="s">
        <v>51</v>
      </c>
      <c r="K2" s="60" t="s">
        <v>49</v>
      </c>
      <c r="L2" s="25" t="s">
        <v>46</v>
      </c>
      <c r="M2" s="25" t="s">
        <v>47</v>
      </c>
      <c r="N2" s="25" t="s">
        <v>48</v>
      </c>
      <c r="O2" s="25" t="s">
        <v>49</v>
      </c>
    </row>
    <row r="3" spans="1:15" ht="15.6" x14ac:dyDescent="0.25">
      <c r="A3" s="26" t="s">
        <v>1</v>
      </c>
      <c r="B3" s="26" t="s">
        <v>108</v>
      </c>
      <c r="C3" s="26" t="s">
        <v>58</v>
      </c>
      <c r="D3" s="19">
        <f>IF(L3=0,0%,IF(H3=0,100%,L3/H3-1))</f>
        <v>-0.56397673968130513</v>
      </c>
      <c r="E3" s="19">
        <f>IF(M3=0,0%,IF(I3=0,100%,M3/I3-1))</f>
        <v>-0.68947231369614459</v>
      </c>
      <c r="F3" s="19">
        <f>IF(N3=0,0%,IF(J3=0,100%,N3/J3-1))</f>
        <v>6.5305832357754889E-2</v>
      </c>
      <c r="G3" s="19">
        <f>IF(O3=0,0%,IF(K3=0,100%,O3/K3-1))</f>
        <v>-0.56230171499999981</v>
      </c>
      <c r="H3" s="12">
        <v>1530000</v>
      </c>
      <c r="I3" s="12">
        <v>110500.00000000001</v>
      </c>
      <c r="J3" s="12">
        <v>4000000</v>
      </c>
      <c r="K3" s="12">
        <v>8000000</v>
      </c>
      <c r="L3" s="58">
        <f>VLOOKUP(A3,'תפוקה חודשית מול אשתקד'!A:K,8,0)</f>
        <v>667115.58828760311</v>
      </c>
      <c r="M3" s="58">
        <f>VLOOKUP(A3,'תפוקה חודשית מול אשתקד'!A:K,9,0)</f>
        <v>34313.309336576029</v>
      </c>
      <c r="N3" s="58">
        <f>VLOOKUP(A3,'תפוקה חודשית מול אשתקד'!A:K,10,0)</f>
        <v>4261223.3294310197</v>
      </c>
      <c r="O3" s="58">
        <f>VLOOKUP(A3,'תפוקה חודשית מול אשתקד'!A:K,11,0)</f>
        <v>3501586.2800000012</v>
      </c>
    </row>
    <row r="4" spans="1:15" ht="15.6" x14ac:dyDescent="0.25">
      <c r="A4" s="26" t="s">
        <v>2</v>
      </c>
      <c r="B4" s="26" t="s">
        <v>108</v>
      </c>
      <c r="C4" s="26" t="s">
        <v>58</v>
      </c>
      <c r="D4" s="19">
        <f t="shared" ref="D4:D69" si="0">IF(L4=0,0%,IF(H4=0,100%,L4/H4-1))</f>
        <v>-0.77696392156862726</v>
      </c>
      <c r="E4" s="19">
        <f t="shared" ref="E4:E69" si="1">IF(M4=0,0%,IF(I4=0,100%,M4/I4-1))</f>
        <v>1</v>
      </c>
      <c r="F4" s="19">
        <f t="shared" ref="F4:F69" si="2">IF(N4=0,0%,IF(J4=0,100%,N4/J4-1))</f>
        <v>-0.78813344470000013</v>
      </c>
      <c r="G4" s="19">
        <f t="shared" ref="G4:G69" si="3">IF(O4=0,0%,IF(K4=0,100%,O4/K4-1))</f>
        <v>-0.8329139624999996</v>
      </c>
      <c r="H4" s="12">
        <v>127500.00000000001</v>
      </c>
      <c r="I4" s="12">
        <v>0</v>
      </c>
      <c r="J4" s="12">
        <v>2000000</v>
      </c>
      <c r="K4" s="12">
        <v>1600000</v>
      </c>
      <c r="L4" s="58">
        <f>VLOOKUP(A4,'תפוקה חודשית מול אשתקד'!A:K,8,0)</f>
        <v>28437.100000000035</v>
      </c>
      <c r="M4" s="58">
        <f>VLOOKUP(A4,'תפוקה חודשית מול אשתקד'!A:K,9,0)</f>
        <v>-1.999999999998181E-2</v>
      </c>
      <c r="N4" s="58">
        <f>VLOOKUP(A4,'תפוקה חודשית מול אשתקד'!A:K,10,0)</f>
        <v>423733.11059999978</v>
      </c>
      <c r="O4" s="58">
        <f>VLOOKUP(A4,'תפוקה חודשית מול אשתקד'!A:K,11,0)</f>
        <v>267337.66000000061</v>
      </c>
    </row>
    <row r="5" spans="1:15" ht="15.6" x14ac:dyDescent="0.25">
      <c r="A5" s="26" t="s">
        <v>104</v>
      </c>
      <c r="B5" s="26" t="s">
        <v>108</v>
      </c>
      <c r="C5" s="26" t="s">
        <v>58</v>
      </c>
      <c r="D5" s="19">
        <f t="shared" si="0"/>
        <v>0</v>
      </c>
      <c r="E5" s="19">
        <f t="shared" si="1"/>
        <v>-1.0242969223868836</v>
      </c>
      <c r="F5" s="19">
        <f t="shared" si="2"/>
        <v>1</v>
      </c>
      <c r="G5" s="19">
        <f t="shared" si="3"/>
        <v>0</v>
      </c>
      <c r="H5" s="12">
        <v>0</v>
      </c>
      <c r="I5" s="12">
        <v>25500.000000000004</v>
      </c>
      <c r="J5" s="12">
        <v>0</v>
      </c>
      <c r="K5" s="12">
        <v>0</v>
      </c>
      <c r="L5" s="58">
        <f>VLOOKUP(A5,'תפוקה חודשית מול אשתקד'!A:K,8,0)</f>
        <v>0</v>
      </c>
      <c r="M5" s="58">
        <f>VLOOKUP(A5,'תפוקה חודשית מול אשתקד'!A:K,9,0)</f>
        <v>-619.57152086553106</v>
      </c>
      <c r="N5" s="58">
        <f>VLOOKUP(A5,'תפוקה חודשית מול אשתקד'!A:K,10,0)</f>
        <v>300000</v>
      </c>
      <c r="O5" s="58">
        <f>VLOOKUP(A5,'תפוקה חודשית מול אשתקד'!A:K,11,0)</f>
        <v>0</v>
      </c>
    </row>
    <row r="6" spans="1:15" ht="15.6" x14ac:dyDescent="0.25">
      <c r="A6" s="26" t="s">
        <v>105</v>
      </c>
      <c r="B6" s="26" t="s">
        <v>108</v>
      </c>
      <c r="C6" s="26" t="s">
        <v>58</v>
      </c>
      <c r="D6" s="19">
        <f t="shared" si="0"/>
        <v>-5.0512173464090431</v>
      </c>
      <c r="E6" s="19">
        <f t="shared" si="1"/>
        <v>-1.245620571673326</v>
      </c>
      <c r="F6" s="19">
        <f t="shared" si="2"/>
        <v>-0.91543118749999997</v>
      </c>
      <c r="G6" s="19">
        <f t="shared" si="3"/>
        <v>-2.1884243749999994</v>
      </c>
      <c r="H6" s="12">
        <v>42500</v>
      </c>
      <c r="I6" s="12">
        <v>21250</v>
      </c>
      <c r="J6" s="12">
        <v>160000</v>
      </c>
      <c r="K6" s="12">
        <v>80000</v>
      </c>
      <c r="L6" s="58">
        <f>VLOOKUP(A6,'תפוקה חודשית מול אשתקד'!A:K,8,0)</f>
        <v>-172176.73722238434</v>
      </c>
      <c r="M6" s="58">
        <f>VLOOKUP(A6,'תפוקה חודשית מול אשתקד'!A:K,9,0)</f>
        <v>-5219.4371480581758</v>
      </c>
      <c r="N6" s="58">
        <f>VLOOKUP(A6,'תפוקה חודשית מול אשתקד'!A:K,10,0)</f>
        <v>13531.010000000009</v>
      </c>
      <c r="O6" s="58">
        <f>VLOOKUP(A6,'תפוקה חודשית מול אשתקד'!A:K,11,0)</f>
        <v>-95073.949999999953</v>
      </c>
    </row>
    <row r="7" spans="1:15" ht="15.6" x14ac:dyDescent="0.25">
      <c r="A7" s="26" t="s">
        <v>34</v>
      </c>
      <c r="B7" s="26" t="s">
        <v>108</v>
      </c>
      <c r="C7" s="27" t="s">
        <v>58</v>
      </c>
      <c r="D7" s="19">
        <f>IF(L7=0,0%,IF(H7=0,100%,L7/H7-1))</f>
        <v>1</v>
      </c>
      <c r="E7" s="19">
        <f>IF(M7=0,0%,IF(I7=0,100%,M7/I7-1))</f>
        <v>1</v>
      </c>
      <c r="F7" s="19">
        <f>IF(N7=0,0%,IF(J7=0,100%,N7/J7-1))</f>
        <v>-0.96236224999999997</v>
      </c>
      <c r="G7" s="19">
        <f>IF(O7=0,0%,IF(K7=0,100%,O7/K7-1))</f>
        <v>-1.0039407499999999</v>
      </c>
      <c r="H7" s="12">
        <v>0</v>
      </c>
      <c r="I7" s="12">
        <v>0</v>
      </c>
      <c r="J7" s="12">
        <v>80000</v>
      </c>
      <c r="K7" s="12">
        <v>40000</v>
      </c>
      <c r="L7" s="58">
        <f>VLOOKUP(A7,'תפוקה חודשית מול אשתקד'!A:K,8,0)</f>
        <v>-24.569999999999709</v>
      </c>
      <c r="M7" s="58">
        <f>VLOOKUP(A7,'תפוקה חודשית מול אשתקד'!A:K,9,0)</f>
        <v>-1.1800000000000637</v>
      </c>
      <c r="N7" s="58">
        <f>VLOOKUP(A7,'תפוקה חודשית מול אשתקד'!A:K,10,0)</f>
        <v>3011.0199999999986</v>
      </c>
      <c r="O7" s="58">
        <f>VLOOKUP(A7,'תפוקה חודשית מול אשתקד'!A:K,11,0)</f>
        <v>-157.62999999999738</v>
      </c>
    </row>
    <row r="8" spans="1:15" ht="21" x14ac:dyDescent="0.25">
      <c r="A8" s="104" t="s">
        <v>3</v>
      </c>
      <c r="B8" s="105"/>
      <c r="C8" s="99"/>
      <c r="D8" s="19">
        <f t="shared" si="0"/>
        <v>-0.69214624643222411</v>
      </c>
      <c r="E8" s="19">
        <f t="shared" si="1"/>
        <v>-0.81893099734402341</v>
      </c>
      <c r="F8" s="19">
        <f t="shared" si="2"/>
        <v>-0.19847780928990078</v>
      </c>
      <c r="G8" s="19">
        <f t="shared" si="3"/>
        <v>-0.62204811111111091</v>
      </c>
      <c r="H8" s="130">
        <f>SUM(H3:H7)</f>
        <v>1700000</v>
      </c>
      <c r="I8" s="130">
        <f t="shared" ref="I8:O8" si="4">SUM(I3:I7)</f>
        <v>157250.00000000003</v>
      </c>
      <c r="J8" s="130">
        <f t="shared" si="4"/>
        <v>6240000</v>
      </c>
      <c r="K8" s="130">
        <f t="shared" si="4"/>
        <v>9720000</v>
      </c>
      <c r="L8" s="130">
        <f t="shared" si="4"/>
        <v>523351.38106521888</v>
      </c>
      <c r="M8" s="130">
        <f t="shared" si="4"/>
        <v>28473.100667652325</v>
      </c>
      <c r="N8" s="130">
        <f t="shared" si="4"/>
        <v>5001498.4700310193</v>
      </c>
      <c r="O8" s="130">
        <f t="shared" si="4"/>
        <v>3673692.3600000022</v>
      </c>
    </row>
    <row r="9" spans="1:15" ht="15.6" x14ac:dyDescent="0.25">
      <c r="A9" s="26" t="s">
        <v>4</v>
      </c>
      <c r="B9" s="26" t="s">
        <v>108</v>
      </c>
      <c r="C9" s="26" t="s">
        <v>106</v>
      </c>
      <c r="D9" s="19">
        <f t="shared" si="0"/>
        <v>1</v>
      </c>
      <c r="E9" s="19">
        <f t="shared" si="1"/>
        <v>1</v>
      </c>
      <c r="F9" s="19">
        <f t="shared" si="2"/>
        <v>0</v>
      </c>
      <c r="G9" s="19">
        <f t="shared" si="3"/>
        <v>1</v>
      </c>
      <c r="H9" s="12">
        <v>0</v>
      </c>
      <c r="I9" s="12">
        <v>0</v>
      </c>
      <c r="J9" s="12">
        <v>0</v>
      </c>
      <c r="K9" s="12">
        <v>0</v>
      </c>
      <c r="L9" s="58">
        <f>VLOOKUP(A9,'תפוקה חודשית מול אשתקד'!A:K,8,0)</f>
        <v>-0.38999999999941792</v>
      </c>
      <c r="M9" s="58">
        <f>VLOOKUP(A9,'תפוקה חודשית מול אשתקד'!A:K,9,0)</f>
        <v>-3.48700000000008</v>
      </c>
      <c r="N9" s="58">
        <f>VLOOKUP(A9,'תפוקה חודשית מול אשתקד'!A:K,10,0)</f>
        <v>0</v>
      </c>
      <c r="O9" s="58">
        <f>VLOOKUP(A9,'תפוקה חודשית מול אשתקד'!A:K,11,0)</f>
        <v>-91826.27999999997</v>
      </c>
    </row>
    <row r="10" spans="1:15" ht="15.6" x14ac:dyDescent="0.25">
      <c r="A10" s="26" t="s">
        <v>5</v>
      </c>
      <c r="B10" s="26" t="s">
        <v>108</v>
      </c>
      <c r="C10" s="26" t="s">
        <v>106</v>
      </c>
      <c r="D10" s="19">
        <f t="shared" si="0"/>
        <v>-0.41580342905910916</v>
      </c>
      <c r="E10" s="19">
        <f t="shared" si="1"/>
        <v>9.972535390500803E-2</v>
      </c>
      <c r="F10" s="19">
        <f t="shared" si="2"/>
        <v>-0.85316250000000005</v>
      </c>
      <c r="G10" s="19">
        <f t="shared" si="3"/>
        <v>-0.48867395000000013</v>
      </c>
      <c r="H10" s="12">
        <v>212500.00000000003</v>
      </c>
      <c r="I10" s="12">
        <v>85000</v>
      </c>
      <c r="J10" s="12">
        <v>80000</v>
      </c>
      <c r="K10" s="12">
        <v>200000</v>
      </c>
      <c r="L10" s="58">
        <f>VLOOKUP(A10,'תפוקה חודשית מול אשתקד'!A:K,8,0)</f>
        <v>124141.77132493933</v>
      </c>
      <c r="M10" s="58">
        <f>VLOOKUP(A10,'תפוקה חודשית מול אשתקד'!A:K,9,0)</f>
        <v>93476.655081925681</v>
      </c>
      <c r="N10" s="58">
        <f>VLOOKUP(A10,'תפוקה חודשית מול אשתקד'!A:K,10,0)</f>
        <v>11747</v>
      </c>
      <c r="O10" s="58">
        <f>VLOOKUP(A10,'תפוקה חודשית מול אשתקד'!A:K,11,0)</f>
        <v>102265.20999999996</v>
      </c>
    </row>
    <row r="11" spans="1:15" ht="15.6" x14ac:dyDescent="0.25">
      <c r="A11" s="26" t="s">
        <v>6</v>
      </c>
      <c r="B11" s="26" t="s">
        <v>108</v>
      </c>
      <c r="C11" s="26" t="s">
        <v>106</v>
      </c>
      <c r="D11" s="19">
        <f t="shared" si="0"/>
        <v>-0.46866526959925814</v>
      </c>
      <c r="E11" s="19">
        <f t="shared" si="1"/>
        <v>2.9257671413557951E-2</v>
      </c>
      <c r="F11" s="19">
        <f t="shared" si="2"/>
        <v>1</v>
      </c>
      <c r="G11" s="19">
        <f t="shared" si="3"/>
        <v>1</v>
      </c>
      <c r="H11" s="12">
        <v>42500</v>
      </c>
      <c r="I11" s="12">
        <v>17000</v>
      </c>
      <c r="J11" s="12">
        <v>0</v>
      </c>
      <c r="K11" s="12">
        <v>0</v>
      </c>
      <c r="L11" s="58">
        <f>VLOOKUP(A11,'תפוקה חודשית מול אשתקד'!A:K,8,0)</f>
        <v>22581.726042031529</v>
      </c>
      <c r="M11" s="58">
        <f>VLOOKUP(A11,'תפוקה חודשית מול אשתקד'!A:K,9,0)</f>
        <v>17497.380414030486</v>
      </c>
      <c r="N11" s="58">
        <f>VLOOKUP(A11,'תפוקה חודשית מול אשתקד'!A:K,10,0)</f>
        <v>161738.06602002628</v>
      </c>
      <c r="O11" s="58">
        <f>VLOOKUP(A11,'תפוקה חודשית מול אשתקד'!A:K,11,0)</f>
        <v>3833.0800000000745</v>
      </c>
    </row>
    <row r="12" spans="1:15" ht="15.6" x14ac:dyDescent="0.25">
      <c r="A12" s="26" t="s">
        <v>7</v>
      </c>
      <c r="B12" s="26" t="s">
        <v>108</v>
      </c>
      <c r="C12" s="26" t="s">
        <v>106</v>
      </c>
      <c r="D12" s="19">
        <f t="shared" si="0"/>
        <v>1</v>
      </c>
      <c r="E12" s="19">
        <f t="shared" si="1"/>
        <v>1</v>
      </c>
      <c r="F12" s="19">
        <f t="shared" si="2"/>
        <v>1</v>
      </c>
      <c r="G12" s="19">
        <f t="shared" si="3"/>
        <v>1</v>
      </c>
      <c r="H12" s="12">
        <v>0</v>
      </c>
      <c r="I12" s="12">
        <v>0</v>
      </c>
      <c r="J12" s="12">
        <v>0</v>
      </c>
      <c r="K12" s="12">
        <v>0</v>
      </c>
      <c r="L12" s="58">
        <f>VLOOKUP(A12,'תפוקה חודשית מול אשתקד'!A:K,8,0)</f>
        <v>4065.75</v>
      </c>
      <c r="M12" s="58">
        <f>VLOOKUP(A12,'תפוקה חודשית מול אשתקד'!A:K,9,0)</f>
        <v>3284.9968879999997</v>
      </c>
      <c r="N12" s="58">
        <f>VLOOKUP(A12,'תפוקה חודשית מול אשתקד'!A:K,10,0)</f>
        <v>260023.05000000005</v>
      </c>
      <c r="O12" s="58">
        <f>VLOOKUP(A12,'תפוקה חודשית מול אשתקד'!A:K,11,0)</f>
        <v>56590.59</v>
      </c>
    </row>
    <row r="13" spans="1:15" ht="15.6" x14ac:dyDescent="0.25">
      <c r="A13" s="26" t="s">
        <v>8</v>
      </c>
      <c r="B13" s="26" t="s">
        <v>108</v>
      </c>
      <c r="C13" s="26" t="s">
        <v>106</v>
      </c>
      <c r="D13" s="19">
        <f t="shared" si="0"/>
        <v>1</v>
      </c>
      <c r="E13" s="19">
        <f t="shared" si="1"/>
        <v>-0.52513477203384418</v>
      </c>
      <c r="F13" s="19">
        <f t="shared" si="2"/>
        <v>0</v>
      </c>
      <c r="G13" s="19">
        <f t="shared" si="3"/>
        <v>0</v>
      </c>
      <c r="H13" s="12">
        <v>0</v>
      </c>
      <c r="I13" s="12">
        <v>51000.000000000007</v>
      </c>
      <c r="J13" s="12">
        <v>0</v>
      </c>
      <c r="K13" s="12">
        <v>0</v>
      </c>
      <c r="L13" s="58">
        <f>VLOOKUP(A13,'תפוקה חודשית מול אשתקד'!A:K,8,0)</f>
        <v>16949.803313</v>
      </c>
      <c r="M13" s="58">
        <f>VLOOKUP(A13,'תפוקה חודשית מול אשתקד'!A:K,9,0)</f>
        <v>24218.126626273952</v>
      </c>
      <c r="N13" s="58">
        <f>VLOOKUP(A13,'תפוקה חודשית מול אשתקד'!A:K,10,0)</f>
        <v>0</v>
      </c>
      <c r="O13" s="58">
        <f>VLOOKUP(A13,'תפוקה חודשית מול אשתקד'!A:K,11,0)</f>
        <v>0</v>
      </c>
    </row>
    <row r="14" spans="1:15" ht="15.6" x14ac:dyDescent="0.25">
      <c r="A14" s="26" t="s">
        <v>9</v>
      </c>
      <c r="B14" s="26" t="s">
        <v>108</v>
      </c>
      <c r="C14" s="26" t="s">
        <v>106</v>
      </c>
      <c r="D14" s="19">
        <f t="shared" si="0"/>
        <v>-1.0208921568627451</v>
      </c>
      <c r="E14" s="19">
        <f t="shared" si="1"/>
        <v>-1.0048781176470591</v>
      </c>
      <c r="F14" s="19">
        <f t="shared" si="2"/>
        <v>-1.6003901562500003</v>
      </c>
      <c r="G14" s="19">
        <f t="shared" si="3"/>
        <v>-1.0017486354166667</v>
      </c>
      <c r="H14" s="12">
        <v>25500.000000000004</v>
      </c>
      <c r="I14" s="12">
        <v>12750.000000000002</v>
      </c>
      <c r="J14" s="12">
        <v>320000</v>
      </c>
      <c r="K14" s="12">
        <v>960000</v>
      </c>
      <c r="L14" s="58">
        <f>VLOOKUP(A14,'תפוקה חודשית מול אשתקד'!A:K,8,0)</f>
        <v>-532.75</v>
      </c>
      <c r="M14" s="58">
        <f>VLOOKUP(A14,'תפוקה חודשית מול אשתקד'!A:K,9,0)</f>
        <v>-62.196000000003551</v>
      </c>
      <c r="N14" s="58">
        <f>VLOOKUP(A14,'תפוקה חודשית מול אשתקד'!A:K,10,0)</f>
        <v>-192124.85000000009</v>
      </c>
      <c r="O14" s="58">
        <f>VLOOKUP(A14,'תפוקה חודשית מול אשתקד'!A:K,11,0)</f>
        <v>-1678.6900000000605</v>
      </c>
    </row>
    <row r="15" spans="1:15" ht="15.6" x14ac:dyDescent="0.25">
      <c r="A15" s="26" t="s">
        <v>31</v>
      </c>
      <c r="B15" s="26" t="s">
        <v>108</v>
      </c>
      <c r="C15" s="26" t="s">
        <v>106</v>
      </c>
      <c r="D15" s="19">
        <f t="shared" si="0"/>
        <v>1</v>
      </c>
      <c r="E15" s="19">
        <f t="shared" si="1"/>
        <v>0</v>
      </c>
      <c r="F15" s="19">
        <f t="shared" si="2"/>
        <v>1</v>
      </c>
      <c r="G15" s="19">
        <f t="shared" si="3"/>
        <v>1</v>
      </c>
      <c r="H15" s="12">
        <v>0</v>
      </c>
      <c r="I15" s="12">
        <v>0</v>
      </c>
      <c r="J15" s="12">
        <v>0</v>
      </c>
      <c r="K15" s="12">
        <v>0</v>
      </c>
      <c r="L15" s="58">
        <f>VLOOKUP(A15,'תפוקה חודשית מול אשתקד'!A:K,8,0)</f>
        <v>130856.11</v>
      </c>
      <c r="M15" s="58">
        <f>VLOOKUP(A15,'תפוקה חודשית מול אשתקד'!A:K,9,0)</f>
        <v>0</v>
      </c>
      <c r="N15" s="58">
        <f>VLOOKUP(A15,'תפוקה חודשית מול אשתקד'!A:K,10,0)</f>
        <v>54243.749999999971</v>
      </c>
      <c r="O15" s="58">
        <f>VLOOKUP(A15,'תפוקה חודשית מול אשתקד'!A:K,11,0)</f>
        <v>113643.55</v>
      </c>
    </row>
    <row r="16" spans="1:15" ht="15.6" x14ac:dyDescent="0.25">
      <c r="A16" s="26" t="s">
        <v>96</v>
      </c>
      <c r="B16" s="26" t="s">
        <v>108</v>
      </c>
      <c r="C16" s="26" t="s">
        <v>106</v>
      </c>
      <c r="D16" s="19">
        <f t="shared" si="0"/>
        <v>1</v>
      </c>
      <c r="E16" s="19">
        <f t="shared" si="1"/>
        <v>1</v>
      </c>
      <c r="F16" s="19">
        <f t="shared" si="2"/>
        <v>1</v>
      </c>
      <c r="G16" s="19">
        <f t="shared" si="3"/>
        <v>1</v>
      </c>
      <c r="H16" s="12">
        <v>0</v>
      </c>
      <c r="I16" s="12">
        <v>0</v>
      </c>
      <c r="J16" s="12">
        <v>0</v>
      </c>
      <c r="K16" s="12">
        <v>0</v>
      </c>
      <c r="L16" s="58">
        <f>VLOOKUP(A16,'תפוקה חודשית מול אשתקד'!A:K,8,0)</f>
        <v>23274.727589999995</v>
      </c>
      <c r="M16" s="58">
        <f>VLOOKUP(A16,'תפוקה חודשית מול אשתקד'!A:K,9,0)</f>
        <v>2077.0720000000001</v>
      </c>
      <c r="N16" s="58">
        <f>VLOOKUP(A16,'תפוקה חודשית מול אשתקד'!A:K,10,0)</f>
        <v>6094</v>
      </c>
      <c r="O16" s="58">
        <f>VLOOKUP(A16,'תפוקה חודשית מול אשתקד'!A:K,11,0)</f>
        <v>-218.22999999999593</v>
      </c>
    </row>
    <row r="17" spans="1:15" ht="15.6" x14ac:dyDescent="0.25">
      <c r="A17" s="26" t="s">
        <v>42</v>
      </c>
      <c r="B17" s="26" t="s">
        <v>108</v>
      </c>
      <c r="C17" s="26" t="s">
        <v>106</v>
      </c>
      <c r="D17" s="19">
        <f t="shared" si="0"/>
        <v>-0.87839918588235311</v>
      </c>
      <c r="E17" s="19">
        <f t="shared" si="1"/>
        <v>-0.79027273447058843</v>
      </c>
      <c r="F17" s="19">
        <f t="shared" si="2"/>
        <v>-0.81802164583333314</v>
      </c>
      <c r="G17" s="19">
        <f t="shared" si="3"/>
        <v>-1.0179367708333331</v>
      </c>
      <c r="H17" s="12">
        <v>127500.00000000001</v>
      </c>
      <c r="I17" s="12">
        <v>51000.000000000007</v>
      </c>
      <c r="J17" s="12">
        <v>960000</v>
      </c>
      <c r="K17" s="12">
        <v>480000</v>
      </c>
      <c r="L17" s="58">
        <f>VLOOKUP(A17,'תפוקה חודשית מול אשתקד'!A:K,8,0)</f>
        <v>15504.103799999983</v>
      </c>
      <c r="M17" s="58">
        <f>VLOOKUP(A17,'תפוקה חודשית מול אשתקד'!A:K,9,0)</f>
        <v>10696.090541999991</v>
      </c>
      <c r="N17" s="58">
        <f>VLOOKUP(A17,'תפוקה חודשית מול אשתקד'!A:K,10,0)</f>
        <v>174699.2200000002</v>
      </c>
      <c r="O17" s="58">
        <f>VLOOKUP(A17,'תפוקה חודשית מול אשתקד'!A:K,11,0)</f>
        <v>-8609.6499999999069</v>
      </c>
    </row>
    <row r="18" spans="1:15" ht="15.6" x14ac:dyDescent="0.25">
      <c r="A18" s="26" t="s">
        <v>43</v>
      </c>
      <c r="B18" s="26" t="s">
        <v>108</v>
      </c>
      <c r="C18" s="26" t="s">
        <v>106</v>
      </c>
      <c r="D18" s="19">
        <f t="shared" si="0"/>
        <v>-0.24865148470588261</v>
      </c>
      <c r="E18" s="19">
        <f t="shared" si="1"/>
        <v>0.18590092907562994</v>
      </c>
      <c r="F18" s="19">
        <f t="shared" si="2"/>
        <v>-0.70900733749999967</v>
      </c>
      <c r="G18" s="19">
        <f t="shared" si="3"/>
        <v>-0.61818911875000049</v>
      </c>
      <c r="H18" s="12">
        <v>255000.00000000003</v>
      </c>
      <c r="I18" s="12">
        <v>29750.000000000004</v>
      </c>
      <c r="J18" s="12">
        <v>2800000</v>
      </c>
      <c r="K18" s="12">
        <v>800000</v>
      </c>
      <c r="L18" s="58">
        <f>VLOOKUP(A18,'תפוקה חודשית מול אשתקד'!A:K,8,0)</f>
        <v>191593.87139999995</v>
      </c>
      <c r="M18" s="58">
        <f>VLOOKUP(A18,'תפוקה חודשית מול אשתקד'!A:K,9,0)</f>
        <v>35280.552639999994</v>
      </c>
      <c r="N18" s="58">
        <f>VLOOKUP(A18,'תפוקה חודשית מול אשתקד'!A:K,10,0)</f>
        <v>814779.45500000101</v>
      </c>
      <c r="O18" s="58">
        <f>VLOOKUP(A18,'תפוקה חודשית מול אשתקד'!A:K,11,0)</f>
        <v>305448.70499999961</v>
      </c>
    </row>
    <row r="19" spans="1:15" ht="15.6" x14ac:dyDescent="0.25">
      <c r="A19" s="26" t="s">
        <v>30</v>
      </c>
      <c r="B19" s="26" t="s">
        <v>108</v>
      </c>
      <c r="C19" s="26" t="s">
        <v>106</v>
      </c>
      <c r="D19" s="19">
        <f t="shared" si="0"/>
        <v>1</v>
      </c>
      <c r="E19" s="19">
        <f t="shared" si="1"/>
        <v>1</v>
      </c>
      <c r="F19" s="19">
        <f t="shared" si="2"/>
        <v>0</v>
      </c>
      <c r="G19" s="19">
        <f t="shared" si="3"/>
        <v>0</v>
      </c>
      <c r="H19" s="12">
        <v>0</v>
      </c>
      <c r="I19" s="12">
        <v>0</v>
      </c>
      <c r="J19" s="12">
        <v>0</v>
      </c>
      <c r="K19" s="12">
        <v>0</v>
      </c>
      <c r="L19" s="58">
        <f>VLOOKUP(A19,'תפוקה חודשית מול אשתקד'!A:K,8,0)</f>
        <v>1198477.2400000002</v>
      </c>
      <c r="M19" s="58">
        <f>VLOOKUP(A19,'תפוקה חודשית מול אשתקד'!A:K,9,0)</f>
        <v>61195.245999999992</v>
      </c>
      <c r="N19" s="58">
        <f>VLOOKUP(A19,'תפוקה חודשית מול אשתקד'!A:K,10,0)</f>
        <v>0</v>
      </c>
      <c r="O19" s="58">
        <f>VLOOKUP(A19,'תפוקה חודשית מול אשתקד'!A:K,11,0)</f>
        <v>0</v>
      </c>
    </row>
    <row r="20" spans="1:15" ht="15.6" x14ac:dyDescent="0.25">
      <c r="A20" s="28" t="s">
        <v>130</v>
      </c>
      <c r="B20" s="26" t="s">
        <v>108</v>
      </c>
      <c r="C20" s="26" t="s">
        <v>106</v>
      </c>
      <c r="D20" s="19">
        <f t="shared" si="0"/>
        <v>0</v>
      </c>
      <c r="E20" s="19">
        <f t="shared" si="1"/>
        <v>0</v>
      </c>
      <c r="F20" s="19">
        <f t="shared" si="2"/>
        <v>0</v>
      </c>
      <c r="G20" s="19">
        <f t="shared" si="3"/>
        <v>0</v>
      </c>
      <c r="H20" s="12"/>
      <c r="I20" s="12"/>
      <c r="J20" s="12"/>
      <c r="K20" s="12"/>
      <c r="L20" s="58">
        <f>VLOOKUP(A20,'תפוקה חודשית מול אשתקד'!A:K,8,0)</f>
        <v>0</v>
      </c>
      <c r="M20" s="58">
        <f>VLOOKUP(A20,'תפוקה חודשית מול אשתקד'!A:K,9,0)</f>
        <v>0</v>
      </c>
      <c r="N20" s="58">
        <f>VLOOKUP(A20,'תפוקה חודשית מול אשתקד'!A:K,10,0)</f>
        <v>0</v>
      </c>
      <c r="O20" s="58">
        <f>VLOOKUP(A20,'תפוקה חודשית מול אשתקד'!A:K,11,0)</f>
        <v>0</v>
      </c>
    </row>
    <row r="21" spans="1:15" ht="15.6" x14ac:dyDescent="0.25">
      <c r="A21" s="26" t="s">
        <v>38</v>
      </c>
      <c r="B21" s="26" t="s">
        <v>108</v>
      </c>
      <c r="C21" s="26" t="s">
        <v>106</v>
      </c>
      <c r="D21" s="19">
        <f t="shared" si="0"/>
        <v>0</v>
      </c>
      <c r="E21" s="19">
        <f t="shared" si="1"/>
        <v>0</v>
      </c>
      <c r="F21" s="19">
        <f t="shared" si="2"/>
        <v>0</v>
      </c>
      <c r="G21" s="19">
        <f t="shared" si="3"/>
        <v>0</v>
      </c>
      <c r="H21" s="12">
        <v>0</v>
      </c>
      <c r="I21" s="12">
        <v>0</v>
      </c>
      <c r="J21" s="12">
        <v>0</v>
      </c>
      <c r="K21" s="12">
        <v>0</v>
      </c>
      <c r="L21" s="58">
        <f>VLOOKUP(A21,'תפוקה חודשית מול אשתקד'!A:K,8,0)</f>
        <v>0</v>
      </c>
      <c r="M21" s="58">
        <f>VLOOKUP(A21,'תפוקה חודשית מול אשתקד'!A:K,9,0)</f>
        <v>0</v>
      </c>
      <c r="N21" s="58">
        <f>VLOOKUP(A21,'תפוקה חודשית מול אשתקד'!A:K,10,0)</f>
        <v>0</v>
      </c>
      <c r="O21" s="58">
        <f>VLOOKUP(A21,'תפוקה חודשית מול אשתקד'!A:K,11,0)</f>
        <v>0</v>
      </c>
    </row>
    <row r="22" spans="1:15" ht="21.6" thickBot="1" x14ac:dyDescent="0.3">
      <c r="A22" s="16" t="s">
        <v>10</v>
      </c>
      <c r="B22" s="102"/>
      <c r="C22" s="99"/>
      <c r="D22" s="19">
        <f t="shared" si="0"/>
        <v>1.6046937608898504</v>
      </c>
      <c r="E22" s="19">
        <f t="shared" si="1"/>
        <v>4.7076559522518657E-3</v>
      </c>
      <c r="F22" s="19">
        <f t="shared" si="2"/>
        <v>-0.68961545888941655</v>
      </c>
      <c r="G22" s="19">
        <f t="shared" si="3"/>
        <v>-0.80350480122950829</v>
      </c>
      <c r="H22" s="128">
        <f>SUM(H9:H21)</f>
        <v>663000.00000000012</v>
      </c>
      <c r="I22" s="128">
        <f t="shared" ref="I22:O22" si="5">SUM(I9:I21)</f>
        <v>246500</v>
      </c>
      <c r="J22" s="128">
        <f t="shared" si="5"/>
        <v>4160000</v>
      </c>
      <c r="K22" s="128">
        <f t="shared" si="5"/>
        <v>2440000</v>
      </c>
      <c r="L22" s="128">
        <f t="shared" si="5"/>
        <v>1726911.963469971</v>
      </c>
      <c r="M22" s="128">
        <f t="shared" si="5"/>
        <v>247660.43719223008</v>
      </c>
      <c r="N22" s="128">
        <f t="shared" si="5"/>
        <v>1291199.6910200273</v>
      </c>
      <c r="O22" s="128">
        <f t="shared" si="5"/>
        <v>479448.28499999974</v>
      </c>
    </row>
    <row r="23" spans="1:15" ht="15.6" x14ac:dyDescent="0.25">
      <c r="A23" s="27" t="s">
        <v>11</v>
      </c>
      <c r="B23" s="27" t="s">
        <v>56</v>
      </c>
      <c r="C23" s="27" t="s">
        <v>107</v>
      </c>
      <c r="D23" s="19">
        <f t="shared" si="0"/>
        <v>-0.37454145426470542</v>
      </c>
      <c r="E23" s="19">
        <f t="shared" si="1"/>
        <v>1.0509190311418681</v>
      </c>
      <c r="F23" s="19">
        <f t="shared" si="2"/>
        <v>-0.42858580000000013</v>
      </c>
      <c r="G23" s="19">
        <f t="shared" si="3"/>
        <v>0</v>
      </c>
      <c r="H23" s="12">
        <v>136000</v>
      </c>
      <c r="I23" s="12">
        <v>14450.000000000002</v>
      </c>
      <c r="J23" s="12">
        <v>200000</v>
      </c>
      <c r="K23" s="12">
        <v>400000</v>
      </c>
      <c r="L23" s="58">
        <f>VLOOKUP(A23,'תפוקה חודשית מול אשתקד'!A:K,8,0)</f>
        <v>85062.362220000068</v>
      </c>
      <c r="M23" s="58">
        <f>VLOOKUP(A23,'תפוקה חודשית מול אשתקד'!A:K,9,0)</f>
        <v>29635.78</v>
      </c>
      <c r="N23" s="58">
        <f>VLOOKUP(A23,'תפוקה חודשית מול אשתקד'!A:K,10,0)</f>
        <v>114282.83999999997</v>
      </c>
      <c r="O23" s="58">
        <f>VLOOKUP(A23,'תפוקה חודשית מול אשתקד'!A:K,11,0)</f>
        <v>0</v>
      </c>
    </row>
    <row r="24" spans="1:15" ht="15.6" x14ac:dyDescent="0.25">
      <c r="A24" s="30" t="s">
        <v>12</v>
      </c>
      <c r="B24" s="26" t="s">
        <v>56</v>
      </c>
      <c r="C24" s="27" t="s">
        <v>107</v>
      </c>
      <c r="D24" s="19">
        <f t="shared" si="0"/>
        <v>0</v>
      </c>
      <c r="E24" s="19">
        <f t="shared" si="1"/>
        <v>0</v>
      </c>
      <c r="F24" s="19">
        <f t="shared" si="2"/>
        <v>0</v>
      </c>
      <c r="G24" s="19">
        <f t="shared" si="3"/>
        <v>0</v>
      </c>
      <c r="H24" s="12">
        <v>0</v>
      </c>
      <c r="I24" s="12">
        <v>0</v>
      </c>
      <c r="J24" s="12">
        <v>0</v>
      </c>
      <c r="K24" s="12">
        <v>0</v>
      </c>
      <c r="L24" s="58">
        <f>VLOOKUP(A24,'תפוקה חודשית מול אשתקד'!A:K,8,0)</f>
        <v>0</v>
      </c>
      <c r="M24" s="58">
        <f>VLOOKUP(A24,'תפוקה חודשית מול אשתקד'!A:K,9,0)</f>
        <v>0</v>
      </c>
      <c r="N24" s="58">
        <f>VLOOKUP(A24,'תפוקה חודשית מול אשתקד'!A:K,10,0)</f>
        <v>0</v>
      </c>
      <c r="O24" s="58">
        <f>VLOOKUP(A24,'תפוקה חודשית מול אשתקד'!A:K,11,0)</f>
        <v>0</v>
      </c>
    </row>
    <row r="25" spans="1:15" ht="15.6" x14ac:dyDescent="0.25">
      <c r="A25" s="30" t="s">
        <v>13</v>
      </c>
      <c r="B25" s="26" t="s">
        <v>56</v>
      </c>
      <c r="C25" s="27" t="s">
        <v>107</v>
      </c>
      <c r="D25" s="19">
        <f t="shared" si="0"/>
        <v>0</v>
      </c>
      <c r="E25" s="19">
        <f t="shared" si="1"/>
        <v>3.6000000000000032E-2</v>
      </c>
      <c r="F25" s="19">
        <f t="shared" si="2"/>
        <v>-0.83494373799822019</v>
      </c>
      <c r="G25" s="19">
        <f t="shared" si="3"/>
        <v>0</v>
      </c>
      <c r="H25" s="12">
        <v>8500</v>
      </c>
      <c r="I25" s="12">
        <v>4250</v>
      </c>
      <c r="J25" s="12">
        <v>24000</v>
      </c>
      <c r="K25" s="12">
        <v>8000</v>
      </c>
      <c r="L25" s="58">
        <f>VLOOKUP(A25,'תפוקה חודשית מול אשתקד'!A:K,8,0)</f>
        <v>0</v>
      </c>
      <c r="M25" s="58">
        <f>VLOOKUP(A25,'תפוקה חודשית מול אשתקד'!A:K,9,0)</f>
        <v>4403</v>
      </c>
      <c r="N25" s="58">
        <f>VLOOKUP(A25,'תפוקה חודשית מול אשתקד'!A:K,10,0)</f>
        <v>3961.350288042715</v>
      </c>
      <c r="O25" s="58">
        <f>VLOOKUP(A25,'תפוקה חודשית מול אשתקד'!A:K,11,0)</f>
        <v>0</v>
      </c>
    </row>
    <row r="26" spans="1:15" ht="31.2" x14ac:dyDescent="0.25">
      <c r="A26" s="26" t="s">
        <v>14</v>
      </c>
      <c r="B26" s="26" t="s">
        <v>55</v>
      </c>
      <c r="C26" s="27" t="s">
        <v>107</v>
      </c>
      <c r="D26" s="19">
        <f t="shared" si="0"/>
        <v>0</v>
      </c>
      <c r="E26" s="19">
        <f t="shared" si="1"/>
        <v>0</v>
      </c>
      <c r="F26" s="19">
        <f t="shared" si="2"/>
        <v>0</v>
      </c>
      <c r="G26" s="19">
        <f t="shared" si="3"/>
        <v>0</v>
      </c>
      <c r="H26" s="12">
        <v>0</v>
      </c>
      <c r="I26" s="12">
        <v>0</v>
      </c>
      <c r="J26" s="12">
        <v>0</v>
      </c>
      <c r="K26" s="12">
        <v>0</v>
      </c>
      <c r="L26" s="58">
        <f>VLOOKUP(A26,'תפוקה חודשית מול אשתקד'!A:K,8,0)</f>
        <v>0</v>
      </c>
      <c r="M26" s="58">
        <f>VLOOKUP(A26,'תפוקה חודשית מול אשתקד'!A:K,9,0)</f>
        <v>0</v>
      </c>
      <c r="N26" s="58">
        <f>VLOOKUP(A26,'תפוקה חודשית מול אשתקד'!A:K,10,0)</f>
        <v>0</v>
      </c>
      <c r="O26" s="58">
        <f>VLOOKUP(A26,'תפוקה חודשית מול אשתקד'!A:K,11,0)</f>
        <v>0</v>
      </c>
    </row>
    <row r="27" spans="1:15" ht="15.6" x14ac:dyDescent="0.25">
      <c r="A27" s="30" t="s">
        <v>15</v>
      </c>
      <c r="B27" s="26" t="s">
        <v>56</v>
      </c>
      <c r="C27" s="27" t="s">
        <v>107</v>
      </c>
      <c r="D27" s="19">
        <f t="shared" si="0"/>
        <v>-0.91225161082352946</v>
      </c>
      <c r="E27" s="19">
        <f t="shared" si="1"/>
        <v>-0.84597237529411773</v>
      </c>
      <c r="F27" s="19">
        <f t="shared" si="2"/>
        <v>-0.23964522333333349</v>
      </c>
      <c r="G27" s="19">
        <f t="shared" si="3"/>
        <v>-0.4156794374999998</v>
      </c>
      <c r="H27" s="12">
        <v>212500.00000000003</v>
      </c>
      <c r="I27" s="12">
        <v>25500.000000000004</v>
      </c>
      <c r="J27" s="12">
        <v>240000</v>
      </c>
      <c r="K27" s="12">
        <v>320000</v>
      </c>
      <c r="L27" s="58">
        <f>VLOOKUP(A27,'תפוקה חודשית מול אשתקד'!A:K,8,0)</f>
        <v>18646.532699999982</v>
      </c>
      <c r="M27" s="58">
        <f>VLOOKUP(A27,'תפוקה חודשית מול אשתקד'!A:K,9,0)</f>
        <v>3927.704429999998</v>
      </c>
      <c r="N27" s="58">
        <f>VLOOKUP(A27,'תפוקה חודשית מול אשתקד'!A:K,10,0)</f>
        <v>182485.14639999997</v>
      </c>
      <c r="O27" s="58">
        <f>VLOOKUP(A27,'תפוקה חודשית מול אשתקד'!A:K,11,0)</f>
        <v>186982.58000000007</v>
      </c>
    </row>
    <row r="28" spans="1:15" ht="15.6" x14ac:dyDescent="0.25">
      <c r="A28" s="30" t="s">
        <v>17</v>
      </c>
      <c r="B28" s="26" t="s">
        <v>56</v>
      </c>
      <c r="C28" s="27" t="s">
        <v>107</v>
      </c>
      <c r="D28" s="19">
        <f t="shared" si="0"/>
        <v>-0.20828792242504646</v>
      </c>
      <c r="E28" s="19">
        <f t="shared" si="1"/>
        <v>-1.2894449390504121</v>
      </c>
      <c r="F28" s="19">
        <f t="shared" si="2"/>
        <v>-0.92624828755093402</v>
      </c>
      <c r="G28" s="19">
        <f t="shared" si="3"/>
        <v>0</v>
      </c>
      <c r="H28" s="12">
        <v>25500.000000000004</v>
      </c>
      <c r="I28" s="12">
        <v>17000</v>
      </c>
      <c r="J28" s="12">
        <v>8000</v>
      </c>
      <c r="K28" s="12">
        <v>16000</v>
      </c>
      <c r="L28" s="58">
        <f>VLOOKUP(A28,'תפוקה חודשית מול אשתקד'!A:K,8,0)</f>
        <v>20188.657978161318</v>
      </c>
      <c r="M28" s="58">
        <f>VLOOKUP(A28,'תפוקה חודשית מול אשתקד'!A:K,9,0)</f>
        <v>-4920.5639638570065</v>
      </c>
      <c r="N28" s="58">
        <f>VLOOKUP(A28,'תפוקה חודשית מול אשתקד'!A:K,10,0)</f>
        <v>590.0136995925277</v>
      </c>
      <c r="O28" s="58">
        <f>VLOOKUP(A28,'תפוקה חודשית מול אשתקד'!A:K,11,0)</f>
        <v>0</v>
      </c>
    </row>
    <row r="29" spans="1:15" ht="15.6" x14ac:dyDescent="0.25">
      <c r="A29" s="30" t="s">
        <v>18</v>
      </c>
      <c r="B29" s="26" t="s">
        <v>56</v>
      </c>
      <c r="C29" s="27" t="s">
        <v>107</v>
      </c>
      <c r="D29" s="19">
        <f t="shared" si="0"/>
        <v>-0.33925882352941183</v>
      </c>
      <c r="E29" s="19">
        <f t="shared" si="1"/>
        <v>-0.31187252235294138</v>
      </c>
      <c r="F29" s="19">
        <f t="shared" si="2"/>
        <v>-0.7492306666666666</v>
      </c>
      <c r="G29" s="19">
        <f t="shared" si="3"/>
        <v>-1.0073033333333332</v>
      </c>
      <c r="H29" s="12">
        <v>25500.000000000004</v>
      </c>
      <c r="I29" s="12">
        <v>12750.000000000002</v>
      </c>
      <c r="J29" s="12">
        <v>120000</v>
      </c>
      <c r="K29" s="12">
        <v>24000</v>
      </c>
      <c r="L29" s="58">
        <f>VLOOKUP(A29,'תפוקה חודשית מול אשתקד'!A:K,8,0)</f>
        <v>16848.900000000001</v>
      </c>
      <c r="M29" s="58">
        <f>VLOOKUP(A29,'תפוקה חודשית מול אשתקד'!A:K,9,0)</f>
        <v>8773.6253399999987</v>
      </c>
      <c r="N29" s="58">
        <f>VLOOKUP(A29,'תפוקה חודשית מול אשתקד'!A:K,10,0)</f>
        <v>30092.320000000007</v>
      </c>
      <c r="O29" s="58">
        <f>VLOOKUP(A29,'תפוקה חודשית מול אשתקד'!A:K,11,0)</f>
        <v>-175.27999999999884</v>
      </c>
    </row>
    <row r="30" spans="1:15" ht="15.6" x14ac:dyDescent="0.25">
      <c r="A30" s="26" t="s">
        <v>19</v>
      </c>
      <c r="B30" s="26" t="s">
        <v>56</v>
      </c>
      <c r="C30" s="27" t="s">
        <v>107</v>
      </c>
      <c r="D30" s="19">
        <f t="shared" si="0"/>
        <v>-0.14100619323316044</v>
      </c>
      <c r="E30" s="19">
        <f t="shared" si="1"/>
        <v>-9.9883137254902277E-2</v>
      </c>
      <c r="F30" s="19">
        <f t="shared" si="2"/>
        <v>0.61936112500000018</v>
      </c>
      <c r="G30" s="19">
        <f t="shared" si="3"/>
        <v>-0.61782972500000033</v>
      </c>
      <c r="H30" s="12">
        <v>148750</v>
      </c>
      <c r="I30" s="12">
        <v>12750.000000000002</v>
      </c>
      <c r="J30" s="12">
        <v>240000</v>
      </c>
      <c r="K30" s="12">
        <v>400000</v>
      </c>
      <c r="L30" s="58">
        <f>VLOOKUP(A30,'תפוקה חודשית מול אשתקד'!A:K,8,0)</f>
        <v>127775.32875656738</v>
      </c>
      <c r="M30" s="58">
        <f>VLOOKUP(A30,'תפוקה חודשית מול אשתקד'!A:K,9,0)</f>
        <v>11476.489999999998</v>
      </c>
      <c r="N30" s="58">
        <f>VLOOKUP(A30,'תפוקה חודשית מול אשתקד'!A:K,10,0)</f>
        <v>388646.67000000004</v>
      </c>
      <c r="O30" s="58">
        <f>VLOOKUP(A30,'תפוקה חודשית מול אשתקד'!A:K,11,0)</f>
        <v>152868.10999999987</v>
      </c>
    </row>
    <row r="31" spans="1:15" ht="15.6" x14ac:dyDescent="0.25">
      <c r="A31" s="26" t="s">
        <v>20</v>
      </c>
      <c r="B31" s="26" t="s">
        <v>56</v>
      </c>
      <c r="C31" s="27" t="s">
        <v>107</v>
      </c>
      <c r="D31" s="19">
        <f t="shared" si="0"/>
        <v>-0.34839470588235211</v>
      </c>
      <c r="E31" s="19">
        <f t="shared" si="1"/>
        <v>-0.84429760595001291</v>
      </c>
      <c r="F31" s="19">
        <f t="shared" si="2"/>
        <v>0.50850934375000079</v>
      </c>
      <c r="G31" s="19">
        <f t="shared" si="3"/>
        <v>-1.4203317000000015</v>
      </c>
      <c r="H31" s="12">
        <v>85000</v>
      </c>
      <c r="I31" s="12">
        <v>17000</v>
      </c>
      <c r="J31" s="12">
        <v>320000</v>
      </c>
      <c r="K31" s="12">
        <v>200000</v>
      </c>
      <c r="L31" s="58">
        <f>VLOOKUP(A31,'תפוקה חודשית מול אשתקד'!A:K,8,0)</f>
        <v>55386.45000000007</v>
      </c>
      <c r="M31" s="58">
        <f>VLOOKUP(A31,'תפוקה חודשית מול אשתקד'!A:K,9,0)</f>
        <v>2646.9406988497794</v>
      </c>
      <c r="N31" s="58">
        <f>VLOOKUP(A31,'תפוקה חודשית מול אשתקד'!A:K,10,0)</f>
        <v>482722.99000000022</v>
      </c>
      <c r="O31" s="58">
        <f>VLOOKUP(A31,'תפוקה חודשית מול אשתקד'!A:K,11,0)</f>
        <v>-84066.340000000317</v>
      </c>
    </row>
    <row r="32" spans="1:15" ht="15.6" x14ac:dyDescent="0.25">
      <c r="A32" s="26" t="s">
        <v>21</v>
      </c>
      <c r="B32" s="26" t="s">
        <v>56</v>
      </c>
      <c r="C32" s="27" t="s">
        <v>107</v>
      </c>
      <c r="D32" s="19">
        <f t="shared" si="0"/>
        <v>1</v>
      </c>
      <c r="E32" s="19">
        <f t="shared" si="1"/>
        <v>1</v>
      </c>
      <c r="F32" s="19">
        <f t="shared" si="2"/>
        <v>0</v>
      </c>
      <c r="G32" s="19">
        <f t="shared" si="3"/>
        <v>0</v>
      </c>
      <c r="H32" s="12">
        <v>0</v>
      </c>
      <c r="I32" s="12">
        <v>0</v>
      </c>
      <c r="J32" s="12">
        <v>0</v>
      </c>
      <c r="K32" s="12">
        <v>0</v>
      </c>
      <c r="L32" s="58">
        <f>VLOOKUP(A32,'תפוקה חודשית מול אשתקד'!A:K,8,0)</f>
        <v>-3534.26</v>
      </c>
      <c r="M32" s="58">
        <f>VLOOKUP(A32,'תפוקה חודשית מול אשתקד'!A:K,9,0)</f>
        <v>-2.9999999999999361E-2</v>
      </c>
      <c r="N32" s="58">
        <f>VLOOKUP(A32,'תפוקה חודשית מול אשתקד'!A:K,10,0)</f>
        <v>0</v>
      </c>
      <c r="O32" s="58">
        <f>VLOOKUP(A32,'תפוקה חודשית מול אשתקד'!A:K,11,0)</f>
        <v>0</v>
      </c>
    </row>
    <row r="33" spans="1:15" ht="15.6" x14ac:dyDescent="0.25">
      <c r="A33" s="26" t="s">
        <v>22</v>
      </c>
      <c r="B33" s="26" t="s">
        <v>56</v>
      </c>
      <c r="C33" s="27" t="s">
        <v>107</v>
      </c>
      <c r="D33" s="19">
        <f t="shared" si="0"/>
        <v>1</v>
      </c>
      <c r="E33" s="19">
        <f t="shared" si="1"/>
        <v>1</v>
      </c>
      <c r="F33" s="19">
        <f t="shared" si="2"/>
        <v>1</v>
      </c>
      <c r="G33" s="19">
        <f t="shared" si="3"/>
        <v>0</v>
      </c>
      <c r="H33" s="12">
        <v>0</v>
      </c>
      <c r="I33" s="12">
        <v>0</v>
      </c>
      <c r="J33" s="12">
        <v>0</v>
      </c>
      <c r="K33" s="12">
        <v>0</v>
      </c>
      <c r="L33" s="58">
        <f>VLOOKUP(A33,'תפוקה חודשית מול אשתקד'!A:K,8,0)</f>
        <v>38955.94</v>
      </c>
      <c r="M33" s="58">
        <f>VLOOKUP(A33,'תפוקה חודשית מול אשתקד'!A:K,9,0)</f>
        <v>894.96</v>
      </c>
      <c r="N33" s="58">
        <f>VLOOKUP(A33,'תפוקה חודשית מול אשתקד'!A:K,10,0)</f>
        <v>32540.540000000005</v>
      </c>
      <c r="O33" s="58">
        <f>VLOOKUP(A33,'תפוקה חודשית מול אשתקד'!A:K,11,0)</f>
        <v>0</v>
      </c>
    </row>
    <row r="34" spans="1:15" ht="15.6" x14ac:dyDescent="0.25">
      <c r="A34" s="26" t="s">
        <v>23</v>
      </c>
      <c r="B34" s="26" t="s">
        <v>56</v>
      </c>
      <c r="C34" s="27" t="s">
        <v>107</v>
      </c>
      <c r="D34" s="19">
        <f t="shared" si="0"/>
        <v>0</v>
      </c>
      <c r="E34" s="19">
        <f t="shared" si="1"/>
        <v>0</v>
      </c>
      <c r="F34" s="19">
        <f t="shared" si="2"/>
        <v>0</v>
      </c>
      <c r="G34" s="19">
        <f t="shared" si="3"/>
        <v>0</v>
      </c>
      <c r="H34" s="12">
        <v>0</v>
      </c>
      <c r="I34" s="12">
        <v>0</v>
      </c>
      <c r="J34" s="12">
        <v>0</v>
      </c>
      <c r="K34" s="12">
        <v>0</v>
      </c>
      <c r="L34" s="58">
        <f>VLOOKUP(A34,'תפוקה חודשית מול אשתקד'!A:K,8,0)</f>
        <v>0</v>
      </c>
      <c r="M34" s="58">
        <f>VLOOKUP(A34,'תפוקה חודשית מול אשתקד'!A:K,9,0)</f>
        <v>0</v>
      </c>
      <c r="N34" s="58">
        <f>VLOOKUP(A34,'תפוקה חודשית מול אשתקד'!A:K,10,0)</f>
        <v>0</v>
      </c>
      <c r="O34" s="58">
        <f>VLOOKUP(A34,'תפוקה חודשית מול אשתקד'!A:K,11,0)</f>
        <v>0</v>
      </c>
    </row>
    <row r="35" spans="1:15" ht="15.6" x14ac:dyDescent="0.25">
      <c r="A35" s="26" t="s">
        <v>24</v>
      </c>
      <c r="B35" s="26" t="s">
        <v>56</v>
      </c>
      <c r="C35" s="27" t="s">
        <v>107</v>
      </c>
      <c r="D35" s="19">
        <f t="shared" si="0"/>
        <v>0</v>
      </c>
      <c r="E35" s="19">
        <f t="shared" si="1"/>
        <v>1</v>
      </c>
      <c r="F35" s="19">
        <f t="shared" si="2"/>
        <v>0</v>
      </c>
      <c r="G35" s="19">
        <f t="shared" si="3"/>
        <v>0</v>
      </c>
      <c r="H35" s="12">
        <v>0</v>
      </c>
      <c r="I35" s="12">
        <v>0</v>
      </c>
      <c r="J35" s="12">
        <v>0</v>
      </c>
      <c r="K35" s="12">
        <v>0</v>
      </c>
      <c r="L35" s="58">
        <f>VLOOKUP(A35,'תפוקה חודשית מול אשתקד'!A:K,8,0)</f>
        <v>0</v>
      </c>
      <c r="M35" s="58">
        <f>VLOOKUP(A35,'תפוקה חודשית מול אשתקד'!A:K,9,0)</f>
        <v>-117.37899999999991</v>
      </c>
      <c r="N35" s="58">
        <f>VLOOKUP(A35,'תפוקה חודשית מול אשתקד'!A:K,10,0)</f>
        <v>0</v>
      </c>
      <c r="O35" s="58">
        <f>VLOOKUP(A35,'תפוקה חודשית מול אשתקד'!A:K,11,0)</f>
        <v>0</v>
      </c>
    </row>
    <row r="36" spans="1:15" ht="15.6" x14ac:dyDescent="0.25">
      <c r="A36" s="30" t="s">
        <v>25</v>
      </c>
      <c r="B36" s="26" t="s">
        <v>56</v>
      </c>
      <c r="C36" s="27" t="s">
        <v>107</v>
      </c>
      <c r="D36" s="19">
        <f t="shared" si="0"/>
        <v>0.45965657605556198</v>
      </c>
      <c r="E36" s="19">
        <f t="shared" si="1"/>
        <v>-0.77450326797385394</v>
      </c>
      <c r="F36" s="19">
        <f t="shared" si="2"/>
        <v>-0.66503247437695823</v>
      </c>
      <c r="G36" s="19">
        <f t="shared" si="3"/>
        <v>-1.9829050000000001</v>
      </c>
      <c r="H36" s="12">
        <v>212500.00000000003</v>
      </c>
      <c r="I36" s="12">
        <v>38250</v>
      </c>
      <c r="J36" s="12">
        <v>480000</v>
      </c>
      <c r="K36" s="12">
        <v>320000</v>
      </c>
      <c r="L36" s="58">
        <f>VLOOKUP(A36,'תפוקה חודשית מול אשתקד'!A:K,8,0)</f>
        <v>310177.02241180697</v>
      </c>
      <c r="M36" s="58">
        <f>VLOOKUP(A36,'תפוקה חודשית מול אשתקד'!A:K,9,0)</f>
        <v>8625.2500000000873</v>
      </c>
      <c r="N36" s="58">
        <f>VLOOKUP(A36,'תפוקה חודשית מול אשתקד'!A:K,10,0)</f>
        <v>160784.41229906003</v>
      </c>
      <c r="O36" s="58">
        <f>VLOOKUP(A36,'תפוקה חודשית מול אשתקד'!A:K,11,0)</f>
        <v>-314529.60000000009</v>
      </c>
    </row>
    <row r="37" spans="1:15" ht="15.6" x14ac:dyDescent="0.25">
      <c r="A37" s="26" t="s">
        <v>26</v>
      </c>
      <c r="B37" s="26" t="s">
        <v>56</v>
      </c>
      <c r="C37" s="27" t="s">
        <v>107</v>
      </c>
      <c r="D37" s="19">
        <f t="shared" si="0"/>
        <v>1</v>
      </c>
      <c r="E37" s="19">
        <f t="shared" si="1"/>
        <v>0</v>
      </c>
      <c r="F37" s="19">
        <f t="shared" si="2"/>
        <v>0</v>
      </c>
      <c r="G37" s="19">
        <f t="shared" si="3"/>
        <v>0</v>
      </c>
      <c r="H37" s="12">
        <v>0</v>
      </c>
      <c r="I37" s="12">
        <v>0</v>
      </c>
      <c r="J37" s="12">
        <v>0</v>
      </c>
      <c r="K37" s="12">
        <v>0</v>
      </c>
      <c r="L37" s="58">
        <f>VLOOKUP(A37,'תפוקה חודשית מול אשתקד'!A:K,8,0)</f>
        <v>2262</v>
      </c>
      <c r="M37" s="58">
        <f>VLOOKUP(A37,'תפוקה חודשית מול אשתקד'!A:K,9,0)</f>
        <v>0</v>
      </c>
      <c r="N37" s="58">
        <f>VLOOKUP(A37,'תפוקה חודשית מול אשתקד'!A:K,10,0)</f>
        <v>0</v>
      </c>
      <c r="O37" s="58">
        <f>VLOOKUP(A37,'תפוקה חודשית מול אשתקד'!A:K,11,0)</f>
        <v>0</v>
      </c>
    </row>
    <row r="38" spans="1:15" ht="15.6" x14ac:dyDescent="0.25">
      <c r="A38" s="26" t="s">
        <v>27</v>
      </c>
      <c r="B38" s="26" t="s">
        <v>56</v>
      </c>
      <c r="C38" s="27" t="s">
        <v>107</v>
      </c>
      <c r="D38" s="19">
        <f t="shared" si="0"/>
        <v>0</v>
      </c>
      <c r="E38" s="19">
        <f t="shared" si="1"/>
        <v>1</v>
      </c>
      <c r="F38" s="19">
        <f t="shared" si="2"/>
        <v>1</v>
      </c>
      <c r="G38" s="19">
        <f t="shared" si="3"/>
        <v>0</v>
      </c>
      <c r="H38" s="12">
        <v>0</v>
      </c>
      <c r="I38" s="12">
        <v>0</v>
      </c>
      <c r="J38" s="12">
        <v>0</v>
      </c>
      <c r="K38" s="12">
        <v>0</v>
      </c>
      <c r="L38" s="58">
        <f>VLOOKUP(A38,'תפוקה חודשית מול אשתקד'!A:K,8,0)</f>
        <v>0</v>
      </c>
      <c r="M38" s="58">
        <f>VLOOKUP(A38,'תפוקה חודשית מול אשתקד'!A:K,9,0)</f>
        <v>10.233999999999924</v>
      </c>
      <c r="N38" s="58">
        <f>VLOOKUP(A38,'תפוקה חודשית מול אשתקד'!A:K,10,0)</f>
        <v>1000</v>
      </c>
      <c r="O38" s="58">
        <f>VLOOKUP(A38,'תפוקה חודשית מול אשתקד'!A:K,11,0)</f>
        <v>0</v>
      </c>
    </row>
    <row r="39" spans="1:15" ht="15.6" x14ac:dyDescent="0.25">
      <c r="A39" s="26" t="s">
        <v>28</v>
      </c>
      <c r="B39" s="26" t="s">
        <v>56</v>
      </c>
      <c r="C39" s="27" t="s">
        <v>107</v>
      </c>
      <c r="D39" s="19">
        <f t="shared" si="0"/>
        <v>0</v>
      </c>
      <c r="E39" s="19">
        <f t="shared" si="1"/>
        <v>0</v>
      </c>
      <c r="F39" s="19">
        <f t="shared" si="2"/>
        <v>0</v>
      </c>
      <c r="G39" s="19">
        <f t="shared" si="3"/>
        <v>0</v>
      </c>
      <c r="H39" s="12">
        <v>0</v>
      </c>
      <c r="I39" s="12">
        <v>0</v>
      </c>
      <c r="J39" s="12">
        <v>0</v>
      </c>
      <c r="K39" s="12">
        <v>0</v>
      </c>
      <c r="L39" s="58">
        <f>VLOOKUP(A39,'תפוקה חודשית מול אשתקד'!A:K,8,0)</f>
        <v>0</v>
      </c>
      <c r="M39" s="58">
        <f>VLOOKUP(A39,'תפוקה חודשית מול אשתקד'!A:K,9,0)</f>
        <v>0</v>
      </c>
      <c r="N39" s="58">
        <f>VLOOKUP(A39,'תפוקה חודשית מול אשתקד'!A:K,10,0)</f>
        <v>0</v>
      </c>
      <c r="O39" s="58">
        <f>VLOOKUP(A39,'תפוקה חודשית מול אשתקד'!A:K,11,0)</f>
        <v>0</v>
      </c>
    </row>
    <row r="40" spans="1:15" ht="15.6" x14ac:dyDescent="0.25">
      <c r="A40" s="26" t="s">
        <v>29</v>
      </c>
      <c r="B40" s="26" t="s">
        <v>56</v>
      </c>
      <c r="C40" s="27" t="s">
        <v>107</v>
      </c>
      <c r="D40" s="19">
        <f t="shared" si="0"/>
        <v>1</v>
      </c>
      <c r="E40" s="19">
        <f t="shared" si="1"/>
        <v>-1.0091176470588235</v>
      </c>
      <c r="F40" s="19">
        <f t="shared" si="2"/>
        <v>1</v>
      </c>
      <c r="G40" s="19">
        <f t="shared" si="3"/>
        <v>1</v>
      </c>
      <c r="H40" s="12">
        <v>0</v>
      </c>
      <c r="I40" s="12">
        <v>850.00000000000011</v>
      </c>
      <c r="J40" s="12">
        <v>0</v>
      </c>
      <c r="K40" s="12">
        <v>0</v>
      </c>
      <c r="L40" s="58">
        <f>VLOOKUP(A40,'תפוקה חודשית מול אשתקד'!A:K,8,0)</f>
        <v>-79068.150000000009</v>
      </c>
      <c r="M40" s="58">
        <f>VLOOKUP(A40,'תפוקה חודשית מול אשתקד'!A:K,9,0)</f>
        <v>-7.75</v>
      </c>
      <c r="N40" s="58">
        <f>VLOOKUP(A40,'תפוקה חודשית מול אשתקד'!A:K,10,0)</f>
        <v>7519.890000000014</v>
      </c>
      <c r="O40" s="58">
        <f>VLOOKUP(A40,'תפוקה חודשית מול אשתקד'!A:K,11,0)</f>
        <v>-682.11999999999534</v>
      </c>
    </row>
    <row r="41" spans="1:15" ht="31.2" x14ac:dyDescent="0.25">
      <c r="A41" s="26" t="s">
        <v>98</v>
      </c>
      <c r="B41" s="26" t="s">
        <v>55</v>
      </c>
      <c r="C41" s="27" t="s">
        <v>107</v>
      </c>
      <c r="D41" s="19">
        <f t="shared" si="0"/>
        <v>-1.0041194117647059</v>
      </c>
      <c r="E41" s="19">
        <f t="shared" si="1"/>
        <v>-0.98194705882352928</v>
      </c>
      <c r="F41" s="19">
        <f t="shared" si="2"/>
        <v>0</v>
      </c>
      <c r="G41" s="19">
        <f t="shared" si="3"/>
        <v>0</v>
      </c>
      <c r="H41" s="12">
        <v>34000</v>
      </c>
      <c r="I41" s="12">
        <v>8500</v>
      </c>
      <c r="J41" s="12">
        <v>80000</v>
      </c>
      <c r="K41" s="12">
        <v>80000</v>
      </c>
      <c r="L41" s="58">
        <f>VLOOKUP(A41,'תפוקה חודשית מול אשתקד'!A:K,8,0)</f>
        <v>-140.06000000000131</v>
      </c>
      <c r="M41" s="58">
        <f>VLOOKUP(A41,'תפוקה חודשית מול אשתקד'!A:K,9,0)</f>
        <v>153.45000000000073</v>
      </c>
      <c r="N41" s="58">
        <f>VLOOKUP(A41,'תפוקה חודשית מול אשתקד'!A:K,10,0)</f>
        <v>0</v>
      </c>
      <c r="O41" s="58">
        <f>VLOOKUP(A41,'תפוקה חודשית מול אשתקד'!A:K,11,0)</f>
        <v>0</v>
      </c>
    </row>
    <row r="42" spans="1:15" ht="31.2" x14ac:dyDescent="0.25">
      <c r="A42" s="26" t="s">
        <v>32</v>
      </c>
      <c r="B42" s="26" t="s">
        <v>55</v>
      </c>
      <c r="C42" s="27" t="s">
        <v>107</v>
      </c>
      <c r="D42" s="19">
        <f t="shared" si="0"/>
        <v>0</v>
      </c>
      <c r="E42" s="19">
        <f t="shared" si="1"/>
        <v>0</v>
      </c>
      <c r="F42" s="19">
        <f t="shared" si="2"/>
        <v>0</v>
      </c>
      <c r="G42" s="19">
        <f t="shared" si="3"/>
        <v>0</v>
      </c>
      <c r="H42" s="12">
        <v>0</v>
      </c>
      <c r="I42" s="12">
        <v>0</v>
      </c>
      <c r="J42" s="12">
        <v>0</v>
      </c>
      <c r="K42" s="12">
        <v>0</v>
      </c>
      <c r="L42" s="58">
        <f>VLOOKUP(A42,'תפוקה חודשית מול אשתקד'!A:K,8,0)</f>
        <v>0</v>
      </c>
      <c r="M42" s="58">
        <f>VLOOKUP(A42,'תפוקה חודשית מול אשתקד'!A:K,9,0)</f>
        <v>0</v>
      </c>
      <c r="N42" s="58">
        <f>VLOOKUP(A42,'תפוקה חודשית מול אשתקד'!A:K,10,0)</f>
        <v>0</v>
      </c>
      <c r="O42" s="58">
        <f>VLOOKUP(A42,'תפוקה חודשית מול אשתקד'!A:K,11,0)</f>
        <v>0</v>
      </c>
    </row>
    <row r="43" spans="1:15" ht="15.6" x14ac:dyDescent="0.25">
      <c r="A43" s="30" t="s">
        <v>95</v>
      </c>
      <c r="B43" s="26" t="s">
        <v>56</v>
      </c>
      <c r="C43" s="27" t="s">
        <v>107</v>
      </c>
      <c r="D43" s="19">
        <f t="shared" si="0"/>
        <v>1</v>
      </c>
      <c r="E43" s="19">
        <f t="shared" si="1"/>
        <v>1</v>
      </c>
      <c r="F43" s="19">
        <f t="shared" si="2"/>
        <v>1</v>
      </c>
      <c r="G43" s="19">
        <f t="shared" si="3"/>
        <v>1</v>
      </c>
      <c r="H43" s="12">
        <v>0</v>
      </c>
      <c r="I43" s="12">
        <v>0</v>
      </c>
      <c r="J43" s="12">
        <v>0</v>
      </c>
      <c r="K43" s="12">
        <v>0</v>
      </c>
      <c r="L43" s="58">
        <f>VLOOKUP(A43,'תפוקה חודשית מול אשתקד'!A:K,8,0)</f>
        <v>89685.849999999977</v>
      </c>
      <c r="M43" s="58">
        <f>VLOOKUP(A43,'תפוקה חודשית מול אשתקד'!A:K,9,0)</f>
        <v>682.92052300000068</v>
      </c>
      <c r="N43" s="58">
        <f>VLOOKUP(A43,'תפוקה חודשית מול אשתקד'!A:K,10,0)</f>
        <v>167213.96966538858</v>
      </c>
      <c r="O43" s="58">
        <f>VLOOKUP(A43,'תפוקה חודשית מול אשתקד'!A:K,11,0)</f>
        <v>-787</v>
      </c>
    </row>
    <row r="44" spans="1:15" ht="15.6" x14ac:dyDescent="0.25">
      <c r="A44" s="26" t="s">
        <v>83</v>
      </c>
      <c r="B44" s="26" t="s">
        <v>56</v>
      </c>
      <c r="C44" s="27" t="s">
        <v>107</v>
      </c>
      <c r="D44" s="19">
        <f t="shared" si="0"/>
        <v>0</v>
      </c>
      <c r="E44" s="19">
        <f t="shared" si="1"/>
        <v>-1.007488382352941</v>
      </c>
      <c r="F44" s="19">
        <f t="shared" si="2"/>
        <v>-1.0000175</v>
      </c>
      <c r="G44" s="19">
        <f t="shared" si="3"/>
        <v>0</v>
      </c>
      <c r="H44" s="12">
        <v>25500.000000000004</v>
      </c>
      <c r="I44" s="12">
        <v>6800.0000000000009</v>
      </c>
      <c r="J44" s="12">
        <v>24000</v>
      </c>
      <c r="K44" s="12">
        <v>24000</v>
      </c>
      <c r="L44" s="58">
        <f>VLOOKUP(A44,'תפוקה חודשית מול אשתקד'!A:K,8,0)</f>
        <v>0</v>
      </c>
      <c r="M44" s="58">
        <f>VLOOKUP(A44,'תפוקה חודשית מול אשתקד'!A:K,9,0)</f>
        <v>-50.920999999998457</v>
      </c>
      <c r="N44" s="58">
        <f>VLOOKUP(A44,'תפוקה חודשית מול אשתקד'!A:K,10,0)</f>
        <v>-0.42000000000007276</v>
      </c>
      <c r="O44" s="58">
        <f>VLOOKUP(A44,'תפוקה חודשית מול אשתקד'!A:K,11,0)</f>
        <v>0</v>
      </c>
    </row>
    <row r="45" spans="1:15" ht="15.6" x14ac:dyDescent="0.25">
      <c r="A45" s="26" t="s">
        <v>82</v>
      </c>
      <c r="B45" s="26" t="s">
        <v>56</v>
      </c>
      <c r="C45" s="27" t="s">
        <v>107</v>
      </c>
      <c r="D45" s="19">
        <f t="shared" si="0"/>
        <v>-0.55716847635726796</v>
      </c>
      <c r="E45" s="19">
        <f t="shared" si="1"/>
        <v>3.5367186446893992</v>
      </c>
      <c r="F45" s="19">
        <f t="shared" si="2"/>
        <v>0</v>
      </c>
      <c r="G45" s="19">
        <f t="shared" si="3"/>
        <v>0</v>
      </c>
      <c r="H45" s="12">
        <v>4250</v>
      </c>
      <c r="I45" s="12">
        <v>4250</v>
      </c>
      <c r="J45" s="12">
        <v>24000</v>
      </c>
      <c r="K45" s="12">
        <v>16000</v>
      </c>
      <c r="L45" s="58">
        <f>VLOOKUP(A45,'תפוקה חודשית מול אשתקד'!A:K,8,0)</f>
        <v>1882.0339754816114</v>
      </c>
      <c r="M45" s="58">
        <f>VLOOKUP(A45,'תפוקה חודשית מול אשתקד'!A:K,9,0)</f>
        <v>19281.054239929948</v>
      </c>
      <c r="N45" s="58">
        <f>VLOOKUP(A45,'תפוקה חודשית מול אשתקד'!A:K,10,0)</f>
        <v>0</v>
      </c>
      <c r="O45" s="58">
        <f>VLOOKUP(A45,'תפוקה חודשית מול אשתקד'!A:K,11,0)</f>
        <v>0</v>
      </c>
    </row>
    <row r="46" spans="1:15" ht="31.2" x14ac:dyDescent="0.25">
      <c r="A46" s="26" t="s">
        <v>36</v>
      </c>
      <c r="B46" s="26" t="s">
        <v>55</v>
      </c>
      <c r="C46" s="27" t="s">
        <v>107</v>
      </c>
      <c r="D46" s="19">
        <f t="shared" si="0"/>
        <v>0</v>
      </c>
      <c r="E46" s="19">
        <f t="shared" si="1"/>
        <v>0</v>
      </c>
      <c r="F46" s="19">
        <f t="shared" si="2"/>
        <v>0</v>
      </c>
      <c r="G46" s="19">
        <f t="shared" si="3"/>
        <v>0</v>
      </c>
      <c r="H46" s="12">
        <v>0</v>
      </c>
      <c r="I46" s="12">
        <v>0</v>
      </c>
      <c r="J46" s="12">
        <v>0</v>
      </c>
      <c r="K46" s="12">
        <v>0</v>
      </c>
      <c r="L46" s="58">
        <f>VLOOKUP(A46,'תפוקה חודשית מול אשתקד'!A:K,8,0)</f>
        <v>0</v>
      </c>
      <c r="M46" s="58">
        <f>VLOOKUP(A46,'תפוקה חודשית מול אשתקד'!A:K,9,0)</f>
        <v>0</v>
      </c>
      <c r="N46" s="58">
        <f>VLOOKUP(A46,'תפוקה חודשית מול אשתקד'!A:K,10,0)</f>
        <v>0</v>
      </c>
      <c r="O46" s="58">
        <f>VLOOKUP(A46,'תפוקה חודשית מול אשתקד'!A:K,11,0)</f>
        <v>0</v>
      </c>
    </row>
    <row r="47" spans="1:15" ht="31.2" x14ac:dyDescent="0.25">
      <c r="A47" s="26" t="s">
        <v>94</v>
      </c>
      <c r="B47" s="26" t="s">
        <v>55</v>
      </c>
      <c r="C47" s="27" t="s">
        <v>107</v>
      </c>
      <c r="D47" s="19">
        <f t="shared" si="0"/>
        <v>0</v>
      </c>
      <c r="E47" s="19">
        <f t="shared" si="1"/>
        <v>0</v>
      </c>
      <c r="F47" s="19">
        <f t="shared" si="2"/>
        <v>0</v>
      </c>
      <c r="G47" s="19">
        <f t="shared" si="3"/>
        <v>0</v>
      </c>
      <c r="H47" s="12">
        <v>0</v>
      </c>
      <c r="I47" s="12">
        <v>0</v>
      </c>
      <c r="J47" s="12">
        <v>0</v>
      </c>
      <c r="K47" s="12">
        <v>0</v>
      </c>
      <c r="L47" s="58">
        <f>VLOOKUP(A47,'תפוקה חודשית מול אשתקד'!A:K,8,0)</f>
        <v>0</v>
      </c>
      <c r="M47" s="58">
        <f>VLOOKUP(A47,'תפוקה חודשית מול אשתקד'!A:K,9,0)</f>
        <v>0</v>
      </c>
      <c r="N47" s="58">
        <f>VLOOKUP(A47,'תפוקה חודשית מול אשתקד'!A:K,10,0)</f>
        <v>0</v>
      </c>
      <c r="O47" s="58">
        <f>VLOOKUP(A47,'תפוקה חודשית מול אשתקד'!A:K,11,0)</f>
        <v>0</v>
      </c>
    </row>
    <row r="48" spans="1:15" ht="15.6" x14ac:dyDescent="0.25">
      <c r="A48" s="28" t="s">
        <v>85</v>
      </c>
      <c r="B48" s="26" t="s">
        <v>56</v>
      </c>
      <c r="C48" s="27" t="s">
        <v>107</v>
      </c>
      <c r="D48" s="19">
        <f t="shared" si="0"/>
        <v>0</v>
      </c>
      <c r="E48" s="19">
        <f t="shared" si="1"/>
        <v>-1.0039150588235295</v>
      </c>
      <c r="F48" s="19">
        <f t="shared" si="2"/>
        <v>0</v>
      </c>
      <c r="G48" s="19">
        <f t="shared" si="3"/>
        <v>0</v>
      </c>
      <c r="H48" s="12">
        <v>4250</v>
      </c>
      <c r="I48" s="12">
        <v>4250</v>
      </c>
      <c r="J48" s="12">
        <v>40000</v>
      </c>
      <c r="K48" s="12">
        <v>16000</v>
      </c>
      <c r="L48" s="58">
        <f>VLOOKUP(A48,'תפוקה חודשית מול אשתקד'!A:K,8,0)</f>
        <v>0</v>
      </c>
      <c r="M48" s="58">
        <f>VLOOKUP(A48,'תפוקה חודשית מול אשתקד'!A:K,9,0)</f>
        <v>-16.639000000000124</v>
      </c>
      <c r="N48" s="58">
        <f>VLOOKUP(A48,'תפוקה חודשית מול אשתקד'!A:K,10,0)</f>
        <v>0</v>
      </c>
      <c r="O48" s="58">
        <f>VLOOKUP(A48,'תפוקה חודשית מול אשתקד'!A:K,11,0)</f>
        <v>0</v>
      </c>
    </row>
    <row r="49" spans="1:15" ht="15.6" x14ac:dyDescent="0.25">
      <c r="A49" s="28" t="s">
        <v>87</v>
      </c>
      <c r="B49" s="26" t="s">
        <v>56</v>
      </c>
      <c r="C49" s="27" t="s">
        <v>107</v>
      </c>
      <c r="D49" s="19">
        <f t="shared" si="0"/>
        <v>0</v>
      </c>
      <c r="E49" s="19">
        <f t="shared" si="1"/>
        <v>-1.9490595294117647</v>
      </c>
      <c r="F49" s="19">
        <f t="shared" si="2"/>
        <v>-0.85492174999999992</v>
      </c>
      <c r="G49" s="19">
        <f t="shared" si="3"/>
        <v>0</v>
      </c>
      <c r="H49" s="12">
        <v>8500</v>
      </c>
      <c r="I49" s="12">
        <v>4250</v>
      </c>
      <c r="J49" s="12">
        <v>160000</v>
      </c>
      <c r="K49" s="12">
        <v>40000</v>
      </c>
      <c r="L49" s="58">
        <f>VLOOKUP(A49,'תפוקה חודשית מול אשתקד'!A:K,8,0)</f>
        <v>0</v>
      </c>
      <c r="M49" s="58">
        <f>VLOOKUP(A49,'תפוקה חודשית מול אשתקד'!A:K,9,0)</f>
        <v>-4033.5030000000002</v>
      </c>
      <c r="N49" s="58">
        <f>VLOOKUP(A49,'תפוקה חודשית מול אשתקד'!A:K,10,0)</f>
        <v>23212.520000000019</v>
      </c>
      <c r="O49" s="58">
        <f>VLOOKUP(A49,'תפוקה חודשית מול אשתקד'!A:K,11,0)</f>
        <v>0</v>
      </c>
    </row>
    <row r="50" spans="1:15" ht="15.6" x14ac:dyDescent="0.25">
      <c r="A50" s="26" t="s">
        <v>97</v>
      </c>
      <c r="B50" s="26" t="s">
        <v>56</v>
      </c>
      <c r="C50" s="26" t="s">
        <v>107</v>
      </c>
      <c r="D50" s="19">
        <f t="shared" si="0"/>
        <v>1</v>
      </c>
      <c r="E50" s="19">
        <f t="shared" si="1"/>
        <v>1</v>
      </c>
      <c r="F50" s="19">
        <f t="shared" si="2"/>
        <v>1</v>
      </c>
      <c r="G50" s="19">
        <f t="shared" si="3"/>
        <v>1</v>
      </c>
      <c r="H50" s="12">
        <v>0</v>
      </c>
      <c r="I50" s="12">
        <v>0</v>
      </c>
      <c r="J50" s="12">
        <v>0</v>
      </c>
      <c r="K50" s="12">
        <v>0</v>
      </c>
      <c r="L50" s="58">
        <f>VLOOKUP(A50,'תפוקה חודשית מול אשתקד'!A:K,8,0)</f>
        <v>2771.0417799999996</v>
      </c>
      <c r="M50" s="58">
        <f>VLOOKUP(A50,'תפוקה חודשית מול אשתקד'!A:K,9,0)</f>
        <v>-4.9100000000000819</v>
      </c>
      <c r="N50" s="58">
        <f>VLOOKUP(A50,'תפוקה חודשית מול אשתקד'!A:K,10,0)</f>
        <v>62033.090000000084</v>
      </c>
      <c r="O50" s="58">
        <f>VLOOKUP(A50,'תפוקה חודשית מול אשתקד'!A:K,11,0)</f>
        <v>370212.19</v>
      </c>
    </row>
    <row r="51" spans="1:15" ht="15.6" x14ac:dyDescent="0.25">
      <c r="A51" s="26" t="s">
        <v>39</v>
      </c>
      <c r="B51" s="26" t="s">
        <v>56</v>
      </c>
      <c r="C51" s="26" t="s">
        <v>107</v>
      </c>
      <c r="D51" s="19">
        <f t="shared" si="0"/>
        <v>1</v>
      </c>
      <c r="E51" s="19">
        <f t="shared" si="1"/>
        <v>1</v>
      </c>
      <c r="F51" s="19">
        <f t="shared" si="2"/>
        <v>0</v>
      </c>
      <c r="G51" s="19">
        <f t="shared" si="3"/>
        <v>1</v>
      </c>
      <c r="H51" s="12">
        <v>0</v>
      </c>
      <c r="I51" s="12">
        <v>0</v>
      </c>
      <c r="J51" s="12">
        <v>0</v>
      </c>
      <c r="K51" s="12">
        <v>0</v>
      </c>
      <c r="L51" s="58">
        <f>VLOOKUP(A51,'תפוקה חודשית מול אשתקד'!A:K,8,0)</f>
        <v>-79068.150000000009</v>
      </c>
      <c r="M51" s="58">
        <f>VLOOKUP(A51,'תפוקה חודשית מול אשתקד'!A:K,9,0)</f>
        <v>2278.1600000000035</v>
      </c>
      <c r="N51" s="58">
        <f>VLOOKUP(A51,'תפוקה חודשית מול אשתקד'!A:K,10,0)</f>
        <v>0</v>
      </c>
      <c r="O51" s="58">
        <f>VLOOKUP(A51,'תפוקה חודשית מול אשתקד'!A:K,11,0)</f>
        <v>-417.56999999997788</v>
      </c>
    </row>
    <row r="52" spans="1:15" ht="15.6" x14ac:dyDescent="0.25">
      <c r="A52" s="26" t="s">
        <v>91</v>
      </c>
      <c r="B52" s="26" t="s">
        <v>56</v>
      </c>
      <c r="C52" s="26" t="s">
        <v>107</v>
      </c>
      <c r="D52" s="19">
        <f t="shared" si="0"/>
        <v>1</v>
      </c>
      <c r="E52" s="19">
        <f t="shared" si="1"/>
        <v>1</v>
      </c>
      <c r="F52" s="19">
        <f t="shared" si="2"/>
        <v>1</v>
      </c>
      <c r="G52" s="19">
        <f t="shared" si="3"/>
        <v>1</v>
      </c>
      <c r="H52" s="12">
        <v>0</v>
      </c>
      <c r="I52" s="12">
        <v>0</v>
      </c>
      <c r="J52" s="12">
        <v>0</v>
      </c>
      <c r="K52" s="12">
        <v>0</v>
      </c>
      <c r="L52" s="58">
        <f>VLOOKUP(A52,'תפוקה חודשית מול אשתקד'!A:K,8,0)</f>
        <v>3796.4494000000122</v>
      </c>
      <c r="M52" s="58">
        <f>VLOOKUP(A52,'תפוקה חודשית מול אשתקד'!A:K,9,0)</f>
        <v>-4.9960000000000946</v>
      </c>
      <c r="N52" s="58">
        <f>VLOOKUP(A52,'תפוקה חודשית מול אשתקד'!A:K,10,0)</f>
        <v>40958.11</v>
      </c>
      <c r="O52" s="58">
        <f>VLOOKUP(A52,'תפוקה חודשית מול אשתקד'!A:K,11,0)</f>
        <v>22898.39000000013</v>
      </c>
    </row>
    <row r="53" spans="1:15" ht="15.6" x14ac:dyDescent="0.25">
      <c r="A53" s="26" t="s">
        <v>41</v>
      </c>
      <c r="B53" s="26" t="s">
        <v>56</v>
      </c>
      <c r="C53" s="26" t="s">
        <v>107</v>
      </c>
      <c r="D53" s="19">
        <f t="shared" si="0"/>
        <v>0</v>
      </c>
      <c r="E53" s="19">
        <f t="shared" si="1"/>
        <v>1</v>
      </c>
      <c r="F53" s="19">
        <f t="shared" si="2"/>
        <v>0</v>
      </c>
      <c r="G53" s="19">
        <f t="shared" si="3"/>
        <v>0</v>
      </c>
      <c r="H53" s="12">
        <v>0</v>
      </c>
      <c r="I53" s="12">
        <v>0</v>
      </c>
      <c r="J53" s="12">
        <v>0</v>
      </c>
      <c r="K53" s="12">
        <v>0</v>
      </c>
      <c r="L53" s="58">
        <f>VLOOKUP(A53,'תפוקה חודשית מול אשתקד'!A:K,8,0)</f>
        <v>0</v>
      </c>
      <c r="M53" s="58">
        <f>VLOOKUP(A53,'תפוקה חודשית מול אשתקד'!A:K,9,0)</f>
        <v>-2.5800000000000409</v>
      </c>
      <c r="N53" s="58">
        <f>VLOOKUP(A53,'תפוקה חודשית מול אשתקד'!A:K,10,0)</f>
        <v>0</v>
      </c>
      <c r="O53" s="58">
        <f>VLOOKUP(A53,'תפוקה חודשית מול אשתקד'!A:K,11,0)</f>
        <v>0</v>
      </c>
    </row>
    <row r="54" spans="1:15" ht="15.6" x14ac:dyDescent="0.25">
      <c r="A54" s="26" t="s">
        <v>129</v>
      </c>
      <c r="B54" s="26" t="s">
        <v>108</v>
      </c>
      <c r="C54" s="27" t="s">
        <v>107</v>
      </c>
      <c r="D54" s="19">
        <f t="shared" si="0"/>
        <v>0</v>
      </c>
      <c r="E54" s="19">
        <f t="shared" si="1"/>
        <v>0</v>
      </c>
      <c r="F54" s="19">
        <f t="shared" si="2"/>
        <v>0</v>
      </c>
      <c r="G54" s="19">
        <f t="shared" si="3"/>
        <v>0</v>
      </c>
      <c r="H54" s="12"/>
      <c r="I54" s="12"/>
      <c r="J54" s="12"/>
      <c r="K54" s="12"/>
      <c r="L54" s="58">
        <f>VLOOKUP(A54,'תפוקה חודשית מול אשתקד'!A:K,8,0)</f>
        <v>0</v>
      </c>
      <c r="M54" s="58">
        <f>VLOOKUP(A54,'תפוקה חודשית מול אשתקד'!A:K,9,0)</f>
        <v>0</v>
      </c>
      <c r="N54" s="58">
        <f>VLOOKUP(A54,'תפוקה חודשית מול אשתקד'!A:K,10,0)</f>
        <v>0</v>
      </c>
      <c r="O54" s="58">
        <f>VLOOKUP(A54,'תפוקה חודשית מול אשתקד'!A:K,11,0)</f>
        <v>0</v>
      </c>
    </row>
    <row r="55" spans="1:15" ht="15.6" x14ac:dyDescent="0.25">
      <c r="A55" s="26" t="s">
        <v>88</v>
      </c>
      <c r="B55" s="26" t="s">
        <v>56</v>
      </c>
      <c r="C55" s="26" t="s">
        <v>107</v>
      </c>
      <c r="D55" s="19">
        <f t="shared" si="0"/>
        <v>0</v>
      </c>
      <c r="E55" s="19">
        <f t="shared" si="1"/>
        <v>1</v>
      </c>
      <c r="F55" s="19">
        <f t="shared" si="2"/>
        <v>0</v>
      </c>
      <c r="G55" s="19">
        <f t="shared" si="3"/>
        <v>0</v>
      </c>
      <c r="H55" s="12">
        <v>0</v>
      </c>
      <c r="I55" s="12">
        <v>0</v>
      </c>
      <c r="J55" s="12">
        <v>0</v>
      </c>
      <c r="K55" s="12">
        <v>0</v>
      </c>
      <c r="L55" s="58">
        <f>VLOOKUP(A55,'תפוקה חודשית מול אשתקד'!A:K,8,0)</f>
        <v>0</v>
      </c>
      <c r="M55" s="58">
        <f>VLOOKUP(A55,'תפוקה חודשית מול אשתקד'!A:K,9,0)</f>
        <v>-5.25</v>
      </c>
      <c r="N55" s="58">
        <f>VLOOKUP(A55,'תפוקה חודשית מול אשתקד'!A:K,10,0)</f>
        <v>0</v>
      </c>
      <c r="O55" s="58">
        <f>VLOOKUP(A55,'תפוקה חודשית מול אשתקד'!A:K,11,0)</f>
        <v>0</v>
      </c>
    </row>
    <row r="56" spans="1:15" ht="21.6" thickBot="1" x14ac:dyDescent="0.3">
      <c r="A56" s="108" t="s">
        <v>115</v>
      </c>
      <c r="B56" s="102"/>
      <c r="C56" s="99"/>
      <c r="D56" s="19">
        <f t="shared" ref="D56" si="6">IF(L56=0,0%,IF(H56=0,100%,L56/H56-1))</f>
        <v>-0.34286548565993302</v>
      </c>
      <c r="E56" s="19">
        <f t="shared" ref="E56" si="7">IF(M56=0,0%,IF(I56=0,100%,M56/I56-1))</f>
        <v>-0.51053528084329636</v>
      </c>
      <c r="F56" s="19">
        <f t="shared" ref="F56" si="8">IF(N56=0,0%,IF(J56=0,100%,N56/J56-1))</f>
        <v>-0.13365130492240584</v>
      </c>
      <c r="G56" s="19">
        <f t="shared" ref="G56" si="9">IF(O56=0,0%,IF(K56=0,100%,O56/K56-1))</f>
        <v>-0.82172566523605173</v>
      </c>
      <c r="H56" s="128">
        <f>SUM(H23:H55)</f>
        <v>930750</v>
      </c>
      <c r="I56" s="128">
        <f t="shared" ref="I56:O56" si="10">SUM(I23:I55)</f>
        <v>170850</v>
      </c>
      <c r="J56" s="128">
        <f t="shared" si="10"/>
        <v>1960000</v>
      </c>
      <c r="K56" s="128">
        <f t="shared" si="10"/>
        <v>1864000</v>
      </c>
      <c r="L56" s="128">
        <f t="shared" si="10"/>
        <v>611627.94922201731</v>
      </c>
      <c r="M56" s="128">
        <f t="shared" si="10"/>
        <v>83625.047267922811</v>
      </c>
      <c r="N56" s="128">
        <f t="shared" si="10"/>
        <v>1698043.4423520844</v>
      </c>
      <c r="O56" s="128">
        <f t="shared" si="10"/>
        <v>332303.35999999964</v>
      </c>
    </row>
    <row r="57" spans="1:15" ht="15.6" x14ac:dyDescent="0.25">
      <c r="A57" s="30" t="s">
        <v>33</v>
      </c>
      <c r="B57" s="26" t="s">
        <v>114</v>
      </c>
      <c r="C57" s="26" t="s">
        <v>107</v>
      </c>
      <c r="D57" s="19">
        <f t="shared" ref="D57:G65" si="11">IF(L57=0,0%,IF(H57=0,100%,L57/H57-1))</f>
        <v>0.29199247058823508</v>
      </c>
      <c r="E57" s="19">
        <f t="shared" si="11"/>
        <v>-0.99973529411764706</v>
      </c>
      <c r="F57" s="19">
        <f t="shared" si="11"/>
        <v>-0.84214091071428554</v>
      </c>
      <c r="G57" s="19">
        <f t="shared" si="11"/>
        <v>2.4336366250000001</v>
      </c>
      <c r="H57" s="12">
        <v>42500</v>
      </c>
      <c r="I57" s="12">
        <v>6800.0000000000009</v>
      </c>
      <c r="J57" s="12">
        <v>560000</v>
      </c>
      <c r="K57" s="12">
        <v>80000</v>
      </c>
      <c r="L57" s="58">
        <f>VLOOKUP(A57,'תפוקה חודשית מול אשתקד'!A:K,8,0)</f>
        <v>54909.679999999993</v>
      </c>
      <c r="M57" s="58">
        <f>VLOOKUP(A57,'תפוקה חודשית מול אשתקד'!A:K,9,0)</f>
        <v>1.8000000000001819</v>
      </c>
      <c r="N57" s="58">
        <f>VLOOKUP(A57,'תפוקה חודשית מול אשתקד'!A:K,10,0)</f>
        <v>88401.090000000084</v>
      </c>
      <c r="O57" s="58">
        <f>VLOOKUP(A57,'תפוקה חודשית מול אשתקד'!A:K,11,0)</f>
        <v>274690.93</v>
      </c>
    </row>
    <row r="58" spans="1:15" ht="15.6" x14ac:dyDescent="0.25">
      <c r="A58" s="26" t="s">
        <v>37</v>
      </c>
      <c r="B58" s="26" t="s">
        <v>114</v>
      </c>
      <c r="C58" s="27" t="s">
        <v>107</v>
      </c>
      <c r="D58" s="19">
        <f t="shared" si="11"/>
        <v>-3.1491838764411764</v>
      </c>
      <c r="E58" s="19">
        <f t="shared" si="11"/>
        <v>-2.8744704201680671</v>
      </c>
      <c r="F58" s="19">
        <f t="shared" si="11"/>
        <v>-0.72387500000000005</v>
      </c>
      <c r="G58" s="19">
        <f t="shared" si="11"/>
        <v>0</v>
      </c>
      <c r="H58" s="12">
        <v>340000</v>
      </c>
      <c r="I58" s="12">
        <v>29750.000000000004</v>
      </c>
      <c r="J58" s="12">
        <v>320000</v>
      </c>
      <c r="K58" s="12">
        <v>320000</v>
      </c>
      <c r="L58" s="58">
        <f>VLOOKUP(A58,'תפוקה חודשית מול אשתקד'!A:K,8,0)</f>
        <v>-730722.51798999996</v>
      </c>
      <c r="M58" s="58">
        <f>VLOOKUP(A58,'תפוקה חודשית מול אשתקד'!A:K,9,0)</f>
        <v>-55765.494999999995</v>
      </c>
      <c r="N58" s="58">
        <f>VLOOKUP(A58,'תפוקה חודשית מול אשתקד'!A:K,10,0)</f>
        <v>88360</v>
      </c>
      <c r="O58" s="58">
        <f>VLOOKUP(A58,'תפוקה חודשית מול אשתקד'!A:K,11,0)</f>
        <v>0</v>
      </c>
    </row>
    <row r="59" spans="1:15" ht="15.6" x14ac:dyDescent="0.25">
      <c r="A59" s="26" t="s">
        <v>35</v>
      </c>
      <c r="B59" s="26" t="s">
        <v>114</v>
      </c>
      <c r="C59" s="27" t="s">
        <v>107</v>
      </c>
      <c r="D59" s="19">
        <f t="shared" si="11"/>
        <v>1</v>
      </c>
      <c r="E59" s="19">
        <f t="shared" si="11"/>
        <v>0</v>
      </c>
      <c r="F59" s="19">
        <f t="shared" si="11"/>
        <v>1</v>
      </c>
      <c r="G59" s="19">
        <f t="shared" si="11"/>
        <v>0</v>
      </c>
      <c r="H59" s="12">
        <v>0</v>
      </c>
      <c r="I59" s="12">
        <v>3400.0000000000005</v>
      </c>
      <c r="J59" s="12">
        <v>0</v>
      </c>
      <c r="K59" s="12">
        <v>0</v>
      </c>
      <c r="L59" s="58">
        <f>VLOOKUP(A59,'תפוקה חודשית מול אשתקד'!A:K,8,0)</f>
        <v>-178.35000000000218</v>
      </c>
      <c r="M59" s="58">
        <f>VLOOKUP(A59,'תפוקה חודשית מול אשתקד'!A:K,9,0)</f>
        <v>0</v>
      </c>
      <c r="N59" s="58">
        <f>VLOOKUP(A59,'תפוקה חודשית מול אשתקד'!A:K,10,0)</f>
        <v>582.76</v>
      </c>
      <c r="O59" s="58">
        <f>VLOOKUP(A59,'תפוקה חודשית מול אשתקד'!A:K,11,0)</f>
        <v>0</v>
      </c>
    </row>
    <row r="60" spans="1:15" ht="15.6" x14ac:dyDescent="0.25">
      <c r="A60" s="27" t="s">
        <v>86</v>
      </c>
      <c r="B60" s="27" t="s">
        <v>114</v>
      </c>
      <c r="C60" s="27" t="s">
        <v>107</v>
      </c>
      <c r="D60" s="19">
        <f t="shared" si="11"/>
        <v>-1.2786505882352941</v>
      </c>
      <c r="E60" s="19">
        <f t="shared" si="11"/>
        <v>-0.75712764705882363</v>
      </c>
      <c r="F60" s="19">
        <f t="shared" si="11"/>
        <v>2.8030229000000002</v>
      </c>
      <c r="G60" s="19">
        <f t="shared" si="11"/>
        <v>-0.81962765000000071</v>
      </c>
      <c r="H60" s="12">
        <v>85000</v>
      </c>
      <c r="I60" s="12">
        <v>17000</v>
      </c>
      <c r="J60" s="12">
        <v>200000</v>
      </c>
      <c r="K60" s="12">
        <v>800000</v>
      </c>
      <c r="L60" s="58">
        <f>VLOOKUP(A60,'תפוקה חודשית מול אשתקד'!A:K,8,0)</f>
        <v>-23685.299999999988</v>
      </c>
      <c r="M60" s="58">
        <f>VLOOKUP(A60,'תפוקה חודשית מול אשתקד'!A:K,9,0)</f>
        <v>4128.8299999999981</v>
      </c>
      <c r="N60" s="58">
        <f>VLOOKUP(A60,'תפוקה חודשית מול אשתקד'!A:K,10,0)</f>
        <v>760604.58000000007</v>
      </c>
      <c r="O60" s="58">
        <f>VLOOKUP(A60,'תפוקה חודשית מול אשתקד'!A:K,11,0)</f>
        <v>144297.87999999942</v>
      </c>
    </row>
    <row r="61" spans="1:15" ht="15.6" x14ac:dyDescent="0.25">
      <c r="A61" s="26" t="s">
        <v>84</v>
      </c>
      <c r="B61" s="26" t="s">
        <v>114</v>
      </c>
      <c r="C61" s="26" t="s">
        <v>107</v>
      </c>
      <c r="D61" s="19">
        <f t="shared" si="11"/>
        <v>0.977692126235294</v>
      </c>
      <c r="E61" s="19">
        <f t="shared" si="11"/>
        <v>-0.60099739776470662</v>
      </c>
      <c r="F61" s="19">
        <f t="shared" si="11"/>
        <v>0.97517435000000052</v>
      </c>
      <c r="G61" s="19">
        <f t="shared" si="11"/>
        <v>1.5724316666666649</v>
      </c>
      <c r="H61" s="12">
        <v>85000</v>
      </c>
      <c r="I61" s="12">
        <v>8500</v>
      </c>
      <c r="J61" s="12">
        <v>200000</v>
      </c>
      <c r="K61" s="12">
        <v>120000</v>
      </c>
      <c r="L61" s="58">
        <f>VLOOKUP(A61,'תפוקה חודשית מול אשתקד'!A:K,8,0)</f>
        <v>168103.83072999999</v>
      </c>
      <c r="M61" s="58">
        <f>VLOOKUP(A61,'תפוקה חודשית מול אשתקד'!A:K,9,0)</f>
        <v>3391.5221189999938</v>
      </c>
      <c r="N61" s="58">
        <f>VLOOKUP(A61,'תפוקה חודשית מול אשתקד'!A:K,10,0)</f>
        <v>395034.87000000011</v>
      </c>
      <c r="O61" s="58">
        <f>VLOOKUP(A61,'תפוקה חודשית מול אשתקד'!A:K,11,0)</f>
        <v>308691.79999999981</v>
      </c>
    </row>
    <row r="62" spans="1:15" ht="15.6" x14ac:dyDescent="0.25">
      <c r="A62" s="194" t="s">
        <v>128</v>
      </c>
      <c r="B62" s="26" t="s">
        <v>114</v>
      </c>
      <c r="C62" s="27" t="s">
        <v>107</v>
      </c>
      <c r="D62" s="19">
        <f t="shared" si="11"/>
        <v>0</v>
      </c>
      <c r="E62" s="19">
        <f t="shared" si="11"/>
        <v>0</v>
      </c>
      <c r="F62" s="19">
        <f t="shared" si="11"/>
        <v>0</v>
      </c>
      <c r="G62" s="19">
        <f t="shared" si="11"/>
        <v>0</v>
      </c>
      <c r="H62" s="12">
        <v>85000</v>
      </c>
      <c r="I62" s="12">
        <v>12750.000000000002</v>
      </c>
      <c r="J62" s="12">
        <v>400000</v>
      </c>
      <c r="K62" s="12">
        <v>160000</v>
      </c>
      <c r="L62" s="58">
        <f>VLOOKUP(A62,'תפוקה חודשית מול אשתקד'!A:K,8,0)</f>
        <v>0</v>
      </c>
      <c r="M62" s="58">
        <f>VLOOKUP(A62,'תפוקה חודשית מול אשתקד'!A:K,9,0)</f>
        <v>0</v>
      </c>
      <c r="N62" s="58">
        <f>VLOOKUP(A62,'תפוקה חודשית מול אשתקד'!A:K,10,0)</f>
        <v>0</v>
      </c>
      <c r="O62" s="58">
        <f>VLOOKUP(A62,'תפוקה חודשית מול אשתקד'!A:K,11,0)</f>
        <v>0</v>
      </c>
    </row>
    <row r="63" spans="1:15" ht="15.6" x14ac:dyDescent="0.25">
      <c r="A63" s="107" t="s">
        <v>99</v>
      </c>
      <c r="B63" s="26" t="s">
        <v>114</v>
      </c>
      <c r="C63" s="27" t="s">
        <v>107</v>
      </c>
      <c r="D63" s="19">
        <f t="shared" si="11"/>
        <v>7.026035294117646</v>
      </c>
      <c r="E63" s="19">
        <f t="shared" si="11"/>
        <v>-0.67320585435294122</v>
      </c>
      <c r="F63" s="19">
        <f t="shared" si="11"/>
        <v>-1.7127598750000002</v>
      </c>
      <c r="G63" s="19">
        <f t="shared" si="11"/>
        <v>0.87430633333333252</v>
      </c>
      <c r="H63" s="12">
        <v>8500</v>
      </c>
      <c r="I63" s="12">
        <v>8500</v>
      </c>
      <c r="J63" s="12">
        <v>160000</v>
      </c>
      <c r="K63" s="12">
        <v>120000</v>
      </c>
      <c r="L63" s="58">
        <f>VLOOKUP(A63,'תפוקה חודשית מול אשתקד'!A:K,8,0)</f>
        <v>68221.299999999988</v>
      </c>
      <c r="M63" s="58">
        <f>VLOOKUP(A63,'תפוקה חודשית מול אשתקד'!A:K,9,0)</f>
        <v>2777.7502379999996</v>
      </c>
      <c r="N63" s="58">
        <f>VLOOKUP(A63,'תפוקה חודשית מול אשתקד'!A:K,10,0)</f>
        <v>-114041.58000000002</v>
      </c>
      <c r="O63" s="58">
        <f>VLOOKUP(A63,'תפוקה חודשית מול אשתקד'!A:K,11,0)</f>
        <v>224916.75999999989</v>
      </c>
    </row>
    <row r="64" spans="1:15" ht="15.6" x14ac:dyDescent="0.25">
      <c r="A64" s="199" t="s">
        <v>131</v>
      </c>
      <c r="B64" s="26" t="s">
        <v>114</v>
      </c>
      <c r="C64" s="27" t="s">
        <v>107</v>
      </c>
      <c r="D64" s="19">
        <f t="shared" si="11"/>
        <v>0</v>
      </c>
      <c r="E64" s="19">
        <f t="shared" si="11"/>
        <v>0</v>
      </c>
      <c r="F64" s="19">
        <f t="shared" si="11"/>
        <v>0</v>
      </c>
      <c r="G64" s="19">
        <f t="shared" si="11"/>
        <v>0</v>
      </c>
      <c r="H64" s="12"/>
      <c r="I64" s="12"/>
      <c r="J64" s="12"/>
      <c r="K64" s="12"/>
      <c r="L64" s="58">
        <f>VLOOKUP(A64,'תפוקה חודשית מול אשתקד'!A:K,8,0)</f>
        <v>0</v>
      </c>
      <c r="M64" s="58">
        <f>VLOOKUP(A64,'תפוקה חודשית מול אשתקד'!A:K,9,0)</f>
        <v>0</v>
      </c>
      <c r="N64" s="58">
        <f>VLOOKUP(A64,'תפוקה חודשית מול אשתקד'!A:K,10,0)</f>
        <v>0</v>
      </c>
      <c r="O64" s="58">
        <f>VLOOKUP(A64,'תפוקה חודשית מול אשתקד'!A:K,11,0)</f>
        <v>0</v>
      </c>
    </row>
    <row r="65" spans="1:15" ht="15.6" x14ac:dyDescent="0.25">
      <c r="A65" s="30" t="s">
        <v>16</v>
      </c>
      <c r="B65" s="26" t="s">
        <v>114</v>
      </c>
      <c r="C65" s="27" t="s">
        <v>107</v>
      </c>
      <c r="D65" s="19">
        <f t="shared" si="11"/>
        <v>0</v>
      </c>
      <c r="E65" s="19">
        <f t="shared" si="11"/>
        <v>0</v>
      </c>
      <c r="F65" s="19">
        <f t="shared" si="11"/>
        <v>0</v>
      </c>
      <c r="G65" s="19">
        <f t="shared" si="11"/>
        <v>0</v>
      </c>
      <c r="H65" s="12">
        <v>0</v>
      </c>
      <c r="I65" s="12">
        <v>8500</v>
      </c>
      <c r="J65" s="12">
        <v>0</v>
      </c>
      <c r="K65" s="12">
        <v>0</v>
      </c>
      <c r="L65" s="58">
        <f>VLOOKUP(A65,'תפוקה חודשית מול אשתקד'!A:K,8,0)</f>
        <v>0</v>
      </c>
      <c r="M65" s="58">
        <f>VLOOKUP(A65,'תפוקה חודשית מול אשתקד'!A:K,9,0)</f>
        <v>0</v>
      </c>
      <c r="N65" s="58">
        <f>VLOOKUP(A65,'תפוקה חודשית מול אשתקד'!A:K,10,0)</f>
        <v>0</v>
      </c>
      <c r="O65" s="58">
        <f>VLOOKUP(A65,'תפוקה חודשית מול אשתקד'!A:K,11,0)</f>
        <v>0</v>
      </c>
    </row>
    <row r="66" spans="1:15" ht="21.6" thickBot="1" x14ac:dyDescent="0.3">
      <c r="A66" s="108" t="s">
        <v>119</v>
      </c>
      <c r="B66" s="102"/>
      <c r="C66" s="99"/>
      <c r="D66" s="19">
        <f t="shared" si="0"/>
        <v>-1.7172621629411762</v>
      </c>
      <c r="E66" s="19">
        <f t="shared" si="1"/>
        <v>-1.4775797546533611</v>
      </c>
      <c r="F66" s="19">
        <f t="shared" si="2"/>
        <v>-0.3375316739130434</v>
      </c>
      <c r="G66" s="19">
        <f t="shared" si="3"/>
        <v>-0.40462664375000057</v>
      </c>
      <c r="H66" s="128">
        <f>SUM(H57:H65)</f>
        <v>646000</v>
      </c>
      <c r="I66" s="128">
        <f t="shared" ref="I66:O66" si="12">SUM(I57:I65)</f>
        <v>95200.000000000015</v>
      </c>
      <c r="J66" s="128">
        <f t="shared" si="12"/>
        <v>1840000</v>
      </c>
      <c r="K66" s="128">
        <f t="shared" si="12"/>
        <v>1600000</v>
      </c>
      <c r="L66" s="128">
        <f t="shared" si="12"/>
        <v>-463351.35725999979</v>
      </c>
      <c r="M66" s="128">
        <f t="shared" si="12"/>
        <v>-45465.592642999996</v>
      </c>
      <c r="N66" s="128">
        <f t="shared" si="12"/>
        <v>1218941.7200000002</v>
      </c>
      <c r="O66" s="128">
        <f t="shared" si="12"/>
        <v>952597.36999999906</v>
      </c>
    </row>
    <row r="67" spans="1:15" ht="15.6" x14ac:dyDescent="0.25">
      <c r="A67" s="26" t="s">
        <v>77</v>
      </c>
      <c r="B67" s="26" t="s">
        <v>108</v>
      </c>
      <c r="C67" s="26" t="s">
        <v>102</v>
      </c>
      <c r="D67" s="19">
        <f t="shared" si="0"/>
        <v>-1.2955355429761228E-3</v>
      </c>
      <c r="E67" s="19">
        <f t="shared" si="1"/>
        <v>-0.52441060776470638</v>
      </c>
      <c r="F67" s="19">
        <f t="shared" si="2"/>
        <v>-0.46069439579352267</v>
      </c>
      <c r="G67" s="19">
        <f t="shared" si="3"/>
        <v>-0.30707764999999898</v>
      </c>
      <c r="H67" s="12">
        <v>85000</v>
      </c>
      <c r="I67" s="12">
        <v>12750.000000000002</v>
      </c>
      <c r="J67" s="12">
        <v>800000</v>
      </c>
      <c r="K67" s="12">
        <v>400000</v>
      </c>
      <c r="L67" s="58">
        <f>VLOOKUP(A67,'תפוקה חודשית מול אשתקד'!A:K,8,0)</f>
        <v>84889.879478847026</v>
      </c>
      <c r="M67" s="58">
        <f>VLOOKUP(A67,'תפוקה חודשית מול אשתקד'!A:K,9,0)</f>
        <v>6063.7647509999952</v>
      </c>
      <c r="N67" s="58">
        <f>VLOOKUP(A67,'תפוקה חודשית מול אשתקד'!A:K,10,0)</f>
        <v>431444.48336518183</v>
      </c>
      <c r="O67" s="58">
        <f>VLOOKUP(A67,'תפוקה חודשית מול אשתקד'!A:K,11,0)</f>
        <v>277168.94000000041</v>
      </c>
    </row>
    <row r="68" spans="1:15" ht="15.6" x14ac:dyDescent="0.25">
      <c r="A68" s="30" t="s">
        <v>40</v>
      </c>
      <c r="B68" s="26" t="s">
        <v>56</v>
      </c>
      <c r="C68" s="26" t="s">
        <v>103</v>
      </c>
      <c r="D68" s="19">
        <f t="shared" si="0"/>
        <v>-0.48577878541176522</v>
      </c>
      <c r="E68" s="19">
        <f t="shared" si="1"/>
        <v>7.4366803921570579E-2</v>
      </c>
      <c r="F68" s="19">
        <f t="shared" si="2"/>
        <v>0.40505234999999984</v>
      </c>
      <c r="G68" s="19">
        <f t="shared" si="3"/>
        <v>1.5978296250000015</v>
      </c>
      <c r="H68" s="12">
        <v>255000.00000000003</v>
      </c>
      <c r="I68" s="12">
        <v>51000.000000000007</v>
      </c>
      <c r="J68" s="12">
        <v>800000</v>
      </c>
      <c r="K68" s="12">
        <v>480000</v>
      </c>
      <c r="L68" s="58">
        <f>VLOOKUP(A68,'תפוקה חודשית מול אשתקד'!A:K,8,0)</f>
        <v>131126.40971999988</v>
      </c>
      <c r="M68" s="58">
        <f>VLOOKUP(A68,'תפוקה חודשית מול אשתקד'!A:K,9,0)</f>
        <v>54792.707000000111</v>
      </c>
      <c r="N68" s="58">
        <f>VLOOKUP(A68,'תפוקה חודשית מול אשתקד'!A:K,10,0)</f>
        <v>1124041.8799999999</v>
      </c>
      <c r="O68" s="58">
        <f>VLOOKUP(A68,'תפוקה חודשית מול אשתקד'!A:K,11,0)</f>
        <v>1246958.2200000007</v>
      </c>
    </row>
    <row r="69" spans="1:15" ht="15.6" x14ac:dyDescent="0.25">
      <c r="A69" s="26" t="s">
        <v>90</v>
      </c>
      <c r="B69" s="26" t="s">
        <v>108</v>
      </c>
      <c r="C69" s="26" t="s">
        <v>103</v>
      </c>
      <c r="D69" s="19">
        <f t="shared" si="0"/>
        <v>0</v>
      </c>
      <c r="E69" s="19">
        <f t="shared" si="1"/>
        <v>1</v>
      </c>
      <c r="F69" s="19">
        <f t="shared" si="2"/>
        <v>1</v>
      </c>
      <c r="G69" s="19">
        <f t="shared" si="3"/>
        <v>0</v>
      </c>
      <c r="H69" s="12">
        <v>0</v>
      </c>
      <c r="I69" s="12">
        <v>0</v>
      </c>
      <c r="J69" s="12">
        <v>0</v>
      </c>
      <c r="K69" s="12">
        <v>0</v>
      </c>
      <c r="L69" s="58">
        <f>VLOOKUP(A69,'תפוקה חודשית מול אשתקד'!A:K,8,0)</f>
        <v>0</v>
      </c>
      <c r="M69" s="58">
        <f>VLOOKUP(A69,'תפוקה חודשית מול אשתקד'!A:K,9,0)</f>
        <v>-6.1460000000001855</v>
      </c>
      <c r="N69" s="58">
        <f>VLOOKUP(A69,'תפוקה חודשית מול אשתקד'!A:K,10,0)</f>
        <v>0.36000000000058208</v>
      </c>
      <c r="O69" s="58">
        <f>VLOOKUP(A69,'תפוקה חודשית מול אשתקד'!A:K,11,0)</f>
        <v>0</v>
      </c>
    </row>
    <row r="70" spans="1:15" ht="15.6" x14ac:dyDescent="0.25">
      <c r="A70" s="26" t="s">
        <v>92</v>
      </c>
      <c r="B70" s="26" t="s">
        <v>56</v>
      </c>
      <c r="C70" s="26" t="s">
        <v>103</v>
      </c>
      <c r="D70" s="19">
        <f t="shared" ref="D70:D76" si="13">IF(L70=0,0%,IF(H70=0,100%,L70/H70-1))</f>
        <v>1</v>
      </c>
      <c r="E70" s="19">
        <f t="shared" ref="E70:E76" si="14">IF(M70=0,0%,IF(I70=0,100%,M70/I70-1))</f>
        <v>1</v>
      </c>
      <c r="F70" s="19">
        <f t="shared" ref="F70:F76" si="15">IF(N70=0,0%,IF(J70=0,100%,N70/J70-1))</f>
        <v>1</v>
      </c>
      <c r="G70" s="19">
        <f t="shared" ref="G70:G76" si="16">IF(O70=0,0%,IF(K70=0,100%,O70/K70-1))</f>
        <v>1</v>
      </c>
      <c r="H70" s="12">
        <v>0</v>
      </c>
      <c r="I70" s="12">
        <v>0</v>
      </c>
      <c r="J70" s="12">
        <v>0</v>
      </c>
      <c r="K70" s="12">
        <v>0</v>
      </c>
      <c r="L70" s="58">
        <f>VLOOKUP(A70,'תפוקה חודשית מול אשתקד'!A:K,8,0)</f>
        <v>19757.030620000034</v>
      </c>
      <c r="M70" s="58">
        <f>VLOOKUP(A70,'תפוקה חודשית מול אשתקד'!A:K,9,0)</f>
        <v>183.95999999999998</v>
      </c>
      <c r="N70" s="58">
        <f>VLOOKUP(A70,'תפוקה חודשית מול אשתקד'!A:K,10,0)</f>
        <v>-0.37000000000261934</v>
      </c>
      <c r="O70" s="58">
        <f>VLOOKUP(A70,'תפוקה חודשית מול אשתקד'!A:K,11,0)</f>
        <v>-4450.6800000001676</v>
      </c>
    </row>
    <row r="71" spans="1:15" ht="15.6" x14ac:dyDescent="0.25">
      <c r="A71" s="26" t="s">
        <v>93</v>
      </c>
      <c r="B71" s="26" t="s">
        <v>56</v>
      </c>
      <c r="C71" s="26" t="s">
        <v>103</v>
      </c>
      <c r="D71" s="19">
        <f t="shared" si="13"/>
        <v>0</v>
      </c>
      <c r="E71" s="19">
        <f t="shared" si="14"/>
        <v>3.3436235294115768E-2</v>
      </c>
      <c r="F71" s="19">
        <f t="shared" si="15"/>
        <v>0</v>
      </c>
      <c r="G71" s="19">
        <f t="shared" si="16"/>
        <v>0</v>
      </c>
      <c r="H71" s="12">
        <v>17000</v>
      </c>
      <c r="I71" s="12">
        <v>8500</v>
      </c>
      <c r="J71" s="12">
        <v>40000</v>
      </c>
      <c r="K71" s="12">
        <v>48000</v>
      </c>
      <c r="L71" s="58">
        <f>VLOOKUP(A71,'תפוקה חודשית מול אשתקד'!A:K,8,0)</f>
        <v>0</v>
      </c>
      <c r="M71" s="58">
        <f>VLOOKUP(A71,'תפוקה חודשית מול אשתקד'!A:K,9,0)</f>
        <v>8784.2079999999842</v>
      </c>
      <c r="N71" s="58">
        <f>VLOOKUP(A71,'תפוקה חודשית מול אשתקד'!A:K,10,0)</f>
        <v>0</v>
      </c>
      <c r="O71" s="58">
        <f>VLOOKUP(A71,'תפוקה חודשית מול אשתקד'!A:K,11,0)</f>
        <v>0</v>
      </c>
    </row>
    <row r="72" spans="1:15" ht="15.6" x14ac:dyDescent="0.25">
      <c r="A72" s="26" t="s">
        <v>100</v>
      </c>
      <c r="B72" s="26" t="s">
        <v>56</v>
      </c>
      <c r="C72" s="26" t="s">
        <v>103</v>
      </c>
      <c r="D72" s="19">
        <f t="shared" si="13"/>
        <v>0.96877395258823551</v>
      </c>
      <c r="E72" s="19">
        <f t="shared" si="14"/>
        <v>3.1549129882352478E-2</v>
      </c>
      <c r="F72" s="19">
        <f t="shared" si="15"/>
        <v>1.7483095156250004</v>
      </c>
      <c r="G72" s="19">
        <f t="shared" si="16"/>
        <v>2.8706783541666665</v>
      </c>
      <c r="H72" s="12">
        <v>85000</v>
      </c>
      <c r="I72" s="12">
        <v>12750.000000000002</v>
      </c>
      <c r="J72" s="12">
        <v>640000</v>
      </c>
      <c r="K72" s="12">
        <v>480000</v>
      </c>
      <c r="L72" s="58">
        <f>VLOOKUP(A72,'תפוקה חודשית מול אשתקד'!A:K,8,0)</f>
        <v>167345.78597000003</v>
      </c>
      <c r="M72" s="58">
        <f>VLOOKUP(A72,'תפוקה חודשית מול אשתקד'!A:K,9,0)</f>
        <v>13152.251405999996</v>
      </c>
      <c r="N72" s="58">
        <f>VLOOKUP(A72,'תפוקה חודשית מול אשתקד'!A:K,10,0)</f>
        <v>1758918.0900000003</v>
      </c>
      <c r="O72" s="58">
        <f>VLOOKUP(A72,'תפוקה חודשית מול אשתקד'!A:K,11,0)</f>
        <v>1857925.6099999999</v>
      </c>
    </row>
    <row r="73" spans="1:15" ht="15.6" x14ac:dyDescent="0.25">
      <c r="A73" s="98" t="s">
        <v>101</v>
      </c>
      <c r="B73" s="26" t="s">
        <v>56</v>
      </c>
      <c r="C73" s="26" t="s">
        <v>103</v>
      </c>
      <c r="D73" s="19">
        <f t="shared" si="13"/>
        <v>0.5534555180352938</v>
      </c>
      <c r="E73" s="19">
        <f t="shared" si="14"/>
        <v>0.19162759872941337</v>
      </c>
      <c r="F73" s="19">
        <f t="shared" si="15"/>
        <v>0.50981858125000024</v>
      </c>
      <c r="G73" s="19">
        <f t="shared" si="16"/>
        <v>1.8440565416666681</v>
      </c>
      <c r="H73" s="12">
        <v>255000.00000000003</v>
      </c>
      <c r="I73" s="12">
        <v>21250</v>
      </c>
      <c r="J73" s="12">
        <v>1600000</v>
      </c>
      <c r="K73" s="12">
        <v>480000</v>
      </c>
      <c r="L73" s="58">
        <f>VLOOKUP(A73,'תפוקה חודשית מול אשתקד'!A:K,8,0)</f>
        <v>396131.15709899995</v>
      </c>
      <c r="M73" s="58">
        <f>VLOOKUP(A73,'תפוקה חודשית מול אשתקד'!A:K,9,0)</f>
        <v>25322.086473000032</v>
      </c>
      <c r="N73" s="58">
        <f>VLOOKUP(A73,'תפוקה חודשית מול אשתקד'!A:K,10,0)</f>
        <v>2415709.7300000004</v>
      </c>
      <c r="O73" s="58">
        <f>VLOOKUP(A73,'תפוקה חודשית מול אשתקד'!A:K,11,0)</f>
        <v>1365147.1400000006</v>
      </c>
    </row>
    <row r="74" spans="1:15" ht="16.2" thickBot="1" x14ac:dyDescent="0.3">
      <c r="A74" s="26" t="s">
        <v>81</v>
      </c>
      <c r="B74" s="26" t="s">
        <v>56</v>
      </c>
      <c r="C74" s="26" t="s">
        <v>103</v>
      </c>
      <c r="D74" s="19">
        <f t="shared" si="13"/>
        <v>-1.0217854117647061</v>
      </c>
      <c r="E74" s="19">
        <f t="shared" si="14"/>
        <v>-0.39234807843137265</v>
      </c>
      <c r="F74" s="19">
        <f t="shared" si="15"/>
        <v>0</v>
      </c>
      <c r="G74" s="19">
        <f t="shared" si="16"/>
        <v>0</v>
      </c>
      <c r="H74" s="12">
        <v>42500</v>
      </c>
      <c r="I74" s="12">
        <v>12750.000000000002</v>
      </c>
      <c r="J74" s="12">
        <v>80000</v>
      </c>
      <c r="K74" s="12">
        <v>160000</v>
      </c>
      <c r="L74" s="58">
        <f>VLOOKUP(A74,'תפוקה חודשית מול אשתקד'!A:K,8,0)</f>
        <v>-925.88000000000466</v>
      </c>
      <c r="M74" s="58">
        <f>VLOOKUP(A74,'תפוקה חודשית מול אשתקד'!A:K,9,0)</f>
        <v>7747.5619999999999</v>
      </c>
      <c r="N74" s="58">
        <f>VLOOKUP(A74,'תפוקה חודשית מול אשתקד'!A:K,10,0)</f>
        <v>0</v>
      </c>
      <c r="O74" s="58">
        <f>VLOOKUP(A74,'תפוקה חודשית מול אשתקד'!A:K,11,0)</f>
        <v>0</v>
      </c>
    </row>
    <row r="75" spans="1:15" ht="21.6" thickBot="1" x14ac:dyDescent="0.3">
      <c r="A75" s="17" t="s">
        <v>44</v>
      </c>
      <c r="B75" s="147"/>
      <c r="C75" s="166"/>
      <c r="D75" s="19">
        <f t="shared" si="13"/>
        <v>7.9546156711084448E-2</v>
      </c>
      <c r="E75" s="19">
        <f t="shared" si="14"/>
        <v>-2.4870641764704882E-2</v>
      </c>
      <c r="F75" s="19">
        <f t="shared" si="15"/>
        <v>0.44699852862757128</v>
      </c>
      <c r="G75" s="19">
        <f t="shared" si="16"/>
        <v>1.3157955224609381</v>
      </c>
      <c r="H75" s="88">
        <f>SUM(H67:H74)</f>
        <v>739500</v>
      </c>
      <c r="I75" s="88">
        <f t="shared" ref="I75:O75" si="17">SUM(I67:I74)</f>
        <v>119000</v>
      </c>
      <c r="J75" s="88">
        <f t="shared" si="17"/>
        <v>3960000</v>
      </c>
      <c r="K75" s="88">
        <f t="shared" si="17"/>
        <v>2048000</v>
      </c>
      <c r="L75" s="88">
        <f t="shared" si="17"/>
        <v>798324.38288784691</v>
      </c>
      <c r="M75" s="88">
        <f t="shared" si="17"/>
        <v>116040.39363000012</v>
      </c>
      <c r="N75" s="88">
        <f t="shared" si="17"/>
        <v>5730114.1733651822</v>
      </c>
      <c r="O75" s="88">
        <f t="shared" si="17"/>
        <v>4742749.2300000014</v>
      </c>
    </row>
    <row r="76" spans="1:15" ht="21.6" thickBot="1" x14ac:dyDescent="0.3">
      <c r="A76" s="17" t="s">
        <v>45</v>
      </c>
      <c r="B76" s="147"/>
      <c r="C76" s="166"/>
      <c r="D76" s="19">
        <f t="shared" si="13"/>
        <v>-0.31679984626060709</v>
      </c>
      <c r="E76" s="19">
        <f t="shared" si="14"/>
        <v>-0.45444550441835019</v>
      </c>
      <c r="F76" s="19">
        <f t="shared" si="15"/>
        <v>-0.17732392638941008</v>
      </c>
      <c r="G76" s="19">
        <f t="shared" si="16"/>
        <v>-0.42390274983023979</v>
      </c>
      <c r="H76" s="88">
        <f>H75+H66+H56+H22+H8</f>
        <v>4679250</v>
      </c>
      <c r="I76" s="88">
        <f t="shared" ref="I76:O76" si="18">I75+I66+I56+I22+I8</f>
        <v>788800</v>
      </c>
      <c r="J76" s="88">
        <f t="shared" si="18"/>
        <v>18160000</v>
      </c>
      <c r="K76" s="88">
        <f t="shared" si="18"/>
        <v>17672000</v>
      </c>
      <c r="L76" s="88">
        <f t="shared" si="18"/>
        <v>3196864.3193850541</v>
      </c>
      <c r="M76" s="88">
        <f t="shared" si="18"/>
        <v>430333.38611480535</v>
      </c>
      <c r="N76" s="88">
        <f t="shared" si="18"/>
        <v>14939797.496768313</v>
      </c>
      <c r="O76" s="88">
        <f t="shared" si="18"/>
        <v>10180790.605000002</v>
      </c>
    </row>
    <row r="77" spans="1:15" x14ac:dyDescent="0.25">
      <c r="D77" s="5"/>
      <c r="E77" s="5"/>
      <c r="F77" s="5"/>
      <c r="G77" s="5"/>
      <c r="H77" s="74"/>
      <c r="I77" s="74"/>
      <c r="J77" s="74"/>
      <c r="K77" s="74"/>
      <c r="L77" s="6"/>
      <c r="M77" s="6"/>
      <c r="N77" s="6"/>
      <c r="O77" s="6"/>
    </row>
    <row r="78" spans="1:15" x14ac:dyDescent="0.25">
      <c r="I78" s="10"/>
      <c r="J78" s="10"/>
      <c r="K78" s="9"/>
      <c r="L78"/>
      <c r="M78"/>
      <c r="N78"/>
      <c r="O78"/>
    </row>
    <row r="79" spans="1:15" x14ac:dyDescent="0.25">
      <c r="B79" s="3"/>
      <c r="C79" s="3"/>
      <c r="H79" s="74"/>
      <c r="I79" s="74"/>
      <c r="J79" s="74"/>
      <c r="K79" s="74"/>
      <c r="L79"/>
      <c r="M79"/>
      <c r="N79"/>
      <c r="O79"/>
    </row>
    <row r="80" spans="1:15" x14ac:dyDescent="0.25">
      <c r="B80" s="3"/>
      <c r="C80" s="3"/>
      <c r="H80" s="10"/>
      <c r="K80"/>
      <c r="L80"/>
      <c r="M80"/>
      <c r="N80"/>
      <c r="O80"/>
    </row>
    <row r="81" spans="8:15" x14ac:dyDescent="0.25">
      <c r="H81" s="10"/>
      <c r="I81" s="10"/>
      <c r="J81" s="10"/>
      <c r="K81"/>
      <c r="L81"/>
      <c r="M81"/>
      <c r="N81"/>
      <c r="O81"/>
    </row>
    <row r="82" spans="8:15" x14ac:dyDescent="0.25">
      <c r="K82"/>
      <c r="L82" s="9"/>
      <c r="M82" s="9"/>
      <c r="N82" s="9"/>
      <c r="O82" s="9"/>
    </row>
    <row r="83" spans="8:15" x14ac:dyDescent="0.25">
      <c r="K83"/>
      <c r="L83"/>
      <c r="M83"/>
      <c r="N83"/>
      <c r="O83"/>
    </row>
  </sheetData>
  <mergeCells count="3">
    <mergeCell ref="L1:O1"/>
    <mergeCell ref="H1:K1"/>
    <mergeCell ref="D1:G1"/>
  </mergeCells>
  <conditionalFormatting sqref="A14">
    <cfRule type="duplicateValues" dxfId="299" priority="7"/>
    <cfRule type="duplicateValues" dxfId="298" priority="8"/>
  </conditionalFormatting>
  <conditionalFormatting sqref="A20">
    <cfRule type="duplicateValues" dxfId="297" priority="1"/>
    <cfRule type="duplicateValues" dxfId="296" priority="2"/>
  </conditionalFormatting>
  <conditionalFormatting sqref="A54">
    <cfRule type="duplicateValues" dxfId="295" priority="3"/>
    <cfRule type="duplicateValues" dxfId="294" priority="4"/>
  </conditionalFormatting>
  <conditionalFormatting sqref="A57">
    <cfRule type="duplicateValues" dxfId="293" priority="11"/>
    <cfRule type="duplicateValues" dxfId="292" priority="12"/>
  </conditionalFormatting>
  <conditionalFormatting sqref="A60">
    <cfRule type="duplicateValues" dxfId="291" priority="5"/>
    <cfRule type="duplicateValues" dxfId="290" priority="6"/>
  </conditionalFormatting>
  <conditionalFormatting sqref="A61 A58:A59 A7 A23:A53 A65 A55">
    <cfRule type="duplicateValues" dxfId="289" priority="254"/>
    <cfRule type="duplicateValues" dxfId="288" priority="255"/>
  </conditionalFormatting>
  <conditionalFormatting sqref="A67:A74">
    <cfRule type="duplicateValues" dxfId="287" priority="15"/>
    <cfRule type="duplicateValues" dxfId="286" priority="16"/>
  </conditionalFormatting>
  <conditionalFormatting sqref="A75:A76 A1:A6 A8:A13 A15:A19 A56 A66 A21:A22">
    <cfRule type="duplicateValues" dxfId="285" priority="13"/>
    <cfRule type="duplicateValues" dxfId="284" priority="14"/>
  </conditionalFormatting>
  <conditionalFormatting sqref="D1 D2:G78 B79:C80 E79:G80 D81:G1048576">
    <cfRule type="cellIs" dxfId="283" priority="39" operator="lessThan">
      <formula>-0.0001</formula>
    </cfRule>
  </conditionalFormatting>
  <conditionalFormatting sqref="D3:G78 B79:C80 E79:G80 D81:G1048576">
    <cfRule type="cellIs" dxfId="282" priority="32" operator="greaterThan">
      <formula>0.1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556E0-BEA5-4A33-8A86-06A0464561C3}">
  <sheetPr filterMode="1">
    <tabColor theme="4" tint="0.39997558519241921"/>
  </sheetPr>
  <dimension ref="A1:F69"/>
  <sheetViews>
    <sheetView rightToLeft="1" workbookViewId="0">
      <selection activeCell="A10" sqref="A10:D54"/>
    </sheetView>
  </sheetViews>
  <sheetFormatPr defaultColWidth="21.69921875" defaultRowHeight="15" x14ac:dyDescent="0.25"/>
  <cols>
    <col min="1" max="1" width="30" style="8" bestFit="1" customWidth="1"/>
    <col min="2" max="2" width="11.5" style="7" customWidth="1"/>
    <col min="3" max="3" width="14.59765625" style="7" bestFit="1" customWidth="1"/>
    <col min="4" max="4" width="26.3984375" style="7" customWidth="1"/>
    <col min="5" max="5" width="27.5" style="7" customWidth="1"/>
  </cols>
  <sheetData>
    <row r="1" spans="1:6" ht="21" x14ac:dyDescent="0.25">
      <c r="A1" s="11" t="s">
        <v>0</v>
      </c>
      <c r="B1" s="93" t="s">
        <v>74</v>
      </c>
      <c r="C1" s="92" t="s">
        <v>75</v>
      </c>
      <c r="D1" s="91" t="s">
        <v>117</v>
      </c>
      <c r="E1" s="90" t="s">
        <v>118</v>
      </c>
    </row>
    <row r="2" spans="1:6" ht="15.6" hidden="1" x14ac:dyDescent="0.3">
      <c r="A2" s="30" t="s">
        <v>18</v>
      </c>
      <c r="B2" s="19">
        <f t="shared" ref="B2:B65" si="0">IF(D2=0,0%,IF(E2=0,100%,D2/E2-1))</f>
        <v>0.28765350647479471</v>
      </c>
      <c r="C2" s="20">
        <f t="shared" ref="C2:C65" si="1">D2-E2</f>
        <v>11724.405171999999</v>
      </c>
      <c r="D2" s="21">
        <f>VLOOKUP(A2,'תפוקה מצטברת מול אשתקד'!A:K,9,0)</f>
        <v>52483.182339999999</v>
      </c>
      <c r="E2" s="22">
        <f>VLOOKUP(A2,'תפוקה מצטברת מול אשתקד'!A:O,13,0)</f>
        <v>40758.777168000001</v>
      </c>
    </row>
    <row r="3" spans="1:6" ht="15.6" hidden="1" x14ac:dyDescent="0.3">
      <c r="A3" s="26" t="s">
        <v>26</v>
      </c>
      <c r="B3" s="19">
        <f t="shared" si="0"/>
        <v>0</v>
      </c>
      <c r="C3" s="20">
        <f t="shared" si="1"/>
        <v>-2887.83</v>
      </c>
      <c r="D3" s="21">
        <f>VLOOKUP(A3,'תפוקה מצטברת מול אשתקד'!A:K,9,0)</f>
        <v>0</v>
      </c>
      <c r="E3" s="22">
        <f>VLOOKUP(A3,'תפוקה מצטברת מול אשתקד'!A:O,13,0)</f>
        <v>2887.83</v>
      </c>
    </row>
    <row r="4" spans="1:6" ht="15.6" hidden="1" x14ac:dyDescent="0.3">
      <c r="A4" s="26" t="s">
        <v>32</v>
      </c>
      <c r="B4" s="19">
        <f t="shared" si="0"/>
        <v>0</v>
      </c>
      <c r="C4" s="20">
        <f t="shared" si="1"/>
        <v>0</v>
      </c>
      <c r="D4" s="21">
        <f>VLOOKUP(A4,'תפוקה מצטברת מול אשתקד'!A:K,9,0)</f>
        <v>0</v>
      </c>
      <c r="E4" s="22">
        <f>VLOOKUP(A4,'תפוקה מצטברת מול אשתקד'!A:O,13,0)</f>
        <v>0</v>
      </c>
    </row>
    <row r="5" spans="1:6" ht="15.6" hidden="1" x14ac:dyDescent="0.3">
      <c r="A5" s="26" t="s">
        <v>19</v>
      </c>
      <c r="B5" s="19">
        <f t="shared" si="0"/>
        <v>-0.2371030688064053</v>
      </c>
      <c r="C5" s="20">
        <f t="shared" si="1"/>
        <v>-19180.422526809503</v>
      </c>
      <c r="D5" s="21">
        <f>VLOOKUP(A5,'תפוקה מצטברת מול אשתקד'!A:K,9,0)</f>
        <v>61714.45</v>
      </c>
      <c r="E5" s="22">
        <f>VLOOKUP(A5,'תפוקה מצטברת מול אשתקד'!A:O,13,0)</f>
        <v>80894.8725268095</v>
      </c>
    </row>
    <row r="6" spans="1:6" ht="15.6" hidden="1" x14ac:dyDescent="0.3">
      <c r="A6" s="26" t="s">
        <v>87</v>
      </c>
      <c r="B6" s="19">
        <f t="shared" si="0"/>
        <v>-2.1627077652159374</v>
      </c>
      <c r="C6" s="20">
        <f t="shared" si="1"/>
        <v>-7502.5630000000001</v>
      </c>
      <c r="D6" s="21">
        <f>VLOOKUP(A6,'תפוקה מצטברת מול אשתקד'!A:K,9,0)</f>
        <v>-4033.5030000000002</v>
      </c>
      <c r="E6" s="22">
        <f>VLOOKUP(A6,'תפוקה מצטברת מול אשתקד'!A:O,13,0)</f>
        <v>3469.06</v>
      </c>
      <c r="F6" s="7"/>
    </row>
    <row r="7" spans="1:6" ht="15.6" hidden="1" x14ac:dyDescent="0.3">
      <c r="A7" s="26" t="s">
        <v>14</v>
      </c>
      <c r="B7" s="19">
        <f t="shared" si="0"/>
        <v>0</v>
      </c>
      <c r="C7" s="20">
        <f t="shared" si="1"/>
        <v>0</v>
      </c>
      <c r="D7" s="21">
        <f>VLOOKUP(A7,'תפוקה מצטברת מול אשתקד'!A:K,9,0)</f>
        <v>0</v>
      </c>
      <c r="E7" s="22">
        <f>VLOOKUP(A7,'תפוקה מצטברת מול אשתקד'!A:O,13,0)</f>
        <v>0</v>
      </c>
    </row>
    <row r="8" spans="1:6" ht="15.6" hidden="1" x14ac:dyDescent="0.3">
      <c r="A8" s="26" t="s">
        <v>105</v>
      </c>
      <c r="B8" s="19">
        <f t="shared" si="0"/>
        <v>1</v>
      </c>
      <c r="C8" s="20">
        <f t="shared" si="1"/>
        <v>34130.668955372668</v>
      </c>
      <c r="D8" s="21">
        <f>VLOOKUP(A8,'תפוקה מצטברת מול אשתקד'!A:K,9,0)</f>
        <v>34130.668955372668</v>
      </c>
      <c r="E8" s="22">
        <f>VLOOKUP(A8,'תפוקה מצטברת מול אשתקד'!A:O,13,0)</f>
        <v>0</v>
      </c>
    </row>
    <row r="9" spans="1:6" ht="15.6" hidden="1" x14ac:dyDescent="0.3">
      <c r="A9" s="30" t="s">
        <v>25</v>
      </c>
      <c r="B9" s="19">
        <f t="shared" si="0"/>
        <v>-0.41942988442271567</v>
      </c>
      <c r="C9" s="20">
        <f t="shared" si="1"/>
        <v>-138690.44885835325</v>
      </c>
      <c r="D9" s="21">
        <f>VLOOKUP(A9,'תפוקה מצטברת מול אשתקד'!A:K,9,0)</f>
        <v>191973.7551223443</v>
      </c>
      <c r="E9" s="22">
        <f>VLOOKUP(A9,'תפוקה מצטברת מול אשתקד'!A:O,13,0)</f>
        <v>330664.20398069755</v>
      </c>
    </row>
    <row r="10" spans="1:6" ht="15.6" x14ac:dyDescent="0.3">
      <c r="A10" s="26" t="s">
        <v>42</v>
      </c>
      <c r="B10" s="19">
        <f t="shared" si="0"/>
        <v>0.5057780629557751</v>
      </c>
      <c r="C10" s="20">
        <f t="shared" si="1"/>
        <v>72482.852530603384</v>
      </c>
      <c r="D10" s="21">
        <f>VLOOKUP(A10,'תפוקה מצטברת מול אשתקד'!A:K,9,0)</f>
        <v>215792.45379526171</v>
      </c>
      <c r="E10" s="22">
        <f>VLOOKUP(A10,'תפוקה מצטברת מול אשתקד'!A:O,13,0)</f>
        <v>143309.60126465833</v>
      </c>
    </row>
    <row r="11" spans="1:6" ht="15.6" hidden="1" x14ac:dyDescent="0.3">
      <c r="A11" s="26" t="s">
        <v>23</v>
      </c>
      <c r="B11" s="19">
        <f t="shared" si="0"/>
        <v>0</v>
      </c>
      <c r="C11" s="20">
        <f t="shared" si="1"/>
        <v>-7.45</v>
      </c>
      <c r="D11" s="21">
        <f>VLOOKUP(A11,'תפוקה מצטברת מול אשתקד'!A:K,9,0)</f>
        <v>0</v>
      </c>
      <c r="E11" s="22">
        <f>VLOOKUP(A11,'תפוקה מצטברת מול אשתקד'!A:O,13,0)</f>
        <v>7.45</v>
      </c>
    </row>
    <row r="12" spans="1:6" ht="15.6" hidden="1" x14ac:dyDescent="0.3">
      <c r="A12" s="26" t="s">
        <v>85</v>
      </c>
      <c r="B12" s="19">
        <f t="shared" si="0"/>
        <v>1</v>
      </c>
      <c r="C12" s="20">
        <f t="shared" si="1"/>
        <v>5594.8389999999999</v>
      </c>
      <c r="D12" s="21">
        <f>VLOOKUP(A12,'תפוקה מצטברת מול אשתקד'!A:K,9,0)</f>
        <v>5594.8389999999999</v>
      </c>
      <c r="E12" s="22">
        <f>VLOOKUP(A12,'תפוקה מצטברת מול אשתקד'!A:O,13,0)</f>
        <v>0</v>
      </c>
    </row>
    <row r="13" spans="1:6" ht="15.6" hidden="1" x14ac:dyDescent="0.3">
      <c r="A13" s="26" t="s">
        <v>38</v>
      </c>
      <c r="B13" s="19">
        <f t="shared" si="0"/>
        <v>0</v>
      </c>
      <c r="C13" s="20">
        <f t="shared" si="1"/>
        <v>-3527.3913737676821</v>
      </c>
      <c r="D13" s="21">
        <f>VLOOKUP(A13,'תפוקה מצטברת מול אשתקד'!A:K,9,0)</f>
        <v>0</v>
      </c>
      <c r="E13" s="22">
        <f>VLOOKUP(A13,'תפוקה מצטברת מול אשתקד'!A:O,13,0)</f>
        <v>3527.3913737676821</v>
      </c>
    </row>
    <row r="14" spans="1:6" ht="15.6" hidden="1" x14ac:dyDescent="0.3">
      <c r="A14" s="26" t="s">
        <v>39</v>
      </c>
      <c r="B14" s="19">
        <f t="shared" si="0"/>
        <v>9.6301714001564314</v>
      </c>
      <c r="C14" s="20">
        <f t="shared" si="1"/>
        <v>18591.72</v>
      </c>
      <c r="D14" s="21">
        <f>VLOOKUP(A14,'תפוקה מצטברת מול אשתקד'!A:K,9,0)</f>
        <v>20522.29</v>
      </c>
      <c r="E14" s="22">
        <f>VLOOKUP(A14,'תפוקה מצטברת מול אשתקד'!A:O,13,0)</f>
        <v>1930.57</v>
      </c>
    </row>
    <row r="15" spans="1:6" ht="15.6" hidden="1" x14ac:dyDescent="0.3">
      <c r="A15" s="26" t="s">
        <v>77</v>
      </c>
      <c r="B15" s="19">
        <f t="shared" si="0"/>
        <v>1.4753105628833416</v>
      </c>
      <c r="C15" s="20">
        <f t="shared" si="1"/>
        <v>16531.519394328818</v>
      </c>
      <c r="D15" s="21">
        <f>VLOOKUP(A15,'תפוקה מצטברת מול אשתקד'!A:K,9,0)</f>
        <v>27736.969833197552</v>
      </c>
      <c r="E15" s="22">
        <f>VLOOKUP(A15,'תפוקה מצטברת מול אשתקד'!A:O,13,0)</f>
        <v>11205.450438868733</v>
      </c>
    </row>
    <row r="16" spans="1:6" ht="15.6" hidden="1" x14ac:dyDescent="0.3">
      <c r="A16" s="26" t="s">
        <v>35</v>
      </c>
      <c r="B16" s="19">
        <f t="shared" si="0"/>
        <v>0</v>
      </c>
      <c r="C16" s="20">
        <f t="shared" si="1"/>
        <v>-2467.98</v>
      </c>
      <c r="D16" s="21">
        <f>VLOOKUP(A16,'תפוקה מצטברת מול אשתקד'!A:K,9,0)</f>
        <v>0</v>
      </c>
      <c r="E16" s="22">
        <f>VLOOKUP(A16,'תפוקה מצטברת מול אשתקד'!A:O,13,0)</f>
        <v>2467.98</v>
      </c>
    </row>
    <row r="17" spans="1:5" ht="15.6" hidden="1" x14ac:dyDescent="0.3">
      <c r="A17" s="27" t="s">
        <v>97</v>
      </c>
      <c r="B17" s="19">
        <f t="shared" si="0"/>
        <v>0.30884607482100801</v>
      </c>
      <c r="C17" s="20">
        <f t="shared" si="1"/>
        <v>390.81999999999994</v>
      </c>
      <c r="D17" s="21">
        <f>VLOOKUP(A17,'תפוקה מצטברת מול אשתקד'!A:K,9,0)</f>
        <v>1656.24</v>
      </c>
      <c r="E17" s="22">
        <f>VLOOKUP(A17,'תפוקה מצטברת מול אשתקד'!A:O,13,0)</f>
        <v>1265.42</v>
      </c>
    </row>
    <row r="18" spans="1:5" ht="15.6" hidden="1" x14ac:dyDescent="0.3">
      <c r="A18" s="26" t="s">
        <v>20</v>
      </c>
      <c r="B18" s="19">
        <f t="shared" si="0"/>
        <v>5.6910140196447578E-2</v>
      </c>
      <c r="C18" s="20">
        <f t="shared" si="1"/>
        <v>4746.5284459568356</v>
      </c>
      <c r="D18" s="21">
        <f>VLOOKUP(A18,'תפוקה מצטברת מול אשתקד'!A:K,9,0)</f>
        <v>88150.442573954773</v>
      </c>
      <c r="E18" s="22">
        <f>VLOOKUP(A18,'תפוקה מצטברת מול אשתקד'!A:O,13,0)</f>
        <v>83403.914127997938</v>
      </c>
    </row>
    <row r="19" spans="1:5" ht="15.6" hidden="1" x14ac:dyDescent="0.3">
      <c r="A19" s="26" t="s">
        <v>84</v>
      </c>
      <c r="B19" s="19">
        <f t="shared" si="0"/>
        <v>6.7935987820177512E-2</v>
      </c>
      <c r="C19" s="20">
        <f t="shared" si="1"/>
        <v>2004.9888779610301</v>
      </c>
      <c r="D19" s="21">
        <f>VLOOKUP(A19,'תפוקה מצטברת מול אשתקד'!A:K,9,0)</f>
        <v>31517.901581432918</v>
      </c>
      <c r="E19" s="22">
        <f>VLOOKUP(A19,'תפוקה מצטברת מול אשתקד'!A:O,13,0)</f>
        <v>29512.912703471888</v>
      </c>
    </row>
    <row r="20" spans="1:5" ht="15.6" hidden="1" x14ac:dyDescent="0.3">
      <c r="A20" s="26" t="s">
        <v>88</v>
      </c>
      <c r="B20" s="19">
        <f t="shared" si="0"/>
        <v>-5.9571673112106165</v>
      </c>
      <c r="C20" s="20">
        <f t="shared" si="1"/>
        <v>3926.8268634902079</v>
      </c>
      <c r="D20" s="21">
        <f>VLOOKUP(A20,'תפוקה מצטברת מול אשתקד'!A:K,9,0)</f>
        <v>3267.65</v>
      </c>
      <c r="E20" s="22">
        <f>VLOOKUP(A20,'תפוקה מצטברת מול אשתקד'!A:O,13,0)</f>
        <v>-659.17686349020767</v>
      </c>
    </row>
    <row r="21" spans="1:5" ht="15.6" hidden="1" x14ac:dyDescent="0.3">
      <c r="A21" s="26" t="s">
        <v>41</v>
      </c>
      <c r="B21" s="19">
        <f t="shared" si="0"/>
        <v>-1.0714308352032695</v>
      </c>
      <c r="C21" s="20">
        <f t="shared" si="1"/>
        <v>13010.915138081449</v>
      </c>
      <c r="D21" s="21">
        <f>VLOOKUP(A21,'תפוקה מצטברת מול אשתקד'!A:K,9,0)</f>
        <v>867.42</v>
      </c>
      <c r="E21" s="22">
        <f>VLOOKUP(A21,'תפוקה מצטברת מול אשתקד'!A:O,13,0)</f>
        <v>-12143.495138081449</v>
      </c>
    </row>
    <row r="22" spans="1:5" ht="15.6" hidden="1" x14ac:dyDescent="0.3">
      <c r="A22" s="28" t="s">
        <v>130</v>
      </c>
      <c r="B22" s="19">
        <f t="shared" si="0"/>
        <v>0</v>
      </c>
      <c r="C22" s="20">
        <f t="shared" si="1"/>
        <v>0</v>
      </c>
      <c r="D22" s="21">
        <f>VLOOKUP(A22,'תפוקה מצטברת מול אשתקד'!A:K,9,0)</f>
        <v>0</v>
      </c>
      <c r="E22" s="22">
        <f>VLOOKUP(A22,'תפוקה מצטברת מול אשתקד'!A:O,13,0)</f>
        <v>0</v>
      </c>
    </row>
    <row r="23" spans="1:5" ht="15.6" hidden="1" x14ac:dyDescent="0.3">
      <c r="A23" s="30" t="s">
        <v>95</v>
      </c>
      <c r="B23" s="19">
        <f t="shared" si="0"/>
        <v>-0.35577409761589918</v>
      </c>
      <c r="C23" s="20">
        <f t="shared" si="1"/>
        <v>-16733.4713963666</v>
      </c>
      <c r="D23" s="21">
        <f>VLOOKUP(A23,'תפוקה מצטברת מול אשתקד'!A:K,9,0)</f>
        <v>30300.5074922044</v>
      </c>
      <c r="E23" s="22">
        <f>VLOOKUP(A23,'תפוקה מצטברת מול אשתקד'!A:O,13,0)</f>
        <v>47033.978888571</v>
      </c>
    </row>
    <row r="24" spans="1:5" ht="15.6" hidden="1" x14ac:dyDescent="0.3">
      <c r="A24" s="26" t="s">
        <v>43</v>
      </c>
      <c r="B24" s="19">
        <f t="shared" si="0"/>
        <v>0.1640440325856376</v>
      </c>
      <c r="C24" s="20">
        <f t="shared" si="1"/>
        <v>17301.408291801417</v>
      </c>
      <c r="D24" s="21">
        <f>VLOOKUP(A24,'תפוקה מצטברת מול אשתקד'!A:K,9,0)</f>
        <v>122769.48304648286</v>
      </c>
      <c r="E24" s="22">
        <f>VLOOKUP(A24,'תפוקה מצטברת מול אשתקד'!A:O,13,0)</f>
        <v>105468.07475468144</v>
      </c>
    </row>
    <row r="25" spans="1:5" ht="15.6" hidden="1" x14ac:dyDescent="0.3">
      <c r="A25" s="26" t="s">
        <v>28</v>
      </c>
      <c r="B25" s="19">
        <f t="shared" si="0"/>
        <v>0</v>
      </c>
      <c r="C25" s="20">
        <f t="shared" si="1"/>
        <v>0</v>
      </c>
      <c r="D25" s="21">
        <f>VLOOKUP(A25,'תפוקה מצטברת מול אשתקד'!A:K,9,0)</f>
        <v>0</v>
      </c>
      <c r="E25" s="22">
        <f>VLOOKUP(A25,'תפוקה מצטברת מול אשתקד'!A:O,13,0)</f>
        <v>0</v>
      </c>
    </row>
    <row r="26" spans="1:5" ht="15.6" x14ac:dyDescent="0.3">
      <c r="A26" s="30" t="s">
        <v>40</v>
      </c>
      <c r="B26" s="19">
        <f t="shared" si="0"/>
        <v>9.8120258733032317E-2</v>
      </c>
      <c r="C26" s="20">
        <f t="shared" si="1"/>
        <v>34397.555263701652</v>
      </c>
      <c r="D26" s="21">
        <f>VLOOKUP(A26,'תפוקה מצטברת מול אשתקד'!A:K,9,0)</f>
        <v>384962.8280000001</v>
      </c>
      <c r="E26" s="22">
        <f>VLOOKUP(A26,'תפוקה מצטברת מול אשתקד'!A:O,13,0)</f>
        <v>350565.27273629844</v>
      </c>
    </row>
    <row r="27" spans="1:5" hidden="1" x14ac:dyDescent="0.3">
      <c r="A27" s="199" t="s">
        <v>131</v>
      </c>
      <c r="B27" s="19">
        <f t="shared" si="0"/>
        <v>1</v>
      </c>
      <c r="C27" s="20">
        <f t="shared" si="1"/>
        <v>22615.347403335312</v>
      </c>
      <c r="D27" s="21">
        <f>VLOOKUP(A27,'תפוקה מצטברת מול אשתקד'!A:K,9,0)</f>
        <v>22615.347403335312</v>
      </c>
      <c r="E27" s="22">
        <f>VLOOKUP(A27,'תפוקה מצטברת מול אשתקד'!A:O,13,0)</f>
        <v>0</v>
      </c>
    </row>
    <row r="28" spans="1:5" ht="15.6" hidden="1" x14ac:dyDescent="0.3">
      <c r="A28" s="26" t="s">
        <v>93</v>
      </c>
      <c r="B28" s="19">
        <f t="shared" si="0"/>
        <v>0.52936713441662953</v>
      </c>
      <c r="C28" s="20">
        <f t="shared" si="1"/>
        <v>26039.667871999998</v>
      </c>
      <c r="D28" s="21">
        <f>VLOOKUP(A28,'תפוקה מצטברת מול אשתקד'!A:K,9,0)</f>
        <v>75229.853999999992</v>
      </c>
      <c r="E28" s="22">
        <f>VLOOKUP(A28,'תפוקה מצטברת מול אשתקד'!A:O,13,0)</f>
        <v>49190.186127999994</v>
      </c>
    </row>
    <row r="29" spans="1:5" ht="15.6" hidden="1" x14ac:dyDescent="0.3">
      <c r="A29" s="30" t="s">
        <v>16</v>
      </c>
      <c r="B29" s="19">
        <f t="shared" si="0"/>
        <v>0</v>
      </c>
      <c r="C29" s="20">
        <f t="shared" si="1"/>
        <v>0</v>
      </c>
      <c r="D29" s="21">
        <f>VLOOKUP(A29,'תפוקה מצטברת מול אשתקד'!A:K,9,0)</f>
        <v>0</v>
      </c>
      <c r="E29" s="22">
        <f>VLOOKUP(A29,'תפוקה מצטברת מול אשתקד'!A:O,13,0)</f>
        <v>0</v>
      </c>
    </row>
    <row r="30" spans="1:5" ht="15.6" hidden="1" x14ac:dyDescent="0.3">
      <c r="A30" s="26" t="s">
        <v>1</v>
      </c>
      <c r="B30" s="19">
        <f t="shared" si="0"/>
        <v>-0.67243751801693719</v>
      </c>
      <c r="C30" s="20">
        <f t="shared" si="1"/>
        <v>-502390.88964660623</v>
      </c>
      <c r="D30" s="21">
        <f>VLOOKUP(A30,'תפוקה מצטברת מול אשתקד'!A:K,9,0)</f>
        <v>244728.17522679683</v>
      </c>
      <c r="E30" s="22">
        <f>VLOOKUP(A30,'תפוקה מצטברת מול אשתקד'!A:O,13,0)</f>
        <v>747119.06487340305</v>
      </c>
    </row>
    <row r="31" spans="1:5" ht="15.6" hidden="1" x14ac:dyDescent="0.3">
      <c r="A31" s="26" t="s">
        <v>81</v>
      </c>
      <c r="B31" s="19">
        <f t="shared" si="0"/>
        <v>-6.3807054164483179E-2</v>
      </c>
      <c r="C31" s="20">
        <f t="shared" si="1"/>
        <v>-1578.3295396485228</v>
      </c>
      <c r="D31" s="21">
        <f>VLOOKUP(A31,'תפוקה מצטברת מול אשתקד'!A:K,9,0)</f>
        <v>23157.643</v>
      </c>
      <c r="E31" s="22">
        <f>VLOOKUP(A31,'תפוקה מצטברת מול אשתקד'!A:O,13,0)</f>
        <v>24735.972539648523</v>
      </c>
    </row>
    <row r="32" spans="1:5" ht="15.6" hidden="1" x14ac:dyDescent="0.3">
      <c r="A32" s="26" t="s">
        <v>129</v>
      </c>
      <c r="B32" s="19">
        <f t="shared" si="0"/>
        <v>0</v>
      </c>
      <c r="C32" s="20">
        <f t="shared" si="1"/>
        <v>0</v>
      </c>
      <c r="D32" s="21">
        <f>VLOOKUP(A32,'תפוקה מצטברת מול אשתקד'!A:K,9,0)</f>
        <v>0</v>
      </c>
      <c r="E32" s="22">
        <f>VLOOKUP(A32,'תפוקה מצטברת מול אשתקד'!A:O,13,0)</f>
        <v>0</v>
      </c>
    </row>
    <row r="33" spans="1:5" ht="14.4" hidden="1" x14ac:dyDescent="0.3">
      <c r="A33" s="117" t="s">
        <v>99</v>
      </c>
      <c r="B33" s="19">
        <f t="shared" si="0"/>
        <v>1</v>
      </c>
      <c r="C33" s="20">
        <f t="shared" si="1"/>
        <v>8491.5402379999996</v>
      </c>
      <c r="D33" s="21">
        <f>VLOOKUP(A33,'תפוקה מצטברת מול אשתקד'!A:K,9,0)</f>
        <v>8491.5402379999996</v>
      </c>
      <c r="E33" s="22">
        <f>VLOOKUP(A33,'תפוקה מצטברת מול אשתקד'!A:O,13,0)</f>
        <v>0</v>
      </c>
    </row>
    <row r="34" spans="1:5" ht="15.6" hidden="1" x14ac:dyDescent="0.3">
      <c r="A34" s="26" t="s">
        <v>34</v>
      </c>
      <c r="B34" s="19">
        <f t="shared" si="0"/>
        <v>-0.56579272493067201</v>
      </c>
      <c r="C34" s="20">
        <f t="shared" si="1"/>
        <v>-1632.7967600000002</v>
      </c>
      <c r="D34" s="21">
        <f>VLOOKUP(A34,'תפוקה מצטברת מול אשתקד'!A:K,9,0)</f>
        <v>1253.06</v>
      </c>
      <c r="E34" s="22">
        <f>VLOOKUP(A34,'תפוקה מצטברת מול אשתקד'!A:O,13,0)</f>
        <v>2885.8567600000001</v>
      </c>
    </row>
    <row r="35" spans="1:5" ht="15.6" hidden="1" x14ac:dyDescent="0.3">
      <c r="A35" s="26" t="s">
        <v>90</v>
      </c>
      <c r="B35" s="19">
        <f t="shared" si="0"/>
        <v>-1.0731811797544393</v>
      </c>
      <c r="C35" s="20">
        <f t="shared" si="1"/>
        <v>-23016.366516828293</v>
      </c>
      <c r="D35" s="21">
        <f>VLOOKUP(A35,'תפוקה מצטברת מול אשתקד'!A:K,9,0)</f>
        <v>-1569.506516828294</v>
      </c>
      <c r="E35" s="22">
        <f>VLOOKUP(A35,'תפוקה מצטברת מול אשתקד'!A:O,13,0)</f>
        <v>21446.86</v>
      </c>
    </row>
    <row r="36" spans="1:5" ht="15.6" hidden="1" x14ac:dyDescent="0.3">
      <c r="A36" s="26" t="s">
        <v>29</v>
      </c>
      <c r="B36" s="19">
        <f t="shared" si="0"/>
        <v>2.4290958370612077</v>
      </c>
      <c r="C36" s="20">
        <f t="shared" si="1"/>
        <v>1846.21</v>
      </c>
      <c r="D36" s="21">
        <f>VLOOKUP(A36,'תפוקה מצטברת מול אשתקד'!A:K,9,0)</f>
        <v>2606.25</v>
      </c>
      <c r="E36" s="22">
        <f>VLOOKUP(A36,'תפוקה מצטברת מול אשתקד'!A:O,13,0)</f>
        <v>760.04</v>
      </c>
    </row>
    <row r="37" spans="1:5" ht="15.6" hidden="1" x14ac:dyDescent="0.3">
      <c r="A37" s="26" t="s">
        <v>100</v>
      </c>
      <c r="B37" s="19">
        <f t="shared" si="0"/>
        <v>0.28812897388970837</v>
      </c>
      <c r="C37" s="20">
        <f t="shared" si="1"/>
        <v>13664.757449894358</v>
      </c>
      <c r="D37" s="21">
        <f>VLOOKUP(A37,'תפוקה מצטברת מול אשתקד'!A:K,9,0)</f>
        <v>61090.593406</v>
      </c>
      <c r="E37" s="22">
        <f>VLOOKUP(A37,'תפוקה מצטברת מול אשתקד'!A:O,13,0)</f>
        <v>47425.835956105642</v>
      </c>
    </row>
    <row r="38" spans="1:5" ht="15.6" hidden="1" x14ac:dyDescent="0.3">
      <c r="A38" s="26" t="s">
        <v>4</v>
      </c>
      <c r="B38" s="19">
        <f t="shared" si="0"/>
        <v>0.6736298517884689</v>
      </c>
      <c r="C38" s="20">
        <f t="shared" si="1"/>
        <v>470.77700000000004</v>
      </c>
      <c r="D38" s="21">
        <f>VLOOKUP(A38,'תפוקה מצטברת מול אשתקד'!A:K,9,0)</f>
        <v>1169.643</v>
      </c>
      <c r="E38" s="22">
        <f>VLOOKUP(A38,'תפוקה מצטברת מול אשתקד'!A:O,13,0)</f>
        <v>698.86599999999999</v>
      </c>
    </row>
    <row r="39" spans="1:5" ht="15.6" x14ac:dyDescent="0.3">
      <c r="A39" s="26" t="s">
        <v>104</v>
      </c>
      <c r="B39" s="19">
        <f t="shared" si="0"/>
        <v>1</v>
      </c>
      <c r="C39" s="20">
        <f t="shared" si="1"/>
        <v>47762.663776774483</v>
      </c>
      <c r="D39" s="21">
        <f>VLOOKUP(A39,'תפוקה מצטברת מול אשתקד'!A:K,9,0)</f>
        <v>47762.663776774483</v>
      </c>
      <c r="E39" s="22">
        <f>VLOOKUP(A39,'תפוקה מצטברת מול אשתקד'!A:O,13,0)</f>
        <v>0</v>
      </c>
    </row>
    <row r="40" spans="1:5" ht="15.6" hidden="1" x14ac:dyDescent="0.3">
      <c r="A40" s="26" t="s">
        <v>92</v>
      </c>
      <c r="B40" s="19">
        <f t="shared" si="0"/>
        <v>-1.0643022569848726</v>
      </c>
      <c r="C40" s="20">
        <f t="shared" si="1"/>
        <v>-4868.8629534435959</v>
      </c>
      <c r="D40" s="21">
        <f>VLOOKUP(A40,'תפוקה מצטברת מול אשתקד'!A:K,9,0)</f>
        <v>-294.16349989090099</v>
      </c>
      <c r="E40" s="22">
        <f>VLOOKUP(A40,'תפוקה מצטברת מול אשתקד'!A:O,13,0)</f>
        <v>4574.6994535526946</v>
      </c>
    </row>
    <row r="41" spans="1:5" ht="15.6" hidden="1" x14ac:dyDescent="0.3">
      <c r="A41" s="30" t="s">
        <v>12</v>
      </c>
      <c r="B41" s="19">
        <f t="shared" si="0"/>
        <v>1</v>
      </c>
      <c r="C41" s="20">
        <f t="shared" si="1"/>
        <v>3071.9442883237321</v>
      </c>
      <c r="D41" s="21">
        <f>VLOOKUP(A41,'תפוקה מצטברת מול אשתקד'!A:K,9,0)</f>
        <v>3071.9442883237321</v>
      </c>
      <c r="E41" s="22">
        <f>VLOOKUP(A41,'תפוקה מצטברת מול אשתקד'!A:O,13,0)</f>
        <v>0</v>
      </c>
    </row>
    <row r="42" spans="1:5" ht="15.6" hidden="1" x14ac:dyDescent="0.3">
      <c r="A42" s="26" t="s">
        <v>86</v>
      </c>
      <c r="B42" s="19">
        <f t="shared" si="0"/>
        <v>-0.72531855585101623</v>
      </c>
      <c r="C42" s="20">
        <f t="shared" si="1"/>
        <v>-76929.916140680434</v>
      </c>
      <c r="D42" s="21">
        <f>VLOOKUP(A42,'תפוקה מצטברת מול אשתקד'!A:K,9,0)</f>
        <v>29133.71</v>
      </c>
      <c r="E42" s="22">
        <f>VLOOKUP(A42,'תפוקה מצטברת מול אשתקד'!A:O,13,0)</f>
        <v>106063.62614068043</v>
      </c>
    </row>
    <row r="43" spans="1:5" ht="15.6" hidden="1" x14ac:dyDescent="0.3">
      <c r="A43" s="26" t="s">
        <v>98</v>
      </c>
      <c r="B43" s="19">
        <f t="shared" si="0"/>
        <v>1</v>
      </c>
      <c r="C43" s="20">
        <f t="shared" si="1"/>
        <v>17842.41</v>
      </c>
      <c r="D43" s="21">
        <f>VLOOKUP(A43,'תפוקה מצטברת מול אשתקד'!A:K,9,0)</f>
        <v>17842.41</v>
      </c>
      <c r="E43" s="22">
        <f>VLOOKUP(A43,'תפוקה מצטברת מול אשתקד'!A:O,13,0)</f>
        <v>0</v>
      </c>
    </row>
    <row r="44" spans="1:5" ht="15.6" x14ac:dyDescent="0.3">
      <c r="A44" s="26" t="s">
        <v>5</v>
      </c>
      <c r="B44" s="19">
        <f t="shared" si="0"/>
        <v>0.69984510952194134</v>
      </c>
      <c r="C44" s="20">
        <f t="shared" si="1"/>
        <v>330261.05199353548</v>
      </c>
      <c r="D44" s="21">
        <f>VLOOKUP(A44,'תפוקה מצטברת מול אשתקד'!A:K,9,0)</f>
        <v>802166.97446134291</v>
      </c>
      <c r="E44" s="22">
        <f>VLOOKUP(A44,'תפוקה מצטברת מול אשתקד'!A:O,13,0)</f>
        <v>471905.92246780742</v>
      </c>
    </row>
    <row r="45" spans="1:5" ht="15.6" hidden="1" x14ac:dyDescent="0.3">
      <c r="A45" s="26" t="s">
        <v>9</v>
      </c>
      <c r="B45" s="19">
        <f t="shared" si="0"/>
        <v>-7.2542614911281778E-2</v>
      </c>
      <c r="C45" s="20">
        <f t="shared" si="1"/>
        <v>-2241.0834844594065</v>
      </c>
      <c r="D45" s="21">
        <f>VLOOKUP(A45,'תפוקה מצטברת מול אשתקד'!A:K,9,0)</f>
        <v>28652.254000000001</v>
      </c>
      <c r="E45" s="22">
        <f>VLOOKUP(A45,'תפוקה מצטברת מול אשתקד'!A:O,13,0)</f>
        <v>30893.337484459407</v>
      </c>
    </row>
    <row r="46" spans="1:5" ht="15.6" hidden="1" x14ac:dyDescent="0.3">
      <c r="A46" s="27" t="s">
        <v>31</v>
      </c>
      <c r="B46" s="19">
        <f t="shared" si="0"/>
        <v>0</v>
      </c>
      <c r="C46" s="20">
        <f t="shared" si="1"/>
        <v>0</v>
      </c>
      <c r="D46" s="21">
        <f>VLOOKUP(A46,'תפוקה מצטברת מול אשתקד'!A:K,9,0)</f>
        <v>0</v>
      </c>
      <c r="E46" s="22">
        <f>VLOOKUP(A46,'תפוקה מצטברת מול אשתקד'!A:O,13,0)</f>
        <v>0</v>
      </c>
    </row>
    <row r="47" spans="1:5" ht="15.6" hidden="1" x14ac:dyDescent="0.3">
      <c r="A47" s="30" t="s">
        <v>33</v>
      </c>
      <c r="B47" s="19">
        <f t="shared" si="0"/>
        <v>-0.5551948360868828</v>
      </c>
      <c r="C47" s="20">
        <f t="shared" si="1"/>
        <v>-5497.7526909189492</v>
      </c>
      <c r="D47" s="21">
        <f>VLOOKUP(A47,'תפוקה מצטברת מול אשתקד'!A:K,9,0)</f>
        <v>4404.6317218543045</v>
      </c>
      <c r="E47" s="22">
        <f>VLOOKUP(A47,'תפוקה מצטברת מול אשתקד'!A:O,13,0)</f>
        <v>9902.3844127732536</v>
      </c>
    </row>
    <row r="48" spans="1:5" ht="15.6" hidden="1" x14ac:dyDescent="0.3">
      <c r="A48" s="26" t="s">
        <v>83</v>
      </c>
      <c r="B48" s="19">
        <f t="shared" si="0"/>
        <v>-0.41766979027720641</v>
      </c>
      <c r="C48" s="20">
        <f t="shared" si="1"/>
        <v>-16038.595812185435</v>
      </c>
      <c r="D48" s="21">
        <f>VLOOKUP(A48,'תפוקה מצטברת מול אשתקד'!A:K,9,0)</f>
        <v>22361.585827814568</v>
      </c>
      <c r="E48" s="22">
        <f>VLOOKUP(A48,'תפוקה מצטברת מול אשתקד'!A:O,13,0)</f>
        <v>38400.181640000003</v>
      </c>
    </row>
    <row r="49" spans="1:5" ht="14.4" hidden="1" x14ac:dyDescent="0.3">
      <c r="A49" s="118" t="s">
        <v>101</v>
      </c>
      <c r="B49" s="19">
        <f t="shared" si="0"/>
        <v>0.19689511297458284</v>
      </c>
      <c r="C49" s="20">
        <f t="shared" si="1"/>
        <v>32641.361529933754</v>
      </c>
      <c r="D49" s="21">
        <f>VLOOKUP(A49,'תפוקה מצטברת מול אשתקד'!A:K,9,0)</f>
        <v>198421.81710755598</v>
      </c>
      <c r="E49" s="22">
        <f>VLOOKUP(A49,'תפוקה מצטברת מול אשתקד'!A:O,13,0)</f>
        <v>165780.45557762223</v>
      </c>
    </row>
    <row r="50" spans="1:5" ht="15.6" hidden="1" x14ac:dyDescent="0.3">
      <c r="A50" s="26" t="s">
        <v>37</v>
      </c>
      <c r="B50" s="19">
        <f t="shared" si="0"/>
        <v>-0.93571863914668818</v>
      </c>
      <c r="C50" s="20">
        <f t="shared" si="1"/>
        <v>-115972.94099999999</v>
      </c>
      <c r="D50" s="21">
        <f>VLOOKUP(A50,'תפוקה מצטברת מול אשתקד'!A:K,9,0)</f>
        <v>7967.03</v>
      </c>
      <c r="E50" s="22">
        <f>VLOOKUP(A50,'תפוקה מצטברת מול אשתקד'!A:O,13,0)</f>
        <v>123939.97099999999</v>
      </c>
    </row>
    <row r="51" spans="1:5" ht="15.6" hidden="1" x14ac:dyDescent="0.3">
      <c r="A51" s="26" t="s">
        <v>24</v>
      </c>
      <c r="B51" s="19">
        <f t="shared" si="0"/>
        <v>-14.053267575280339</v>
      </c>
      <c r="C51" s="20">
        <f t="shared" si="1"/>
        <v>7120.875</v>
      </c>
      <c r="D51" s="21">
        <f>VLOOKUP(A51,'תפוקה מצטברת מול אשתקד'!A:K,9,0)</f>
        <v>6614.1689999999999</v>
      </c>
      <c r="E51" s="22">
        <f>VLOOKUP(A51,'תפוקה מצטברת מול אשתקד'!A:O,13,0)</f>
        <v>-506.70600000000002</v>
      </c>
    </row>
    <row r="52" spans="1:5" ht="15.6" hidden="1" x14ac:dyDescent="0.3">
      <c r="A52" s="28" t="s">
        <v>11</v>
      </c>
      <c r="B52" s="19">
        <f t="shared" si="0"/>
        <v>-0.59999260420357636</v>
      </c>
      <c r="C52" s="20">
        <f t="shared" si="1"/>
        <v>-62332.664144262249</v>
      </c>
      <c r="D52" s="21">
        <f>VLOOKUP(A52,'תפוקה מצטברת מול אשתקד'!A:K,9,0)</f>
        <v>41556.39</v>
      </c>
      <c r="E52" s="22">
        <f>VLOOKUP(A52,'תפוקה מצטברת מול אשתקד'!A:O,13,0)</f>
        <v>103889.05414426225</v>
      </c>
    </row>
    <row r="53" spans="1:5" ht="15.6" hidden="1" x14ac:dyDescent="0.3">
      <c r="A53" s="28" t="s">
        <v>96</v>
      </c>
      <c r="B53" s="19">
        <f t="shared" si="0"/>
        <v>1.1230120962545462</v>
      </c>
      <c r="C53" s="20">
        <f t="shared" si="1"/>
        <v>19728.797999999995</v>
      </c>
      <c r="D53" s="21">
        <f>VLOOKUP(A53,'תפוקה מצטברת מול אשתקד'!A:K,9,0)</f>
        <v>37296.549999999996</v>
      </c>
      <c r="E53" s="22">
        <f>VLOOKUP(A53,'תפוקה מצטברת מול אשתקד'!A:O,13,0)</f>
        <v>17567.752</v>
      </c>
    </row>
    <row r="54" spans="1:5" ht="15.6" x14ac:dyDescent="0.3">
      <c r="A54" s="26" t="s">
        <v>30</v>
      </c>
      <c r="B54" s="19">
        <f t="shared" si="0"/>
        <v>6.3252763377214505</v>
      </c>
      <c r="C54" s="20">
        <f t="shared" si="1"/>
        <v>52841.261361239594</v>
      </c>
      <c r="D54" s="21">
        <f>VLOOKUP(A54,'תפוקה מצטברת מול אשתקד'!A:K,9,0)</f>
        <v>61195.245999999992</v>
      </c>
      <c r="E54" s="22">
        <f>VLOOKUP(A54,'תפוקה מצטברת מול אשתקד'!A:O,13,0)</f>
        <v>8353.9846387603939</v>
      </c>
    </row>
    <row r="55" spans="1:5" hidden="1" x14ac:dyDescent="0.3">
      <c r="A55" s="194" t="s">
        <v>128</v>
      </c>
      <c r="B55" s="19">
        <f t="shared" si="0"/>
        <v>0</v>
      </c>
      <c r="C55" s="20">
        <f t="shared" si="1"/>
        <v>0</v>
      </c>
      <c r="D55" s="21">
        <f>VLOOKUP(A55,'תפוקה מצטברת מול אשתקד'!A:K,9,0)</f>
        <v>0</v>
      </c>
      <c r="E55" s="22">
        <f>VLOOKUP(A55,'תפוקה מצטברת מול אשתקד'!A:O,13,0)</f>
        <v>0</v>
      </c>
    </row>
    <row r="56" spans="1:5" ht="15.6" hidden="1" x14ac:dyDescent="0.3">
      <c r="A56" s="26" t="s">
        <v>94</v>
      </c>
      <c r="B56" s="19">
        <f t="shared" si="0"/>
        <v>0</v>
      </c>
      <c r="C56" s="20">
        <f t="shared" si="1"/>
        <v>-3405.9261968804522</v>
      </c>
      <c r="D56" s="21">
        <f>VLOOKUP(A56,'תפוקה מצטברת מול אשתקד'!A:K,9,0)</f>
        <v>0</v>
      </c>
      <c r="E56" s="22">
        <f>VLOOKUP(A56,'תפוקה מצטברת מול אשתקד'!A:O,13,0)</f>
        <v>3405.9261968804522</v>
      </c>
    </row>
    <row r="57" spans="1:5" ht="15.6" hidden="1" x14ac:dyDescent="0.3">
      <c r="A57" s="26" t="s">
        <v>7</v>
      </c>
      <c r="B57" s="19">
        <f t="shared" si="0"/>
        <v>36.934684402399625</v>
      </c>
      <c r="C57" s="20">
        <f t="shared" si="1"/>
        <v>6402.9968879999997</v>
      </c>
      <c r="D57" s="21">
        <f>VLOOKUP(A57,'תפוקה מצטברת מול אשתקד'!A:K,9,0)</f>
        <v>6576.3568879999993</v>
      </c>
      <c r="E57" s="22">
        <f>VLOOKUP(A57,'תפוקה מצטברת מול אשתקד'!A:O,13,0)</f>
        <v>173.36</v>
      </c>
    </row>
    <row r="58" spans="1:5" ht="15.6" hidden="1" x14ac:dyDescent="0.3">
      <c r="A58" s="26" t="s">
        <v>27</v>
      </c>
      <c r="B58" s="19">
        <f t="shared" si="0"/>
        <v>-0.37090153144060722</v>
      </c>
      <c r="C58" s="20">
        <f t="shared" si="1"/>
        <v>2028.5939999999996</v>
      </c>
      <c r="D58" s="21">
        <f>VLOOKUP(A58,'תפוקה מצטברת מול אשתקד'!A:K,9,0)</f>
        <v>-3440.7660000000001</v>
      </c>
      <c r="E58" s="22">
        <f>VLOOKUP(A58,'תפוקה מצטברת מול אשתקד'!A:O,13,0)</f>
        <v>-5469.36</v>
      </c>
    </row>
    <row r="59" spans="1:5" ht="15.6" hidden="1" x14ac:dyDescent="0.3">
      <c r="A59" s="26" t="s">
        <v>6</v>
      </c>
      <c r="B59" s="19">
        <f t="shared" si="0"/>
        <v>-0.45299763488452272</v>
      </c>
      <c r="C59" s="20">
        <f t="shared" si="1"/>
        <v>-33504.40677527331</v>
      </c>
      <c r="D59" s="21">
        <f>VLOOKUP(A59,'תפוקה מצטברת מול אשתקד'!A:K,9,0)</f>
        <v>40457.142237701526</v>
      </c>
      <c r="E59" s="22">
        <f>VLOOKUP(A59,'תפוקה מצטברת מול אשתקד'!A:O,13,0)</f>
        <v>73961.549012974836</v>
      </c>
    </row>
    <row r="60" spans="1:5" ht="15.6" hidden="1" x14ac:dyDescent="0.3">
      <c r="A60" s="26" t="s">
        <v>91</v>
      </c>
      <c r="B60" s="19">
        <f t="shared" si="0"/>
        <v>-0.23432917839667533</v>
      </c>
      <c r="C60" s="20">
        <f t="shared" si="1"/>
        <v>-2256.5168396913223</v>
      </c>
      <c r="D60" s="21">
        <f>VLOOKUP(A60,'תפוקה מצטברת מול אשתקד'!A:K,9,0)</f>
        <v>7373.1709999999994</v>
      </c>
      <c r="E60" s="22">
        <f>VLOOKUP(A60,'תפוקה מצטברת מול אשתקד'!A:O,13,0)</f>
        <v>9629.6878396913216</v>
      </c>
    </row>
    <row r="61" spans="1:5" ht="15.6" hidden="1" x14ac:dyDescent="0.3">
      <c r="A61" s="26" t="s">
        <v>8</v>
      </c>
      <c r="B61" s="19">
        <f t="shared" si="0"/>
        <v>-0.33182619820635295</v>
      </c>
      <c r="C61" s="20">
        <f t="shared" si="1"/>
        <v>-68976.856062167528</v>
      </c>
      <c r="D61" s="21">
        <f>VLOOKUP(A61,'תפוקה מצטברת מול אשתקד'!A:K,9,0)</f>
        <v>138893.57862627396</v>
      </c>
      <c r="E61" s="22">
        <f>VLOOKUP(A61,'תפוקה מצטברת מול אשתקד'!A:O,13,0)</f>
        <v>207870.43468844148</v>
      </c>
    </row>
    <row r="62" spans="1:5" ht="15.6" hidden="1" x14ac:dyDescent="0.3">
      <c r="A62" s="30" t="s">
        <v>13</v>
      </c>
      <c r="B62" s="19">
        <f t="shared" si="0"/>
        <v>-0.47418267004999559</v>
      </c>
      <c r="C62" s="20">
        <f t="shared" si="1"/>
        <v>-10663.798536032162</v>
      </c>
      <c r="D62" s="21">
        <f>VLOOKUP(A62,'תפוקה מצטברת מול אשתקד'!A:K,9,0)</f>
        <v>11825</v>
      </c>
      <c r="E62" s="22">
        <f>VLOOKUP(A62,'תפוקה מצטברת מול אשתקד'!A:O,13,0)</f>
        <v>22488.798536032162</v>
      </c>
    </row>
    <row r="63" spans="1:5" ht="15.6" hidden="1" x14ac:dyDescent="0.3">
      <c r="A63" s="26" t="s">
        <v>21</v>
      </c>
      <c r="B63" s="19">
        <f t="shared" si="0"/>
        <v>-0.99442458768280373</v>
      </c>
      <c r="C63" s="20">
        <f t="shared" si="1"/>
        <v>-1737.2160000000001</v>
      </c>
      <c r="D63" s="21">
        <f>VLOOKUP(A63,'תפוקה מצטברת מול אשתקד'!A:K,9,0)</f>
        <v>9.74</v>
      </c>
      <c r="E63" s="22">
        <f>VLOOKUP(A63,'תפוקה מצטברת מול אשתקד'!A:O,13,0)</f>
        <v>1746.9560000000001</v>
      </c>
    </row>
    <row r="64" spans="1:5" ht="15.6" hidden="1" x14ac:dyDescent="0.3">
      <c r="A64" s="26" t="s">
        <v>2</v>
      </c>
      <c r="B64" s="19">
        <f t="shared" si="0"/>
        <v>-0.42309205208360368</v>
      </c>
      <c r="C64" s="20">
        <f t="shared" si="1"/>
        <v>-2886.6589806693478</v>
      </c>
      <c r="D64" s="21">
        <f>VLOOKUP(A64,'תפוקה מצטברת מול אשתקד'!A:K,9,0)</f>
        <v>3936.1091768826632</v>
      </c>
      <c r="E64" s="22">
        <f>VLOOKUP(A64,'תפוקה מצטברת מול אשתקד'!A:O,13,0)</f>
        <v>6822.768157552011</v>
      </c>
    </row>
    <row r="65" spans="1:5" ht="15.6" hidden="1" x14ac:dyDescent="0.3">
      <c r="A65" s="30" t="s">
        <v>15</v>
      </c>
      <c r="B65" s="19">
        <f t="shared" si="0"/>
        <v>-2.2654934447657316E-2</v>
      </c>
      <c r="C65" s="20">
        <f t="shared" si="1"/>
        <v>-1988.32665800002</v>
      </c>
      <c r="D65" s="21">
        <f>VLOOKUP(A65,'תפוקה מצטברת מול אשתקד'!A:K,9,0)</f>
        <v>85777.39443</v>
      </c>
      <c r="E65" s="22">
        <f>VLOOKUP(A65,'תפוקה מצטברת מול אשתקד'!A:O,13,0)</f>
        <v>87765.72108800002</v>
      </c>
    </row>
    <row r="66" spans="1:5" ht="15.6" hidden="1" x14ac:dyDescent="0.3">
      <c r="A66" s="30" t="s">
        <v>17</v>
      </c>
      <c r="B66" s="19">
        <f t="shared" ref="B66:B69" si="2">IF(D66=0,0%,IF(E66=0,100%,D66/E66-1))</f>
        <v>0.23530011788753469</v>
      </c>
      <c r="C66" s="20">
        <f t="shared" ref="C66:C69" si="3">D66-E66</f>
        <v>11116.530779428896</v>
      </c>
      <c r="D66" s="21">
        <f>VLOOKUP(A66,'תפוקה מצטברת מול אשתקד'!A:K,9,0)</f>
        <v>58360.581820415682</v>
      </c>
      <c r="E66" s="22">
        <f>VLOOKUP(A66,'תפוקה מצטברת מול אשתקד'!A:O,13,0)</f>
        <v>47244.051040986786</v>
      </c>
    </row>
    <row r="67" spans="1:5" ht="15.6" hidden="1" x14ac:dyDescent="0.3">
      <c r="A67" s="192" t="s">
        <v>36</v>
      </c>
      <c r="B67" s="19">
        <f t="shared" si="2"/>
        <v>0</v>
      </c>
      <c r="C67" s="20">
        <f t="shared" si="3"/>
        <v>0</v>
      </c>
      <c r="D67" s="21">
        <f>VLOOKUP(A67,'תפוקה מצטברת מול אשתקד'!A:K,9,0)</f>
        <v>0</v>
      </c>
      <c r="E67" s="22">
        <f>VLOOKUP(A67,'תפוקה מצטברת מול אשתקד'!A:O,13,0)</f>
        <v>0</v>
      </c>
    </row>
    <row r="68" spans="1:5" ht="15.6" hidden="1" x14ac:dyDescent="0.3">
      <c r="A68" s="26" t="s">
        <v>82</v>
      </c>
      <c r="B68" s="19">
        <f t="shared" si="2"/>
        <v>7.1759269931143219</v>
      </c>
      <c r="C68" s="20">
        <f t="shared" si="3"/>
        <v>21910.272239929949</v>
      </c>
      <c r="D68" s="21">
        <f>VLOOKUP(A68,'תפוקה מצטברת מול אשתקד'!A:K,9,0)</f>
        <v>24963.574239929949</v>
      </c>
      <c r="E68" s="22">
        <f>VLOOKUP(A68,'תפוקה מצטברת מול אשתקד'!A:O,13,0)</f>
        <v>3053.3020000000001</v>
      </c>
    </row>
    <row r="69" spans="1:5" ht="15.6" hidden="1" x14ac:dyDescent="0.3">
      <c r="A69" s="26" t="s">
        <v>22</v>
      </c>
      <c r="B69" s="19">
        <f t="shared" si="2"/>
        <v>0.16189490113777705</v>
      </c>
      <c r="C69" s="20">
        <f t="shared" si="3"/>
        <v>677.57689219358326</v>
      </c>
      <c r="D69" s="21">
        <f>VLOOKUP(A69,'תפוקה מצטברת מול אשתקד'!A:K,9,0)</f>
        <v>4862.865542000698</v>
      </c>
      <c r="E69" s="22">
        <f>VLOOKUP(A69,'תפוקה מצטברת מול אשתקד'!A:O,13,0)</f>
        <v>4185.2886498071148</v>
      </c>
    </row>
  </sheetData>
  <autoFilter ref="A1:F69" xr:uid="{86B556E0-BEA5-4A33-8A86-06A0464561C3}">
    <filterColumn colId="2">
      <filters>
        <filter val="330,261"/>
        <filter val="34,398"/>
        <filter val="47,763"/>
        <filter val="52,841"/>
        <filter val="72,483"/>
      </filters>
    </filterColumn>
  </autoFilter>
  <sortState xmlns:xlrd2="http://schemas.microsoft.com/office/spreadsheetml/2017/richdata2" ref="A2:E71">
    <sortCondition ref="B1:B71"/>
  </sortState>
  <conditionalFormatting sqref="A1:A16">
    <cfRule type="duplicateValues" dxfId="281" priority="172"/>
    <cfRule type="duplicateValues" dxfId="280" priority="173"/>
  </conditionalFormatting>
  <conditionalFormatting sqref="A22">
    <cfRule type="duplicateValues" dxfId="279" priority="1"/>
    <cfRule type="duplicateValues" dxfId="278" priority="2"/>
  </conditionalFormatting>
  <conditionalFormatting sqref="A32">
    <cfRule type="duplicateValues" dxfId="277" priority="3"/>
    <cfRule type="duplicateValues" dxfId="276" priority="4"/>
  </conditionalFormatting>
  <conditionalFormatting sqref="A48">
    <cfRule type="duplicateValues" dxfId="275" priority="5"/>
    <cfRule type="duplicateValues" dxfId="274" priority="6"/>
  </conditionalFormatting>
  <conditionalFormatting sqref="A49:A54 A17:A21 A56:A61 A33:A47 A23:A26 A28:A31">
    <cfRule type="duplicateValues" dxfId="273" priority="15"/>
    <cfRule type="duplicateValues" dxfId="272" priority="16"/>
  </conditionalFormatting>
  <conditionalFormatting sqref="A68">
    <cfRule type="duplicateValues" dxfId="271" priority="9"/>
    <cfRule type="duplicateValues" dxfId="270" priority="10"/>
  </conditionalFormatting>
  <conditionalFormatting sqref="A69 A62:A67">
    <cfRule type="duplicateValues" dxfId="269" priority="13"/>
    <cfRule type="duplicateValues" dxfId="268" priority="14"/>
  </conditionalFormatting>
  <conditionalFormatting sqref="B2:B69">
    <cfRule type="cellIs" dxfId="267" priority="28" operator="lessThan">
      <formula>-0.0001</formula>
    </cfRule>
    <cfRule type="cellIs" dxfId="266" priority="29" operator="greaterThan">
      <formula>0.1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F3476-94B3-4EB2-924E-A95904F321CF}">
  <sheetPr>
    <tabColor rgb="FFFFC000"/>
  </sheetPr>
  <dimension ref="A1:K78"/>
  <sheetViews>
    <sheetView rightToLeft="1" workbookViewId="0">
      <selection activeCell="L12" sqref="L12"/>
    </sheetView>
  </sheetViews>
  <sheetFormatPr defaultColWidth="22.3984375" defaultRowHeight="14.4" x14ac:dyDescent="0.3"/>
  <cols>
    <col min="1" max="1" width="30" style="32" bestFit="1" customWidth="1"/>
    <col min="2" max="2" width="10.69921875" style="32" customWidth="1"/>
    <col min="3" max="3" width="11.69921875" style="32" customWidth="1"/>
    <col min="4" max="4" width="14.3984375" customWidth="1"/>
    <col min="5" max="5" width="14.69921875" customWidth="1"/>
    <col min="6" max="6" width="15.3984375" customWidth="1"/>
    <col min="7" max="7" width="19" customWidth="1"/>
    <col min="8" max="8" width="14.3984375" style="3" bestFit="1" customWidth="1"/>
    <col min="9" max="9" width="14.69921875" style="3" bestFit="1" customWidth="1"/>
    <col min="10" max="10" width="15.3984375" style="3" bestFit="1" customWidth="1"/>
    <col min="11" max="11" width="19" bestFit="1" customWidth="1"/>
  </cols>
  <sheetData>
    <row r="1" spans="1:11" ht="21" x14ac:dyDescent="0.25">
      <c r="A1" s="26"/>
      <c r="B1" s="26"/>
      <c r="C1" s="26"/>
      <c r="D1" s="241">
        <v>2025</v>
      </c>
      <c r="E1" s="241"/>
      <c r="F1" s="241"/>
      <c r="G1" s="241"/>
      <c r="H1" s="242">
        <v>2024</v>
      </c>
      <c r="I1" s="242"/>
      <c r="J1" s="242"/>
      <c r="K1" s="242"/>
    </row>
    <row r="2" spans="1:11" ht="21" x14ac:dyDescent="0.25">
      <c r="A2" s="11" t="s">
        <v>0</v>
      </c>
      <c r="B2" s="23" t="s">
        <v>53</v>
      </c>
      <c r="C2" s="23" t="s">
        <v>109</v>
      </c>
      <c r="D2" s="13" t="s">
        <v>46</v>
      </c>
      <c r="E2" s="13" t="s">
        <v>47</v>
      </c>
      <c r="F2" s="13" t="s">
        <v>48</v>
      </c>
      <c r="G2" s="13" t="s">
        <v>49</v>
      </c>
      <c r="H2" s="95" t="s">
        <v>46</v>
      </c>
      <c r="I2" s="95" t="s">
        <v>47</v>
      </c>
      <c r="J2" s="95" t="s">
        <v>48</v>
      </c>
      <c r="K2" s="95" t="s">
        <v>89</v>
      </c>
    </row>
    <row r="3" spans="1:11" ht="15.6" x14ac:dyDescent="0.3">
      <c r="A3" s="26" t="s">
        <v>1</v>
      </c>
      <c r="B3" s="26" t="s">
        <v>108</v>
      </c>
      <c r="C3" s="26" t="s">
        <v>58</v>
      </c>
      <c r="D3" s="14"/>
      <c r="E3" s="14">
        <v>2710</v>
      </c>
      <c r="F3" s="14"/>
      <c r="G3" s="14"/>
      <c r="H3" s="96"/>
      <c r="I3" s="96">
        <v>2990</v>
      </c>
      <c r="J3" s="96"/>
      <c r="K3" s="96"/>
    </row>
    <row r="4" spans="1:11" ht="15.6" x14ac:dyDescent="0.3">
      <c r="A4" s="26" t="s">
        <v>2</v>
      </c>
      <c r="B4" s="26" t="s">
        <v>108</v>
      </c>
      <c r="C4" s="26" t="s">
        <v>58</v>
      </c>
      <c r="D4" s="14"/>
      <c r="E4" s="14"/>
      <c r="F4" s="14"/>
      <c r="G4" s="14"/>
      <c r="H4" s="96"/>
      <c r="I4" s="96"/>
      <c r="J4" s="96"/>
      <c r="K4" s="96"/>
    </row>
    <row r="5" spans="1:11" ht="15.6" x14ac:dyDescent="0.3">
      <c r="A5" s="26" t="s">
        <v>104</v>
      </c>
      <c r="B5" s="26" t="s">
        <v>108</v>
      </c>
      <c r="C5" s="26" t="s">
        <v>58</v>
      </c>
      <c r="D5" s="14"/>
      <c r="E5" s="14"/>
      <c r="F5" s="14"/>
      <c r="G5" s="14"/>
      <c r="H5" s="96"/>
      <c r="I5" s="96"/>
      <c r="J5" s="96"/>
      <c r="K5" s="96"/>
    </row>
    <row r="6" spans="1:11" ht="15.6" x14ac:dyDescent="0.3">
      <c r="A6" s="28" t="s">
        <v>105</v>
      </c>
      <c r="B6" s="26" t="s">
        <v>108</v>
      </c>
      <c r="C6" s="28" t="s">
        <v>58</v>
      </c>
      <c r="D6" s="15"/>
      <c r="E6" s="15"/>
      <c r="F6" s="15"/>
      <c r="G6" s="15"/>
      <c r="H6" s="116"/>
      <c r="I6" s="116"/>
      <c r="J6" s="116"/>
      <c r="K6" s="116"/>
    </row>
    <row r="7" spans="1:11" ht="16.2" thickBot="1" x14ac:dyDescent="0.35">
      <c r="A7" s="26" t="s">
        <v>34</v>
      </c>
      <c r="B7" s="26" t="s">
        <v>108</v>
      </c>
      <c r="C7" s="26" t="s">
        <v>58</v>
      </c>
      <c r="D7" s="14"/>
      <c r="E7" s="14"/>
      <c r="F7" s="14"/>
      <c r="G7" s="14"/>
      <c r="H7" s="96"/>
      <c r="I7" s="96"/>
      <c r="J7" s="96"/>
      <c r="K7" s="96"/>
    </row>
    <row r="8" spans="1:11" ht="21.6" thickBot="1" x14ac:dyDescent="0.4">
      <c r="A8" s="122" t="s">
        <v>3</v>
      </c>
      <c r="B8" s="121"/>
      <c r="C8" s="121"/>
      <c r="D8" s="176">
        <f>SUM(D3:D7)</f>
        <v>0</v>
      </c>
      <c r="E8" s="176">
        <f t="shared" ref="E8:K8" si="0">SUM(E3:E7)</f>
        <v>2710</v>
      </c>
      <c r="F8" s="176">
        <f t="shared" si="0"/>
        <v>0</v>
      </c>
      <c r="G8" s="176">
        <f t="shared" si="0"/>
        <v>0</v>
      </c>
      <c r="H8" s="176">
        <f t="shared" si="0"/>
        <v>0</v>
      </c>
      <c r="I8" s="176">
        <f t="shared" si="0"/>
        <v>2990</v>
      </c>
      <c r="J8" s="176">
        <f t="shared" si="0"/>
        <v>0</v>
      </c>
      <c r="K8" s="176">
        <f t="shared" si="0"/>
        <v>0</v>
      </c>
    </row>
    <row r="9" spans="1:11" ht="15.6" x14ac:dyDescent="0.3">
      <c r="A9" s="27" t="s">
        <v>4</v>
      </c>
      <c r="B9" s="26" t="s">
        <v>108</v>
      </c>
      <c r="C9" s="27" t="s">
        <v>106</v>
      </c>
      <c r="D9" s="18"/>
      <c r="E9" s="18"/>
      <c r="F9" s="18"/>
      <c r="G9" s="18"/>
      <c r="H9" s="119"/>
      <c r="I9" s="119"/>
      <c r="J9" s="119"/>
      <c r="K9" s="119"/>
    </row>
    <row r="10" spans="1:11" ht="15.6" x14ac:dyDescent="0.3">
      <c r="A10" s="26" t="s">
        <v>5</v>
      </c>
      <c r="B10" s="26" t="s">
        <v>108</v>
      </c>
      <c r="C10" s="26" t="s">
        <v>106</v>
      </c>
      <c r="D10" s="14"/>
      <c r="E10" s="14"/>
      <c r="F10" s="14"/>
      <c r="G10" s="14"/>
      <c r="H10" s="96"/>
      <c r="I10" s="96"/>
      <c r="J10" s="96"/>
      <c r="K10" s="96"/>
    </row>
    <row r="11" spans="1:11" ht="15.6" x14ac:dyDescent="0.3">
      <c r="A11" s="26" t="s">
        <v>6</v>
      </c>
      <c r="B11" s="26" t="s">
        <v>108</v>
      </c>
      <c r="C11" s="26" t="s">
        <v>106</v>
      </c>
      <c r="D11" s="14"/>
      <c r="E11" s="14"/>
      <c r="F11" s="14"/>
      <c r="G11" s="14"/>
      <c r="H11" s="96"/>
      <c r="I11" s="96"/>
      <c r="J11" s="96"/>
      <c r="K11" s="96"/>
    </row>
    <row r="12" spans="1:11" ht="15.6" x14ac:dyDescent="0.3">
      <c r="A12" s="26" t="s">
        <v>7</v>
      </c>
      <c r="B12" s="26" t="s">
        <v>108</v>
      </c>
      <c r="C12" s="26" t="s">
        <v>106</v>
      </c>
      <c r="D12" s="14"/>
      <c r="E12" s="14"/>
      <c r="F12" s="14"/>
      <c r="G12" s="14"/>
      <c r="H12" s="96"/>
      <c r="I12" s="96"/>
      <c r="J12" s="96"/>
      <c r="K12" s="96"/>
    </row>
    <row r="13" spans="1:11" ht="15.6" x14ac:dyDescent="0.3">
      <c r="A13" s="26" t="s">
        <v>8</v>
      </c>
      <c r="B13" s="26" t="s">
        <v>108</v>
      </c>
      <c r="C13" s="26" t="s">
        <v>106</v>
      </c>
      <c r="D13" s="14"/>
      <c r="E13" s="14"/>
      <c r="F13" s="14"/>
      <c r="G13" s="14"/>
      <c r="H13" s="96"/>
      <c r="I13" s="96"/>
      <c r="J13" s="96"/>
      <c r="K13" s="96"/>
    </row>
    <row r="14" spans="1:11" ht="15.6" x14ac:dyDescent="0.3">
      <c r="A14" s="26" t="s">
        <v>9</v>
      </c>
      <c r="B14" s="26" t="s">
        <v>108</v>
      </c>
      <c r="C14" s="26" t="s">
        <v>106</v>
      </c>
      <c r="D14" s="14"/>
      <c r="E14" s="14"/>
      <c r="F14" s="14"/>
      <c r="G14" s="14"/>
      <c r="H14" s="96"/>
      <c r="I14" s="96"/>
      <c r="J14" s="96"/>
      <c r="K14" s="96"/>
    </row>
    <row r="15" spans="1:11" ht="15.6" x14ac:dyDescent="0.3">
      <c r="A15" s="26" t="s">
        <v>31</v>
      </c>
      <c r="B15" s="26" t="s">
        <v>108</v>
      </c>
      <c r="C15" s="26" t="s">
        <v>106</v>
      </c>
      <c r="D15" s="14"/>
      <c r="E15" s="14"/>
      <c r="F15" s="14"/>
      <c r="G15" s="14"/>
      <c r="H15" s="96"/>
      <c r="I15" s="96"/>
      <c r="J15" s="96"/>
      <c r="K15" s="96"/>
    </row>
    <row r="16" spans="1:11" ht="15.6" x14ac:dyDescent="0.3">
      <c r="A16" s="26" t="s">
        <v>96</v>
      </c>
      <c r="B16" s="26" t="s">
        <v>108</v>
      </c>
      <c r="C16" s="26" t="s">
        <v>106</v>
      </c>
      <c r="D16" s="14"/>
      <c r="E16" s="14"/>
      <c r="F16" s="14"/>
      <c r="G16" s="14"/>
      <c r="H16" s="96"/>
      <c r="I16" s="96"/>
      <c r="J16" s="96"/>
      <c r="K16" s="96"/>
    </row>
    <row r="17" spans="1:11" ht="15.6" x14ac:dyDescent="0.3">
      <c r="A17" s="26" t="s">
        <v>42</v>
      </c>
      <c r="B17" s="26" t="s">
        <v>108</v>
      </c>
      <c r="C17" s="26" t="s">
        <v>106</v>
      </c>
      <c r="D17" s="14"/>
      <c r="E17" s="14"/>
      <c r="F17" s="14"/>
      <c r="G17" s="14"/>
      <c r="H17" s="96"/>
      <c r="I17" s="96"/>
      <c r="J17" s="96"/>
      <c r="K17" s="96"/>
    </row>
    <row r="18" spans="1:11" ht="15.6" x14ac:dyDescent="0.3">
      <c r="A18" s="26" t="s">
        <v>43</v>
      </c>
      <c r="B18" s="26" t="s">
        <v>108</v>
      </c>
      <c r="C18" s="26" t="s">
        <v>106</v>
      </c>
      <c r="D18" s="14"/>
      <c r="E18" s="14"/>
      <c r="F18" s="14"/>
      <c r="G18" s="14"/>
      <c r="H18" s="96"/>
      <c r="I18" s="96"/>
      <c r="J18" s="96"/>
      <c r="K18" s="96"/>
    </row>
    <row r="19" spans="1:11" ht="15.6" x14ac:dyDescent="0.3">
      <c r="A19" s="26" t="s">
        <v>30</v>
      </c>
      <c r="B19" s="26" t="s">
        <v>108</v>
      </c>
      <c r="C19" s="26" t="s">
        <v>106</v>
      </c>
      <c r="D19" s="14"/>
      <c r="E19" s="14"/>
      <c r="F19" s="14"/>
      <c r="G19" s="14"/>
      <c r="H19" s="96"/>
      <c r="I19" s="96"/>
      <c r="J19" s="96"/>
      <c r="K19" s="96"/>
    </row>
    <row r="20" spans="1:11" ht="15.6" x14ac:dyDescent="0.3">
      <c r="A20" s="28" t="s">
        <v>130</v>
      </c>
      <c r="B20" s="26" t="s">
        <v>108</v>
      </c>
      <c r="C20" s="26" t="s">
        <v>106</v>
      </c>
      <c r="D20" s="15"/>
      <c r="E20" s="15"/>
      <c r="F20" s="15"/>
      <c r="G20" s="15"/>
      <c r="H20" s="116"/>
      <c r="I20" s="116"/>
      <c r="J20" s="116"/>
      <c r="K20" s="116"/>
    </row>
    <row r="21" spans="1:11" ht="16.2" thickBot="1" x14ac:dyDescent="0.35">
      <c r="A21" s="28" t="s">
        <v>38</v>
      </c>
      <c r="B21" s="26" t="s">
        <v>108</v>
      </c>
      <c r="C21" s="28" t="s">
        <v>106</v>
      </c>
      <c r="D21" s="15"/>
      <c r="E21" s="15"/>
      <c r="F21" s="15"/>
      <c r="G21" s="15"/>
      <c r="H21" s="116"/>
      <c r="I21" s="116"/>
      <c r="J21" s="116"/>
      <c r="K21" s="116"/>
    </row>
    <row r="22" spans="1:11" ht="21.6" thickBot="1" x14ac:dyDescent="0.35">
      <c r="A22" s="122" t="s">
        <v>10</v>
      </c>
      <c r="B22" s="121"/>
      <c r="C22" s="121"/>
      <c r="D22" s="120">
        <f>SUM(D9:D21)</f>
        <v>0</v>
      </c>
      <c r="E22" s="120">
        <f t="shared" ref="E22:K22" si="1">SUM(E9:E21)</f>
        <v>0</v>
      </c>
      <c r="F22" s="120">
        <f t="shared" si="1"/>
        <v>0</v>
      </c>
      <c r="G22" s="120">
        <f>SUM(G9:G21)</f>
        <v>0</v>
      </c>
      <c r="H22" s="120">
        <f t="shared" si="1"/>
        <v>0</v>
      </c>
      <c r="I22" s="120">
        <f t="shared" si="1"/>
        <v>0</v>
      </c>
      <c r="J22" s="120">
        <f t="shared" si="1"/>
        <v>0</v>
      </c>
      <c r="K22" s="120">
        <f t="shared" si="1"/>
        <v>0</v>
      </c>
    </row>
    <row r="23" spans="1:11" ht="15.6" x14ac:dyDescent="0.3">
      <c r="A23" s="27" t="s">
        <v>11</v>
      </c>
      <c r="B23" s="27" t="s">
        <v>56</v>
      </c>
      <c r="C23" s="27" t="s">
        <v>107</v>
      </c>
      <c r="D23" s="18"/>
      <c r="E23" s="18"/>
      <c r="F23" s="18"/>
      <c r="G23" s="18"/>
      <c r="H23" s="119"/>
      <c r="I23" s="119"/>
      <c r="J23" s="119"/>
      <c r="K23" s="119"/>
    </row>
    <row r="24" spans="1:11" ht="15.6" x14ac:dyDescent="0.3">
      <c r="A24" s="30" t="s">
        <v>12</v>
      </c>
      <c r="B24" s="26" t="s">
        <v>56</v>
      </c>
      <c r="C24" s="26" t="s">
        <v>107</v>
      </c>
      <c r="D24" s="14"/>
      <c r="E24" s="14"/>
      <c r="F24" s="14"/>
      <c r="G24" s="14"/>
      <c r="H24" s="96"/>
      <c r="I24" s="96"/>
      <c r="J24" s="96"/>
      <c r="K24" s="96"/>
    </row>
    <row r="25" spans="1:11" ht="15.6" x14ac:dyDescent="0.3">
      <c r="A25" s="30" t="s">
        <v>13</v>
      </c>
      <c r="B25" s="26" t="s">
        <v>56</v>
      </c>
      <c r="C25" s="26" t="s">
        <v>107</v>
      </c>
      <c r="D25" s="14"/>
      <c r="E25" s="14"/>
      <c r="F25" s="14"/>
      <c r="G25" s="14"/>
      <c r="H25" s="96"/>
      <c r="I25" s="96"/>
      <c r="J25" s="96"/>
      <c r="K25" s="96"/>
    </row>
    <row r="26" spans="1:11" ht="15.6" x14ac:dyDescent="0.3">
      <c r="A26" s="26" t="s">
        <v>14</v>
      </c>
      <c r="B26" s="26" t="s">
        <v>55</v>
      </c>
      <c r="C26" s="26" t="s">
        <v>107</v>
      </c>
      <c r="D26" s="14"/>
      <c r="E26" s="14"/>
      <c r="F26" s="14"/>
      <c r="G26" s="14"/>
      <c r="H26" s="96"/>
      <c r="I26" s="96"/>
      <c r="J26" s="96"/>
      <c r="K26" s="96"/>
    </row>
    <row r="27" spans="1:11" ht="15.6" x14ac:dyDescent="0.3">
      <c r="A27" s="30" t="s">
        <v>15</v>
      </c>
      <c r="B27" s="26" t="s">
        <v>56</v>
      </c>
      <c r="C27" s="26" t="s">
        <v>107</v>
      </c>
      <c r="D27" s="14"/>
      <c r="E27" s="14"/>
      <c r="F27" s="14"/>
      <c r="G27" s="14"/>
      <c r="H27" s="96"/>
      <c r="I27" s="96"/>
      <c r="J27" s="96"/>
      <c r="K27" s="96"/>
    </row>
    <row r="28" spans="1:11" ht="15.6" x14ac:dyDescent="0.3">
      <c r="A28" s="30" t="s">
        <v>17</v>
      </c>
      <c r="B28" s="26" t="s">
        <v>56</v>
      </c>
      <c r="C28" s="26" t="s">
        <v>107</v>
      </c>
      <c r="D28" s="14"/>
      <c r="E28" s="14"/>
      <c r="F28" s="14"/>
      <c r="G28" s="14"/>
      <c r="H28" s="96"/>
      <c r="I28" s="96"/>
      <c r="J28" s="96"/>
      <c r="K28" s="96"/>
    </row>
    <row r="29" spans="1:11" ht="15.6" x14ac:dyDescent="0.3">
      <c r="A29" s="30" t="s">
        <v>18</v>
      </c>
      <c r="B29" s="26" t="s">
        <v>56</v>
      </c>
      <c r="C29" s="26" t="s">
        <v>107</v>
      </c>
      <c r="D29" s="14"/>
      <c r="E29" s="14"/>
      <c r="F29" s="14"/>
      <c r="G29" s="14"/>
      <c r="H29" s="96"/>
      <c r="I29" s="96"/>
      <c r="J29" s="96"/>
      <c r="K29" s="96"/>
    </row>
    <row r="30" spans="1:11" ht="15.6" x14ac:dyDescent="0.3">
      <c r="A30" s="26" t="s">
        <v>19</v>
      </c>
      <c r="B30" s="26" t="s">
        <v>56</v>
      </c>
      <c r="C30" s="26" t="s">
        <v>107</v>
      </c>
      <c r="D30" s="14"/>
      <c r="E30" s="14"/>
      <c r="F30" s="14"/>
      <c r="G30" s="14"/>
      <c r="H30" s="96"/>
      <c r="I30" s="96"/>
      <c r="J30" s="96"/>
      <c r="K30" s="96"/>
    </row>
    <row r="31" spans="1:11" ht="15.6" x14ac:dyDescent="0.3">
      <c r="A31" s="26" t="s">
        <v>20</v>
      </c>
      <c r="B31" s="26" t="s">
        <v>56</v>
      </c>
      <c r="C31" s="26" t="s">
        <v>107</v>
      </c>
      <c r="D31" s="14"/>
      <c r="E31" s="14"/>
      <c r="F31" s="14"/>
      <c r="G31" s="14"/>
      <c r="H31" s="96"/>
      <c r="I31" s="96"/>
      <c r="J31" s="96"/>
      <c r="K31" s="96"/>
    </row>
    <row r="32" spans="1:11" ht="15.6" x14ac:dyDescent="0.3">
      <c r="A32" s="26" t="s">
        <v>21</v>
      </c>
      <c r="B32" s="26" t="s">
        <v>56</v>
      </c>
      <c r="C32" s="26" t="s">
        <v>107</v>
      </c>
      <c r="D32" s="14"/>
      <c r="E32" s="14"/>
      <c r="F32" s="14"/>
      <c r="G32" s="14"/>
      <c r="H32" s="96"/>
      <c r="I32" s="96"/>
      <c r="J32" s="96"/>
      <c r="K32" s="96"/>
    </row>
    <row r="33" spans="1:11" ht="15.6" x14ac:dyDescent="0.3">
      <c r="A33" s="26" t="s">
        <v>22</v>
      </c>
      <c r="B33" s="26" t="s">
        <v>56</v>
      </c>
      <c r="C33" s="26" t="s">
        <v>107</v>
      </c>
      <c r="D33" s="14"/>
      <c r="E33" s="14"/>
      <c r="F33" s="14"/>
      <c r="G33" s="14"/>
      <c r="H33" s="96"/>
      <c r="I33" s="96"/>
      <c r="J33" s="96"/>
      <c r="K33" s="96"/>
    </row>
    <row r="34" spans="1:11" ht="15.6" x14ac:dyDescent="0.3">
      <c r="A34" s="26" t="s">
        <v>23</v>
      </c>
      <c r="B34" s="26" t="s">
        <v>56</v>
      </c>
      <c r="C34" s="26" t="s">
        <v>107</v>
      </c>
      <c r="D34" s="14"/>
      <c r="E34" s="14"/>
      <c r="F34" s="14"/>
      <c r="G34" s="14"/>
      <c r="H34" s="96"/>
      <c r="I34" s="96"/>
      <c r="J34" s="96"/>
      <c r="K34" s="96"/>
    </row>
    <row r="35" spans="1:11" ht="15.6" x14ac:dyDescent="0.3">
      <c r="A35" s="26" t="s">
        <v>24</v>
      </c>
      <c r="B35" s="26" t="s">
        <v>56</v>
      </c>
      <c r="C35" s="26" t="s">
        <v>107</v>
      </c>
      <c r="D35" s="14"/>
      <c r="E35" s="14"/>
      <c r="F35" s="14"/>
      <c r="G35" s="14"/>
      <c r="H35" s="96"/>
      <c r="I35" s="96"/>
      <c r="J35" s="96"/>
      <c r="K35" s="96"/>
    </row>
    <row r="36" spans="1:11" ht="15.6" x14ac:dyDescent="0.3">
      <c r="A36" s="30" t="s">
        <v>25</v>
      </c>
      <c r="B36" s="26" t="s">
        <v>56</v>
      </c>
      <c r="C36" s="26" t="s">
        <v>107</v>
      </c>
      <c r="D36" s="14"/>
      <c r="E36" s="14"/>
      <c r="F36" s="14"/>
      <c r="G36" s="14"/>
      <c r="H36" s="96"/>
      <c r="I36" s="96"/>
      <c r="J36" s="96"/>
      <c r="K36" s="96"/>
    </row>
    <row r="37" spans="1:11" ht="15.6" x14ac:dyDescent="0.3">
      <c r="A37" s="26" t="s">
        <v>26</v>
      </c>
      <c r="B37" s="26" t="s">
        <v>56</v>
      </c>
      <c r="C37" s="26" t="s">
        <v>107</v>
      </c>
      <c r="D37" s="14"/>
      <c r="E37" s="14"/>
      <c r="F37" s="14"/>
      <c r="G37" s="14"/>
      <c r="H37" s="96"/>
      <c r="I37" s="96"/>
      <c r="J37" s="96"/>
      <c r="K37" s="96"/>
    </row>
    <row r="38" spans="1:11" ht="15.6" x14ac:dyDescent="0.3">
      <c r="A38" s="26" t="s">
        <v>27</v>
      </c>
      <c r="B38" s="26" t="s">
        <v>56</v>
      </c>
      <c r="C38" s="26" t="s">
        <v>107</v>
      </c>
      <c r="D38" s="14"/>
      <c r="E38" s="14"/>
      <c r="F38" s="14"/>
      <c r="G38" s="14"/>
      <c r="H38" s="96"/>
      <c r="I38" s="96"/>
      <c r="J38" s="96"/>
      <c r="K38" s="96"/>
    </row>
    <row r="39" spans="1:11" ht="15.6" x14ac:dyDescent="0.3">
      <c r="A39" s="26" t="s">
        <v>28</v>
      </c>
      <c r="B39" s="26" t="s">
        <v>56</v>
      </c>
      <c r="C39" s="26" t="s">
        <v>107</v>
      </c>
      <c r="D39" s="14"/>
      <c r="E39" s="14"/>
      <c r="F39" s="14"/>
      <c r="G39" s="14"/>
      <c r="H39" s="96"/>
      <c r="I39" s="96"/>
      <c r="J39" s="96"/>
      <c r="K39" s="96"/>
    </row>
    <row r="40" spans="1:11" ht="15.6" x14ac:dyDescent="0.3">
      <c r="A40" s="26" t="s">
        <v>29</v>
      </c>
      <c r="B40" s="26" t="s">
        <v>56</v>
      </c>
      <c r="C40" s="26" t="s">
        <v>107</v>
      </c>
      <c r="D40" s="14"/>
      <c r="E40" s="14"/>
      <c r="F40" s="14"/>
      <c r="G40" s="14"/>
      <c r="H40" s="96"/>
      <c r="I40" s="96"/>
      <c r="J40" s="96"/>
      <c r="K40" s="96"/>
    </row>
    <row r="41" spans="1:11" ht="15.6" x14ac:dyDescent="0.3">
      <c r="A41" s="26" t="s">
        <v>98</v>
      </c>
      <c r="B41" s="26" t="s">
        <v>55</v>
      </c>
      <c r="C41" s="26" t="s">
        <v>107</v>
      </c>
      <c r="D41" s="14"/>
      <c r="E41" s="14"/>
      <c r="F41" s="14"/>
      <c r="G41" s="14"/>
      <c r="H41" s="96"/>
      <c r="I41" s="96"/>
      <c r="J41" s="96"/>
      <c r="K41" s="96"/>
    </row>
    <row r="42" spans="1:11" ht="15.6" x14ac:dyDescent="0.3">
      <c r="A42" s="26" t="s">
        <v>32</v>
      </c>
      <c r="B42" s="26" t="s">
        <v>55</v>
      </c>
      <c r="C42" s="26" t="s">
        <v>107</v>
      </c>
      <c r="D42" s="14"/>
      <c r="E42" s="14"/>
      <c r="F42" s="14"/>
      <c r="G42" s="14"/>
      <c r="H42" s="96"/>
      <c r="I42" s="96"/>
      <c r="J42" s="96"/>
      <c r="K42" s="96"/>
    </row>
    <row r="43" spans="1:11" ht="15.6" x14ac:dyDescent="0.3">
      <c r="A43" s="30" t="s">
        <v>95</v>
      </c>
      <c r="B43" s="26" t="s">
        <v>56</v>
      </c>
      <c r="C43" s="26" t="s">
        <v>107</v>
      </c>
      <c r="D43" s="14"/>
      <c r="E43" s="14"/>
      <c r="F43" s="14"/>
      <c r="G43" s="14"/>
      <c r="H43" s="96"/>
      <c r="I43" s="96"/>
      <c r="J43" s="96"/>
      <c r="K43" s="96"/>
    </row>
    <row r="44" spans="1:11" ht="15.6" x14ac:dyDescent="0.3">
      <c r="A44" s="26" t="s">
        <v>83</v>
      </c>
      <c r="B44" s="26" t="s">
        <v>56</v>
      </c>
      <c r="C44" s="26" t="s">
        <v>107</v>
      </c>
      <c r="D44" s="14"/>
      <c r="E44" s="14"/>
      <c r="F44" s="14"/>
      <c r="G44" s="14"/>
      <c r="H44" s="96"/>
      <c r="I44" s="96"/>
      <c r="J44" s="96"/>
      <c r="K44" s="96"/>
    </row>
    <row r="45" spans="1:11" ht="15.6" x14ac:dyDescent="0.3">
      <c r="A45" s="26" t="s">
        <v>82</v>
      </c>
      <c r="B45" s="26" t="s">
        <v>56</v>
      </c>
      <c r="C45" s="26" t="s">
        <v>107</v>
      </c>
      <c r="D45" s="14"/>
      <c r="E45" s="14"/>
      <c r="F45" s="14"/>
      <c r="G45" s="14"/>
      <c r="H45" s="96"/>
      <c r="I45" s="96"/>
      <c r="J45" s="96"/>
      <c r="K45" s="96"/>
    </row>
    <row r="46" spans="1:11" ht="15.6" x14ac:dyDescent="0.3">
      <c r="A46" s="26" t="s">
        <v>36</v>
      </c>
      <c r="B46" s="26" t="s">
        <v>55</v>
      </c>
      <c r="C46" s="26" t="s">
        <v>107</v>
      </c>
      <c r="D46" s="14"/>
      <c r="E46" s="14"/>
      <c r="F46" s="14"/>
      <c r="G46" s="14"/>
      <c r="H46" s="96"/>
      <c r="I46" s="96"/>
      <c r="J46" s="96"/>
      <c r="K46" s="96"/>
    </row>
    <row r="47" spans="1:11" ht="15.6" x14ac:dyDescent="0.3">
      <c r="A47" s="26" t="s">
        <v>94</v>
      </c>
      <c r="B47" s="26" t="s">
        <v>55</v>
      </c>
      <c r="C47" s="26" t="s">
        <v>107</v>
      </c>
      <c r="D47" s="14"/>
      <c r="E47" s="14"/>
      <c r="F47" s="14"/>
      <c r="G47" s="14"/>
      <c r="H47" s="96"/>
      <c r="I47" s="96"/>
      <c r="J47" s="96"/>
      <c r="K47" s="96"/>
    </row>
    <row r="48" spans="1:11" ht="15.6" x14ac:dyDescent="0.3">
      <c r="A48" s="26" t="s">
        <v>85</v>
      </c>
      <c r="B48" s="26" t="s">
        <v>56</v>
      </c>
      <c r="C48" s="26" t="s">
        <v>107</v>
      </c>
      <c r="D48" s="14"/>
      <c r="E48" s="14"/>
      <c r="F48" s="14"/>
      <c r="G48" s="14"/>
      <c r="H48" s="96"/>
      <c r="I48" s="96"/>
      <c r="J48" s="96"/>
      <c r="K48" s="96"/>
    </row>
    <row r="49" spans="1:11" ht="15.6" x14ac:dyDescent="0.3">
      <c r="A49" s="26" t="s">
        <v>87</v>
      </c>
      <c r="B49" s="26" t="s">
        <v>56</v>
      </c>
      <c r="C49" s="26" t="s">
        <v>107</v>
      </c>
      <c r="D49" s="14"/>
      <c r="E49" s="14"/>
      <c r="F49" s="14"/>
      <c r="G49" s="14"/>
      <c r="H49" s="96"/>
      <c r="I49" s="96"/>
      <c r="J49" s="96"/>
      <c r="K49" s="96"/>
    </row>
    <row r="50" spans="1:11" ht="15.6" x14ac:dyDescent="0.3">
      <c r="A50" s="26" t="s">
        <v>97</v>
      </c>
      <c r="B50" s="26" t="s">
        <v>56</v>
      </c>
      <c r="C50" s="26" t="s">
        <v>107</v>
      </c>
      <c r="D50" s="14"/>
      <c r="E50" s="14"/>
      <c r="F50" s="14"/>
      <c r="G50" s="14"/>
      <c r="H50" s="96"/>
      <c r="I50" s="96"/>
      <c r="J50" s="96"/>
      <c r="K50" s="96"/>
    </row>
    <row r="51" spans="1:11" ht="15.6" x14ac:dyDescent="0.3">
      <c r="A51" s="26" t="s">
        <v>39</v>
      </c>
      <c r="B51" s="26" t="s">
        <v>56</v>
      </c>
      <c r="C51" s="26" t="s">
        <v>107</v>
      </c>
      <c r="D51" s="14"/>
      <c r="E51" s="14"/>
      <c r="F51" s="14"/>
      <c r="G51" s="14"/>
      <c r="H51" s="96"/>
      <c r="I51" s="96"/>
      <c r="J51" s="96"/>
      <c r="K51" s="96"/>
    </row>
    <row r="52" spans="1:11" ht="15.6" x14ac:dyDescent="0.3">
      <c r="A52" s="26" t="s">
        <v>91</v>
      </c>
      <c r="B52" s="26" t="s">
        <v>56</v>
      </c>
      <c r="C52" s="26" t="s">
        <v>107</v>
      </c>
      <c r="D52" s="14"/>
      <c r="E52" s="14"/>
      <c r="F52" s="14"/>
      <c r="G52" s="14"/>
      <c r="H52" s="96"/>
      <c r="I52" s="96"/>
      <c r="J52" s="96"/>
      <c r="K52" s="96"/>
    </row>
    <row r="53" spans="1:11" ht="15.6" x14ac:dyDescent="0.3">
      <c r="A53" s="26" t="s">
        <v>41</v>
      </c>
      <c r="B53" s="26" t="s">
        <v>56</v>
      </c>
      <c r="C53" s="26" t="s">
        <v>107</v>
      </c>
      <c r="D53" s="14"/>
      <c r="E53" s="14"/>
      <c r="F53" s="14"/>
      <c r="G53" s="14"/>
      <c r="H53" s="96"/>
      <c r="I53" s="96"/>
      <c r="J53" s="96"/>
      <c r="K53" s="96"/>
    </row>
    <row r="54" spans="1:11" ht="15.6" x14ac:dyDescent="0.3">
      <c r="A54" s="26" t="s">
        <v>129</v>
      </c>
      <c r="B54" s="26" t="s">
        <v>108</v>
      </c>
      <c r="C54" s="27" t="s">
        <v>107</v>
      </c>
      <c r="D54" s="15"/>
      <c r="E54" s="15"/>
      <c r="F54" s="15"/>
      <c r="G54" s="15"/>
      <c r="H54" s="116"/>
      <c r="I54" s="116"/>
      <c r="J54" s="116"/>
      <c r="K54" s="116"/>
    </row>
    <row r="55" spans="1:11" ht="16.2" thickBot="1" x14ac:dyDescent="0.35">
      <c r="A55" s="28" t="s">
        <v>88</v>
      </c>
      <c r="B55" s="28" t="s">
        <v>56</v>
      </c>
      <c r="C55" s="28" t="s">
        <v>107</v>
      </c>
      <c r="D55" s="15"/>
      <c r="E55" s="15"/>
      <c r="F55" s="15"/>
      <c r="G55" s="15"/>
      <c r="H55" s="116"/>
      <c r="I55" s="116"/>
      <c r="J55" s="116"/>
      <c r="K55" s="116"/>
    </row>
    <row r="56" spans="1:11" ht="21.6" thickBot="1" x14ac:dyDescent="0.35">
      <c r="A56" s="123" t="s">
        <v>115</v>
      </c>
      <c r="B56" s="121"/>
      <c r="C56" s="121"/>
      <c r="D56" s="120">
        <f t="shared" ref="D56:K56" ca="1" si="2">SUM(D22:D58)</f>
        <v>0</v>
      </c>
      <c r="E56" s="120">
        <f t="shared" ca="1" si="2"/>
        <v>0</v>
      </c>
      <c r="F56" s="120">
        <f t="shared" ca="1" si="2"/>
        <v>0</v>
      </c>
      <c r="G56" s="120">
        <f t="shared" ca="1" si="2"/>
        <v>0</v>
      </c>
      <c r="H56" s="120">
        <f t="shared" ca="1" si="2"/>
        <v>0</v>
      </c>
      <c r="I56" s="120">
        <f t="shared" ca="1" si="2"/>
        <v>0</v>
      </c>
      <c r="J56" s="120">
        <f t="shared" ca="1" si="2"/>
        <v>0</v>
      </c>
      <c r="K56" s="120">
        <f t="shared" ca="1" si="2"/>
        <v>0</v>
      </c>
    </row>
    <row r="57" spans="1:11" ht="15.6" x14ac:dyDescent="0.3">
      <c r="A57" s="30" t="s">
        <v>33</v>
      </c>
      <c r="B57" s="26" t="s">
        <v>114</v>
      </c>
      <c r="C57" s="26" t="s">
        <v>107</v>
      </c>
      <c r="D57" s="14"/>
      <c r="E57" s="14"/>
      <c r="F57" s="14"/>
      <c r="G57" s="14"/>
      <c r="H57" s="96"/>
      <c r="I57" s="96"/>
      <c r="J57" s="96"/>
      <c r="K57" s="96"/>
    </row>
    <row r="58" spans="1:11" ht="15.6" x14ac:dyDescent="0.3">
      <c r="A58" s="26" t="s">
        <v>84</v>
      </c>
      <c r="B58" s="26" t="s">
        <v>114</v>
      </c>
      <c r="C58" s="26" t="s">
        <v>107</v>
      </c>
      <c r="D58" s="14"/>
      <c r="E58" s="14"/>
      <c r="F58" s="14"/>
      <c r="G58" s="14"/>
      <c r="H58" s="96"/>
      <c r="I58" s="96"/>
      <c r="J58" s="96"/>
      <c r="K58" s="96"/>
    </row>
    <row r="59" spans="1:11" ht="15.6" x14ac:dyDescent="0.3">
      <c r="A59" s="26" t="s">
        <v>37</v>
      </c>
      <c r="B59" s="26" t="s">
        <v>114</v>
      </c>
      <c r="C59" s="26" t="s">
        <v>107</v>
      </c>
      <c r="D59" s="14"/>
      <c r="E59" s="14"/>
      <c r="F59" s="14"/>
      <c r="G59" s="14"/>
      <c r="H59" s="96"/>
      <c r="I59" s="96"/>
      <c r="J59" s="96"/>
      <c r="K59" s="96"/>
    </row>
    <row r="60" spans="1:11" ht="15.6" x14ac:dyDescent="0.3">
      <c r="A60" s="26" t="s">
        <v>35</v>
      </c>
      <c r="B60" s="26" t="s">
        <v>114</v>
      </c>
      <c r="C60" s="26" t="s">
        <v>107</v>
      </c>
      <c r="D60" s="14"/>
      <c r="E60" s="14"/>
      <c r="F60" s="14"/>
      <c r="G60" s="14"/>
      <c r="H60" s="96"/>
      <c r="I60" s="96"/>
      <c r="J60" s="96"/>
      <c r="K60" s="96"/>
    </row>
    <row r="61" spans="1:11" ht="15.6" x14ac:dyDescent="0.3">
      <c r="A61" s="27" t="s">
        <v>86</v>
      </c>
      <c r="B61" s="27" t="s">
        <v>114</v>
      </c>
      <c r="C61" s="27" t="s">
        <v>107</v>
      </c>
      <c r="D61" s="14"/>
      <c r="E61" s="14"/>
      <c r="F61" s="14"/>
      <c r="G61" s="14"/>
      <c r="H61" s="96"/>
      <c r="I61" s="96"/>
      <c r="J61" s="96"/>
      <c r="K61" s="96"/>
    </row>
    <row r="62" spans="1:11" ht="15.6" x14ac:dyDescent="0.3">
      <c r="A62" s="30" t="s">
        <v>16</v>
      </c>
      <c r="B62" s="26" t="s">
        <v>114</v>
      </c>
      <c r="C62" s="26" t="s">
        <v>107</v>
      </c>
      <c r="D62" s="14"/>
      <c r="E62" s="14"/>
      <c r="F62" s="14"/>
      <c r="G62" s="14"/>
      <c r="H62" s="96"/>
      <c r="I62" s="96"/>
      <c r="J62" s="96"/>
      <c r="K62" s="96"/>
    </row>
    <row r="63" spans="1:11" ht="15.6" x14ac:dyDescent="0.3">
      <c r="A63" s="194" t="s">
        <v>128</v>
      </c>
      <c r="B63" s="26" t="s">
        <v>114</v>
      </c>
      <c r="C63" s="27" t="s">
        <v>107</v>
      </c>
      <c r="D63" s="14"/>
      <c r="E63" s="14"/>
      <c r="F63" s="14"/>
      <c r="G63" s="14"/>
      <c r="H63" s="96"/>
      <c r="I63" s="96"/>
      <c r="J63" s="96"/>
      <c r="K63" s="96"/>
    </row>
    <row r="64" spans="1:11" ht="15.6" x14ac:dyDescent="0.3">
      <c r="A64" s="199" t="s">
        <v>131</v>
      </c>
      <c r="B64" s="26" t="s">
        <v>114</v>
      </c>
      <c r="C64" s="27" t="s">
        <v>107</v>
      </c>
      <c r="D64" s="14"/>
      <c r="E64" s="14"/>
      <c r="F64" s="14"/>
      <c r="G64" s="14"/>
      <c r="H64" s="96"/>
      <c r="I64" s="96"/>
      <c r="J64" s="96"/>
      <c r="K64" s="96"/>
    </row>
    <row r="65" spans="1:11" ht="15.75" customHeight="1" thickBot="1" x14ac:dyDescent="0.35">
      <c r="A65" s="117" t="s">
        <v>99</v>
      </c>
      <c r="B65" s="26" t="s">
        <v>114</v>
      </c>
      <c r="C65" s="26" t="s">
        <v>107</v>
      </c>
      <c r="D65" s="14"/>
      <c r="E65" s="14"/>
      <c r="F65" s="14"/>
      <c r="G65" s="14"/>
      <c r="H65" s="96"/>
      <c r="I65" s="96"/>
      <c r="J65" s="96"/>
      <c r="K65" s="96"/>
    </row>
    <row r="66" spans="1:11" ht="21.6" thickBot="1" x14ac:dyDescent="0.35">
      <c r="A66" s="123" t="s">
        <v>116</v>
      </c>
      <c r="B66" s="121"/>
      <c r="C66" s="121"/>
      <c r="D66" s="120">
        <f t="shared" ref="D66:K66" si="3">SUM(D23:D55)</f>
        <v>0</v>
      </c>
      <c r="E66" s="120">
        <f t="shared" si="3"/>
        <v>0</v>
      </c>
      <c r="F66" s="120">
        <f t="shared" si="3"/>
        <v>0</v>
      </c>
      <c r="G66" s="120">
        <f t="shared" si="3"/>
        <v>0</v>
      </c>
      <c r="H66" s="120">
        <f t="shared" si="3"/>
        <v>0</v>
      </c>
      <c r="I66" s="120">
        <f t="shared" si="3"/>
        <v>0</v>
      </c>
      <c r="J66" s="120">
        <f t="shared" si="3"/>
        <v>0</v>
      </c>
      <c r="K66" s="120">
        <f t="shared" si="3"/>
        <v>0</v>
      </c>
    </row>
    <row r="67" spans="1:11" ht="15.6" x14ac:dyDescent="0.3">
      <c r="A67" s="27" t="s">
        <v>77</v>
      </c>
      <c r="B67" s="26" t="s">
        <v>108</v>
      </c>
      <c r="C67" s="27" t="s">
        <v>102</v>
      </c>
      <c r="D67" s="18"/>
      <c r="E67" s="18"/>
      <c r="F67" s="18"/>
      <c r="G67" s="18"/>
      <c r="H67" s="119"/>
      <c r="I67" s="119"/>
      <c r="J67" s="119"/>
      <c r="K67" s="119"/>
    </row>
    <row r="68" spans="1:11" ht="15.6" x14ac:dyDescent="0.3">
      <c r="A68" s="30" t="s">
        <v>40</v>
      </c>
      <c r="B68" s="26" t="s">
        <v>56</v>
      </c>
      <c r="C68" s="26" t="s">
        <v>103</v>
      </c>
      <c r="D68" s="14"/>
      <c r="E68" s="14"/>
      <c r="F68" s="14"/>
      <c r="G68" s="14"/>
      <c r="H68" s="96"/>
      <c r="I68" s="96"/>
      <c r="J68" s="96"/>
      <c r="K68" s="96"/>
    </row>
    <row r="69" spans="1:11" ht="15.6" x14ac:dyDescent="0.3">
      <c r="A69" s="26" t="s">
        <v>90</v>
      </c>
      <c r="B69" s="26" t="s">
        <v>108</v>
      </c>
      <c r="C69" s="26" t="s">
        <v>103</v>
      </c>
      <c r="D69" s="14"/>
      <c r="E69" s="14"/>
      <c r="F69" s="14"/>
      <c r="G69" s="14"/>
      <c r="H69" s="96"/>
      <c r="I69" s="96"/>
      <c r="J69" s="96"/>
      <c r="K69" s="96"/>
    </row>
    <row r="70" spans="1:11" ht="15.6" x14ac:dyDescent="0.3">
      <c r="A70" s="26" t="s">
        <v>92</v>
      </c>
      <c r="B70" s="26" t="s">
        <v>56</v>
      </c>
      <c r="C70" s="26" t="s">
        <v>103</v>
      </c>
      <c r="D70" s="14"/>
      <c r="E70" s="14"/>
      <c r="F70" s="14"/>
      <c r="G70" s="14"/>
      <c r="H70" s="96"/>
      <c r="I70" s="96"/>
      <c r="J70" s="96"/>
      <c r="K70" s="96"/>
    </row>
    <row r="71" spans="1:11" ht="15.6" x14ac:dyDescent="0.3">
      <c r="A71" s="26" t="s">
        <v>93</v>
      </c>
      <c r="B71" s="26" t="s">
        <v>56</v>
      </c>
      <c r="C71" s="26" t="s">
        <v>103</v>
      </c>
      <c r="D71" s="14"/>
      <c r="E71" s="14"/>
      <c r="F71" s="14"/>
      <c r="G71" s="14"/>
      <c r="H71" s="96"/>
      <c r="I71" s="96"/>
      <c r="J71" s="96"/>
      <c r="K71" s="96"/>
    </row>
    <row r="72" spans="1:11" ht="15.6" x14ac:dyDescent="0.3">
      <c r="A72" s="26" t="s">
        <v>100</v>
      </c>
      <c r="B72" s="26" t="s">
        <v>56</v>
      </c>
      <c r="C72" s="26" t="s">
        <v>103</v>
      </c>
      <c r="D72" s="14"/>
      <c r="E72" s="14"/>
      <c r="F72" s="14"/>
      <c r="G72" s="14"/>
      <c r="H72" s="96"/>
      <c r="I72" s="96"/>
      <c r="J72" s="96"/>
      <c r="K72" s="96"/>
    </row>
    <row r="73" spans="1:11" ht="15.6" x14ac:dyDescent="0.3">
      <c r="A73" s="118" t="s">
        <v>101</v>
      </c>
      <c r="B73" s="26" t="s">
        <v>56</v>
      </c>
      <c r="C73" s="26" t="s">
        <v>103</v>
      </c>
      <c r="D73" s="14"/>
      <c r="E73" s="14"/>
      <c r="F73" s="14"/>
      <c r="G73" s="14"/>
      <c r="H73" s="96"/>
      <c r="I73" s="96"/>
      <c r="J73" s="96"/>
      <c r="K73" s="96"/>
    </row>
    <row r="74" spans="1:11" ht="16.2" thickBot="1" x14ac:dyDescent="0.35">
      <c r="A74" s="28" t="s">
        <v>81</v>
      </c>
      <c r="B74" s="28" t="s">
        <v>56</v>
      </c>
      <c r="C74" s="28" t="s">
        <v>103</v>
      </c>
      <c r="D74" s="15"/>
      <c r="E74" s="15"/>
      <c r="F74" s="15"/>
      <c r="G74" s="15"/>
      <c r="H74" s="116"/>
      <c r="I74" s="116"/>
      <c r="J74" s="116"/>
      <c r="K74" s="116"/>
    </row>
    <row r="75" spans="1:11" ht="21.6" thickBot="1" x14ac:dyDescent="0.3">
      <c r="A75" s="122" t="s">
        <v>44</v>
      </c>
      <c r="B75" s="121"/>
      <c r="C75" s="121"/>
      <c r="D75" s="131">
        <f t="shared" ref="D75:K75" si="4">SUM(D67:D74)</f>
        <v>0</v>
      </c>
      <c r="E75" s="131">
        <f t="shared" si="4"/>
        <v>0</v>
      </c>
      <c r="F75" s="131">
        <f t="shared" si="4"/>
        <v>0</v>
      </c>
      <c r="G75" s="131">
        <f t="shared" si="4"/>
        <v>0</v>
      </c>
      <c r="H75" s="131">
        <f t="shared" si="4"/>
        <v>0</v>
      </c>
      <c r="I75" s="131">
        <f t="shared" si="4"/>
        <v>0</v>
      </c>
      <c r="J75" s="131">
        <f t="shared" si="4"/>
        <v>0</v>
      </c>
      <c r="K75" s="131">
        <f t="shared" si="4"/>
        <v>0</v>
      </c>
    </row>
    <row r="76" spans="1:11" ht="21.6" thickBot="1" x14ac:dyDescent="0.45">
      <c r="A76" s="122" t="s">
        <v>45</v>
      </c>
      <c r="B76" s="121"/>
      <c r="C76" s="121"/>
      <c r="D76" s="175">
        <f t="shared" ref="D76:K76" si="5">D75+D66+D22+D8</f>
        <v>0</v>
      </c>
      <c r="E76" s="175">
        <f t="shared" si="5"/>
        <v>2710</v>
      </c>
      <c r="F76" s="175">
        <f t="shared" si="5"/>
        <v>0</v>
      </c>
      <c r="G76" s="175">
        <f t="shared" si="5"/>
        <v>0</v>
      </c>
      <c r="H76" s="175">
        <f t="shared" si="5"/>
        <v>0</v>
      </c>
      <c r="I76" s="175">
        <f t="shared" si="5"/>
        <v>2990</v>
      </c>
      <c r="J76" s="132">
        <f t="shared" si="5"/>
        <v>0</v>
      </c>
      <c r="K76" s="132">
        <f t="shared" si="5"/>
        <v>0</v>
      </c>
    </row>
    <row r="77" spans="1:11" x14ac:dyDescent="0.3">
      <c r="H77" s="10"/>
      <c r="I77" s="10"/>
      <c r="J77" s="10"/>
    </row>
    <row r="78" spans="1:11" x14ac:dyDescent="0.3">
      <c r="F78" s="6"/>
    </row>
  </sheetData>
  <mergeCells count="2">
    <mergeCell ref="D1:G1"/>
    <mergeCell ref="H1:K1"/>
  </mergeCells>
  <conditionalFormatting sqref="A14">
    <cfRule type="duplicateValues" dxfId="265" priority="7"/>
    <cfRule type="duplicateValues" dxfId="264" priority="8"/>
  </conditionalFormatting>
  <conditionalFormatting sqref="A20">
    <cfRule type="duplicateValues" dxfId="263" priority="1"/>
    <cfRule type="duplicateValues" dxfId="262" priority="2"/>
  </conditionalFormatting>
  <conditionalFormatting sqref="A54">
    <cfRule type="duplicateValues" dxfId="261" priority="3"/>
    <cfRule type="duplicateValues" dxfId="260" priority="4"/>
  </conditionalFormatting>
  <conditionalFormatting sqref="A57">
    <cfRule type="duplicateValues" dxfId="259" priority="11"/>
    <cfRule type="duplicateValues" dxfId="258" priority="12"/>
  </conditionalFormatting>
  <conditionalFormatting sqref="A58:A60 A7 A23:A53 A62 A55">
    <cfRule type="duplicateValues" dxfId="257" priority="268"/>
    <cfRule type="duplicateValues" dxfId="256" priority="269"/>
  </conditionalFormatting>
  <conditionalFormatting sqref="A61">
    <cfRule type="duplicateValues" dxfId="255" priority="5"/>
    <cfRule type="duplicateValues" dxfId="254" priority="6"/>
  </conditionalFormatting>
  <conditionalFormatting sqref="A67:A74">
    <cfRule type="duplicateValues" dxfId="253" priority="15"/>
    <cfRule type="duplicateValues" dxfId="252" priority="16"/>
  </conditionalFormatting>
  <conditionalFormatting sqref="A75:A76 A1:A6 A8:A13 A15:A19 A56 A66 A21:A22">
    <cfRule type="duplicateValues" dxfId="251" priority="13"/>
    <cfRule type="duplicateValues" dxfId="250" priority="14"/>
  </conditionalFormatting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B8A06-4D4B-4B30-A1A2-FA16B619E891}">
  <sheetPr>
    <tabColor rgb="FFFFC000"/>
  </sheetPr>
  <dimension ref="A1:M80"/>
  <sheetViews>
    <sheetView rightToLeft="1" zoomScaleNormal="100" workbookViewId="0">
      <pane ySplit="3" topLeftCell="A4" activePane="bottomLeft" state="frozen"/>
      <selection pane="bottomLeft" activeCell="L37" sqref="L37"/>
    </sheetView>
  </sheetViews>
  <sheetFormatPr defaultColWidth="30.09765625" defaultRowHeight="14.4" x14ac:dyDescent="0.3"/>
  <cols>
    <col min="1" max="1" width="30" style="32" bestFit="1" customWidth="1"/>
    <col min="2" max="2" width="11.3984375" style="32" customWidth="1"/>
    <col min="3" max="3" width="11.69921875" style="32" customWidth="1"/>
    <col min="4" max="4" width="16.8984375" customWidth="1"/>
    <col min="5" max="5" width="15.19921875" customWidth="1"/>
    <col min="6" max="6" width="16.8984375" customWidth="1"/>
    <col min="7" max="7" width="19" customWidth="1"/>
    <col min="8" max="8" width="16.8984375" style="3" customWidth="1"/>
    <col min="9" max="9" width="15.19921875" style="3" customWidth="1"/>
    <col min="10" max="10" width="16.8984375" style="3" customWidth="1"/>
    <col min="11" max="11" width="19" customWidth="1"/>
    <col min="12" max="12" width="30.59765625" customWidth="1"/>
  </cols>
  <sheetData>
    <row r="1" spans="1:13" ht="21" x14ac:dyDescent="0.25">
      <c r="A1" s="26"/>
      <c r="B1" s="26"/>
      <c r="C1" s="26"/>
      <c r="D1" s="241">
        <v>2025</v>
      </c>
      <c r="E1" s="241"/>
      <c r="F1" s="241"/>
      <c r="G1" s="241"/>
      <c r="H1" s="242">
        <v>2024</v>
      </c>
      <c r="I1" s="242"/>
      <c r="J1" s="242"/>
      <c r="K1" s="242"/>
    </row>
    <row r="2" spans="1:13" ht="21" x14ac:dyDescent="0.25">
      <c r="A2" s="11" t="s">
        <v>0</v>
      </c>
      <c r="B2" s="23" t="s">
        <v>53</v>
      </c>
      <c r="C2" s="23" t="s">
        <v>109</v>
      </c>
      <c r="D2" s="13" t="s">
        <v>46</v>
      </c>
      <c r="E2" s="13" t="s">
        <v>47</v>
      </c>
      <c r="F2" s="13" t="s">
        <v>48</v>
      </c>
      <c r="G2" s="13" t="s">
        <v>49</v>
      </c>
      <c r="H2" s="95" t="s">
        <v>46</v>
      </c>
      <c r="I2" s="95" t="s">
        <v>47</v>
      </c>
      <c r="J2" s="95" t="s">
        <v>48</v>
      </c>
      <c r="K2" s="95" t="s">
        <v>89</v>
      </c>
    </row>
    <row r="3" spans="1:13" ht="15.6" x14ac:dyDescent="0.3">
      <c r="A3" s="26" t="s">
        <v>1</v>
      </c>
      <c r="B3" s="26" t="s">
        <v>108</v>
      </c>
      <c r="C3" s="26" t="s">
        <v>58</v>
      </c>
      <c r="D3" s="195">
        <f>5662680.27-D4-D6-D16-D51-D52-D70-D74</f>
        <v>4947835.22</v>
      </c>
      <c r="E3" s="195">
        <f>176260.04-1684-E4-E5-E6-E16-E51-E52-E55-E70-E71-E74</f>
        <v>88914.170000000042</v>
      </c>
      <c r="F3" s="195">
        <f>4838561.81-185193-F4-F16-F52</f>
        <v>3649305.1999999993</v>
      </c>
      <c r="G3" s="195">
        <f>52153658.79-G4-G6-G16-G51-G52-G70</f>
        <v>47250470.310000002</v>
      </c>
      <c r="H3" s="96">
        <v>1601310.3199999994</v>
      </c>
      <c r="I3" s="96">
        <v>190104.09</v>
      </c>
      <c r="J3" s="96">
        <v>2252740.2300000009</v>
      </c>
      <c r="K3" s="96">
        <v>13309349.000000002</v>
      </c>
    </row>
    <row r="4" spans="1:13" ht="15.6" x14ac:dyDescent="0.3">
      <c r="A4" s="26" t="s">
        <v>2</v>
      </c>
      <c r="B4" s="26" t="s">
        <v>108</v>
      </c>
      <c r="C4" s="26" t="s">
        <v>58</v>
      </c>
      <c r="D4" s="195">
        <v>302090.26</v>
      </c>
      <c r="E4" s="195">
        <v>6.34</v>
      </c>
      <c r="F4" s="195">
        <v>903097.64</v>
      </c>
      <c r="G4" s="195">
        <v>2211213.9700000002</v>
      </c>
      <c r="H4" s="96">
        <v>252127.85</v>
      </c>
      <c r="I4" s="96">
        <v>1477.8100000000002</v>
      </c>
      <c r="J4" s="96">
        <v>3809528.3</v>
      </c>
      <c r="K4" s="96">
        <v>2351346.8899999997</v>
      </c>
      <c r="L4" s="6"/>
    </row>
    <row r="5" spans="1:13" ht="15.6" x14ac:dyDescent="0.3">
      <c r="A5" s="26" t="s">
        <v>104</v>
      </c>
      <c r="B5" s="26" t="s">
        <v>108</v>
      </c>
      <c r="C5" s="26" t="s">
        <v>58</v>
      </c>
      <c r="D5" s="195"/>
      <c r="E5" s="195">
        <v>4592.43</v>
      </c>
      <c r="F5" s="195"/>
      <c r="G5" s="195"/>
      <c r="H5" s="96"/>
      <c r="I5" s="96"/>
      <c r="J5" s="96"/>
      <c r="K5" s="96"/>
      <c r="M5" s="6"/>
    </row>
    <row r="6" spans="1:13" ht="15.6" x14ac:dyDescent="0.3">
      <c r="A6" s="28" t="s">
        <v>105</v>
      </c>
      <c r="B6" s="26" t="s">
        <v>108</v>
      </c>
      <c r="C6" s="28" t="s">
        <v>58</v>
      </c>
      <c r="D6" s="195">
        <v>97898.53</v>
      </c>
      <c r="E6" s="195">
        <v>3884.11</v>
      </c>
      <c r="F6" s="195"/>
      <c r="G6" s="195">
        <v>858261.69</v>
      </c>
      <c r="H6" s="96"/>
      <c r="I6" s="96"/>
      <c r="J6" s="96"/>
      <c r="K6" s="96"/>
    </row>
    <row r="7" spans="1:13" ht="16.2" thickBot="1" x14ac:dyDescent="0.35">
      <c r="A7" s="26" t="s">
        <v>34</v>
      </c>
      <c r="B7" s="26" t="s">
        <v>108</v>
      </c>
      <c r="C7" s="26" t="s">
        <v>58</v>
      </c>
      <c r="D7" s="195">
        <v>8263.9699999999993</v>
      </c>
      <c r="E7" s="195">
        <v>399.1</v>
      </c>
      <c r="F7" s="195">
        <v>12192.71</v>
      </c>
      <c r="G7" s="195">
        <v>52996.639999999999</v>
      </c>
      <c r="H7" s="96">
        <v>39678.080000000002</v>
      </c>
      <c r="I7" s="96">
        <v>0</v>
      </c>
      <c r="J7" s="96">
        <v>10462.36</v>
      </c>
      <c r="K7" s="96">
        <v>105721.07999999999</v>
      </c>
    </row>
    <row r="8" spans="1:13" ht="21.6" thickBot="1" x14ac:dyDescent="0.45">
      <c r="A8" s="122" t="s">
        <v>3</v>
      </c>
      <c r="B8" s="121"/>
      <c r="C8" s="121"/>
      <c r="D8" s="174">
        <f>SUM(D3:D7)</f>
        <v>5356087.9799999995</v>
      </c>
      <c r="E8" s="174">
        <f t="shared" ref="E8:G8" si="0">SUM(E3:E7)</f>
        <v>97796.150000000038</v>
      </c>
      <c r="F8" s="174">
        <f t="shared" si="0"/>
        <v>4564595.5499999989</v>
      </c>
      <c r="G8" s="174">
        <f t="shared" si="0"/>
        <v>50372942.609999999</v>
      </c>
      <c r="H8" s="174">
        <f>SUM(H3:H7)</f>
        <v>1893116.2499999995</v>
      </c>
      <c r="I8" s="174">
        <f t="shared" ref="I8:K8" si="1">SUM(I3:I7)</f>
        <v>191581.9</v>
      </c>
      <c r="J8" s="174">
        <f t="shared" si="1"/>
        <v>6072730.8900000015</v>
      </c>
      <c r="K8" s="174">
        <f t="shared" si="1"/>
        <v>15766416.970000001</v>
      </c>
    </row>
    <row r="9" spans="1:13" ht="15.6" x14ac:dyDescent="0.3">
      <c r="A9" s="27" t="s">
        <v>4</v>
      </c>
      <c r="B9" s="26" t="s">
        <v>108</v>
      </c>
      <c r="C9" s="27" t="s">
        <v>106</v>
      </c>
      <c r="D9" s="18">
        <v>130.93</v>
      </c>
      <c r="E9" s="18">
        <v>27.54</v>
      </c>
      <c r="F9" s="18"/>
      <c r="G9" s="18"/>
      <c r="H9" s="96">
        <v>0</v>
      </c>
      <c r="I9" s="96">
        <v>81.81</v>
      </c>
      <c r="J9" s="96">
        <v>0</v>
      </c>
      <c r="K9" s="96">
        <v>0</v>
      </c>
    </row>
    <row r="10" spans="1:13" ht="15.6" x14ac:dyDescent="0.3">
      <c r="A10" s="26" t="s">
        <v>5</v>
      </c>
      <c r="B10" s="26" t="s">
        <v>108</v>
      </c>
      <c r="C10" s="26" t="s">
        <v>106</v>
      </c>
      <c r="D10" s="14">
        <v>1656.96</v>
      </c>
      <c r="E10" s="14">
        <v>54528.14</v>
      </c>
      <c r="F10" s="14"/>
      <c r="G10" s="14"/>
      <c r="H10" s="96">
        <v>2543.0100000000002</v>
      </c>
      <c r="I10" s="96">
        <v>46248.92</v>
      </c>
      <c r="J10" s="96">
        <v>140.81</v>
      </c>
      <c r="K10" s="96">
        <v>28953.41</v>
      </c>
    </row>
    <row r="11" spans="1:13" ht="15.6" x14ac:dyDescent="0.3">
      <c r="A11" s="26" t="s">
        <v>6</v>
      </c>
      <c r="B11" s="26" t="s">
        <v>108</v>
      </c>
      <c r="C11" s="26" t="s">
        <v>106</v>
      </c>
      <c r="D11" s="195">
        <v>48149.83</v>
      </c>
      <c r="E11" s="195">
        <v>4055.25</v>
      </c>
      <c r="F11" s="195">
        <v>269462.59000000003</v>
      </c>
      <c r="G11" s="195">
        <v>566498.67000000004</v>
      </c>
      <c r="H11" s="96">
        <v>42319.25</v>
      </c>
      <c r="I11" s="96">
        <v>6120.4300000000012</v>
      </c>
      <c r="J11" s="96">
        <v>61442.48</v>
      </c>
      <c r="K11" s="96">
        <v>248194.88</v>
      </c>
      <c r="M11" s="137"/>
    </row>
    <row r="12" spans="1:13" ht="15.6" x14ac:dyDescent="0.3">
      <c r="A12" s="26" t="s">
        <v>7</v>
      </c>
      <c r="B12" s="26" t="s">
        <v>108</v>
      </c>
      <c r="C12" s="26" t="s">
        <v>106</v>
      </c>
      <c r="D12" s="195">
        <v>161820.16</v>
      </c>
      <c r="E12" s="195">
        <v>5527.01</v>
      </c>
      <c r="F12" s="195">
        <v>36660.559999999998</v>
      </c>
      <c r="G12" s="204">
        <v>188731.19</v>
      </c>
      <c r="H12" s="96">
        <v>138.31</v>
      </c>
      <c r="I12" s="96">
        <v>173.36</v>
      </c>
      <c r="J12" s="96">
        <v>0</v>
      </c>
      <c r="K12" s="96">
        <v>0</v>
      </c>
    </row>
    <row r="13" spans="1:13" ht="15.6" x14ac:dyDescent="0.3">
      <c r="A13" s="26" t="s">
        <v>8</v>
      </c>
      <c r="B13" s="26" t="s">
        <v>108</v>
      </c>
      <c r="C13" s="26" t="s">
        <v>106</v>
      </c>
      <c r="D13" s="195">
        <v>16949.560000000001</v>
      </c>
      <c r="E13" s="195">
        <v>3367.1</v>
      </c>
      <c r="F13" s="195"/>
      <c r="G13" s="195"/>
      <c r="H13" s="96">
        <v>0</v>
      </c>
      <c r="I13" s="96">
        <v>8893.02</v>
      </c>
      <c r="J13" s="96">
        <v>798145</v>
      </c>
      <c r="K13" s="96">
        <v>109551.16</v>
      </c>
    </row>
    <row r="14" spans="1:13" ht="15.6" x14ac:dyDescent="0.3">
      <c r="A14" s="26" t="s">
        <v>9</v>
      </c>
      <c r="B14" s="26" t="s">
        <v>108</v>
      </c>
      <c r="C14" s="26" t="s">
        <v>106</v>
      </c>
      <c r="D14" s="195">
        <v>65029.79</v>
      </c>
      <c r="E14" s="195">
        <v>444.26</v>
      </c>
      <c r="F14" s="195">
        <v>246191.72</v>
      </c>
      <c r="G14" s="195">
        <v>564389.12</v>
      </c>
      <c r="H14" s="96">
        <v>224156.58999999997</v>
      </c>
      <c r="I14" s="96">
        <v>1000.99</v>
      </c>
      <c r="J14" s="96">
        <v>235380.21000000002</v>
      </c>
      <c r="K14" s="96">
        <v>1481798.0099999998</v>
      </c>
    </row>
    <row r="15" spans="1:13" ht="15.6" x14ac:dyDescent="0.3">
      <c r="A15" s="26" t="s">
        <v>31</v>
      </c>
      <c r="B15" s="26" t="s">
        <v>108</v>
      </c>
      <c r="C15" s="26" t="s">
        <v>106</v>
      </c>
      <c r="D15" s="195">
        <v>130856.11</v>
      </c>
      <c r="E15" s="195"/>
      <c r="F15" s="195">
        <v>272934.96999999997</v>
      </c>
      <c r="G15" s="195">
        <v>113643.55</v>
      </c>
      <c r="H15" s="96">
        <v>38157.53</v>
      </c>
      <c r="I15" s="96">
        <v>0</v>
      </c>
      <c r="J15" s="96">
        <v>0</v>
      </c>
      <c r="K15" s="96">
        <v>0</v>
      </c>
    </row>
    <row r="16" spans="1:13" ht="15.6" x14ac:dyDescent="0.3">
      <c r="A16" s="26" t="s">
        <v>96</v>
      </c>
      <c r="B16" s="26" t="s">
        <v>108</v>
      </c>
      <c r="C16" s="26" t="s">
        <v>106</v>
      </c>
      <c r="D16" s="195">
        <v>19380.09</v>
      </c>
      <c r="E16" s="195">
        <v>32809.019999999997</v>
      </c>
      <c r="F16" s="195">
        <v>6094</v>
      </c>
      <c r="G16" s="195">
        <v>73373.33</v>
      </c>
      <c r="H16" s="96">
        <v>0</v>
      </c>
      <c r="I16" s="96">
        <v>8739.26</v>
      </c>
      <c r="J16" s="96">
        <v>0</v>
      </c>
      <c r="K16" s="96">
        <v>0</v>
      </c>
    </row>
    <row r="17" spans="1:11" ht="15.6" x14ac:dyDescent="0.3">
      <c r="A17" s="26" t="s">
        <v>42</v>
      </c>
      <c r="B17" s="26" t="s">
        <v>108</v>
      </c>
      <c r="C17" s="26" t="s">
        <v>106</v>
      </c>
      <c r="D17" s="195">
        <v>372050.17</v>
      </c>
      <c r="E17" s="195">
        <v>20693.59</v>
      </c>
      <c r="F17" s="195">
        <v>490604.58</v>
      </c>
      <c r="G17" s="195">
        <v>2894642.87</v>
      </c>
      <c r="H17" s="96">
        <v>338818.36999999988</v>
      </c>
      <c r="I17" s="96">
        <v>9737.24</v>
      </c>
      <c r="J17" s="96">
        <v>449398.76999999996</v>
      </c>
      <c r="K17" s="96">
        <v>1439193.29</v>
      </c>
    </row>
    <row r="18" spans="1:11" ht="15.6" x14ac:dyDescent="0.3">
      <c r="A18" s="26" t="s">
        <v>43</v>
      </c>
      <c r="B18" s="26" t="s">
        <v>108</v>
      </c>
      <c r="C18" s="26" t="s">
        <v>106</v>
      </c>
      <c r="D18" s="195">
        <v>299656.28999999998</v>
      </c>
      <c r="E18" s="195">
        <v>13479.55</v>
      </c>
      <c r="F18" s="195">
        <v>1248582.03</v>
      </c>
      <c r="G18" s="195">
        <v>486244.4</v>
      </c>
      <c r="H18" s="96">
        <v>36152.43</v>
      </c>
      <c r="I18" s="96">
        <v>10948.744999999999</v>
      </c>
      <c r="J18" s="96">
        <v>2113098.4699999997</v>
      </c>
      <c r="K18" s="96">
        <v>0</v>
      </c>
    </row>
    <row r="19" spans="1:11" ht="15.6" x14ac:dyDescent="0.3">
      <c r="A19" s="26" t="s">
        <v>30</v>
      </c>
      <c r="B19" s="26" t="s">
        <v>108</v>
      </c>
      <c r="C19" s="26" t="s">
        <v>106</v>
      </c>
      <c r="D19" s="195">
        <v>469.44</v>
      </c>
      <c r="E19" s="195"/>
      <c r="F19" s="195"/>
      <c r="G19" s="195"/>
      <c r="H19" s="96">
        <v>589.04999999999995</v>
      </c>
      <c r="I19" s="96">
        <v>0</v>
      </c>
      <c r="J19" s="96">
        <v>0</v>
      </c>
      <c r="K19" s="96">
        <v>0</v>
      </c>
    </row>
    <row r="20" spans="1:11" ht="15.6" x14ac:dyDescent="0.3">
      <c r="A20" s="28" t="s">
        <v>130</v>
      </c>
      <c r="B20" s="26" t="s">
        <v>108</v>
      </c>
      <c r="C20" s="26" t="s">
        <v>106</v>
      </c>
      <c r="D20" s="15"/>
      <c r="E20" s="15"/>
      <c r="F20" s="15"/>
      <c r="G20" s="15"/>
      <c r="H20" s="96"/>
      <c r="I20" s="96"/>
      <c r="J20" s="96"/>
      <c r="K20" s="96"/>
    </row>
    <row r="21" spans="1:11" ht="16.2" thickBot="1" x14ac:dyDescent="0.35">
      <c r="A21" s="28" t="s">
        <v>38</v>
      </c>
      <c r="B21" s="26" t="s">
        <v>108</v>
      </c>
      <c r="C21" s="28" t="s">
        <v>106</v>
      </c>
      <c r="D21" s="15"/>
      <c r="E21" s="15"/>
      <c r="F21" s="15"/>
      <c r="G21" s="15"/>
      <c r="H21" s="96">
        <v>0</v>
      </c>
      <c r="I21" s="96">
        <v>1102.8150000000001</v>
      </c>
      <c r="J21" s="96">
        <v>0</v>
      </c>
      <c r="K21" s="96">
        <v>0</v>
      </c>
    </row>
    <row r="22" spans="1:11" ht="21.6" thickBot="1" x14ac:dyDescent="0.45">
      <c r="A22" s="122" t="s">
        <v>10</v>
      </c>
      <c r="B22" s="121"/>
      <c r="C22" s="121"/>
      <c r="D22" s="174">
        <f>SUM(D9:D21)</f>
        <v>1116149.3299999998</v>
      </c>
      <c r="E22" s="174">
        <f t="shared" ref="E22:G22" si="2">SUM(E9:E21)</f>
        <v>134931.46</v>
      </c>
      <c r="F22" s="174">
        <f t="shared" si="2"/>
        <v>2570530.4500000002</v>
      </c>
      <c r="G22" s="174">
        <f t="shared" si="2"/>
        <v>4887523.1300000008</v>
      </c>
      <c r="H22" s="174">
        <f>SUM(H9:H21)</f>
        <v>682874.53999999992</v>
      </c>
      <c r="I22" s="174">
        <f t="shared" ref="I22:K22" si="3">SUM(I9:I21)</f>
        <v>93046.59</v>
      </c>
      <c r="J22" s="174">
        <f t="shared" si="3"/>
        <v>3657605.7399999998</v>
      </c>
      <c r="K22" s="174">
        <f t="shared" si="3"/>
        <v>3307690.75</v>
      </c>
    </row>
    <row r="23" spans="1:11" ht="15.6" x14ac:dyDescent="0.3">
      <c r="A23" s="27" t="s">
        <v>11</v>
      </c>
      <c r="B23" s="27" t="s">
        <v>56</v>
      </c>
      <c r="C23" s="27" t="s">
        <v>107</v>
      </c>
      <c r="D23" s="18">
        <v>26971.54</v>
      </c>
      <c r="E23" s="18">
        <v>73.39</v>
      </c>
      <c r="F23" s="18"/>
      <c r="G23" s="18"/>
      <c r="H23" s="96">
        <v>256257.70000000004</v>
      </c>
      <c r="I23" s="96">
        <v>26963.7</v>
      </c>
      <c r="J23" s="96">
        <v>439766.66000000003</v>
      </c>
      <c r="K23" s="96">
        <v>1222667.6000000001</v>
      </c>
    </row>
    <row r="24" spans="1:11" ht="15.6" x14ac:dyDescent="0.3">
      <c r="A24" s="30" t="s">
        <v>12</v>
      </c>
      <c r="B24" s="26" t="s">
        <v>56</v>
      </c>
      <c r="C24" s="26" t="s">
        <v>107</v>
      </c>
      <c r="D24" s="14"/>
      <c r="E24" s="14"/>
      <c r="F24" s="14"/>
      <c r="G24" s="14"/>
      <c r="H24" s="96">
        <v>0</v>
      </c>
      <c r="I24" s="96">
        <v>0</v>
      </c>
      <c r="J24" s="96">
        <v>6300</v>
      </c>
      <c r="K24" s="96">
        <v>0</v>
      </c>
    </row>
    <row r="25" spans="1:11" ht="15.6" x14ac:dyDescent="0.3">
      <c r="A25" s="30" t="s">
        <v>13</v>
      </c>
      <c r="B25" s="26" t="s">
        <v>56</v>
      </c>
      <c r="C25" s="26" t="s">
        <v>107</v>
      </c>
      <c r="D25" s="14"/>
      <c r="E25" s="14"/>
      <c r="F25" s="14"/>
      <c r="G25" s="14"/>
      <c r="H25" s="96">
        <v>0</v>
      </c>
      <c r="I25" s="96">
        <v>2943.1399999999994</v>
      </c>
      <c r="J25" s="96">
        <v>0</v>
      </c>
      <c r="K25" s="96">
        <v>0</v>
      </c>
    </row>
    <row r="26" spans="1:11" ht="15.6" x14ac:dyDescent="0.3">
      <c r="A26" s="26" t="s">
        <v>14</v>
      </c>
      <c r="B26" s="26" t="s">
        <v>55</v>
      </c>
      <c r="C26" s="26" t="s">
        <v>107</v>
      </c>
      <c r="D26" s="14"/>
      <c r="E26" s="14"/>
      <c r="F26" s="14"/>
      <c r="G26" s="14"/>
      <c r="H26" s="96">
        <v>0</v>
      </c>
      <c r="I26" s="96">
        <v>0</v>
      </c>
      <c r="J26" s="96">
        <v>0</v>
      </c>
      <c r="K26" s="96">
        <v>0</v>
      </c>
    </row>
    <row r="27" spans="1:11" ht="15.6" x14ac:dyDescent="0.3">
      <c r="A27" s="30" t="s">
        <v>15</v>
      </c>
      <c r="B27" s="26" t="s">
        <v>56</v>
      </c>
      <c r="C27" s="26" t="s">
        <v>107</v>
      </c>
      <c r="D27" s="14">
        <v>27625.86</v>
      </c>
      <c r="E27" s="14">
        <v>1370.47</v>
      </c>
      <c r="F27" s="14">
        <v>330455.09999999998</v>
      </c>
      <c r="G27" s="14">
        <v>44520.56</v>
      </c>
      <c r="H27" s="96">
        <v>100372.09999999998</v>
      </c>
      <c r="I27" s="96">
        <v>14728.34</v>
      </c>
      <c r="J27" s="96">
        <v>573239.81999999995</v>
      </c>
      <c r="K27" s="96">
        <v>423323.57999999996</v>
      </c>
    </row>
    <row r="28" spans="1:11" ht="15.6" x14ac:dyDescent="0.3">
      <c r="A28" s="30" t="s">
        <v>17</v>
      </c>
      <c r="B28" s="26" t="s">
        <v>56</v>
      </c>
      <c r="C28" s="26" t="s">
        <v>107</v>
      </c>
      <c r="D28" s="14"/>
      <c r="E28" s="14"/>
      <c r="F28" s="14"/>
      <c r="G28" s="14"/>
      <c r="H28" s="96">
        <v>0</v>
      </c>
      <c r="I28" s="96">
        <v>0</v>
      </c>
      <c r="J28" s="96">
        <v>0</v>
      </c>
      <c r="K28" s="96">
        <v>0</v>
      </c>
    </row>
    <row r="29" spans="1:11" ht="15.6" x14ac:dyDescent="0.3">
      <c r="A29" s="30" t="s">
        <v>18</v>
      </c>
      <c r="B29" s="26" t="s">
        <v>56</v>
      </c>
      <c r="C29" s="26" t="s">
        <v>107</v>
      </c>
      <c r="D29" s="14">
        <v>26923.31</v>
      </c>
      <c r="E29" s="14">
        <v>3447.54</v>
      </c>
      <c r="F29" s="14">
        <v>675.64</v>
      </c>
      <c r="G29" s="14">
        <v>58928.33</v>
      </c>
      <c r="H29" s="96">
        <v>109839.67000000001</v>
      </c>
      <c r="I29" s="96">
        <v>1367.14</v>
      </c>
      <c r="J29" s="96">
        <v>0</v>
      </c>
      <c r="K29" s="96">
        <v>264016.2</v>
      </c>
    </row>
    <row r="30" spans="1:11" ht="15.6" x14ac:dyDescent="0.3">
      <c r="A30" s="26" t="s">
        <v>19</v>
      </c>
      <c r="B30" s="26" t="s">
        <v>56</v>
      </c>
      <c r="C30" s="26" t="s">
        <v>107</v>
      </c>
      <c r="D30" s="14">
        <v>418558.73</v>
      </c>
      <c r="E30" s="14">
        <v>47394.45</v>
      </c>
      <c r="F30" s="14">
        <v>783645.56</v>
      </c>
      <c r="G30" s="14">
        <v>994328.25</v>
      </c>
      <c r="H30" s="96">
        <v>1067151.0100000002</v>
      </c>
      <c r="I30" s="96">
        <v>60693.969999999987</v>
      </c>
      <c r="J30" s="96">
        <v>621176.43000000005</v>
      </c>
      <c r="K30" s="96">
        <v>4261406.2799999993</v>
      </c>
    </row>
    <row r="31" spans="1:11" ht="15.6" x14ac:dyDescent="0.3">
      <c r="A31" s="26" t="s">
        <v>20</v>
      </c>
      <c r="B31" s="26" t="s">
        <v>56</v>
      </c>
      <c r="C31" s="26" t="s">
        <v>107</v>
      </c>
      <c r="D31" s="14">
        <v>442455.07</v>
      </c>
      <c r="E31" s="14">
        <v>22669.279999999999</v>
      </c>
      <c r="F31" s="14"/>
      <c r="G31" s="14">
        <v>3436194.09</v>
      </c>
      <c r="H31" s="96">
        <v>64222.899999999994</v>
      </c>
      <c r="I31" s="96">
        <v>6995.88</v>
      </c>
      <c r="J31" s="96">
        <v>23036.54</v>
      </c>
      <c r="K31" s="96">
        <v>328316.82999999996</v>
      </c>
    </row>
    <row r="32" spans="1:11" ht="15.6" x14ac:dyDescent="0.3">
      <c r="A32" s="26" t="s">
        <v>21</v>
      </c>
      <c r="B32" s="26" t="s">
        <v>56</v>
      </c>
      <c r="C32" s="26" t="s">
        <v>107</v>
      </c>
      <c r="D32" s="14"/>
      <c r="E32" s="14">
        <v>9.74</v>
      </c>
      <c r="F32" s="14"/>
      <c r="G32" s="14"/>
      <c r="H32" s="96">
        <v>0</v>
      </c>
      <c r="I32" s="96">
        <v>7.98</v>
      </c>
      <c r="J32" s="96">
        <v>0</v>
      </c>
      <c r="K32" s="96">
        <v>0</v>
      </c>
    </row>
    <row r="33" spans="1:11" ht="15.6" x14ac:dyDescent="0.3">
      <c r="A33" s="26" t="s">
        <v>22</v>
      </c>
      <c r="B33" s="26" t="s">
        <v>56</v>
      </c>
      <c r="C33" s="26" t="s">
        <v>107</v>
      </c>
      <c r="D33" s="14">
        <v>38955.94</v>
      </c>
      <c r="E33" s="14"/>
      <c r="F33" s="14">
        <v>18140.54</v>
      </c>
      <c r="G33" s="14"/>
      <c r="H33" s="96">
        <v>1025.53</v>
      </c>
      <c r="I33" s="96">
        <v>3084.41</v>
      </c>
      <c r="J33" s="96">
        <v>0</v>
      </c>
      <c r="K33" s="96">
        <v>0</v>
      </c>
    </row>
    <row r="34" spans="1:11" ht="15.6" x14ac:dyDescent="0.3">
      <c r="A34" s="26" t="s">
        <v>23</v>
      </c>
      <c r="B34" s="26" t="s">
        <v>56</v>
      </c>
      <c r="C34" s="26" t="s">
        <v>107</v>
      </c>
      <c r="D34" s="14"/>
      <c r="E34" s="14"/>
      <c r="F34" s="14"/>
      <c r="G34" s="14"/>
      <c r="H34" s="96">
        <v>0</v>
      </c>
      <c r="I34" s="96">
        <v>7.45</v>
      </c>
      <c r="J34" s="96">
        <v>0</v>
      </c>
      <c r="K34" s="96">
        <v>0</v>
      </c>
    </row>
    <row r="35" spans="1:11" ht="15.6" x14ac:dyDescent="0.3">
      <c r="A35" s="26" t="s">
        <v>24</v>
      </c>
      <c r="B35" s="26" t="s">
        <v>56</v>
      </c>
      <c r="C35" s="26" t="s">
        <v>107</v>
      </c>
      <c r="D35" s="14"/>
      <c r="E35" s="14"/>
      <c r="F35" s="14"/>
      <c r="G35" s="14"/>
      <c r="H35" s="96">
        <v>0</v>
      </c>
      <c r="I35" s="96">
        <v>0</v>
      </c>
      <c r="J35" s="96">
        <v>0</v>
      </c>
      <c r="K35" s="96">
        <v>0</v>
      </c>
    </row>
    <row r="36" spans="1:11" ht="15.6" x14ac:dyDescent="0.3">
      <c r="A36" s="30" t="s">
        <v>25</v>
      </c>
      <c r="B36" s="26" t="s">
        <v>56</v>
      </c>
      <c r="C36" s="26" t="s">
        <v>107</v>
      </c>
      <c r="D36" s="14"/>
      <c r="E36" s="14">
        <v>155.38</v>
      </c>
      <c r="F36" s="14">
        <v>15723.9</v>
      </c>
      <c r="G36" s="14"/>
      <c r="H36" s="96">
        <v>1421.7599999999998</v>
      </c>
      <c r="I36" s="96">
        <v>273.23</v>
      </c>
      <c r="J36" s="96">
        <v>34933.159999999996</v>
      </c>
      <c r="K36" s="96">
        <v>0</v>
      </c>
    </row>
    <row r="37" spans="1:11" ht="15.6" x14ac:dyDescent="0.3">
      <c r="A37" s="26" t="s">
        <v>26</v>
      </c>
      <c r="B37" s="26" t="s">
        <v>56</v>
      </c>
      <c r="C37" s="26" t="s">
        <v>107</v>
      </c>
      <c r="D37" s="14"/>
      <c r="E37" s="14"/>
      <c r="F37" s="14"/>
      <c r="G37" s="14"/>
      <c r="H37" s="96">
        <v>4879.0800000000008</v>
      </c>
      <c r="I37" s="96">
        <v>2887.83</v>
      </c>
      <c r="J37" s="96">
        <v>0</v>
      </c>
      <c r="K37" s="96">
        <v>0</v>
      </c>
    </row>
    <row r="38" spans="1:11" ht="15.6" x14ac:dyDescent="0.3">
      <c r="A38" s="26" t="s">
        <v>27</v>
      </c>
      <c r="B38" s="26" t="s">
        <v>56</v>
      </c>
      <c r="C38" s="26" t="s">
        <v>107</v>
      </c>
      <c r="D38" s="14"/>
      <c r="E38" s="14"/>
      <c r="F38" s="14"/>
      <c r="G38" s="14"/>
      <c r="H38" s="96">
        <v>0</v>
      </c>
      <c r="I38" s="96">
        <v>0</v>
      </c>
      <c r="J38" s="96">
        <v>0</v>
      </c>
      <c r="K38" s="96">
        <v>0</v>
      </c>
    </row>
    <row r="39" spans="1:11" ht="15.6" x14ac:dyDescent="0.3">
      <c r="A39" s="26" t="s">
        <v>28</v>
      </c>
      <c r="B39" s="26" t="s">
        <v>56</v>
      </c>
      <c r="C39" s="26" t="s">
        <v>107</v>
      </c>
      <c r="D39" s="14"/>
      <c r="E39" s="14"/>
      <c r="F39" s="14"/>
      <c r="G39" s="14"/>
      <c r="H39" s="96">
        <v>0</v>
      </c>
      <c r="I39" s="96">
        <v>0</v>
      </c>
      <c r="J39" s="96">
        <v>0</v>
      </c>
      <c r="K39" s="96">
        <v>0</v>
      </c>
    </row>
    <row r="40" spans="1:11" ht="15.6" x14ac:dyDescent="0.3">
      <c r="A40" s="26" t="s">
        <v>29</v>
      </c>
      <c r="B40" s="26" t="s">
        <v>56</v>
      </c>
      <c r="C40" s="26" t="s">
        <v>107</v>
      </c>
      <c r="D40" s="14">
        <v>25403.37</v>
      </c>
      <c r="E40" s="14">
        <v>2606.25</v>
      </c>
      <c r="F40" s="14">
        <v>245920.63</v>
      </c>
      <c r="G40" s="14">
        <v>229331.73</v>
      </c>
      <c r="H40" s="96">
        <v>9536.9399999999987</v>
      </c>
      <c r="I40" s="96">
        <v>760.04</v>
      </c>
      <c r="J40" s="96">
        <v>0</v>
      </c>
      <c r="K40" s="96">
        <v>0</v>
      </c>
    </row>
    <row r="41" spans="1:11" ht="15.6" x14ac:dyDescent="0.3">
      <c r="A41" s="26" t="s">
        <v>98</v>
      </c>
      <c r="B41" s="26" t="s">
        <v>55</v>
      </c>
      <c r="C41" s="26" t="s">
        <v>107</v>
      </c>
      <c r="D41" s="14">
        <v>29942.03</v>
      </c>
      <c r="E41" s="14">
        <v>17842.41</v>
      </c>
      <c r="F41" s="14"/>
      <c r="G41" s="14"/>
      <c r="H41" s="96">
        <v>0</v>
      </c>
      <c r="I41" s="96">
        <v>0</v>
      </c>
      <c r="J41" s="96">
        <v>0</v>
      </c>
      <c r="K41" s="96">
        <v>0</v>
      </c>
    </row>
    <row r="42" spans="1:11" ht="15.6" x14ac:dyDescent="0.3">
      <c r="A42" s="26" t="s">
        <v>32</v>
      </c>
      <c r="B42" s="26" t="s">
        <v>55</v>
      </c>
      <c r="C42" s="26" t="s">
        <v>107</v>
      </c>
      <c r="D42" s="14"/>
      <c r="E42" s="14"/>
      <c r="F42" s="14"/>
      <c r="G42" s="14"/>
      <c r="H42" s="96">
        <v>126.21</v>
      </c>
      <c r="I42" s="96">
        <v>0</v>
      </c>
      <c r="J42" s="96">
        <v>0</v>
      </c>
      <c r="K42" s="96">
        <v>0</v>
      </c>
    </row>
    <row r="43" spans="1:11" ht="15.6" x14ac:dyDescent="0.3">
      <c r="A43" s="30" t="s">
        <v>95</v>
      </c>
      <c r="B43" s="26" t="s">
        <v>56</v>
      </c>
      <c r="C43" s="26" t="s">
        <v>107</v>
      </c>
      <c r="D43" s="14">
        <v>124754.9</v>
      </c>
      <c r="E43" s="14"/>
      <c r="F43" s="6">
        <v>68476.31</v>
      </c>
      <c r="G43" s="14">
        <v>264594.77</v>
      </c>
      <c r="H43" s="96">
        <v>88151.9</v>
      </c>
      <c r="I43" s="96">
        <v>0</v>
      </c>
      <c r="J43" s="96">
        <v>0</v>
      </c>
      <c r="K43" s="96">
        <v>148000.51</v>
      </c>
    </row>
    <row r="44" spans="1:11" ht="15.6" x14ac:dyDescent="0.3">
      <c r="A44" s="26" t="s">
        <v>83</v>
      </c>
      <c r="B44" s="26" t="s">
        <v>56</v>
      </c>
      <c r="C44" s="26" t="s">
        <v>107</v>
      </c>
      <c r="D44" s="14"/>
      <c r="E44" s="14"/>
      <c r="F44" s="14"/>
      <c r="G44" s="14"/>
      <c r="H44" s="96">
        <v>0</v>
      </c>
      <c r="I44" s="96">
        <v>0</v>
      </c>
      <c r="J44" s="96">
        <v>0</v>
      </c>
      <c r="K44" s="96">
        <v>0</v>
      </c>
    </row>
    <row r="45" spans="1:11" ht="15.6" x14ac:dyDescent="0.3">
      <c r="A45" s="26" t="s">
        <v>82</v>
      </c>
      <c r="B45" s="26" t="s">
        <v>56</v>
      </c>
      <c r="C45" s="26" t="s">
        <v>107</v>
      </c>
      <c r="D45" s="14"/>
      <c r="E45" s="14">
        <v>620.16999999999996</v>
      </c>
      <c r="F45" s="14"/>
      <c r="G45" s="14"/>
      <c r="H45" s="96">
        <v>0</v>
      </c>
      <c r="I45" s="96">
        <v>121.61</v>
      </c>
      <c r="J45" s="96">
        <v>0</v>
      </c>
      <c r="K45" s="96">
        <v>0</v>
      </c>
    </row>
    <row r="46" spans="1:11" ht="15.6" x14ac:dyDescent="0.3">
      <c r="A46" s="26" t="s">
        <v>36</v>
      </c>
      <c r="B46" s="26" t="s">
        <v>55</v>
      </c>
      <c r="C46" s="26" t="s">
        <v>107</v>
      </c>
      <c r="D46" s="14"/>
      <c r="E46" s="14"/>
      <c r="F46" s="14"/>
      <c r="G46" s="14"/>
      <c r="H46" s="96">
        <v>0</v>
      </c>
      <c r="I46" s="96">
        <v>0</v>
      </c>
      <c r="J46" s="96">
        <v>0</v>
      </c>
      <c r="K46" s="96">
        <v>0</v>
      </c>
    </row>
    <row r="47" spans="1:11" ht="15.6" x14ac:dyDescent="0.3">
      <c r="A47" s="26" t="s">
        <v>94</v>
      </c>
      <c r="B47" s="26" t="s">
        <v>55</v>
      </c>
      <c r="C47" s="26" t="s">
        <v>107</v>
      </c>
      <c r="D47" s="195"/>
      <c r="E47" s="195"/>
      <c r="F47" s="195"/>
      <c r="G47" s="195"/>
      <c r="H47" s="96">
        <v>11.42</v>
      </c>
      <c r="I47" s="96">
        <v>42.21</v>
      </c>
      <c r="J47" s="96">
        <v>0</v>
      </c>
      <c r="K47" s="96">
        <v>0</v>
      </c>
    </row>
    <row r="48" spans="1:11" ht="15.6" x14ac:dyDescent="0.3">
      <c r="A48" s="26" t="s">
        <v>85</v>
      </c>
      <c r="B48" s="26" t="s">
        <v>56</v>
      </c>
      <c r="C48" s="26" t="s">
        <v>107</v>
      </c>
      <c r="D48" s="195"/>
      <c r="E48" s="195"/>
      <c r="F48" s="195"/>
      <c r="G48" s="195"/>
      <c r="H48" s="96">
        <v>0</v>
      </c>
      <c r="I48" s="96">
        <v>0</v>
      </c>
      <c r="J48" s="96">
        <v>0</v>
      </c>
      <c r="K48" s="96">
        <v>0</v>
      </c>
    </row>
    <row r="49" spans="1:12" ht="15.6" x14ac:dyDescent="0.3">
      <c r="A49" s="26" t="s">
        <v>87</v>
      </c>
      <c r="B49" s="26" t="s">
        <v>56</v>
      </c>
      <c r="C49" s="26" t="s">
        <v>107</v>
      </c>
      <c r="D49" s="195"/>
      <c r="E49" s="195"/>
      <c r="F49" s="195">
        <v>17298.52</v>
      </c>
      <c r="G49" s="195"/>
      <c r="H49" s="96">
        <v>13936.630000000001</v>
      </c>
      <c r="I49" s="96">
        <v>0</v>
      </c>
      <c r="J49" s="96">
        <v>250464.35</v>
      </c>
      <c r="K49" s="96">
        <v>0</v>
      </c>
    </row>
    <row r="50" spans="1:12" ht="15.6" x14ac:dyDescent="0.3">
      <c r="A50" s="26" t="s">
        <v>97</v>
      </c>
      <c r="B50" s="26" t="s">
        <v>56</v>
      </c>
      <c r="C50" s="26" t="s">
        <v>107</v>
      </c>
      <c r="D50" s="195">
        <v>39918.81</v>
      </c>
      <c r="E50" s="195">
        <v>1656.24</v>
      </c>
      <c r="F50" s="195">
        <v>29571.439999999999</v>
      </c>
      <c r="G50" s="195">
        <v>370201.19</v>
      </c>
      <c r="H50" s="96">
        <v>4823.67</v>
      </c>
      <c r="I50" s="96">
        <v>1265.42</v>
      </c>
      <c r="J50" s="96">
        <v>37879.910000000003</v>
      </c>
      <c r="K50" s="96">
        <v>244589.24</v>
      </c>
    </row>
    <row r="51" spans="1:12" ht="15.6" x14ac:dyDescent="0.3">
      <c r="A51" s="26" t="s">
        <v>39</v>
      </c>
      <c r="B51" s="26" t="s">
        <v>56</v>
      </c>
      <c r="C51" s="26" t="s">
        <v>107</v>
      </c>
      <c r="D51" s="195">
        <v>25403.37</v>
      </c>
      <c r="E51" s="195">
        <f>13081.29+1946</f>
        <v>15027.29</v>
      </c>
      <c r="F51" s="195"/>
      <c r="G51" s="195">
        <v>140389.29</v>
      </c>
      <c r="H51" s="96">
        <v>114798.61</v>
      </c>
      <c r="I51" s="96">
        <v>760.04</v>
      </c>
      <c r="J51" s="96">
        <v>22032.02</v>
      </c>
      <c r="K51" s="96">
        <v>0</v>
      </c>
    </row>
    <row r="52" spans="1:12" ht="15.6" x14ac:dyDescent="0.3">
      <c r="A52" s="26" t="s">
        <v>91</v>
      </c>
      <c r="B52" s="26" t="s">
        <v>56</v>
      </c>
      <c r="C52" s="26" t="s">
        <v>107</v>
      </c>
      <c r="D52" s="195">
        <v>72923.59</v>
      </c>
      <c r="E52" s="203">
        <v>724.07</v>
      </c>
      <c r="F52" s="195">
        <v>94871.97</v>
      </c>
      <c r="G52" s="195">
        <v>123595.53</v>
      </c>
      <c r="H52" s="96">
        <v>80794.78</v>
      </c>
      <c r="I52" s="96">
        <v>6238.6699999999992</v>
      </c>
      <c r="J52" s="96">
        <v>153745.41</v>
      </c>
      <c r="K52" s="96">
        <v>1356028.16</v>
      </c>
    </row>
    <row r="53" spans="1:12" ht="15.6" x14ac:dyDescent="0.3">
      <c r="A53" s="26" t="s">
        <v>41</v>
      </c>
      <c r="B53" s="26" t="s">
        <v>56</v>
      </c>
      <c r="C53" s="26" t="s">
        <v>107</v>
      </c>
      <c r="D53" s="195"/>
      <c r="E53" s="195"/>
      <c r="F53" s="195"/>
      <c r="G53" s="195"/>
      <c r="H53" s="96">
        <v>0</v>
      </c>
      <c r="I53" s="96">
        <v>1042.03</v>
      </c>
      <c r="J53" s="96">
        <v>0</v>
      </c>
      <c r="K53" s="96">
        <v>0</v>
      </c>
    </row>
    <row r="54" spans="1:12" ht="15.6" x14ac:dyDescent="0.3">
      <c r="A54" s="26" t="s">
        <v>129</v>
      </c>
      <c r="B54" s="26" t="s">
        <v>108</v>
      </c>
      <c r="C54" s="27" t="s">
        <v>107</v>
      </c>
      <c r="D54" s="196"/>
      <c r="E54" s="196"/>
      <c r="F54" s="196"/>
      <c r="G54" s="196"/>
      <c r="H54" s="96"/>
      <c r="I54" s="96"/>
      <c r="J54" s="96"/>
      <c r="K54" s="96"/>
    </row>
    <row r="55" spans="1:12" ht="16.2" thickBot="1" x14ac:dyDescent="0.35">
      <c r="A55" s="28" t="s">
        <v>88</v>
      </c>
      <c r="B55" s="28" t="s">
        <v>56</v>
      </c>
      <c r="C55" s="28" t="s">
        <v>107</v>
      </c>
      <c r="D55" s="196"/>
      <c r="E55" s="196">
        <v>1764.65</v>
      </c>
      <c r="F55" s="196"/>
      <c r="G55" s="196"/>
      <c r="H55" s="96">
        <v>17482.07</v>
      </c>
      <c r="I55" s="96">
        <v>0</v>
      </c>
      <c r="J55" s="96">
        <v>0</v>
      </c>
      <c r="K55" s="96">
        <v>0</v>
      </c>
    </row>
    <row r="56" spans="1:12" ht="21.6" thickBot="1" x14ac:dyDescent="0.45">
      <c r="A56" s="123" t="s">
        <v>115</v>
      </c>
      <c r="B56" s="121"/>
      <c r="C56" s="121"/>
      <c r="D56" s="174">
        <f>SUM(D23:D55)</f>
        <v>1299836.5200000003</v>
      </c>
      <c r="E56" s="174">
        <f t="shared" ref="E56:G56" si="4">SUM(E23:E55)</f>
        <v>115361.33000000002</v>
      </c>
      <c r="F56" s="174">
        <f t="shared" si="4"/>
        <v>1604779.61</v>
      </c>
      <c r="G56" s="174">
        <f t="shared" si="4"/>
        <v>5662083.7400000012</v>
      </c>
      <c r="H56" s="174">
        <f>SUM(H23:H55)</f>
        <v>1934831.9800000002</v>
      </c>
      <c r="I56" s="174">
        <f t="shared" ref="I56:K56" si="5">SUM(I23:I55)</f>
        <v>130183.08999999997</v>
      </c>
      <c r="J56" s="174">
        <f t="shared" si="5"/>
        <v>2162574.3000000003</v>
      </c>
      <c r="K56" s="174">
        <f t="shared" si="5"/>
        <v>8248348.3999999994</v>
      </c>
    </row>
    <row r="57" spans="1:12" ht="15.6" x14ac:dyDescent="0.3">
      <c r="A57" s="30" t="s">
        <v>33</v>
      </c>
      <c r="B57" s="26" t="s">
        <v>114</v>
      </c>
      <c r="C57" s="26" t="s">
        <v>107</v>
      </c>
      <c r="D57" s="14">
        <v>75128.759999999995</v>
      </c>
      <c r="E57" s="14">
        <v>1947.89</v>
      </c>
      <c r="F57" s="14">
        <v>958483.93</v>
      </c>
      <c r="G57" s="14">
        <v>414318.12</v>
      </c>
      <c r="H57" s="96">
        <v>44593.42</v>
      </c>
      <c r="I57" s="96">
        <v>6935.03</v>
      </c>
      <c r="J57" s="96">
        <v>1152625.7</v>
      </c>
      <c r="K57" s="96">
        <v>117045.18</v>
      </c>
    </row>
    <row r="58" spans="1:12" ht="15.6" x14ac:dyDescent="0.3">
      <c r="A58" s="26" t="s">
        <v>84</v>
      </c>
      <c r="B58" s="26" t="s">
        <v>114</v>
      </c>
      <c r="C58" s="26" t="s">
        <v>107</v>
      </c>
      <c r="D58" s="14">
        <v>503823.87</v>
      </c>
      <c r="E58" s="14">
        <v>10556.17</v>
      </c>
      <c r="F58" s="14">
        <v>2467016</v>
      </c>
      <c r="G58" s="14">
        <v>1459074.81</v>
      </c>
      <c r="H58" s="96">
        <v>657291.83999999985</v>
      </c>
      <c r="I58" s="96">
        <v>3842.5300000000007</v>
      </c>
      <c r="J58" s="96">
        <v>836921.43000000017</v>
      </c>
      <c r="K58" s="96">
        <v>683057.84000000008</v>
      </c>
    </row>
    <row r="59" spans="1:12" ht="15.6" x14ac:dyDescent="0.3">
      <c r="A59" s="26" t="s">
        <v>37</v>
      </c>
      <c r="B59" s="26" t="s">
        <v>114</v>
      </c>
      <c r="C59" s="26" t="s">
        <v>107</v>
      </c>
      <c r="D59" s="14">
        <v>20909.599999999999</v>
      </c>
      <c r="E59" s="14">
        <v>7967.03</v>
      </c>
      <c r="F59" s="14"/>
      <c r="G59" s="14"/>
      <c r="H59" s="96">
        <v>5153.5099999999993</v>
      </c>
      <c r="I59" s="96">
        <v>513.78</v>
      </c>
      <c r="J59" s="96">
        <v>1020.01</v>
      </c>
      <c r="K59" s="96">
        <v>0</v>
      </c>
      <c r="L59" s="133"/>
    </row>
    <row r="60" spans="1:12" ht="15.6" x14ac:dyDescent="0.3">
      <c r="A60" s="26" t="s">
        <v>35</v>
      </c>
      <c r="B60" s="26" t="s">
        <v>114</v>
      </c>
      <c r="C60" s="26" t="s">
        <v>107</v>
      </c>
      <c r="D60" s="14">
        <v>17462.3</v>
      </c>
      <c r="E60" s="14"/>
      <c r="F60" s="14">
        <v>582.76</v>
      </c>
      <c r="G60" s="14"/>
      <c r="H60" s="96">
        <v>51720.87</v>
      </c>
      <c r="I60" s="96">
        <v>2467.98</v>
      </c>
      <c r="J60" s="96">
        <v>137436.41</v>
      </c>
      <c r="K60" s="96">
        <v>0</v>
      </c>
      <c r="L60" s="133"/>
    </row>
    <row r="61" spans="1:12" ht="15.6" x14ac:dyDescent="0.3">
      <c r="A61" s="27" t="s">
        <v>86</v>
      </c>
      <c r="B61" s="27" t="s">
        <v>114</v>
      </c>
      <c r="C61" s="27" t="s">
        <v>107</v>
      </c>
      <c r="D61" s="14">
        <v>471194.69</v>
      </c>
      <c r="E61" s="14">
        <v>29133.71</v>
      </c>
      <c r="F61" s="14">
        <v>2078501.21</v>
      </c>
      <c r="G61" s="14">
        <v>4318636.5599999996</v>
      </c>
      <c r="H61" s="96">
        <v>623271.93999999994</v>
      </c>
      <c r="I61" s="96">
        <v>3243.79</v>
      </c>
      <c r="J61" s="96">
        <v>767715.33000000007</v>
      </c>
      <c r="K61" s="96">
        <v>434051.63</v>
      </c>
      <c r="L61" s="133"/>
    </row>
    <row r="62" spans="1:12" ht="15.6" x14ac:dyDescent="0.3">
      <c r="A62" s="30" t="s">
        <v>16</v>
      </c>
      <c r="B62" s="26" t="s">
        <v>114</v>
      </c>
      <c r="C62" s="26" t="s">
        <v>107</v>
      </c>
      <c r="D62" s="14"/>
      <c r="E62" s="14"/>
      <c r="F62" s="14"/>
      <c r="G62" s="14"/>
      <c r="H62" s="96">
        <v>0</v>
      </c>
      <c r="I62" s="96">
        <v>0</v>
      </c>
      <c r="J62" s="96">
        <v>0</v>
      </c>
      <c r="K62" s="96">
        <v>0</v>
      </c>
    </row>
    <row r="63" spans="1:12" ht="15.6" x14ac:dyDescent="0.3">
      <c r="A63" s="194" t="s">
        <v>128</v>
      </c>
      <c r="B63" s="26" t="s">
        <v>114</v>
      </c>
      <c r="C63" s="27" t="s">
        <v>107</v>
      </c>
      <c r="D63" s="14"/>
      <c r="E63" s="14"/>
      <c r="F63" s="14"/>
      <c r="G63" s="14"/>
      <c r="H63" s="96"/>
      <c r="I63" s="96"/>
      <c r="J63" s="96"/>
      <c r="K63" s="96"/>
    </row>
    <row r="64" spans="1:12" ht="15.6" x14ac:dyDescent="0.3">
      <c r="A64" s="199" t="s">
        <v>131</v>
      </c>
      <c r="B64" s="26" t="s">
        <v>114</v>
      </c>
      <c r="C64" s="27" t="s">
        <v>107</v>
      </c>
      <c r="D64" s="14">
        <v>124200.08</v>
      </c>
      <c r="E64" s="14">
        <v>602.76</v>
      </c>
      <c r="F64" s="14"/>
      <c r="G64" s="14"/>
      <c r="H64" s="96"/>
      <c r="I64" s="96"/>
      <c r="J64" s="96"/>
      <c r="K64" s="96"/>
    </row>
    <row r="65" spans="1:12" ht="16.2" thickBot="1" x14ac:dyDescent="0.35">
      <c r="A65" s="117" t="s">
        <v>99</v>
      </c>
      <c r="B65" s="26" t="s">
        <v>114</v>
      </c>
      <c r="C65" s="26" t="s">
        <v>107</v>
      </c>
      <c r="D65" s="14">
        <v>118666.61</v>
      </c>
      <c r="E65" s="14">
        <v>3389.71</v>
      </c>
      <c r="F65" s="14">
        <v>390907.29</v>
      </c>
      <c r="G65" s="14">
        <v>532998.32999999996</v>
      </c>
      <c r="H65" s="96"/>
      <c r="I65" s="96"/>
      <c r="J65" s="96"/>
      <c r="K65" s="96"/>
    </row>
    <row r="66" spans="1:12" ht="21.6" thickBot="1" x14ac:dyDescent="0.45">
      <c r="A66" s="123" t="s">
        <v>116</v>
      </c>
      <c r="B66" s="121"/>
      <c r="C66" s="121"/>
      <c r="D66" s="174">
        <f>SUM(D57:D65)</f>
        <v>1331385.9100000001</v>
      </c>
      <c r="E66" s="174">
        <f t="shared" ref="E66:G66" si="6">SUM(E57:E65)</f>
        <v>53597.270000000004</v>
      </c>
      <c r="F66" s="174">
        <f t="shared" si="6"/>
        <v>5895491.1900000004</v>
      </c>
      <c r="G66" s="174">
        <f t="shared" si="6"/>
        <v>6725027.8200000003</v>
      </c>
      <c r="H66" s="174">
        <f>SUM(H57:H65)</f>
        <v>1382031.5799999998</v>
      </c>
      <c r="I66" s="174">
        <f t="shared" ref="I66:K66" si="7">SUM(I57:I65)</f>
        <v>17003.11</v>
      </c>
      <c r="J66" s="174">
        <f t="shared" si="7"/>
        <v>2895718.8800000004</v>
      </c>
      <c r="K66" s="174">
        <f t="shared" si="7"/>
        <v>1234154.6499999999</v>
      </c>
    </row>
    <row r="67" spans="1:12" ht="15.6" x14ac:dyDescent="0.3">
      <c r="A67" s="27" t="s">
        <v>77</v>
      </c>
      <c r="B67" s="26" t="s">
        <v>108</v>
      </c>
      <c r="C67" s="27" t="s">
        <v>102</v>
      </c>
      <c r="D67" s="197">
        <v>323496.28999999998</v>
      </c>
      <c r="E67" s="197">
        <f>5235.98+1684</f>
        <v>6919.98</v>
      </c>
      <c r="F67" s="197">
        <f>2208036.96+185193</f>
        <v>2393229.96</v>
      </c>
      <c r="G67" s="197">
        <v>1818856.03</v>
      </c>
      <c r="H67" s="96">
        <v>78327.829999999987</v>
      </c>
      <c r="I67" s="96">
        <v>3407.85</v>
      </c>
      <c r="J67" s="96">
        <v>352439.34</v>
      </c>
      <c r="K67" s="96">
        <v>61510.79</v>
      </c>
      <c r="L67" s="6"/>
    </row>
    <row r="68" spans="1:12" ht="15.6" x14ac:dyDescent="0.3">
      <c r="A68" s="30" t="s">
        <v>40</v>
      </c>
      <c r="B68" s="26" t="s">
        <v>56</v>
      </c>
      <c r="C68" s="26" t="s">
        <v>103</v>
      </c>
      <c r="D68" s="195">
        <v>1182457.1299999999</v>
      </c>
      <c r="E68" s="195">
        <v>120819.87</v>
      </c>
      <c r="F68" s="195">
        <v>2651463.62</v>
      </c>
      <c r="G68" s="195">
        <v>6996130.8700000001</v>
      </c>
      <c r="H68" s="96">
        <v>784798.63</v>
      </c>
      <c r="I68" s="96">
        <v>26197.079999999998</v>
      </c>
      <c r="J68" s="96">
        <v>1169035.81</v>
      </c>
      <c r="K68" s="96">
        <v>4424175.0199999996</v>
      </c>
    </row>
    <row r="69" spans="1:12" ht="15.6" x14ac:dyDescent="0.3">
      <c r="A69" s="26" t="s">
        <v>90</v>
      </c>
      <c r="B69" s="26" t="s">
        <v>108</v>
      </c>
      <c r="C69" s="26" t="s">
        <v>103</v>
      </c>
      <c r="D69" s="195"/>
      <c r="E69" s="195"/>
      <c r="F69" s="195"/>
      <c r="G69" s="195"/>
      <c r="H69" s="96">
        <v>52808.640000000007</v>
      </c>
      <c r="I69" s="96">
        <v>1751.68</v>
      </c>
      <c r="J69" s="96">
        <v>0</v>
      </c>
      <c r="K69" s="96">
        <v>790363.03</v>
      </c>
    </row>
    <row r="70" spans="1:12" ht="15.6" x14ac:dyDescent="0.3">
      <c r="A70" s="26" t="s">
        <v>92</v>
      </c>
      <c r="B70" s="26" t="s">
        <v>56</v>
      </c>
      <c r="C70" s="26" t="s">
        <v>103</v>
      </c>
      <c r="D70" s="195">
        <v>103057.52</v>
      </c>
      <c r="E70" s="195">
        <v>183.96</v>
      </c>
      <c r="F70" s="195"/>
      <c r="G70" s="195">
        <v>1496354.67</v>
      </c>
      <c r="H70" s="96">
        <v>0</v>
      </c>
      <c r="I70" s="96">
        <v>0</v>
      </c>
      <c r="J70" s="96">
        <v>233.5099999999984</v>
      </c>
      <c r="K70" s="96">
        <v>0</v>
      </c>
    </row>
    <row r="71" spans="1:12" ht="15.6" x14ac:dyDescent="0.3">
      <c r="A71" s="26" t="s">
        <v>93</v>
      </c>
      <c r="B71" s="26" t="s">
        <v>56</v>
      </c>
      <c r="C71" s="26" t="s">
        <v>103</v>
      </c>
      <c r="D71" s="195"/>
      <c r="E71" s="195">
        <v>20819.07</v>
      </c>
      <c r="F71" s="195"/>
      <c r="G71" s="195"/>
      <c r="H71" s="96">
        <v>0</v>
      </c>
      <c r="I71" s="96">
        <v>0</v>
      </c>
      <c r="J71" s="96">
        <v>0</v>
      </c>
      <c r="K71" s="96">
        <v>0</v>
      </c>
    </row>
    <row r="72" spans="1:12" ht="15.6" x14ac:dyDescent="0.3">
      <c r="A72" s="26" t="s">
        <v>100</v>
      </c>
      <c r="B72" s="26" t="s">
        <v>56</v>
      </c>
      <c r="C72" s="26" t="s">
        <v>103</v>
      </c>
      <c r="D72" s="195">
        <v>421988.32</v>
      </c>
      <c r="E72" s="195">
        <v>36497.85</v>
      </c>
      <c r="F72" s="195">
        <v>4223645.3600000003</v>
      </c>
      <c r="G72" s="195">
        <v>3101462.98</v>
      </c>
      <c r="H72" s="96">
        <v>230621.63</v>
      </c>
      <c r="I72" s="96">
        <v>27644.739999999998</v>
      </c>
      <c r="J72" s="96">
        <v>2537654.25</v>
      </c>
      <c r="K72" s="96">
        <v>1477484.02</v>
      </c>
    </row>
    <row r="73" spans="1:12" ht="15.6" x14ac:dyDescent="0.3">
      <c r="A73" s="118" t="s">
        <v>101</v>
      </c>
      <c r="B73" s="26" t="s">
        <v>56</v>
      </c>
      <c r="C73" s="26" t="s">
        <v>103</v>
      </c>
      <c r="D73" s="195">
        <v>1278977.96</v>
      </c>
      <c r="E73" s="195">
        <v>25786.46</v>
      </c>
      <c r="F73" s="195">
        <v>11991625.609999999</v>
      </c>
      <c r="G73" s="195">
        <v>11477389.73</v>
      </c>
      <c r="H73" s="96">
        <v>885971.56</v>
      </c>
      <c r="I73" s="96">
        <v>20301.55</v>
      </c>
      <c r="J73" s="96">
        <v>4333787.42</v>
      </c>
      <c r="K73" s="96">
        <v>7007549.7400000002</v>
      </c>
    </row>
    <row r="74" spans="1:12" ht="15.6" x14ac:dyDescent="0.3">
      <c r="A74" s="26" t="s">
        <v>81</v>
      </c>
      <c r="B74" s="26" t="s">
        <v>56</v>
      </c>
      <c r="C74" s="26" t="s">
        <v>103</v>
      </c>
      <c r="D74" s="195">
        <v>94091.69</v>
      </c>
      <c r="E74" s="195">
        <v>5850.93</v>
      </c>
      <c r="F74" s="195"/>
      <c r="G74" s="195"/>
      <c r="H74" s="96">
        <v>0</v>
      </c>
      <c r="I74" s="96">
        <v>1542.44</v>
      </c>
      <c r="J74" s="96">
        <v>0</v>
      </c>
      <c r="K74" s="96">
        <v>0</v>
      </c>
    </row>
    <row r="75" spans="1:12" ht="21.6" thickBot="1" x14ac:dyDescent="0.3">
      <c r="A75" s="177" t="s">
        <v>44</v>
      </c>
      <c r="B75" s="178"/>
      <c r="C75" s="178"/>
      <c r="D75" s="179">
        <f>SUM(D67:D74)</f>
        <v>3404068.9099999997</v>
      </c>
      <c r="E75" s="179">
        <f t="shared" ref="E75:G75" si="8">SUM(E67:E74)</f>
        <v>216878.12</v>
      </c>
      <c r="F75" s="179">
        <f t="shared" si="8"/>
        <v>21259964.550000001</v>
      </c>
      <c r="G75" s="179">
        <f t="shared" si="8"/>
        <v>24890194.280000001</v>
      </c>
      <c r="H75" s="179">
        <f>SUM(H67:H74)</f>
        <v>2032528.29</v>
      </c>
      <c r="I75" s="179">
        <f t="shared" ref="I75:K75" si="9">SUM(I67:I74)</f>
        <v>80845.34</v>
      </c>
      <c r="J75" s="179">
        <f t="shared" si="9"/>
        <v>8393150.3300000001</v>
      </c>
      <c r="K75" s="179">
        <f t="shared" si="9"/>
        <v>13761082.6</v>
      </c>
    </row>
    <row r="76" spans="1:12" ht="21.6" thickBot="1" x14ac:dyDescent="0.3">
      <c r="A76" s="122" t="s">
        <v>45</v>
      </c>
      <c r="B76" s="121"/>
      <c r="C76" s="121"/>
      <c r="D76" s="131">
        <f>D75+D66+D56+D22+D8</f>
        <v>12507528.65</v>
      </c>
      <c r="E76" s="131">
        <f t="shared" ref="E76:G76" si="10">E75+E66+E56+E22+E8</f>
        <v>618564.33000000007</v>
      </c>
      <c r="F76" s="131">
        <f t="shared" si="10"/>
        <v>35895361.350000001</v>
      </c>
      <c r="G76" s="131">
        <f t="shared" si="10"/>
        <v>92537771.580000013</v>
      </c>
      <c r="H76" s="131">
        <f>H75+H66+H56+H22+H8</f>
        <v>7925382.6400000006</v>
      </c>
      <c r="I76" s="131">
        <f t="shared" ref="I76:K76" si="11">I75+I66+I56+I22+I8</f>
        <v>512660.03</v>
      </c>
      <c r="J76" s="131">
        <f t="shared" si="11"/>
        <v>23181780.140000001</v>
      </c>
      <c r="K76" s="131">
        <f t="shared" si="11"/>
        <v>42317693.369999997</v>
      </c>
    </row>
    <row r="78" spans="1:12" x14ac:dyDescent="0.3">
      <c r="D78" s="6"/>
      <c r="E78" s="6"/>
      <c r="F78" s="6"/>
      <c r="G78" s="6"/>
    </row>
    <row r="79" spans="1:12" x14ac:dyDescent="0.3">
      <c r="F79" s="6"/>
    </row>
    <row r="80" spans="1:12" x14ac:dyDescent="0.3">
      <c r="E80" s="9"/>
      <c r="F80" s="9"/>
    </row>
  </sheetData>
  <mergeCells count="2">
    <mergeCell ref="D1:G1"/>
    <mergeCell ref="H1:K1"/>
  </mergeCells>
  <conditionalFormatting sqref="A1">
    <cfRule type="duplicateValues" dxfId="249" priority="27"/>
    <cfRule type="duplicateValues" dxfId="248" priority="28"/>
  </conditionalFormatting>
  <conditionalFormatting sqref="A14">
    <cfRule type="duplicateValues" dxfId="247" priority="9"/>
    <cfRule type="duplicateValues" dxfId="246" priority="10"/>
  </conditionalFormatting>
  <conditionalFormatting sqref="A20">
    <cfRule type="duplicateValues" dxfId="245" priority="1"/>
    <cfRule type="duplicateValues" dxfId="244" priority="2"/>
  </conditionalFormatting>
  <conditionalFormatting sqref="A41">
    <cfRule type="duplicateValues" dxfId="243" priority="5"/>
    <cfRule type="duplicateValues" dxfId="242" priority="6"/>
  </conditionalFormatting>
  <conditionalFormatting sqref="A54">
    <cfRule type="duplicateValues" dxfId="241" priority="3"/>
    <cfRule type="duplicateValues" dxfId="240" priority="4"/>
  </conditionalFormatting>
  <conditionalFormatting sqref="A57">
    <cfRule type="duplicateValues" dxfId="239" priority="11"/>
    <cfRule type="duplicateValues" dxfId="238" priority="12"/>
  </conditionalFormatting>
  <conditionalFormatting sqref="A58:A60 A7 A23:A40 A62 A42:A53 A55">
    <cfRule type="duplicateValues" dxfId="237" priority="17"/>
    <cfRule type="duplicateValues" dxfId="236" priority="18"/>
  </conditionalFormatting>
  <conditionalFormatting sqref="A61">
    <cfRule type="duplicateValues" dxfId="235" priority="7"/>
    <cfRule type="duplicateValues" dxfId="234" priority="8"/>
  </conditionalFormatting>
  <conditionalFormatting sqref="A67:A74">
    <cfRule type="duplicateValues" dxfId="233" priority="15"/>
    <cfRule type="duplicateValues" dxfId="232" priority="16"/>
  </conditionalFormatting>
  <conditionalFormatting sqref="A75:A76 A2:A6 A8:A13 A15:A19 A56 A66 A21:A22">
    <cfRule type="duplicateValues" dxfId="231" priority="13"/>
    <cfRule type="duplicateValues" dxfId="230" priority="14"/>
  </conditionalFormatting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9A6CA-D251-4DF4-BDA3-15E6C5643ED5}">
  <sheetPr>
    <tabColor rgb="FFFFC000"/>
  </sheetPr>
  <dimension ref="A1:K81"/>
  <sheetViews>
    <sheetView rightToLeft="1" zoomScaleNormal="100" workbookViewId="0">
      <pane ySplit="3" topLeftCell="A4" activePane="bottomLeft" state="frozen"/>
      <selection pane="bottomLeft" activeCell="L30" sqref="L30"/>
    </sheetView>
  </sheetViews>
  <sheetFormatPr defaultColWidth="30.09765625" defaultRowHeight="14.4" x14ac:dyDescent="0.3"/>
  <cols>
    <col min="1" max="1" width="30" style="32" bestFit="1" customWidth="1"/>
    <col min="2" max="2" width="11.3984375" style="32" customWidth="1"/>
    <col min="3" max="3" width="11.69921875" style="32" customWidth="1"/>
    <col min="4" max="4" width="16.8984375" customWidth="1"/>
    <col min="5" max="5" width="15.19921875" customWidth="1"/>
    <col min="6" max="6" width="16.8984375" customWidth="1"/>
    <col min="7" max="7" width="19" customWidth="1"/>
    <col min="8" max="8" width="16.8984375" style="3" customWidth="1"/>
    <col min="9" max="9" width="15.19921875" style="3" customWidth="1"/>
    <col min="10" max="10" width="16.8984375" style="3" customWidth="1"/>
    <col min="11" max="11" width="19" customWidth="1"/>
  </cols>
  <sheetData>
    <row r="1" spans="1:11" ht="21" x14ac:dyDescent="0.25">
      <c r="A1" s="26"/>
      <c r="B1" s="26"/>
      <c r="C1" s="26"/>
      <c r="D1" s="241">
        <v>2025</v>
      </c>
      <c r="E1" s="241"/>
      <c r="F1" s="241"/>
      <c r="G1" s="241"/>
      <c r="H1" s="242">
        <v>2024</v>
      </c>
      <c r="I1" s="242"/>
      <c r="J1" s="242"/>
      <c r="K1" s="242"/>
    </row>
    <row r="2" spans="1:11" ht="21" x14ac:dyDescent="0.25">
      <c r="A2" s="11" t="s">
        <v>0</v>
      </c>
      <c r="B2" s="23" t="s">
        <v>53</v>
      </c>
      <c r="C2" s="23" t="s">
        <v>109</v>
      </c>
      <c r="D2" s="13" t="s">
        <v>46</v>
      </c>
      <c r="E2" s="13" t="s">
        <v>47</v>
      </c>
      <c r="F2" s="13" t="s">
        <v>48</v>
      </c>
      <c r="G2" s="13" t="s">
        <v>49</v>
      </c>
      <c r="H2" s="95" t="s">
        <v>46</v>
      </c>
      <c r="I2" s="95" t="s">
        <v>47</v>
      </c>
      <c r="J2" s="95" t="s">
        <v>48</v>
      </c>
      <c r="K2" s="95" t="s">
        <v>89</v>
      </c>
    </row>
    <row r="3" spans="1:11" ht="15.6" x14ac:dyDescent="0.3">
      <c r="A3" s="26" t="s">
        <v>1</v>
      </c>
      <c r="B3" s="26" t="s">
        <v>108</v>
      </c>
      <c r="C3" s="26" t="s">
        <v>58</v>
      </c>
      <c r="D3" s="195">
        <f>359138.828417525-2452-D4-D5-D6-D69-D70</f>
        <v>398667.56727412908</v>
      </c>
      <c r="E3" s="195">
        <f>37747.2458591074-E4-E5-E69-E70-E6</f>
        <v>36035.465284796781</v>
      </c>
      <c r="F3" s="195">
        <f>47138.0629308915-F4-F5-F6-F69-F70</f>
        <v>34948.921074499209</v>
      </c>
      <c r="G3" s="195">
        <f>-3958477.55+78708-G4-G6</f>
        <v>-3749060.34</v>
      </c>
      <c r="H3" s="96">
        <v>300015.4126728496</v>
      </c>
      <c r="I3" s="96">
        <v>108408.37686540294</v>
      </c>
      <c r="J3" s="96">
        <v>21835.328290515252</v>
      </c>
      <c r="K3" s="96">
        <v>669313.26</v>
      </c>
    </row>
    <row r="4" spans="1:11" ht="15.6" x14ac:dyDescent="0.3">
      <c r="A4" s="26" t="s">
        <v>2</v>
      </c>
      <c r="B4" s="26" t="s">
        <v>108</v>
      </c>
      <c r="C4" s="26" t="s">
        <v>58</v>
      </c>
      <c r="D4" s="195">
        <v>64743.786945898049</v>
      </c>
      <c r="E4" s="195">
        <v>3929.769176882663</v>
      </c>
      <c r="F4" s="195">
        <v>12189.141856392291</v>
      </c>
      <c r="G4" s="195">
        <v>-5103.53</v>
      </c>
      <c r="H4" s="96">
        <v>58268.302441429703</v>
      </c>
      <c r="I4" s="96">
        <v>3658.018157552011</v>
      </c>
      <c r="J4" s="96">
        <v>0</v>
      </c>
      <c r="K4" s="96">
        <v>566732.81000000006</v>
      </c>
    </row>
    <row r="5" spans="1:11" ht="15.6" x14ac:dyDescent="0.3">
      <c r="A5" s="26" t="s">
        <v>104</v>
      </c>
      <c r="B5" s="26" t="s">
        <v>108</v>
      </c>
      <c r="C5" s="26" t="s">
        <v>58</v>
      </c>
      <c r="D5" s="195">
        <v>0</v>
      </c>
      <c r="E5" s="195">
        <v>139.41577677448089</v>
      </c>
      <c r="F5" s="195">
        <v>0</v>
      </c>
      <c r="G5" s="195"/>
      <c r="H5" s="96"/>
      <c r="I5" s="96"/>
      <c r="J5" s="96"/>
      <c r="K5" s="96"/>
    </row>
    <row r="6" spans="1:11" ht="15.6" x14ac:dyDescent="0.3">
      <c r="A6" s="28" t="s">
        <v>105</v>
      </c>
      <c r="B6" s="26" t="s">
        <v>108</v>
      </c>
      <c r="C6" s="28" t="s">
        <v>58</v>
      </c>
      <c r="D6" s="196">
        <v>-106724.52580250212</v>
      </c>
      <c r="E6" s="196">
        <v>1756.7926373726696</v>
      </c>
      <c r="F6" s="196">
        <v>0</v>
      </c>
      <c r="G6" s="196">
        <v>-125605.68</v>
      </c>
      <c r="H6" s="96"/>
      <c r="I6" s="96"/>
      <c r="J6" s="96"/>
      <c r="K6" s="96"/>
    </row>
    <row r="7" spans="1:11" ht="16.2" thickBot="1" x14ac:dyDescent="0.35">
      <c r="A7" s="26" t="s">
        <v>34</v>
      </c>
      <c r="B7" s="26" t="s">
        <v>108</v>
      </c>
      <c r="C7" s="26" t="s">
        <v>58</v>
      </c>
      <c r="D7" s="195"/>
      <c r="E7" s="195"/>
      <c r="F7" s="195"/>
      <c r="G7" s="195"/>
      <c r="H7" s="96">
        <v>0</v>
      </c>
      <c r="I7" s="96">
        <v>0</v>
      </c>
      <c r="J7" s="96">
        <v>0</v>
      </c>
      <c r="K7" s="96">
        <v>0</v>
      </c>
    </row>
    <row r="8" spans="1:11" ht="21.6" thickBot="1" x14ac:dyDescent="0.45">
      <c r="A8" s="122" t="s">
        <v>3</v>
      </c>
      <c r="B8" s="121"/>
      <c r="C8" s="121"/>
      <c r="D8" s="174">
        <f>SUM(D3:D7)</f>
        <v>356686.82841752499</v>
      </c>
      <c r="E8" s="174">
        <f t="shared" ref="E8:G8" si="0">SUM(E3:E7)</f>
        <v>41861.4428758266</v>
      </c>
      <c r="F8" s="174">
        <f t="shared" si="0"/>
        <v>47138.062930891501</v>
      </c>
      <c r="G8" s="174">
        <f t="shared" si="0"/>
        <v>-3879769.55</v>
      </c>
      <c r="H8" s="174">
        <f>SUM(H3:H7)</f>
        <v>358283.7151142793</v>
      </c>
      <c r="I8" s="174">
        <f t="shared" ref="I8:K8" si="1">SUM(I3:I7)</f>
        <v>112066.39502295495</v>
      </c>
      <c r="J8" s="174">
        <f t="shared" si="1"/>
        <v>21835.328290515252</v>
      </c>
      <c r="K8" s="174">
        <f t="shared" si="1"/>
        <v>1236046.07</v>
      </c>
    </row>
    <row r="9" spans="1:11" ht="15.6" x14ac:dyDescent="0.3">
      <c r="A9" s="27" t="s">
        <v>4</v>
      </c>
      <c r="B9" s="26" t="s">
        <v>108</v>
      </c>
      <c r="C9" s="27" t="s">
        <v>106</v>
      </c>
      <c r="D9" s="18">
        <v>42282.469712023361</v>
      </c>
      <c r="E9" s="18">
        <v>0</v>
      </c>
      <c r="F9" s="18">
        <v>0</v>
      </c>
      <c r="G9">
        <v>-103495.14</v>
      </c>
      <c r="H9" s="96">
        <v>2695.5143100998916</v>
      </c>
      <c r="I9" s="96">
        <v>0</v>
      </c>
      <c r="J9" s="96">
        <v>0</v>
      </c>
      <c r="K9" s="96">
        <v>-41153.03</v>
      </c>
    </row>
    <row r="10" spans="1:11" ht="15.6" x14ac:dyDescent="0.3">
      <c r="A10" s="26" t="s">
        <v>5</v>
      </c>
      <c r="B10" s="26" t="s">
        <v>108</v>
      </c>
      <c r="C10" s="26" t="s">
        <v>106</v>
      </c>
      <c r="D10" s="14">
        <v>500380.19977861864</v>
      </c>
      <c r="E10" s="14">
        <v>327084.20646134292</v>
      </c>
      <c r="F10" s="14">
        <v>9044.7089316987749</v>
      </c>
      <c r="G10" s="14">
        <v>863163.98</v>
      </c>
      <c r="H10" s="96">
        <v>448536.08566712169</v>
      </c>
      <c r="I10" s="96">
        <v>25012.758331807458</v>
      </c>
      <c r="J10" s="96">
        <v>75525.520836318916</v>
      </c>
      <c r="K10" s="96">
        <v>98775.62999999999</v>
      </c>
    </row>
    <row r="11" spans="1:11" ht="15.6" x14ac:dyDescent="0.3">
      <c r="A11" s="26" t="s">
        <v>6</v>
      </c>
      <c r="B11" s="26" t="s">
        <v>108</v>
      </c>
      <c r="C11" s="26" t="s">
        <v>106</v>
      </c>
      <c r="D11" s="14">
        <v>90917.074382375853</v>
      </c>
      <c r="E11" s="14">
        <v>21345.015237701529</v>
      </c>
      <c r="F11" s="14">
        <v>238169.5655026577</v>
      </c>
      <c r="G11" s="14">
        <v>-572443.18999999994</v>
      </c>
      <c r="H11" s="96">
        <v>111681.05818512871</v>
      </c>
      <c r="I11" s="96">
        <v>41213.231252974838</v>
      </c>
      <c r="J11" s="96">
        <v>127035.72006537759</v>
      </c>
      <c r="K11" s="96">
        <v>-698089.33000000007</v>
      </c>
    </row>
    <row r="12" spans="1:11" ht="15.6" x14ac:dyDescent="0.3">
      <c r="A12" s="26" t="s">
        <v>7</v>
      </c>
      <c r="B12" s="26" t="s">
        <v>108</v>
      </c>
      <c r="C12" s="26" t="s">
        <v>106</v>
      </c>
      <c r="D12" s="14">
        <v>470.5298013245033</v>
      </c>
      <c r="E12" s="14">
        <v>0</v>
      </c>
      <c r="F12" s="14">
        <v>0</v>
      </c>
      <c r="G12" s="14"/>
      <c r="H12" s="96">
        <v>0</v>
      </c>
      <c r="I12" s="96">
        <v>0</v>
      </c>
      <c r="J12" s="96">
        <v>0</v>
      </c>
      <c r="K12" s="96">
        <v>-233653.23</v>
      </c>
    </row>
    <row r="13" spans="1:11" ht="15.6" x14ac:dyDescent="0.3">
      <c r="A13" s="26" t="s">
        <v>8</v>
      </c>
      <c r="B13" s="26" t="s">
        <v>108</v>
      </c>
      <c r="C13" s="26" t="s">
        <v>106</v>
      </c>
      <c r="D13" s="14">
        <v>0</v>
      </c>
      <c r="E13" s="14">
        <v>85.878006273963052</v>
      </c>
      <c r="F13" s="14">
        <v>0</v>
      </c>
      <c r="G13" s="14"/>
      <c r="H13" s="96">
        <v>0</v>
      </c>
      <c r="I13" s="96">
        <v>5556.9137364414673</v>
      </c>
      <c r="J13" s="96">
        <v>0</v>
      </c>
      <c r="K13" s="96">
        <v>0</v>
      </c>
    </row>
    <row r="14" spans="1:11" ht="15.6" x14ac:dyDescent="0.3">
      <c r="A14" s="26" t="s">
        <v>9</v>
      </c>
      <c r="B14" s="26" t="s">
        <v>108</v>
      </c>
      <c r="C14" s="26" t="s">
        <v>106</v>
      </c>
      <c r="D14" s="14">
        <v>17096.618527650578</v>
      </c>
      <c r="E14" s="14">
        <v>0</v>
      </c>
      <c r="F14" s="14">
        <v>0</v>
      </c>
      <c r="G14" s="14">
        <v>-25575.66</v>
      </c>
      <c r="H14" s="96">
        <v>981.0890260293354</v>
      </c>
      <c r="I14" s="96">
        <v>15120.947484459406</v>
      </c>
      <c r="J14" s="96">
        <v>-37034.224990839139</v>
      </c>
      <c r="K14" s="96">
        <v>-668224.97</v>
      </c>
    </row>
    <row r="15" spans="1:11" ht="15.6" x14ac:dyDescent="0.3">
      <c r="A15" s="26" t="s">
        <v>31</v>
      </c>
      <c r="B15" s="26" t="s">
        <v>108</v>
      </c>
      <c r="C15" s="26" t="s">
        <v>106</v>
      </c>
      <c r="D15" s="14"/>
      <c r="E15" s="14"/>
      <c r="F15" s="14"/>
      <c r="G15" s="14"/>
      <c r="H15" s="96">
        <v>0</v>
      </c>
      <c r="I15" s="96">
        <v>0</v>
      </c>
      <c r="J15" s="96">
        <v>0</v>
      </c>
      <c r="K15" s="96">
        <v>0</v>
      </c>
    </row>
    <row r="16" spans="1:11" ht="15.6" x14ac:dyDescent="0.3">
      <c r="A16" s="26" t="s">
        <v>96</v>
      </c>
      <c r="B16" s="26" t="s">
        <v>108</v>
      </c>
      <c r="C16" s="26" t="s">
        <v>106</v>
      </c>
      <c r="D16" s="14"/>
      <c r="E16" s="14"/>
      <c r="F16" s="14"/>
      <c r="G16" s="14"/>
      <c r="H16" s="96">
        <v>0</v>
      </c>
      <c r="I16" s="96">
        <v>0</v>
      </c>
      <c r="J16" s="96">
        <v>0</v>
      </c>
      <c r="K16" s="96">
        <v>0</v>
      </c>
    </row>
    <row r="17" spans="1:11" ht="15.6" x14ac:dyDescent="0.3">
      <c r="A17" s="26" t="s">
        <v>42</v>
      </c>
      <c r="B17" s="26" t="s">
        <v>108</v>
      </c>
      <c r="C17" s="26" t="s">
        <v>106</v>
      </c>
      <c r="D17" s="14">
        <v>20385.722513860441</v>
      </c>
      <c r="E17" s="14">
        <v>57248.464253261707</v>
      </c>
      <c r="F17" s="14">
        <v>11599.187390542909</v>
      </c>
      <c r="G17" s="14">
        <v>-837449.34</v>
      </c>
      <c r="H17" s="96">
        <v>63269.397178300133</v>
      </c>
      <c r="I17" s="96">
        <v>75269.299968658321</v>
      </c>
      <c r="J17" s="96">
        <v>0</v>
      </c>
      <c r="K17" s="96">
        <v>561446.12999999989</v>
      </c>
    </row>
    <row r="18" spans="1:11" ht="15.6" x14ac:dyDescent="0.3">
      <c r="A18" s="26" t="s">
        <v>43</v>
      </c>
      <c r="B18" s="26" t="s">
        <v>108</v>
      </c>
      <c r="C18" s="26" t="s">
        <v>106</v>
      </c>
      <c r="D18" s="14">
        <v>87483.944564262012</v>
      </c>
      <c r="E18" s="14">
        <v>7143.3484064828644</v>
      </c>
      <c r="F18" s="14">
        <v>721036.91982077726</v>
      </c>
      <c r="G18" s="14">
        <f>168852.74-190732</f>
        <v>-21879.260000000009</v>
      </c>
      <c r="H18" s="96">
        <v>102465.44633486688</v>
      </c>
      <c r="I18" s="96">
        <v>57788.556034681438</v>
      </c>
      <c r="J18" s="96">
        <v>70330.233145928491</v>
      </c>
      <c r="K18" s="96">
        <v>-2113877.0300000003</v>
      </c>
    </row>
    <row r="19" spans="1:11" ht="15.6" x14ac:dyDescent="0.3">
      <c r="A19" s="26" t="s">
        <v>30</v>
      </c>
      <c r="B19" s="26" t="s">
        <v>108</v>
      </c>
      <c r="C19" s="26" t="s">
        <v>106</v>
      </c>
      <c r="D19" s="14">
        <v>8188.2998248686517</v>
      </c>
      <c r="E19" s="14">
        <v>0</v>
      </c>
      <c r="F19" s="14">
        <v>0</v>
      </c>
      <c r="G19" s="14">
        <v>-190731.89499999999</v>
      </c>
      <c r="H19" s="96">
        <v>686.0330922190202</v>
      </c>
      <c r="I19" s="96">
        <v>7775.8943227603941</v>
      </c>
      <c r="J19" s="96">
        <v>0</v>
      </c>
      <c r="K19" s="96">
        <v>0</v>
      </c>
    </row>
    <row r="20" spans="1:11" ht="15.6" x14ac:dyDescent="0.3">
      <c r="A20" s="28" t="s">
        <v>130</v>
      </c>
      <c r="B20" s="26" t="s">
        <v>108</v>
      </c>
      <c r="C20" s="26" t="s">
        <v>106</v>
      </c>
      <c r="D20" s="15">
        <v>29490.324082935349</v>
      </c>
      <c r="E20" s="15">
        <v>0</v>
      </c>
      <c r="F20" s="15">
        <v>0</v>
      </c>
      <c r="G20" s="15"/>
      <c r="H20" s="96"/>
      <c r="I20" s="96"/>
      <c r="J20" s="96"/>
      <c r="K20" s="96"/>
    </row>
    <row r="21" spans="1:11" ht="16.2" thickBot="1" x14ac:dyDescent="0.35">
      <c r="A21" s="28" t="s">
        <v>38</v>
      </c>
      <c r="B21" s="26" t="s">
        <v>108</v>
      </c>
      <c r="C21" s="28" t="s">
        <v>106</v>
      </c>
      <c r="D21" s="15"/>
      <c r="E21" s="15"/>
      <c r="F21" s="15"/>
      <c r="G21" s="15"/>
      <c r="H21" s="96">
        <v>0</v>
      </c>
      <c r="I21" s="96">
        <v>2424.5763737676821</v>
      </c>
      <c r="J21" s="96">
        <v>0</v>
      </c>
      <c r="K21" s="96">
        <v>0</v>
      </c>
    </row>
    <row r="22" spans="1:11" ht="21.6" thickBot="1" x14ac:dyDescent="0.45">
      <c r="A22" s="122" t="s">
        <v>10</v>
      </c>
      <c r="B22" s="121"/>
      <c r="C22" s="121"/>
      <c r="D22" s="174">
        <f>SUM(D9:D21)</f>
        <v>796695.18318791944</v>
      </c>
      <c r="E22" s="174">
        <f t="shared" ref="E22:G22" si="2">SUM(E9:E21)</f>
        <v>412906.91236506292</v>
      </c>
      <c r="F22" s="174">
        <f t="shared" si="2"/>
        <v>979850.38164567668</v>
      </c>
      <c r="G22" s="174">
        <f t="shared" si="2"/>
        <v>-888410.505</v>
      </c>
      <c r="H22" s="174">
        <f>SUM(H9:H21)</f>
        <v>730314.62379376567</v>
      </c>
      <c r="I22" s="174">
        <f t="shared" ref="I22:K22" si="3">SUM(I9:I21)</f>
        <v>230162.17750555102</v>
      </c>
      <c r="J22" s="174">
        <f t="shared" si="3"/>
        <v>235857.24905678583</v>
      </c>
      <c r="K22" s="174">
        <f t="shared" si="3"/>
        <v>-3094775.8300000005</v>
      </c>
    </row>
    <row r="23" spans="1:11" ht="15.6" x14ac:dyDescent="0.3">
      <c r="A23" s="27" t="s">
        <v>11</v>
      </c>
      <c r="B23" s="27" t="s">
        <v>56</v>
      </c>
      <c r="C23" s="27" t="s">
        <v>107</v>
      </c>
      <c r="D23" s="18"/>
      <c r="E23" s="18"/>
      <c r="F23" s="18"/>
      <c r="G23" s="18"/>
      <c r="H23" s="96">
        <v>-10297.373329416951</v>
      </c>
      <c r="I23" s="96">
        <v>551.41989626227155</v>
      </c>
      <c r="J23" s="96">
        <v>0</v>
      </c>
      <c r="K23" s="96">
        <v>0</v>
      </c>
    </row>
    <row r="24" spans="1:11" ht="15.6" x14ac:dyDescent="0.3">
      <c r="A24" s="30" t="s">
        <v>12</v>
      </c>
      <c r="B24" s="26" t="s">
        <v>56</v>
      </c>
      <c r="C24" s="26" t="s">
        <v>107</v>
      </c>
      <c r="D24" s="14">
        <v>0</v>
      </c>
      <c r="E24" s="14">
        <v>3071.9442883237321</v>
      </c>
      <c r="F24" s="14">
        <v>0</v>
      </c>
      <c r="G24" s="14">
        <v>-11711.17</v>
      </c>
      <c r="H24" s="96">
        <v>-1752.2375399864841</v>
      </c>
      <c r="I24" s="96">
        <v>0</v>
      </c>
      <c r="J24" s="96">
        <v>0</v>
      </c>
      <c r="K24" s="96">
        <v>-747499.15000000014</v>
      </c>
    </row>
    <row r="25" spans="1:11" ht="15.6" x14ac:dyDescent="0.3">
      <c r="A25" s="30" t="s">
        <v>13</v>
      </c>
      <c r="B25" s="26" t="s">
        <v>56</v>
      </c>
      <c r="C25" s="26" t="s">
        <v>107</v>
      </c>
      <c r="D25" s="14">
        <v>13040.009862627679</v>
      </c>
      <c r="E25" s="14">
        <v>0</v>
      </c>
      <c r="F25" s="14">
        <v>3961.350288042715</v>
      </c>
      <c r="G25" s="14"/>
      <c r="H25" s="96">
        <v>35513.790438660501</v>
      </c>
      <c r="I25" s="96">
        <v>8995.3332160321643</v>
      </c>
      <c r="J25" s="96">
        <v>36812.957997418533</v>
      </c>
      <c r="K25" s="96">
        <v>-2249.4099999999962</v>
      </c>
    </row>
    <row r="26" spans="1:11" ht="15.6" x14ac:dyDescent="0.3">
      <c r="A26" s="26" t="s">
        <v>14</v>
      </c>
      <c r="B26" s="26" t="s">
        <v>55</v>
      </c>
      <c r="C26" s="26" t="s">
        <v>107</v>
      </c>
      <c r="D26" s="14"/>
      <c r="E26" s="14"/>
      <c r="F26" s="14"/>
      <c r="G26" s="14"/>
      <c r="H26" s="96">
        <v>0</v>
      </c>
      <c r="I26" s="96">
        <v>0</v>
      </c>
      <c r="J26" s="96">
        <v>0</v>
      </c>
      <c r="K26" s="96">
        <v>0</v>
      </c>
    </row>
    <row r="27" spans="1:11" ht="15.6" x14ac:dyDescent="0.3">
      <c r="A27" s="30" t="s">
        <v>15</v>
      </c>
      <c r="B27" s="26" t="s">
        <v>56</v>
      </c>
      <c r="C27" s="26" t="s">
        <v>107</v>
      </c>
      <c r="D27" s="14">
        <v>16479.71978984238</v>
      </c>
      <c r="E27" s="14">
        <v>0</v>
      </c>
      <c r="F27" s="14">
        <v>0</v>
      </c>
      <c r="G27" s="14"/>
      <c r="H27" s="96">
        <v>0</v>
      </c>
      <c r="I27" s="96">
        <v>0</v>
      </c>
      <c r="J27" s="96">
        <v>0</v>
      </c>
      <c r="K27" s="96">
        <v>-316054.63</v>
      </c>
    </row>
    <row r="28" spans="1:11" ht="15.6" x14ac:dyDescent="0.3">
      <c r="A28" s="30" t="s">
        <v>17</v>
      </c>
      <c r="B28" s="26" t="s">
        <v>56</v>
      </c>
      <c r="C28" s="26" t="s">
        <v>107</v>
      </c>
      <c r="D28" s="14">
        <v>66178.085751183025</v>
      </c>
      <c r="E28" s="14">
        <v>58360.581820415682</v>
      </c>
      <c r="F28" s="14">
        <v>590.01369959252497</v>
      </c>
      <c r="G28" s="14">
        <v>190697.65</v>
      </c>
      <c r="H28" s="96">
        <v>-1012.005255762425</v>
      </c>
      <c r="I28" s="96">
        <v>4648.1284249867931</v>
      </c>
      <c r="J28" s="96">
        <v>1143.249679032024</v>
      </c>
      <c r="K28" s="96">
        <v>-202711.06</v>
      </c>
    </row>
    <row r="29" spans="1:11" ht="15.6" x14ac:dyDescent="0.3">
      <c r="A29" s="30" t="s">
        <v>18</v>
      </c>
      <c r="B29" s="26" t="s">
        <v>56</v>
      </c>
      <c r="C29" s="26" t="s">
        <v>107</v>
      </c>
      <c r="D29" s="14"/>
      <c r="E29" s="14"/>
      <c r="F29" s="14"/>
      <c r="G29" s="14"/>
      <c r="H29" s="96">
        <v>0</v>
      </c>
      <c r="I29" s="96">
        <v>0</v>
      </c>
      <c r="J29" s="96">
        <v>0</v>
      </c>
      <c r="K29" s="96">
        <v>0</v>
      </c>
    </row>
    <row r="30" spans="1:11" ht="15.6" x14ac:dyDescent="0.3">
      <c r="A30" s="26" t="s">
        <v>19</v>
      </c>
      <c r="B30" s="26" t="s">
        <v>56</v>
      </c>
      <c r="C30" s="26" t="s">
        <v>107</v>
      </c>
      <c r="D30" s="14">
        <v>25899.969511248939</v>
      </c>
      <c r="E30" s="14">
        <v>0</v>
      </c>
      <c r="F30" s="14">
        <v>0</v>
      </c>
      <c r="G30" s="14">
        <v>83007.679999999993</v>
      </c>
      <c r="H30" s="96">
        <v>2688.1765180115281</v>
      </c>
      <c r="I30" s="96">
        <v>624.0436308095135</v>
      </c>
      <c r="J30" s="96">
        <v>0</v>
      </c>
      <c r="K30" s="96">
        <v>-482691.81</v>
      </c>
    </row>
    <row r="31" spans="1:11" ht="15.6" x14ac:dyDescent="0.3">
      <c r="A31" s="26" t="s">
        <v>20</v>
      </c>
      <c r="B31" s="26" t="s">
        <v>56</v>
      </c>
      <c r="C31" s="26" t="s">
        <v>107</v>
      </c>
      <c r="D31" s="14">
        <v>0</v>
      </c>
      <c r="E31" s="14">
        <v>19932.22957395477</v>
      </c>
      <c r="F31" s="14">
        <v>0</v>
      </c>
      <c r="G31" s="14">
        <v>-1757677.82</v>
      </c>
      <c r="H31" s="96">
        <v>11088.197413537186</v>
      </c>
      <c r="I31" s="96">
        <v>24346.582175997937</v>
      </c>
      <c r="J31" s="96">
        <v>0</v>
      </c>
      <c r="K31" s="96">
        <v>-193883.53999999998</v>
      </c>
    </row>
    <row r="32" spans="1:11" ht="15.6" x14ac:dyDescent="0.3">
      <c r="A32" s="26" t="s">
        <v>21</v>
      </c>
      <c r="B32" s="26" t="s">
        <v>56</v>
      </c>
      <c r="C32" s="26" t="s">
        <v>107</v>
      </c>
      <c r="D32" s="14"/>
      <c r="E32" s="14"/>
      <c r="F32" s="14"/>
      <c r="G32" s="14"/>
      <c r="H32" s="96">
        <v>0</v>
      </c>
      <c r="I32" s="96">
        <v>0</v>
      </c>
      <c r="J32" s="96">
        <v>0</v>
      </c>
      <c r="K32" s="96">
        <v>0</v>
      </c>
    </row>
    <row r="33" spans="1:11" ht="15.6" x14ac:dyDescent="0.3">
      <c r="A33" s="26" t="s">
        <v>22</v>
      </c>
      <c r="B33" s="26" t="s">
        <v>56</v>
      </c>
      <c r="C33" s="26" t="s">
        <v>107</v>
      </c>
      <c r="D33" s="14">
        <v>1430.7864342713151</v>
      </c>
      <c r="E33" s="14">
        <v>3967.905542000698</v>
      </c>
      <c r="F33" s="14">
        <v>29299.64635435012</v>
      </c>
      <c r="G33" s="14"/>
      <c r="H33" s="96">
        <v>-47088.502065060762</v>
      </c>
      <c r="I33" s="96">
        <v>1100.8786498071149</v>
      </c>
      <c r="J33" s="96">
        <v>24444.10894284333</v>
      </c>
      <c r="K33" s="96">
        <v>0</v>
      </c>
    </row>
    <row r="34" spans="1:11" ht="15.6" x14ac:dyDescent="0.3">
      <c r="A34" s="26" t="s">
        <v>23</v>
      </c>
      <c r="B34" s="26" t="s">
        <v>56</v>
      </c>
      <c r="C34" s="26" t="s">
        <v>107</v>
      </c>
      <c r="D34" s="14"/>
      <c r="E34" s="14"/>
      <c r="F34" s="14"/>
      <c r="G34" s="14"/>
      <c r="H34" s="96">
        <v>0</v>
      </c>
      <c r="I34" s="96">
        <v>0</v>
      </c>
      <c r="J34" s="96">
        <v>0</v>
      </c>
      <c r="K34" s="96">
        <v>0</v>
      </c>
    </row>
    <row r="35" spans="1:11" ht="15.6" x14ac:dyDescent="0.3">
      <c r="A35" s="26" t="s">
        <v>24</v>
      </c>
      <c r="B35" s="26" t="s">
        <v>56</v>
      </c>
      <c r="C35" s="26" t="s">
        <v>107</v>
      </c>
      <c r="D35" s="14"/>
      <c r="E35" s="14"/>
      <c r="F35" s="14"/>
      <c r="G35" s="14"/>
      <c r="H35" s="96">
        <v>0</v>
      </c>
      <c r="I35" s="96">
        <v>0</v>
      </c>
      <c r="J35" s="96">
        <v>0</v>
      </c>
      <c r="K35" s="96">
        <v>0</v>
      </c>
    </row>
    <row r="36" spans="1:11" ht="15.6" x14ac:dyDescent="0.3">
      <c r="A36" s="30" t="s">
        <v>25</v>
      </c>
      <c r="B36" s="26" t="s">
        <v>56</v>
      </c>
      <c r="C36" s="26" t="s">
        <v>107</v>
      </c>
      <c r="D36" s="14">
        <v>1617860.9578027797</v>
      </c>
      <c r="E36" s="14">
        <v>191818.3751223443</v>
      </c>
      <c r="F36" s="14">
        <v>1811104.4493893101</v>
      </c>
      <c r="G36" s="14">
        <v>2589350.34</v>
      </c>
      <c r="H36" s="96">
        <v>1277066.1056574665</v>
      </c>
      <c r="I36" s="96">
        <v>330588.97398069757</v>
      </c>
      <c r="J36" s="96">
        <v>5537034.227328334</v>
      </c>
      <c r="K36" s="96">
        <v>12934260.439999999</v>
      </c>
    </row>
    <row r="37" spans="1:11" ht="15.6" x14ac:dyDescent="0.3">
      <c r="A37" s="26" t="s">
        <v>26</v>
      </c>
      <c r="B37" s="26" t="s">
        <v>56</v>
      </c>
      <c r="C37" s="26" t="s">
        <v>107</v>
      </c>
      <c r="D37" s="14"/>
      <c r="E37" s="14"/>
      <c r="F37" s="14"/>
      <c r="G37" s="14"/>
      <c r="H37" s="96">
        <v>0</v>
      </c>
      <c r="I37" s="96">
        <v>0</v>
      </c>
      <c r="J37" s="96">
        <v>0</v>
      </c>
      <c r="K37" s="96">
        <v>0</v>
      </c>
    </row>
    <row r="38" spans="1:11" ht="15.6" x14ac:dyDescent="0.3">
      <c r="A38" s="26" t="s">
        <v>27</v>
      </c>
      <c r="B38" s="26" t="s">
        <v>56</v>
      </c>
      <c r="C38" s="26" t="s">
        <v>107</v>
      </c>
      <c r="D38" s="14"/>
      <c r="E38" s="14"/>
      <c r="F38" s="14"/>
      <c r="G38" s="14"/>
      <c r="H38" s="96">
        <v>0</v>
      </c>
      <c r="I38" s="96">
        <v>0</v>
      </c>
      <c r="J38" s="96">
        <v>0</v>
      </c>
      <c r="K38" s="96">
        <v>0</v>
      </c>
    </row>
    <row r="39" spans="1:11" ht="15.6" x14ac:dyDescent="0.3">
      <c r="A39" s="26" t="s">
        <v>28</v>
      </c>
      <c r="B39" s="26" t="s">
        <v>56</v>
      </c>
      <c r="C39" s="26" t="s">
        <v>107</v>
      </c>
      <c r="D39" s="14">
        <v>37915.581688366226</v>
      </c>
      <c r="E39" s="14">
        <v>0</v>
      </c>
      <c r="F39" s="14">
        <v>0</v>
      </c>
      <c r="G39" s="14"/>
      <c r="H39" s="96">
        <v>-26085.000313489341</v>
      </c>
      <c r="I39" s="96">
        <v>0</v>
      </c>
      <c r="J39" s="96">
        <v>0</v>
      </c>
      <c r="K39" s="96">
        <v>623322.27</v>
      </c>
    </row>
    <row r="40" spans="1:11" ht="15.6" x14ac:dyDescent="0.3">
      <c r="A40" s="26" t="s">
        <v>29</v>
      </c>
      <c r="B40" s="26" t="s">
        <v>56</v>
      </c>
      <c r="C40" s="26" t="s">
        <v>107</v>
      </c>
      <c r="D40" s="14"/>
      <c r="E40" s="14"/>
      <c r="F40" s="14"/>
      <c r="G40" s="14"/>
      <c r="H40" s="96">
        <v>-1490.8435888603881</v>
      </c>
      <c r="I40" s="96">
        <v>0</v>
      </c>
      <c r="J40" s="96">
        <v>0</v>
      </c>
      <c r="K40" s="96">
        <v>0</v>
      </c>
    </row>
    <row r="41" spans="1:11" ht="15.6" x14ac:dyDescent="0.3">
      <c r="A41" s="26" t="s">
        <v>98</v>
      </c>
      <c r="B41" s="26" t="s">
        <v>55</v>
      </c>
      <c r="C41" s="26" t="s">
        <v>107</v>
      </c>
      <c r="D41" s="14"/>
      <c r="E41" s="14"/>
      <c r="F41" s="14"/>
      <c r="G41" s="14"/>
      <c r="H41" s="96">
        <v>0</v>
      </c>
      <c r="I41" s="96">
        <v>0</v>
      </c>
      <c r="J41" s="96">
        <v>0</v>
      </c>
      <c r="K41" s="96">
        <v>-52867.72</v>
      </c>
    </row>
    <row r="42" spans="1:11" ht="15.6" x14ac:dyDescent="0.3">
      <c r="A42" s="26" t="s">
        <v>32</v>
      </c>
      <c r="B42" s="26" t="s">
        <v>55</v>
      </c>
      <c r="C42" s="26" t="s">
        <v>107</v>
      </c>
      <c r="D42" s="14"/>
      <c r="E42" s="14"/>
      <c r="F42" s="14"/>
      <c r="G42" s="14"/>
      <c r="H42" s="96">
        <v>0</v>
      </c>
      <c r="I42" s="96">
        <v>0</v>
      </c>
      <c r="J42" s="96">
        <v>0</v>
      </c>
      <c r="K42" s="96">
        <v>0</v>
      </c>
    </row>
    <row r="43" spans="1:11" ht="15.6" x14ac:dyDescent="0.3">
      <c r="A43" s="30" t="s">
        <v>95</v>
      </c>
      <c r="B43" s="26" t="s">
        <v>56</v>
      </c>
      <c r="C43" s="26" t="s">
        <v>107</v>
      </c>
      <c r="D43" s="198">
        <v>167971.91280443771</v>
      </c>
      <c r="E43" s="14">
        <v>22159.206969204399</v>
      </c>
      <c r="F43" s="14">
        <v>436339.0553751447</v>
      </c>
      <c r="G43" s="14">
        <v>573706.26</v>
      </c>
      <c r="H43" s="96">
        <v>140121.01217922312</v>
      </c>
      <c r="I43" s="96">
        <v>32657.401504571004</v>
      </c>
      <c r="J43" s="96">
        <v>84609.63848558304</v>
      </c>
      <c r="K43" s="96">
        <v>1677655.0400000003</v>
      </c>
    </row>
    <row r="44" spans="1:11" ht="15.6" x14ac:dyDescent="0.3">
      <c r="A44" s="26" t="s">
        <v>83</v>
      </c>
      <c r="B44" s="26" t="s">
        <v>56</v>
      </c>
      <c r="C44" s="26" t="s">
        <v>107</v>
      </c>
      <c r="D44" s="14">
        <v>0</v>
      </c>
      <c r="E44" s="14">
        <v>5241.4658278145698</v>
      </c>
      <c r="F44" s="14">
        <v>0</v>
      </c>
      <c r="G44" s="14"/>
      <c r="H44" s="96">
        <v>0</v>
      </c>
      <c r="I44" s="96">
        <v>0</v>
      </c>
      <c r="J44" s="96">
        <v>0</v>
      </c>
      <c r="K44" s="96">
        <v>-36599.060000000005</v>
      </c>
    </row>
    <row r="45" spans="1:11" ht="15.6" x14ac:dyDescent="0.3">
      <c r="A45" s="26" t="s">
        <v>82</v>
      </c>
      <c r="B45" s="26" t="s">
        <v>56</v>
      </c>
      <c r="C45" s="26" t="s">
        <v>107</v>
      </c>
      <c r="D45" s="14">
        <v>1882.0339754816109</v>
      </c>
      <c r="E45" s="14">
        <v>13601.853239929949</v>
      </c>
      <c r="F45" s="14">
        <v>0</v>
      </c>
      <c r="G45" s="14">
        <v>-601281.25</v>
      </c>
      <c r="H45" s="96">
        <v>0</v>
      </c>
      <c r="I45" s="96">
        <v>0</v>
      </c>
      <c r="J45" s="96">
        <v>0</v>
      </c>
      <c r="K45" s="96">
        <v>-54719.83</v>
      </c>
    </row>
    <row r="46" spans="1:11" ht="15.6" x14ac:dyDescent="0.3">
      <c r="A46" s="26" t="s">
        <v>36</v>
      </c>
      <c r="B46" s="26" t="s">
        <v>55</v>
      </c>
      <c r="C46" s="26" t="s">
        <v>107</v>
      </c>
      <c r="D46" s="14"/>
      <c r="E46" s="14"/>
      <c r="F46" s="14"/>
      <c r="G46" s="14"/>
      <c r="H46" s="96">
        <v>0</v>
      </c>
      <c r="I46" s="96">
        <v>0</v>
      </c>
      <c r="J46" s="96">
        <v>0</v>
      </c>
      <c r="K46" s="96">
        <v>0</v>
      </c>
    </row>
    <row r="47" spans="1:11" ht="15.6" x14ac:dyDescent="0.3">
      <c r="A47" s="26" t="s">
        <v>94</v>
      </c>
      <c r="B47" s="26" t="s">
        <v>55</v>
      </c>
      <c r="C47" s="26" t="s">
        <v>107</v>
      </c>
      <c r="D47" s="14"/>
      <c r="E47" s="14"/>
      <c r="F47" s="14"/>
      <c r="G47" s="14"/>
      <c r="H47" s="96">
        <v>0</v>
      </c>
      <c r="I47" s="96">
        <v>868.10332488045208</v>
      </c>
      <c r="J47" s="96">
        <v>0</v>
      </c>
      <c r="K47" s="96">
        <v>0</v>
      </c>
    </row>
    <row r="48" spans="1:11" ht="15.6" x14ac:dyDescent="0.3">
      <c r="A48" s="26" t="s">
        <v>85</v>
      </c>
      <c r="B48" s="26" t="s">
        <v>56</v>
      </c>
      <c r="C48" s="26" t="s">
        <v>107</v>
      </c>
      <c r="D48" s="14"/>
      <c r="E48" s="14"/>
      <c r="F48" s="14"/>
      <c r="G48" s="14"/>
      <c r="H48" s="96">
        <v>0</v>
      </c>
      <c r="I48" s="96">
        <v>0</v>
      </c>
      <c r="J48" s="96">
        <v>0</v>
      </c>
      <c r="K48" s="96">
        <v>0</v>
      </c>
    </row>
    <row r="49" spans="1:11" ht="15.6" x14ac:dyDescent="0.3">
      <c r="A49" s="26" t="s">
        <v>87</v>
      </c>
      <c r="B49" s="26" t="s">
        <v>56</v>
      </c>
      <c r="C49" s="26" t="s">
        <v>107</v>
      </c>
      <c r="D49" s="14"/>
      <c r="E49" s="14"/>
      <c r="F49" s="14"/>
      <c r="G49" s="14"/>
      <c r="H49" s="96">
        <v>0</v>
      </c>
      <c r="I49" s="96">
        <v>0</v>
      </c>
      <c r="J49" s="96">
        <v>0</v>
      </c>
      <c r="K49" s="96">
        <v>0</v>
      </c>
    </row>
    <row r="50" spans="1:11" ht="15.6" x14ac:dyDescent="0.3">
      <c r="A50" s="26" t="s">
        <v>97</v>
      </c>
      <c r="B50" s="26" t="s">
        <v>56</v>
      </c>
      <c r="C50" s="26" t="s">
        <v>107</v>
      </c>
      <c r="D50" s="14"/>
      <c r="E50" s="14"/>
      <c r="F50" s="14"/>
      <c r="G50" s="14"/>
      <c r="H50" s="96">
        <v>0</v>
      </c>
      <c r="I50" s="96">
        <v>0</v>
      </c>
      <c r="J50" s="96">
        <v>34622.353916648477</v>
      </c>
      <c r="K50" s="96">
        <v>0</v>
      </c>
    </row>
    <row r="51" spans="1:11" ht="15.6" x14ac:dyDescent="0.3">
      <c r="A51" s="26" t="s">
        <v>39</v>
      </c>
      <c r="B51" s="26" t="s">
        <v>56</v>
      </c>
      <c r="C51" s="26" t="s">
        <v>107</v>
      </c>
      <c r="D51" s="14"/>
      <c r="E51" s="14"/>
      <c r="F51" s="14"/>
      <c r="G51" s="14"/>
      <c r="H51" s="96">
        <v>0</v>
      </c>
      <c r="I51" s="96">
        <v>0</v>
      </c>
      <c r="J51" s="96">
        <v>0</v>
      </c>
      <c r="K51" s="96">
        <v>0</v>
      </c>
    </row>
    <row r="52" spans="1:11" ht="15.6" x14ac:dyDescent="0.3">
      <c r="A52" s="26" t="s">
        <v>91</v>
      </c>
      <c r="B52" s="26" t="s">
        <v>56</v>
      </c>
      <c r="C52" s="26" t="s">
        <v>107</v>
      </c>
      <c r="D52" s="14"/>
      <c r="E52" s="14"/>
      <c r="F52" s="14"/>
      <c r="G52" s="14"/>
      <c r="H52" s="96">
        <v>0</v>
      </c>
      <c r="I52" s="96">
        <v>-1184.8981603086779</v>
      </c>
      <c r="J52" s="96">
        <v>0</v>
      </c>
      <c r="K52" s="96">
        <v>0</v>
      </c>
    </row>
    <row r="53" spans="1:11" ht="15.6" x14ac:dyDescent="0.3">
      <c r="A53" s="26" t="s">
        <v>129</v>
      </c>
      <c r="B53" s="26" t="s">
        <v>108</v>
      </c>
      <c r="C53" s="26" t="s">
        <v>107</v>
      </c>
      <c r="D53" s="195"/>
      <c r="E53" s="195"/>
      <c r="F53" s="195"/>
      <c r="G53" s="195">
        <v>-59363.66</v>
      </c>
      <c r="H53" s="96"/>
      <c r="I53" s="96"/>
      <c r="J53" s="96"/>
      <c r="K53" s="96"/>
    </row>
    <row r="54" spans="1:11" ht="15.6" x14ac:dyDescent="0.3">
      <c r="A54" s="26" t="s">
        <v>41</v>
      </c>
      <c r="B54" s="26" t="s">
        <v>56</v>
      </c>
      <c r="C54" s="26" t="s">
        <v>107</v>
      </c>
      <c r="D54" s="14"/>
      <c r="E54" s="14"/>
      <c r="F54" s="14"/>
      <c r="G54" s="14"/>
      <c r="H54" s="96">
        <v>0</v>
      </c>
      <c r="I54" s="96">
        <v>-13185.52513808145</v>
      </c>
      <c r="J54" s="96">
        <v>0</v>
      </c>
      <c r="K54" s="96">
        <v>0</v>
      </c>
    </row>
    <row r="55" spans="1:11" ht="16.2" thickBot="1" x14ac:dyDescent="0.35">
      <c r="A55" s="28" t="s">
        <v>88</v>
      </c>
      <c r="B55" s="28" t="s">
        <v>56</v>
      </c>
      <c r="C55" s="28" t="s">
        <v>107</v>
      </c>
      <c r="D55" s="15"/>
      <c r="E55" s="15"/>
      <c r="F55" s="15"/>
      <c r="G55" s="15"/>
      <c r="H55" s="96">
        <v>0</v>
      </c>
      <c r="I55" s="96">
        <v>-659.17686349020767</v>
      </c>
      <c r="J55" s="96">
        <v>0</v>
      </c>
      <c r="K55" s="96">
        <v>0</v>
      </c>
    </row>
    <row r="56" spans="1:11" ht="21.6" thickBot="1" x14ac:dyDescent="0.45">
      <c r="A56" s="123" t="s">
        <v>115</v>
      </c>
      <c r="B56" s="121"/>
      <c r="C56" s="121"/>
      <c r="D56" s="174">
        <f>SUM(D23:D55)</f>
        <v>1948659.0576202385</v>
      </c>
      <c r="E56" s="174">
        <f t="shared" ref="E56:G56" si="4">SUM(E23:E55)</f>
        <v>318153.56238398812</v>
      </c>
      <c r="F56" s="174">
        <f t="shared" si="4"/>
        <v>2281294.5151064401</v>
      </c>
      <c r="G56" s="174">
        <f t="shared" si="4"/>
        <v>1006728.0299999997</v>
      </c>
      <c r="H56" s="174">
        <f>SUM(H23:H55)</f>
        <v>1378751.3201143225</v>
      </c>
      <c r="I56" s="174">
        <f t="shared" ref="I56:K56" si="5">SUM(I23:I55)</f>
        <v>389351.26464216458</v>
      </c>
      <c r="J56" s="174">
        <f t="shared" si="5"/>
        <v>5718666.53634986</v>
      </c>
      <c r="K56" s="174">
        <f t="shared" si="5"/>
        <v>13145961.539999999</v>
      </c>
    </row>
    <row r="57" spans="1:11" ht="15.6" x14ac:dyDescent="0.3">
      <c r="A57" s="30" t="s">
        <v>33</v>
      </c>
      <c r="B57" s="26" t="s">
        <v>114</v>
      </c>
      <c r="C57" s="26" t="s">
        <v>107</v>
      </c>
      <c r="D57" s="14">
        <v>0</v>
      </c>
      <c r="E57" s="14">
        <v>2456.7417218543042</v>
      </c>
      <c r="F57" s="14">
        <v>33159.933768730167</v>
      </c>
      <c r="G57" s="14">
        <v>-139627.19</v>
      </c>
      <c r="H57" s="96">
        <v>-3920.409606199004</v>
      </c>
      <c r="I57" s="96">
        <v>2967.3544127732539</v>
      </c>
      <c r="J57" s="96">
        <v>23496.851998816699</v>
      </c>
      <c r="K57" s="96">
        <v>-139635.32</v>
      </c>
    </row>
    <row r="58" spans="1:11" ht="15.6" x14ac:dyDescent="0.3">
      <c r="A58" s="26" t="s">
        <v>84</v>
      </c>
      <c r="B58" s="26" t="s">
        <v>114</v>
      </c>
      <c r="C58" s="26" t="s">
        <v>107</v>
      </c>
      <c r="D58" s="14">
        <v>6362.4008926983051</v>
      </c>
      <c r="E58" s="14">
        <v>2348.3914624329195</v>
      </c>
      <c r="F58" s="14">
        <v>0</v>
      </c>
      <c r="G58" s="14">
        <v>11413.69</v>
      </c>
      <c r="H58" s="96">
        <v>-61341.923197092496</v>
      </c>
      <c r="I58" s="96">
        <v>11230.498903471886</v>
      </c>
      <c r="J58" s="96">
        <v>-100522.4896954213</v>
      </c>
      <c r="K58" s="96">
        <v>-326472.56000000006</v>
      </c>
    </row>
    <row r="59" spans="1:11" ht="15.6" x14ac:dyDescent="0.3">
      <c r="A59" s="26" t="s">
        <v>37</v>
      </c>
      <c r="B59" s="26" t="s">
        <v>114</v>
      </c>
      <c r="C59" s="26" t="s">
        <v>107</v>
      </c>
      <c r="D59" s="14"/>
      <c r="E59" s="14"/>
      <c r="F59" s="14"/>
      <c r="G59" s="14"/>
      <c r="H59" s="96">
        <v>0</v>
      </c>
      <c r="I59" s="96">
        <v>0</v>
      </c>
      <c r="J59" s="96">
        <v>0</v>
      </c>
      <c r="K59" s="96">
        <v>0</v>
      </c>
    </row>
    <row r="60" spans="1:11" ht="15.6" x14ac:dyDescent="0.3">
      <c r="A60" s="26" t="s">
        <v>35</v>
      </c>
      <c r="B60" s="26" t="s">
        <v>114</v>
      </c>
      <c r="C60" s="26" t="s">
        <v>107</v>
      </c>
      <c r="D60" s="14"/>
      <c r="E60" s="14"/>
      <c r="F60" s="14"/>
      <c r="G60" s="14"/>
      <c r="H60" s="96">
        <v>0</v>
      </c>
      <c r="I60" s="96">
        <v>0</v>
      </c>
      <c r="J60" s="96">
        <v>0</v>
      </c>
      <c r="K60" s="96">
        <v>0</v>
      </c>
    </row>
    <row r="61" spans="1:11" ht="15.6" x14ac:dyDescent="0.3">
      <c r="A61" s="27" t="s">
        <v>86</v>
      </c>
      <c r="B61" s="27" t="s">
        <v>114</v>
      </c>
      <c r="C61" s="27" t="s">
        <v>107</v>
      </c>
      <c r="D61" s="14"/>
      <c r="E61" s="14"/>
      <c r="F61" s="14"/>
      <c r="G61" s="14"/>
      <c r="H61" s="96">
        <v>268435.01099971012</v>
      </c>
      <c r="I61" s="96">
        <v>78306.795700680435</v>
      </c>
      <c r="J61" s="96">
        <v>1279910.127610313</v>
      </c>
      <c r="K61" s="96">
        <v>3469941.0199999996</v>
      </c>
    </row>
    <row r="62" spans="1:11" ht="15.6" x14ac:dyDescent="0.3">
      <c r="A62" s="30" t="s">
        <v>16</v>
      </c>
      <c r="B62" s="26" t="s">
        <v>114</v>
      </c>
      <c r="C62" s="26" t="s">
        <v>107</v>
      </c>
      <c r="D62" s="14"/>
      <c r="E62" s="14"/>
      <c r="F62" s="14"/>
      <c r="G62" s="14"/>
      <c r="H62" s="96">
        <v>0</v>
      </c>
      <c r="I62" s="96">
        <v>0</v>
      </c>
      <c r="J62" s="96">
        <v>0</v>
      </c>
      <c r="K62" s="96">
        <v>0</v>
      </c>
    </row>
    <row r="63" spans="1:11" ht="15.6" x14ac:dyDescent="0.3">
      <c r="A63" s="194" t="s">
        <v>128</v>
      </c>
      <c r="B63" s="26" t="s">
        <v>114</v>
      </c>
      <c r="C63" s="27" t="s">
        <v>107</v>
      </c>
      <c r="D63" s="14"/>
      <c r="E63" s="14"/>
      <c r="F63" s="14"/>
      <c r="G63" s="14"/>
      <c r="H63" s="96"/>
      <c r="I63" s="96"/>
      <c r="J63" s="96"/>
      <c r="K63" s="96"/>
    </row>
    <row r="64" spans="1:11" ht="15.6" x14ac:dyDescent="0.3">
      <c r="A64" s="199" t="s">
        <v>131</v>
      </c>
      <c r="B64" s="26" t="s">
        <v>114</v>
      </c>
      <c r="C64" s="27" t="s">
        <v>107</v>
      </c>
      <c r="D64" s="14">
        <v>0</v>
      </c>
      <c r="E64" s="14">
        <v>13487.39570233531</v>
      </c>
      <c r="F64" s="14">
        <v>0</v>
      </c>
      <c r="G64" s="14"/>
      <c r="H64" s="96"/>
      <c r="I64" s="96"/>
      <c r="J64" s="96"/>
      <c r="K64" s="96"/>
    </row>
    <row r="65" spans="1:11" ht="16.2" thickBot="1" x14ac:dyDescent="0.35">
      <c r="A65" s="117" t="s">
        <v>99</v>
      </c>
      <c r="B65" s="26" t="s">
        <v>114</v>
      </c>
      <c r="C65" s="26" t="s">
        <v>107</v>
      </c>
      <c r="D65" s="14"/>
      <c r="E65" s="14"/>
      <c r="F65" s="14"/>
      <c r="G65" s="14"/>
      <c r="H65" s="96"/>
      <c r="I65" s="96"/>
      <c r="J65" s="96"/>
      <c r="K65" s="96"/>
    </row>
    <row r="66" spans="1:11" ht="21.6" thickBot="1" x14ac:dyDescent="0.45">
      <c r="A66" s="123" t="s">
        <v>116</v>
      </c>
      <c r="B66" s="121"/>
      <c r="C66" s="121"/>
      <c r="D66" s="174">
        <f>SUM(D57:D65)</f>
        <v>6362.4008926983051</v>
      </c>
      <c r="E66" s="174">
        <f t="shared" ref="E66:G66" si="6">SUM(E57:E65)</f>
        <v>18292.528886622535</v>
      </c>
      <c r="F66" s="174">
        <f t="shared" si="6"/>
        <v>33159.933768730167</v>
      </c>
      <c r="G66" s="174">
        <f t="shared" si="6"/>
        <v>-128213.5</v>
      </c>
      <c r="H66" s="174">
        <f>SUM(H57:H65)</f>
        <v>203172.67819641862</v>
      </c>
      <c r="I66" s="174">
        <f t="shared" ref="I66:K66" si="7">SUM(I57:I65)</f>
        <v>92504.64901692557</v>
      </c>
      <c r="J66" s="174">
        <f t="shared" si="7"/>
        <v>1202884.4899137083</v>
      </c>
      <c r="K66" s="174">
        <f t="shared" si="7"/>
        <v>3003833.1399999997</v>
      </c>
    </row>
    <row r="67" spans="1:11" ht="15.6" x14ac:dyDescent="0.3">
      <c r="A67" s="27" t="s">
        <v>77</v>
      </c>
      <c r="B67" s="26" t="s">
        <v>108</v>
      </c>
      <c r="C67" s="27" t="s">
        <v>102</v>
      </c>
      <c r="D67" s="197">
        <f>456.196584175671+2452</f>
        <v>2908.196584175671</v>
      </c>
      <c r="E67" s="197">
        <v>2479.9950821975549</v>
      </c>
      <c r="F67" s="197">
        <v>2875.6533651819591</v>
      </c>
      <c r="G67" s="197"/>
      <c r="H67" s="96">
        <v>0</v>
      </c>
      <c r="I67" s="96">
        <v>-1116.8948091312691</v>
      </c>
      <c r="J67" s="96">
        <v>12239.79072809185</v>
      </c>
      <c r="K67" s="96">
        <v>0</v>
      </c>
    </row>
    <row r="68" spans="1:11" ht="15.6" x14ac:dyDescent="0.3">
      <c r="A68" s="30" t="s">
        <v>40</v>
      </c>
      <c r="B68" s="26" t="s">
        <v>56</v>
      </c>
      <c r="C68" s="26" t="s">
        <v>103</v>
      </c>
      <c r="D68" s="195">
        <v>13229.089375713909</v>
      </c>
      <c r="E68" s="195">
        <v>0</v>
      </c>
      <c r="F68" s="195">
        <v>0</v>
      </c>
      <c r="G68" s="195">
        <v>-338641.52</v>
      </c>
      <c r="H68" s="96">
        <v>96782.214697025047</v>
      </c>
      <c r="I68" s="96">
        <v>24436.828944298453</v>
      </c>
      <c r="J68" s="96">
        <v>0</v>
      </c>
      <c r="K68" s="96">
        <v>-232702.29</v>
      </c>
    </row>
    <row r="69" spans="1:11" ht="15.6" x14ac:dyDescent="0.3">
      <c r="A69" s="26" t="s">
        <v>90</v>
      </c>
      <c r="B69" s="26" t="s">
        <v>108</v>
      </c>
      <c r="C69" s="26" t="s">
        <v>103</v>
      </c>
      <c r="D69" s="195">
        <v>0</v>
      </c>
      <c r="E69" s="195">
        <v>-3636.073516828294</v>
      </c>
      <c r="F69" s="195">
        <v>0</v>
      </c>
      <c r="G69" s="195"/>
      <c r="H69" s="96">
        <v>0</v>
      </c>
      <c r="I69" s="96">
        <v>0</v>
      </c>
      <c r="J69" s="96">
        <v>0</v>
      </c>
      <c r="K69" s="96">
        <v>0</v>
      </c>
    </row>
    <row r="70" spans="1:11" ht="15.6" x14ac:dyDescent="0.3">
      <c r="A70" s="26" t="s">
        <v>92</v>
      </c>
      <c r="B70" s="26" t="s">
        <v>56</v>
      </c>
      <c r="C70" s="26" t="s">
        <v>103</v>
      </c>
      <c r="D70" s="195">
        <v>0</v>
      </c>
      <c r="E70" s="195">
        <v>-478.12349989090097</v>
      </c>
      <c r="F70" s="195">
        <v>0</v>
      </c>
      <c r="G70" s="195"/>
      <c r="H70" s="96">
        <v>0</v>
      </c>
      <c r="I70" s="96">
        <v>2705.3563495526951</v>
      </c>
      <c r="J70" s="96">
        <v>0</v>
      </c>
      <c r="K70" s="96">
        <v>0</v>
      </c>
    </row>
    <row r="71" spans="1:11" ht="15.6" x14ac:dyDescent="0.3">
      <c r="A71" s="26" t="s">
        <v>93</v>
      </c>
      <c r="B71" s="26" t="s">
        <v>56</v>
      </c>
      <c r="C71" s="26" t="s">
        <v>103</v>
      </c>
      <c r="D71" s="195"/>
      <c r="E71" s="195"/>
      <c r="F71" s="195"/>
      <c r="G71" s="195"/>
      <c r="H71" s="96">
        <v>0</v>
      </c>
      <c r="I71" s="96">
        <v>0</v>
      </c>
      <c r="J71" s="96">
        <v>0</v>
      </c>
      <c r="K71" s="96">
        <v>0</v>
      </c>
    </row>
    <row r="72" spans="1:11" ht="15.6" x14ac:dyDescent="0.3">
      <c r="A72" s="26" t="s">
        <v>100</v>
      </c>
      <c r="B72" s="26" t="s">
        <v>56</v>
      </c>
      <c r="C72" s="26" t="s">
        <v>103</v>
      </c>
      <c r="D72" s="195">
        <v>5843.1923563299133</v>
      </c>
      <c r="E72" s="195">
        <v>0</v>
      </c>
      <c r="F72" s="195">
        <v>0</v>
      </c>
      <c r="G72" s="195">
        <f>6233.21+(-78708)</f>
        <v>-72474.789999999994</v>
      </c>
      <c r="H72" s="96">
        <v>-8810.4068711274849</v>
      </c>
      <c r="I72" s="96">
        <v>1330.93330810564</v>
      </c>
      <c r="J72" s="96">
        <v>0</v>
      </c>
      <c r="K72" s="96"/>
    </row>
    <row r="73" spans="1:11" ht="15.6" x14ac:dyDescent="0.3">
      <c r="A73" s="118" t="s">
        <v>101</v>
      </c>
      <c r="B73" s="26" t="s">
        <v>56</v>
      </c>
      <c r="C73" s="26" t="s">
        <v>103</v>
      </c>
      <c r="D73" s="195">
        <v>21004.600915815427</v>
      </c>
      <c r="E73" s="195">
        <v>11359.129634555962</v>
      </c>
      <c r="F73" s="195">
        <v>105547.2217162872</v>
      </c>
      <c r="G73" s="195"/>
      <c r="H73" s="96">
        <v>159.07441460051814</v>
      </c>
      <c r="I73" s="96">
        <v>42023.42172962219</v>
      </c>
      <c r="J73" s="96">
        <v>0</v>
      </c>
      <c r="K73" s="96">
        <v>-1077.4100000000001</v>
      </c>
    </row>
    <row r="74" spans="1:11" ht="15.6" x14ac:dyDescent="0.3">
      <c r="A74" s="26" t="s">
        <v>81</v>
      </c>
      <c r="B74" s="26" t="s">
        <v>56</v>
      </c>
      <c r="C74" s="26" t="s">
        <v>103</v>
      </c>
      <c r="D74" s="195"/>
      <c r="E74" s="195"/>
      <c r="F74" s="195"/>
      <c r="G74" s="195"/>
      <c r="H74" s="96">
        <v>0</v>
      </c>
      <c r="I74" s="96">
        <v>1248.047539648521</v>
      </c>
      <c r="J74" s="96">
        <v>0</v>
      </c>
      <c r="K74" s="96">
        <v>0</v>
      </c>
    </row>
    <row r="75" spans="1:11" ht="21.6" thickBot="1" x14ac:dyDescent="0.3">
      <c r="A75" s="177" t="s">
        <v>44</v>
      </c>
      <c r="B75" s="178"/>
      <c r="C75" s="178"/>
      <c r="D75" s="179">
        <f>SUM(D67:D74)</f>
        <v>42985.079232034921</v>
      </c>
      <c r="E75" s="179">
        <f t="shared" ref="E75:G75" si="8">SUM(E67:E74)</f>
        <v>9724.9277000343227</v>
      </c>
      <c r="F75" s="179">
        <f t="shared" si="8"/>
        <v>108422.87508146916</v>
      </c>
      <c r="G75" s="179">
        <f t="shared" si="8"/>
        <v>-411116.31</v>
      </c>
      <c r="H75" s="179">
        <f>SUM(H67:H74)</f>
        <v>88130.882240498075</v>
      </c>
      <c r="I75" s="179">
        <f t="shared" ref="I75:K75" si="9">SUM(I67:I74)</f>
        <v>70627.693062096238</v>
      </c>
      <c r="J75" s="179">
        <f t="shared" si="9"/>
        <v>12239.79072809185</v>
      </c>
      <c r="K75" s="179">
        <f t="shared" si="9"/>
        <v>-233779.7</v>
      </c>
    </row>
    <row r="76" spans="1:11" ht="21.6" thickBot="1" x14ac:dyDescent="0.3">
      <c r="A76" s="122" t="s">
        <v>45</v>
      </c>
      <c r="B76" s="121"/>
      <c r="C76" s="121"/>
      <c r="D76" s="131">
        <f>D75+D66+D56+D22+D8</f>
        <v>3151388.5493504163</v>
      </c>
      <c r="E76" s="131">
        <f t="shared" ref="E76:G76" si="10">E75+E66+E56+E22+E8</f>
        <v>800939.37421153451</v>
      </c>
      <c r="F76" s="131">
        <f t="shared" si="10"/>
        <v>3449865.7685332075</v>
      </c>
      <c r="G76" s="131">
        <f t="shared" si="10"/>
        <v>-4300781.835</v>
      </c>
      <c r="H76" s="131">
        <f>H75+H66+H56+H22+H8</f>
        <v>2758653.2194592841</v>
      </c>
      <c r="I76" s="131">
        <f t="shared" ref="I76:K76" si="11">I75+I66+I56+I22+I8</f>
        <v>894712.17924969224</v>
      </c>
      <c r="J76" s="131">
        <f t="shared" si="11"/>
        <v>7191483.3943389626</v>
      </c>
      <c r="K76" s="131">
        <f t="shared" si="11"/>
        <v>14057285.219999999</v>
      </c>
    </row>
    <row r="78" spans="1:11" x14ac:dyDescent="0.3">
      <c r="D78" s="6"/>
      <c r="E78" s="6"/>
      <c r="F78" s="6"/>
      <c r="G78" s="6"/>
    </row>
    <row r="79" spans="1:11" x14ac:dyDescent="0.3">
      <c r="D79" s="6"/>
      <c r="E79" s="6"/>
      <c r="F79" s="6"/>
    </row>
    <row r="80" spans="1:11" x14ac:dyDescent="0.3">
      <c r="G80" s="9"/>
    </row>
    <row r="81" spans="7:7" x14ac:dyDescent="0.3">
      <c r="G81" s="9"/>
    </row>
  </sheetData>
  <mergeCells count="2">
    <mergeCell ref="D1:G1"/>
    <mergeCell ref="H1:K1"/>
  </mergeCells>
  <conditionalFormatting sqref="A1">
    <cfRule type="duplicateValues" dxfId="229" priority="17"/>
    <cfRule type="duplicateValues" dxfId="228" priority="18"/>
  </conditionalFormatting>
  <conditionalFormatting sqref="A14">
    <cfRule type="duplicateValues" dxfId="227" priority="7"/>
    <cfRule type="duplicateValues" dxfId="226" priority="8"/>
  </conditionalFormatting>
  <conditionalFormatting sqref="A20">
    <cfRule type="duplicateValues" dxfId="225" priority="1"/>
    <cfRule type="duplicateValues" dxfId="224" priority="2"/>
  </conditionalFormatting>
  <conditionalFormatting sqref="A41">
    <cfRule type="duplicateValues" dxfId="223" priority="3"/>
    <cfRule type="duplicateValues" dxfId="222" priority="4"/>
  </conditionalFormatting>
  <conditionalFormatting sqref="A57">
    <cfRule type="duplicateValues" dxfId="221" priority="9"/>
    <cfRule type="duplicateValues" dxfId="220" priority="10"/>
  </conditionalFormatting>
  <conditionalFormatting sqref="A58:A60 A7 A23:A40 A62 A42:A55">
    <cfRule type="duplicateValues" dxfId="219" priority="15"/>
    <cfRule type="duplicateValues" dxfId="218" priority="16"/>
  </conditionalFormatting>
  <conditionalFormatting sqref="A61">
    <cfRule type="duplicateValues" dxfId="217" priority="5"/>
    <cfRule type="duplicateValues" dxfId="216" priority="6"/>
  </conditionalFormatting>
  <conditionalFormatting sqref="A67:A74">
    <cfRule type="duplicateValues" dxfId="215" priority="13"/>
    <cfRule type="duplicateValues" dxfId="214" priority="14"/>
  </conditionalFormatting>
  <conditionalFormatting sqref="A75:A76 A2:A6 A8:A13 A15:A19 A56 A66 A21:A22">
    <cfRule type="duplicateValues" dxfId="213" priority="11"/>
    <cfRule type="duplicateValues" dxfId="212" priority="12"/>
  </conditionalFormatting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92088-57B0-4CA1-9D21-345272FEC0C7}">
  <sheetPr>
    <tabColor rgb="FFFFC000"/>
  </sheetPr>
  <dimension ref="A1:M78"/>
  <sheetViews>
    <sheetView rightToLeft="1" zoomScaleNormal="100" workbookViewId="0">
      <pane ySplit="3" topLeftCell="A4" activePane="bottomLeft" state="frozen"/>
      <selection pane="bottomLeft" activeCell="A27" sqref="A27"/>
    </sheetView>
  </sheetViews>
  <sheetFormatPr defaultColWidth="30.09765625" defaultRowHeight="14.4" x14ac:dyDescent="0.3"/>
  <cols>
    <col min="1" max="1" width="30" style="32" bestFit="1" customWidth="1"/>
    <col min="2" max="2" width="11.3984375" style="32" customWidth="1"/>
    <col min="3" max="3" width="11.69921875" style="32" customWidth="1"/>
    <col min="4" max="4" width="16.8984375" customWidth="1"/>
    <col min="5" max="5" width="15.19921875" customWidth="1"/>
    <col min="6" max="6" width="16.8984375" customWidth="1"/>
    <col min="7" max="7" width="19" customWidth="1"/>
    <col min="8" max="9" width="15.19921875" style="3" customWidth="1"/>
    <col min="10" max="10" width="16.8984375" style="3" customWidth="1"/>
    <col min="11" max="11" width="19" customWidth="1"/>
  </cols>
  <sheetData>
    <row r="1" spans="1:12" ht="21" x14ac:dyDescent="0.25">
      <c r="A1" s="26"/>
      <c r="B1" s="26"/>
      <c r="C1" s="26"/>
      <c r="D1" s="241">
        <v>2025</v>
      </c>
      <c r="E1" s="241"/>
      <c r="F1" s="241"/>
      <c r="G1" s="241"/>
      <c r="H1" s="242">
        <v>2024</v>
      </c>
      <c r="I1" s="242"/>
      <c r="J1" s="242"/>
      <c r="K1" s="242"/>
    </row>
    <row r="2" spans="1:12" ht="21" x14ac:dyDescent="0.25">
      <c r="A2" s="11" t="s">
        <v>0</v>
      </c>
      <c r="B2" s="23" t="s">
        <v>53</v>
      </c>
      <c r="C2" s="23" t="s">
        <v>109</v>
      </c>
      <c r="D2" s="13" t="s">
        <v>46</v>
      </c>
      <c r="E2" s="13" t="s">
        <v>47</v>
      </c>
      <c r="F2" s="13" t="s">
        <v>48</v>
      </c>
      <c r="G2" s="13" t="s">
        <v>49</v>
      </c>
      <c r="H2" s="95" t="s">
        <v>46</v>
      </c>
      <c r="I2" s="95" t="s">
        <v>47</v>
      </c>
      <c r="J2" s="95" t="s">
        <v>48</v>
      </c>
      <c r="K2" s="95" t="s">
        <v>89</v>
      </c>
    </row>
    <row r="3" spans="1:12" ht="15.6" x14ac:dyDescent="0.3">
      <c r="A3" s="26" t="s">
        <v>1</v>
      </c>
      <c r="B3" s="26" t="s">
        <v>108</v>
      </c>
      <c r="C3" s="26" t="s">
        <v>58</v>
      </c>
      <c r="D3" s="14"/>
      <c r="E3" s="14">
        <f>121856-323-670-E5-E6-E51-E71</f>
        <v>42770</v>
      </c>
      <c r="F3" s="14"/>
      <c r="G3" s="14"/>
      <c r="H3" s="96">
        <v>0</v>
      </c>
      <c r="I3" s="96">
        <v>219133.47</v>
      </c>
      <c r="J3" s="96"/>
      <c r="K3" s="96"/>
    </row>
    <row r="4" spans="1:12" ht="15.6" x14ac:dyDescent="0.3">
      <c r="A4" s="26" t="s">
        <v>2</v>
      </c>
      <c r="B4" s="26" t="s">
        <v>108</v>
      </c>
      <c r="C4" s="26" t="s">
        <v>58</v>
      </c>
      <c r="D4" s="195"/>
      <c r="E4" s="195"/>
      <c r="F4" s="195"/>
      <c r="G4" s="14"/>
      <c r="H4" s="96">
        <v>0</v>
      </c>
      <c r="I4" s="96">
        <v>0</v>
      </c>
      <c r="J4" s="96"/>
      <c r="K4" s="96"/>
    </row>
    <row r="5" spans="1:12" ht="15.6" x14ac:dyDescent="0.3">
      <c r="A5" s="26" t="s">
        <v>104</v>
      </c>
      <c r="B5" s="26" t="s">
        <v>108</v>
      </c>
      <c r="C5" s="26" t="s">
        <v>58</v>
      </c>
      <c r="D5" s="195"/>
      <c r="E5" s="195">
        <f>36524+5437</f>
        <v>41961</v>
      </c>
      <c r="F5" s="195"/>
      <c r="G5" s="14"/>
      <c r="H5" s="96"/>
      <c r="I5" s="96"/>
      <c r="J5" s="96"/>
      <c r="K5" s="96"/>
      <c r="L5" s="133"/>
    </row>
    <row r="6" spans="1:12" ht="15.6" x14ac:dyDescent="0.3">
      <c r="A6" s="28" t="s">
        <v>105</v>
      </c>
      <c r="B6" s="26" t="s">
        <v>108</v>
      </c>
      <c r="C6" s="28" t="s">
        <v>58</v>
      </c>
      <c r="D6" s="196"/>
      <c r="E6" s="196">
        <f>13624+7282</f>
        <v>20906</v>
      </c>
      <c r="F6" s="196"/>
      <c r="G6" s="15"/>
      <c r="H6" s="96"/>
      <c r="I6" s="96"/>
      <c r="J6" s="96"/>
      <c r="K6" s="96"/>
    </row>
    <row r="7" spans="1:12" ht="16.2" thickBot="1" x14ac:dyDescent="0.35">
      <c r="A7" s="26" t="s">
        <v>34</v>
      </c>
      <c r="B7" s="26" t="s">
        <v>108</v>
      </c>
      <c r="C7" s="26" t="s">
        <v>58</v>
      </c>
      <c r="D7" s="14"/>
      <c r="E7" s="14">
        <v>853.96</v>
      </c>
      <c r="F7" s="14"/>
      <c r="G7" s="14"/>
      <c r="H7" s="96">
        <v>0</v>
      </c>
      <c r="I7" s="96">
        <v>749.09</v>
      </c>
      <c r="J7" s="96"/>
      <c r="K7" s="96"/>
    </row>
    <row r="8" spans="1:12" ht="21.6" thickBot="1" x14ac:dyDescent="0.45">
      <c r="A8" s="122" t="s">
        <v>3</v>
      </c>
      <c r="B8" s="121"/>
      <c r="C8" s="121"/>
      <c r="D8" s="174">
        <f>SUM(D3:D7)</f>
        <v>0</v>
      </c>
      <c r="E8" s="174">
        <f t="shared" ref="E8:G8" si="0">SUM(E3:E7)</f>
        <v>106490.96</v>
      </c>
      <c r="F8" s="174">
        <f t="shared" si="0"/>
        <v>0</v>
      </c>
      <c r="G8" s="174">
        <f t="shared" si="0"/>
        <v>0</v>
      </c>
      <c r="H8" s="174">
        <f>SUM(H3:H7)</f>
        <v>0</v>
      </c>
      <c r="I8" s="174">
        <f t="shared" ref="I8:K8" si="1">SUM(I3:I7)</f>
        <v>219882.56</v>
      </c>
      <c r="J8" s="174">
        <f t="shared" si="1"/>
        <v>0</v>
      </c>
      <c r="K8" s="174">
        <f t="shared" si="1"/>
        <v>0</v>
      </c>
    </row>
    <row r="9" spans="1:12" ht="15.6" x14ac:dyDescent="0.3">
      <c r="A9" s="27" t="s">
        <v>4</v>
      </c>
      <c r="B9" s="26" t="s">
        <v>108</v>
      </c>
      <c r="C9" s="27" t="s">
        <v>106</v>
      </c>
      <c r="D9" s="18"/>
      <c r="E9" s="18"/>
      <c r="F9" s="18"/>
      <c r="G9" s="18"/>
      <c r="H9" s="96">
        <v>0</v>
      </c>
      <c r="I9" s="96">
        <v>0</v>
      </c>
      <c r="J9" s="96"/>
      <c r="K9" s="96"/>
    </row>
    <row r="10" spans="1:12" ht="15.6" x14ac:dyDescent="0.3">
      <c r="A10" s="26" t="s">
        <v>5</v>
      </c>
      <c r="B10" s="26" t="s">
        <v>108</v>
      </c>
      <c r="C10" s="26" t="s">
        <v>106</v>
      </c>
      <c r="D10" s="14"/>
      <c r="E10" s="14"/>
      <c r="F10" s="14"/>
      <c r="G10" s="14"/>
      <c r="H10" s="96">
        <v>0</v>
      </c>
      <c r="I10" s="96">
        <v>0</v>
      </c>
      <c r="J10" s="96"/>
      <c r="K10" s="96"/>
    </row>
    <row r="11" spans="1:12" ht="15.6" x14ac:dyDescent="0.3">
      <c r="A11" s="26" t="s">
        <v>6</v>
      </c>
      <c r="B11" s="26" t="s">
        <v>108</v>
      </c>
      <c r="C11" s="26" t="s">
        <v>106</v>
      </c>
      <c r="D11" s="14"/>
      <c r="E11" s="14"/>
      <c r="F11" s="14"/>
      <c r="G11" s="14"/>
      <c r="H11" s="96">
        <v>0</v>
      </c>
      <c r="I11" s="96">
        <v>14637.27</v>
      </c>
      <c r="J11" s="96"/>
      <c r="K11" s="96"/>
    </row>
    <row r="12" spans="1:12" ht="15.6" x14ac:dyDescent="0.3">
      <c r="A12" s="26" t="s">
        <v>7</v>
      </c>
      <c r="B12" s="26" t="s">
        <v>108</v>
      </c>
      <c r="C12" s="26" t="s">
        <v>106</v>
      </c>
      <c r="D12" s="14"/>
      <c r="E12" s="14"/>
      <c r="F12" s="14"/>
      <c r="G12" s="14"/>
      <c r="H12" s="96">
        <v>0</v>
      </c>
      <c r="I12" s="96">
        <v>0</v>
      </c>
      <c r="J12" s="96"/>
      <c r="K12" s="96"/>
    </row>
    <row r="13" spans="1:12" ht="15.6" x14ac:dyDescent="0.3">
      <c r="A13" s="26" t="s">
        <v>8</v>
      </c>
      <c r="B13" s="26" t="s">
        <v>108</v>
      </c>
      <c r="C13" s="26" t="s">
        <v>106</v>
      </c>
      <c r="D13" s="14"/>
      <c r="E13" s="14">
        <v>35235</v>
      </c>
      <c r="F13" s="14"/>
      <c r="G13" s="14"/>
      <c r="H13" s="96">
        <v>0</v>
      </c>
      <c r="I13" s="96">
        <v>12772.970000000001</v>
      </c>
      <c r="J13" s="96"/>
      <c r="K13" s="96"/>
    </row>
    <row r="14" spans="1:12" ht="15.6" x14ac:dyDescent="0.3">
      <c r="A14" s="26" t="s">
        <v>9</v>
      </c>
      <c r="B14" s="26" t="s">
        <v>108</v>
      </c>
      <c r="C14" s="26" t="s">
        <v>106</v>
      </c>
      <c r="D14" s="14"/>
      <c r="E14" s="14">
        <v>7741</v>
      </c>
      <c r="F14" s="14"/>
      <c r="G14" s="14"/>
      <c r="H14" s="96">
        <v>0</v>
      </c>
      <c r="I14" s="96">
        <v>14771.4</v>
      </c>
      <c r="J14" s="96"/>
      <c r="K14" s="96"/>
    </row>
    <row r="15" spans="1:12" ht="15.6" x14ac:dyDescent="0.3">
      <c r="A15" s="26" t="s">
        <v>31</v>
      </c>
      <c r="B15" s="26" t="s">
        <v>108</v>
      </c>
      <c r="C15" s="26" t="s">
        <v>106</v>
      </c>
      <c r="D15" s="14"/>
      <c r="E15" s="14"/>
      <c r="F15" s="14"/>
      <c r="G15" s="14"/>
      <c r="H15" s="96">
        <v>0</v>
      </c>
      <c r="I15" s="96">
        <v>0</v>
      </c>
      <c r="J15" s="96"/>
      <c r="K15" s="96"/>
    </row>
    <row r="16" spans="1:12" ht="15.6" x14ac:dyDescent="0.3">
      <c r="A16" s="26" t="s">
        <v>96</v>
      </c>
      <c r="B16" s="26" t="s">
        <v>108</v>
      </c>
      <c r="C16" s="26" t="s">
        <v>106</v>
      </c>
      <c r="D16" s="14"/>
      <c r="E16" s="14"/>
      <c r="F16" s="14"/>
      <c r="G16" s="14"/>
      <c r="H16" s="96">
        <v>0</v>
      </c>
      <c r="I16" s="96">
        <v>0</v>
      </c>
      <c r="J16" s="96"/>
      <c r="K16" s="96"/>
    </row>
    <row r="17" spans="1:11" ht="15.6" x14ac:dyDescent="0.3">
      <c r="A17" s="26" t="s">
        <v>42</v>
      </c>
      <c r="B17" s="26" t="s">
        <v>108</v>
      </c>
      <c r="C17" s="26" t="s">
        <v>106</v>
      </c>
      <c r="D17" s="14"/>
      <c r="E17" s="14">
        <v>80214</v>
      </c>
      <c r="F17" s="14"/>
      <c r="G17" s="14"/>
      <c r="H17" s="96">
        <v>0</v>
      </c>
      <c r="I17" s="96">
        <v>42132.51999999999</v>
      </c>
      <c r="J17" s="96"/>
      <c r="K17" s="96"/>
    </row>
    <row r="18" spans="1:11" ht="15.6" x14ac:dyDescent="0.3">
      <c r="A18" s="26" t="s">
        <v>43</v>
      </c>
      <c r="B18" s="26" t="s">
        <v>108</v>
      </c>
      <c r="C18" s="26" t="s">
        <v>106</v>
      </c>
      <c r="D18" s="14">
        <v>518</v>
      </c>
      <c r="E18" s="14">
        <v>14319</v>
      </c>
      <c r="F18" s="14"/>
      <c r="G18" s="14"/>
      <c r="H18" s="96">
        <v>529.51</v>
      </c>
      <c r="I18" s="96">
        <v>4063.74</v>
      </c>
      <c r="J18" s="96"/>
      <c r="K18" s="96"/>
    </row>
    <row r="19" spans="1:11" ht="15.6" x14ac:dyDescent="0.3">
      <c r="A19" s="26" t="s">
        <v>30</v>
      </c>
      <c r="B19" s="26" t="s">
        <v>108</v>
      </c>
      <c r="C19" s="26" t="s">
        <v>106</v>
      </c>
      <c r="D19" s="14"/>
      <c r="E19" s="14"/>
      <c r="F19" s="14"/>
      <c r="G19" s="14"/>
      <c r="H19" s="96">
        <v>0</v>
      </c>
      <c r="I19" s="96">
        <v>0</v>
      </c>
      <c r="J19" s="96"/>
      <c r="K19" s="96"/>
    </row>
    <row r="20" spans="1:11" ht="15.6" x14ac:dyDescent="0.3">
      <c r="A20" s="28" t="s">
        <v>130</v>
      </c>
      <c r="B20" s="26" t="s">
        <v>108</v>
      </c>
      <c r="C20" s="26" t="s">
        <v>106</v>
      </c>
      <c r="D20" s="15"/>
      <c r="E20" s="15"/>
      <c r="F20" s="15"/>
      <c r="G20" s="15"/>
      <c r="H20" s="96"/>
      <c r="I20" s="96"/>
      <c r="J20" s="96"/>
      <c r="K20" s="96"/>
    </row>
    <row r="21" spans="1:11" ht="16.2" thickBot="1" x14ac:dyDescent="0.35">
      <c r="A21" s="28" t="s">
        <v>38</v>
      </c>
      <c r="B21" s="26" t="s">
        <v>108</v>
      </c>
      <c r="C21" s="28" t="s">
        <v>106</v>
      </c>
      <c r="D21" s="15"/>
      <c r="E21" s="15"/>
      <c r="F21" s="15"/>
      <c r="G21" s="15"/>
      <c r="H21" s="96">
        <v>0</v>
      </c>
      <c r="I21" s="96">
        <v>0</v>
      </c>
      <c r="J21" s="96"/>
      <c r="K21" s="96"/>
    </row>
    <row r="22" spans="1:11" ht="21.6" thickBot="1" x14ac:dyDescent="0.45">
      <c r="A22" s="122" t="s">
        <v>10</v>
      </c>
      <c r="B22" s="121"/>
      <c r="C22" s="121"/>
      <c r="D22" s="174">
        <f>SUM(D9:D21)</f>
        <v>518</v>
      </c>
      <c r="E22" s="174">
        <f t="shared" ref="E22:G22" si="2">SUM(E9:E21)</f>
        <v>137509</v>
      </c>
      <c r="F22" s="174">
        <f t="shared" si="2"/>
        <v>0</v>
      </c>
      <c r="G22" s="174">
        <f t="shared" si="2"/>
        <v>0</v>
      </c>
      <c r="H22" s="174">
        <f>SUM(H9:H21)</f>
        <v>529.51</v>
      </c>
      <c r="I22" s="174">
        <f t="shared" ref="I22:K22" si="3">SUM(I9:I21)</f>
        <v>88377.9</v>
      </c>
      <c r="J22" s="174">
        <f t="shared" si="3"/>
        <v>0</v>
      </c>
      <c r="K22" s="174">
        <f t="shared" si="3"/>
        <v>0</v>
      </c>
    </row>
    <row r="23" spans="1:11" ht="15.6" x14ac:dyDescent="0.3">
      <c r="A23" s="27" t="s">
        <v>11</v>
      </c>
      <c r="B23" s="27" t="s">
        <v>56</v>
      </c>
      <c r="C23" s="27" t="s">
        <v>107</v>
      </c>
      <c r="D23" s="18"/>
      <c r="E23" s="18"/>
      <c r="F23" s="18"/>
      <c r="G23" s="18"/>
      <c r="H23" s="96">
        <v>0</v>
      </c>
      <c r="I23" s="96">
        <v>0</v>
      </c>
      <c r="J23" s="96"/>
      <c r="K23" s="96"/>
    </row>
    <row r="24" spans="1:11" ht="15.6" x14ac:dyDescent="0.3">
      <c r="A24" s="30" t="s">
        <v>12</v>
      </c>
      <c r="B24" s="26" t="s">
        <v>56</v>
      </c>
      <c r="C24" s="26" t="s">
        <v>107</v>
      </c>
      <c r="D24" s="14"/>
      <c r="E24" s="14"/>
      <c r="F24" s="14"/>
      <c r="G24" s="14"/>
      <c r="H24" s="96">
        <v>0</v>
      </c>
      <c r="I24" s="96">
        <v>0</v>
      </c>
      <c r="J24" s="96"/>
      <c r="K24" s="96"/>
    </row>
    <row r="25" spans="1:11" ht="15.6" x14ac:dyDescent="0.3">
      <c r="A25" s="30" t="s">
        <v>13</v>
      </c>
      <c r="B25" s="26" t="s">
        <v>56</v>
      </c>
      <c r="C25" s="26" t="s">
        <v>107</v>
      </c>
      <c r="D25" s="14"/>
      <c r="E25" s="14"/>
      <c r="F25" s="14"/>
      <c r="G25" s="14"/>
      <c r="H25" s="96">
        <v>0</v>
      </c>
      <c r="I25" s="96">
        <v>0</v>
      </c>
      <c r="J25" s="96"/>
      <c r="K25" s="96"/>
    </row>
    <row r="26" spans="1:11" ht="15.6" x14ac:dyDescent="0.3">
      <c r="A26" s="26" t="s">
        <v>14</v>
      </c>
      <c r="B26" s="26" t="s">
        <v>55</v>
      </c>
      <c r="C26" s="26" t="s">
        <v>107</v>
      </c>
      <c r="D26" s="14"/>
      <c r="E26" s="14"/>
      <c r="F26" s="14"/>
      <c r="G26" s="14"/>
      <c r="H26" s="96">
        <v>0</v>
      </c>
      <c r="I26" s="96">
        <v>0</v>
      </c>
      <c r="J26" s="96"/>
      <c r="K26" s="96"/>
    </row>
    <row r="27" spans="1:11" ht="15.6" x14ac:dyDescent="0.3">
      <c r="A27" s="30" t="s">
        <v>15</v>
      </c>
      <c r="B27" s="26" t="s">
        <v>56</v>
      </c>
      <c r="C27" s="26" t="s">
        <v>107</v>
      </c>
      <c r="D27" s="14">
        <v>732</v>
      </c>
      <c r="E27" s="14">
        <v>18543</v>
      </c>
      <c r="F27" s="14"/>
      <c r="G27" s="14"/>
      <c r="H27" s="96">
        <v>440.35999999999996</v>
      </c>
      <c r="I27" s="96">
        <v>59970.750000000007</v>
      </c>
      <c r="J27" s="96"/>
      <c r="K27" s="96"/>
    </row>
    <row r="28" spans="1:11" ht="15.6" x14ac:dyDescent="0.3">
      <c r="A28" s="30" t="s">
        <v>17</v>
      </c>
      <c r="B28" s="26" t="s">
        <v>56</v>
      </c>
      <c r="C28" s="26" t="s">
        <v>107</v>
      </c>
      <c r="D28" s="14"/>
      <c r="E28" s="14"/>
      <c r="F28" s="14"/>
      <c r="G28" s="14"/>
      <c r="H28" s="96">
        <v>0</v>
      </c>
      <c r="I28" s="96">
        <v>0</v>
      </c>
      <c r="J28" s="96"/>
      <c r="K28" s="96"/>
    </row>
    <row r="29" spans="1:11" ht="15.6" x14ac:dyDescent="0.3">
      <c r="A29" s="30" t="s">
        <v>18</v>
      </c>
      <c r="B29" s="26" t="s">
        <v>56</v>
      </c>
      <c r="C29" s="26" t="s">
        <v>107</v>
      </c>
      <c r="D29" s="14"/>
      <c r="E29" s="14"/>
      <c r="F29" s="14"/>
      <c r="G29" s="14"/>
      <c r="H29" s="96">
        <v>0</v>
      </c>
      <c r="I29" s="96">
        <v>0</v>
      </c>
      <c r="J29" s="96"/>
      <c r="K29" s="96"/>
    </row>
    <row r="30" spans="1:11" ht="15.6" x14ac:dyDescent="0.3">
      <c r="A30" s="26" t="s">
        <v>19</v>
      </c>
      <c r="B30" s="26" t="s">
        <v>56</v>
      </c>
      <c r="C30" s="26" t="s">
        <v>107</v>
      </c>
      <c r="D30" s="14"/>
      <c r="E30" s="14"/>
      <c r="F30" s="14"/>
      <c r="G30" s="14"/>
      <c r="H30" s="96">
        <v>0</v>
      </c>
      <c r="I30" s="96">
        <v>0</v>
      </c>
      <c r="J30" s="96"/>
      <c r="K30" s="96"/>
    </row>
    <row r="31" spans="1:11" ht="15.6" x14ac:dyDescent="0.3">
      <c r="A31" s="26" t="s">
        <v>20</v>
      </c>
      <c r="B31" s="26" t="s">
        <v>56</v>
      </c>
      <c r="C31" s="26" t="s">
        <v>107</v>
      </c>
      <c r="D31" s="14"/>
      <c r="E31" s="14"/>
      <c r="F31" s="14"/>
      <c r="G31" s="14"/>
      <c r="H31" s="96">
        <v>0</v>
      </c>
      <c r="I31" s="96">
        <v>0</v>
      </c>
      <c r="J31" s="96"/>
      <c r="K31" s="96"/>
    </row>
    <row r="32" spans="1:11" ht="15.6" x14ac:dyDescent="0.3">
      <c r="A32" s="26" t="s">
        <v>21</v>
      </c>
      <c r="B32" s="26" t="s">
        <v>56</v>
      </c>
      <c r="C32" s="26" t="s">
        <v>107</v>
      </c>
      <c r="D32" s="14"/>
      <c r="E32" s="14"/>
      <c r="F32" s="14"/>
      <c r="G32" s="14"/>
      <c r="H32" s="96">
        <v>0</v>
      </c>
      <c r="I32" s="96">
        <v>0</v>
      </c>
      <c r="J32" s="96"/>
      <c r="K32" s="96"/>
    </row>
    <row r="33" spans="1:12" ht="15.6" x14ac:dyDescent="0.3">
      <c r="A33" s="26" t="s">
        <v>22</v>
      </c>
      <c r="B33" s="26" t="s">
        <v>56</v>
      </c>
      <c r="C33" s="26" t="s">
        <v>107</v>
      </c>
      <c r="D33" s="14"/>
      <c r="E33" s="14">
        <v>894.96</v>
      </c>
      <c r="F33" s="14"/>
      <c r="G33" s="14"/>
      <c r="H33" s="96">
        <v>0</v>
      </c>
      <c r="I33" s="96">
        <v>0</v>
      </c>
      <c r="J33" s="96"/>
      <c r="K33" s="96"/>
    </row>
    <row r="34" spans="1:12" ht="15.6" x14ac:dyDescent="0.3">
      <c r="A34" s="26" t="s">
        <v>23</v>
      </c>
      <c r="B34" s="26" t="s">
        <v>56</v>
      </c>
      <c r="C34" s="26" t="s">
        <v>107</v>
      </c>
      <c r="D34" s="14"/>
      <c r="E34" s="14"/>
      <c r="F34" s="14"/>
      <c r="G34" s="14"/>
      <c r="H34" s="96">
        <v>0</v>
      </c>
      <c r="I34" s="96">
        <v>0</v>
      </c>
      <c r="J34" s="96"/>
      <c r="K34" s="96"/>
    </row>
    <row r="35" spans="1:12" ht="15.6" x14ac:dyDescent="0.3">
      <c r="A35" s="26" t="s">
        <v>24</v>
      </c>
      <c r="B35" s="26" t="s">
        <v>56</v>
      </c>
      <c r="C35" s="26" t="s">
        <v>107</v>
      </c>
      <c r="D35" s="14"/>
      <c r="E35" s="14"/>
      <c r="F35" s="14"/>
      <c r="G35" s="14"/>
      <c r="H35" s="96">
        <v>0</v>
      </c>
      <c r="I35" s="96">
        <v>0</v>
      </c>
      <c r="J35" s="96"/>
      <c r="K35" s="96"/>
    </row>
    <row r="36" spans="1:12" ht="15.6" x14ac:dyDescent="0.3">
      <c r="A36" s="30" t="s">
        <v>25</v>
      </c>
      <c r="B36" s="26" t="s">
        <v>56</v>
      </c>
      <c r="C36" s="26" t="s">
        <v>107</v>
      </c>
      <c r="D36" s="14"/>
      <c r="E36" s="14"/>
      <c r="F36" s="14"/>
      <c r="G36" s="14"/>
      <c r="H36" s="96">
        <v>0</v>
      </c>
      <c r="I36" s="96">
        <v>0</v>
      </c>
      <c r="J36" s="96"/>
      <c r="K36" s="96"/>
    </row>
    <row r="37" spans="1:12" ht="15.6" x14ac:dyDescent="0.3">
      <c r="A37" s="26" t="s">
        <v>26</v>
      </c>
      <c r="B37" s="26" t="s">
        <v>56</v>
      </c>
      <c r="C37" s="26" t="s">
        <v>107</v>
      </c>
      <c r="D37" s="14"/>
      <c r="E37" s="14"/>
      <c r="F37" s="14"/>
      <c r="G37" s="14"/>
      <c r="H37" s="96">
        <v>0</v>
      </c>
      <c r="I37" s="96">
        <v>0</v>
      </c>
      <c r="J37" s="96"/>
      <c r="K37" s="96"/>
    </row>
    <row r="38" spans="1:12" ht="15.6" x14ac:dyDescent="0.3">
      <c r="A38" s="26" t="s">
        <v>27</v>
      </c>
      <c r="B38" s="26" t="s">
        <v>56</v>
      </c>
      <c r="C38" s="26" t="s">
        <v>107</v>
      </c>
      <c r="D38" s="14"/>
      <c r="E38" s="14"/>
      <c r="F38" s="14"/>
      <c r="G38" s="14"/>
      <c r="H38" s="96">
        <v>0</v>
      </c>
      <c r="I38" s="96">
        <v>0</v>
      </c>
      <c r="J38" s="96"/>
      <c r="K38" s="96"/>
    </row>
    <row r="39" spans="1:12" ht="15.6" x14ac:dyDescent="0.3">
      <c r="A39" s="26" t="s">
        <v>28</v>
      </c>
      <c r="B39" s="26" t="s">
        <v>56</v>
      </c>
      <c r="C39" s="26" t="s">
        <v>107</v>
      </c>
      <c r="D39" s="14"/>
      <c r="E39" s="14"/>
      <c r="F39" s="14"/>
      <c r="G39" s="14"/>
      <c r="H39" s="96">
        <v>0</v>
      </c>
      <c r="I39" s="96">
        <v>0</v>
      </c>
      <c r="J39" s="96"/>
      <c r="K39" s="96"/>
    </row>
    <row r="40" spans="1:12" ht="15.6" x14ac:dyDescent="0.3">
      <c r="A40" s="26" t="s">
        <v>29</v>
      </c>
      <c r="B40" s="26" t="s">
        <v>56</v>
      </c>
      <c r="C40" s="26" t="s">
        <v>107</v>
      </c>
      <c r="D40" s="14"/>
      <c r="E40" s="14"/>
      <c r="F40" s="14"/>
      <c r="G40" s="14"/>
      <c r="H40" s="96">
        <v>0</v>
      </c>
      <c r="I40" s="96">
        <v>0</v>
      </c>
      <c r="J40" s="96"/>
      <c r="K40" s="96"/>
    </row>
    <row r="41" spans="1:12" ht="15.6" x14ac:dyDescent="0.3">
      <c r="A41" s="26" t="s">
        <v>98</v>
      </c>
      <c r="B41" s="26" t="s">
        <v>55</v>
      </c>
      <c r="C41" s="26" t="s">
        <v>107</v>
      </c>
      <c r="D41" s="14"/>
      <c r="E41" s="14"/>
      <c r="F41" s="14"/>
      <c r="G41" s="14"/>
      <c r="H41" s="96">
        <v>0</v>
      </c>
      <c r="I41" s="96">
        <v>0</v>
      </c>
      <c r="J41" s="96"/>
      <c r="K41" s="96"/>
    </row>
    <row r="42" spans="1:12" ht="15.6" x14ac:dyDescent="0.3">
      <c r="A42" s="26" t="s">
        <v>32</v>
      </c>
      <c r="B42" s="26" t="s">
        <v>55</v>
      </c>
      <c r="C42" s="26" t="s">
        <v>107</v>
      </c>
      <c r="D42" s="14"/>
      <c r="E42" s="14"/>
      <c r="F42" s="14"/>
      <c r="G42" s="14"/>
      <c r="H42" s="96">
        <v>0</v>
      </c>
      <c r="I42" s="96">
        <v>0</v>
      </c>
      <c r="J42" s="96"/>
      <c r="K42" s="96"/>
    </row>
    <row r="43" spans="1:12" ht="15.6" x14ac:dyDescent="0.3">
      <c r="A43" s="30" t="s">
        <v>95</v>
      </c>
      <c r="B43" s="26" t="s">
        <v>56</v>
      </c>
      <c r="C43" s="26" t="s">
        <v>107</v>
      </c>
      <c r="D43" s="14"/>
      <c r="E43" s="14"/>
      <c r="F43" s="14"/>
      <c r="G43" s="14"/>
      <c r="H43" s="96">
        <v>0</v>
      </c>
      <c r="I43" s="96">
        <v>0</v>
      </c>
      <c r="J43" s="96"/>
      <c r="K43" s="96"/>
    </row>
    <row r="44" spans="1:12" ht="15.6" x14ac:dyDescent="0.3">
      <c r="A44" s="26" t="s">
        <v>83</v>
      </c>
      <c r="B44" s="26" t="s">
        <v>56</v>
      </c>
      <c r="C44" s="26" t="s">
        <v>107</v>
      </c>
      <c r="D44" s="14"/>
      <c r="E44" s="14"/>
      <c r="F44" s="14"/>
      <c r="G44" s="14"/>
      <c r="H44" s="96">
        <v>0</v>
      </c>
      <c r="I44" s="96">
        <v>0</v>
      </c>
      <c r="J44" s="96"/>
      <c r="K44" s="96"/>
    </row>
    <row r="45" spans="1:12" ht="15.6" x14ac:dyDescent="0.3">
      <c r="A45" s="26" t="s">
        <v>82</v>
      </c>
      <c r="B45" s="26" t="s">
        <v>56</v>
      </c>
      <c r="C45" s="26" t="s">
        <v>107</v>
      </c>
      <c r="D45" s="14"/>
      <c r="E45" s="14"/>
      <c r="F45" s="14"/>
      <c r="G45" s="14"/>
      <c r="H45" s="96">
        <v>0</v>
      </c>
      <c r="I45" s="96">
        <v>0</v>
      </c>
      <c r="J45" s="96"/>
      <c r="K45" s="96"/>
    </row>
    <row r="46" spans="1:12" ht="15.6" x14ac:dyDescent="0.3">
      <c r="A46" s="26" t="s">
        <v>36</v>
      </c>
      <c r="B46" s="26" t="s">
        <v>55</v>
      </c>
      <c r="C46" s="26" t="s">
        <v>107</v>
      </c>
      <c r="D46" s="14"/>
      <c r="E46" s="14"/>
      <c r="F46" s="14"/>
      <c r="G46" s="14"/>
      <c r="H46" s="96">
        <v>0</v>
      </c>
      <c r="I46" s="96">
        <v>0</v>
      </c>
      <c r="J46" s="96"/>
      <c r="K46" s="96"/>
    </row>
    <row r="47" spans="1:12" ht="15.6" x14ac:dyDescent="0.3">
      <c r="A47" s="26" t="s">
        <v>94</v>
      </c>
      <c r="B47" s="26" t="s">
        <v>55</v>
      </c>
      <c r="C47" s="26" t="s">
        <v>107</v>
      </c>
      <c r="D47" s="14"/>
      <c r="E47" s="14"/>
      <c r="F47" s="14"/>
      <c r="G47" s="14"/>
      <c r="H47" s="96">
        <v>0</v>
      </c>
      <c r="I47" s="96">
        <v>0</v>
      </c>
      <c r="J47" s="96"/>
      <c r="K47" s="96"/>
      <c r="L47" s="138"/>
    </row>
    <row r="48" spans="1:12" ht="15.6" x14ac:dyDescent="0.3">
      <c r="A48" s="26" t="s">
        <v>85</v>
      </c>
      <c r="B48" s="26" t="s">
        <v>56</v>
      </c>
      <c r="C48" s="26" t="s">
        <v>107</v>
      </c>
      <c r="D48" s="14"/>
      <c r="E48" s="14"/>
      <c r="F48" s="14"/>
      <c r="G48" s="14"/>
      <c r="H48" s="96">
        <v>0</v>
      </c>
      <c r="I48" s="96">
        <v>0</v>
      </c>
      <c r="J48" s="96"/>
      <c r="K48" s="96"/>
    </row>
    <row r="49" spans="1:13" ht="15.6" x14ac:dyDescent="0.3">
      <c r="A49" s="26" t="s">
        <v>87</v>
      </c>
      <c r="B49" s="26" t="s">
        <v>56</v>
      </c>
      <c r="C49" s="26" t="s">
        <v>107</v>
      </c>
      <c r="D49" s="14"/>
      <c r="E49" s="195"/>
      <c r="F49" s="14"/>
      <c r="G49" s="14"/>
      <c r="H49" s="96">
        <v>0</v>
      </c>
      <c r="I49" s="96">
        <v>3469.06</v>
      </c>
      <c r="J49" s="96"/>
      <c r="K49" s="96"/>
    </row>
    <row r="50" spans="1:13" ht="15.6" x14ac:dyDescent="0.3">
      <c r="A50" s="26" t="s">
        <v>97</v>
      </c>
      <c r="B50" s="26" t="s">
        <v>56</v>
      </c>
      <c r="C50" s="26" t="s">
        <v>107</v>
      </c>
      <c r="D50" s="14"/>
      <c r="E50" s="195"/>
      <c r="F50" s="14"/>
      <c r="G50" s="14"/>
      <c r="H50" s="96">
        <v>0</v>
      </c>
      <c r="I50" s="96">
        <v>0</v>
      </c>
      <c r="J50" s="96"/>
      <c r="K50" s="96"/>
    </row>
    <row r="51" spans="1:13" ht="15.6" x14ac:dyDescent="0.3">
      <c r="A51" s="26" t="s">
        <v>39</v>
      </c>
      <c r="B51" s="26" t="s">
        <v>56</v>
      </c>
      <c r="C51" s="26" t="s">
        <v>107</v>
      </c>
      <c r="D51" s="14"/>
      <c r="E51" s="195">
        <v>5495</v>
      </c>
      <c r="F51" s="14"/>
      <c r="G51" s="14"/>
      <c r="H51" s="96">
        <v>0</v>
      </c>
      <c r="I51" s="96">
        <v>1170.53</v>
      </c>
      <c r="J51" s="96"/>
      <c r="K51" s="96"/>
    </row>
    <row r="52" spans="1:13" ht="15.6" x14ac:dyDescent="0.3">
      <c r="A52" s="26" t="s">
        <v>91</v>
      </c>
      <c r="B52" s="26" t="s">
        <v>56</v>
      </c>
      <c r="C52" s="26" t="s">
        <v>107</v>
      </c>
      <c r="D52" s="14"/>
      <c r="E52" s="195"/>
      <c r="F52" s="14"/>
      <c r="G52" s="14"/>
      <c r="H52" s="96">
        <v>0</v>
      </c>
      <c r="I52" s="96">
        <v>0</v>
      </c>
      <c r="J52" s="96"/>
      <c r="K52" s="96"/>
    </row>
    <row r="53" spans="1:13" ht="15.6" x14ac:dyDescent="0.3">
      <c r="A53" s="26" t="s">
        <v>41</v>
      </c>
      <c r="B53" s="26" t="s">
        <v>56</v>
      </c>
      <c r="C53" s="26" t="s">
        <v>107</v>
      </c>
      <c r="D53" s="14"/>
      <c r="E53" s="195"/>
      <c r="F53" s="14"/>
      <c r="G53" s="14"/>
      <c r="H53" s="96">
        <v>0</v>
      </c>
      <c r="I53" s="96">
        <v>0</v>
      </c>
      <c r="J53" s="96"/>
      <c r="K53" s="96"/>
    </row>
    <row r="54" spans="1:13" ht="15.6" x14ac:dyDescent="0.3">
      <c r="A54" s="26" t="s">
        <v>129</v>
      </c>
      <c r="B54" s="26" t="s">
        <v>108</v>
      </c>
      <c r="C54" s="27" t="s">
        <v>107</v>
      </c>
      <c r="D54" s="15"/>
      <c r="E54" s="196"/>
      <c r="F54" s="15"/>
      <c r="G54" s="15"/>
      <c r="H54" s="96"/>
      <c r="I54" s="96"/>
      <c r="J54" s="96"/>
      <c r="K54" s="96"/>
    </row>
    <row r="55" spans="1:13" ht="16.2" thickBot="1" x14ac:dyDescent="0.35">
      <c r="A55" s="28" t="s">
        <v>88</v>
      </c>
      <c r="B55" s="28" t="s">
        <v>56</v>
      </c>
      <c r="C55" s="28" t="s">
        <v>107</v>
      </c>
      <c r="D55" s="15"/>
      <c r="E55" s="15"/>
      <c r="F55" s="15"/>
      <c r="G55" s="15"/>
      <c r="H55" s="96">
        <v>0</v>
      </c>
      <c r="I55" s="96">
        <v>0</v>
      </c>
      <c r="J55" s="96"/>
      <c r="K55" s="96"/>
    </row>
    <row r="56" spans="1:13" ht="21.6" thickBot="1" x14ac:dyDescent="0.45">
      <c r="A56" s="123" t="s">
        <v>115</v>
      </c>
      <c r="B56" s="121"/>
      <c r="C56" s="121"/>
      <c r="D56" s="174">
        <f>SUM(D23:D55)</f>
        <v>732</v>
      </c>
      <c r="E56" s="174">
        <f t="shared" ref="E56:G56" si="4">SUM(E23:E55)</f>
        <v>24932.959999999999</v>
      </c>
      <c r="F56" s="174">
        <f t="shared" si="4"/>
        <v>0</v>
      </c>
      <c r="G56" s="174">
        <f t="shared" si="4"/>
        <v>0</v>
      </c>
      <c r="H56" s="174">
        <f>SUM(H23:H55)</f>
        <v>440.35999999999996</v>
      </c>
      <c r="I56" s="174">
        <f t="shared" ref="I56:K56" si="5">SUM(I23:I55)</f>
        <v>64610.340000000004</v>
      </c>
      <c r="J56" s="174">
        <f t="shared" si="5"/>
        <v>0</v>
      </c>
      <c r="K56" s="174">
        <f t="shared" si="5"/>
        <v>0</v>
      </c>
    </row>
    <row r="57" spans="1:13" ht="15.6" x14ac:dyDescent="0.3">
      <c r="A57" s="30" t="s">
        <v>33</v>
      </c>
      <c r="B57" s="26" t="s">
        <v>114</v>
      </c>
      <c r="C57" s="26" t="s">
        <v>107</v>
      </c>
      <c r="D57" s="14"/>
      <c r="E57" s="14"/>
      <c r="F57" s="14"/>
      <c r="G57" s="14"/>
      <c r="H57" s="96">
        <v>0</v>
      </c>
      <c r="I57" s="96">
        <v>0</v>
      </c>
      <c r="J57" s="96"/>
      <c r="K57" s="96"/>
    </row>
    <row r="58" spans="1:13" ht="15.6" x14ac:dyDescent="0.3">
      <c r="A58" s="26" t="s">
        <v>84</v>
      </c>
      <c r="B58" s="26" t="s">
        <v>114</v>
      </c>
      <c r="C58" s="26" t="s">
        <v>107</v>
      </c>
      <c r="D58" s="14"/>
      <c r="E58" s="14">
        <v>3208</v>
      </c>
      <c r="F58" s="14"/>
      <c r="G58" s="14"/>
      <c r="H58" s="96">
        <v>0</v>
      </c>
      <c r="I58" s="96">
        <v>7355.590000000002</v>
      </c>
      <c r="J58" s="96"/>
      <c r="K58" s="96"/>
    </row>
    <row r="59" spans="1:13" ht="15.6" x14ac:dyDescent="0.3">
      <c r="A59" s="26" t="s">
        <v>37</v>
      </c>
      <c r="B59" s="26" t="s">
        <v>114</v>
      </c>
      <c r="C59" s="26" t="s">
        <v>107</v>
      </c>
      <c r="D59" s="14"/>
      <c r="E59" s="14"/>
      <c r="F59" s="14"/>
      <c r="G59" s="14"/>
      <c r="H59" s="96">
        <v>0</v>
      </c>
      <c r="I59" s="96">
        <v>0</v>
      </c>
      <c r="J59" s="96"/>
      <c r="K59" s="96"/>
      <c r="M59" s="133"/>
    </row>
    <row r="60" spans="1:13" ht="15.6" x14ac:dyDescent="0.3">
      <c r="A60" s="26" t="s">
        <v>35</v>
      </c>
      <c r="B60" s="26" t="s">
        <v>114</v>
      </c>
      <c r="C60" s="26" t="s">
        <v>107</v>
      </c>
      <c r="D60" s="14"/>
      <c r="E60" s="14"/>
      <c r="F60" s="14"/>
      <c r="G60" s="14"/>
      <c r="H60" s="96">
        <v>0</v>
      </c>
      <c r="I60" s="96">
        <v>0</v>
      </c>
      <c r="J60" s="96"/>
      <c r="K60" s="96"/>
      <c r="M60" s="133"/>
    </row>
    <row r="61" spans="1:13" ht="15.6" x14ac:dyDescent="0.3">
      <c r="A61" s="27" t="s">
        <v>86</v>
      </c>
      <c r="B61" s="27" t="s">
        <v>114</v>
      </c>
      <c r="C61" s="27" t="s">
        <v>107</v>
      </c>
      <c r="D61" s="14"/>
      <c r="E61" s="14"/>
      <c r="F61" s="14"/>
      <c r="G61" s="14"/>
      <c r="H61" s="96">
        <v>0</v>
      </c>
      <c r="I61" s="96">
        <v>0</v>
      </c>
      <c r="J61" s="96"/>
      <c r="K61" s="96"/>
      <c r="M61" s="133"/>
    </row>
    <row r="62" spans="1:13" ht="15.6" x14ac:dyDescent="0.3">
      <c r="A62" s="30" t="s">
        <v>16</v>
      </c>
      <c r="B62" s="26" t="s">
        <v>114</v>
      </c>
      <c r="C62" s="26" t="s">
        <v>107</v>
      </c>
      <c r="D62" s="14"/>
      <c r="E62" s="14"/>
      <c r="F62" s="14"/>
      <c r="G62" s="14"/>
      <c r="H62" s="96">
        <v>0</v>
      </c>
      <c r="I62" s="96">
        <v>0</v>
      </c>
      <c r="J62" s="96"/>
      <c r="K62" s="96"/>
    </row>
    <row r="63" spans="1:13" ht="15.6" x14ac:dyDescent="0.3">
      <c r="A63" s="194" t="s">
        <v>128</v>
      </c>
      <c r="B63" s="26" t="s">
        <v>114</v>
      </c>
      <c r="C63" s="27" t="s">
        <v>107</v>
      </c>
      <c r="D63" s="14"/>
      <c r="E63" s="14"/>
      <c r="F63" s="14"/>
      <c r="G63" s="14"/>
      <c r="H63" s="96"/>
      <c r="I63" s="96"/>
      <c r="J63" s="96"/>
      <c r="K63" s="96"/>
    </row>
    <row r="64" spans="1:13" ht="15.6" x14ac:dyDescent="0.3">
      <c r="A64" s="199" t="s">
        <v>131</v>
      </c>
      <c r="B64" s="26" t="s">
        <v>114</v>
      </c>
      <c r="C64" s="27" t="s">
        <v>107</v>
      </c>
      <c r="D64" s="14"/>
      <c r="E64" s="14"/>
      <c r="F64" s="14"/>
      <c r="G64" s="14"/>
      <c r="H64" s="96"/>
      <c r="I64" s="96"/>
      <c r="J64" s="96"/>
      <c r="K64" s="96"/>
    </row>
    <row r="65" spans="1:12" ht="16.2" thickBot="1" x14ac:dyDescent="0.35">
      <c r="A65" s="117" t="s">
        <v>99</v>
      </c>
      <c r="B65" s="26" t="s">
        <v>114</v>
      </c>
      <c r="C65" s="26" t="s">
        <v>107</v>
      </c>
      <c r="D65" s="14"/>
      <c r="E65" s="14"/>
      <c r="F65" s="14"/>
      <c r="G65" s="14"/>
      <c r="H65" s="96"/>
      <c r="I65" s="96"/>
      <c r="J65" s="96"/>
      <c r="K65" s="96"/>
    </row>
    <row r="66" spans="1:12" ht="21.6" thickBot="1" x14ac:dyDescent="0.45">
      <c r="A66" s="123" t="s">
        <v>116</v>
      </c>
      <c r="B66" s="121"/>
      <c r="C66" s="121"/>
      <c r="D66" s="174">
        <f>SUM(D57:D65)</f>
        <v>0</v>
      </c>
      <c r="E66" s="174">
        <f t="shared" ref="E66:G66" si="6">SUM(E57:E65)</f>
        <v>3208</v>
      </c>
      <c r="F66" s="174">
        <f t="shared" si="6"/>
        <v>0</v>
      </c>
      <c r="G66" s="174">
        <f t="shared" si="6"/>
        <v>0</v>
      </c>
      <c r="H66" s="174">
        <f>SUM(H57:H65)</f>
        <v>0</v>
      </c>
      <c r="I66" s="174">
        <f t="shared" ref="I66:K66" si="7">SUM(I57:I65)</f>
        <v>7355.590000000002</v>
      </c>
      <c r="J66" s="174">
        <f t="shared" si="7"/>
        <v>0</v>
      </c>
      <c r="K66" s="174">
        <f t="shared" si="7"/>
        <v>0</v>
      </c>
    </row>
    <row r="67" spans="1:12" ht="15.6" x14ac:dyDescent="0.3">
      <c r="A67" s="27" t="s">
        <v>77</v>
      </c>
      <c r="B67" s="26" t="s">
        <v>108</v>
      </c>
      <c r="C67" s="27" t="s">
        <v>102</v>
      </c>
      <c r="D67" s="197"/>
      <c r="E67" s="197">
        <f>9608+323+670</f>
        <v>10601</v>
      </c>
      <c r="F67" s="197"/>
      <c r="G67" s="197"/>
      <c r="H67" s="96">
        <v>0</v>
      </c>
      <c r="I67" s="96">
        <v>7057.27</v>
      </c>
      <c r="J67" s="96"/>
      <c r="K67" s="96"/>
    </row>
    <row r="68" spans="1:12" ht="15.6" x14ac:dyDescent="0.3">
      <c r="A68" s="30" t="s">
        <v>40</v>
      </c>
      <c r="B68" s="26" t="s">
        <v>56</v>
      </c>
      <c r="C68" s="26" t="s">
        <v>103</v>
      </c>
      <c r="D68" s="195"/>
      <c r="E68" s="195"/>
      <c r="F68" s="195"/>
      <c r="G68" s="195"/>
      <c r="H68" s="96">
        <v>0</v>
      </c>
      <c r="I68" s="96">
        <v>0</v>
      </c>
      <c r="J68" s="96"/>
      <c r="K68" s="96"/>
    </row>
    <row r="69" spans="1:12" ht="15.6" x14ac:dyDescent="0.3">
      <c r="A69" s="26" t="s">
        <v>90</v>
      </c>
      <c r="B69" s="26" t="s">
        <v>108</v>
      </c>
      <c r="C69" s="26" t="s">
        <v>103</v>
      </c>
      <c r="D69" s="195"/>
      <c r="E69" s="195"/>
      <c r="F69" s="195"/>
      <c r="G69" s="195"/>
      <c r="H69" s="96">
        <v>0</v>
      </c>
      <c r="I69" s="96">
        <v>1953.47</v>
      </c>
      <c r="J69" s="96"/>
      <c r="K69" s="96"/>
    </row>
    <row r="70" spans="1:12" ht="15.6" x14ac:dyDescent="0.3">
      <c r="A70" s="26" t="s">
        <v>92</v>
      </c>
      <c r="B70" s="26" t="s">
        <v>56</v>
      </c>
      <c r="C70" s="26" t="s">
        <v>103</v>
      </c>
      <c r="D70" s="195"/>
      <c r="E70" s="195"/>
      <c r="F70" s="195"/>
      <c r="G70" s="195"/>
      <c r="H70" s="96">
        <v>0</v>
      </c>
      <c r="I70" s="96">
        <v>0</v>
      </c>
      <c r="J70" s="96"/>
      <c r="K70" s="96"/>
    </row>
    <row r="71" spans="1:12" ht="15.6" x14ac:dyDescent="0.3">
      <c r="A71" s="26" t="s">
        <v>93</v>
      </c>
      <c r="B71" s="26" t="s">
        <v>56</v>
      </c>
      <c r="C71" s="26" t="s">
        <v>103</v>
      </c>
      <c r="D71" s="195"/>
      <c r="E71" s="195">
        <v>9731</v>
      </c>
      <c r="F71" s="195"/>
      <c r="G71" s="195"/>
      <c r="H71" s="96">
        <v>0</v>
      </c>
      <c r="I71" s="96">
        <v>10354.76</v>
      </c>
      <c r="J71" s="96"/>
      <c r="K71" s="96"/>
    </row>
    <row r="72" spans="1:12" ht="15.6" x14ac:dyDescent="0.3">
      <c r="A72" s="26" t="s">
        <v>100</v>
      </c>
      <c r="B72" s="26" t="s">
        <v>56</v>
      </c>
      <c r="C72" s="26" t="s">
        <v>103</v>
      </c>
      <c r="D72" s="195"/>
      <c r="E72" s="195">
        <v>9414</v>
      </c>
      <c r="F72" s="195"/>
      <c r="G72" s="195"/>
      <c r="H72" s="96"/>
      <c r="I72" s="96">
        <v>7405.9599999999991</v>
      </c>
      <c r="J72" s="96"/>
      <c r="K72" s="96"/>
      <c r="L72" s="138"/>
    </row>
    <row r="73" spans="1:12" ht="15.6" x14ac:dyDescent="0.3">
      <c r="A73" s="118" t="s">
        <v>101</v>
      </c>
      <c r="B73" s="26" t="s">
        <v>56</v>
      </c>
      <c r="C73" s="26" t="s">
        <v>103</v>
      </c>
      <c r="D73" s="195"/>
      <c r="E73" s="195"/>
      <c r="F73" s="195"/>
      <c r="G73" s="195"/>
      <c r="H73" s="96"/>
      <c r="I73" s="96"/>
      <c r="J73" s="96"/>
      <c r="K73" s="96"/>
    </row>
    <row r="74" spans="1:12" ht="15.6" x14ac:dyDescent="0.3">
      <c r="A74" s="26" t="s">
        <v>81</v>
      </c>
      <c r="B74" s="26" t="s">
        <v>56</v>
      </c>
      <c r="C74" s="26" t="s">
        <v>103</v>
      </c>
      <c r="D74" s="195"/>
      <c r="E74" s="195"/>
      <c r="F74" s="195"/>
      <c r="G74" s="195"/>
      <c r="H74" s="96">
        <v>0</v>
      </c>
      <c r="I74" s="96">
        <v>0</v>
      </c>
      <c r="J74" s="96"/>
      <c r="K74" s="96"/>
    </row>
    <row r="75" spans="1:12" ht="21.6" thickBot="1" x14ac:dyDescent="0.3">
      <c r="A75" s="177" t="s">
        <v>44</v>
      </c>
      <c r="B75" s="178"/>
      <c r="C75" s="178"/>
      <c r="D75" s="179">
        <f>SUM(D67:D74)</f>
        <v>0</v>
      </c>
      <c r="E75" s="179">
        <f t="shared" ref="E75:G75" si="8">SUM(E67:E74)</f>
        <v>29746</v>
      </c>
      <c r="F75" s="179">
        <f t="shared" si="8"/>
        <v>0</v>
      </c>
      <c r="G75" s="179">
        <f t="shared" si="8"/>
        <v>0</v>
      </c>
      <c r="H75" s="179">
        <f>SUM(H67:H74)</f>
        <v>0</v>
      </c>
      <c r="I75" s="179">
        <f t="shared" ref="I75:K75" si="9">SUM(I67:I74)</f>
        <v>26771.46</v>
      </c>
      <c r="J75" s="179">
        <f t="shared" si="9"/>
        <v>0</v>
      </c>
      <c r="K75" s="179">
        <f t="shared" si="9"/>
        <v>0</v>
      </c>
    </row>
    <row r="76" spans="1:12" ht="21.6" thickBot="1" x14ac:dyDescent="0.3">
      <c r="A76" s="122" t="s">
        <v>45</v>
      </c>
      <c r="B76" s="121"/>
      <c r="C76" s="121"/>
      <c r="D76" s="131">
        <f>D75+D66+D56+D22+D8</f>
        <v>1250</v>
      </c>
      <c r="E76" s="131">
        <f t="shared" ref="E76:G76" si="10">E75+E66+E56+E22+E8</f>
        <v>301886.92</v>
      </c>
      <c r="F76" s="131">
        <f t="shared" si="10"/>
        <v>0</v>
      </c>
      <c r="G76" s="131">
        <f t="shared" si="10"/>
        <v>0</v>
      </c>
      <c r="H76" s="131">
        <f>H75+H66+H56+H22+H8</f>
        <v>969.86999999999989</v>
      </c>
      <c r="I76" s="131">
        <f t="shared" ref="I76:K76" si="11">I75+I66+I56+I22+I8</f>
        <v>406997.85</v>
      </c>
      <c r="J76" s="131">
        <f t="shared" si="11"/>
        <v>0</v>
      </c>
      <c r="K76" s="131">
        <f t="shared" si="11"/>
        <v>0</v>
      </c>
    </row>
    <row r="78" spans="1:12" x14ac:dyDescent="0.3">
      <c r="D78" s="6"/>
      <c r="E78" s="133"/>
    </row>
  </sheetData>
  <mergeCells count="2">
    <mergeCell ref="D1:G1"/>
    <mergeCell ref="H1:K1"/>
  </mergeCells>
  <conditionalFormatting sqref="A1">
    <cfRule type="duplicateValues" dxfId="211" priority="19"/>
    <cfRule type="duplicateValues" dxfId="210" priority="20"/>
  </conditionalFormatting>
  <conditionalFormatting sqref="A14">
    <cfRule type="duplicateValues" dxfId="209" priority="9"/>
    <cfRule type="duplicateValues" dxfId="208" priority="10"/>
  </conditionalFormatting>
  <conditionalFormatting sqref="A20">
    <cfRule type="duplicateValues" dxfId="207" priority="1"/>
    <cfRule type="duplicateValues" dxfId="206" priority="2"/>
  </conditionalFormatting>
  <conditionalFormatting sqref="A41">
    <cfRule type="duplicateValues" dxfId="205" priority="5"/>
    <cfRule type="duplicateValues" dxfId="204" priority="6"/>
  </conditionalFormatting>
  <conditionalFormatting sqref="A54">
    <cfRule type="duplicateValues" dxfId="203" priority="3"/>
    <cfRule type="duplicateValues" dxfId="202" priority="4"/>
  </conditionalFormatting>
  <conditionalFormatting sqref="A57">
    <cfRule type="duplicateValues" dxfId="201" priority="11"/>
    <cfRule type="duplicateValues" dxfId="200" priority="12"/>
  </conditionalFormatting>
  <conditionalFormatting sqref="A58:A60 A7 A23:A40 A62 A42:A53 A55">
    <cfRule type="duplicateValues" dxfId="199" priority="17"/>
    <cfRule type="duplicateValues" dxfId="198" priority="18"/>
  </conditionalFormatting>
  <conditionalFormatting sqref="A61">
    <cfRule type="duplicateValues" dxfId="197" priority="7"/>
    <cfRule type="duplicateValues" dxfId="196" priority="8"/>
  </conditionalFormatting>
  <conditionalFormatting sqref="A67:A74">
    <cfRule type="duplicateValues" dxfId="195" priority="15"/>
    <cfRule type="duplicateValues" dxfId="194" priority="16"/>
  </conditionalFormatting>
  <conditionalFormatting sqref="A75:A76 A2:A6 A8:A13 A15:A19 A56 A66 A21:A22">
    <cfRule type="duplicateValues" dxfId="193" priority="13"/>
    <cfRule type="duplicateValues" dxfId="192" priority="14"/>
  </conditionalFormatting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671D0-2B28-494D-BDF1-4E5175A67A8E}">
  <sheetPr>
    <tabColor rgb="FFFFC000"/>
  </sheetPr>
  <dimension ref="A1:M82"/>
  <sheetViews>
    <sheetView rightToLeft="1" zoomScaleNormal="100" workbookViewId="0">
      <pane ySplit="3" topLeftCell="A4" activePane="bottomLeft" state="frozen"/>
      <selection pane="bottomLeft" activeCell="M32" sqref="M32"/>
    </sheetView>
  </sheetViews>
  <sheetFormatPr defaultColWidth="30.09765625" defaultRowHeight="14.4" x14ac:dyDescent="0.3"/>
  <cols>
    <col min="1" max="1" width="30" style="32" bestFit="1" customWidth="1"/>
    <col min="2" max="2" width="11.3984375" style="32" customWidth="1"/>
    <col min="3" max="3" width="11.69921875" style="32" customWidth="1"/>
    <col min="4" max="4" width="16.8984375" customWidth="1"/>
    <col min="5" max="5" width="15.19921875" customWidth="1"/>
    <col min="6" max="6" width="16.8984375" customWidth="1"/>
    <col min="7" max="7" width="19" customWidth="1"/>
    <col min="8" max="9" width="15.19921875" style="3" customWidth="1"/>
    <col min="10" max="10" width="16.8984375" style="3" customWidth="1"/>
    <col min="11" max="11" width="19" customWidth="1"/>
  </cols>
  <sheetData>
    <row r="1" spans="1:11" ht="21" x14ac:dyDescent="0.25">
      <c r="A1" s="26"/>
      <c r="B1" s="26"/>
      <c r="C1" s="26"/>
      <c r="D1" s="241">
        <v>2025</v>
      </c>
      <c r="E1" s="241"/>
      <c r="F1" s="241"/>
      <c r="G1" s="241"/>
      <c r="H1" s="242">
        <v>2024</v>
      </c>
      <c r="I1" s="242"/>
      <c r="J1" s="242"/>
      <c r="K1" s="242"/>
    </row>
    <row r="2" spans="1:11" ht="21" x14ac:dyDescent="0.25">
      <c r="A2" s="11" t="s">
        <v>0</v>
      </c>
      <c r="B2" s="23" t="s">
        <v>53</v>
      </c>
      <c r="C2" s="23" t="s">
        <v>109</v>
      </c>
      <c r="D2" s="13" t="s">
        <v>46</v>
      </c>
      <c r="E2" s="13" t="s">
        <v>47</v>
      </c>
      <c r="F2" s="13" t="s">
        <v>48</v>
      </c>
      <c r="G2" s="13" t="s">
        <v>49</v>
      </c>
      <c r="H2" s="95" t="s">
        <v>46</v>
      </c>
      <c r="I2" s="95" t="s">
        <v>47</v>
      </c>
      <c r="J2" s="95" t="s">
        <v>48</v>
      </c>
      <c r="K2" s="95" t="s">
        <v>89</v>
      </c>
    </row>
    <row r="3" spans="1:11" ht="15.6" x14ac:dyDescent="0.3">
      <c r="A3" s="26" t="s">
        <v>1</v>
      </c>
      <c r="B3" s="26" t="s">
        <v>108</v>
      </c>
      <c r="C3" s="26" t="s">
        <v>58</v>
      </c>
      <c r="D3" s="195">
        <f>130795-D4-D6-D16-D52-D53-D55-D71-D73-D74</f>
        <v>50189</v>
      </c>
      <c r="E3" s="195">
        <f>24365-E4-E6-E16-E52-E53-E55-E71-E73-E74</f>
        <v>8014</v>
      </c>
      <c r="F3" s="195">
        <f>349267-F4-F6-F52-F73</f>
        <v>103011</v>
      </c>
      <c r="G3" s="195">
        <f>-626730-G6-G16-G52-G55-G73</f>
        <v>1419331</v>
      </c>
      <c r="H3" s="96">
        <v>58032.784520000008</v>
      </c>
      <c r="I3" s="96">
        <v>26371.741032000005</v>
      </c>
      <c r="J3" s="96">
        <v>248439.87206400043</v>
      </c>
      <c r="K3" s="96">
        <v>26488.278768000015</v>
      </c>
    </row>
    <row r="4" spans="1:11" ht="15.6" x14ac:dyDescent="0.3">
      <c r="A4" s="26" t="s">
        <v>2</v>
      </c>
      <c r="B4" s="26" t="s">
        <v>108</v>
      </c>
      <c r="C4" s="26" t="s">
        <v>58</v>
      </c>
      <c r="D4" s="195"/>
      <c r="E4" s="195"/>
      <c r="F4" s="195">
        <v>71103</v>
      </c>
      <c r="G4" s="195"/>
      <c r="H4" s="96">
        <v>3014.17832</v>
      </c>
      <c r="I4" s="96">
        <v>0</v>
      </c>
      <c r="J4" s="96">
        <v>0</v>
      </c>
      <c r="K4" s="96">
        <v>0</v>
      </c>
    </row>
    <row r="5" spans="1:11" ht="15.6" x14ac:dyDescent="0.3">
      <c r="A5" s="26" t="s">
        <v>104</v>
      </c>
      <c r="B5" s="26" t="s">
        <v>108</v>
      </c>
      <c r="C5" s="26" t="s">
        <v>58</v>
      </c>
      <c r="D5" s="195"/>
      <c r="E5" s="195"/>
      <c r="F5" s="195"/>
      <c r="G5" s="195"/>
      <c r="H5" s="96"/>
      <c r="I5" s="96"/>
      <c r="J5" s="96"/>
      <c r="K5" s="96"/>
    </row>
    <row r="6" spans="1:11" ht="15.6" x14ac:dyDescent="0.3">
      <c r="A6" s="28" t="s">
        <v>105</v>
      </c>
      <c r="B6" s="26" t="s">
        <v>108</v>
      </c>
      <c r="C6" s="28" t="s">
        <v>58</v>
      </c>
      <c r="E6">
        <v>0</v>
      </c>
      <c r="F6">
        <v>81261</v>
      </c>
      <c r="G6" s="195">
        <v>-838907</v>
      </c>
      <c r="H6" s="96"/>
      <c r="I6" s="96"/>
      <c r="J6" s="96"/>
      <c r="K6" s="96"/>
    </row>
    <row r="7" spans="1:11" ht="16.2" thickBot="1" x14ac:dyDescent="0.35">
      <c r="A7" s="26" t="s">
        <v>34</v>
      </c>
      <c r="B7" s="26" t="s">
        <v>108</v>
      </c>
      <c r="C7" s="26" t="s">
        <v>58</v>
      </c>
      <c r="D7" s="186"/>
      <c r="E7" s="186"/>
      <c r="F7" s="205"/>
      <c r="G7" s="195">
        <v>0</v>
      </c>
      <c r="H7" s="96">
        <v>0</v>
      </c>
      <c r="I7" s="96">
        <v>0</v>
      </c>
      <c r="J7" s="96">
        <v>0</v>
      </c>
      <c r="K7" s="96">
        <v>0</v>
      </c>
    </row>
    <row r="8" spans="1:11" ht="21.6" thickBot="1" x14ac:dyDescent="0.45">
      <c r="A8" s="122" t="s">
        <v>3</v>
      </c>
      <c r="B8" s="121"/>
      <c r="C8" s="121"/>
      <c r="D8" s="174">
        <f>SUM(D3:D7)</f>
        <v>50189</v>
      </c>
      <c r="E8" s="174">
        <f t="shared" ref="E8:G8" si="0">SUM(E3:E7)</f>
        <v>8014</v>
      </c>
      <c r="F8" s="174">
        <f t="shared" si="0"/>
        <v>255375</v>
      </c>
      <c r="G8" s="174">
        <f t="shared" si="0"/>
        <v>580424</v>
      </c>
      <c r="H8" s="174">
        <f>SUM(H3:H7)</f>
        <v>61046.962840000007</v>
      </c>
      <c r="I8" s="174">
        <f t="shared" ref="I8:K8" si="1">SUM(I3:I7)</f>
        <v>26371.741032000005</v>
      </c>
      <c r="J8" s="174">
        <f t="shared" si="1"/>
        <v>248439.87206400043</v>
      </c>
      <c r="K8" s="174">
        <f t="shared" si="1"/>
        <v>26488.278768000015</v>
      </c>
    </row>
    <row r="9" spans="1:11" ht="15.6" x14ac:dyDescent="0.3">
      <c r="A9" s="27" t="s">
        <v>4</v>
      </c>
      <c r="B9" s="26" t="s">
        <v>108</v>
      </c>
      <c r="C9" s="27" t="s">
        <v>106</v>
      </c>
      <c r="D9" s="197"/>
      <c r="E9" s="197"/>
      <c r="F9" s="197"/>
      <c r="G9" s="195">
        <v>0</v>
      </c>
      <c r="H9" s="96">
        <v>0</v>
      </c>
      <c r="I9" s="96">
        <v>0</v>
      </c>
      <c r="J9" s="96">
        <v>0</v>
      </c>
      <c r="K9" s="96">
        <v>0</v>
      </c>
    </row>
    <row r="10" spans="1:11" ht="15.6" x14ac:dyDescent="0.3">
      <c r="A10" s="26" t="s">
        <v>5</v>
      </c>
      <c r="B10" s="26" t="s">
        <v>108</v>
      </c>
      <c r="C10" s="26" t="s">
        <v>106</v>
      </c>
      <c r="D10" s="195">
        <v>13589</v>
      </c>
      <c r="E10" s="195">
        <v>129544</v>
      </c>
      <c r="F10" s="195"/>
      <c r="G10" s="195">
        <v>151580</v>
      </c>
      <c r="H10" s="96">
        <v>0</v>
      </c>
      <c r="I10" s="96">
        <v>129586.514136</v>
      </c>
      <c r="J10" s="96">
        <v>0</v>
      </c>
      <c r="K10" s="96">
        <v>0</v>
      </c>
    </row>
    <row r="11" spans="1:11" ht="15.6" x14ac:dyDescent="0.3">
      <c r="A11" s="26" t="s">
        <v>6</v>
      </c>
      <c r="B11" s="26" t="s">
        <v>108</v>
      </c>
      <c r="C11" s="26" t="s">
        <v>106</v>
      </c>
      <c r="D11" s="195"/>
      <c r="E11" s="195"/>
      <c r="F11" s="195"/>
      <c r="G11" s="195">
        <v>0</v>
      </c>
      <c r="H11" s="96">
        <v>0</v>
      </c>
      <c r="I11" s="96">
        <v>0</v>
      </c>
      <c r="J11" s="96">
        <v>0</v>
      </c>
      <c r="K11" s="96">
        <v>0</v>
      </c>
    </row>
    <row r="12" spans="1:11" ht="15.6" x14ac:dyDescent="0.3">
      <c r="A12" s="26" t="s">
        <v>7</v>
      </c>
      <c r="B12" s="26" t="s">
        <v>108</v>
      </c>
      <c r="C12" s="26" t="s">
        <v>106</v>
      </c>
      <c r="D12" s="195"/>
      <c r="E12" s="195"/>
      <c r="F12" s="195"/>
      <c r="G12" s="195">
        <v>-62877</v>
      </c>
      <c r="H12" s="96">
        <v>0</v>
      </c>
      <c r="I12" s="96">
        <v>0</v>
      </c>
      <c r="J12" s="96">
        <v>0</v>
      </c>
      <c r="K12" s="96">
        <v>0</v>
      </c>
    </row>
    <row r="13" spans="1:11" ht="15.6" x14ac:dyDescent="0.3">
      <c r="A13" s="26" t="s">
        <v>8</v>
      </c>
      <c r="B13" s="26" t="s">
        <v>108</v>
      </c>
      <c r="C13" s="26" t="s">
        <v>106</v>
      </c>
      <c r="D13" s="195"/>
      <c r="E13" s="195"/>
      <c r="F13" s="195"/>
      <c r="G13" s="195">
        <v>0</v>
      </c>
      <c r="H13" s="96">
        <v>0</v>
      </c>
      <c r="I13" s="96">
        <v>16505.252295999999</v>
      </c>
      <c r="J13" s="96">
        <v>0</v>
      </c>
      <c r="K13" s="96">
        <v>0</v>
      </c>
    </row>
    <row r="14" spans="1:11" ht="15.6" x14ac:dyDescent="0.3">
      <c r="A14" s="26" t="s">
        <v>9</v>
      </c>
      <c r="B14" s="26" t="s">
        <v>108</v>
      </c>
      <c r="C14" s="26" t="s">
        <v>106</v>
      </c>
      <c r="D14" s="195"/>
      <c r="E14" s="195">
        <v>0</v>
      </c>
      <c r="F14" s="195">
        <v>81253</v>
      </c>
      <c r="G14" s="195">
        <v>-377678</v>
      </c>
      <c r="H14" s="96">
        <v>0</v>
      </c>
      <c r="I14" s="96">
        <v>0</v>
      </c>
      <c r="J14" s="96">
        <v>15285.570992000001</v>
      </c>
      <c r="K14" s="96">
        <v>3261.7299680000001</v>
      </c>
    </row>
    <row r="15" spans="1:11" ht="15.6" x14ac:dyDescent="0.3">
      <c r="A15" s="26" t="s">
        <v>31</v>
      </c>
      <c r="B15" s="26" t="s">
        <v>108</v>
      </c>
      <c r="C15" s="26" t="s">
        <v>106</v>
      </c>
      <c r="D15" s="195"/>
      <c r="E15" s="195"/>
      <c r="F15" s="195"/>
      <c r="G15" s="195">
        <v>0</v>
      </c>
      <c r="H15" s="96">
        <v>0</v>
      </c>
      <c r="I15" s="96">
        <v>0</v>
      </c>
      <c r="J15" s="96">
        <v>0</v>
      </c>
      <c r="K15" s="96">
        <v>0</v>
      </c>
    </row>
    <row r="16" spans="1:11" ht="15.6" x14ac:dyDescent="0.3">
      <c r="A16" s="26" t="s">
        <v>96</v>
      </c>
      <c r="B16" s="26" t="s">
        <v>108</v>
      </c>
      <c r="C16" s="26" t="s">
        <v>106</v>
      </c>
      <c r="D16" s="195">
        <v>39166</v>
      </c>
      <c r="E16" s="195">
        <v>1849</v>
      </c>
      <c r="F16" s="195"/>
      <c r="G16" s="195">
        <v>5051</v>
      </c>
      <c r="H16" s="96">
        <v>37283.028383999997</v>
      </c>
      <c r="I16" s="96">
        <v>0</v>
      </c>
      <c r="J16" s="96">
        <v>4063.720456</v>
      </c>
      <c r="K16" s="96">
        <v>6680.7250720000002</v>
      </c>
    </row>
    <row r="17" spans="1:11" ht="15.6" x14ac:dyDescent="0.3">
      <c r="A17" s="26" t="s">
        <v>42</v>
      </c>
      <c r="B17" s="26" t="s">
        <v>108</v>
      </c>
      <c r="C17" s="26" t="s">
        <v>106</v>
      </c>
      <c r="D17" s="195">
        <v>20381</v>
      </c>
      <c r="E17" s="195">
        <v>7630</v>
      </c>
      <c r="F17" s="195"/>
      <c r="G17" s="195">
        <v>31824</v>
      </c>
      <c r="H17" s="96">
        <v>0</v>
      </c>
      <c r="I17" s="96">
        <v>6617.3506159999997</v>
      </c>
      <c r="J17" s="96">
        <v>42016.997872</v>
      </c>
      <c r="K17" s="96">
        <v>0</v>
      </c>
    </row>
    <row r="18" spans="1:11" ht="15.6" x14ac:dyDescent="0.3">
      <c r="A18" s="26" t="s">
        <v>43</v>
      </c>
      <c r="B18" s="26" t="s">
        <v>108</v>
      </c>
      <c r="C18" s="26" t="s">
        <v>106</v>
      </c>
      <c r="D18" s="195"/>
      <c r="E18" s="195"/>
      <c r="F18" s="195"/>
      <c r="G18" s="195">
        <v>0</v>
      </c>
      <c r="H18" s="96">
        <v>0</v>
      </c>
      <c r="I18" s="96">
        <v>2150.2446639999998</v>
      </c>
      <c r="J18" s="96">
        <v>90536.288968000008</v>
      </c>
      <c r="K18" s="96">
        <v>0</v>
      </c>
    </row>
    <row r="19" spans="1:11" ht="15.6" x14ac:dyDescent="0.3">
      <c r="A19" s="26" t="s">
        <v>30</v>
      </c>
      <c r="B19" s="26" t="s">
        <v>108</v>
      </c>
      <c r="C19" s="26" t="s">
        <v>106</v>
      </c>
      <c r="D19" s="195"/>
      <c r="E19" s="195"/>
      <c r="F19" s="195"/>
      <c r="G19" s="195">
        <v>0</v>
      </c>
      <c r="H19" s="96">
        <v>0</v>
      </c>
      <c r="I19" s="96">
        <v>578.09031600000003</v>
      </c>
      <c r="J19" s="96">
        <v>8962.7944960000004</v>
      </c>
      <c r="K19" s="96">
        <v>0</v>
      </c>
    </row>
    <row r="20" spans="1:11" ht="15.6" x14ac:dyDescent="0.3">
      <c r="A20" s="28" t="s">
        <v>130</v>
      </c>
      <c r="B20" s="26" t="s">
        <v>108</v>
      </c>
      <c r="C20" s="26" t="s">
        <v>106</v>
      </c>
      <c r="D20" s="196"/>
      <c r="E20" s="196"/>
      <c r="F20" s="196"/>
      <c r="G20" s="195">
        <v>0</v>
      </c>
      <c r="H20" s="96"/>
      <c r="I20" s="96"/>
      <c r="J20" s="96"/>
      <c r="K20" s="96"/>
    </row>
    <row r="21" spans="1:11" ht="16.2" thickBot="1" x14ac:dyDescent="0.35">
      <c r="A21" s="28" t="s">
        <v>38</v>
      </c>
      <c r="B21" s="26" t="s">
        <v>108</v>
      </c>
      <c r="C21" s="28" t="s">
        <v>106</v>
      </c>
      <c r="D21" s="196"/>
      <c r="E21" s="196"/>
      <c r="F21" s="196"/>
      <c r="G21" s="195">
        <v>0</v>
      </c>
      <c r="H21" s="96">
        <v>0</v>
      </c>
      <c r="I21" s="96">
        <v>0</v>
      </c>
      <c r="J21" s="96">
        <v>0</v>
      </c>
      <c r="K21" s="96">
        <v>0</v>
      </c>
    </row>
    <row r="22" spans="1:11" ht="21.6" thickBot="1" x14ac:dyDescent="0.45">
      <c r="A22" s="122" t="s">
        <v>10</v>
      </c>
      <c r="B22" s="121"/>
      <c r="C22" s="121"/>
      <c r="D22" s="174">
        <f>SUM(D9:D21)</f>
        <v>73136</v>
      </c>
      <c r="E22" s="174">
        <f t="shared" ref="E22:G22" si="2">SUM(E9:E21)</f>
        <v>139023</v>
      </c>
      <c r="F22" s="174">
        <f t="shared" si="2"/>
        <v>81253</v>
      </c>
      <c r="G22" s="174">
        <f t="shared" si="2"/>
        <v>-252100</v>
      </c>
      <c r="H22" s="174">
        <f>SUM(H9:H21)</f>
        <v>37283.028383999997</v>
      </c>
      <c r="I22" s="174">
        <f t="shared" ref="I22:K22" si="3">SUM(I9:I21)</f>
        <v>155437.452028</v>
      </c>
      <c r="J22" s="174">
        <f t="shared" si="3"/>
        <v>160865.37278400001</v>
      </c>
      <c r="K22" s="174">
        <f t="shared" si="3"/>
        <v>9942.4550400000007</v>
      </c>
    </row>
    <row r="23" spans="1:11" ht="15.6" x14ac:dyDescent="0.3">
      <c r="A23" s="27" t="s">
        <v>11</v>
      </c>
      <c r="B23" s="27" t="s">
        <v>56</v>
      </c>
      <c r="C23" s="27" t="s">
        <v>107</v>
      </c>
      <c r="D23" s="197">
        <v>525232</v>
      </c>
      <c r="E23" s="197">
        <v>40619</v>
      </c>
      <c r="F23" s="197">
        <v>251727</v>
      </c>
      <c r="G23" s="195">
        <v>744865</v>
      </c>
      <c r="H23" s="96">
        <v>573498.6059679999</v>
      </c>
      <c r="I23" s="96">
        <v>76229.934247999976</v>
      </c>
      <c r="J23" s="96">
        <v>793841.35195999988</v>
      </c>
      <c r="K23" s="96">
        <v>1892829.9943360002</v>
      </c>
    </row>
    <row r="24" spans="1:11" ht="15.6" x14ac:dyDescent="0.3">
      <c r="A24" s="30" t="s">
        <v>12</v>
      </c>
      <c r="B24" s="26" t="s">
        <v>56</v>
      </c>
      <c r="C24" s="26" t="s">
        <v>107</v>
      </c>
      <c r="D24" s="195"/>
      <c r="E24" s="195"/>
      <c r="F24" s="195"/>
      <c r="G24" s="195">
        <v>0</v>
      </c>
      <c r="H24" s="96">
        <v>0</v>
      </c>
      <c r="I24" s="96">
        <v>0</v>
      </c>
      <c r="J24" s="96">
        <v>0</v>
      </c>
      <c r="K24" s="96">
        <v>0</v>
      </c>
    </row>
    <row r="25" spans="1:11" ht="15.6" x14ac:dyDescent="0.3">
      <c r="A25" s="30" t="s">
        <v>13</v>
      </c>
      <c r="B25" s="26" t="s">
        <v>56</v>
      </c>
      <c r="C25" s="26" t="s">
        <v>107</v>
      </c>
      <c r="D25" s="195"/>
      <c r="E25" s="195">
        <v>11825</v>
      </c>
      <c r="F25" s="195"/>
      <c r="G25" s="195">
        <v>0</v>
      </c>
      <c r="H25" s="96">
        <v>0</v>
      </c>
      <c r="I25" s="96">
        <v>10550.32532</v>
      </c>
      <c r="J25" s="96">
        <v>0</v>
      </c>
      <c r="K25" s="96">
        <v>0</v>
      </c>
    </row>
    <row r="26" spans="1:11" ht="15.6" x14ac:dyDescent="0.3">
      <c r="A26" s="26" t="s">
        <v>14</v>
      </c>
      <c r="B26" s="26" t="s">
        <v>55</v>
      </c>
      <c r="C26" s="26" t="s">
        <v>107</v>
      </c>
      <c r="D26" s="195"/>
      <c r="E26" s="195"/>
      <c r="F26" s="195"/>
      <c r="G26" s="195">
        <v>0</v>
      </c>
      <c r="H26" s="96">
        <v>0</v>
      </c>
      <c r="I26" s="96">
        <v>0</v>
      </c>
      <c r="J26" s="96">
        <v>0</v>
      </c>
      <c r="K26" s="96">
        <v>0</v>
      </c>
    </row>
    <row r="27" spans="1:11" ht="15.6" x14ac:dyDescent="0.3">
      <c r="A27" s="30" t="s">
        <v>15</v>
      </c>
      <c r="B27" s="26" t="s">
        <v>56</v>
      </c>
      <c r="C27" s="26" t="s">
        <v>107</v>
      </c>
      <c r="D27" s="195"/>
      <c r="E27" s="195">
        <v>17575</v>
      </c>
      <c r="F27" s="195">
        <v>88457</v>
      </c>
      <c r="G27" s="195">
        <v>0</v>
      </c>
      <c r="H27" s="96">
        <v>0</v>
      </c>
      <c r="I27" s="96">
        <v>9540.2326959999991</v>
      </c>
      <c r="J27" s="96">
        <v>0</v>
      </c>
      <c r="K27" s="96">
        <v>0</v>
      </c>
    </row>
    <row r="28" spans="1:11" ht="15.6" x14ac:dyDescent="0.3">
      <c r="A28" s="30" t="s">
        <v>17</v>
      </c>
      <c r="B28" s="26" t="s">
        <v>56</v>
      </c>
      <c r="C28" s="26" t="s">
        <v>107</v>
      </c>
      <c r="D28" s="195"/>
      <c r="E28" s="195"/>
      <c r="F28" s="195"/>
      <c r="G28" s="195">
        <v>0</v>
      </c>
      <c r="H28" s="96">
        <v>169444.264776</v>
      </c>
      <c r="I28" s="96">
        <v>10319.602472000002</v>
      </c>
      <c r="J28" s="96">
        <v>9119.1200239999998</v>
      </c>
      <c r="K28" s="96">
        <v>350347.90457600006</v>
      </c>
    </row>
    <row r="29" spans="1:11" ht="15.6" x14ac:dyDescent="0.3">
      <c r="A29" s="30" t="s">
        <v>18</v>
      </c>
      <c r="B29" s="26" t="s">
        <v>56</v>
      </c>
      <c r="C29" s="26" t="s">
        <v>107</v>
      </c>
      <c r="D29" s="195"/>
      <c r="E29" s="195">
        <v>45127</v>
      </c>
      <c r="F29" s="195"/>
      <c r="G29" s="195">
        <v>0</v>
      </c>
      <c r="H29" s="96">
        <v>0</v>
      </c>
      <c r="I29" s="96">
        <v>29203.325168000003</v>
      </c>
      <c r="J29" s="96">
        <v>2419.785104</v>
      </c>
      <c r="K29" s="96">
        <v>0</v>
      </c>
    </row>
    <row r="30" spans="1:11" ht="15.6" x14ac:dyDescent="0.3">
      <c r="A30" s="26" t="s">
        <v>19</v>
      </c>
      <c r="B30" s="26" t="s">
        <v>56</v>
      </c>
      <c r="C30" s="26" t="s">
        <v>107</v>
      </c>
      <c r="D30" s="195"/>
      <c r="E30" s="195">
        <v>14320</v>
      </c>
      <c r="F30" s="195">
        <v>20313</v>
      </c>
      <c r="G30" s="195">
        <v>3108</v>
      </c>
      <c r="H30" s="96">
        <v>0</v>
      </c>
      <c r="I30" s="96">
        <v>17683.618896</v>
      </c>
      <c r="J30" s="96">
        <v>0</v>
      </c>
      <c r="K30" s="96">
        <v>0</v>
      </c>
    </row>
    <row r="31" spans="1:11" ht="15.6" x14ac:dyDescent="0.3">
      <c r="A31" s="26" t="s">
        <v>20</v>
      </c>
      <c r="B31" s="26" t="s">
        <v>56</v>
      </c>
      <c r="C31" s="26" t="s">
        <v>107</v>
      </c>
      <c r="D31" s="195">
        <v>339945</v>
      </c>
      <c r="E31" s="195">
        <v>35967</v>
      </c>
      <c r="F31" s="195">
        <v>926812</v>
      </c>
      <c r="G31" s="195">
        <v>1071497</v>
      </c>
      <c r="H31" s="96">
        <v>553925.18295199994</v>
      </c>
      <c r="I31" s="96">
        <v>28945.507952</v>
      </c>
      <c r="J31" s="96">
        <v>1372890.2083599998</v>
      </c>
      <c r="K31" s="96">
        <v>1527476.8445040002</v>
      </c>
    </row>
    <row r="32" spans="1:11" ht="15.6" x14ac:dyDescent="0.3">
      <c r="A32" s="26" t="s">
        <v>21</v>
      </c>
      <c r="B32" s="26" t="s">
        <v>56</v>
      </c>
      <c r="C32" s="26" t="s">
        <v>107</v>
      </c>
      <c r="D32" s="195"/>
      <c r="E32" s="195"/>
      <c r="F32" s="195"/>
      <c r="G32" s="195">
        <v>0</v>
      </c>
      <c r="H32" s="96">
        <v>0</v>
      </c>
      <c r="I32" s="96">
        <v>0</v>
      </c>
      <c r="J32" s="96">
        <v>0</v>
      </c>
      <c r="K32" s="96">
        <v>0</v>
      </c>
    </row>
    <row r="33" spans="1:12" ht="15.6" x14ac:dyDescent="0.3">
      <c r="A33" s="26" t="s">
        <v>22</v>
      </c>
      <c r="B33" s="26" t="s">
        <v>56</v>
      </c>
      <c r="C33" s="26" t="s">
        <v>107</v>
      </c>
      <c r="D33" s="195"/>
      <c r="E33" s="195"/>
      <c r="F33" s="195"/>
      <c r="G33" s="195">
        <v>0</v>
      </c>
      <c r="H33" s="96">
        <v>0</v>
      </c>
      <c r="I33" s="96">
        <v>0</v>
      </c>
      <c r="J33" s="96">
        <v>0</v>
      </c>
      <c r="K33" s="96">
        <v>0</v>
      </c>
    </row>
    <row r="34" spans="1:12" ht="15.6" x14ac:dyDescent="0.3">
      <c r="A34" s="26" t="s">
        <v>23</v>
      </c>
      <c r="B34" s="26" t="s">
        <v>56</v>
      </c>
      <c r="C34" s="26" t="s">
        <v>107</v>
      </c>
      <c r="D34" s="195"/>
      <c r="E34" s="195"/>
      <c r="F34" s="195"/>
      <c r="G34" s="195">
        <v>0</v>
      </c>
      <c r="H34" s="96">
        <v>0</v>
      </c>
      <c r="I34" s="96">
        <v>0</v>
      </c>
      <c r="J34" s="96">
        <v>0</v>
      </c>
      <c r="K34" s="96">
        <v>0</v>
      </c>
    </row>
    <row r="35" spans="1:12" ht="15.6" x14ac:dyDescent="0.3">
      <c r="A35" s="26" t="s">
        <v>24</v>
      </c>
      <c r="B35" s="26" t="s">
        <v>56</v>
      </c>
      <c r="C35" s="26" t="s">
        <v>107</v>
      </c>
      <c r="D35" s="195"/>
      <c r="E35" s="195">
        <v>3619</v>
      </c>
      <c r="F35" s="195"/>
      <c r="G35" s="195">
        <v>0</v>
      </c>
      <c r="H35" s="96">
        <v>0</v>
      </c>
      <c r="I35" s="96">
        <v>0</v>
      </c>
      <c r="J35" s="96">
        <v>0</v>
      </c>
      <c r="K35" s="96">
        <v>0</v>
      </c>
    </row>
    <row r="36" spans="1:12" ht="15.6" x14ac:dyDescent="0.3">
      <c r="A36" s="30" t="s">
        <v>25</v>
      </c>
      <c r="B36" s="26" t="s">
        <v>56</v>
      </c>
      <c r="C36" s="26" t="s">
        <v>107</v>
      </c>
      <c r="D36" s="195"/>
      <c r="E36" s="195"/>
      <c r="F36" s="195"/>
      <c r="G36" s="195">
        <v>0</v>
      </c>
      <c r="H36" s="96">
        <v>0</v>
      </c>
      <c r="I36" s="96">
        <v>0</v>
      </c>
      <c r="J36" s="96">
        <v>0</v>
      </c>
      <c r="K36" s="96">
        <v>0</v>
      </c>
    </row>
    <row r="37" spans="1:12" ht="15.6" x14ac:dyDescent="0.3">
      <c r="A37" s="26" t="s">
        <v>26</v>
      </c>
      <c r="B37" s="26" t="s">
        <v>56</v>
      </c>
      <c r="C37" s="26" t="s">
        <v>107</v>
      </c>
      <c r="D37" s="195"/>
      <c r="E37" s="195"/>
      <c r="F37" s="195"/>
      <c r="G37" s="195">
        <v>0</v>
      </c>
      <c r="H37" s="96">
        <v>0</v>
      </c>
      <c r="I37" s="96">
        <v>0</v>
      </c>
      <c r="J37" s="96">
        <v>0</v>
      </c>
      <c r="K37" s="96">
        <v>0</v>
      </c>
    </row>
    <row r="38" spans="1:12" ht="15.6" x14ac:dyDescent="0.3">
      <c r="A38" s="26" t="s">
        <v>27</v>
      </c>
      <c r="B38" s="26" t="s">
        <v>56</v>
      </c>
      <c r="C38" s="26" t="s">
        <v>107</v>
      </c>
      <c r="D38" s="195"/>
      <c r="E38" s="195"/>
      <c r="F38" s="195"/>
      <c r="G38" s="195">
        <v>0</v>
      </c>
      <c r="H38" s="96">
        <v>36063.375128</v>
      </c>
      <c r="I38" s="96">
        <v>0</v>
      </c>
      <c r="J38" s="96">
        <v>0</v>
      </c>
      <c r="K38" s="96">
        <v>4009.8262239999999</v>
      </c>
    </row>
    <row r="39" spans="1:12" ht="15.6" x14ac:dyDescent="0.3">
      <c r="A39" s="26" t="s">
        <v>28</v>
      </c>
      <c r="B39" s="26" t="s">
        <v>56</v>
      </c>
      <c r="C39" s="26" t="s">
        <v>107</v>
      </c>
      <c r="D39" s="195"/>
      <c r="E39" s="195"/>
      <c r="F39" s="195"/>
      <c r="G39" s="195">
        <v>0</v>
      </c>
      <c r="H39" s="96">
        <v>0</v>
      </c>
      <c r="I39" s="96">
        <v>0</v>
      </c>
      <c r="J39" s="96">
        <v>0</v>
      </c>
      <c r="K39" s="96">
        <v>0</v>
      </c>
    </row>
    <row r="40" spans="1:12" ht="15.6" x14ac:dyDescent="0.3">
      <c r="A40" s="26" t="s">
        <v>29</v>
      </c>
      <c r="B40" s="26" t="s">
        <v>56</v>
      </c>
      <c r="C40" s="26" t="s">
        <v>107</v>
      </c>
      <c r="D40" s="195"/>
      <c r="E40" s="195"/>
      <c r="F40" s="195"/>
      <c r="G40" s="195">
        <v>0</v>
      </c>
      <c r="H40" s="96">
        <v>0</v>
      </c>
      <c r="I40" s="96">
        <v>0</v>
      </c>
      <c r="J40" s="96">
        <v>0</v>
      </c>
      <c r="K40" s="96">
        <v>0</v>
      </c>
    </row>
    <row r="41" spans="1:12" ht="15.6" x14ac:dyDescent="0.3">
      <c r="A41" s="26" t="s">
        <v>98</v>
      </c>
      <c r="B41" s="26" t="s">
        <v>55</v>
      </c>
      <c r="C41" s="26" t="s">
        <v>107</v>
      </c>
      <c r="D41" s="195"/>
      <c r="E41" s="195"/>
      <c r="F41" s="195"/>
      <c r="G41" s="195">
        <v>0</v>
      </c>
      <c r="H41" s="96">
        <v>0</v>
      </c>
      <c r="I41" s="96">
        <v>0</v>
      </c>
      <c r="J41" s="96">
        <v>0</v>
      </c>
      <c r="K41" s="96">
        <v>0</v>
      </c>
    </row>
    <row r="42" spans="1:12" ht="15.6" x14ac:dyDescent="0.3">
      <c r="A42" s="26" t="s">
        <v>32</v>
      </c>
      <c r="B42" s="26" t="s">
        <v>55</v>
      </c>
      <c r="C42" s="26" t="s">
        <v>107</v>
      </c>
      <c r="D42" s="195"/>
      <c r="E42" s="195"/>
      <c r="F42" s="195"/>
      <c r="G42" s="195">
        <v>0</v>
      </c>
      <c r="H42" s="96">
        <v>0</v>
      </c>
      <c r="I42" s="96">
        <v>0</v>
      </c>
      <c r="J42" s="96">
        <v>0</v>
      </c>
      <c r="K42" s="96">
        <v>0</v>
      </c>
    </row>
    <row r="43" spans="1:12" ht="15.6" x14ac:dyDescent="0.3">
      <c r="A43" s="30" t="s">
        <v>95</v>
      </c>
      <c r="B43" s="26" t="s">
        <v>56</v>
      </c>
      <c r="C43" s="26" t="s">
        <v>107</v>
      </c>
      <c r="D43" s="195"/>
      <c r="E43" s="195"/>
      <c r="F43" s="195"/>
      <c r="G43" s="195">
        <v>0</v>
      </c>
      <c r="H43" s="96">
        <v>79980.835359999997</v>
      </c>
      <c r="I43" s="96">
        <v>14376.577384</v>
      </c>
      <c r="J43" s="96">
        <v>301557.27263200004</v>
      </c>
      <c r="K43" s="96">
        <v>99721.466528000004</v>
      </c>
    </row>
    <row r="44" spans="1:12" ht="15.6" x14ac:dyDescent="0.3">
      <c r="A44" s="26" t="s">
        <v>83</v>
      </c>
      <c r="B44" s="26" t="s">
        <v>56</v>
      </c>
      <c r="C44" s="26" t="s">
        <v>107</v>
      </c>
      <c r="D44" s="195"/>
      <c r="E44" s="195"/>
      <c r="F44" s="195"/>
      <c r="G44" s="195">
        <v>0</v>
      </c>
      <c r="H44" s="96">
        <v>144748.40747200002</v>
      </c>
      <c r="I44" s="96">
        <v>22157.709640000001</v>
      </c>
      <c r="J44" s="96">
        <v>0</v>
      </c>
      <c r="K44" s="96">
        <v>82446.535039999988</v>
      </c>
    </row>
    <row r="45" spans="1:12" ht="15.6" x14ac:dyDescent="0.3">
      <c r="A45" s="26" t="s">
        <v>82</v>
      </c>
      <c r="B45" s="26" t="s">
        <v>56</v>
      </c>
      <c r="C45" s="26" t="s">
        <v>107</v>
      </c>
      <c r="D45" s="195"/>
      <c r="E45" s="195"/>
      <c r="F45" s="195"/>
      <c r="G45" s="195">
        <v>0</v>
      </c>
      <c r="H45" s="96">
        <v>0</v>
      </c>
      <c r="I45" s="96">
        <v>0</v>
      </c>
      <c r="J45" s="96">
        <v>0</v>
      </c>
      <c r="K45" s="96">
        <v>0</v>
      </c>
    </row>
    <row r="46" spans="1:12" ht="15.6" x14ac:dyDescent="0.3">
      <c r="A46" s="26" t="s">
        <v>36</v>
      </c>
      <c r="B46" s="26" t="s">
        <v>55</v>
      </c>
      <c r="C46" s="26" t="s">
        <v>107</v>
      </c>
      <c r="D46" s="195"/>
      <c r="E46" s="195"/>
      <c r="F46" s="195"/>
      <c r="G46" s="195">
        <v>0</v>
      </c>
      <c r="H46" s="96">
        <v>0</v>
      </c>
      <c r="I46" s="96">
        <v>0</v>
      </c>
      <c r="J46" s="96">
        <v>0</v>
      </c>
      <c r="K46" s="96">
        <v>0</v>
      </c>
    </row>
    <row r="47" spans="1:12" ht="15.6" x14ac:dyDescent="0.3">
      <c r="A47" s="26" t="s">
        <v>94</v>
      </c>
      <c r="B47" s="26" t="s">
        <v>55</v>
      </c>
      <c r="C47" s="26" t="s">
        <v>107</v>
      </c>
      <c r="D47" s="195"/>
      <c r="E47" s="195"/>
      <c r="F47" s="195"/>
      <c r="G47" s="195">
        <v>0</v>
      </c>
      <c r="H47" s="96">
        <v>0</v>
      </c>
      <c r="I47" s="96">
        <v>0</v>
      </c>
      <c r="J47" s="96">
        <v>0</v>
      </c>
      <c r="K47" s="96">
        <v>0</v>
      </c>
      <c r="L47" s="138"/>
    </row>
    <row r="48" spans="1:12" ht="15.6" x14ac:dyDescent="0.3">
      <c r="A48" s="26" t="s">
        <v>85</v>
      </c>
      <c r="B48" s="26" t="s">
        <v>56</v>
      </c>
      <c r="C48" s="26" t="s">
        <v>107</v>
      </c>
      <c r="D48" s="195"/>
      <c r="E48" s="195"/>
      <c r="F48" s="195"/>
      <c r="G48" s="195">
        <v>0</v>
      </c>
      <c r="H48" s="96">
        <v>0</v>
      </c>
      <c r="I48" s="96">
        <v>0</v>
      </c>
      <c r="J48" s="96">
        <v>0</v>
      </c>
      <c r="K48" s="96">
        <v>0</v>
      </c>
    </row>
    <row r="49" spans="1:13" ht="15.6" x14ac:dyDescent="0.3">
      <c r="A49" s="26" t="s">
        <v>87</v>
      </c>
      <c r="B49" s="26" t="s">
        <v>56</v>
      </c>
      <c r="C49" s="26" t="s">
        <v>107</v>
      </c>
      <c r="D49" s="195"/>
      <c r="E49" s="195"/>
      <c r="F49" s="195"/>
      <c r="G49" s="195">
        <v>0</v>
      </c>
      <c r="H49" s="96">
        <v>0</v>
      </c>
      <c r="I49" s="96">
        <v>0</v>
      </c>
      <c r="J49" s="96">
        <v>0</v>
      </c>
      <c r="K49" s="96">
        <v>0</v>
      </c>
    </row>
    <row r="50" spans="1:13" ht="15.6" x14ac:dyDescent="0.3">
      <c r="A50" s="26" t="s">
        <v>97</v>
      </c>
      <c r="B50" s="26" t="s">
        <v>56</v>
      </c>
      <c r="C50" s="26" t="s">
        <v>107</v>
      </c>
      <c r="D50" s="195"/>
      <c r="E50" s="195"/>
      <c r="F50" s="195"/>
      <c r="G50" s="195">
        <v>0</v>
      </c>
      <c r="H50" s="96">
        <v>0</v>
      </c>
      <c r="I50" s="96">
        <v>0</v>
      </c>
      <c r="J50" s="96">
        <v>0</v>
      </c>
      <c r="K50" s="96">
        <v>0</v>
      </c>
    </row>
    <row r="51" spans="1:13" ht="15.6" x14ac:dyDescent="0.3">
      <c r="A51" s="26" t="s">
        <v>39</v>
      </c>
      <c r="B51" s="26" t="s">
        <v>56</v>
      </c>
      <c r="C51" s="26" t="s">
        <v>107</v>
      </c>
      <c r="D51" s="195"/>
      <c r="E51" s="195"/>
      <c r="F51" s="195"/>
      <c r="G51" s="195">
        <v>0</v>
      </c>
      <c r="H51" s="96">
        <v>0</v>
      </c>
      <c r="I51" s="96">
        <v>0</v>
      </c>
      <c r="J51" s="96">
        <v>0</v>
      </c>
      <c r="K51" s="96">
        <v>0</v>
      </c>
    </row>
    <row r="52" spans="1:13" ht="15.6" x14ac:dyDescent="0.3">
      <c r="A52" s="26" t="s">
        <v>91</v>
      </c>
      <c r="B52" s="26" t="s">
        <v>56</v>
      </c>
      <c r="C52" s="26" t="s">
        <v>107</v>
      </c>
      <c r="D52" s="195">
        <v>29310</v>
      </c>
      <c r="E52" s="195">
        <v>5699</v>
      </c>
      <c r="F52" s="195">
        <v>38079</v>
      </c>
      <c r="G52" s="195">
        <v>81351</v>
      </c>
      <c r="H52" s="96">
        <v>40712.261008000001</v>
      </c>
      <c r="I52" s="96">
        <v>0</v>
      </c>
      <c r="J52" s="96">
        <v>72380.037719999993</v>
      </c>
      <c r="K52" s="96">
        <v>151482.84446399999</v>
      </c>
    </row>
    <row r="53" spans="1:13" ht="15.6" x14ac:dyDescent="0.3">
      <c r="A53" s="26" t="s">
        <v>41</v>
      </c>
      <c r="B53" s="26" t="s">
        <v>56</v>
      </c>
      <c r="C53" s="26" t="s">
        <v>107</v>
      </c>
      <c r="D53" s="195">
        <v>12130</v>
      </c>
      <c r="E53" s="195"/>
      <c r="F53" s="195"/>
      <c r="G53" s="195"/>
      <c r="H53" s="96">
        <v>0</v>
      </c>
      <c r="I53" s="96">
        <v>0</v>
      </c>
      <c r="J53" s="96">
        <v>0</v>
      </c>
      <c r="K53" s="96">
        <v>0</v>
      </c>
    </row>
    <row r="54" spans="1:13" ht="15.6" x14ac:dyDescent="0.3">
      <c r="A54" s="26" t="s">
        <v>129</v>
      </c>
      <c r="B54" s="26" t="s">
        <v>108</v>
      </c>
      <c r="C54" s="27" t="s">
        <v>107</v>
      </c>
      <c r="D54" s="196"/>
      <c r="E54" s="196"/>
      <c r="F54" s="196"/>
      <c r="G54" s="195"/>
      <c r="H54" s="96"/>
      <c r="I54" s="96"/>
      <c r="J54" s="96"/>
      <c r="K54" s="96"/>
    </row>
    <row r="55" spans="1:13" ht="16.2" thickBot="1" x14ac:dyDescent="0.35">
      <c r="A55" s="28" t="s">
        <v>88</v>
      </c>
      <c r="B55" s="28" t="s">
        <v>56</v>
      </c>
      <c r="C55" s="28" t="s">
        <v>107</v>
      </c>
      <c r="D55" s="196"/>
      <c r="E55" s="196">
        <v>1503</v>
      </c>
      <c r="F55" s="196"/>
      <c r="G55" s="195">
        <v>-2038</v>
      </c>
      <c r="H55" s="96">
        <v>0</v>
      </c>
      <c r="I55" s="96">
        <v>0</v>
      </c>
      <c r="J55" s="96">
        <v>406.42954400000002</v>
      </c>
      <c r="K55" s="96">
        <v>4794.6513359999999</v>
      </c>
    </row>
    <row r="56" spans="1:13" ht="21.6" thickBot="1" x14ac:dyDescent="0.45">
      <c r="A56" s="123" t="s">
        <v>115</v>
      </c>
      <c r="B56" s="121"/>
      <c r="C56" s="121"/>
      <c r="D56" s="174">
        <f>SUM(D23:D55)</f>
        <v>906617</v>
      </c>
      <c r="E56" s="174">
        <f t="shared" ref="E56:G56" si="4">SUM(E23:E55)</f>
        <v>176254</v>
      </c>
      <c r="F56" s="174">
        <f t="shared" si="4"/>
        <v>1325388</v>
      </c>
      <c r="G56" s="174">
        <f t="shared" si="4"/>
        <v>1898783</v>
      </c>
      <c r="H56" s="174">
        <f>SUM(H23:H55)</f>
        <v>1598372.932664</v>
      </c>
      <c r="I56" s="174">
        <f t="shared" ref="I56:K56" si="5">SUM(I23:I55)</f>
        <v>219006.83377600001</v>
      </c>
      <c r="J56" s="174">
        <f t="shared" si="5"/>
        <v>2552614.2053439994</v>
      </c>
      <c r="K56" s="174">
        <f t="shared" si="5"/>
        <v>4113110.0670080003</v>
      </c>
    </row>
    <row r="57" spans="1:13" ht="15.6" x14ac:dyDescent="0.3">
      <c r="A57" s="30" t="s">
        <v>33</v>
      </c>
      <c r="B57" s="26" t="s">
        <v>114</v>
      </c>
      <c r="C57" s="26" t="s">
        <v>107</v>
      </c>
      <c r="D57" s="14"/>
      <c r="E57" s="14"/>
      <c r="F57" s="14"/>
      <c r="G57" s="195">
        <v>0</v>
      </c>
      <c r="H57" s="96">
        <v>0</v>
      </c>
      <c r="I57" s="96">
        <v>0</v>
      </c>
      <c r="J57" s="96">
        <v>0</v>
      </c>
      <c r="K57" s="96">
        <v>0</v>
      </c>
    </row>
    <row r="58" spans="1:13" ht="15.6" x14ac:dyDescent="0.3">
      <c r="A58" s="26" t="s">
        <v>84</v>
      </c>
      <c r="B58" s="26" t="s">
        <v>114</v>
      </c>
      <c r="C58" s="26" t="s">
        <v>107</v>
      </c>
      <c r="D58" s="14">
        <v>3841</v>
      </c>
      <c r="E58" s="14">
        <v>2004</v>
      </c>
      <c r="F58" s="14">
        <v>47832</v>
      </c>
      <c r="G58" s="195">
        <v>0</v>
      </c>
      <c r="H58" s="96">
        <v>0</v>
      </c>
      <c r="I58" s="96">
        <v>1305.49416</v>
      </c>
      <c r="J58" s="96">
        <v>10523.525455999999</v>
      </c>
      <c r="K58" s="96">
        <v>0</v>
      </c>
    </row>
    <row r="59" spans="1:13" ht="15.6" x14ac:dyDescent="0.3">
      <c r="A59" s="26" t="s">
        <v>37</v>
      </c>
      <c r="B59" s="26" t="s">
        <v>114</v>
      </c>
      <c r="C59" s="26" t="s">
        <v>107</v>
      </c>
      <c r="D59" s="14"/>
      <c r="E59" s="14"/>
      <c r="F59" s="14"/>
      <c r="G59" s="195">
        <v>0</v>
      </c>
      <c r="H59" s="96">
        <v>170130.80969600001</v>
      </c>
      <c r="I59" s="96">
        <v>0</v>
      </c>
      <c r="J59" s="96">
        <v>1584.5437119999999</v>
      </c>
      <c r="K59" s="96">
        <v>62334.688591999999</v>
      </c>
      <c r="M59" s="133"/>
    </row>
    <row r="60" spans="1:13" ht="15.6" x14ac:dyDescent="0.3">
      <c r="A60" s="26" t="s">
        <v>35</v>
      </c>
      <c r="B60" s="26" t="s">
        <v>114</v>
      </c>
      <c r="C60" s="26" t="s">
        <v>107</v>
      </c>
      <c r="D60" s="14"/>
      <c r="E60" s="14"/>
      <c r="F60" s="14"/>
      <c r="G60" s="195">
        <v>0</v>
      </c>
      <c r="H60" s="96">
        <v>0</v>
      </c>
      <c r="I60" s="96">
        <v>0</v>
      </c>
      <c r="J60" s="96">
        <v>0</v>
      </c>
      <c r="K60" s="96">
        <v>0</v>
      </c>
      <c r="M60" s="133"/>
    </row>
    <row r="61" spans="1:13" ht="15.6" x14ac:dyDescent="0.3">
      <c r="A61" s="27" t="s">
        <v>86</v>
      </c>
      <c r="B61" s="27" t="s">
        <v>114</v>
      </c>
      <c r="C61" s="27" t="s">
        <v>107</v>
      </c>
      <c r="D61" s="14"/>
      <c r="E61" s="14"/>
      <c r="F61" s="14"/>
      <c r="G61" s="195">
        <v>0</v>
      </c>
      <c r="H61" s="96">
        <v>0</v>
      </c>
      <c r="I61" s="96">
        <v>24513.040440000001</v>
      </c>
      <c r="J61" s="96">
        <v>0</v>
      </c>
      <c r="K61" s="96">
        <v>5181.2369199999994</v>
      </c>
      <c r="M61" s="133"/>
    </row>
    <row r="62" spans="1:13" ht="15.6" x14ac:dyDescent="0.3">
      <c r="A62" s="30" t="s">
        <v>16</v>
      </c>
      <c r="B62" s="26" t="s">
        <v>114</v>
      </c>
      <c r="C62" s="26" t="s">
        <v>107</v>
      </c>
      <c r="D62" s="14"/>
      <c r="E62" s="14"/>
      <c r="F62" s="14"/>
      <c r="G62" s="195">
        <v>0</v>
      </c>
      <c r="H62" s="96">
        <v>0</v>
      </c>
      <c r="I62" s="96">
        <v>0</v>
      </c>
      <c r="J62" s="96">
        <v>0</v>
      </c>
      <c r="K62" s="96">
        <v>0</v>
      </c>
    </row>
    <row r="63" spans="1:13" ht="15.6" x14ac:dyDescent="0.3">
      <c r="A63" s="194" t="s">
        <v>128</v>
      </c>
      <c r="B63" s="26" t="s">
        <v>114</v>
      </c>
      <c r="C63" s="27" t="s">
        <v>107</v>
      </c>
      <c r="D63" s="14"/>
      <c r="E63" s="14"/>
      <c r="F63" s="14"/>
      <c r="G63" s="195">
        <v>0</v>
      </c>
      <c r="H63" s="96"/>
      <c r="I63" s="96"/>
      <c r="J63" s="96"/>
      <c r="K63" s="96"/>
    </row>
    <row r="64" spans="1:13" ht="15.6" x14ac:dyDescent="0.3">
      <c r="A64" s="199" t="s">
        <v>131</v>
      </c>
      <c r="B64" s="26" t="s">
        <v>114</v>
      </c>
      <c r="C64" s="27" t="s">
        <v>107</v>
      </c>
      <c r="D64" s="15"/>
      <c r="E64" s="15"/>
      <c r="F64" s="15"/>
      <c r="G64" s="195">
        <v>0</v>
      </c>
      <c r="H64" s="96"/>
      <c r="I64" s="96"/>
      <c r="J64" s="96"/>
      <c r="K64" s="96"/>
    </row>
    <row r="65" spans="1:12" ht="16.2" thickBot="1" x14ac:dyDescent="0.35">
      <c r="A65" s="117" t="s">
        <v>99</v>
      </c>
      <c r="B65" s="26" t="s">
        <v>114</v>
      </c>
      <c r="C65" s="26" t="s">
        <v>107</v>
      </c>
      <c r="D65" s="196"/>
      <c r="E65" s="196"/>
      <c r="F65" s="196"/>
      <c r="G65" s="195">
        <v>0</v>
      </c>
      <c r="H65" s="96"/>
      <c r="I65" s="96"/>
      <c r="J65" s="96"/>
      <c r="K65" s="96"/>
    </row>
    <row r="66" spans="1:12" ht="21.6" thickBot="1" x14ac:dyDescent="0.45">
      <c r="A66" s="123" t="s">
        <v>116</v>
      </c>
      <c r="B66" s="121"/>
      <c r="C66" s="121"/>
      <c r="D66" s="174">
        <f>SUM(D57:D65)</f>
        <v>3841</v>
      </c>
      <c r="E66" s="174">
        <f>SUM(E57:E65)</f>
        <v>2004</v>
      </c>
      <c r="F66" s="174">
        <f>SUM(F57:F65)</f>
        <v>47832</v>
      </c>
      <c r="G66" s="174">
        <f>SUM(G57:G65)</f>
        <v>0</v>
      </c>
      <c r="H66" s="174">
        <f>SUM(H57:H65)</f>
        <v>170130.80969600001</v>
      </c>
      <c r="I66" s="174">
        <f t="shared" ref="I66:K66" si="6">SUM(I57:I65)</f>
        <v>25818.534599999999</v>
      </c>
      <c r="J66" s="174">
        <f t="shared" si="6"/>
        <v>12108.069168</v>
      </c>
      <c r="K66" s="174">
        <f t="shared" si="6"/>
        <v>67515.925512000002</v>
      </c>
    </row>
    <row r="67" spans="1:12" ht="15.6" x14ac:dyDescent="0.3">
      <c r="A67" s="27" t="s">
        <v>77</v>
      </c>
      <c r="B67" s="26" t="s">
        <v>108</v>
      </c>
      <c r="C67" s="27" t="s">
        <v>102</v>
      </c>
      <c r="D67" s="197">
        <v>9990</v>
      </c>
      <c r="E67" s="197">
        <v>0</v>
      </c>
      <c r="F67" s="197"/>
      <c r="G67" s="195">
        <v>992</v>
      </c>
      <c r="H67" s="96">
        <v>0</v>
      </c>
      <c r="I67" s="96">
        <v>0</v>
      </c>
      <c r="J67" s="96">
        <v>1788498.7408399996</v>
      </c>
      <c r="K67" s="96">
        <v>57523.222479999997</v>
      </c>
    </row>
    <row r="68" spans="1:12" ht="15.6" x14ac:dyDescent="0.3">
      <c r="A68" s="30" t="s">
        <v>40</v>
      </c>
      <c r="B68" s="26" t="s">
        <v>56</v>
      </c>
      <c r="C68" s="26" t="s">
        <v>103</v>
      </c>
      <c r="D68" s="195">
        <v>214704</v>
      </c>
      <c r="E68" s="195">
        <v>98812</v>
      </c>
      <c r="F68" s="195">
        <v>296054</v>
      </c>
      <c r="G68" s="195">
        <v>-90726</v>
      </c>
      <c r="H68" s="96">
        <v>350242.85079199995</v>
      </c>
      <c r="I68" s="96">
        <v>279645.28981599997</v>
      </c>
      <c r="J68" s="96">
        <v>1490658.5714799999</v>
      </c>
      <c r="K68" s="96">
        <v>1143588.9451920001</v>
      </c>
    </row>
    <row r="69" spans="1:12" ht="15.6" x14ac:dyDescent="0.3">
      <c r="A69" s="26" t="s">
        <v>90</v>
      </c>
      <c r="B69" s="26" t="s">
        <v>108</v>
      </c>
      <c r="C69" s="26" t="s">
        <v>103</v>
      </c>
      <c r="D69" s="195"/>
      <c r="E69" s="195"/>
      <c r="F69" s="195"/>
      <c r="G69" s="195">
        <v>0</v>
      </c>
      <c r="H69" s="96">
        <v>0</v>
      </c>
      <c r="I69" s="96">
        <v>3565.6019999999999</v>
      </c>
      <c r="J69" s="96">
        <v>0</v>
      </c>
      <c r="K69" s="96">
        <v>0</v>
      </c>
    </row>
    <row r="70" spans="1:12" ht="15.6" x14ac:dyDescent="0.3">
      <c r="A70" s="26" t="s">
        <v>92</v>
      </c>
      <c r="B70" s="26" t="s">
        <v>56</v>
      </c>
      <c r="C70" s="26" t="s">
        <v>103</v>
      </c>
      <c r="D70" s="195"/>
      <c r="E70" s="195"/>
      <c r="F70" s="195"/>
      <c r="G70" s="195">
        <v>0</v>
      </c>
      <c r="H70" s="96">
        <v>40067.886255999998</v>
      </c>
      <c r="I70" s="96">
        <v>1869.3431039999998</v>
      </c>
      <c r="J70" s="96">
        <v>9444.7152320000005</v>
      </c>
      <c r="K70" s="96">
        <v>0</v>
      </c>
    </row>
    <row r="71" spans="1:12" ht="15.6" x14ac:dyDescent="0.3">
      <c r="A71" s="26" t="s">
        <v>93</v>
      </c>
      <c r="B71" s="26" t="s">
        <v>56</v>
      </c>
      <c r="C71" s="26" t="s">
        <v>103</v>
      </c>
      <c r="D71" s="195"/>
      <c r="E71" s="195">
        <v>5296</v>
      </c>
      <c r="F71" s="195"/>
      <c r="G71" s="195"/>
      <c r="H71" s="96">
        <v>9617.8415119999991</v>
      </c>
      <c r="I71" s="96">
        <v>21988.538127999997</v>
      </c>
      <c r="J71" s="96">
        <v>0</v>
      </c>
      <c r="K71" s="96">
        <v>0</v>
      </c>
    </row>
    <row r="72" spans="1:12" ht="15.6" x14ac:dyDescent="0.3">
      <c r="A72" s="26" t="s">
        <v>100</v>
      </c>
      <c r="B72" s="26" t="s">
        <v>56</v>
      </c>
      <c r="C72" s="26" t="s">
        <v>103</v>
      </c>
      <c r="D72" s="195"/>
      <c r="E72" s="195">
        <v>3388</v>
      </c>
      <c r="F72" s="195">
        <v>27333</v>
      </c>
      <c r="G72" s="195">
        <v>0</v>
      </c>
      <c r="H72" s="96"/>
      <c r="I72" s="96">
        <v>1506.2056480000001</v>
      </c>
      <c r="J72" s="96">
        <v>148906.846024</v>
      </c>
      <c r="K72" s="96"/>
      <c r="L72" s="138"/>
    </row>
    <row r="73" spans="1:12" ht="15.6" x14ac:dyDescent="0.3">
      <c r="A73" s="118" t="s">
        <v>101</v>
      </c>
      <c r="B73" s="26" t="s">
        <v>56</v>
      </c>
      <c r="C73" s="26" t="s">
        <v>103</v>
      </c>
      <c r="D73" s="195">
        <v>0</v>
      </c>
      <c r="E73" s="195">
        <v>-6601</v>
      </c>
      <c r="F73" s="195">
        <v>55813</v>
      </c>
      <c r="G73" s="195">
        <v>-1291518</v>
      </c>
      <c r="H73" s="96"/>
      <c r="I73" s="96">
        <v>-2704.8369279999997</v>
      </c>
      <c r="J73" s="96">
        <v>16110.827296000003</v>
      </c>
      <c r="K73" s="96">
        <v>4421.5989120000004</v>
      </c>
    </row>
    <row r="74" spans="1:12" ht="15.6" x14ac:dyDescent="0.3">
      <c r="A74" s="26" t="s">
        <v>81</v>
      </c>
      <c r="B74" s="26" t="s">
        <v>56</v>
      </c>
      <c r="C74" s="26" t="s">
        <v>103</v>
      </c>
      <c r="D74" s="195"/>
      <c r="E74" s="195">
        <v>8605</v>
      </c>
      <c r="F74" s="195"/>
      <c r="G74" s="195"/>
      <c r="H74" s="96">
        <v>0</v>
      </c>
      <c r="I74" s="96">
        <v>0</v>
      </c>
      <c r="J74" s="96">
        <v>0</v>
      </c>
      <c r="K74" s="96">
        <v>0</v>
      </c>
    </row>
    <row r="75" spans="1:12" ht="21.6" thickBot="1" x14ac:dyDescent="0.3">
      <c r="A75" s="177" t="s">
        <v>44</v>
      </c>
      <c r="B75" s="178"/>
      <c r="C75" s="178"/>
      <c r="D75" s="179">
        <f>SUM(D67:D74)</f>
        <v>224694</v>
      </c>
      <c r="E75" s="179">
        <f t="shared" ref="E75:G75" si="7">SUM(E67:E74)</f>
        <v>109500</v>
      </c>
      <c r="F75" s="179">
        <f t="shared" si="7"/>
        <v>379200</v>
      </c>
      <c r="G75" s="179">
        <f t="shared" si="7"/>
        <v>-1381252</v>
      </c>
      <c r="H75" s="179">
        <f>SUM(H67:H74)</f>
        <v>399928.57855999999</v>
      </c>
      <c r="I75" s="179">
        <f t="shared" ref="I75:K75" si="8">SUM(I67:I74)</f>
        <v>305870.14176800003</v>
      </c>
      <c r="J75" s="179">
        <f t="shared" si="8"/>
        <v>3453619.7008719998</v>
      </c>
      <c r="K75" s="179">
        <f t="shared" si="8"/>
        <v>1205533.7665840001</v>
      </c>
    </row>
    <row r="76" spans="1:12" ht="21.6" thickBot="1" x14ac:dyDescent="0.3">
      <c r="A76" s="122" t="s">
        <v>45</v>
      </c>
      <c r="B76" s="121"/>
      <c r="C76" s="121"/>
      <c r="D76" s="131">
        <f>D75+D66+D56+D22+D8</f>
        <v>1258477</v>
      </c>
      <c r="E76" s="131">
        <f t="shared" ref="E76:G76" si="9">E75+E66+E56+E22+E8</f>
        <v>434795</v>
      </c>
      <c r="F76" s="131">
        <f t="shared" si="9"/>
        <v>2089048</v>
      </c>
      <c r="G76" s="131">
        <f t="shared" si="9"/>
        <v>845855</v>
      </c>
      <c r="H76" s="131">
        <f>H75+H66+H56+H22+H8</f>
        <v>2266762.3121440001</v>
      </c>
      <c r="I76" s="131">
        <f t="shared" ref="I76:K76" si="10">I75+I66+I56+I22+I8</f>
        <v>732504.70320400014</v>
      </c>
      <c r="J76" s="131">
        <f t="shared" si="10"/>
        <v>6427647.2202319987</v>
      </c>
      <c r="K76" s="131">
        <f t="shared" si="10"/>
        <v>5422590.492912001</v>
      </c>
    </row>
    <row r="77" spans="1:12" x14ac:dyDescent="0.3">
      <c r="H77" s="10"/>
      <c r="I77" s="10"/>
      <c r="J77" s="10"/>
    </row>
    <row r="78" spans="1:12" x14ac:dyDescent="0.3">
      <c r="D78" s="152"/>
      <c r="E78" s="152"/>
      <c r="F78" s="152"/>
      <c r="G78" s="152"/>
    </row>
    <row r="79" spans="1:12" x14ac:dyDescent="0.3">
      <c r="D79" s="6"/>
      <c r="E79" s="6"/>
      <c r="F79" s="6"/>
      <c r="G79" s="6"/>
    </row>
    <row r="80" spans="1:12" x14ac:dyDescent="0.3">
      <c r="D80" s="153"/>
      <c r="E80" s="153"/>
      <c r="F80" s="153"/>
      <c r="G80" s="153"/>
    </row>
    <row r="81" spans="4:7" x14ac:dyDescent="0.3">
      <c r="D81" s="153"/>
      <c r="E81" s="137"/>
      <c r="F81" s="137"/>
      <c r="G81" s="137"/>
    </row>
    <row r="82" spans="4:7" x14ac:dyDescent="0.3">
      <c r="D82" s="153"/>
      <c r="E82" s="153"/>
      <c r="F82" s="153"/>
      <c r="G82" s="153"/>
    </row>
  </sheetData>
  <mergeCells count="2">
    <mergeCell ref="D1:G1"/>
    <mergeCell ref="H1:K1"/>
  </mergeCells>
  <conditionalFormatting sqref="A1">
    <cfRule type="duplicateValues" dxfId="191" priority="19"/>
    <cfRule type="duplicateValues" dxfId="190" priority="20"/>
  </conditionalFormatting>
  <conditionalFormatting sqref="A14">
    <cfRule type="duplicateValues" dxfId="189" priority="9"/>
    <cfRule type="duplicateValues" dxfId="188" priority="10"/>
  </conditionalFormatting>
  <conditionalFormatting sqref="A20">
    <cfRule type="duplicateValues" dxfId="187" priority="1"/>
    <cfRule type="duplicateValues" dxfId="186" priority="2"/>
  </conditionalFormatting>
  <conditionalFormatting sqref="A41">
    <cfRule type="duplicateValues" dxfId="185" priority="5"/>
    <cfRule type="duplicateValues" dxfId="184" priority="6"/>
  </conditionalFormatting>
  <conditionalFormatting sqref="A54">
    <cfRule type="duplicateValues" dxfId="183" priority="3"/>
    <cfRule type="duplicateValues" dxfId="182" priority="4"/>
  </conditionalFormatting>
  <conditionalFormatting sqref="A57">
    <cfRule type="duplicateValues" dxfId="181" priority="11"/>
    <cfRule type="duplicateValues" dxfId="180" priority="12"/>
  </conditionalFormatting>
  <conditionalFormatting sqref="A58:A60 A7 A23:A40 A62 A42:A53 A55">
    <cfRule type="duplicateValues" dxfId="179" priority="17"/>
    <cfRule type="duplicateValues" dxfId="178" priority="18"/>
  </conditionalFormatting>
  <conditionalFormatting sqref="A61">
    <cfRule type="duplicateValues" dxfId="177" priority="7"/>
    <cfRule type="duplicateValues" dxfId="176" priority="8"/>
  </conditionalFormatting>
  <conditionalFormatting sqref="A67:A74">
    <cfRule type="duplicateValues" dxfId="175" priority="15"/>
    <cfRule type="duplicateValues" dxfId="174" priority="16"/>
  </conditionalFormatting>
  <conditionalFormatting sqref="A75:A76 A2:A6 A8:A13 A15:A19 A56 A66 A21:A22">
    <cfRule type="duplicateValues" dxfId="173" priority="13"/>
    <cfRule type="duplicateValues" dxfId="172" priority="14"/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FFD32-F11B-4794-BC1B-20DC7255B5B1}">
  <sheetPr>
    <tabColor rgb="FFFFC000"/>
  </sheetPr>
  <dimension ref="A1:M83"/>
  <sheetViews>
    <sheetView rightToLeft="1" zoomScaleNormal="100" workbookViewId="0">
      <pane ySplit="3" topLeftCell="A4" activePane="bottomLeft" state="frozen"/>
      <selection pane="bottomLeft" activeCell="L57" sqref="L57"/>
    </sheetView>
  </sheetViews>
  <sheetFormatPr defaultColWidth="30.09765625" defaultRowHeight="14.4" x14ac:dyDescent="0.3"/>
  <cols>
    <col min="1" max="1" width="30" style="32" bestFit="1" customWidth="1"/>
    <col min="2" max="2" width="11.3984375" style="32" customWidth="1"/>
    <col min="3" max="3" width="11.69921875" style="32" customWidth="1"/>
    <col min="4" max="4" width="16.8984375" customWidth="1"/>
    <col min="5" max="5" width="15.19921875" customWidth="1"/>
    <col min="6" max="6" width="16.8984375" customWidth="1"/>
    <col min="7" max="7" width="19" customWidth="1"/>
    <col min="8" max="9" width="15.19921875" style="3" customWidth="1"/>
    <col min="10" max="10" width="16.8984375" style="3" customWidth="1"/>
    <col min="11" max="11" width="19" customWidth="1"/>
  </cols>
  <sheetData>
    <row r="1" spans="1:11" ht="21" x14ac:dyDescent="0.25">
      <c r="A1" s="26"/>
      <c r="B1" s="26"/>
      <c r="C1" s="26"/>
      <c r="D1" s="241">
        <v>2025</v>
      </c>
      <c r="E1" s="241"/>
      <c r="F1" s="241"/>
      <c r="G1" s="241"/>
      <c r="H1" s="242">
        <v>2024</v>
      </c>
      <c r="I1" s="242"/>
      <c r="J1" s="242"/>
      <c r="K1" s="242"/>
    </row>
    <row r="2" spans="1:11" ht="21" x14ac:dyDescent="0.25">
      <c r="A2" s="11" t="s">
        <v>0</v>
      </c>
      <c r="B2" s="23" t="s">
        <v>53</v>
      </c>
      <c r="C2" s="23" t="s">
        <v>109</v>
      </c>
      <c r="D2" s="13" t="s">
        <v>46</v>
      </c>
      <c r="E2" s="13" t="s">
        <v>47</v>
      </c>
      <c r="F2" s="13" t="s">
        <v>48</v>
      </c>
      <c r="G2" s="13" t="s">
        <v>49</v>
      </c>
      <c r="H2" s="95" t="s">
        <v>46</v>
      </c>
      <c r="I2" s="95" t="s">
        <v>47</v>
      </c>
      <c r="J2" s="95" t="s">
        <v>48</v>
      </c>
      <c r="K2" s="95" t="s">
        <v>89</v>
      </c>
    </row>
    <row r="3" spans="1:11" ht="15.6" x14ac:dyDescent="0.3">
      <c r="A3" s="26" t="s">
        <v>1</v>
      </c>
      <c r="B3" s="26" t="s">
        <v>108</v>
      </c>
      <c r="C3" s="26" t="s">
        <v>58</v>
      </c>
      <c r="D3" s="195">
        <f>677504.7087-D6-D16-D52-D70</f>
        <v>553361.66901999991</v>
      </c>
      <c r="E3" s="195">
        <f>13832.32126-E6</f>
        <v>6248.5549420000007</v>
      </c>
      <c r="F3" s="195">
        <f>4543493.981-282314-F4-F69-F70-F6</f>
        <v>3200254.8603999997</v>
      </c>
      <c r="G3" s="195">
        <f>5145262-G16-G52-G70</f>
        <v>5022373</v>
      </c>
      <c r="H3" s="96">
        <v>108510.51768799999</v>
      </c>
      <c r="I3" s="96">
        <v>146573.57497599997</v>
      </c>
      <c r="J3" s="96">
        <v>759641.06</v>
      </c>
      <c r="K3" s="96">
        <v>196861</v>
      </c>
    </row>
    <row r="4" spans="1:11" ht="15.6" x14ac:dyDescent="0.3">
      <c r="A4" s="26" t="s">
        <v>2</v>
      </c>
      <c r="B4" s="26" t="s">
        <v>108</v>
      </c>
      <c r="C4" s="26" t="s">
        <v>58</v>
      </c>
      <c r="D4" s="195"/>
      <c r="E4" s="195"/>
      <c r="F4" s="195">
        <v>571595.12060000002</v>
      </c>
      <c r="G4" s="195"/>
      <c r="H4" s="96">
        <v>0</v>
      </c>
      <c r="I4" s="96">
        <v>0</v>
      </c>
      <c r="J4" s="96">
        <v>954968.31</v>
      </c>
      <c r="K4" s="96">
        <v>0</v>
      </c>
    </row>
    <row r="5" spans="1:11" ht="15.6" x14ac:dyDescent="0.3">
      <c r="A5" s="26" t="s">
        <v>104</v>
      </c>
      <c r="B5" s="26" t="s">
        <v>108</v>
      </c>
      <c r="C5" s="26" t="s">
        <v>58</v>
      </c>
      <c r="D5" s="195"/>
      <c r="E5" s="195"/>
      <c r="F5" s="195"/>
      <c r="G5" s="195"/>
      <c r="H5" s="96"/>
      <c r="I5" s="96"/>
      <c r="J5" s="96"/>
      <c r="K5" s="96"/>
    </row>
    <row r="6" spans="1:11" ht="15.6" x14ac:dyDescent="0.3">
      <c r="A6" s="28" t="s">
        <v>105</v>
      </c>
      <c r="B6" s="26" t="s">
        <v>108</v>
      </c>
      <c r="C6" s="28" t="s">
        <v>58</v>
      </c>
      <c r="D6" s="196">
        <v>17943.13207</v>
      </c>
      <c r="E6" s="196">
        <v>7583.766318</v>
      </c>
      <c r="F6" s="196">
        <v>433829.01</v>
      </c>
      <c r="G6" s="196"/>
      <c r="H6" s="96"/>
      <c r="I6" s="96"/>
      <c r="J6" s="96"/>
      <c r="K6" s="96"/>
    </row>
    <row r="7" spans="1:11" ht="16.2" thickBot="1" x14ac:dyDescent="0.35">
      <c r="A7" s="26" t="s">
        <v>34</v>
      </c>
      <c r="B7" s="26" t="s">
        <v>108</v>
      </c>
      <c r="C7" s="26" t="s">
        <v>58</v>
      </c>
      <c r="D7" s="195"/>
      <c r="E7" s="195"/>
      <c r="F7" s="195"/>
      <c r="G7" s="195"/>
      <c r="H7" s="96">
        <v>0</v>
      </c>
      <c r="I7" s="96">
        <v>2136.76676</v>
      </c>
      <c r="J7" s="96">
        <v>0</v>
      </c>
      <c r="K7" s="96">
        <v>0</v>
      </c>
    </row>
    <row r="8" spans="1:11" ht="21.6" thickBot="1" x14ac:dyDescent="0.45">
      <c r="A8" s="122" t="s">
        <v>3</v>
      </c>
      <c r="B8" s="121"/>
      <c r="C8" s="121"/>
      <c r="D8" s="174">
        <f>SUM(D3:D7)</f>
        <v>571304.80108999996</v>
      </c>
      <c r="E8" s="174">
        <f t="shared" ref="E8:G8" si="0">SUM(E3:E7)</f>
        <v>13832.321260000001</v>
      </c>
      <c r="F8" s="174">
        <f t="shared" si="0"/>
        <v>4205678.9909999995</v>
      </c>
      <c r="G8" s="174">
        <f t="shared" si="0"/>
        <v>5022373</v>
      </c>
      <c r="H8" s="174">
        <f>SUM(H3:H7)</f>
        <v>108510.51768799999</v>
      </c>
      <c r="I8" s="174">
        <f t="shared" ref="I8:K8" si="1">SUM(I3:I7)</f>
        <v>148710.34173599997</v>
      </c>
      <c r="J8" s="174">
        <f t="shared" si="1"/>
        <v>1714609.37</v>
      </c>
      <c r="K8" s="174">
        <f t="shared" si="1"/>
        <v>196861</v>
      </c>
    </row>
    <row r="9" spans="1:11" ht="15.6" x14ac:dyDescent="0.3">
      <c r="A9" s="27" t="s">
        <v>4</v>
      </c>
      <c r="B9" s="26" t="s">
        <v>108</v>
      </c>
      <c r="C9" s="27" t="s">
        <v>106</v>
      </c>
      <c r="D9" s="197"/>
      <c r="E9" s="197"/>
      <c r="F9" s="197"/>
      <c r="G9" s="197"/>
      <c r="H9" s="96">
        <v>0</v>
      </c>
      <c r="I9" s="96">
        <v>0</v>
      </c>
      <c r="J9" s="96">
        <v>0</v>
      </c>
      <c r="K9" s="96">
        <v>0</v>
      </c>
    </row>
    <row r="10" spans="1:11" ht="15.6" x14ac:dyDescent="0.3">
      <c r="A10" s="26" t="s">
        <v>5</v>
      </c>
      <c r="B10" s="26" t="s">
        <v>108</v>
      </c>
      <c r="C10" s="26" t="s">
        <v>106</v>
      </c>
      <c r="D10" s="195">
        <v>10720.73292</v>
      </c>
      <c r="E10" s="195"/>
      <c r="F10" s="195"/>
      <c r="G10" s="195"/>
      <c r="H10" s="96">
        <v>0</v>
      </c>
      <c r="I10" s="96">
        <v>0</v>
      </c>
      <c r="J10" s="96">
        <v>0</v>
      </c>
      <c r="K10" s="96">
        <v>1639</v>
      </c>
    </row>
    <row r="11" spans="1:11" ht="15.6" x14ac:dyDescent="0.3">
      <c r="A11" s="26" t="s">
        <v>6</v>
      </c>
      <c r="B11" s="26" t="s">
        <v>108</v>
      </c>
      <c r="C11" s="26" t="s">
        <v>106</v>
      </c>
      <c r="D11" s="195"/>
      <c r="E11" s="195"/>
      <c r="F11" s="195"/>
      <c r="G11" s="195">
        <v>2011</v>
      </c>
      <c r="H11" s="96">
        <v>0</v>
      </c>
      <c r="I11" s="96">
        <v>2192.8627599999995</v>
      </c>
      <c r="J11" s="96">
        <v>0</v>
      </c>
      <c r="K11" s="96">
        <v>0</v>
      </c>
    </row>
    <row r="12" spans="1:11" ht="15.6" x14ac:dyDescent="0.3">
      <c r="A12" s="26" t="s">
        <v>7</v>
      </c>
      <c r="B12" s="26" t="s">
        <v>108</v>
      </c>
      <c r="C12" s="26" t="s">
        <v>106</v>
      </c>
      <c r="D12" s="195"/>
      <c r="E12" s="195">
        <v>2278.1918879999998</v>
      </c>
      <c r="F12" s="195">
        <v>584777.49</v>
      </c>
      <c r="G12" s="195"/>
      <c r="H12" s="96">
        <v>0</v>
      </c>
      <c r="I12" s="96">
        <v>0</v>
      </c>
      <c r="J12" s="96">
        <v>0</v>
      </c>
      <c r="K12" s="96">
        <v>0</v>
      </c>
    </row>
    <row r="13" spans="1:11" ht="15.6" x14ac:dyDescent="0.3">
      <c r="A13" s="26" t="s">
        <v>8</v>
      </c>
      <c r="B13" s="26" t="s">
        <v>108</v>
      </c>
      <c r="C13" s="26" t="s">
        <v>106</v>
      </c>
      <c r="D13" s="195">
        <v>4736.2433129999999</v>
      </c>
      <c r="E13" s="195">
        <v>14371.226619999999</v>
      </c>
      <c r="F13" s="195"/>
      <c r="G13" s="195"/>
      <c r="H13" s="96">
        <v>0</v>
      </c>
      <c r="I13" s="96">
        <v>30322.608655999997</v>
      </c>
      <c r="J13" s="96">
        <v>179450.72</v>
      </c>
      <c r="K13" s="96">
        <v>0</v>
      </c>
    </row>
    <row r="14" spans="1:11" ht="15.6" x14ac:dyDescent="0.3">
      <c r="A14" s="26" t="s">
        <v>9</v>
      </c>
      <c r="B14" s="26" t="s">
        <v>108</v>
      </c>
      <c r="C14" s="26" t="s">
        <v>106</v>
      </c>
      <c r="D14" s="195"/>
      <c r="E14" s="195"/>
      <c r="F14" s="195"/>
      <c r="G14" s="195"/>
      <c r="H14" s="96">
        <v>0</v>
      </c>
      <c r="I14" s="96">
        <v>0</v>
      </c>
      <c r="J14" s="96">
        <v>0</v>
      </c>
      <c r="K14" s="96">
        <v>0</v>
      </c>
    </row>
    <row r="15" spans="1:11" ht="15.6" x14ac:dyDescent="0.3">
      <c r="A15" s="26" t="s">
        <v>31</v>
      </c>
      <c r="B15" s="26" t="s">
        <v>108</v>
      </c>
      <c r="C15" s="26" t="s">
        <v>106</v>
      </c>
      <c r="D15" s="195"/>
      <c r="E15" s="195"/>
      <c r="F15" s="195"/>
      <c r="G15" s="195"/>
      <c r="H15" s="96">
        <v>0</v>
      </c>
      <c r="I15" s="96">
        <v>0</v>
      </c>
      <c r="J15" s="96">
        <v>0</v>
      </c>
      <c r="K15" s="96">
        <v>0</v>
      </c>
    </row>
    <row r="16" spans="1:11" ht="15.6" x14ac:dyDescent="0.3">
      <c r="A16" s="26" t="s">
        <v>96</v>
      </c>
      <c r="B16" s="26" t="s">
        <v>108</v>
      </c>
      <c r="C16" s="26" t="s">
        <v>106</v>
      </c>
      <c r="D16" s="195">
        <v>55504.427589999999</v>
      </c>
      <c r="E16" s="195"/>
      <c r="F16" s="195"/>
      <c r="G16" s="195">
        <v>24906</v>
      </c>
      <c r="H16" s="96">
        <v>6391.2837360000003</v>
      </c>
      <c r="I16" s="96">
        <v>0</v>
      </c>
      <c r="J16" s="96">
        <v>0</v>
      </c>
      <c r="K16" s="96">
        <v>0</v>
      </c>
    </row>
    <row r="17" spans="1:11" ht="15.6" x14ac:dyDescent="0.3">
      <c r="A17" s="26" t="s">
        <v>42</v>
      </c>
      <c r="B17" s="26" t="s">
        <v>108</v>
      </c>
      <c r="C17" s="26" t="s">
        <v>106</v>
      </c>
      <c r="D17" s="195">
        <v>26245.7438</v>
      </c>
      <c r="E17" s="195">
        <v>2073.220542</v>
      </c>
      <c r="F17" s="195"/>
      <c r="G17" s="195">
        <v>79670</v>
      </c>
      <c r="H17" s="96">
        <v>0</v>
      </c>
      <c r="I17" s="96">
        <v>1208.7986799999999</v>
      </c>
      <c r="J17" s="96">
        <v>568839.42999999993</v>
      </c>
      <c r="K17" s="96">
        <v>208408</v>
      </c>
    </row>
    <row r="18" spans="1:11" ht="15.6" x14ac:dyDescent="0.3">
      <c r="A18" s="26" t="s">
        <v>43</v>
      </c>
      <c r="B18" s="26" t="s">
        <v>108</v>
      </c>
      <c r="C18" s="26" t="s">
        <v>106</v>
      </c>
      <c r="D18" s="195">
        <v>149648.1514</v>
      </c>
      <c r="E18" s="195">
        <v>29699.50664</v>
      </c>
      <c r="F18" s="195">
        <v>2990203.2050000001</v>
      </c>
      <c r="G18" s="195">
        <v>315165</v>
      </c>
      <c r="H18" s="96">
        <v>26545.384496000002</v>
      </c>
      <c r="I18" s="96">
        <v>10686.905056</v>
      </c>
      <c r="J18" s="96">
        <v>2820715.4899999998</v>
      </c>
      <c r="K18" s="96">
        <v>2679106</v>
      </c>
    </row>
    <row r="19" spans="1:11" ht="15.6" x14ac:dyDescent="0.3">
      <c r="A19" s="26" t="s">
        <v>30</v>
      </c>
      <c r="B19" s="26" t="s">
        <v>108</v>
      </c>
      <c r="C19" s="26" t="s">
        <v>106</v>
      </c>
      <c r="D19" s="195"/>
      <c r="E19" s="195"/>
      <c r="F19" s="195"/>
      <c r="G19" s="195"/>
      <c r="H19" s="96">
        <v>0</v>
      </c>
      <c r="I19" s="96">
        <v>0</v>
      </c>
      <c r="J19" s="96">
        <v>0</v>
      </c>
      <c r="K19" s="96">
        <v>0</v>
      </c>
    </row>
    <row r="20" spans="1:11" ht="15.6" x14ac:dyDescent="0.3">
      <c r="A20" s="28" t="s">
        <v>130</v>
      </c>
      <c r="B20" s="26" t="s">
        <v>108</v>
      </c>
      <c r="C20" s="26" t="s">
        <v>106</v>
      </c>
      <c r="D20" s="196"/>
      <c r="E20" s="196"/>
      <c r="F20" s="196"/>
      <c r="G20" s="196"/>
      <c r="H20" s="96"/>
      <c r="I20" s="96"/>
      <c r="J20" s="96"/>
      <c r="K20" s="96"/>
    </row>
    <row r="21" spans="1:11" ht="16.2" thickBot="1" x14ac:dyDescent="0.35">
      <c r="A21" s="28" t="s">
        <v>38</v>
      </c>
      <c r="B21" s="26" t="s">
        <v>108</v>
      </c>
      <c r="C21" s="28" t="s">
        <v>106</v>
      </c>
      <c r="D21" s="196"/>
      <c r="E21" s="196"/>
      <c r="F21" s="196"/>
      <c r="G21" s="196"/>
      <c r="H21" s="96">
        <v>0</v>
      </c>
      <c r="I21" s="96">
        <v>0</v>
      </c>
      <c r="J21" s="96">
        <v>0</v>
      </c>
      <c r="K21" s="96">
        <v>0</v>
      </c>
    </row>
    <row r="22" spans="1:11" ht="21.6" thickBot="1" x14ac:dyDescent="0.45">
      <c r="A22" s="122" t="s">
        <v>10</v>
      </c>
      <c r="B22" s="121"/>
      <c r="C22" s="121"/>
      <c r="D22" s="174">
        <f>SUM(D9:D21)</f>
        <v>246855.299023</v>
      </c>
      <c r="E22" s="174">
        <f t="shared" ref="E22:G22" si="2">SUM(E9:E21)</f>
        <v>48422.145689999998</v>
      </c>
      <c r="F22" s="174">
        <f t="shared" si="2"/>
        <v>3574980.6950000003</v>
      </c>
      <c r="G22" s="174">
        <f t="shared" si="2"/>
        <v>421752</v>
      </c>
      <c r="H22" s="174">
        <f>SUM(H9:H21)</f>
        <v>32936.668232000004</v>
      </c>
      <c r="I22" s="174">
        <f t="shared" ref="I22:K22" si="3">SUM(I9:I21)</f>
        <v>44411.175151999996</v>
      </c>
      <c r="J22" s="174">
        <f t="shared" si="3"/>
        <v>3569005.6399999997</v>
      </c>
      <c r="K22" s="174">
        <f t="shared" si="3"/>
        <v>2889153</v>
      </c>
    </row>
    <row r="23" spans="1:11" ht="15.6" x14ac:dyDescent="0.3">
      <c r="A23" s="27" t="s">
        <v>11</v>
      </c>
      <c r="B23" s="27" t="s">
        <v>56</v>
      </c>
      <c r="C23" s="27" t="s">
        <v>107</v>
      </c>
      <c r="D23" s="18">
        <v>17510.88222</v>
      </c>
      <c r="E23" s="18"/>
      <c r="F23" s="18"/>
      <c r="G23" s="18"/>
      <c r="H23" s="96">
        <v>0</v>
      </c>
      <c r="I23" s="96">
        <v>0</v>
      </c>
      <c r="J23" s="96">
        <v>0</v>
      </c>
      <c r="K23" s="96">
        <v>0</v>
      </c>
    </row>
    <row r="24" spans="1:11" ht="15.6" x14ac:dyDescent="0.3">
      <c r="A24" s="30" t="s">
        <v>12</v>
      </c>
      <c r="B24" s="26" t="s">
        <v>56</v>
      </c>
      <c r="C24" s="26" t="s">
        <v>107</v>
      </c>
      <c r="D24" s="14"/>
      <c r="E24" s="14"/>
      <c r="F24" s="14"/>
      <c r="G24" s="14"/>
      <c r="H24" s="96">
        <v>0</v>
      </c>
      <c r="I24" s="96">
        <v>0</v>
      </c>
      <c r="J24" s="96">
        <v>0</v>
      </c>
      <c r="K24" s="96">
        <v>0</v>
      </c>
    </row>
    <row r="25" spans="1:11" ht="15.6" x14ac:dyDescent="0.3">
      <c r="A25" s="30" t="s">
        <v>13</v>
      </c>
      <c r="B25" s="26" t="s">
        <v>56</v>
      </c>
      <c r="C25" s="26" t="s">
        <v>107</v>
      </c>
      <c r="D25" s="14"/>
      <c r="E25" s="14"/>
      <c r="F25" s="14"/>
      <c r="G25" s="14"/>
      <c r="H25" s="96">
        <v>0</v>
      </c>
      <c r="I25" s="96">
        <v>0</v>
      </c>
      <c r="J25" s="96">
        <v>0</v>
      </c>
      <c r="K25" s="96">
        <v>0</v>
      </c>
    </row>
    <row r="26" spans="1:11" ht="15.6" x14ac:dyDescent="0.3">
      <c r="A26" s="26" t="s">
        <v>14</v>
      </c>
      <c r="B26" s="26" t="s">
        <v>55</v>
      </c>
      <c r="C26" s="26" t="s">
        <v>107</v>
      </c>
      <c r="D26" s="14"/>
      <c r="E26" s="14"/>
      <c r="F26" s="14"/>
      <c r="G26" s="14"/>
      <c r="H26" s="96">
        <v>0</v>
      </c>
      <c r="I26" s="96">
        <v>0</v>
      </c>
      <c r="J26" s="96">
        <v>0</v>
      </c>
      <c r="K26" s="96">
        <v>0</v>
      </c>
    </row>
    <row r="27" spans="1:11" ht="15.6" x14ac:dyDescent="0.3">
      <c r="A27" s="30" t="s">
        <v>15</v>
      </c>
      <c r="B27" s="26" t="s">
        <v>56</v>
      </c>
      <c r="C27" s="26" t="s">
        <v>107</v>
      </c>
      <c r="D27" s="14">
        <v>834054.34270000004</v>
      </c>
      <c r="E27" s="14">
        <v>48288.924429999999</v>
      </c>
      <c r="F27" s="14">
        <v>192892.07639999999</v>
      </c>
      <c r="G27" s="14">
        <v>1481797</v>
      </c>
      <c r="H27" s="96">
        <v>498433.05639200029</v>
      </c>
      <c r="I27" s="96">
        <v>3526.3983920000001</v>
      </c>
      <c r="J27" s="96">
        <v>0</v>
      </c>
      <c r="K27" s="96">
        <v>375171</v>
      </c>
    </row>
    <row r="28" spans="1:11" ht="15.6" x14ac:dyDescent="0.3">
      <c r="A28" s="30" t="s">
        <v>17</v>
      </c>
      <c r="B28" s="26" t="s">
        <v>56</v>
      </c>
      <c r="C28" s="26" t="s">
        <v>107</v>
      </c>
      <c r="D28" s="14"/>
      <c r="E28" s="14"/>
      <c r="F28" s="14">
        <v>100000</v>
      </c>
      <c r="G28" s="14">
        <v>206</v>
      </c>
      <c r="H28" s="96">
        <v>10032.853744000002</v>
      </c>
      <c r="I28" s="96">
        <v>29948.336143999997</v>
      </c>
      <c r="J28" s="96">
        <v>4473</v>
      </c>
      <c r="K28" s="96">
        <v>0</v>
      </c>
    </row>
    <row r="29" spans="1:11" ht="15.6" x14ac:dyDescent="0.3">
      <c r="A29" s="30" t="s">
        <v>18</v>
      </c>
      <c r="B29" s="26" t="s">
        <v>56</v>
      </c>
      <c r="C29" s="26" t="s">
        <v>107</v>
      </c>
      <c r="D29" s="14"/>
      <c r="E29" s="14">
        <v>486.04433999999998</v>
      </c>
      <c r="F29" s="14"/>
      <c r="G29" s="14"/>
      <c r="H29" s="96">
        <v>0</v>
      </c>
      <c r="I29" s="96">
        <v>0</v>
      </c>
      <c r="J29" s="96">
        <v>0</v>
      </c>
      <c r="K29" s="96">
        <v>0</v>
      </c>
    </row>
    <row r="30" spans="1:11" ht="15.6" x14ac:dyDescent="0.3">
      <c r="A30" s="26" t="s">
        <v>19</v>
      </c>
      <c r="B30" s="26" t="s">
        <v>56</v>
      </c>
      <c r="C30" s="26" t="s">
        <v>107</v>
      </c>
      <c r="D30" s="14"/>
      <c r="E30" s="14"/>
      <c r="F30" s="14"/>
      <c r="G30" s="14"/>
      <c r="H30" s="96">
        <v>0</v>
      </c>
      <c r="I30" s="96">
        <v>0</v>
      </c>
      <c r="J30" s="96">
        <v>0</v>
      </c>
      <c r="K30" s="96">
        <v>0</v>
      </c>
    </row>
    <row r="31" spans="1:11" ht="15.6" x14ac:dyDescent="0.3">
      <c r="A31" s="26" t="s">
        <v>20</v>
      </c>
      <c r="B31" s="26" t="s">
        <v>56</v>
      </c>
      <c r="C31" s="26" t="s">
        <v>107</v>
      </c>
      <c r="D31" s="14"/>
      <c r="E31" s="14"/>
      <c r="F31" s="14"/>
      <c r="G31" s="14">
        <v>110917</v>
      </c>
      <c r="H31" s="96">
        <v>0</v>
      </c>
      <c r="I31" s="96">
        <v>0</v>
      </c>
      <c r="J31" s="96">
        <v>0</v>
      </c>
      <c r="K31" s="96">
        <v>0</v>
      </c>
    </row>
    <row r="32" spans="1:11" ht="15.6" x14ac:dyDescent="0.3">
      <c r="A32" s="26" t="s">
        <v>21</v>
      </c>
      <c r="B32" s="26" t="s">
        <v>56</v>
      </c>
      <c r="C32" s="26" t="s">
        <v>107</v>
      </c>
      <c r="D32" s="14"/>
      <c r="E32" s="14"/>
      <c r="F32" s="14"/>
      <c r="G32" s="14"/>
      <c r="H32" s="96">
        <v>0</v>
      </c>
      <c r="I32" s="96">
        <v>0</v>
      </c>
      <c r="J32" s="96">
        <v>0</v>
      </c>
      <c r="K32" s="96">
        <v>0</v>
      </c>
    </row>
    <row r="33" spans="1:12" ht="15.6" x14ac:dyDescent="0.3">
      <c r="A33" s="26" t="s">
        <v>22</v>
      </c>
      <c r="B33" s="26" t="s">
        <v>56</v>
      </c>
      <c r="C33" s="26" t="s">
        <v>107</v>
      </c>
      <c r="D33" s="14"/>
      <c r="E33" s="14"/>
      <c r="F33" s="14"/>
      <c r="G33" s="14"/>
      <c r="H33" s="96">
        <v>0</v>
      </c>
      <c r="I33" s="96">
        <v>0</v>
      </c>
      <c r="J33" s="96">
        <v>0</v>
      </c>
      <c r="K33" s="96">
        <v>0</v>
      </c>
    </row>
    <row r="34" spans="1:12" ht="15.6" x14ac:dyDescent="0.3">
      <c r="A34" s="26" t="s">
        <v>23</v>
      </c>
      <c r="B34" s="26" t="s">
        <v>56</v>
      </c>
      <c r="C34" s="26" t="s">
        <v>107</v>
      </c>
      <c r="D34" s="14"/>
      <c r="E34" s="14"/>
      <c r="F34" s="14"/>
      <c r="G34" s="14"/>
      <c r="H34" s="96">
        <v>0</v>
      </c>
      <c r="I34" s="96">
        <v>0</v>
      </c>
      <c r="J34" s="96">
        <v>0</v>
      </c>
      <c r="K34" s="96">
        <v>0</v>
      </c>
    </row>
    <row r="35" spans="1:12" ht="15.6" x14ac:dyDescent="0.3">
      <c r="A35" s="26" t="s">
        <v>24</v>
      </c>
      <c r="B35" s="26" t="s">
        <v>56</v>
      </c>
      <c r="C35" s="26" t="s">
        <v>107</v>
      </c>
      <c r="D35" s="14"/>
      <c r="E35" s="14"/>
      <c r="F35" s="14"/>
      <c r="G35" s="14"/>
      <c r="H35" s="96">
        <v>0</v>
      </c>
      <c r="I35" s="96">
        <v>0</v>
      </c>
      <c r="J35" s="96">
        <v>0</v>
      </c>
      <c r="K35" s="96">
        <v>0</v>
      </c>
    </row>
    <row r="36" spans="1:12" ht="15.6" x14ac:dyDescent="0.3">
      <c r="A36" s="30" t="s">
        <v>25</v>
      </c>
      <c r="B36" s="26" t="s">
        <v>56</v>
      </c>
      <c r="C36" s="26" t="s">
        <v>107</v>
      </c>
      <c r="D36" s="14"/>
      <c r="E36" s="14"/>
      <c r="F36" s="14"/>
      <c r="G36" s="14"/>
      <c r="H36" s="96">
        <v>0</v>
      </c>
      <c r="I36" s="96">
        <v>0</v>
      </c>
      <c r="J36" s="96">
        <v>0</v>
      </c>
      <c r="K36" s="96">
        <v>0</v>
      </c>
    </row>
    <row r="37" spans="1:12" ht="15.6" x14ac:dyDescent="0.3">
      <c r="A37" s="26" t="s">
        <v>26</v>
      </c>
      <c r="B37" s="26" t="s">
        <v>56</v>
      </c>
      <c r="C37" s="26" t="s">
        <v>107</v>
      </c>
      <c r="D37" s="14"/>
      <c r="E37" s="14"/>
      <c r="F37" s="14"/>
      <c r="G37" s="14"/>
      <c r="H37" s="96">
        <v>0</v>
      </c>
      <c r="I37" s="96">
        <v>0</v>
      </c>
      <c r="J37" s="96">
        <v>0</v>
      </c>
      <c r="K37" s="96">
        <v>0</v>
      </c>
    </row>
    <row r="38" spans="1:12" ht="15.6" x14ac:dyDescent="0.3">
      <c r="A38" s="26" t="s">
        <v>27</v>
      </c>
      <c r="B38" s="26" t="s">
        <v>56</v>
      </c>
      <c r="C38" s="26" t="s">
        <v>107</v>
      </c>
      <c r="D38" s="14"/>
      <c r="E38" s="14"/>
      <c r="F38" s="14"/>
      <c r="G38" s="14"/>
      <c r="H38" s="96">
        <v>0</v>
      </c>
      <c r="I38" s="96">
        <v>0</v>
      </c>
      <c r="J38" s="96">
        <v>0</v>
      </c>
      <c r="K38" s="96">
        <v>0</v>
      </c>
    </row>
    <row r="39" spans="1:12" ht="15.6" x14ac:dyDescent="0.3">
      <c r="A39" s="26" t="s">
        <v>28</v>
      </c>
      <c r="B39" s="26" t="s">
        <v>56</v>
      </c>
      <c r="C39" s="26" t="s">
        <v>107</v>
      </c>
      <c r="D39" s="14"/>
      <c r="E39" s="14"/>
      <c r="F39" s="14"/>
      <c r="G39" s="14"/>
      <c r="H39" s="96">
        <v>0</v>
      </c>
      <c r="I39" s="96">
        <v>0</v>
      </c>
      <c r="J39" s="96">
        <v>0</v>
      </c>
      <c r="K39" s="96">
        <v>0</v>
      </c>
    </row>
    <row r="40" spans="1:12" ht="15.6" x14ac:dyDescent="0.3">
      <c r="A40" s="26" t="s">
        <v>29</v>
      </c>
      <c r="B40" s="26" t="s">
        <v>56</v>
      </c>
      <c r="C40" s="26" t="s">
        <v>107</v>
      </c>
      <c r="D40" s="14"/>
      <c r="E40" s="14"/>
      <c r="F40" s="14"/>
      <c r="G40" s="14"/>
      <c r="H40" s="96">
        <v>0</v>
      </c>
      <c r="I40" s="96">
        <v>0</v>
      </c>
      <c r="J40" s="96">
        <v>0</v>
      </c>
      <c r="K40" s="96">
        <v>0</v>
      </c>
    </row>
    <row r="41" spans="1:12" ht="15.6" x14ac:dyDescent="0.3">
      <c r="A41" s="26" t="s">
        <v>98</v>
      </c>
      <c r="B41" s="26" t="s">
        <v>55</v>
      </c>
      <c r="C41" s="26" t="s">
        <v>107</v>
      </c>
      <c r="D41" s="14"/>
      <c r="E41" s="14"/>
      <c r="F41" s="14"/>
      <c r="G41" s="14"/>
      <c r="H41" s="96">
        <v>0</v>
      </c>
      <c r="I41" s="96">
        <v>0</v>
      </c>
      <c r="J41" s="96">
        <v>0</v>
      </c>
      <c r="K41" s="96">
        <v>0</v>
      </c>
    </row>
    <row r="42" spans="1:12" ht="15.6" x14ac:dyDescent="0.3">
      <c r="A42" s="26" t="s">
        <v>32</v>
      </c>
      <c r="B42" s="26" t="s">
        <v>55</v>
      </c>
      <c r="C42" s="26" t="s">
        <v>107</v>
      </c>
      <c r="D42" s="14"/>
      <c r="E42" s="14"/>
      <c r="F42" s="14"/>
      <c r="G42" s="14"/>
      <c r="H42" s="96">
        <v>0</v>
      </c>
      <c r="I42" s="96">
        <v>0</v>
      </c>
      <c r="J42" s="96">
        <v>0</v>
      </c>
      <c r="K42" s="96">
        <v>0</v>
      </c>
    </row>
    <row r="43" spans="1:12" ht="15.6" x14ac:dyDescent="0.3">
      <c r="A43" s="30" t="s">
        <v>95</v>
      </c>
      <c r="B43" s="26" t="s">
        <v>56</v>
      </c>
      <c r="C43" s="26" t="s">
        <v>107</v>
      </c>
      <c r="D43" s="195"/>
      <c r="E43" s="195">
        <v>8141.3005229999999</v>
      </c>
      <c r="F43" s="195"/>
      <c r="G43" s="195"/>
      <c r="H43" s="96">
        <v>0</v>
      </c>
      <c r="I43" s="96">
        <v>0</v>
      </c>
      <c r="J43" s="96">
        <v>0</v>
      </c>
      <c r="K43" s="96">
        <v>0</v>
      </c>
    </row>
    <row r="44" spans="1:12" ht="15.6" x14ac:dyDescent="0.3">
      <c r="A44" s="26" t="s">
        <v>83</v>
      </c>
      <c r="B44" s="26" t="s">
        <v>56</v>
      </c>
      <c r="C44" s="26" t="s">
        <v>107</v>
      </c>
      <c r="D44" s="195"/>
      <c r="E44" s="195"/>
      <c r="F44" s="195">
        <v>9373.58</v>
      </c>
      <c r="G44" s="195"/>
      <c r="H44" s="96">
        <v>0</v>
      </c>
      <c r="I44" s="96">
        <v>0</v>
      </c>
      <c r="J44" s="96">
        <v>30000</v>
      </c>
      <c r="K44" s="96">
        <v>0</v>
      </c>
    </row>
    <row r="45" spans="1:12" ht="15.6" x14ac:dyDescent="0.3">
      <c r="A45" s="26" t="s">
        <v>82</v>
      </c>
      <c r="B45" s="26" t="s">
        <v>56</v>
      </c>
      <c r="C45" s="26" t="s">
        <v>107</v>
      </c>
      <c r="D45" s="195"/>
      <c r="E45" s="195"/>
      <c r="F45" s="195"/>
      <c r="G45" s="195"/>
      <c r="H45" s="96">
        <v>0</v>
      </c>
      <c r="I45" s="96">
        <v>0</v>
      </c>
      <c r="J45" s="96">
        <v>118723.02</v>
      </c>
      <c r="K45" s="96">
        <v>43</v>
      </c>
    </row>
    <row r="46" spans="1:12" ht="15.6" x14ac:dyDescent="0.3">
      <c r="A46" s="26" t="s">
        <v>36</v>
      </c>
      <c r="B46" s="26" t="s">
        <v>55</v>
      </c>
      <c r="C46" s="26" t="s">
        <v>107</v>
      </c>
      <c r="D46" s="195"/>
      <c r="E46" s="195"/>
      <c r="F46" s="195"/>
      <c r="G46" s="195"/>
      <c r="H46" s="96">
        <v>0</v>
      </c>
      <c r="I46" s="96">
        <v>0</v>
      </c>
      <c r="J46" s="96">
        <v>0</v>
      </c>
      <c r="K46" s="96">
        <v>0</v>
      </c>
    </row>
    <row r="47" spans="1:12" ht="15.6" x14ac:dyDescent="0.3">
      <c r="A47" s="26" t="s">
        <v>94</v>
      </c>
      <c r="B47" s="26" t="s">
        <v>55</v>
      </c>
      <c r="C47" s="26" t="s">
        <v>107</v>
      </c>
      <c r="D47" s="195"/>
      <c r="E47" s="195"/>
      <c r="F47" s="195"/>
      <c r="G47" s="195"/>
      <c r="H47" s="96">
        <v>210.12159199999999</v>
      </c>
      <c r="I47" s="96">
        <v>2495.6128720000002</v>
      </c>
      <c r="J47" s="96">
        <v>0</v>
      </c>
      <c r="K47" s="96">
        <v>0</v>
      </c>
      <c r="L47" s="138"/>
    </row>
    <row r="48" spans="1:12" ht="15.6" x14ac:dyDescent="0.3">
      <c r="A48" s="26" t="s">
        <v>85</v>
      </c>
      <c r="B48" s="26" t="s">
        <v>56</v>
      </c>
      <c r="C48" s="26" t="s">
        <v>107</v>
      </c>
      <c r="D48" s="195"/>
      <c r="E48" s="195"/>
      <c r="F48" s="195"/>
      <c r="G48" s="195"/>
      <c r="H48" s="96">
        <v>0</v>
      </c>
      <c r="I48" s="96">
        <v>0</v>
      </c>
      <c r="J48" s="96">
        <v>0</v>
      </c>
      <c r="K48" s="96">
        <v>0</v>
      </c>
    </row>
    <row r="49" spans="1:13" ht="15.6" x14ac:dyDescent="0.3">
      <c r="A49" s="26" t="s">
        <v>87</v>
      </c>
      <c r="B49" s="26" t="s">
        <v>56</v>
      </c>
      <c r="C49" s="26" t="s">
        <v>107</v>
      </c>
      <c r="D49" s="195"/>
      <c r="E49" s="195"/>
      <c r="F49" s="195">
        <v>79000</v>
      </c>
      <c r="G49" s="195"/>
      <c r="H49" s="96">
        <v>0</v>
      </c>
      <c r="I49" s="96">
        <v>0</v>
      </c>
      <c r="J49" s="96">
        <v>79000</v>
      </c>
      <c r="K49" s="96">
        <v>0</v>
      </c>
    </row>
    <row r="50" spans="1:13" ht="15.6" x14ac:dyDescent="0.3">
      <c r="A50" s="26" t="s">
        <v>97</v>
      </c>
      <c r="B50" s="26" t="s">
        <v>56</v>
      </c>
      <c r="C50" s="26" t="s">
        <v>107</v>
      </c>
      <c r="D50" s="195">
        <v>80779.571779999998</v>
      </c>
      <c r="E50" s="195"/>
      <c r="F50" s="195">
        <v>1459983.09</v>
      </c>
      <c r="G50" s="195">
        <v>8264</v>
      </c>
      <c r="H50" s="96">
        <v>62521.095600000001</v>
      </c>
      <c r="I50" s="96">
        <v>0</v>
      </c>
      <c r="J50" s="96">
        <v>0</v>
      </c>
      <c r="K50" s="96">
        <v>918674</v>
      </c>
    </row>
    <row r="51" spans="1:13" ht="15.6" x14ac:dyDescent="0.3">
      <c r="A51" s="26" t="s">
        <v>39</v>
      </c>
      <c r="B51" s="26" t="s">
        <v>56</v>
      </c>
      <c r="C51" s="26" t="s">
        <v>107</v>
      </c>
      <c r="D51" s="195"/>
      <c r="E51" s="195"/>
      <c r="F51" s="195"/>
      <c r="G51" s="195"/>
      <c r="H51" s="96">
        <v>0</v>
      </c>
      <c r="I51" s="96">
        <v>0</v>
      </c>
      <c r="J51" s="96">
        <v>0</v>
      </c>
      <c r="K51" s="96">
        <v>0</v>
      </c>
    </row>
    <row r="52" spans="1:13" ht="15.6" x14ac:dyDescent="0.3">
      <c r="A52" s="26" t="s">
        <v>91</v>
      </c>
      <c r="B52" s="26" t="s">
        <v>56</v>
      </c>
      <c r="C52" s="26" t="s">
        <v>107</v>
      </c>
      <c r="D52" s="195">
        <v>21693.769400000001</v>
      </c>
      <c r="E52" s="195"/>
      <c r="F52" s="195"/>
      <c r="G52" s="195">
        <v>81567</v>
      </c>
      <c r="H52" s="96">
        <v>9167.4747759999991</v>
      </c>
      <c r="I52" s="96">
        <v>0</v>
      </c>
      <c r="J52" s="96">
        <v>0</v>
      </c>
      <c r="K52" s="96">
        <v>55089</v>
      </c>
    </row>
    <row r="53" spans="1:13" ht="15.6" x14ac:dyDescent="0.3">
      <c r="A53" s="26" t="s">
        <v>41</v>
      </c>
      <c r="B53" s="26" t="s">
        <v>56</v>
      </c>
      <c r="C53" s="26" t="s">
        <v>107</v>
      </c>
      <c r="D53" s="195"/>
      <c r="E53" s="195"/>
      <c r="F53" s="195"/>
      <c r="G53" s="195"/>
      <c r="H53" s="96">
        <v>0</v>
      </c>
      <c r="I53" s="96">
        <v>0</v>
      </c>
      <c r="J53" s="96">
        <v>0</v>
      </c>
      <c r="K53" s="96">
        <v>0</v>
      </c>
    </row>
    <row r="54" spans="1:13" ht="15.6" x14ac:dyDescent="0.3">
      <c r="A54" s="26" t="s">
        <v>129</v>
      </c>
      <c r="B54" s="26" t="s">
        <v>108</v>
      </c>
      <c r="C54" s="27" t="s">
        <v>107</v>
      </c>
      <c r="D54" s="196"/>
      <c r="E54" s="196"/>
      <c r="F54" s="196"/>
      <c r="G54" s="196"/>
      <c r="H54" s="96"/>
      <c r="I54" s="96"/>
      <c r="J54" s="96"/>
      <c r="K54" s="96"/>
    </row>
    <row r="55" spans="1:13" ht="16.2" thickBot="1" x14ac:dyDescent="0.35">
      <c r="A55" s="28" t="s">
        <v>88</v>
      </c>
      <c r="B55" s="28" t="s">
        <v>56</v>
      </c>
      <c r="C55" s="28" t="s">
        <v>107</v>
      </c>
      <c r="D55" s="15"/>
      <c r="E55" s="15"/>
      <c r="F55" s="15"/>
      <c r="G55" s="15"/>
      <c r="H55" s="96">
        <v>0</v>
      </c>
      <c r="I55" s="96">
        <v>0</v>
      </c>
      <c r="J55" s="96">
        <v>0</v>
      </c>
      <c r="K55" s="96">
        <v>0</v>
      </c>
    </row>
    <row r="56" spans="1:13" ht="21.6" thickBot="1" x14ac:dyDescent="0.45">
      <c r="A56" s="123" t="s">
        <v>115</v>
      </c>
      <c r="B56" s="121"/>
      <c r="C56" s="121"/>
      <c r="D56" s="174">
        <f>SUM(D23:D55)</f>
        <v>954038.56610000005</v>
      </c>
      <c r="E56" s="174">
        <f t="shared" ref="E56:G56" si="4">SUM(E23:E55)</f>
        <v>56916.269292999998</v>
      </c>
      <c r="F56" s="174">
        <f t="shared" si="4"/>
        <v>1841248.7464000001</v>
      </c>
      <c r="G56" s="174">
        <f t="shared" si="4"/>
        <v>1682751</v>
      </c>
      <c r="H56" s="174">
        <f>SUM(H23:H55)</f>
        <v>580364.60210400028</v>
      </c>
      <c r="I56" s="174">
        <f t="shared" ref="I56:K56" si="5">SUM(I23:I55)</f>
        <v>35970.347407999994</v>
      </c>
      <c r="J56" s="174">
        <f t="shared" si="5"/>
        <v>232196.02000000002</v>
      </c>
      <c r="K56" s="174">
        <f t="shared" si="5"/>
        <v>1348977</v>
      </c>
    </row>
    <row r="57" spans="1:13" ht="15.6" x14ac:dyDescent="0.3">
      <c r="A57" s="30" t="s">
        <v>33</v>
      </c>
      <c r="B57" s="26" t="s">
        <v>114</v>
      </c>
      <c r="C57" s="26" t="s">
        <v>107</v>
      </c>
      <c r="D57" s="14"/>
      <c r="E57" s="14"/>
      <c r="F57" s="14"/>
      <c r="G57" s="14"/>
      <c r="H57" s="96">
        <v>0</v>
      </c>
      <c r="I57" s="96">
        <v>0</v>
      </c>
      <c r="J57" s="96">
        <v>0</v>
      </c>
      <c r="K57" s="96">
        <v>0</v>
      </c>
    </row>
    <row r="58" spans="1:13" ht="15.6" x14ac:dyDescent="0.3">
      <c r="A58" s="26" t="s">
        <v>84</v>
      </c>
      <c r="B58" s="26" t="s">
        <v>114</v>
      </c>
      <c r="C58" s="26" t="s">
        <v>107</v>
      </c>
      <c r="D58" s="14">
        <v>25722.790730000001</v>
      </c>
      <c r="E58" s="14">
        <v>3665.818119</v>
      </c>
      <c r="F58" s="198">
        <v>68849.509999999995</v>
      </c>
      <c r="G58" s="14">
        <v>770</v>
      </c>
      <c r="H58" s="96">
        <v>0</v>
      </c>
      <c r="I58" s="96">
        <v>327.60064</v>
      </c>
      <c r="J58" s="96">
        <v>0</v>
      </c>
      <c r="K58" s="96">
        <v>928</v>
      </c>
    </row>
    <row r="59" spans="1:13" ht="15.6" x14ac:dyDescent="0.3">
      <c r="A59" s="26" t="s">
        <v>37</v>
      </c>
      <c r="B59" s="26" t="s">
        <v>114</v>
      </c>
      <c r="C59" s="26" t="s">
        <v>107</v>
      </c>
      <c r="D59" s="14">
        <v>11471.962009999999</v>
      </c>
      <c r="E59" s="14"/>
      <c r="F59" s="14"/>
      <c r="G59" s="14"/>
      <c r="H59" s="96">
        <v>0</v>
      </c>
      <c r="I59" s="96">
        <v>0</v>
      </c>
      <c r="J59" s="96">
        <v>0</v>
      </c>
      <c r="K59" s="96">
        <v>0</v>
      </c>
      <c r="M59" s="133"/>
    </row>
    <row r="60" spans="1:13" ht="15.6" x14ac:dyDescent="0.3">
      <c r="A60" s="26" t="s">
        <v>35</v>
      </c>
      <c r="B60" s="26" t="s">
        <v>114</v>
      </c>
      <c r="C60" s="26" t="s">
        <v>107</v>
      </c>
      <c r="D60" s="14"/>
      <c r="E60" s="14"/>
      <c r="F60" s="14"/>
      <c r="G60" s="14"/>
      <c r="H60" s="96">
        <v>0</v>
      </c>
      <c r="I60" s="96">
        <v>0</v>
      </c>
      <c r="J60" s="96">
        <v>0</v>
      </c>
      <c r="K60" s="96">
        <v>0</v>
      </c>
      <c r="M60" s="133"/>
    </row>
    <row r="61" spans="1:13" ht="15.6" x14ac:dyDescent="0.3">
      <c r="A61" s="27" t="s">
        <v>86</v>
      </c>
      <c r="B61" s="27" t="s">
        <v>114</v>
      </c>
      <c r="C61" s="27" t="s">
        <v>107</v>
      </c>
      <c r="D61" s="14"/>
      <c r="E61" s="14"/>
      <c r="F61" s="14"/>
      <c r="G61" s="14">
        <v>2361</v>
      </c>
      <c r="H61" s="96">
        <v>0</v>
      </c>
      <c r="I61" s="96">
        <v>0</v>
      </c>
      <c r="J61" s="96">
        <v>24455.920687999998</v>
      </c>
      <c r="K61" s="96">
        <v>1937</v>
      </c>
      <c r="M61" s="133"/>
    </row>
    <row r="62" spans="1:13" ht="15.6" x14ac:dyDescent="0.3">
      <c r="A62" s="30" t="s">
        <v>16</v>
      </c>
      <c r="B62" s="26" t="s">
        <v>114</v>
      </c>
      <c r="C62" s="26" t="s">
        <v>107</v>
      </c>
      <c r="D62" s="14"/>
      <c r="E62" s="14"/>
      <c r="F62" s="14"/>
      <c r="G62" s="14"/>
      <c r="H62" s="96">
        <v>0</v>
      </c>
      <c r="I62" s="96">
        <v>0</v>
      </c>
      <c r="J62" s="96">
        <v>0</v>
      </c>
      <c r="K62" s="96">
        <v>0</v>
      </c>
    </row>
    <row r="63" spans="1:13" ht="15.6" x14ac:dyDescent="0.3">
      <c r="A63" s="194" t="s">
        <v>128</v>
      </c>
      <c r="B63" s="26" t="s">
        <v>114</v>
      </c>
      <c r="C63" s="27" t="s">
        <v>107</v>
      </c>
      <c r="D63" s="14"/>
      <c r="E63" s="14"/>
      <c r="F63" s="14"/>
      <c r="G63" s="14"/>
      <c r="H63" s="96"/>
      <c r="I63" s="96"/>
      <c r="J63" s="96"/>
      <c r="K63" s="96"/>
    </row>
    <row r="64" spans="1:13" ht="15.6" x14ac:dyDescent="0.3">
      <c r="A64" s="199" t="s">
        <v>131</v>
      </c>
      <c r="B64" s="26" t="s">
        <v>114</v>
      </c>
      <c r="C64" s="27" t="s">
        <v>107</v>
      </c>
      <c r="D64" s="14"/>
      <c r="E64" s="14">
        <v>8525.1917009999997</v>
      </c>
      <c r="F64" s="14">
        <v>412058.37</v>
      </c>
      <c r="G64" s="14"/>
      <c r="H64" s="96"/>
      <c r="I64" s="96"/>
      <c r="J64" s="96"/>
      <c r="K64" s="96"/>
    </row>
    <row r="65" spans="1:12" ht="16.2" thickBot="1" x14ac:dyDescent="0.35">
      <c r="A65" s="117" t="s">
        <v>99</v>
      </c>
      <c r="B65" s="26" t="s">
        <v>114</v>
      </c>
      <c r="C65" s="26" t="s">
        <v>107</v>
      </c>
      <c r="D65" s="14"/>
      <c r="E65" s="14">
        <v>840.44323799999995</v>
      </c>
      <c r="F65" s="14">
        <v>33500</v>
      </c>
      <c r="G65" s="14"/>
      <c r="H65" s="96"/>
      <c r="I65" s="96"/>
      <c r="J65" s="96"/>
      <c r="K65" s="96"/>
    </row>
    <row r="66" spans="1:12" ht="21.6" thickBot="1" x14ac:dyDescent="0.45">
      <c r="A66" s="123" t="s">
        <v>116</v>
      </c>
      <c r="B66" s="121"/>
      <c r="C66" s="121"/>
      <c r="D66" s="174">
        <f>SUM(D57:D65)</f>
        <v>37194.752739999996</v>
      </c>
      <c r="E66" s="174">
        <f t="shared" ref="E66:G66" si="6">SUM(E57:E65)</f>
        <v>13031.453057999999</v>
      </c>
      <c r="F66" s="174">
        <f t="shared" si="6"/>
        <v>514407.88</v>
      </c>
      <c r="G66" s="174">
        <f t="shared" si="6"/>
        <v>3131</v>
      </c>
      <c r="H66" s="174">
        <f>SUM(H57:H65)</f>
        <v>0</v>
      </c>
      <c r="I66" s="174">
        <f t="shared" ref="I66:K66" si="7">SUM(I57:I65)</f>
        <v>327.60064</v>
      </c>
      <c r="J66" s="174">
        <f t="shared" si="7"/>
        <v>24455.920687999998</v>
      </c>
      <c r="K66" s="174">
        <f t="shared" si="7"/>
        <v>2865</v>
      </c>
    </row>
    <row r="67" spans="1:12" ht="15.6" x14ac:dyDescent="0.3">
      <c r="A67" s="27" t="s">
        <v>77</v>
      </c>
      <c r="B67" s="26" t="s">
        <v>108</v>
      </c>
      <c r="C67" s="27" t="s">
        <v>102</v>
      </c>
      <c r="D67" s="197">
        <v>1364.2203480000001</v>
      </c>
      <c r="E67" s="197">
        <v>5035.9947510000002</v>
      </c>
      <c r="F67" s="197">
        <f>386802+282314</f>
        <v>669116</v>
      </c>
      <c r="G67" s="197"/>
      <c r="H67" s="96">
        <v>34940.319183999993</v>
      </c>
      <c r="I67" s="96">
        <v>340.81124799999998</v>
      </c>
      <c r="J67" s="96">
        <v>1807325.2443599999</v>
      </c>
      <c r="K67" s="96">
        <v>262685</v>
      </c>
      <c r="L67" s="133"/>
    </row>
    <row r="68" spans="1:12" ht="15.6" x14ac:dyDescent="0.3">
      <c r="A68" s="30" t="s">
        <v>40</v>
      </c>
      <c r="B68" s="26" t="s">
        <v>56</v>
      </c>
      <c r="C68" s="26" t="s">
        <v>103</v>
      </c>
      <c r="D68" s="195">
        <v>17891.809720000001</v>
      </c>
      <c r="E68" s="195"/>
      <c r="F68" s="195">
        <v>5530.63</v>
      </c>
      <c r="G68" s="195">
        <v>293835</v>
      </c>
      <c r="H68" s="96">
        <v>0</v>
      </c>
      <c r="I68" s="96">
        <v>1234.097976</v>
      </c>
      <c r="J68" s="96">
        <v>0</v>
      </c>
      <c r="K68" s="96">
        <v>129995</v>
      </c>
    </row>
    <row r="69" spans="1:12" ht="15.6" x14ac:dyDescent="0.3">
      <c r="A69" s="26" t="s">
        <v>90</v>
      </c>
      <c r="B69" s="26" t="s">
        <v>108</v>
      </c>
      <c r="C69" s="26" t="s">
        <v>103</v>
      </c>
      <c r="D69" s="195"/>
      <c r="E69" s="195"/>
      <c r="F69" s="195">
        <v>10532.36</v>
      </c>
      <c r="G69" s="195"/>
      <c r="H69" s="96">
        <v>0</v>
      </c>
      <c r="I69" s="96">
        <v>0</v>
      </c>
      <c r="J69" s="96">
        <v>77999.75</v>
      </c>
      <c r="K69" s="96">
        <v>0</v>
      </c>
    </row>
    <row r="70" spans="1:12" ht="15.6" x14ac:dyDescent="0.3">
      <c r="A70" s="26" t="s">
        <v>92</v>
      </c>
      <c r="B70" s="26" t="s">
        <v>56</v>
      </c>
      <c r="C70" s="26" t="s">
        <v>103</v>
      </c>
      <c r="D70" s="195">
        <v>29001.710620000002</v>
      </c>
      <c r="E70" s="195"/>
      <c r="F70" s="195">
        <v>44968.63</v>
      </c>
      <c r="G70" s="195">
        <v>16416</v>
      </c>
      <c r="H70" s="96">
        <v>0</v>
      </c>
      <c r="I70" s="96">
        <v>0</v>
      </c>
      <c r="J70" s="96">
        <v>0</v>
      </c>
      <c r="K70" s="96">
        <v>0</v>
      </c>
    </row>
    <row r="71" spans="1:12" ht="15.6" x14ac:dyDescent="0.3">
      <c r="A71" s="26" t="s">
        <v>93</v>
      </c>
      <c r="B71" s="26" t="s">
        <v>56</v>
      </c>
      <c r="C71" s="26" t="s">
        <v>103</v>
      </c>
      <c r="D71" s="195"/>
      <c r="E71" s="195"/>
      <c r="F71" s="195"/>
      <c r="G71" s="195"/>
      <c r="H71" s="96">
        <v>0</v>
      </c>
      <c r="I71" s="96">
        <v>0</v>
      </c>
      <c r="J71" s="96">
        <v>0</v>
      </c>
      <c r="K71" s="96">
        <v>90372</v>
      </c>
    </row>
    <row r="72" spans="1:12" ht="15.6" x14ac:dyDescent="0.3">
      <c r="A72" s="26" t="s">
        <v>100</v>
      </c>
      <c r="B72" s="26" t="s">
        <v>56</v>
      </c>
      <c r="C72" s="26" t="s">
        <v>103</v>
      </c>
      <c r="D72" s="195">
        <v>36671.365969999999</v>
      </c>
      <c r="E72" s="195">
        <v>415.75440600000002</v>
      </c>
      <c r="F72" s="195">
        <v>8400</v>
      </c>
      <c r="G72" s="195"/>
      <c r="H72" s="96">
        <v>6022.3683919999994</v>
      </c>
      <c r="I72" s="96"/>
      <c r="J72" s="96"/>
      <c r="K72" s="96"/>
      <c r="L72" s="138"/>
    </row>
    <row r="73" spans="1:12" ht="15.6" x14ac:dyDescent="0.3">
      <c r="A73" s="118" t="s">
        <v>101</v>
      </c>
      <c r="B73" s="26" t="s">
        <v>56</v>
      </c>
      <c r="C73" s="26" t="s">
        <v>103</v>
      </c>
      <c r="D73" s="195">
        <v>7788.0870990000003</v>
      </c>
      <c r="E73" s="195">
        <v>2291.2754730000001</v>
      </c>
      <c r="F73" s="195">
        <v>1633081.72</v>
      </c>
      <c r="G73" s="195"/>
      <c r="H73" s="96">
        <v>29417.443599999999</v>
      </c>
      <c r="I73" s="96">
        <v>6213.6697760000006</v>
      </c>
      <c r="J73" s="96">
        <v>466323.9</v>
      </c>
      <c r="K73" s="96">
        <v>16052</v>
      </c>
    </row>
    <row r="74" spans="1:12" ht="15.6" x14ac:dyDescent="0.3">
      <c r="A74" s="26" t="s">
        <v>81</v>
      </c>
      <c r="B74" s="26" t="s">
        <v>56</v>
      </c>
      <c r="C74" s="26" t="s">
        <v>103</v>
      </c>
      <c r="D74" s="195"/>
      <c r="E74" s="195"/>
      <c r="F74" s="195"/>
      <c r="G74" s="195"/>
      <c r="H74" s="96">
        <v>0</v>
      </c>
      <c r="I74" s="96">
        <v>0</v>
      </c>
      <c r="J74" s="96">
        <v>0</v>
      </c>
      <c r="K74" s="96">
        <v>0</v>
      </c>
    </row>
    <row r="75" spans="1:12" ht="21.6" thickBot="1" x14ac:dyDescent="0.3">
      <c r="A75" s="177" t="s">
        <v>44</v>
      </c>
      <c r="B75" s="178"/>
      <c r="C75" s="178"/>
      <c r="D75" s="179">
        <f>SUM(D67:D74)</f>
        <v>92717.193757000001</v>
      </c>
      <c r="E75" s="179">
        <f t="shared" ref="E75:G75" si="8">SUM(E67:E74)</f>
        <v>7743.0246299999999</v>
      </c>
      <c r="F75" s="179">
        <f t="shared" si="8"/>
        <v>2371629.34</v>
      </c>
      <c r="G75" s="179">
        <f t="shared" si="8"/>
        <v>310251</v>
      </c>
      <c r="H75" s="179">
        <f>SUM(H67:H74)</f>
        <v>70380.131175999995</v>
      </c>
      <c r="I75" s="179">
        <f t="shared" ref="I75:K75" si="9">SUM(I67:I74)</f>
        <v>7788.5790000000006</v>
      </c>
      <c r="J75" s="179">
        <f t="shared" si="9"/>
        <v>2351648.8943599998</v>
      </c>
      <c r="K75" s="179">
        <f t="shared" si="9"/>
        <v>499104</v>
      </c>
    </row>
    <row r="76" spans="1:12" ht="21.6" thickBot="1" x14ac:dyDescent="0.3">
      <c r="A76" s="122" t="s">
        <v>45</v>
      </c>
      <c r="B76" s="121"/>
      <c r="C76" s="121"/>
      <c r="D76" s="131">
        <f>D75+D66+D56+D22+D8</f>
        <v>1902110.61271</v>
      </c>
      <c r="E76" s="131">
        <f t="shared" ref="E76:G76" si="10">E75+E66+E56+E22+E8</f>
        <v>139945.21393100001</v>
      </c>
      <c r="F76" s="131">
        <f t="shared" si="10"/>
        <v>12507945.652399998</v>
      </c>
      <c r="G76" s="131">
        <f t="shared" si="10"/>
        <v>7440258</v>
      </c>
      <c r="H76" s="131">
        <f>H75+H66+H56+H22+H8</f>
        <v>792191.91920000024</v>
      </c>
      <c r="I76" s="131">
        <f t="shared" ref="I76:K76" si="11">I75+I66+I56+I22+I8</f>
        <v>237208.04393599997</v>
      </c>
      <c r="J76" s="131">
        <f t="shared" si="11"/>
        <v>7891915.8450480001</v>
      </c>
      <c r="K76" s="131">
        <f t="shared" si="11"/>
        <v>4936960</v>
      </c>
    </row>
    <row r="78" spans="1:12" x14ac:dyDescent="0.3">
      <c r="D78" s="6"/>
      <c r="E78" s="6"/>
      <c r="F78" s="6"/>
      <c r="G78" s="6"/>
    </row>
    <row r="80" spans="1:12" x14ac:dyDescent="0.3">
      <c r="G80" s="138"/>
    </row>
    <row r="83" spans="7:7" x14ac:dyDescent="0.3">
      <c r="G83" s="6"/>
    </row>
  </sheetData>
  <mergeCells count="2">
    <mergeCell ref="D1:G1"/>
    <mergeCell ref="H1:K1"/>
  </mergeCells>
  <conditionalFormatting sqref="A1">
    <cfRule type="duplicateValues" dxfId="171" priority="19"/>
    <cfRule type="duplicateValues" dxfId="170" priority="20"/>
  </conditionalFormatting>
  <conditionalFormatting sqref="A14">
    <cfRule type="duplicateValues" dxfId="169" priority="9"/>
    <cfRule type="duplicateValues" dxfId="168" priority="10"/>
  </conditionalFormatting>
  <conditionalFormatting sqref="A20">
    <cfRule type="duplicateValues" dxfId="167" priority="1"/>
    <cfRule type="duplicateValues" dxfId="166" priority="2"/>
  </conditionalFormatting>
  <conditionalFormatting sqref="A41">
    <cfRule type="duplicateValues" dxfId="165" priority="5"/>
    <cfRule type="duplicateValues" dxfId="164" priority="6"/>
  </conditionalFormatting>
  <conditionalFormatting sqref="A54">
    <cfRule type="duplicateValues" dxfId="163" priority="3"/>
    <cfRule type="duplicateValues" dxfId="162" priority="4"/>
  </conditionalFormatting>
  <conditionalFormatting sqref="A57">
    <cfRule type="duplicateValues" dxfId="161" priority="11"/>
    <cfRule type="duplicateValues" dxfId="160" priority="12"/>
  </conditionalFormatting>
  <conditionalFormatting sqref="A58:A60 A7 A23:A40 A62 A42:A53 A55">
    <cfRule type="duplicateValues" dxfId="159" priority="17"/>
    <cfRule type="duplicateValues" dxfId="158" priority="18"/>
  </conditionalFormatting>
  <conditionalFormatting sqref="A61">
    <cfRule type="duplicateValues" dxfId="157" priority="7"/>
    <cfRule type="duplicateValues" dxfId="156" priority="8"/>
  </conditionalFormatting>
  <conditionalFormatting sqref="A67:A74">
    <cfRule type="duplicateValues" dxfId="155" priority="15"/>
    <cfRule type="duplicateValues" dxfId="154" priority="16"/>
  </conditionalFormatting>
  <conditionalFormatting sqref="A75:A76 A2:A6 A8:A13 A15:A19 A56 A66 A21:A22">
    <cfRule type="duplicateValues" dxfId="153" priority="13"/>
    <cfRule type="duplicateValues" dxfId="152" priority="14"/>
  </conditionalFormatting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F1864-30CD-4899-A197-CCB85FE84C05}">
  <sheetPr>
    <tabColor rgb="FFFFC000"/>
  </sheetPr>
  <dimension ref="A1:M80"/>
  <sheetViews>
    <sheetView rightToLeft="1" zoomScaleNormal="100" workbookViewId="0">
      <pane ySplit="3" topLeftCell="A4" activePane="bottomLeft" state="frozen"/>
      <selection pane="bottomLeft" activeCell="L9" sqref="L9"/>
    </sheetView>
  </sheetViews>
  <sheetFormatPr defaultColWidth="30.09765625" defaultRowHeight="14.4" x14ac:dyDescent="0.3"/>
  <cols>
    <col min="1" max="1" width="30" style="32" bestFit="1" customWidth="1"/>
    <col min="2" max="2" width="11.3984375" style="32" customWidth="1"/>
    <col min="3" max="3" width="11.69921875" style="32" customWidth="1"/>
    <col min="4" max="4" width="16.8984375" customWidth="1"/>
    <col min="5" max="5" width="15.19921875" customWidth="1"/>
    <col min="6" max="6" width="16.8984375" customWidth="1"/>
    <col min="7" max="7" width="19" customWidth="1"/>
    <col min="8" max="9" width="15.19921875" style="3" customWidth="1"/>
    <col min="10" max="10" width="16.8984375" style="3" customWidth="1"/>
    <col min="11" max="11" width="19" customWidth="1"/>
  </cols>
  <sheetData>
    <row r="1" spans="1:11" ht="21" x14ac:dyDescent="0.25">
      <c r="A1" s="26"/>
      <c r="B1" s="26"/>
      <c r="C1" s="26"/>
      <c r="D1" s="241">
        <v>2025</v>
      </c>
      <c r="E1" s="241"/>
      <c r="F1" s="241"/>
      <c r="G1" s="241"/>
      <c r="H1" s="242">
        <v>2024</v>
      </c>
      <c r="I1" s="242"/>
      <c r="J1" s="242"/>
      <c r="K1" s="242"/>
    </row>
    <row r="2" spans="1:11" ht="21" x14ac:dyDescent="0.25">
      <c r="A2" s="11" t="s">
        <v>0</v>
      </c>
      <c r="B2" s="23" t="s">
        <v>53</v>
      </c>
      <c r="C2" s="23" t="s">
        <v>109</v>
      </c>
      <c r="D2" s="13" t="s">
        <v>46</v>
      </c>
      <c r="E2" s="13" t="s">
        <v>47</v>
      </c>
      <c r="F2" s="13" t="s">
        <v>48</v>
      </c>
      <c r="G2" s="13" t="s">
        <v>49</v>
      </c>
      <c r="H2" s="95" t="s">
        <v>46</v>
      </c>
      <c r="I2" s="95" t="s">
        <v>47</v>
      </c>
      <c r="J2" s="95" t="s">
        <v>48</v>
      </c>
      <c r="K2" s="95" t="s">
        <v>89</v>
      </c>
    </row>
    <row r="3" spans="1:11" ht="15.6" x14ac:dyDescent="0.3">
      <c r="A3" s="26" t="s">
        <v>1</v>
      </c>
      <c r="B3" s="26" t="s">
        <v>108</v>
      </c>
      <c r="C3" s="26" t="s">
        <v>58</v>
      </c>
      <c r="D3" s="195">
        <f>625978.92+D4+D5+D16+D52+D53+D65+D69+D70+D71</f>
        <v>807080.76000000013</v>
      </c>
      <c r="E3" s="195">
        <f>107589.592-E4-E5-E16-E52-E53-E65-E69-E70-E71</f>
        <v>56351.985000000015</v>
      </c>
      <c r="F3" s="195">
        <f>1356114-F4-F5-F52</f>
        <v>865430.31</v>
      </c>
      <c r="G3" s="195">
        <v>-6004215.5099999988</v>
      </c>
      <c r="H3" s="96">
        <v>1245803.3999999999</v>
      </c>
      <c r="I3" s="96">
        <v>52907.81200000002</v>
      </c>
      <c r="J3" s="96">
        <v>970500.19000000018</v>
      </c>
      <c r="K3" s="96">
        <v>8072792.3399999989</v>
      </c>
    </row>
    <row r="4" spans="1:11" ht="15.6" x14ac:dyDescent="0.3">
      <c r="A4" s="26" t="s">
        <v>2</v>
      </c>
      <c r="B4" s="26" t="s">
        <v>108</v>
      </c>
      <c r="C4" s="26" t="s">
        <v>58</v>
      </c>
      <c r="D4" s="195">
        <v>52468.92</v>
      </c>
      <c r="E4" s="195">
        <v>0</v>
      </c>
      <c r="F4" s="195">
        <v>186683.69</v>
      </c>
      <c r="G4" s="195">
        <v>-715667.9</v>
      </c>
      <c r="H4" s="96">
        <v>374379.48</v>
      </c>
      <c r="I4" s="96">
        <v>1686.94</v>
      </c>
      <c r="J4" s="96">
        <v>2300395.38</v>
      </c>
      <c r="K4" s="96">
        <v>3743883.850000001</v>
      </c>
    </row>
    <row r="5" spans="1:11" ht="15.6" x14ac:dyDescent="0.3">
      <c r="A5" s="26" t="s">
        <v>104</v>
      </c>
      <c r="B5" s="26" t="s">
        <v>108</v>
      </c>
      <c r="C5" s="26" t="s">
        <v>58</v>
      </c>
      <c r="D5" s="195">
        <v>0</v>
      </c>
      <c r="E5" s="195">
        <v>1069.818</v>
      </c>
      <c r="F5" s="195">
        <v>300000</v>
      </c>
      <c r="G5" s="195">
        <v>0</v>
      </c>
      <c r="H5" s="96"/>
      <c r="I5" s="96"/>
      <c r="J5" s="96"/>
      <c r="K5" s="96"/>
    </row>
    <row r="6" spans="1:11" ht="15.6" x14ac:dyDescent="0.3">
      <c r="A6" s="28" t="s">
        <v>105</v>
      </c>
      <c r="B6" s="26" t="s">
        <v>108</v>
      </c>
      <c r="C6" s="28" t="s">
        <v>58</v>
      </c>
      <c r="D6" s="196"/>
      <c r="E6" s="196"/>
      <c r="F6" s="196"/>
      <c r="G6" s="195">
        <v>0</v>
      </c>
      <c r="H6" s="96"/>
      <c r="I6" s="96"/>
      <c r="J6" s="96"/>
      <c r="K6" s="96"/>
    </row>
    <row r="7" spans="1:11" ht="16.2" thickBot="1" x14ac:dyDescent="0.35">
      <c r="A7" s="26" t="s">
        <v>34</v>
      </c>
      <c r="B7" s="26" t="s">
        <v>108</v>
      </c>
      <c r="C7" s="26" t="s">
        <v>58</v>
      </c>
      <c r="D7" s="195">
        <v>11100</v>
      </c>
      <c r="E7" s="195">
        <v>0</v>
      </c>
      <c r="F7" s="195"/>
      <c r="G7" s="195">
        <v>0</v>
      </c>
      <c r="H7" s="96">
        <v>0</v>
      </c>
      <c r="I7" s="96">
        <v>0</v>
      </c>
      <c r="J7" s="96">
        <v>0</v>
      </c>
      <c r="K7" s="96">
        <v>0</v>
      </c>
    </row>
    <row r="8" spans="1:11" ht="22.5" customHeight="1" thickBot="1" x14ac:dyDescent="0.45">
      <c r="A8" s="122" t="s">
        <v>3</v>
      </c>
      <c r="B8" s="121"/>
      <c r="C8" s="121"/>
      <c r="D8" s="174">
        <f>SUM(D3:D7)</f>
        <v>870649.68000000017</v>
      </c>
      <c r="E8" s="174">
        <f t="shared" ref="E8:G8" si="0">SUM(E3:E7)</f>
        <v>57421.803000000014</v>
      </c>
      <c r="F8" s="174">
        <f t="shared" si="0"/>
        <v>1352114</v>
      </c>
      <c r="G8" s="174">
        <f t="shared" si="0"/>
        <v>-6719883.4099999992</v>
      </c>
      <c r="H8" s="174">
        <f>SUM(H3:H7)</f>
        <v>1620182.88</v>
      </c>
      <c r="I8" s="174">
        <f t="shared" ref="I8:K8" si="1">SUM(I3:I7)</f>
        <v>54594.752000000022</v>
      </c>
      <c r="J8" s="174">
        <f t="shared" si="1"/>
        <v>3270895.5700000003</v>
      </c>
      <c r="K8" s="174">
        <f t="shared" si="1"/>
        <v>11816676.189999999</v>
      </c>
    </row>
    <row r="9" spans="1:11" ht="15.6" x14ac:dyDescent="0.3">
      <c r="A9" s="27" t="s">
        <v>4</v>
      </c>
      <c r="B9" s="26" t="s">
        <v>108</v>
      </c>
      <c r="C9" s="27" t="s">
        <v>106</v>
      </c>
      <c r="D9" s="197">
        <v>0</v>
      </c>
      <c r="E9" s="197">
        <v>1142.1030000000001</v>
      </c>
      <c r="F9" s="197"/>
      <c r="G9" s="195">
        <v>-208859.65</v>
      </c>
      <c r="H9" s="96">
        <v>0</v>
      </c>
      <c r="I9" s="96">
        <v>617.05600000000004</v>
      </c>
      <c r="J9" s="96">
        <v>0</v>
      </c>
      <c r="K9" s="96">
        <v>-661052.71</v>
      </c>
    </row>
    <row r="10" spans="1:11" ht="15.6" x14ac:dyDescent="0.3">
      <c r="A10" s="26" t="s">
        <v>5</v>
      </c>
      <c r="B10" s="26" t="s">
        <v>108</v>
      </c>
      <c r="C10" s="26" t="s">
        <v>106</v>
      </c>
      <c r="D10" s="195">
        <v>146017.56</v>
      </c>
      <c r="E10" s="195">
        <v>291010.62800000003</v>
      </c>
      <c r="F10" s="195">
        <v>315114</v>
      </c>
      <c r="G10" s="195">
        <v>222945.21</v>
      </c>
      <c r="H10" s="96">
        <v>361901.4</v>
      </c>
      <c r="I10" s="96">
        <v>271057.73</v>
      </c>
      <c r="J10" s="96">
        <v>86608.04</v>
      </c>
      <c r="K10" s="96">
        <v>518965.15</v>
      </c>
    </row>
    <row r="11" spans="1:11" ht="15.6" x14ac:dyDescent="0.3">
      <c r="A11" s="26" t="s">
        <v>6</v>
      </c>
      <c r="B11" s="26" t="s">
        <v>108</v>
      </c>
      <c r="C11" s="26" t="s">
        <v>106</v>
      </c>
      <c r="D11" s="195">
        <v>0</v>
      </c>
      <c r="E11" s="195">
        <v>15056.877</v>
      </c>
      <c r="F11" s="195"/>
      <c r="G11" s="195">
        <v>0</v>
      </c>
      <c r="H11" s="96">
        <v>61680</v>
      </c>
      <c r="I11" s="96">
        <v>9797.7549999999992</v>
      </c>
      <c r="J11" s="96">
        <v>0</v>
      </c>
      <c r="K11" s="96">
        <v>0</v>
      </c>
    </row>
    <row r="12" spans="1:11" ht="15.6" x14ac:dyDescent="0.3">
      <c r="A12" s="26" t="s">
        <v>7</v>
      </c>
      <c r="B12" s="26" t="s">
        <v>108</v>
      </c>
      <c r="C12" s="26" t="s">
        <v>106</v>
      </c>
      <c r="D12" s="195">
        <v>0</v>
      </c>
      <c r="E12" s="195">
        <v>-1228.845</v>
      </c>
      <c r="F12" s="195"/>
      <c r="G12" s="195">
        <v>0</v>
      </c>
      <c r="H12" s="96">
        <v>0</v>
      </c>
      <c r="I12" s="96">
        <v>0</v>
      </c>
      <c r="J12" s="96">
        <v>0</v>
      </c>
      <c r="K12" s="96">
        <v>0</v>
      </c>
    </row>
    <row r="13" spans="1:11" ht="15.6" x14ac:dyDescent="0.3">
      <c r="A13" s="26" t="s">
        <v>8</v>
      </c>
      <c r="B13" s="26" t="s">
        <v>108</v>
      </c>
      <c r="C13" s="26" t="s">
        <v>106</v>
      </c>
      <c r="D13" s="195">
        <v>10740</v>
      </c>
      <c r="E13" s="195">
        <v>85834.373999999996</v>
      </c>
      <c r="F13" s="195"/>
      <c r="G13" s="195">
        <v>0</v>
      </c>
      <c r="H13" s="96">
        <v>0</v>
      </c>
      <c r="I13" s="96">
        <v>133819.67000000001</v>
      </c>
      <c r="J13" s="96">
        <v>369399.56</v>
      </c>
      <c r="K13" s="96">
        <v>53776.81</v>
      </c>
    </row>
    <row r="14" spans="1:11" ht="15.6" x14ac:dyDescent="0.3">
      <c r="A14" s="26" t="s">
        <v>9</v>
      </c>
      <c r="B14" s="26" t="s">
        <v>108</v>
      </c>
      <c r="C14" s="26" t="s">
        <v>106</v>
      </c>
      <c r="D14" s="195">
        <v>86130.96</v>
      </c>
      <c r="E14" s="195">
        <v>20466.993999999999</v>
      </c>
      <c r="F14" s="195">
        <v>170200</v>
      </c>
      <c r="G14" s="195">
        <v>706151.35</v>
      </c>
      <c r="H14" s="96">
        <v>292417.8</v>
      </c>
      <c r="I14" s="96">
        <v>0</v>
      </c>
      <c r="J14" s="96">
        <v>91462</v>
      </c>
      <c r="K14" s="96">
        <v>3784313.4200000004</v>
      </c>
    </row>
    <row r="15" spans="1:11" ht="15.6" x14ac:dyDescent="0.3">
      <c r="A15" s="26" t="s">
        <v>31</v>
      </c>
      <c r="B15" s="26" t="s">
        <v>108</v>
      </c>
      <c r="C15" s="26" t="s">
        <v>106</v>
      </c>
      <c r="D15" s="195"/>
      <c r="E15" s="195"/>
      <c r="F15" s="195"/>
      <c r="G15" s="195">
        <v>0</v>
      </c>
      <c r="H15" s="96">
        <v>0</v>
      </c>
      <c r="I15" s="96">
        <v>0</v>
      </c>
      <c r="J15" s="96">
        <v>0</v>
      </c>
      <c r="K15" s="96">
        <v>1145.165</v>
      </c>
    </row>
    <row r="16" spans="1:11" ht="15.6" x14ac:dyDescent="0.3">
      <c r="A16" s="26" t="s">
        <v>96</v>
      </c>
      <c r="B16" s="26" t="s">
        <v>108</v>
      </c>
      <c r="C16" s="26" t="s">
        <v>106</v>
      </c>
      <c r="D16" s="195">
        <v>0</v>
      </c>
      <c r="E16" s="195">
        <v>2638.53</v>
      </c>
      <c r="F16" s="195"/>
      <c r="G16" s="195">
        <v>0</v>
      </c>
      <c r="H16" s="96">
        <v>0</v>
      </c>
      <c r="I16" s="96">
        <v>8828.4920000000002</v>
      </c>
      <c r="J16" s="96">
        <v>0</v>
      </c>
      <c r="K16" s="96">
        <v>0</v>
      </c>
    </row>
    <row r="17" spans="1:11" ht="15.6" x14ac:dyDescent="0.3">
      <c r="A17" s="26" t="s">
        <v>42</v>
      </c>
      <c r="B17" s="26" t="s">
        <v>108</v>
      </c>
      <c r="C17" s="26" t="s">
        <v>106</v>
      </c>
      <c r="D17" s="195">
        <v>0</v>
      </c>
      <c r="E17" s="195">
        <v>47933.179000000004</v>
      </c>
      <c r="F17" s="195">
        <v>1000</v>
      </c>
      <c r="G17" s="195">
        <v>-1063959.48</v>
      </c>
      <c r="H17" s="96">
        <v>16415.759999999998</v>
      </c>
      <c r="I17" s="96">
        <v>8344.3919999999998</v>
      </c>
      <c r="J17" s="96">
        <v>45600.800000000003</v>
      </c>
      <c r="K17" s="96">
        <v>190696.06999999998</v>
      </c>
    </row>
    <row r="18" spans="1:11" ht="15.6" x14ac:dyDescent="0.3">
      <c r="A18" s="26" t="s">
        <v>43</v>
      </c>
      <c r="B18" s="26" t="s">
        <v>108</v>
      </c>
      <c r="C18" s="26" t="s">
        <v>106</v>
      </c>
      <c r="D18" s="195">
        <v>213669.36</v>
      </c>
      <c r="E18" s="195">
        <v>58128.077999999994</v>
      </c>
      <c r="F18" s="201">
        <v>1083939</v>
      </c>
      <c r="G18" s="195">
        <v>2017308.5149999999</v>
      </c>
      <c r="H18" s="96">
        <v>463539.12</v>
      </c>
      <c r="I18" s="96">
        <v>19829.883999999998</v>
      </c>
      <c r="J18" s="96">
        <v>881039.98</v>
      </c>
      <c r="K18" s="96">
        <v>6105571.5800000001</v>
      </c>
    </row>
    <row r="19" spans="1:11" ht="15.6" x14ac:dyDescent="0.3">
      <c r="A19" s="26" t="s">
        <v>30</v>
      </c>
      <c r="B19" s="26" t="s">
        <v>108</v>
      </c>
      <c r="C19" s="26" t="s">
        <v>106</v>
      </c>
      <c r="D19" s="195">
        <v>1198478.6400000001</v>
      </c>
      <c r="E19" s="195">
        <v>61195.245999999992</v>
      </c>
      <c r="F19" s="195"/>
      <c r="G19" s="195">
        <v>-14201.174999999999</v>
      </c>
      <c r="H19" s="96">
        <v>0</v>
      </c>
      <c r="I19" s="96">
        <v>0</v>
      </c>
      <c r="J19" s="96">
        <v>4000</v>
      </c>
      <c r="K19" s="96">
        <v>38422.42</v>
      </c>
    </row>
    <row r="20" spans="1:11" ht="15.6" x14ac:dyDescent="0.3">
      <c r="A20" s="28" t="s">
        <v>130</v>
      </c>
      <c r="B20" s="26" t="s">
        <v>108</v>
      </c>
      <c r="C20" s="26" t="s">
        <v>106</v>
      </c>
      <c r="D20" s="196"/>
      <c r="E20" s="196"/>
      <c r="F20" s="196"/>
      <c r="G20" s="195">
        <v>0</v>
      </c>
      <c r="H20" s="96"/>
      <c r="I20" s="96"/>
      <c r="J20" s="96"/>
      <c r="K20" s="96"/>
    </row>
    <row r="21" spans="1:11" ht="16.2" thickBot="1" x14ac:dyDescent="0.35">
      <c r="A21" s="28" t="s">
        <v>38</v>
      </c>
      <c r="B21" s="26" t="s">
        <v>108</v>
      </c>
      <c r="C21" s="28" t="s">
        <v>106</v>
      </c>
      <c r="D21" s="196"/>
      <c r="E21" s="196"/>
      <c r="F21" s="196"/>
      <c r="G21" s="195">
        <v>0</v>
      </c>
      <c r="H21" s="96">
        <v>0</v>
      </c>
      <c r="I21" s="96">
        <v>0</v>
      </c>
      <c r="J21" s="96">
        <v>128164.59</v>
      </c>
      <c r="K21" s="96">
        <v>0</v>
      </c>
    </row>
    <row r="22" spans="1:11" ht="21.6" thickBot="1" x14ac:dyDescent="0.45">
      <c r="A22" s="122" t="s">
        <v>10</v>
      </c>
      <c r="B22" s="121"/>
      <c r="C22" s="121"/>
      <c r="D22" s="174">
        <f>SUM(D9:D21)</f>
        <v>1655036.52</v>
      </c>
      <c r="E22" s="174">
        <f t="shared" ref="E22:K22" si="2">SUM(E9:E21)</f>
        <v>582177.16400000011</v>
      </c>
      <c r="F22" s="174">
        <f t="shared" si="2"/>
        <v>1570253</v>
      </c>
      <c r="G22" s="174">
        <f t="shared" si="2"/>
        <v>1659384.7699999998</v>
      </c>
      <c r="H22" s="174">
        <f t="shared" si="2"/>
        <v>1195954.08</v>
      </c>
      <c r="I22" s="174">
        <f t="shared" si="2"/>
        <v>452294.97900000005</v>
      </c>
      <c r="J22" s="174">
        <f t="shared" si="2"/>
        <v>1606274.97</v>
      </c>
      <c r="K22" s="174">
        <f t="shared" si="2"/>
        <v>10031837.904999999</v>
      </c>
    </row>
    <row r="23" spans="1:11" ht="15.6" x14ac:dyDescent="0.3">
      <c r="A23" s="27" t="s">
        <v>11</v>
      </c>
      <c r="B23" s="27" t="s">
        <v>56</v>
      </c>
      <c r="C23" s="27" t="s">
        <v>107</v>
      </c>
      <c r="D23" s="18"/>
      <c r="E23" s="18"/>
      <c r="F23" s="18">
        <v>81642.84</v>
      </c>
      <c r="G23" s="195">
        <v>1862683.93</v>
      </c>
      <c r="H23" s="96">
        <v>0</v>
      </c>
      <c r="I23" s="96">
        <v>0</v>
      </c>
      <c r="J23" s="96">
        <v>0</v>
      </c>
      <c r="K23" s="96">
        <v>0</v>
      </c>
    </row>
    <row r="24" spans="1:11" ht="15.6" x14ac:dyDescent="0.3">
      <c r="A24" s="30" t="s">
        <v>12</v>
      </c>
      <c r="B24" s="26" t="s">
        <v>56</v>
      </c>
      <c r="C24" s="26" t="s">
        <v>107</v>
      </c>
      <c r="D24" s="14"/>
      <c r="E24" s="14"/>
      <c r="F24" s="14"/>
      <c r="G24" s="195">
        <v>0</v>
      </c>
      <c r="H24" s="96">
        <v>0</v>
      </c>
      <c r="I24" s="96">
        <v>0</v>
      </c>
      <c r="J24" s="96">
        <v>0</v>
      </c>
      <c r="K24" s="96">
        <v>0</v>
      </c>
    </row>
    <row r="25" spans="1:11" ht="15.6" x14ac:dyDescent="0.3">
      <c r="A25" s="30" t="s">
        <v>13</v>
      </c>
      <c r="B25" s="26" t="s">
        <v>56</v>
      </c>
      <c r="C25" s="26" t="s">
        <v>107</v>
      </c>
      <c r="D25" s="14"/>
      <c r="E25" s="14"/>
      <c r="F25" s="14"/>
      <c r="G25" s="195">
        <v>0</v>
      </c>
      <c r="H25" s="96">
        <v>0</v>
      </c>
      <c r="I25" s="96">
        <v>0</v>
      </c>
      <c r="J25" s="96">
        <v>0</v>
      </c>
      <c r="K25" s="96">
        <v>0</v>
      </c>
    </row>
    <row r="26" spans="1:11" ht="15.6" x14ac:dyDescent="0.3">
      <c r="A26" s="26" t="s">
        <v>14</v>
      </c>
      <c r="B26" s="26" t="s">
        <v>55</v>
      </c>
      <c r="C26" s="26" t="s">
        <v>107</v>
      </c>
      <c r="D26" s="14"/>
      <c r="E26" s="14"/>
      <c r="F26" s="14"/>
      <c r="G26" s="195">
        <v>0</v>
      </c>
      <c r="H26" s="96">
        <v>0</v>
      </c>
      <c r="I26" s="96">
        <v>0</v>
      </c>
      <c r="J26" s="96">
        <v>0</v>
      </c>
      <c r="K26" s="96">
        <v>0</v>
      </c>
    </row>
    <row r="27" spans="1:11" ht="15.6" x14ac:dyDescent="0.3">
      <c r="A27" s="30" t="s">
        <v>15</v>
      </c>
      <c r="B27" s="26" t="s">
        <v>56</v>
      </c>
      <c r="C27" s="26" t="s">
        <v>107</v>
      </c>
      <c r="D27" s="14"/>
      <c r="E27" s="14"/>
      <c r="F27" s="14"/>
      <c r="G27" s="195">
        <v>-1795.59</v>
      </c>
      <c r="H27" s="96">
        <v>11248.2</v>
      </c>
      <c r="I27" s="96">
        <v>0</v>
      </c>
      <c r="J27" s="96">
        <v>0</v>
      </c>
      <c r="K27" s="96">
        <v>0</v>
      </c>
    </row>
    <row r="28" spans="1:11" ht="15.6" x14ac:dyDescent="0.3">
      <c r="A28" s="30" t="s">
        <v>17</v>
      </c>
      <c r="B28" s="26" t="s">
        <v>56</v>
      </c>
      <c r="C28" s="26" t="s">
        <v>107</v>
      </c>
      <c r="D28" s="14"/>
      <c r="E28" s="14"/>
      <c r="F28" s="14"/>
      <c r="G28" s="195">
        <v>0</v>
      </c>
      <c r="H28" s="96">
        <v>0</v>
      </c>
      <c r="I28" s="96">
        <v>2327.9839999999999</v>
      </c>
      <c r="J28" s="96">
        <v>0</v>
      </c>
      <c r="K28" s="96">
        <v>0</v>
      </c>
    </row>
    <row r="29" spans="1:11" ht="15.6" x14ac:dyDescent="0.3">
      <c r="A29" s="30" t="s">
        <v>18</v>
      </c>
      <c r="B29" s="26" t="s">
        <v>56</v>
      </c>
      <c r="C29" s="26" t="s">
        <v>107</v>
      </c>
      <c r="D29" s="14">
        <v>0</v>
      </c>
      <c r="E29" s="14">
        <v>3422.598</v>
      </c>
      <c r="F29" s="14">
        <v>173481.28</v>
      </c>
      <c r="G29" s="195">
        <v>0</v>
      </c>
      <c r="H29" s="96">
        <v>0</v>
      </c>
      <c r="I29" s="96">
        <v>10188.312000000002</v>
      </c>
      <c r="J29" s="96">
        <v>115731.21</v>
      </c>
      <c r="K29" s="96">
        <v>0</v>
      </c>
    </row>
    <row r="30" spans="1:11" ht="15.6" x14ac:dyDescent="0.3">
      <c r="A30" s="26" t="s">
        <v>19</v>
      </c>
      <c r="B30" s="26" t="s">
        <v>56</v>
      </c>
      <c r="C30" s="26" t="s">
        <v>107</v>
      </c>
      <c r="D30" s="14"/>
      <c r="E30" s="14"/>
      <c r="F30" s="14"/>
      <c r="G30" s="195">
        <v>0</v>
      </c>
      <c r="H30" s="96">
        <v>0</v>
      </c>
      <c r="I30" s="96">
        <v>1893.24</v>
      </c>
      <c r="J30" s="96">
        <v>0</v>
      </c>
      <c r="K30" s="96">
        <v>0</v>
      </c>
    </row>
    <row r="31" spans="1:11" ht="15.6" x14ac:dyDescent="0.3">
      <c r="A31" s="26" t="s">
        <v>20</v>
      </c>
      <c r="B31" s="26" t="s">
        <v>56</v>
      </c>
      <c r="C31" s="26" t="s">
        <v>107</v>
      </c>
      <c r="D31" s="14">
        <v>0</v>
      </c>
      <c r="E31" s="14">
        <v>8573.9330000000009</v>
      </c>
      <c r="F31" s="14">
        <v>122699</v>
      </c>
      <c r="G31" s="195">
        <v>-1280104.43</v>
      </c>
      <c r="H31" s="96">
        <v>153330.23999999999</v>
      </c>
      <c r="I31" s="96">
        <v>23115.944</v>
      </c>
      <c r="J31" s="96">
        <v>86574.44</v>
      </c>
      <c r="K31" s="96">
        <v>2167577.7999999989</v>
      </c>
    </row>
    <row r="32" spans="1:11" ht="15.6" x14ac:dyDescent="0.3">
      <c r="A32" s="26" t="s">
        <v>21</v>
      </c>
      <c r="B32" s="26" t="s">
        <v>56</v>
      </c>
      <c r="C32" s="26" t="s">
        <v>107</v>
      </c>
      <c r="D32" s="14"/>
      <c r="E32" s="14"/>
      <c r="F32" s="14"/>
      <c r="G32" s="195">
        <v>0</v>
      </c>
      <c r="H32" s="96">
        <v>0</v>
      </c>
      <c r="I32" s="96">
        <v>1738.9760000000001</v>
      </c>
      <c r="J32" s="96">
        <v>0</v>
      </c>
      <c r="K32" s="96">
        <v>0</v>
      </c>
    </row>
    <row r="33" spans="1:12" ht="15.6" x14ac:dyDescent="0.3">
      <c r="A33" s="26" t="s">
        <v>22</v>
      </c>
      <c r="B33" s="26" t="s">
        <v>56</v>
      </c>
      <c r="C33" s="26" t="s">
        <v>107</v>
      </c>
      <c r="D33" s="14"/>
      <c r="E33" s="14"/>
      <c r="F33" s="14"/>
      <c r="G33" s="195">
        <v>0</v>
      </c>
      <c r="H33" s="96">
        <v>0</v>
      </c>
      <c r="I33" s="96">
        <v>0</v>
      </c>
      <c r="J33" s="96">
        <v>0</v>
      </c>
      <c r="K33" s="96">
        <v>0</v>
      </c>
    </row>
    <row r="34" spans="1:12" ht="15.6" x14ac:dyDescent="0.3">
      <c r="A34" s="26" t="s">
        <v>23</v>
      </c>
      <c r="B34" s="26" t="s">
        <v>56</v>
      </c>
      <c r="C34" s="26" t="s">
        <v>107</v>
      </c>
      <c r="D34" s="14"/>
      <c r="E34" s="14"/>
      <c r="F34" s="14"/>
      <c r="G34" s="195">
        <v>0</v>
      </c>
      <c r="H34" s="96">
        <v>0</v>
      </c>
      <c r="I34" s="96">
        <v>0</v>
      </c>
      <c r="J34" s="96">
        <v>0</v>
      </c>
      <c r="K34" s="96">
        <v>0</v>
      </c>
    </row>
    <row r="35" spans="1:12" ht="15.6" x14ac:dyDescent="0.3">
      <c r="A35" s="26" t="s">
        <v>24</v>
      </c>
      <c r="B35" s="26" t="s">
        <v>56</v>
      </c>
      <c r="C35" s="26" t="s">
        <v>107</v>
      </c>
      <c r="D35" s="14">
        <v>0</v>
      </c>
      <c r="E35" s="14">
        <v>2995.1689999999999</v>
      </c>
      <c r="F35" s="14"/>
      <c r="G35" s="195">
        <v>0</v>
      </c>
      <c r="H35" s="96">
        <v>0</v>
      </c>
      <c r="I35" s="96">
        <v>-506.70600000000002</v>
      </c>
      <c r="J35" s="96">
        <v>0</v>
      </c>
      <c r="K35" s="96">
        <v>0</v>
      </c>
    </row>
    <row r="36" spans="1:12" ht="15.6" x14ac:dyDescent="0.3">
      <c r="A36" s="30" t="s">
        <v>25</v>
      </c>
      <c r="B36" s="26" t="s">
        <v>56</v>
      </c>
      <c r="C36" s="26" t="s">
        <v>107</v>
      </c>
      <c r="D36" s="14">
        <v>57240.959999999999</v>
      </c>
      <c r="E36" s="14">
        <v>0</v>
      </c>
      <c r="F36" s="14"/>
      <c r="G36" s="195">
        <v>-103331.13</v>
      </c>
      <c r="H36" s="96">
        <v>0</v>
      </c>
      <c r="I36" s="96">
        <v>0</v>
      </c>
      <c r="J36" s="96">
        <v>0</v>
      </c>
      <c r="K36" s="96">
        <v>-240512.82000000004</v>
      </c>
    </row>
    <row r="37" spans="1:12" ht="15.6" x14ac:dyDescent="0.3">
      <c r="A37" s="26" t="s">
        <v>26</v>
      </c>
      <c r="B37" s="26" t="s">
        <v>56</v>
      </c>
      <c r="C37" s="26" t="s">
        <v>107</v>
      </c>
      <c r="D37" s="14">
        <v>2262</v>
      </c>
      <c r="E37" s="14">
        <v>0</v>
      </c>
      <c r="F37" s="14"/>
      <c r="G37" s="195">
        <v>0</v>
      </c>
      <c r="H37" s="96">
        <v>0</v>
      </c>
      <c r="I37" s="96">
        <v>0</v>
      </c>
      <c r="J37" s="96">
        <v>0</v>
      </c>
      <c r="K37" s="96">
        <v>0</v>
      </c>
    </row>
    <row r="38" spans="1:12" ht="15.6" x14ac:dyDescent="0.3">
      <c r="A38" s="26" t="s">
        <v>27</v>
      </c>
      <c r="B38" s="26" t="s">
        <v>56</v>
      </c>
      <c r="C38" s="26" t="s">
        <v>107</v>
      </c>
      <c r="D38" s="14">
        <v>44755.199999999997</v>
      </c>
      <c r="E38" s="14">
        <v>-3440.7660000000001</v>
      </c>
      <c r="F38" s="14">
        <v>23102.44</v>
      </c>
      <c r="G38" s="195">
        <v>-580576.23</v>
      </c>
      <c r="H38" s="96">
        <v>0</v>
      </c>
      <c r="I38" s="96">
        <v>-5469.36</v>
      </c>
      <c r="J38" s="96">
        <v>0</v>
      </c>
      <c r="K38" s="96">
        <v>-189304.57000000004</v>
      </c>
    </row>
    <row r="39" spans="1:12" ht="15.6" x14ac:dyDescent="0.3">
      <c r="A39" s="26" t="s">
        <v>28</v>
      </c>
      <c r="B39" s="26" t="s">
        <v>56</v>
      </c>
      <c r="C39" s="26" t="s">
        <v>107</v>
      </c>
      <c r="D39" s="14"/>
      <c r="E39" s="14"/>
      <c r="F39" s="14"/>
      <c r="G39" s="195">
        <v>0</v>
      </c>
      <c r="H39" s="96">
        <v>0</v>
      </c>
      <c r="I39" s="96">
        <v>0</v>
      </c>
      <c r="J39" s="96">
        <v>0</v>
      </c>
      <c r="K39" s="96">
        <v>0</v>
      </c>
    </row>
    <row r="40" spans="1:12" ht="15.6" x14ac:dyDescent="0.3">
      <c r="A40" s="26" t="s">
        <v>29</v>
      </c>
      <c r="B40" s="26" t="s">
        <v>56</v>
      </c>
      <c r="C40" s="26" t="s">
        <v>107</v>
      </c>
      <c r="D40" s="14"/>
      <c r="E40" s="14"/>
      <c r="F40" s="14"/>
      <c r="G40" s="195">
        <v>0</v>
      </c>
      <c r="H40" s="96">
        <v>0</v>
      </c>
      <c r="I40" s="96">
        <v>0</v>
      </c>
      <c r="J40" s="96">
        <v>0</v>
      </c>
      <c r="K40" s="96">
        <v>0</v>
      </c>
    </row>
    <row r="41" spans="1:12" ht="15.6" x14ac:dyDescent="0.3">
      <c r="A41" s="26" t="s">
        <v>98</v>
      </c>
      <c r="B41" s="26" t="s">
        <v>55</v>
      </c>
      <c r="C41" s="26" t="s">
        <v>107</v>
      </c>
      <c r="D41" s="14"/>
      <c r="E41" s="14"/>
      <c r="F41" s="14"/>
      <c r="G41" s="195">
        <v>0</v>
      </c>
      <c r="H41" s="96">
        <v>0</v>
      </c>
      <c r="I41" s="96">
        <v>0</v>
      </c>
      <c r="J41" s="96">
        <v>0</v>
      </c>
      <c r="K41" s="96">
        <v>0</v>
      </c>
    </row>
    <row r="42" spans="1:12" ht="15.6" x14ac:dyDescent="0.3">
      <c r="A42" s="26" t="s">
        <v>32</v>
      </c>
      <c r="B42" s="26" t="s">
        <v>55</v>
      </c>
      <c r="C42" s="26" t="s">
        <v>107</v>
      </c>
      <c r="D42" s="14"/>
      <c r="E42" s="14"/>
      <c r="F42" s="14"/>
      <c r="G42" s="195">
        <v>0</v>
      </c>
      <c r="H42" s="96">
        <v>0</v>
      </c>
      <c r="I42" s="96">
        <v>0</v>
      </c>
      <c r="J42" s="96">
        <v>0</v>
      </c>
      <c r="K42" s="96">
        <v>0</v>
      </c>
    </row>
    <row r="43" spans="1:12" ht="15.6" x14ac:dyDescent="0.3">
      <c r="A43" s="30" t="s">
        <v>95</v>
      </c>
      <c r="B43" s="26" t="s">
        <v>56</v>
      </c>
      <c r="C43" s="26" t="s">
        <v>107</v>
      </c>
      <c r="D43" s="14"/>
      <c r="E43" s="14"/>
      <c r="F43" s="14"/>
      <c r="G43" s="195">
        <v>-1203.1199999999999</v>
      </c>
      <c r="H43" s="96">
        <v>0</v>
      </c>
      <c r="I43" s="96">
        <v>0</v>
      </c>
      <c r="J43" s="96">
        <v>0</v>
      </c>
      <c r="K43" s="96">
        <v>0</v>
      </c>
    </row>
    <row r="44" spans="1:12" ht="15.6" x14ac:dyDescent="0.3">
      <c r="A44" s="26" t="s">
        <v>83</v>
      </c>
      <c r="B44" s="26" t="s">
        <v>56</v>
      </c>
      <c r="C44" s="26" t="s">
        <v>107</v>
      </c>
      <c r="D44" s="14">
        <v>9990</v>
      </c>
      <c r="E44" s="14">
        <v>17120.12</v>
      </c>
      <c r="F44" s="14"/>
      <c r="G44" s="195">
        <v>0</v>
      </c>
      <c r="H44" s="96">
        <v>99417.600000000006</v>
      </c>
      <c r="I44" s="96">
        <v>16242.472000000002</v>
      </c>
      <c r="J44" s="96">
        <v>9600</v>
      </c>
      <c r="K44" s="96">
        <v>85019.91</v>
      </c>
    </row>
    <row r="45" spans="1:12" ht="15.6" x14ac:dyDescent="0.3">
      <c r="A45" s="26" t="s">
        <v>82</v>
      </c>
      <c r="B45" s="26" t="s">
        <v>56</v>
      </c>
      <c r="C45" s="26" t="s">
        <v>107</v>
      </c>
      <c r="D45" s="14">
        <v>5141.88</v>
      </c>
      <c r="E45" s="14">
        <v>10741.550999999999</v>
      </c>
      <c r="F45" s="14">
        <v>495701</v>
      </c>
      <c r="G45" s="195">
        <v>732722.41</v>
      </c>
      <c r="H45" s="96">
        <v>0</v>
      </c>
      <c r="I45" s="96">
        <v>2931.692</v>
      </c>
      <c r="J45" s="96">
        <v>7800</v>
      </c>
      <c r="K45" s="96">
        <v>2999462.9299999997</v>
      </c>
    </row>
    <row r="46" spans="1:12" ht="15.6" x14ac:dyDescent="0.3">
      <c r="A46" s="26" t="s">
        <v>36</v>
      </c>
      <c r="B46" s="26" t="s">
        <v>55</v>
      </c>
      <c r="C46" s="26" t="s">
        <v>107</v>
      </c>
      <c r="D46" s="14"/>
      <c r="E46" s="14"/>
      <c r="F46" s="14"/>
      <c r="G46" s="195">
        <v>0</v>
      </c>
      <c r="H46" s="96">
        <v>0</v>
      </c>
      <c r="I46" s="96">
        <v>0</v>
      </c>
      <c r="J46" s="96">
        <v>0</v>
      </c>
      <c r="K46" s="96">
        <v>0</v>
      </c>
    </row>
    <row r="47" spans="1:12" ht="15.6" x14ac:dyDescent="0.3">
      <c r="A47" s="26" t="s">
        <v>94</v>
      </c>
      <c r="B47" s="26" t="s">
        <v>55</v>
      </c>
      <c r="C47" s="26" t="s">
        <v>107</v>
      </c>
      <c r="D47" s="14"/>
      <c r="E47" s="14"/>
      <c r="F47" s="14"/>
      <c r="G47" s="195">
        <v>0</v>
      </c>
      <c r="H47" s="96">
        <v>0</v>
      </c>
      <c r="I47" s="96">
        <v>0</v>
      </c>
      <c r="J47" s="96">
        <v>0</v>
      </c>
      <c r="K47" s="96">
        <v>-115261.93999999999</v>
      </c>
      <c r="L47" s="138"/>
    </row>
    <row r="48" spans="1:12" ht="15.6" x14ac:dyDescent="0.3">
      <c r="A48" s="26" t="s">
        <v>85</v>
      </c>
      <c r="B48" s="26" t="s">
        <v>56</v>
      </c>
      <c r="C48" s="26" t="s">
        <v>107</v>
      </c>
      <c r="D48" s="14">
        <v>0</v>
      </c>
      <c r="E48" s="14">
        <v>5594.8389999999999</v>
      </c>
      <c r="F48" s="14"/>
      <c r="G48" s="195">
        <v>0</v>
      </c>
      <c r="H48" s="96">
        <v>0</v>
      </c>
      <c r="I48" s="96">
        <v>0</v>
      </c>
      <c r="J48" s="96">
        <v>0</v>
      </c>
      <c r="K48" s="96">
        <v>0</v>
      </c>
    </row>
    <row r="49" spans="1:13" ht="15.6" x14ac:dyDescent="0.3">
      <c r="A49" s="26" t="s">
        <v>87</v>
      </c>
      <c r="B49" s="26" t="s">
        <v>56</v>
      </c>
      <c r="C49" s="26" t="s">
        <v>107</v>
      </c>
      <c r="D49" s="195">
        <v>3349.2</v>
      </c>
      <c r="E49" s="195">
        <v>-4033.5030000000002</v>
      </c>
      <c r="F49" s="195">
        <v>926390</v>
      </c>
      <c r="G49" s="195">
        <v>955923.42</v>
      </c>
      <c r="H49" s="96">
        <v>0</v>
      </c>
      <c r="I49" s="96">
        <v>0</v>
      </c>
      <c r="J49" s="96">
        <v>177425</v>
      </c>
      <c r="K49" s="96">
        <v>0</v>
      </c>
    </row>
    <row r="50" spans="1:13" ht="15.6" x14ac:dyDescent="0.3">
      <c r="A50" s="26" t="s">
        <v>97</v>
      </c>
      <c r="B50" s="26" t="s">
        <v>56</v>
      </c>
      <c r="C50" s="26" t="s">
        <v>107</v>
      </c>
      <c r="D50" s="195"/>
      <c r="E50" s="195"/>
      <c r="F50" s="195"/>
      <c r="G50" s="195">
        <v>0</v>
      </c>
      <c r="H50" s="96">
        <v>0</v>
      </c>
      <c r="I50" s="96">
        <v>0</v>
      </c>
      <c r="J50" s="96">
        <v>0</v>
      </c>
      <c r="K50" s="96">
        <v>0</v>
      </c>
    </row>
    <row r="51" spans="1:13" ht="15.6" x14ac:dyDescent="0.3">
      <c r="A51" s="26" t="s">
        <v>39</v>
      </c>
      <c r="B51" s="26" t="s">
        <v>56</v>
      </c>
      <c r="C51" s="26" t="s">
        <v>107</v>
      </c>
      <c r="D51" s="195"/>
      <c r="E51" s="195"/>
      <c r="F51" s="195"/>
      <c r="G51" s="195">
        <v>0</v>
      </c>
      <c r="H51" s="96">
        <v>0</v>
      </c>
      <c r="I51" s="96">
        <v>0</v>
      </c>
      <c r="J51" s="96">
        <v>0</v>
      </c>
      <c r="K51" s="96">
        <v>0</v>
      </c>
    </row>
    <row r="52" spans="1:13" ht="15.6" x14ac:dyDescent="0.3">
      <c r="A52" s="26" t="s">
        <v>91</v>
      </c>
      <c r="B52" s="26" t="s">
        <v>56</v>
      </c>
      <c r="C52" s="26" t="s">
        <v>107</v>
      </c>
      <c r="D52" s="195">
        <v>54528</v>
      </c>
      <c r="E52" s="195">
        <v>950.101</v>
      </c>
      <c r="F52" s="195">
        <v>4000</v>
      </c>
      <c r="G52" s="195">
        <v>329702.56</v>
      </c>
      <c r="H52" s="96">
        <v>0</v>
      </c>
      <c r="I52" s="96">
        <v>4575.9160000000002</v>
      </c>
      <c r="J52" s="96">
        <v>103000.44</v>
      </c>
      <c r="K52" s="96">
        <v>0</v>
      </c>
    </row>
    <row r="53" spans="1:13" ht="15.6" x14ac:dyDescent="0.3">
      <c r="A53" s="26" t="s">
        <v>41</v>
      </c>
      <c r="B53" s="26" t="s">
        <v>56</v>
      </c>
      <c r="C53" s="26" t="s">
        <v>107</v>
      </c>
      <c r="D53" s="195">
        <v>0</v>
      </c>
      <c r="E53" s="195">
        <v>867.42</v>
      </c>
      <c r="F53" s="195"/>
      <c r="G53" s="195">
        <v>0</v>
      </c>
      <c r="H53" s="96">
        <v>28684.560000000001</v>
      </c>
      <c r="I53" s="96">
        <v>0</v>
      </c>
      <c r="J53" s="96">
        <v>0</v>
      </c>
      <c r="K53" s="96">
        <v>0</v>
      </c>
    </row>
    <row r="54" spans="1:13" ht="15.6" x14ac:dyDescent="0.3">
      <c r="A54" s="26" t="s">
        <v>129</v>
      </c>
      <c r="B54" s="26" t="s">
        <v>108</v>
      </c>
      <c r="C54" s="27" t="s">
        <v>107</v>
      </c>
      <c r="D54" s="196"/>
      <c r="E54" s="196"/>
      <c r="F54" s="196"/>
      <c r="G54" s="195">
        <v>0</v>
      </c>
      <c r="H54" s="96"/>
      <c r="I54" s="96"/>
      <c r="J54" s="96"/>
      <c r="K54" s="96"/>
    </row>
    <row r="55" spans="1:13" ht="16.2" thickBot="1" x14ac:dyDescent="0.35">
      <c r="A55" s="28" t="s">
        <v>88</v>
      </c>
      <c r="B55" s="28" t="s">
        <v>56</v>
      </c>
      <c r="C55" s="28" t="s">
        <v>107</v>
      </c>
      <c r="D55" s="15"/>
      <c r="E55" s="15"/>
      <c r="F55" s="15"/>
      <c r="G55" s="195">
        <v>0</v>
      </c>
      <c r="H55" s="96">
        <v>0</v>
      </c>
      <c r="I55" s="96">
        <v>0</v>
      </c>
      <c r="J55" s="96">
        <v>0</v>
      </c>
      <c r="K55" s="96">
        <v>0</v>
      </c>
    </row>
    <row r="56" spans="1:13" ht="21.6" thickBot="1" x14ac:dyDescent="0.45">
      <c r="A56" s="123" t="s">
        <v>115</v>
      </c>
      <c r="B56" s="121"/>
      <c r="C56" s="121"/>
      <c r="D56" s="174">
        <f>SUM(D23:D55)</f>
        <v>177267.24</v>
      </c>
      <c r="E56" s="174">
        <f t="shared" ref="E56:G56" si="3">SUM(E23:E55)</f>
        <v>42791.462</v>
      </c>
      <c r="F56" s="174">
        <f t="shared" si="3"/>
        <v>1827016.56</v>
      </c>
      <c r="G56" s="174">
        <f t="shared" si="3"/>
        <v>1914021.82</v>
      </c>
      <c r="H56" s="174">
        <f>SUM(H23:H55)</f>
        <v>292680.60000000003</v>
      </c>
      <c r="I56" s="174">
        <f t="shared" ref="I56:K56" si="4">SUM(I23:I55)</f>
        <v>57038.470000000008</v>
      </c>
      <c r="J56" s="174">
        <f t="shared" si="4"/>
        <v>500131.09</v>
      </c>
      <c r="K56" s="174">
        <f t="shared" si="4"/>
        <v>4706981.3099999977</v>
      </c>
    </row>
    <row r="57" spans="1:13" ht="15.6" x14ac:dyDescent="0.3">
      <c r="A57" s="30" t="s">
        <v>33</v>
      </c>
      <c r="B57" s="26" t="s">
        <v>114</v>
      </c>
      <c r="C57" s="26" t="s">
        <v>107</v>
      </c>
      <c r="D57" s="14"/>
      <c r="E57" s="14"/>
      <c r="F57" s="14"/>
      <c r="G57" s="195">
        <v>0</v>
      </c>
      <c r="H57" s="96">
        <v>0</v>
      </c>
      <c r="I57" s="96">
        <v>0</v>
      </c>
      <c r="J57" s="96">
        <v>0</v>
      </c>
      <c r="K57" s="96">
        <v>-816.38</v>
      </c>
    </row>
    <row r="58" spans="1:13" ht="15.6" x14ac:dyDescent="0.3">
      <c r="A58" s="26" t="s">
        <v>84</v>
      </c>
      <c r="B58" s="26" t="s">
        <v>114</v>
      </c>
      <c r="C58" s="26" t="s">
        <v>107</v>
      </c>
      <c r="D58" s="14">
        <v>0</v>
      </c>
      <c r="E58" s="14">
        <v>9339.5220000000008</v>
      </c>
      <c r="F58" s="14">
        <v>296548.27</v>
      </c>
      <c r="G58" s="195">
        <v>68346.13</v>
      </c>
      <c r="H58" s="96">
        <v>88255.8</v>
      </c>
      <c r="I58" s="96">
        <v>5451.1990000000005</v>
      </c>
      <c r="J58" s="96">
        <v>538736.5</v>
      </c>
      <c r="K58" s="96">
        <v>446635.51999999996</v>
      </c>
    </row>
    <row r="59" spans="1:13" ht="15.6" x14ac:dyDescent="0.3">
      <c r="A59" s="26" t="s">
        <v>37</v>
      </c>
      <c r="B59" s="26" t="s">
        <v>114</v>
      </c>
      <c r="C59" s="26" t="s">
        <v>107</v>
      </c>
      <c r="D59" s="14"/>
      <c r="E59" s="14"/>
      <c r="F59" s="14">
        <v>1103901</v>
      </c>
      <c r="G59" s="195">
        <v>389732.45</v>
      </c>
      <c r="H59" s="96">
        <v>878137.79999999993</v>
      </c>
      <c r="I59" s="96">
        <v>123426.19099999999</v>
      </c>
      <c r="J59" s="96">
        <v>1042460.2</v>
      </c>
      <c r="K59" s="96">
        <v>-541307.05000000028</v>
      </c>
      <c r="M59" s="133"/>
    </row>
    <row r="60" spans="1:13" ht="15.6" x14ac:dyDescent="0.3">
      <c r="A60" s="26" t="s">
        <v>35</v>
      </c>
      <c r="B60" s="26" t="s">
        <v>114</v>
      </c>
      <c r="C60" s="26" t="s">
        <v>107</v>
      </c>
      <c r="D60" s="14"/>
      <c r="E60" s="14"/>
      <c r="F60" s="14"/>
      <c r="G60" s="195">
        <v>0</v>
      </c>
      <c r="H60" s="96">
        <v>0</v>
      </c>
      <c r="I60" s="96">
        <v>0</v>
      </c>
      <c r="J60" s="96">
        <v>0</v>
      </c>
      <c r="K60" s="96">
        <v>0</v>
      </c>
      <c r="M60" s="133"/>
    </row>
    <row r="61" spans="1:13" ht="15.6" x14ac:dyDescent="0.3">
      <c r="A61" s="27" t="s">
        <v>86</v>
      </c>
      <c r="B61" s="27" t="s">
        <v>114</v>
      </c>
      <c r="C61" s="27" t="s">
        <v>107</v>
      </c>
      <c r="D61" s="14"/>
      <c r="E61" s="14"/>
      <c r="F61" s="14"/>
      <c r="G61" s="195">
        <v>-285711.37</v>
      </c>
      <c r="H61" s="96">
        <v>0</v>
      </c>
      <c r="I61" s="96">
        <v>0</v>
      </c>
      <c r="J61" s="96">
        <v>0</v>
      </c>
      <c r="K61" s="96">
        <v>-221733.91999999998</v>
      </c>
      <c r="M61" s="133"/>
    </row>
    <row r="62" spans="1:13" ht="15.6" x14ac:dyDescent="0.3">
      <c r="A62" s="30" t="s">
        <v>16</v>
      </c>
      <c r="B62" s="26" t="s">
        <v>114</v>
      </c>
      <c r="C62" s="26" t="s">
        <v>107</v>
      </c>
      <c r="D62" s="14"/>
      <c r="E62" s="14"/>
      <c r="F62" s="14"/>
      <c r="G62" s="195">
        <v>0</v>
      </c>
      <c r="H62" s="96">
        <v>0</v>
      </c>
      <c r="I62" s="96">
        <v>0</v>
      </c>
      <c r="J62" s="96">
        <v>0</v>
      </c>
      <c r="K62" s="96">
        <v>0</v>
      </c>
    </row>
    <row r="63" spans="1:13" ht="15.6" x14ac:dyDescent="0.3">
      <c r="A63" s="194" t="s">
        <v>128</v>
      </c>
      <c r="B63" s="26" t="s">
        <v>114</v>
      </c>
      <c r="C63" s="27" t="s">
        <v>107</v>
      </c>
      <c r="D63" s="14"/>
      <c r="E63" s="14"/>
      <c r="F63" s="14"/>
      <c r="G63" s="195">
        <v>0</v>
      </c>
      <c r="H63" s="96"/>
      <c r="I63" s="96"/>
      <c r="J63" s="96"/>
      <c r="K63" s="96"/>
    </row>
    <row r="64" spans="1:13" ht="15.6" x14ac:dyDescent="0.3">
      <c r="A64" s="199" t="s">
        <v>131</v>
      </c>
      <c r="B64" s="26" t="s">
        <v>114</v>
      </c>
      <c r="C64" s="27" t="s">
        <v>107</v>
      </c>
      <c r="D64" s="14"/>
      <c r="E64" s="14"/>
      <c r="F64" s="14"/>
      <c r="G64" s="195">
        <v>439063.23</v>
      </c>
      <c r="H64" s="96"/>
      <c r="I64" s="96"/>
      <c r="J64" s="96"/>
      <c r="K64" s="96"/>
    </row>
    <row r="65" spans="1:12" ht="16.2" thickBot="1" x14ac:dyDescent="0.35">
      <c r="A65" s="117" t="s">
        <v>99</v>
      </c>
      <c r="B65" s="26" t="s">
        <v>114</v>
      </c>
      <c r="C65" s="26" t="s">
        <v>107</v>
      </c>
      <c r="D65" s="195">
        <v>63744</v>
      </c>
      <c r="E65" s="195">
        <v>4261.3869999999997</v>
      </c>
      <c r="F65" s="14">
        <v>6000</v>
      </c>
      <c r="G65" s="195">
        <v>202054.22</v>
      </c>
      <c r="H65" s="96"/>
      <c r="I65" s="96"/>
      <c r="J65" s="96"/>
      <c r="K65" s="96"/>
    </row>
    <row r="66" spans="1:12" ht="21.6" thickBot="1" x14ac:dyDescent="0.45">
      <c r="A66" s="123" t="s">
        <v>116</v>
      </c>
      <c r="B66" s="121"/>
      <c r="C66" s="121"/>
      <c r="D66" s="174">
        <f>SUM(D57:D65)</f>
        <v>63744</v>
      </c>
      <c r="E66" s="174">
        <f t="shared" ref="E66:G66" si="5">SUM(E57:E65)</f>
        <v>13600.909</v>
      </c>
      <c r="F66" s="174">
        <f t="shared" si="5"/>
        <v>1406449.27</v>
      </c>
      <c r="G66" s="174">
        <f t="shared" si="5"/>
        <v>813484.65999999992</v>
      </c>
      <c r="H66" s="174">
        <f>SUM(H57:H65)</f>
        <v>966393.6</v>
      </c>
      <c r="I66" s="174">
        <f t="shared" ref="I66:K66" si="6">SUM(I57:I65)</f>
        <v>128877.38999999998</v>
      </c>
      <c r="J66" s="174">
        <f t="shared" si="6"/>
        <v>1581196.7</v>
      </c>
      <c r="K66" s="174">
        <f t="shared" si="6"/>
        <v>-317221.83000000031</v>
      </c>
    </row>
    <row r="67" spans="1:12" ht="15.6" x14ac:dyDescent="0.3">
      <c r="A67" s="27" t="s">
        <v>77</v>
      </c>
      <c r="B67" s="26" t="s">
        <v>108</v>
      </c>
      <c r="C67" s="27" t="s">
        <v>102</v>
      </c>
      <c r="D67" s="197"/>
      <c r="E67" s="197"/>
      <c r="F67" s="197"/>
      <c r="G67" s="195">
        <v>2332078.87</v>
      </c>
      <c r="H67" s="96">
        <v>33995.519999999997</v>
      </c>
      <c r="I67" s="96">
        <v>364.41399999999999</v>
      </c>
      <c r="J67" s="96">
        <v>77791.8</v>
      </c>
      <c r="K67" s="96">
        <v>363496.37</v>
      </c>
    </row>
    <row r="68" spans="1:12" ht="15.6" x14ac:dyDescent="0.3">
      <c r="A68" s="30" t="s">
        <v>40</v>
      </c>
      <c r="B68" s="26" t="s">
        <v>56</v>
      </c>
      <c r="C68" s="26" t="s">
        <v>103</v>
      </c>
      <c r="D68" s="195">
        <v>278893.2</v>
      </c>
      <c r="E68" s="195">
        <v>157545.9580000001</v>
      </c>
      <c r="F68" s="195">
        <v>1185279</v>
      </c>
      <c r="G68" s="195">
        <v>1319376.06</v>
      </c>
      <c r="H68" s="96">
        <v>275790.71999999997</v>
      </c>
      <c r="I68" s="96">
        <v>18763.976000000002</v>
      </c>
      <c r="J68" s="96">
        <v>312755.52</v>
      </c>
      <c r="K68" s="96">
        <v>2866244.78</v>
      </c>
    </row>
    <row r="69" spans="1:12" ht="15.6" x14ac:dyDescent="0.3">
      <c r="A69" s="26" t="s">
        <v>90</v>
      </c>
      <c r="B69" s="26" t="s">
        <v>108</v>
      </c>
      <c r="C69" s="26" t="s">
        <v>103</v>
      </c>
      <c r="D69" s="195">
        <v>0</v>
      </c>
      <c r="E69" s="195">
        <v>2066.567</v>
      </c>
      <c r="F69" s="195"/>
      <c r="G69" s="195">
        <v>0</v>
      </c>
      <c r="H69" s="96">
        <v>0</v>
      </c>
      <c r="I69" s="96">
        <v>14176.108</v>
      </c>
      <c r="J69" s="96">
        <v>0</v>
      </c>
      <c r="K69" s="96">
        <v>0</v>
      </c>
    </row>
    <row r="70" spans="1:12" ht="15.6" x14ac:dyDescent="0.3">
      <c r="A70" s="26" t="s">
        <v>92</v>
      </c>
      <c r="B70" s="26" t="s">
        <v>56</v>
      </c>
      <c r="C70" s="26" t="s">
        <v>103</v>
      </c>
      <c r="D70" s="195">
        <v>10360.92</v>
      </c>
      <c r="E70" s="195">
        <v>0</v>
      </c>
      <c r="F70" s="195"/>
      <c r="G70" s="195">
        <v>0</v>
      </c>
      <c r="H70" s="96">
        <v>15534.12</v>
      </c>
      <c r="I70" s="96">
        <v>0</v>
      </c>
      <c r="J70" s="96">
        <v>0</v>
      </c>
      <c r="K70" s="96">
        <v>87970.499999999985</v>
      </c>
    </row>
    <row r="71" spans="1:12" ht="15.6" x14ac:dyDescent="0.3">
      <c r="A71" s="26" t="s">
        <v>93</v>
      </c>
      <c r="B71" s="26" t="s">
        <v>56</v>
      </c>
      <c r="C71" s="26" t="s">
        <v>103</v>
      </c>
      <c r="D71" s="195">
        <v>0</v>
      </c>
      <c r="E71" s="195">
        <v>39383.784</v>
      </c>
      <c r="F71" s="195"/>
      <c r="G71" s="195">
        <v>0</v>
      </c>
      <c r="H71" s="96">
        <v>0</v>
      </c>
      <c r="I71" s="96">
        <v>16846.887999999999</v>
      </c>
      <c r="J71" s="96">
        <v>0</v>
      </c>
      <c r="K71" s="96">
        <v>0</v>
      </c>
    </row>
    <row r="72" spans="1:12" ht="15.6" x14ac:dyDescent="0.3">
      <c r="A72" s="26" t="s">
        <v>100</v>
      </c>
      <c r="B72" s="26" t="s">
        <v>56</v>
      </c>
      <c r="C72" s="26" t="s">
        <v>103</v>
      </c>
      <c r="D72" s="195">
        <v>114482.88</v>
      </c>
      <c r="E72" s="195">
        <v>11374.989</v>
      </c>
      <c r="F72" s="195">
        <v>807436.25</v>
      </c>
      <c r="G72" s="195">
        <v>664106.34</v>
      </c>
      <c r="H72" s="96">
        <v>216195.6</v>
      </c>
      <c r="I72" s="96">
        <v>9537.9970000000012</v>
      </c>
      <c r="J72" s="96">
        <v>1278563.1800000002</v>
      </c>
      <c r="K72" s="96">
        <v>1381576.66</v>
      </c>
      <c r="L72" s="138"/>
    </row>
    <row r="73" spans="1:12" ht="15.6" x14ac:dyDescent="0.3">
      <c r="A73" s="118" t="s">
        <v>101</v>
      </c>
      <c r="B73" s="26" t="s">
        <v>56</v>
      </c>
      <c r="C73" s="26" t="s">
        <v>103</v>
      </c>
      <c r="D73" s="195">
        <v>593687.88</v>
      </c>
      <c r="E73" s="195">
        <v>165153.95200000002</v>
      </c>
      <c r="F73" s="195">
        <v>5986486</v>
      </c>
      <c r="G73" s="195">
        <v>6611504.3700000001</v>
      </c>
      <c r="H73" s="96">
        <v>390961.32</v>
      </c>
      <c r="I73" s="96">
        <v>99874.651000000013</v>
      </c>
      <c r="J73" s="96">
        <v>3188981.3880000003</v>
      </c>
      <c r="K73" s="96">
        <v>5412999.209999999</v>
      </c>
    </row>
    <row r="74" spans="1:12" ht="15.6" x14ac:dyDescent="0.3">
      <c r="A74" s="26" t="s">
        <v>81</v>
      </c>
      <c r="B74" s="26" t="s">
        <v>56</v>
      </c>
      <c r="C74" s="26" t="s">
        <v>103</v>
      </c>
      <c r="D74" s="195">
        <v>0</v>
      </c>
      <c r="E74" s="195">
        <v>8701.7129999999997</v>
      </c>
      <c r="F74" s="195"/>
      <c r="G74" s="195">
        <v>0</v>
      </c>
      <c r="H74" s="96">
        <v>20280</v>
      </c>
      <c r="I74" s="96">
        <v>21945.485000000001</v>
      </c>
      <c r="J74" s="96">
        <v>0</v>
      </c>
      <c r="K74" s="96">
        <v>0</v>
      </c>
    </row>
    <row r="75" spans="1:12" ht="21.6" thickBot="1" x14ac:dyDescent="0.3">
      <c r="A75" s="177" t="s">
        <v>44</v>
      </c>
      <c r="B75" s="178"/>
      <c r="C75" s="178"/>
      <c r="D75" s="179">
        <f>SUM(D67:D74)</f>
        <v>997424.88</v>
      </c>
      <c r="E75" s="179">
        <f t="shared" ref="E75:G75" si="7">SUM(E67:E74)</f>
        <v>384226.96300000011</v>
      </c>
      <c r="F75" s="179">
        <f t="shared" si="7"/>
        <v>7979201.25</v>
      </c>
      <c r="G75" s="179">
        <f t="shared" si="7"/>
        <v>10927065.640000001</v>
      </c>
      <c r="H75" s="179">
        <f>SUM(H67:H74)</f>
        <v>952757.28</v>
      </c>
      <c r="I75" s="179">
        <f t="shared" ref="I75:K75" si="8">SUM(I67:I74)</f>
        <v>181509.51900000003</v>
      </c>
      <c r="J75" s="179">
        <f t="shared" si="8"/>
        <v>4858091.8880000003</v>
      </c>
      <c r="K75" s="179">
        <f t="shared" si="8"/>
        <v>10112287.52</v>
      </c>
    </row>
    <row r="76" spans="1:12" ht="21.6" thickBot="1" x14ac:dyDescent="0.3">
      <c r="A76" s="122" t="s">
        <v>45</v>
      </c>
      <c r="B76" s="121"/>
      <c r="C76" s="121"/>
      <c r="D76" s="131">
        <f>D75+D66+D56+D22+D8</f>
        <v>3764122.32</v>
      </c>
      <c r="E76" s="131">
        <f t="shared" ref="E76:G76" si="9">E75+E66+E56+E22+E8</f>
        <v>1080218.3010000002</v>
      </c>
      <c r="F76" s="131">
        <f t="shared" si="9"/>
        <v>14135034.08</v>
      </c>
      <c r="G76" s="131">
        <f t="shared" si="9"/>
        <v>8594073.4800000004</v>
      </c>
      <c r="H76" s="131">
        <f>H75+H66+H56+H22+H8</f>
        <v>5027968.4399999995</v>
      </c>
      <c r="I76" s="131">
        <f t="shared" ref="I76:K76" si="10">I75+I66+I56+I22+I8</f>
        <v>874315.11</v>
      </c>
      <c r="J76" s="131">
        <f t="shared" si="10"/>
        <v>11816590.218</v>
      </c>
      <c r="K76" s="131">
        <f t="shared" si="10"/>
        <v>36350561.094999991</v>
      </c>
    </row>
    <row r="78" spans="1:12" x14ac:dyDescent="0.3">
      <c r="D78" s="6"/>
      <c r="E78" s="6"/>
      <c r="F78" s="133"/>
      <c r="G78" s="6"/>
    </row>
    <row r="80" spans="1:12" x14ac:dyDescent="0.3">
      <c r="E80" s="9"/>
      <c r="F80" s="9"/>
    </row>
  </sheetData>
  <mergeCells count="2">
    <mergeCell ref="D1:G1"/>
    <mergeCell ref="H1:K1"/>
  </mergeCells>
  <conditionalFormatting sqref="A1">
    <cfRule type="duplicateValues" dxfId="151" priority="19"/>
    <cfRule type="duplicateValues" dxfId="150" priority="20"/>
  </conditionalFormatting>
  <conditionalFormatting sqref="A14">
    <cfRule type="duplicateValues" dxfId="149" priority="9"/>
    <cfRule type="duplicateValues" dxfId="148" priority="10"/>
  </conditionalFormatting>
  <conditionalFormatting sqref="A20">
    <cfRule type="duplicateValues" dxfId="147" priority="1"/>
    <cfRule type="duplicateValues" dxfId="146" priority="2"/>
  </conditionalFormatting>
  <conditionalFormatting sqref="A41">
    <cfRule type="duplicateValues" dxfId="145" priority="5"/>
    <cfRule type="duplicateValues" dxfId="144" priority="6"/>
  </conditionalFormatting>
  <conditionalFormatting sqref="A54">
    <cfRule type="duplicateValues" dxfId="143" priority="3"/>
    <cfRule type="duplicateValues" dxfId="142" priority="4"/>
  </conditionalFormatting>
  <conditionalFormatting sqref="A57">
    <cfRule type="duplicateValues" dxfId="141" priority="11"/>
    <cfRule type="duplicateValues" dxfId="140" priority="12"/>
  </conditionalFormatting>
  <conditionalFormatting sqref="A58:A60 A7 A23:A40 A62 A42:A53 A55">
    <cfRule type="duplicateValues" dxfId="139" priority="17"/>
    <cfRule type="duplicateValues" dxfId="138" priority="18"/>
  </conditionalFormatting>
  <conditionalFormatting sqref="A61">
    <cfRule type="duplicateValues" dxfId="137" priority="7"/>
    <cfRule type="duplicateValues" dxfId="136" priority="8"/>
  </conditionalFormatting>
  <conditionalFormatting sqref="A67:A74">
    <cfRule type="duplicateValues" dxfId="135" priority="15"/>
    <cfRule type="duplicateValues" dxfId="134" priority="16"/>
  </conditionalFormatting>
  <conditionalFormatting sqref="A75:A76 A2:A6 A8:A13 A15:A19 A56 A66 A21:A22">
    <cfRule type="duplicateValues" dxfId="133" priority="13"/>
    <cfRule type="duplicateValues" dxfId="132" priority="14"/>
  </conditionalFormatting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CE8AC-DFB4-481F-BF31-12F2118B912A}">
  <sheetPr>
    <tabColor rgb="FFFFC000"/>
  </sheetPr>
  <dimension ref="A1:M82"/>
  <sheetViews>
    <sheetView rightToLeft="1" workbookViewId="0">
      <pane ySplit="3" topLeftCell="A4" activePane="bottomLeft" state="frozen"/>
      <selection pane="bottomLeft" activeCell="A27" sqref="A27"/>
    </sheetView>
  </sheetViews>
  <sheetFormatPr defaultColWidth="30.09765625" defaultRowHeight="14.4" x14ac:dyDescent="0.3"/>
  <cols>
    <col min="1" max="1" width="30" style="32" bestFit="1" customWidth="1"/>
    <col min="2" max="2" width="11.3984375" style="32" customWidth="1"/>
    <col min="3" max="3" width="11.69921875" style="32" customWidth="1"/>
    <col min="4" max="4" width="16.8984375" customWidth="1"/>
    <col min="5" max="5" width="15.19921875" customWidth="1"/>
    <col min="6" max="6" width="16.8984375" customWidth="1"/>
    <col min="7" max="7" width="19" customWidth="1"/>
    <col min="8" max="9" width="15.19921875" style="3" customWidth="1"/>
    <col min="10" max="10" width="16.8984375" style="3" customWidth="1"/>
    <col min="11" max="11" width="19" customWidth="1"/>
  </cols>
  <sheetData>
    <row r="1" spans="1:11" ht="21" x14ac:dyDescent="0.25">
      <c r="A1" s="26"/>
      <c r="B1" s="26"/>
      <c r="C1" s="26"/>
      <c r="D1" s="241">
        <v>2025</v>
      </c>
      <c r="E1" s="241"/>
      <c r="F1" s="241"/>
      <c r="G1" s="241"/>
      <c r="H1" s="242">
        <v>2024</v>
      </c>
      <c r="I1" s="242"/>
      <c r="J1" s="242"/>
      <c r="K1" s="242"/>
    </row>
    <row r="2" spans="1:11" ht="21" x14ac:dyDescent="0.25">
      <c r="A2" s="11" t="s">
        <v>0</v>
      </c>
      <c r="B2" s="23" t="s">
        <v>53</v>
      </c>
      <c r="C2" s="23" t="s">
        <v>109</v>
      </c>
      <c r="D2" s="13" t="s">
        <v>46</v>
      </c>
      <c r="E2" s="13" t="s">
        <v>47</v>
      </c>
      <c r="F2" s="13" t="s">
        <v>48</v>
      </c>
      <c r="G2" s="13" t="s">
        <v>49</v>
      </c>
      <c r="H2" s="95" t="s">
        <v>46</v>
      </c>
      <c r="I2" s="95" t="s">
        <v>47</v>
      </c>
      <c r="J2" s="95" t="s">
        <v>48</v>
      </c>
      <c r="K2" s="95" t="s">
        <v>89</v>
      </c>
    </row>
    <row r="3" spans="1:11" ht="15.6" x14ac:dyDescent="0.3">
      <c r="A3" s="26" t="s">
        <v>1</v>
      </c>
      <c r="B3" s="26" t="s">
        <v>108</v>
      </c>
      <c r="C3" s="26" t="s">
        <v>58</v>
      </c>
      <c r="D3" s="195"/>
      <c r="E3" s="195"/>
      <c r="F3" s="200">
        <f>129870-F4</f>
        <v>104870</v>
      </c>
      <c r="G3" s="195"/>
      <c r="H3" s="96"/>
      <c r="I3" s="96"/>
      <c r="J3" s="96">
        <v>507683.57999999996</v>
      </c>
      <c r="K3" s="96"/>
    </row>
    <row r="4" spans="1:11" ht="15.6" x14ac:dyDescent="0.3">
      <c r="A4" s="26" t="s">
        <v>2</v>
      </c>
      <c r="B4" s="26" t="s">
        <v>108</v>
      </c>
      <c r="C4" s="26" t="s">
        <v>58</v>
      </c>
      <c r="D4" s="195"/>
      <c r="E4" s="195"/>
      <c r="F4" s="195">
        <v>25000</v>
      </c>
      <c r="G4" s="195"/>
      <c r="H4" s="96"/>
      <c r="I4" s="96"/>
      <c r="J4" s="96">
        <v>0</v>
      </c>
      <c r="K4" s="96"/>
    </row>
    <row r="5" spans="1:11" ht="15.6" x14ac:dyDescent="0.3">
      <c r="A5" s="26" t="s">
        <v>104</v>
      </c>
      <c r="B5" s="26" t="s">
        <v>108</v>
      </c>
      <c r="C5" s="26" t="s">
        <v>58</v>
      </c>
      <c r="D5" s="195"/>
      <c r="E5" s="195"/>
      <c r="F5" s="195"/>
      <c r="G5" s="195"/>
      <c r="H5" s="96"/>
      <c r="I5" s="96"/>
      <c r="J5" s="96"/>
      <c r="K5" s="96"/>
    </row>
    <row r="6" spans="1:11" ht="15.6" x14ac:dyDescent="0.3">
      <c r="A6" s="28" t="s">
        <v>105</v>
      </c>
      <c r="B6" s="26" t="s">
        <v>108</v>
      </c>
      <c r="C6" s="28" t="s">
        <v>58</v>
      </c>
      <c r="D6" s="196"/>
      <c r="E6" s="196"/>
      <c r="F6" s="196"/>
      <c r="G6" s="196"/>
      <c r="H6" s="96"/>
      <c r="I6" s="96"/>
      <c r="J6" s="96"/>
      <c r="K6" s="96"/>
    </row>
    <row r="7" spans="1:11" ht="16.2" thickBot="1" x14ac:dyDescent="0.35">
      <c r="A7" s="26" t="s">
        <v>34</v>
      </c>
      <c r="B7" s="26" t="s">
        <v>108</v>
      </c>
      <c r="C7" s="26" t="s">
        <v>58</v>
      </c>
      <c r="D7" s="195"/>
      <c r="E7" s="195"/>
      <c r="F7" s="195"/>
      <c r="G7" s="195"/>
      <c r="H7" s="96"/>
      <c r="I7" s="96"/>
      <c r="J7" s="96">
        <v>0</v>
      </c>
      <c r="K7" s="96"/>
    </row>
    <row r="8" spans="1:11" ht="21.6" thickBot="1" x14ac:dyDescent="0.45">
      <c r="A8" s="122" t="s">
        <v>3</v>
      </c>
      <c r="B8" s="121"/>
      <c r="C8" s="121"/>
      <c r="D8" s="174">
        <f>SUM(D3:D7)</f>
        <v>0</v>
      </c>
      <c r="E8" s="174">
        <f t="shared" ref="E8:G8" si="0">SUM(E3:E7)</f>
        <v>0</v>
      </c>
      <c r="F8" s="174">
        <f t="shared" si="0"/>
        <v>129870</v>
      </c>
      <c r="G8" s="174">
        <f t="shared" si="0"/>
        <v>0</v>
      </c>
      <c r="H8" s="174">
        <f>SUM(H3:H7)</f>
        <v>0</v>
      </c>
      <c r="I8" s="174">
        <f t="shared" ref="I8:K8" si="1">SUM(I3:I7)</f>
        <v>0</v>
      </c>
      <c r="J8" s="174">
        <f t="shared" si="1"/>
        <v>507683.57999999996</v>
      </c>
      <c r="K8" s="174">
        <f t="shared" si="1"/>
        <v>0</v>
      </c>
    </row>
    <row r="9" spans="1:11" ht="15.6" x14ac:dyDescent="0.3">
      <c r="A9" s="27" t="s">
        <v>4</v>
      </c>
      <c r="B9" s="26" t="s">
        <v>108</v>
      </c>
      <c r="C9" s="27" t="s">
        <v>106</v>
      </c>
      <c r="D9" s="18"/>
      <c r="E9" s="18"/>
      <c r="F9" s="18"/>
      <c r="G9" s="18"/>
      <c r="H9" s="96"/>
      <c r="I9" s="96"/>
      <c r="J9" s="96">
        <v>0</v>
      </c>
      <c r="K9" s="96"/>
    </row>
    <row r="10" spans="1:11" ht="15.6" x14ac:dyDescent="0.3">
      <c r="A10" s="26" t="s">
        <v>5</v>
      </c>
      <c r="B10" s="26" t="s">
        <v>108</v>
      </c>
      <c r="C10" s="26" t="s">
        <v>106</v>
      </c>
      <c r="D10" s="14"/>
      <c r="E10" s="14"/>
      <c r="F10" s="14"/>
      <c r="G10" s="14"/>
      <c r="H10" s="96"/>
      <c r="I10" s="96"/>
      <c r="J10" s="96">
        <v>0</v>
      </c>
      <c r="K10" s="96"/>
    </row>
    <row r="11" spans="1:11" ht="15.6" x14ac:dyDescent="0.3">
      <c r="A11" s="26" t="s">
        <v>6</v>
      </c>
      <c r="B11" s="26" t="s">
        <v>108</v>
      </c>
      <c r="C11" s="26" t="s">
        <v>106</v>
      </c>
      <c r="D11" s="14"/>
      <c r="E11" s="14"/>
      <c r="F11" s="200">
        <v>161700</v>
      </c>
      <c r="G11" s="14"/>
      <c r="H11" s="96"/>
      <c r="I11" s="96"/>
      <c r="J11" s="96">
        <v>79000</v>
      </c>
      <c r="K11" s="96"/>
    </row>
    <row r="12" spans="1:11" ht="15.6" x14ac:dyDescent="0.3">
      <c r="A12" s="26" t="s">
        <v>7</v>
      </c>
      <c r="B12" s="26" t="s">
        <v>108</v>
      </c>
      <c r="C12" s="26" t="s">
        <v>106</v>
      </c>
      <c r="D12" s="14"/>
      <c r="E12" s="14"/>
      <c r="F12" s="14"/>
      <c r="G12" s="14"/>
      <c r="H12" s="96"/>
      <c r="I12" s="96"/>
      <c r="J12" s="96">
        <v>0</v>
      </c>
      <c r="K12" s="96"/>
    </row>
    <row r="13" spans="1:11" ht="15.6" x14ac:dyDescent="0.3">
      <c r="A13" s="26" t="s">
        <v>8</v>
      </c>
      <c r="B13" s="26" t="s">
        <v>108</v>
      </c>
      <c r="C13" s="26" t="s">
        <v>106</v>
      </c>
      <c r="D13" s="14"/>
      <c r="E13" s="14"/>
      <c r="F13" s="14"/>
      <c r="G13" s="14"/>
      <c r="H13" s="96"/>
      <c r="I13" s="96"/>
      <c r="J13" s="96">
        <v>0</v>
      </c>
      <c r="K13" s="96"/>
    </row>
    <row r="14" spans="1:11" ht="15.6" x14ac:dyDescent="0.3">
      <c r="A14" s="26" t="s">
        <v>9</v>
      </c>
      <c r="B14" s="26" t="s">
        <v>108</v>
      </c>
      <c r="C14" s="26" t="s">
        <v>106</v>
      </c>
      <c r="D14" s="14"/>
      <c r="E14" s="14"/>
      <c r="F14" s="14"/>
      <c r="G14" s="14"/>
      <c r="H14" s="96"/>
      <c r="I14" s="96"/>
      <c r="J14" s="96">
        <v>0</v>
      </c>
      <c r="K14" s="96"/>
    </row>
    <row r="15" spans="1:11" ht="15.6" x14ac:dyDescent="0.3">
      <c r="A15" s="26" t="s">
        <v>31</v>
      </c>
      <c r="B15" s="26" t="s">
        <v>108</v>
      </c>
      <c r="C15" s="26" t="s">
        <v>106</v>
      </c>
      <c r="D15" s="14"/>
      <c r="E15" s="14"/>
      <c r="F15" s="14"/>
      <c r="G15" s="14"/>
      <c r="H15" s="96"/>
      <c r="I15" s="96"/>
      <c r="J15" s="96">
        <v>0</v>
      </c>
      <c r="K15" s="96"/>
    </row>
    <row r="16" spans="1:11" ht="15.6" x14ac:dyDescent="0.3">
      <c r="A16" s="26" t="s">
        <v>96</v>
      </c>
      <c r="B16" s="26" t="s">
        <v>108</v>
      </c>
      <c r="C16" s="26" t="s">
        <v>106</v>
      </c>
      <c r="D16" s="14"/>
      <c r="E16" s="14"/>
      <c r="F16" s="14"/>
      <c r="G16" s="14"/>
      <c r="H16" s="96"/>
      <c r="I16" s="96"/>
      <c r="J16" s="96">
        <v>0</v>
      </c>
      <c r="K16" s="96"/>
    </row>
    <row r="17" spans="1:11" ht="15.6" x14ac:dyDescent="0.3">
      <c r="A17" s="26" t="s">
        <v>42</v>
      </c>
      <c r="B17" s="26" t="s">
        <v>108</v>
      </c>
      <c r="C17" s="26" t="s">
        <v>106</v>
      </c>
      <c r="D17" s="14"/>
      <c r="E17" s="14"/>
      <c r="F17" s="200">
        <v>623905.92999999993</v>
      </c>
      <c r="G17" s="14"/>
      <c r="H17" s="96"/>
      <c r="I17" s="96"/>
      <c r="J17" s="96">
        <v>1737310.2799999998</v>
      </c>
      <c r="K17" s="96"/>
    </row>
    <row r="18" spans="1:11" ht="15.6" x14ac:dyDescent="0.3">
      <c r="A18" s="26" t="s">
        <v>43</v>
      </c>
      <c r="B18" s="26" t="s">
        <v>108</v>
      </c>
      <c r="C18" s="26" t="s">
        <v>106</v>
      </c>
      <c r="D18" s="14"/>
      <c r="E18" s="14"/>
      <c r="F18" s="200">
        <v>248463.53000000003</v>
      </c>
      <c r="G18" s="14"/>
      <c r="H18" s="96"/>
      <c r="I18" s="96"/>
      <c r="J18" s="96">
        <v>318852.25</v>
      </c>
      <c r="K18" s="96"/>
    </row>
    <row r="19" spans="1:11" ht="15.6" x14ac:dyDescent="0.3">
      <c r="A19" s="26" t="s">
        <v>30</v>
      </c>
      <c r="B19" s="26" t="s">
        <v>108</v>
      </c>
      <c r="C19" s="26" t="s">
        <v>106</v>
      </c>
      <c r="D19" s="14"/>
      <c r="E19" s="14"/>
      <c r="F19" s="14"/>
      <c r="G19" s="14"/>
      <c r="H19" s="96"/>
      <c r="I19" s="96"/>
      <c r="J19" s="96">
        <v>0</v>
      </c>
      <c r="K19" s="96"/>
    </row>
    <row r="20" spans="1:11" ht="15.6" x14ac:dyDescent="0.3">
      <c r="A20" s="28" t="s">
        <v>130</v>
      </c>
      <c r="B20" s="26" t="s">
        <v>108</v>
      </c>
      <c r="C20" s="26" t="s">
        <v>106</v>
      </c>
      <c r="D20" s="15"/>
      <c r="E20" s="15"/>
      <c r="F20" s="15"/>
      <c r="G20" s="15"/>
      <c r="H20" s="96"/>
      <c r="I20" s="96"/>
      <c r="J20" s="96"/>
      <c r="K20" s="96"/>
    </row>
    <row r="21" spans="1:11" ht="16.2" thickBot="1" x14ac:dyDescent="0.35">
      <c r="A21" s="28" t="s">
        <v>38</v>
      </c>
      <c r="B21" s="26" t="s">
        <v>108</v>
      </c>
      <c r="C21" s="28" t="s">
        <v>106</v>
      </c>
      <c r="D21" s="15"/>
      <c r="E21" s="15"/>
      <c r="F21" s="15"/>
      <c r="G21" s="15"/>
      <c r="H21" s="96"/>
      <c r="I21" s="96"/>
      <c r="J21" s="96">
        <v>0</v>
      </c>
      <c r="K21" s="96"/>
    </row>
    <row r="22" spans="1:11" ht="21.6" thickBot="1" x14ac:dyDescent="0.45">
      <c r="A22" s="122" t="s">
        <v>10</v>
      </c>
      <c r="B22" s="121"/>
      <c r="C22" s="121"/>
      <c r="D22" s="174">
        <f>SUM(D9:D21)</f>
        <v>0</v>
      </c>
      <c r="E22" s="174">
        <f t="shared" ref="E22:G22" si="2">SUM(E9:E21)</f>
        <v>0</v>
      </c>
      <c r="F22" s="174">
        <f t="shared" si="2"/>
        <v>1034069.46</v>
      </c>
      <c r="G22" s="174">
        <f t="shared" si="2"/>
        <v>0</v>
      </c>
      <c r="H22" s="174">
        <f>SUM(H9:H21)</f>
        <v>0</v>
      </c>
      <c r="I22" s="174">
        <f t="shared" ref="I22:K22" si="3">SUM(I9:I21)</f>
        <v>0</v>
      </c>
      <c r="J22" s="174">
        <f t="shared" si="3"/>
        <v>2135162.5299999998</v>
      </c>
      <c r="K22" s="174">
        <f t="shared" si="3"/>
        <v>0</v>
      </c>
    </row>
    <row r="23" spans="1:11" ht="15.6" x14ac:dyDescent="0.3">
      <c r="A23" s="27" t="s">
        <v>11</v>
      </c>
      <c r="B23" s="27" t="s">
        <v>56</v>
      </c>
      <c r="C23" s="27" t="s">
        <v>107</v>
      </c>
      <c r="D23" s="18"/>
      <c r="E23" s="18"/>
      <c r="F23" s="18"/>
      <c r="G23" s="18"/>
      <c r="H23" s="96"/>
      <c r="I23" s="96"/>
      <c r="J23" s="96">
        <v>0</v>
      </c>
      <c r="K23" s="96"/>
    </row>
    <row r="24" spans="1:11" ht="15.6" x14ac:dyDescent="0.3">
      <c r="A24" s="30" t="s">
        <v>12</v>
      </c>
      <c r="B24" s="26" t="s">
        <v>56</v>
      </c>
      <c r="C24" s="26" t="s">
        <v>107</v>
      </c>
      <c r="D24" s="14"/>
      <c r="E24" s="14"/>
      <c r="F24" s="14"/>
      <c r="G24" s="14"/>
      <c r="H24" s="96"/>
      <c r="I24" s="96"/>
      <c r="J24" s="96">
        <v>0</v>
      </c>
      <c r="K24" s="96"/>
    </row>
    <row r="25" spans="1:11" ht="15.6" x14ac:dyDescent="0.3">
      <c r="A25" s="30" t="s">
        <v>13</v>
      </c>
      <c r="B25" s="26" t="s">
        <v>56</v>
      </c>
      <c r="C25" s="26" t="s">
        <v>107</v>
      </c>
      <c r="D25" s="14"/>
      <c r="E25" s="14"/>
      <c r="F25" s="14"/>
      <c r="G25" s="14"/>
      <c r="H25" s="96"/>
      <c r="I25" s="96"/>
      <c r="J25" s="96">
        <v>0</v>
      </c>
      <c r="K25" s="96"/>
    </row>
    <row r="26" spans="1:11" ht="15.6" x14ac:dyDescent="0.3">
      <c r="A26" s="26" t="s">
        <v>14</v>
      </c>
      <c r="B26" s="26" t="s">
        <v>55</v>
      </c>
      <c r="C26" s="26" t="s">
        <v>107</v>
      </c>
      <c r="D26" s="14"/>
      <c r="E26" s="14"/>
      <c r="F26" s="14"/>
      <c r="G26" s="14"/>
      <c r="H26" s="96"/>
      <c r="I26" s="96"/>
      <c r="J26" s="96">
        <v>0</v>
      </c>
      <c r="K26" s="96"/>
    </row>
    <row r="27" spans="1:11" ht="15.6" x14ac:dyDescent="0.3">
      <c r="A27" s="30" t="s">
        <v>15</v>
      </c>
      <c r="B27" s="26" t="s">
        <v>56</v>
      </c>
      <c r="C27" s="26" t="s">
        <v>107</v>
      </c>
      <c r="D27" s="14"/>
      <c r="E27" s="14"/>
      <c r="F27" s="14"/>
      <c r="G27" s="14"/>
      <c r="H27" s="96"/>
      <c r="I27" s="96"/>
      <c r="J27" s="96">
        <v>0</v>
      </c>
      <c r="K27" s="96"/>
    </row>
    <row r="28" spans="1:11" ht="15.6" x14ac:dyDescent="0.3">
      <c r="A28" s="30" t="s">
        <v>17</v>
      </c>
      <c r="B28" s="26" t="s">
        <v>56</v>
      </c>
      <c r="C28" s="26" t="s">
        <v>107</v>
      </c>
      <c r="D28" s="14"/>
      <c r="E28" s="14"/>
      <c r="F28" s="14"/>
      <c r="G28" s="14"/>
      <c r="H28" s="96"/>
      <c r="I28" s="96"/>
      <c r="J28" s="96">
        <v>0</v>
      </c>
      <c r="K28" s="96"/>
    </row>
    <row r="29" spans="1:11" ht="15.6" x14ac:dyDescent="0.3">
      <c r="A29" s="30" t="s">
        <v>18</v>
      </c>
      <c r="B29" s="26" t="s">
        <v>56</v>
      </c>
      <c r="C29" s="26" t="s">
        <v>107</v>
      </c>
      <c r="D29" s="14"/>
      <c r="E29" s="14"/>
      <c r="F29" s="14"/>
      <c r="G29" s="14"/>
      <c r="H29" s="96"/>
      <c r="I29" s="96"/>
      <c r="J29" s="96">
        <v>0</v>
      </c>
      <c r="K29" s="96"/>
    </row>
    <row r="30" spans="1:11" ht="15.6" x14ac:dyDescent="0.3">
      <c r="A30" s="26" t="s">
        <v>19</v>
      </c>
      <c r="B30" s="26" t="s">
        <v>56</v>
      </c>
      <c r="C30" s="26" t="s">
        <v>107</v>
      </c>
      <c r="D30" s="14"/>
      <c r="E30" s="14"/>
      <c r="F30" s="14"/>
      <c r="G30" s="14"/>
      <c r="H30" s="96"/>
      <c r="I30" s="96"/>
      <c r="J30" s="96">
        <v>0</v>
      </c>
      <c r="K30" s="96"/>
    </row>
    <row r="31" spans="1:11" ht="15.6" x14ac:dyDescent="0.3">
      <c r="A31" s="26" t="s">
        <v>20</v>
      </c>
      <c r="B31" s="26" t="s">
        <v>56</v>
      </c>
      <c r="C31" s="26" t="s">
        <v>107</v>
      </c>
      <c r="D31" s="14"/>
      <c r="E31" s="14"/>
      <c r="F31" s="200">
        <v>130880.8</v>
      </c>
      <c r="G31" s="14"/>
      <c r="H31" s="96"/>
      <c r="I31" s="96"/>
      <c r="J31" s="96">
        <v>0</v>
      </c>
      <c r="K31" s="96"/>
    </row>
    <row r="32" spans="1:11" ht="15.6" x14ac:dyDescent="0.3">
      <c r="A32" s="26" t="s">
        <v>21</v>
      </c>
      <c r="B32" s="26" t="s">
        <v>56</v>
      </c>
      <c r="C32" s="26" t="s">
        <v>107</v>
      </c>
      <c r="D32" s="14"/>
      <c r="E32" s="14"/>
      <c r="F32" s="14"/>
      <c r="G32" s="14"/>
      <c r="H32" s="96"/>
      <c r="I32" s="96"/>
      <c r="J32" s="96">
        <v>0</v>
      </c>
      <c r="K32" s="96"/>
    </row>
    <row r="33" spans="1:12" ht="15.6" x14ac:dyDescent="0.3">
      <c r="A33" s="26" t="s">
        <v>22</v>
      </c>
      <c r="B33" s="26" t="s">
        <v>56</v>
      </c>
      <c r="C33" s="26" t="s">
        <v>107</v>
      </c>
      <c r="D33" s="14"/>
      <c r="E33" s="14"/>
      <c r="F33" s="14"/>
      <c r="G33" s="14"/>
      <c r="H33" s="96"/>
      <c r="I33" s="96"/>
      <c r="J33" s="96">
        <v>0</v>
      </c>
      <c r="K33" s="96"/>
    </row>
    <row r="34" spans="1:12" ht="15.6" x14ac:dyDescent="0.3">
      <c r="A34" s="26" t="s">
        <v>23</v>
      </c>
      <c r="B34" s="26" t="s">
        <v>56</v>
      </c>
      <c r="C34" s="26" t="s">
        <v>107</v>
      </c>
      <c r="D34" s="14"/>
      <c r="E34" s="14"/>
      <c r="F34" s="14"/>
      <c r="G34" s="14"/>
      <c r="H34" s="96"/>
      <c r="I34" s="96"/>
      <c r="J34" s="96">
        <v>0</v>
      </c>
      <c r="K34" s="96"/>
    </row>
    <row r="35" spans="1:12" ht="15.6" x14ac:dyDescent="0.3">
      <c r="A35" s="26" t="s">
        <v>24</v>
      </c>
      <c r="B35" s="26" t="s">
        <v>56</v>
      </c>
      <c r="C35" s="26" t="s">
        <v>107</v>
      </c>
      <c r="D35" s="14"/>
      <c r="E35" s="14"/>
      <c r="F35" s="14"/>
      <c r="G35" s="14"/>
      <c r="H35" s="96"/>
      <c r="I35" s="96"/>
      <c r="J35" s="96">
        <v>0</v>
      </c>
      <c r="K35" s="96"/>
    </row>
    <row r="36" spans="1:12" ht="15.6" x14ac:dyDescent="0.3">
      <c r="A36" s="30" t="s">
        <v>25</v>
      </c>
      <c r="B36" s="26" t="s">
        <v>56</v>
      </c>
      <c r="C36" s="26" t="s">
        <v>107</v>
      </c>
      <c r="D36" s="14"/>
      <c r="E36" s="14"/>
      <c r="F36" s="14"/>
      <c r="G36" s="14"/>
      <c r="H36" s="96"/>
      <c r="I36" s="96"/>
      <c r="J36" s="96">
        <v>0</v>
      </c>
      <c r="K36" s="96"/>
    </row>
    <row r="37" spans="1:12" ht="15.6" x14ac:dyDescent="0.3">
      <c r="A37" s="26" t="s">
        <v>26</v>
      </c>
      <c r="B37" s="26" t="s">
        <v>56</v>
      </c>
      <c r="C37" s="26" t="s">
        <v>107</v>
      </c>
      <c r="D37" s="14"/>
      <c r="E37" s="14"/>
      <c r="F37" s="14"/>
      <c r="G37" s="14"/>
      <c r="H37" s="96"/>
      <c r="I37" s="96"/>
      <c r="J37" s="96">
        <v>0</v>
      </c>
      <c r="K37" s="96"/>
    </row>
    <row r="38" spans="1:12" ht="15.6" x14ac:dyDescent="0.3">
      <c r="A38" s="26" t="s">
        <v>27</v>
      </c>
      <c r="B38" s="26" t="s">
        <v>56</v>
      </c>
      <c r="C38" s="26" t="s">
        <v>107</v>
      </c>
      <c r="D38" s="14"/>
      <c r="E38" s="14"/>
      <c r="F38" s="14"/>
      <c r="G38" s="14"/>
      <c r="H38" s="96"/>
      <c r="I38" s="96"/>
      <c r="J38" s="96">
        <v>0</v>
      </c>
      <c r="K38" s="96"/>
    </row>
    <row r="39" spans="1:12" ht="15.6" x14ac:dyDescent="0.3">
      <c r="A39" s="26" t="s">
        <v>28</v>
      </c>
      <c r="B39" s="26" t="s">
        <v>56</v>
      </c>
      <c r="C39" s="26" t="s">
        <v>107</v>
      </c>
      <c r="D39" s="14"/>
      <c r="E39" s="14"/>
      <c r="F39" s="14"/>
      <c r="G39" s="14"/>
      <c r="H39" s="96"/>
      <c r="I39" s="96"/>
      <c r="J39" s="96">
        <v>0</v>
      </c>
      <c r="K39" s="96"/>
    </row>
    <row r="40" spans="1:12" ht="15.6" x14ac:dyDescent="0.3">
      <c r="A40" s="26" t="s">
        <v>29</v>
      </c>
      <c r="B40" s="26" t="s">
        <v>56</v>
      </c>
      <c r="C40" s="26" t="s">
        <v>107</v>
      </c>
      <c r="D40" s="14"/>
      <c r="E40" s="14"/>
      <c r="F40" s="14"/>
      <c r="G40" s="14"/>
      <c r="H40" s="96"/>
      <c r="I40" s="96"/>
      <c r="J40" s="96">
        <v>0</v>
      </c>
      <c r="K40" s="96"/>
    </row>
    <row r="41" spans="1:12" ht="15.6" x14ac:dyDescent="0.3">
      <c r="A41" s="26" t="s">
        <v>98</v>
      </c>
      <c r="B41" s="26" t="s">
        <v>55</v>
      </c>
      <c r="C41" s="26" t="s">
        <v>107</v>
      </c>
      <c r="D41" s="14"/>
      <c r="E41" s="14"/>
      <c r="F41" s="14"/>
      <c r="G41" s="14"/>
      <c r="H41" s="96"/>
      <c r="I41" s="96"/>
      <c r="J41" s="96">
        <v>0</v>
      </c>
      <c r="K41" s="96"/>
    </row>
    <row r="42" spans="1:12" ht="15.6" x14ac:dyDescent="0.3">
      <c r="A42" s="26" t="s">
        <v>32</v>
      </c>
      <c r="B42" s="26" t="s">
        <v>55</v>
      </c>
      <c r="C42" s="26" t="s">
        <v>107</v>
      </c>
      <c r="D42" s="14"/>
      <c r="E42" s="14"/>
      <c r="F42" s="14"/>
      <c r="G42" s="14"/>
      <c r="H42" s="96"/>
      <c r="I42" s="96"/>
      <c r="J42" s="96">
        <v>0</v>
      </c>
      <c r="K42" s="96"/>
    </row>
    <row r="43" spans="1:12" ht="15.6" x14ac:dyDescent="0.3">
      <c r="A43" s="30" t="s">
        <v>95</v>
      </c>
      <c r="B43" s="26" t="s">
        <v>56</v>
      </c>
      <c r="C43" s="26" t="s">
        <v>107</v>
      </c>
      <c r="D43" s="14"/>
      <c r="E43" s="14"/>
      <c r="F43" s="14"/>
      <c r="G43" s="14"/>
      <c r="H43" s="96"/>
      <c r="I43" s="96"/>
      <c r="J43" s="96">
        <v>0</v>
      </c>
      <c r="K43" s="96"/>
    </row>
    <row r="44" spans="1:12" ht="15.6" x14ac:dyDescent="0.3">
      <c r="A44" s="26" t="s">
        <v>83</v>
      </c>
      <c r="B44" s="26" t="s">
        <v>56</v>
      </c>
      <c r="C44" s="26" t="s">
        <v>107</v>
      </c>
      <c r="D44" s="14"/>
      <c r="E44" s="14"/>
      <c r="F44" s="14"/>
      <c r="G44" s="14"/>
      <c r="H44" s="96"/>
      <c r="I44" s="96"/>
      <c r="J44" s="96">
        <v>0</v>
      </c>
      <c r="K44" s="96"/>
    </row>
    <row r="45" spans="1:12" ht="15.6" x14ac:dyDescent="0.3">
      <c r="A45" s="26" t="s">
        <v>82</v>
      </c>
      <c r="B45" s="26" t="s">
        <v>56</v>
      </c>
      <c r="C45" s="26" t="s">
        <v>107</v>
      </c>
      <c r="D45" s="14"/>
      <c r="E45" s="14"/>
      <c r="F45" s="14"/>
      <c r="G45" s="14"/>
      <c r="H45" s="96"/>
      <c r="I45" s="96"/>
      <c r="J45" s="96">
        <v>0</v>
      </c>
      <c r="K45" s="96"/>
    </row>
    <row r="46" spans="1:12" ht="15.6" x14ac:dyDescent="0.3">
      <c r="A46" s="26" t="s">
        <v>36</v>
      </c>
      <c r="B46" s="26" t="s">
        <v>55</v>
      </c>
      <c r="C46" s="26" t="s">
        <v>107</v>
      </c>
      <c r="D46" s="14"/>
      <c r="E46" s="14"/>
      <c r="F46" s="14"/>
      <c r="G46" s="14"/>
      <c r="H46" s="96"/>
      <c r="I46" s="96"/>
      <c r="J46" s="96">
        <v>0</v>
      </c>
      <c r="K46" s="96"/>
    </row>
    <row r="47" spans="1:12" ht="15.6" x14ac:dyDescent="0.3">
      <c r="A47" s="26" t="s">
        <v>94</v>
      </c>
      <c r="B47" s="26" t="s">
        <v>55</v>
      </c>
      <c r="C47" s="26" t="s">
        <v>107</v>
      </c>
      <c r="D47" s="14"/>
      <c r="E47" s="14"/>
      <c r="F47" s="14"/>
      <c r="G47" s="14"/>
      <c r="H47" s="96"/>
      <c r="I47" s="96"/>
      <c r="J47" s="96">
        <v>0</v>
      </c>
      <c r="K47" s="96"/>
      <c r="L47" s="138"/>
    </row>
    <row r="48" spans="1:12" ht="15.6" x14ac:dyDescent="0.3">
      <c r="A48" s="26" t="s">
        <v>85</v>
      </c>
      <c r="B48" s="26" t="s">
        <v>56</v>
      </c>
      <c r="C48" s="26" t="s">
        <v>107</v>
      </c>
      <c r="D48" s="14"/>
      <c r="E48" s="14"/>
      <c r="F48" s="14"/>
      <c r="G48" s="14"/>
      <c r="H48" s="96"/>
      <c r="I48" s="96"/>
      <c r="J48" s="96">
        <v>0</v>
      </c>
      <c r="K48" s="96"/>
    </row>
    <row r="49" spans="1:13" ht="15.6" x14ac:dyDescent="0.3">
      <c r="A49" s="26" t="s">
        <v>87</v>
      </c>
      <c r="B49" s="26" t="s">
        <v>56</v>
      </c>
      <c r="C49" s="26" t="s">
        <v>107</v>
      </c>
      <c r="D49" s="14"/>
      <c r="E49" s="14"/>
      <c r="F49" s="14"/>
      <c r="G49" s="14"/>
      <c r="H49" s="96"/>
      <c r="I49" s="96"/>
      <c r="J49" s="96">
        <v>0</v>
      </c>
      <c r="K49" s="96"/>
    </row>
    <row r="50" spans="1:13" ht="15.6" x14ac:dyDescent="0.3">
      <c r="A50" s="26" t="s">
        <v>97</v>
      </c>
      <c r="B50" s="26" t="s">
        <v>56</v>
      </c>
      <c r="C50" s="26" t="s">
        <v>107</v>
      </c>
      <c r="D50" s="14"/>
      <c r="E50" s="14"/>
      <c r="F50" s="14"/>
      <c r="G50" s="14"/>
      <c r="H50" s="96"/>
      <c r="I50" s="96"/>
      <c r="J50" s="96">
        <v>0</v>
      </c>
      <c r="K50" s="96"/>
    </row>
    <row r="51" spans="1:13" ht="15.6" x14ac:dyDescent="0.3">
      <c r="A51" s="26" t="s">
        <v>39</v>
      </c>
      <c r="B51" s="26" t="s">
        <v>56</v>
      </c>
      <c r="C51" s="26" t="s">
        <v>107</v>
      </c>
      <c r="D51" s="14"/>
      <c r="E51" s="14"/>
      <c r="F51" s="14"/>
      <c r="G51" s="14"/>
      <c r="H51" s="96"/>
      <c r="I51" s="96"/>
      <c r="J51" s="96">
        <v>0</v>
      </c>
      <c r="K51" s="96"/>
    </row>
    <row r="52" spans="1:13" ht="15.6" x14ac:dyDescent="0.3">
      <c r="A52" s="26" t="s">
        <v>91</v>
      </c>
      <c r="B52" s="26" t="s">
        <v>56</v>
      </c>
      <c r="C52" s="26" t="s">
        <v>107</v>
      </c>
      <c r="D52" s="14"/>
      <c r="E52" s="14"/>
      <c r="F52" s="14"/>
      <c r="G52" s="14"/>
      <c r="H52" s="96"/>
      <c r="I52" s="96"/>
      <c r="J52" s="96">
        <v>0</v>
      </c>
      <c r="K52" s="96"/>
    </row>
    <row r="53" spans="1:13" ht="15.6" x14ac:dyDescent="0.3">
      <c r="A53" s="26" t="s">
        <v>41</v>
      </c>
      <c r="B53" s="26" t="s">
        <v>56</v>
      </c>
      <c r="C53" s="26" t="s">
        <v>107</v>
      </c>
      <c r="D53" s="14"/>
      <c r="E53" s="14"/>
      <c r="F53" s="14"/>
      <c r="G53" s="14"/>
      <c r="H53" s="96"/>
      <c r="I53" s="96"/>
      <c r="J53" s="96">
        <v>0</v>
      </c>
      <c r="K53" s="96"/>
    </row>
    <row r="54" spans="1:13" ht="15.6" x14ac:dyDescent="0.3">
      <c r="A54" s="26" t="s">
        <v>129</v>
      </c>
      <c r="B54" s="26" t="s">
        <v>108</v>
      </c>
      <c r="C54" s="27" t="s">
        <v>107</v>
      </c>
      <c r="D54" s="15"/>
      <c r="E54" s="15"/>
      <c r="F54" s="15"/>
      <c r="G54" s="15"/>
      <c r="H54" s="96"/>
      <c r="I54" s="96"/>
      <c r="J54" s="96"/>
      <c r="K54" s="96"/>
    </row>
    <row r="55" spans="1:13" ht="16.2" thickBot="1" x14ac:dyDescent="0.35">
      <c r="A55" s="28" t="s">
        <v>88</v>
      </c>
      <c r="B55" s="28" t="s">
        <v>56</v>
      </c>
      <c r="C55" s="28" t="s">
        <v>107</v>
      </c>
      <c r="D55" s="15"/>
      <c r="E55" s="15"/>
      <c r="F55" s="15"/>
      <c r="G55" s="15"/>
      <c r="H55" s="96"/>
      <c r="I55" s="96"/>
      <c r="J55" s="96">
        <v>0</v>
      </c>
      <c r="K55" s="96"/>
    </row>
    <row r="56" spans="1:13" ht="21.6" thickBot="1" x14ac:dyDescent="0.45">
      <c r="A56" s="123" t="s">
        <v>115</v>
      </c>
      <c r="B56" s="121"/>
      <c r="C56" s="121"/>
      <c r="D56" s="174">
        <f>SUM(D23:D55)</f>
        <v>0</v>
      </c>
      <c r="E56" s="174">
        <f t="shared" ref="E56:G56" si="4">SUM(E23:E55)</f>
        <v>0</v>
      </c>
      <c r="F56" s="174">
        <f t="shared" si="4"/>
        <v>130880.8</v>
      </c>
      <c r="G56" s="174">
        <f t="shared" si="4"/>
        <v>0</v>
      </c>
      <c r="H56" s="174">
        <f>SUM(H23:H55)</f>
        <v>0</v>
      </c>
      <c r="I56" s="174">
        <f t="shared" ref="I56:K56" si="5">SUM(I23:I55)</f>
        <v>0</v>
      </c>
      <c r="J56" s="174">
        <f t="shared" si="5"/>
        <v>0</v>
      </c>
      <c r="K56" s="174">
        <f t="shared" si="5"/>
        <v>0</v>
      </c>
    </row>
    <row r="57" spans="1:13" ht="15.6" x14ac:dyDescent="0.3">
      <c r="A57" s="30" t="s">
        <v>33</v>
      </c>
      <c r="B57" s="26" t="s">
        <v>114</v>
      </c>
      <c r="C57" s="26" t="s">
        <v>107</v>
      </c>
      <c r="D57" s="14"/>
      <c r="E57" s="14"/>
      <c r="F57" s="14"/>
      <c r="G57" s="14"/>
      <c r="H57" s="96"/>
      <c r="I57" s="96"/>
      <c r="J57" s="96">
        <v>0</v>
      </c>
      <c r="K57" s="96"/>
    </row>
    <row r="58" spans="1:13" ht="15.6" x14ac:dyDescent="0.3">
      <c r="A58" s="26" t="s">
        <v>84</v>
      </c>
      <c r="B58" s="26" t="s">
        <v>114</v>
      </c>
      <c r="C58" s="26" t="s">
        <v>107</v>
      </c>
      <c r="D58" s="14"/>
      <c r="E58" s="14"/>
      <c r="F58" s="200">
        <v>169023.62</v>
      </c>
      <c r="G58" s="14"/>
      <c r="H58" s="96"/>
      <c r="I58" s="96"/>
      <c r="J58" s="96">
        <v>0</v>
      </c>
      <c r="K58" s="96"/>
    </row>
    <row r="59" spans="1:13" ht="15.6" x14ac:dyDescent="0.3">
      <c r="A59" s="26" t="s">
        <v>37</v>
      </c>
      <c r="B59" s="26" t="s">
        <v>114</v>
      </c>
      <c r="C59" s="26" t="s">
        <v>107</v>
      </c>
      <c r="D59" s="14"/>
      <c r="E59" s="14"/>
      <c r="F59" s="14"/>
      <c r="G59" s="14"/>
      <c r="H59" s="96"/>
      <c r="I59" s="96"/>
      <c r="J59" s="96">
        <v>30000</v>
      </c>
      <c r="K59" s="96"/>
      <c r="M59" s="133"/>
    </row>
    <row r="60" spans="1:13" ht="15.6" x14ac:dyDescent="0.3">
      <c r="A60" s="26" t="s">
        <v>35</v>
      </c>
      <c r="B60" s="26" t="s">
        <v>114</v>
      </c>
      <c r="C60" s="26" t="s">
        <v>107</v>
      </c>
      <c r="D60" s="14"/>
      <c r="E60" s="14"/>
      <c r="F60" s="14"/>
      <c r="G60" s="14"/>
      <c r="H60" s="96"/>
      <c r="I60" s="96"/>
      <c r="J60" s="96">
        <v>0</v>
      </c>
      <c r="K60" s="96"/>
      <c r="M60" s="133"/>
    </row>
    <row r="61" spans="1:13" ht="15.6" x14ac:dyDescent="0.3">
      <c r="A61" s="27" t="s">
        <v>86</v>
      </c>
      <c r="B61" s="27" t="s">
        <v>114</v>
      </c>
      <c r="C61" s="27" t="s">
        <v>107</v>
      </c>
      <c r="D61" s="14"/>
      <c r="E61" s="14"/>
      <c r="F61" s="14"/>
      <c r="G61" s="14"/>
      <c r="H61" s="96"/>
      <c r="I61" s="96"/>
      <c r="J61" s="96">
        <v>559461.71</v>
      </c>
      <c r="K61" s="96"/>
      <c r="M61" s="133"/>
    </row>
    <row r="62" spans="1:13" ht="15.6" x14ac:dyDescent="0.3">
      <c r="A62" s="30" t="s">
        <v>16</v>
      </c>
      <c r="B62" s="26" t="s">
        <v>114</v>
      </c>
      <c r="C62" s="26" t="s">
        <v>107</v>
      </c>
      <c r="D62" s="14"/>
      <c r="E62" s="14"/>
      <c r="F62" s="14"/>
      <c r="G62" s="14"/>
      <c r="H62" s="96"/>
      <c r="I62" s="96"/>
      <c r="J62" s="96">
        <v>0</v>
      </c>
      <c r="K62" s="96"/>
    </row>
    <row r="63" spans="1:13" ht="15.6" x14ac:dyDescent="0.3">
      <c r="A63" s="194" t="s">
        <v>128</v>
      </c>
      <c r="B63" s="26" t="s">
        <v>114</v>
      </c>
      <c r="C63" s="27" t="s">
        <v>107</v>
      </c>
      <c r="D63" s="14"/>
      <c r="E63" s="14"/>
      <c r="F63" s="14"/>
      <c r="G63" s="14"/>
      <c r="H63" s="96"/>
      <c r="I63" s="96"/>
      <c r="J63" s="96"/>
      <c r="K63" s="96"/>
    </row>
    <row r="64" spans="1:13" ht="15.6" x14ac:dyDescent="0.3">
      <c r="A64" s="199" t="s">
        <v>131</v>
      </c>
      <c r="B64" s="26" t="s">
        <v>114</v>
      </c>
      <c r="C64" s="27" t="s">
        <v>107</v>
      </c>
      <c r="D64" s="14"/>
      <c r="E64" s="14"/>
      <c r="F64" s="14"/>
      <c r="G64" s="14"/>
      <c r="H64" s="96"/>
      <c r="I64" s="96"/>
      <c r="J64" s="96"/>
      <c r="K64" s="96"/>
    </row>
    <row r="65" spans="1:12" ht="16.2" thickBot="1" x14ac:dyDescent="0.35">
      <c r="A65" s="117" t="s">
        <v>99</v>
      </c>
      <c r="B65" s="26" t="s">
        <v>114</v>
      </c>
      <c r="C65" s="26" t="s">
        <v>107</v>
      </c>
      <c r="D65" s="14"/>
      <c r="E65" s="14"/>
      <c r="F65" s="14"/>
      <c r="G65" s="14"/>
      <c r="H65" s="96"/>
      <c r="I65" s="96"/>
      <c r="J65" s="96"/>
      <c r="K65" s="96"/>
    </row>
    <row r="66" spans="1:12" ht="21.6" thickBot="1" x14ac:dyDescent="0.45">
      <c r="A66" s="123" t="s">
        <v>116</v>
      </c>
      <c r="B66" s="121"/>
      <c r="C66" s="121"/>
      <c r="D66" s="174">
        <f>SUM(D57:D65)</f>
        <v>0</v>
      </c>
      <c r="E66" s="174">
        <f t="shared" ref="E66:G66" si="6">SUM(E57:E65)</f>
        <v>0</v>
      </c>
      <c r="F66" s="174">
        <f t="shared" si="6"/>
        <v>169023.62</v>
      </c>
      <c r="G66" s="174">
        <f t="shared" si="6"/>
        <v>0</v>
      </c>
      <c r="H66" s="174">
        <f>SUM(H57:H65)</f>
        <v>0</v>
      </c>
      <c r="I66" s="174">
        <f t="shared" ref="I66:K66" si="7">SUM(I57:I65)</f>
        <v>0</v>
      </c>
      <c r="J66" s="174">
        <f t="shared" si="7"/>
        <v>589461.71</v>
      </c>
      <c r="K66" s="174">
        <f t="shared" si="7"/>
        <v>0</v>
      </c>
    </row>
    <row r="67" spans="1:12" ht="15.6" x14ac:dyDescent="0.3">
      <c r="A67" s="27" t="s">
        <v>77</v>
      </c>
      <c r="B67" s="26" t="s">
        <v>108</v>
      </c>
      <c r="C67" s="27" t="s">
        <v>102</v>
      </c>
      <c r="D67" s="18"/>
      <c r="E67" s="18"/>
      <c r="F67" s="18"/>
      <c r="G67" s="18"/>
      <c r="H67" s="96"/>
      <c r="I67" s="96"/>
      <c r="J67" s="96">
        <v>0</v>
      </c>
      <c r="K67" s="96"/>
    </row>
    <row r="68" spans="1:12" ht="15.6" x14ac:dyDescent="0.3">
      <c r="A68" s="30" t="s">
        <v>40</v>
      </c>
      <c r="B68" s="26" t="s">
        <v>56</v>
      </c>
      <c r="C68" s="26" t="s">
        <v>103</v>
      </c>
      <c r="D68" s="14"/>
      <c r="E68" s="14"/>
      <c r="F68" s="14">
        <v>12055.51</v>
      </c>
      <c r="G68" s="14"/>
      <c r="H68" s="96"/>
      <c r="I68" s="96"/>
      <c r="J68" s="96">
        <v>71894.759999999995</v>
      </c>
      <c r="K68" s="96"/>
    </row>
    <row r="69" spans="1:12" ht="15.6" x14ac:dyDescent="0.3">
      <c r="A69" s="26" t="s">
        <v>90</v>
      </c>
      <c r="B69" s="26" t="s">
        <v>108</v>
      </c>
      <c r="C69" s="26" t="s">
        <v>103</v>
      </c>
      <c r="D69" s="14"/>
      <c r="E69" s="14"/>
      <c r="F69" s="14"/>
      <c r="G69" s="14"/>
      <c r="H69" s="96"/>
      <c r="I69" s="96"/>
      <c r="J69" s="96">
        <v>0</v>
      </c>
      <c r="K69" s="96"/>
    </row>
    <row r="70" spans="1:12" ht="15.6" x14ac:dyDescent="0.3">
      <c r="A70" s="26" t="s">
        <v>92</v>
      </c>
      <c r="B70" s="26" t="s">
        <v>56</v>
      </c>
      <c r="C70" s="26" t="s">
        <v>103</v>
      </c>
      <c r="D70" s="14"/>
      <c r="E70" s="14"/>
      <c r="F70" s="14"/>
      <c r="G70" s="14"/>
      <c r="H70" s="96"/>
      <c r="I70" s="96"/>
      <c r="J70" s="96">
        <v>0</v>
      </c>
      <c r="K70" s="96"/>
    </row>
    <row r="71" spans="1:12" ht="15.6" x14ac:dyDescent="0.3">
      <c r="A71" s="26" t="s">
        <v>93</v>
      </c>
      <c r="B71" s="26" t="s">
        <v>56</v>
      </c>
      <c r="C71" s="26" t="s">
        <v>103</v>
      </c>
      <c r="D71" s="14"/>
      <c r="E71" s="14"/>
      <c r="F71" s="14"/>
      <c r="G71" s="14"/>
      <c r="H71" s="96"/>
      <c r="I71" s="96"/>
      <c r="J71" s="96">
        <v>0</v>
      </c>
      <c r="K71" s="96"/>
    </row>
    <row r="72" spans="1:12" ht="15.6" x14ac:dyDescent="0.3">
      <c r="A72" s="26" t="s">
        <v>100</v>
      </c>
      <c r="B72" s="26" t="s">
        <v>56</v>
      </c>
      <c r="C72" s="26" t="s">
        <v>103</v>
      </c>
      <c r="D72" s="14"/>
      <c r="E72" s="14"/>
      <c r="F72" s="14"/>
      <c r="G72" s="14"/>
      <c r="H72" s="96"/>
      <c r="I72" s="96"/>
      <c r="J72" s="96"/>
      <c r="K72" s="96"/>
      <c r="L72" s="138"/>
    </row>
    <row r="73" spans="1:12" ht="15.6" x14ac:dyDescent="0.3">
      <c r="A73" s="118" t="s">
        <v>101</v>
      </c>
      <c r="B73" s="26" t="s">
        <v>56</v>
      </c>
      <c r="C73" s="26" t="s">
        <v>103</v>
      </c>
      <c r="D73" s="14"/>
      <c r="E73" s="14"/>
      <c r="F73" s="200">
        <v>31200</v>
      </c>
      <c r="G73" s="14"/>
      <c r="H73" s="96"/>
      <c r="I73" s="96"/>
      <c r="J73" s="96">
        <v>187189.38</v>
      </c>
      <c r="K73" s="96"/>
    </row>
    <row r="74" spans="1:12" ht="15.6" x14ac:dyDescent="0.3">
      <c r="A74" s="26" t="s">
        <v>81</v>
      </c>
      <c r="B74" s="26" t="s">
        <v>56</v>
      </c>
      <c r="C74" s="26" t="s">
        <v>103</v>
      </c>
      <c r="D74" s="14"/>
      <c r="E74" s="14"/>
      <c r="F74" s="14"/>
      <c r="G74" s="14"/>
      <c r="H74" s="96"/>
      <c r="I74" s="96"/>
      <c r="J74" s="96">
        <v>0</v>
      </c>
      <c r="K74" s="96"/>
    </row>
    <row r="75" spans="1:12" ht="21.6" thickBot="1" x14ac:dyDescent="0.3">
      <c r="A75" s="177" t="s">
        <v>44</v>
      </c>
      <c r="B75" s="178"/>
      <c r="C75" s="178"/>
      <c r="D75" s="179">
        <f>SUM(D67:D74)</f>
        <v>0</v>
      </c>
      <c r="E75" s="179">
        <f t="shared" ref="E75:G75" si="8">SUM(E67:E74)</f>
        <v>0</v>
      </c>
      <c r="F75" s="179">
        <f t="shared" si="8"/>
        <v>43255.51</v>
      </c>
      <c r="G75" s="179">
        <f t="shared" si="8"/>
        <v>0</v>
      </c>
      <c r="H75" s="179">
        <f>SUM(H67:H74)</f>
        <v>0</v>
      </c>
      <c r="I75" s="179">
        <f t="shared" ref="I75:K75" si="9">SUM(I67:I74)</f>
        <v>0</v>
      </c>
      <c r="J75" s="179">
        <f t="shared" si="9"/>
        <v>259084.14</v>
      </c>
      <c r="K75" s="179">
        <f t="shared" si="9"/>
        <v>0</v>
      </c>
    </row>
    <row r="76" spans="1:12" ht="21.6" thickBot="1" x14ac:dyDescent="0.3">
      <c r="A76" s="122" t="s">
        <v>45</v>
      </c>
      <c r="B76" s="121"/>
      <c r="C76" s="121"/>
      <c r="D76" s="131">
        <f>D75+D66+D56+D22+D8</f>
        <v>0</v>
      </c>
      <c r="E76" s="131">
        <f t="shared" ref="E76:G76" si="10">E75+E66+E56+E22+E8</f>
        <v>0</v>
      </c>
      <c r="F76" s="131">
        <f t="shared" si="10"/>
        <v>1507099.39</v>
      </c>
      <c r="G76" s="131">
        <f t="shared" si="10"/>
        <v>0</v>
      </c>
      <c r="H76" s="131">
        <f>H75+H66+H56+H22+H8</f>
        <v>0</v>
      </c>
      <c r="I76" s="131">
        <f t="shared" ref="I76:K76" si="11">I75+I66+I56+I22+I8</f>
        <v>0</v>
      </c>
      <c r="J76" s="131">
        <f t="shared" si="11"/>
        <v>3491391.96</v>
      </c>
      <c r="K76" s="131">
        <f t="shared" si="11"/>
        <v>0</v>
      </c>
    </row>
    <row r="78" spans="1:12" x14ac:dyDescent="0.3">
      <c r="F78" s="6"/>
    </row>
    <row r="80" spans="1:12" x14ac:dyDescent="0.3">
      <c r="F80" s="133"/>
    </row>
    <row r="81" spans="6:6" x14ac:dyDescent="0.3">
      <c r="F81" s="133"/>
    </row>
    <row r="82" spans="6:6" x14ac:dyDescent="0.3">
      <c r="F82" s="133"/>
    </row>
  </sheetData>
  <mergeCells count="2">
    <mergeCell ref="D1:G1"/>
    <mergeCell ref="H1:K1"/>
  </mergeCells>
  <conditionalFormatting sqref="A1">
    <cfRule type="duplicateValues" dxfId="131" priority="19"/>
    <cfRule type="duplicateValues" dxfId="130" priority="20"/>
  </conditionalFormatting>
  <conditionalFormatting sqref="A14">
    <cfRule type="duplicateValues" dxfId="129" priority="9"/>
    <cfRule type="duplicateValues" dxfId="128" priority="10"/>
  </conditionalFormatting>
  <conditionalFormatting sqref="A20">
    <cfRule type="duplicateValues" dxfId="127" priority="1"/>
    <cfRule type="duplicateValues" dxfId="126" priority="2"/>
  </conditionalFormatting>
  <conditionalFormatting sqref="A41">
    <cfRule type="duplicateValues" dxfId="125" priority="5"/>
    <cfRule type="duplicateValues" dxfId="124" priority="6"/>
  </conditionalFormatting>
  <conditionalFormatting sqref="A54">
    <cfRule type="duplicateValues" dxfId="123" priority="3"/>
    <cfRule type="duplicateValues" dxfId="122" priority="4"/>
  </conditionalFormatting>
  <conditionalFormatting sqref="A57">
    <cfRule type="duplicateValues" dxfId="121" priority="11"/>
    <cfRule type="duplicateValues" dxfId="120" priority="12"/>
  </conditionalFormatting>
  <conditionalFormatting sqref="A58:A60 A7 A23:A40 A62 A42:A53 A55">
    <cfRule type="duplicateValues" dxfId="119" priority="17"/>
    <cfRule type="duplicateValues" dxfId="118" priority="18"/>
  </conditionalFormatting>
  <conditionalFormatting sqref="A61">
    <cfRule type="duplicateValues" dxfId="117" priority="7"/>
    <cfRule type="duplicateValues" dxfId="116" priority="8"/>
  </conditionalFormatting>
  <conditionalFormatting sqref="A67:A74">
    <cfRule type="duplicateValues" dxfId="115" priority="15"/>
    <cfRule type="duplicateValues" dxfId="114" priority="16"/>
  </conditionalFormatting>
  <conditionalFormatting sqref="A75:A76 A2:A6 A8:A13 A15:A19 A56 A66 A21:A22">
    <cfRule type="duplicateValues" dxfId="113" priority="13"/>
    <cfRule type="duplicateValues" dxfId="112" priority="14"/>
  </conditionalFormatting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942E4-EDC3-4912-B68F-202C63AD69E3}">
  <sheetPr>
    <tabColor rgb="FFFFC000"/>
  </sheetPr>
  <dimension ref="A1:M79"/>
  <sheetViews>
    <sheetView rightToLeft="1" zoomScaleNormal="100" workbookViewId="0">
      <pane ySplit="3" topLeftCell="A4" activePane="bottomLeft" state="frozen"/>
      <selection pane="bottomLeft" activeCell="A27" sqref="A27"/>
    </sheetView>
  </sheetViews>
  <sheetFormatPr defaultColWidth="30.09765625" defaultRowHeight="14.4" x14ac:dyDescent="0.3"/>
  <cols>
    <col min="1" max="1" width="30" style="32" bestFit="1" customWidth="1"/>
    <col min="2" max="2" width="11.3984375" style="32" customWidth="1"/>
    <col min="3" max="3" width="11.69921875" style="32" customWidth="1"/>
    <col min="4" max="4" width="16.8984375" customWidth="1"/>
    <col min="5" max="5" width="15.19921875" customWidth="1"/>
    <col min="6" max="6" width="16.8984375" customWidth="1"/>
    <col min="7" max="7" width="19" customWidth="1"/>
    <col min="8" max="9" width="15.19921875" style="3" customWidth="1"/>
    <col min="10" max="10" width="16.8984375" style="3" customWidth="1"/>
    <col min="11" max="11" width="19" customWidth="1"/>
  </cols>
  <sheetData>
    <row r="1" spans="1:11" ht="21" x14ac:dyDescent="0.25">
      <c r="A1" s="26"/>
      <c r="B1" s="26"/>
      <c r="C1" s="26"/>
      <c r="D1" s="241">
        <v>2025</v>
      </c>
      <c r="E1" s="241"/>
      <c r="F1" s="241"/>
      <c r="G1" s="241"/>
      <c r="H1" s="242">
        <v>2024</v>
      </c>
      <c r="I1" s="242"/>
      <c r="J1" s="242"/>
      <c r="K1" s="242"/>
    </row>
    <row r="2" spans="1:11" ht="21" x14ac:dyDescent="0.25">
      <c r="A2" s="11" t="s">
        <v>0</v>
      </c>
      <c r="B2" s="23" t="s">
        <v>53</v>
      </c>
      <c r="C2" s="23" t="s">
        <v>109</v>
      </c>
      <c r="D2" s="13" t="s">
        <v>46</v>
      </c>
      <c r="E2" s="13" t="s">
        <v>47</v>
      </c>
      <c r="F2" s="13" t="s">
        <v>48</v>
      </c>
      <c r="G2" s="13" t="s">
        <v>49</v>
      </c>
      <c r="H2" s="95" t="s">
        <v>46</v>
      </c>
      <c r="I2" s="95" t="s">
        <v>47</v>
      </c>
      <c r="J2" s="95" t="s">
        <v>48</v>
      </c>
      <c r="K2" s="95" t="s">
        <v>89</v>
      </c>
    </row>
    <row r="3" spans="1:11" ht="15.6" x14ac:dyDescent="0.3">
      <c r="A3" s="26" t="s">
        <v>1</v>
      </c>
      <c r="B3" s="26" t="s">
        <v>108</v>
      </c>
      <c r="C3" s="26" t="s">
        <v>58</v>
      </c>
      <c r="D3" s="14"/>
      <c r="E3" s="14"/>
      <c r="F3" s="14">
        <v>7000</v>
      </c>
      <c r="G3" s="14"/>
      <c r="H3" s="96"/>
      <c r="I3" s="96"/>
      <c r="J3" s="96">
        <v>9000</v>
      </c>
      <c r="K3" s="96"/>
    </row>
    <row r="4" spans="1:11" ht="15.6" x14ac:dyDescent="0.3">
      <c r="A4" s="26" t="s">
        <v>2</v>
      </c>
      <c r="B4" s="26" t="s">
        <v>108</v>
      </c>
      <c r="C4" s="26" t="s">
        <v>58</v>
      </c>
      <c r="D4" s="14"/>
      <c r="E4" s="14"/>
      <c r="F4" s="14"/>
      <c r="G4" s="14"/>
      <c r="H4" s="96"/>
      <c r="I4" s="96"/>
      <c r="J4" s="96">
        <v>0</v>
      </c>
      <c r="K4" s="96"/>
    </row>
    <row r="5" spans="1:11" ht="15.6" x14ac:dyDescent="0.3">
      <c r="A5" s="26" t="s">
        <v>104</v>
      </c>
      <c r="B5" s="26" t="s">
        <v>108</v>
      </c>
      <c r="C5" s="26" t="s">
        <v>58</v>
      </c>
      <c r="D5" s="14"/>
      <c r="E5" s="14"/>
      <c r="F5" s="14"/>
      <c r="G5" s="14"/>
      <c r="H5" s="96"/>
      <c r="I5" s="96"/>
      <c r="J5" s="96"/>
      <c r="K5" s="96"/>
    </row>
    <row r="6" spans="1:11" ht="15.6" x14ac:dyDescent="0.3">
      <c r="A6" s="28" t="s">
        <v>105</v>
      </c>
      <c r="B6" s="26" t="s">
        <v>108</v>
      </c>
      <c r="C6" s="28" t="s">
        <v>58</v>
      </c>
      <c r="D6" s="15"/>
      <c r="E6" s="15"/>
      <c r="F6" s="15"/>
      <c r="G6" s="15"/>
      <c r="H6" s="96"/>
      <c r="I6" s="96"/>
      <c r="J6" s="96"/>
      <c r="K6" s="96"/>
    </row>
    <row r="7" spans="1:11" ht="16.2" thickBot="1" x14ac:dyDescent="0.35">
      <c r="A7" s="26" t="s">
        <v>34</v>
      </c>
      <c r="B7" s="26" t="s">
        <v>108</v>
      </c>
      <c r="C7" s="26" t="s">
        <v>58</v>
      </c>
      <c r="D7" s="14"/>
      <c r="E7" s="14"/>
      <c r="F7" s="14"/>
      <c r="G7" s="14"/>
      <c r="H7" s="96"/>
      <c r="I7" s="96"/>
      <c r="J7" s="96">
        <v>0</v>
      </c>
      <c r="K7" s="96"/>
    </row>
    <row r="8" spans="1:11" ht="21.6" thickBot="1" x14ac:dyDescent="0.45">
      <c r="A8" s="122" t="s">
        <v>3</v>
      </c>
      <c r="B8" s="121"/>
      <c r="C8" s="121"/>
      <c r="D8" s="174">
        <f>SUM(D3:D7)</f>
        <v>0</v>
      </c>
      <c r="E8" s="174">
        <f t="shared" ref="E8:G8" si="0">SUM(E3:E7)</f>
        <v>0</v>
      </c>
      <c r="F8" s="174">
        <f t="shared" si="0"/>
        <v>7000</v>
      </c>
      <c r="G8" s="174">
        <f t="shared" si="0"/>
        <v>0</v>
      </c>
      <c r="H8" s="174">
        <f>SUM(H3:H7)</f>
        <v>0</v>
      </c>
      <c r="I8" s="174">
        <f t="shared" ref="I8:K8" si="1">SUM(I3:I7)</f>
        <v>0</v>
      </c>
      <c r="J8" s="174">
        <f t="shared" si="1"/>
        <v>9000</v>
      </c>
      <c r="K8" s="174">
        <f t="shared" si="1"/>
        <v>0</v>
      </c>
    </row>
    <row r="9" spans="1:11" ht="15.6" x14ac:dyDescent="0.3">
      <c r="A9" s="27" t="s">
        <v>4</v>
      </c>
      <c r="B9" s="26" t="s">
        <v>108</v>
      </c>
      <c r="C9" s="27" t="s">
        <v>106</v>
      </c>
      <c r="D9" s="18"/>
      <c r="E9" s="18"/>
      <c r="F9" s="18"/>
      <c r="G9" s="18"/>
      <c r="H9" s="96"/>
      <c r="I9" s="96"/>
      <c r="J9" s="96">
        <v>0</v>
      </c>
      <c r="K9" s="96"/>
    </row>
    <row r="10" spans="1:11" ht="15.6" x14ac:dyDescent="0.3">
      <c r="A10" s="26" t="s">
        <v>5</v>
      </c>
      <c r="B10" s="26" t="s">
        <v>108</v>
      </c>
      <c r="C10" s="26" t="s">
        <v>106</v>
      </c>
      <c r="D10" s="14"/>
      <c r="E10" s="14"/>
      <c r="F10" s="14"/>
      <c r="G10" s="14"/>
      <c r="H10" s="96"/>
      <c r="I10" s="96"/>
      <c r="J10" s="96">
        <v>0</v>
      </c>
      <c r="K10" s="96"/>
    </row>
    <row r="11" spans="1:11" ht="15.6" x14ac:dyDescent="0.3">
      <c r="A11" s="26" t="s">
        <v>6</v>
      </c>
      <c r="B11" s="26" t="s">
        <v>108</v>
      </c>
      <c r="C11" s="26" t="s">
        <v>106</v>
      </c>
      <c r="D11" s="14"/>
      <c r="E11" s="14"/>
      <c r="F11" s="14"/>
      <c r="G11" s="14"/>
      <c r="H11" s="96"/>
      <c r="I11" s="96"/>
      <c r="J11" s="96">
        <v>0</v>
      </c>
      <c r="K11" s="96"/>
    </row>
    <row r="12" spans="1:11" ht="15.6" x14ac:dyDescent="0.3">
      <c r="A12" s="26" t="s">
        <v>7</v>
      </c>
      <c r="B12" s="26" t="s">
        <v>108</v>
      </c>
      <c r="C12" s="26" t="s">
        <v>106</v>
      </c>
      <c r="D12" s="14"/>
      <c r="E12" s="14"/>
      <c r="F12" s="14"/>
      <c r="G12" s="14"/>
      <c r="H12" s="96"/>
      <c r="I12" s="96"/>
      <c r="J12" s="96">
        <v>0</v>
      </c>
      <c r="K12" s="96"/>
    </row>
    <row r="13" spans="1:11" ht="15.6" x14ac:dyDescent="0.3">
      <c r="A13" s="26" t="s">
        <v>8</v>
      </c>
      <c r="B13" s="26" t="s">
        <v>108</v>
      </c>
      <c r="C13" s="26" t="s">
        <v>106</v>
      </c>
      <c r="D13" s="14"/>
      <c r="E13" s="14"/>
      <c r="F13" s="14"/>
      <c r="G13" s="14"/>
      <c r="H13" s="96"/>
      <c r="I13" s="96"/>
      <c r="J13" s="96">
        <v>0</v>
      </c>
      <c r="K13" s="96"/>
    </row>
    <row r="14" spans="1:11" ht="15.6" x14ac:dyDescent="0.3">
      <c r="A14" s="26" t="s">
        <v>9</v>
      </c>
      <c r="B14" s="26" t="s">
        <v>108</v>
      </c>
      <c r="C14" s="26" t="s">
        <v>106</v>
      </c>
      <c r="D14" s="14"/>
      <c r="E14" s="14"/>
      <c r="F14" s="14"/>
      <c r="G14" s="14"/>
      <c r="H14" s="96"/>
      <c r="I14" s="96"/>
      <c r="J14" s="96">
        <v>0</v>
      </c>
      <c r="K14" s="96"/>
    </row>
    <row r="15" spans="1:11" ht="15.6" x14ac:dyDescent="0.3">
      <c r="A15" s="26" t="s">
        <v>31</v>
      </c>
      <c r="B15" s="26" t="s">
        <v>108</v>
      </c>
      <c r="C15" s="26" t="s">
        <v>106</v>
      </c>
      <c r="D15" s="14"/>
      <c r="E15" s="14"/>
      <c r="F15" s="14"/>
      <c r="G15" s="14"/>
      <c r="H15" s="96"/>
      <c r="I15" s="96"/>
      <c r="J15" s="96">
        <v>0</v>
      </c>
      <c r="K15" s="96"/>
    </row>
    <row r="16" spans="1:11" ht="15.6" x14ac:dyDescent="0.3">
      <c r="A16" s="26" t="s">
        <v>96</v>
      </c>
      <c r="B16" s="26" t="s">
        <v>108</v>
      </c>
      <c r="C16" s="26" t="s">
        <v>106</v>
      </c>
      <c r="D16" s="14"/>
      <c r="E16" s="14"/>
      <c r="F16" s="14"/>
      <c r="G16" s="14"/>
      <c r="H16" s="96"/>
      <c r="I16" s="96"/>
      <c r="J16" s="96">
        <v>0</v>
      </c>
      <c r="K16" s="96"/>
    </row>
    <row r="17" spans="1:11" ht="15.6" x14ac:dyDescent="0.3">
      <c r="A17" s="26" t="s">
        <v>42</v>
      </c>
      <c r="B17" s="26" t="s">
        <v>108</v>
      </c>
      <c r="C17" s="26" t="s">
        <v>106</v>
      </c>
      <c r="D17" s="14"/>
      <c r="E17" s="14"/>
      <c r="F17" s="14">
        <v>141226</v>
      </c>
      <c r="G17" s="14"/>
      <c r="H17" s="96"/>
      <c r="I17" s="96"/>
      <c r="J17" s="96">
        <v>73600</v>
      </c>
      <c r="K17" s="96"/>
    </row>
    <row r="18" spans="1:11" ht="15.6" x14ac:dyDescent="0.3">
      <c r="A18" s="26" t="s">
        <v>43</v>
      </c>
      <c r="B18" s="26" t="s">
        <v>108</v>
      </c>
      <c r="C18" s="26" t="s">
        <v>106</v>
      </c>
      <c r="D18" s="14"/>
      <c r="E18" s="14"/>
      <c r="F18" s="14">
        <v>65900</v>
      </c>
      <c r="G18" s="14"/>
      <c r="H18" s="96"/>
      <c r="I18" s="96"/>
      <c r="J18" s="96">
        <v>11000</v>
      </c>
      <c r="K18" s="96"/>
    </row>
    <row r="19" spans="1:11" ht="15.6" x14ac:dyDescent="0.3">
      <c r="A19" s="26" t="s">
        <v>30</v>
      </c>
      <c r="B19" s="26" t="s">
        <v>108</v>
      </c>
      <c r="C19" s="26" t="s">
        <v>106</v>
      </c>
      <c r="D19" s="14"/>
      <c r="E19" s="14"/>
      <c r="F19" s="14"/>
      <c r="G19" s="14"/>
      <c r="H19" s="96"/>
      <c r="I19" s="96"/>
      <c r="J19" s="96">
        <v>0</v>
      </c>
      <c r="K19" s="96"/>
    </row>
    <row r="20" spans="1:11" ht="15.6" x14ac:dyDescent="0.3">
      <c r="A20" s="28" t="s">
        <v>130</v>
      </c>
      <c r="B20" s="26" t="s">
        <v>108</v>
      </c>
      <c r="C20" s="26" t="s">
        <v>106</v>
      </c>
      <c r="D20" s="15"/>
      <c r="E20" s="15"/>
      <c r="F20" s="15"/>
      <c r="G20" s="15"/>
      <c r="H20" s="96"/>
      <c r="I20" s="96"/>
      <c r="J20" s="96"/>
      <c r="K20" s="96"/>
    </row>
    <row r="21" spans="1:11" ht="16.2" thickBot="1" x14ac:dyDescent="0.35">
      <c r="A21" s="28" t="s">
        <v>38</v>
      </c>
      <c r="B21" s="26" t="s">
        <v>108</v>
      </c>
      <c r="C21" s="28" t="s">
        <v>106</v>
      </c>
      <c r="D21" s="15"/>
      <c r="E21" s="15"/>
      <c r="F21" s="15"/>
      <c r="G21" s="15"/>
      <c r="H21" s="96"/>
      <c r="I21" s="96"/>
      <c r="J21" s="96">
        <v>0</v>
      </c>
      <c r="K21" s="96"/>
    </row>
    <row r="22" spans="1:11" ht="21.6" thickBot="1" x14ac:dyDescent="0.45">
      <c r="A22" s="122" t="s">
        <v>10</v>
      </c>
      <c r="B22" s="121"/>
      <c r="C22" s="121"/>
      <c r="D22" s="174">
        <f>SUM(D9:D21)</f>
        <v>0</v>
      </c>
      <c r="E22" s="174">
        <f t="shared" ref="E22:G22" si="2">SUM(E9:E21)</f>
        <v>0</v>
      </c>
      <c r="F22" s="174">
        <f t="shared" si="2"/>
        <v>207126</v>
      </c>
      <c r="G22" s="174">
        <f t="shared" si="2"/>
        <v>0</v>
      </c>
      <c r="H22" s="174">
        <f>SUM(H9:H21)</f>
        <v>0</v>
      </c>
      <c r="I22" s="174">
        <f t="shared" ref="I22:K22" si="3">SUM(I9:I21)</f>
        <v>0</v>
      </c>
      <c r="J22" s="174">
        <f t="shared" si="3"/>
        <v>84600</v>
      </c>
      <c r="K22" s="174">
        <f t="shared" si="3"/>
        <v>0</v>
      </c>
    </row>
    <row r="23" spans="1:11" ht="15.6" x14ac:dyDescent="0.3">
      <c r="A23" s="27" t="s">
        <v>11</v>
      </c>
      <c r="B23" s="27" t="s">
        <v>56</v>
      </c>
      <c r="C23" s="27" t="s">
        <v>107</v>
      </c>
      <c r="D23" s="18"/>
      <c r="E23" s="18"/>
      <c r="F23" s="18"/>
      <c r="G23" s="18"/>
      <c r="H23" s="96"/>
      <c r="I23" s="96"/>
      <c r="J23" s="96">
        <v>0</v>
      </c>
      <c r="K23" s="96"/>
    </row>
    <row r="24" spans="1:11" ht="15.6" x14ac:dyDescent="0.3">
      <c r="A24" s="30" t="s">
        <v>12</v>
      </c>
      <c r="B24" s="26" t="s">
        <v>56</v>
      </c>
      <c r="C24" s="26" t="s">
        <v>107</v>
      </c>
      <c r="D24" s="14"/>
      <c r="E24" s="14"/>
      <c r="F24" s="14"/>
      <c r="G24" s="14"/>
      <c r="H24" s="96"/>
      <c r="I24" s="96"/>
      <c r="J24" s="96">
        <v>0</v>
      </c>
      <c r="K24" s="96"/>
    </row>
    <row r="25" spans="1:11" ht="15.6" x14ac:dyDescent="0.3">
      <c r="A25" s="30" t="s">
        <v>13</v>
      </c>
      <c r="B25" s="26" t="s">
        <v>56</v>
      </c>
      <c r="C25" s="26" t="s">
        <v>107</v>
      </c>
      <c r="D25" s="14"/>
      <c r="E25" s="14"/>
      <c r="F25" s="14"/>
      <c r="G25" s="14"/>
      <c r="H25" s="96"/>
      <c r="I25" s="96"/>
      <c r="J25" s="96">
        <v>0</v>
      </c>
      <c r="K25" s="96"/>
    </row>
    <row r="26" spans="1:11" ht="15.6" x14ac:dyDescent="0.3">
      <c r="A26" s="26" t="s">
        <v>14</v>
      </c>
      <c r="B26" s="26" t="s">
        <v>55</v>
      </c>
      <c r="C26" s="26" t="s">
        <v>107</v>
      </c>
      <c r="D26" s="14"/>
      <c r="E26" s="14"/>
      <c r="F26" s="14"/>
      <c r="G26" s="14"/>
      <c r="H26" s="96"/>
      <c r="I26" s="96"/>
      <c r="J26" s="96">
        <v>0</v>
      </c>
      <c r="K26" s="96"/>
    </row>
    <row r="27" spans="1:11" ht="15.6" x14ac:dyDescent="0.3">
      <c r="A27" s="30" t="s">
        <v>15</v>
      </c>
      <c r="B27" s="26" t="s">
        <v>56</v>
      </c>
      <c r="C27" s="26" t="s">
        <v>107</v>
      </c>
      <c r="D27" s="14"/>
      <c r="E27" s="14"/>
      <c r="F27" s="14"/>
      <c r="G27" s="14"/>
      <c r="H27" s="96"/>
      <c r="I27" s="96"/>
      <c r="J27" s="96">
        <v>0</v>
      </c>
      <c r="K27" s="96"/>
    </row>
    <row r="28" spans="1:11" ht="15.6" x14ac:dyDescent="0.3">
      <c r="A28" s="30" t="s">
        <v>17</v>
      </c>
      <c r="B28" s="26" t="s">
        <v>56</v>
      </c>
      <c r="C28" s="26" t="s">
        <v>107</v>
      </c>
      <c r="D28" s="14"/>
      <c r="E28" s="14"/>
      <c r="F28" s="14"/>
      <c r="G28" s="14"/>
      <c r="H28" s="96"/>
      <c r="I28" s="96"/>
      <c r="J28" s="96">
        <v>0</v>
      </c>
      <c r="K28" s="96"/>
    </row>
    <row r="29" spans="1:11" ht="15.6" x14ac:dyDescent="0.3">
      <c r="A29" s="30" t="s">
        <v>18</v>
      </c>
      <c r="B29" s="26" t="s">
        <v>56</v>
      </c>
      <c r="C29" s="26" t="s">
        <v>107</v>
      </c>
      <c r="D29" s="14"/>
      <c r="E29" s="14"/>
      <c r="F29" s="14"/>
      <c r="G29" s="14"/>
      <c r="H29" s="96"/>
      <c r="I29" s="96"/>
      <c r="J29" s="96">
        <v>0</v>
      </c>
      <c r="K29" s="96"/>
    </row>
    <row r="30" spans="1:11" ht="15.6" x14ac:dyDescent="0.3">
      <c r="A30" s="26" t="s">
        <v>19</v>
      </c>
      <c r="B30" s="26" t="s">
        <v>56</v>
      </c>
      <c r="C30" s="26" t="s">
        <v>107</v>
      </c>
      <c r="D30" s="14"/>
      <c r="E30" s="14"/>
      <c r="F30" s="14"/>
      <c r="G30" s="14"/>
      <c r="H30" s="96"/>
      <c r="I30" s="96"/>
      <c r="J30" s="96">
        <v>0</v>
      </c>
      <c r="K30" s="96"/>
    </row>
    <row r="31" spans="1:11" ht="15.6" x14ac:dyDescent="0.3">
      <c r="A31" s="26" t="s">
        <v>20</v>
      </c>
      <c r="B31" s="26" t="s">
        <v>56</v>
      </c>
      <c r="C31" s="26" t="s">
        <v>107</v>
      </c>
      <c r="D31" s="14"/>
      <c r="E31" s="14"/>
      <c r="F31" s="14">
        <v>1400</v>
      </c>
      <c r="G31" s="14"/>
      <c r="H31" s="96"/>
      <c r="I31" s="96"/>
      <c r="J31" s="96">
        <v>1200</v>
      </c>
      <c r="K31" s="96"/>
    </row>
    <row r="32" spans="1:11" ht="15.6" x14ac:dyDescent="0.3">
      <c r="A32" s="26" t="s">
        <v>21</v>
      </c>
      <c r="B32" s="26" t="s">
        <v>56</v>
      </c>
      <c r="C32" s="26" t="s">
        <v>107</v>
      </c>
      <c r="D32" s="14"/>
      <c r="E32" s="14"/>
      <c r="F32" s="14"/>
      <c r="G32" s="14"/>
      <c r="H32" s="96"/>
      <c r="I32" s="96"/>
      <c r="J32" s="96">
        <v>0</v>
      </c>
      <c r="K32" s="96"/>
    </row>
    <row r="33" spans="1:12" ht="15.6" x14ac:dyDescent="0.3">
      <c r="A33" s="26" t="s">
        <v>22</v>
      </c>
      <c r="B33" s="26" t="s">
        <v>56</v>
      </c>
      <c r="C33" s="26" t="s">
        <v>107</v>
      </c>
      <c r="D33" s="14"/>
      <c r="E33" s="14"/>
      <c r="F33" s="14"/>
      <c r="G33" s="14"/>
      <c r="H33" s="96"/>
      <c r="I33" s="96"/>
      <c r="J33" s="96">
        <v>0</v>
      </c>
      <c r="K33" s="96"/>
    </row>
    <row r="34" spans="1:12" ht="15.6" x14ac:dyDescent="0.3">
      <c r="A34" s="26" t="s">
        <v>23</v>
      </c>
      <c r="B34" s="26" t="s">
        <v>56</v>
      </c>
      <c r="C34" s="26" t="s">
        <v>107</v>
      </c>
      <c r="D34" s="14"/>
      <c r="E34" s="14"/>
      <c r="F34" s="14"/>
      <c r="G34" s="14"/>
      <c r="H34" s="96"/>
      <c r="I34" s="96"/>
      <c r="J34" s="96">
        <v>0</v>
      </c>
      <c r="K34" s="96"/>
    </row>
    <row r="35" spans="1:12" ht="15.6" x14ac:dyDescent="0.3">
      <c r="A35" s="26" t="s">
        <v>24</v>
      </c>
      <c r="B35" s="26" t="s">
        <v>56</v>
      </c>
      <c r="C35" s="26" t="s">
        <v>107</v>
      </c>
      <c r="D35" s="14"/>
      <c r="E35" s="14"/>
      <c r="F35" s="14"/>
      <c r="G35" s="14"/>
      <c r="H35" s="96"/>
      <c r="I35" s="96"/>
      <c r="J35" s="96">
        <v>0</v>
      </c>
      <c r="K35" s="96"/>
    </row>
    <row r="36" spans="1:12" ht="15.6" x14ac:dyDescent="0.3">
      <c r="A36" s="30" t="s">
        <v>25</v>
      </c>
      <c r="B36" s="26" t="s">
        <v>56</v>
      </c>
      <c r="C36" s="26" t="s">
        <v>107</v>
      </c>
      <c r="D36" s="14"/>
      <c r="E36" s="14"/>
      <c r="F36" s="14"/>
      <c r="G36" s="14"/>
      <c r="H36" s="96"/>
      <c r="I36" s="96"/>
      <c r="J36" s="96">
        <v>0</v>
      </c>
      <c r="K36" s="96"/>
    </row>
    <row r="37" spans="1:12" ht="15.6" x14ac:dyDescent="0.3">
      <c r="A37" s="26" t="s">
        <v>26</v>
      </c>
      <c r="B37" s="26" t="s">
        <v>56</v>
      </c>
      <c r="C37" s="26" t="s">
        <v>107</v>
      </c>
      <c r="D37" s="14"/>
      <c r="E37" s="14"/>
      <c r="F37" s="14"/>
      <c r="G37" s="14"/>
      <c r="H37" s="96"/>
      <c r="I37" s="96"/>
      <c r="J37" s="96">
        <v>0</v>
      </c>
      <c r="K37" s="96"/>
    </row>
    <row r="38" spans="1:12" ht="15.6" x14ac:dyDescent="0.3">
      <c r="A38" s="26" t="s">
        <v>27</v>
      </c>
      <c r="B38" s="26" t="s">
        <v>56</v>
      </c>
      <c r="C38" s="26" t="s">
        <v>107</v>
      </c>
      <c r="D38" s="14"/>
      <c r="E38" s="14"/>
      <c r="F38" s="14"/>
      <c r="G38" s="14"/>
      <c r="H38" s="96"/>
      <c r="I38" s="96"/>
      <c r="J38" s="96">
        <v>0</v>
      </c>
      <c r="K38" s="96"/>
    </row>
    <row r="39" spans="1:12" ht="15.6" x14ac:dyDescent="0.3">
      <c r="A39" s="26" t="s">
        <v>28</v>
      </c>
      <c r="B39" s="26" t="s">
        <v>56</v>
      </c>
      <c r="C39" s="26" t="s">
        <v>107</v>
      </c>
      <c r="D39" s="14"/>
      <c r="E39" s="14"/>
      <c r="F39" s="14"/>
      <c r="G39" s="14"/>
      <c r="H39" s="96"/>
      <c r="I39" s="96"/>
      <c r="J39" s="96">
        <v>0</v>
      </c>
      <c r="K39" s="96"/>
    </row>
    <row r="40" spans="1:12" ht="15.6" x14ac:dyDescent="0.3">
      <c r="A40" s="26" t="s">
        <v>29</v>
      </c>
      <c r="B40" s="26" t="s">
        <v>56</v>
      </c>
      <c r="C40" s="26" t="s">
        <v>107</v>
      </c>
      <c r="D40" s="14"/>
      <c r="E40" s="14"/>
      <c r="F40" s="14"/>
      <c r="G40" s="14"/>
      <c r="H40" s="96"/>
      <c r="I40" s="96"/>
      <c r="J40" s="96">
        <v>0</v>
      </c>
      <c r="K40" s="96"/>
    </row>
    <row r="41" spans="1:12" ht="15.6" x14ac:dyDescent="0.3">
      <c r="A41" s="26" t="s">
        <v>98</v>
      </c>
      <c r="B41" s="26" t="s">
        <v>55</v>
      </c>
      <c r="C41" s="26" t="s">
        <v>107</v>
      </c>
      <c r="D41" s="14"/>
      <c r="E41" s="14"/>
      <c r="F41" s="14"/>
      <c r="G41" s="14"/>
      <c r="H41" s="96"/>
      <c r="I41" s="96"/>
      <c r="J41" s="96">
        <v>0</v>
      </c>
      <c r="K41" s="96"/>
    </row>
    <row r="42" spans="1:12" ht="15.6" x14ac:dyDescent="0.3">
      <c r="A42" s="26" t="s">
        <v>32</v>
      </c>
      <c r="B42" s="26" t="s">
        <v>55</v>
      </c>
      <c r="C42" s="26" t="s">
        <v>107</v>
      </c>
      <c r="D42" s="14"/>
      <c r="E42" s="14"/>
      <c r="F42" s="14"/>
      <c r="G42" s="14"/>
      <c r="H42" s="96"/>
      <c r="I42" s="96"/>
      <c r="J42" s="96">
        <v>0</v>
      </c>
      <c r="K42" s="96"/>
    </row>
    <row r="43" spans="1:12" ht="15.6" x14ac:dyDescent="0.3">
      <c r="A43" s="30" t="s">
        <v>95</v>
      </c>
      <c r="B43" s="26" t="s">
        <v>56</v>
      </c>
      <c r="C43" s="26" t="s">
        <v>107</v>
      </c>
      <c r="D43" s="14"/>
      <c r="E43" s="14"/>
      <c r="F43" s="14"/>
      <c r="G43" s="14"/>
      <c r="H43" s="96"/>
      <c r="I43" s="96"/>
      <c r="J43" s="96">
        <v>0</v>
      </c>
      <c r="K43" s="96"/>
    </row>
    <row r="44" spans="1:12" ht="15.6" x14ac:dyDescent="0.3">
      <c r="A44" s="26" t="s">
        <v>83</v>
      </c>
      <c r="B44" s="26" t="s">
        <v>56</v>
      </c>
      <c r="C44" s="26" t="s">
        <v>107</v>
      </c>
      <c r="D44" s="14"/>
      <c r="E44" s="14"/>
      <c r="F44" s="14"/>
      <c r="G44" s="14"/>
      <c r="H44" s="96"/>
      <c r="I44" s="96"/>
      <c r="J44" s="96">
        <v>0</v>
      </c>
      <c r="K44" s="96"/>
    </row>
    <row r="45" spans="1:12" ht="15.6" x14ac:dyDescent="0.3">
      <c r="A45" s="26" t="s">
        <v>82</v>
      </c>
      <c r="B45" s="26" t="s">
        <v>56</v>
      </c>
      <c r="C45" s="26" t="s">
        <v>107</v>
      </c>
      <c r="D45" s="14"/>
      <c r="E45" s="14"/>
      <c r="F45" s="14"/>
      <c r="G45" s="14"/>
      <c r="H45" s="96"/>
      <c r="I45" s="96"/>
      <c r="J45" s="96">
        <v>0</v>
      </c>
      <c r="K45" s="96"/>
    </row>
    <row r="46" spans="1:12" ht="15.6" x14ac:dyDescent="0.3">
      <c r="A46" s="26" t="s">
        <v>36</v>
      </c>
      <c r="B46" s="26" t="s">
        <v>55</v>
      </c>
      <c r="C46" s="26" t="s">
        <v>107</v>
      </c>
      <c r="D46" s="14"/>
      <c r="E46" s="14"/>
      <c r="F46" s="14"/>
      <c r="G46" s="14"/>
      <c r="H46" s="96"/>
      <c r="I46" s="96"/>
      <c r="J46" s="96">
        <v>0</v>
      </c>
      <c r="K46" s="96"/>
    </row>
    <row r="47" spans="1:12" ht="15.6" x14ac:dyDescent="0.3">
      <c r="A47" s="26" t="s">
        <v>94</v>
      </c>
      <c r="B47" s="26" t="s">
        <v>55</v>
      </c>
      <c r="C47" s="26" t="s">
        <v>107</v>
      </c>
      <c r="D47" s="14"/>
      <c r="E47" s="14"/>
      <c r="F47" s="14"/>
      <c r="G47" s="14"/>
      <c r="H47" s="96"/>
      <c r="I47" s="96"/>
      <c r="J47" s="96">
        <v>0</v>
      </c>
      <c r="K47" s="96"/>
      <c r="L47" s="138"/>
    </row>
    <row r="48" spans="1:12" ht="15.6" x14ac:dyDescent="0.3">
      <c r="A48" s="26" t="s">
        <v>85</v>
      </c>
      <c r="B48" s="26" t="s">
        <v>56</v>
      </c>
      <c r="C48" s="26" t="s">
        <v>107</v>
      </c>
      <c r="D48" s="14"/>
      <c r="E48" s="14"/>
      <c r="F48" s="14"/>
      <c r="G48" s="14"/>
      <c r="H48" s="96"/>
      <c r="I48" s="96"/>
      <c r="J48" s="96">
        <v>0</v>
      </c>
      <c r="K48" s="96"/>
    </row>
    <row r="49" spans="1:13" ht="15.6" x14ac:dyDescent="0.3">
      <c r="A49" s="26" t="s">
        <v>87</v>
      </c>
      <c r="B49" s="26" t="s">
        <v>56</v>
      </c>
      <c r="C49" s="26" t="s">
        <v>107</v>
      </c>
      <c r="D49" s="14"/>
      <c r="E49" s="14"/>
      <c r="F49" s="14"/>
      <c r="G49" s="14"/>
      <c r="H49" s="96"/>
      <c r="I49" s="96"/>
      <c r="J49" s="96">
        <v>0</v>
      </c>
      <c r="K49" s="96"/>
    </row>
    <row r="50" spans="1:13" ht="15.6" x14ac:dyDescent="0.3">
      <c r="A50" s="26" t="s">
        <v>97</v>
      </c>
      <c r="B50" s="26" t="s">
        <v>56</v>
      </c>
      <c r="C50" s="26" t="s">
        <v>107</v>
      </c>
      <c r="D50" s="14"/>
      <c r="E50" s="14"/>
      <c r="F50" s="14"/>
      <c r="G50" s="14"/>
      <c r="H50" s="96"/>
      <c r="I50" s="96"/>
      <c r="J50" s="96">
        <v>0</v>
      </c>
      <c r="K50" s="96"/>
    </row>
    <row r="51" spans="1:13" ht="15.6" x14ac:dyDescent="0.3">
      <c r="A51" s="26" t="s">
        <v>39</v>
      </c>
      <c r="B51" s="26" t="s">
        <v>56</v>
      </c>
      <c r="C51" s="26" t="s">
        <v>107</v>
      </c>
      <c r="D51" s="14"/>
      <c r="E51" s="14"/>
      <c r="F51" s="14"/>
      <c r="G51" s="14"/>
      <c r="H51" s="96"/>
      <c r="I51" s="96"/>
      <c r="J51" s="96">
        <v>0</v>
      </c>
      <c r="K51" s="96"/>
    </row>
    <row r="52" spans="1:13" ht="15.6" x14ac:dyDescent="0.3">
      <c r="A52" s="26" t="s">
        <v>91</v>
      </c>
      <c r="B52" s="26" t="s">
        <v>56</v>
      </c>
      <c r="C52" s="26" t="s">
        <v>107</v>
      </c>
      <c r="D52" s="14"/>
      <c r="E52" s="14"/>
      <c r="F52" s="14"/>
      <c r="G52" s="14"/>
      <c r="H52" s="96"/>
      <c r="I52" s="96"/>
      <c r="J52" s="96">
        <v>0</v>
      </c>
      <c r="K52" s="96"/>
    </row>
    <row r="53" spans="1:13" ht="15.6" x14ac:dyDescent="0.3">
      <c r="A53" s="26" t="s">
        <v>41</v>
      </c>
      <c r="B53" s="26" t="s">
        <v>56</v>
      </c>
      <c r="C53" s="26" t="s">
        <v>107</v>
      </c>
      <c r="D53" s="14"/>
      <c r="E53" s="14"/>
      <c r="F53" s="14"/>
      <c r="G53" s="14"/>
      <c r="H53" s="96"/>
      <c r="I53" s="96"/>
      <c r="J53" s="96">
        <v>0</v>
      </c>
      <c r="K53" s="96"/>
    </row>
    <row r="54" spans="1:13" ht="15.6" x14ac:dyDescent="0.3">
      <c r="A54" s="26" t="s">
        <v>129</v>
      </c>
      <c r="B54" s="26" t="s">
        <v>108</v>
      </c>
      <c r="C54" s="27" t="s">
        <v>107</v>
      </c>
      <c r="D54" s="15"/>
      <c r="E54" s="15"/>
      <c r="F54" s="15"/>
      <c r="G54" s="15"/>
      <c r="H54" s="96"/>
      <c r="I54" s="96"/>
      <c r="J54" s="96"/>
      <c r="K54" s="96"/>
    </row>
    <row r="55" spans="1:13" ht="16.2" thickBot="1" x14ac:dyDescent="0.35">
      <c r="A55" s="28" t="s">
        <v>88</v>
      </c>
      <c r="B55" s="28" t="s">
        <v>56</v>
      </c>
      <c r="C55" s="28" t="s">
        <v>107</v>
      </c>
      <c r="D55" s="15"/>
      <c r="E55" s="15"/>
      <c r="F55" s="15"/>
      <c r="G55" s="15"/>
      <c r="H55" s="96"/>
      <c r="I55" s="96"/>
      <c r="J55" s="96">
        <v>0</v>
      </c>
      <c r="K55" s="96"/>
    </row>
    <row r="56" spans="1:13" ht="21.6" thickBot="1" x14ac:dyDescent="0.45">
      <c r="A56" s="123" t="s">
        <v>115</v>
      </c>
      <c r="B56" s="121"/>
      <c r="C56" s="121"/>
      <c r="D56" s="174">
        <f t="shared" ref="D56:K56" si="4">SUM(D23:D55)</f>
        <v>0</v>
      </c>
      <c r="E56" s="174">
        <f t="shared" si="4"/>
        <v>0</v>
      </c>
      <c r="F56" s="174">
        <f t="shared" si="4"/>
        <v>1400</v>
      </c>
      <c r="G56" s="174">
        <f t="shared" si="4"/>
        <v>0</v>
      </c>
      <c r="H56" s="174">
        <f t="shared" si="4"/>
        <v>0</v>
      </c>
      <c r="I56" s="174">
        <f t="shared" si="4"/>
        <v>0</v>
      </c>
      <c r="J56" s="174">
        <f t="shared" si="4"/>
        <v>1200</v>
      </c>
      <c r="K56" s="174">
        <f t="shared" si="4"/>
        <v>0</v>
      </c>
    </row>
    <row r="57" spans="1:13" ht="15.6" x14ac:dyDescent="0.3">
      <c r="A57" s="30" t="s">
        <v>33</v>
      </c>
      <c r="B57" s="26" t="s">
        <v>114</v>
      </c>
      <c r="C57" s="26" t="s">
        <v>107</v>
      </c>
      <c r="D57" s="14"/>
      <c r="E57" s="14"/>
      <c r="F57" s="14"/>
      <c r="G57" s="14"/>
      <c r="H57" s="96"/>
      <c r="I57" s="96"/>
      <c r="J57" s="96">
        <v>0</v>
      </c>
      <c r="K57" s="96"/>
    </row>
    <row r="58" spans="1:13" ht="15.6" x14ac:dyDescent="0.3">
      <c r="A58" s="26" t="s">
        <v>84</v>
      </c>
      <c r="B58" s="26" t="s">
        <v>114</v>
      </c>
      <c r="C58" s="26" t="s">
        <v>107</v>
      </c>
      <c r="D58" s="14"/>
      <c r="E58" s="14"/>
      <c r="F58" s="14"/>
      <c r="G58" s="14"/>
      <c r="H58" s="96"/>
      <c r="I58" s="96"/>
      <c r="J58" s="96">
        <v>0</v>
      </c>
      <c r="K58" s="96"/>
    </row>
    <row r="59" spans="1:13" ht="15.6" x14ac:dyDescent="0.3">
      <c r="A59" s="26" t="s">
        <v>37</v>
      </c>
      <c r="B59" s="26" t="s">
        <v>114</v>
      </c>
      <c r="C59" s="26" t="s">
        <v>107</v>
      </c>
      <c r="D59" s="14"/>
      <c r="E59" s="14"/>
      <c r="F59" s="14">
        <v>2800</v>
      </c>
      <c r="G59" s="14"/>
      <c r="H59" s="96"/>
      <c r="I59" s="96"/>
      <c r="J59" s="96">
        <v>1650</v>
      </c>
      <c r="K59" s="96"/>
      <c r="M59" s="133"/>
    </row>
    <row r="60" spans="1:13" ht="15.6" x14ac:dyDescent="0.3">
      <c r="A60" s="26" t="s">
        <v>35</v>
      </c>
      <c r="B60" s="26" t="s">
        <v>114</v>
      </c>
      <c r="C60" s="26" t="s">
        <v>107</v>
      </c>
      <c r="D60" s="14"/>
      <c r="E60" s="14"/>
      <c r="F60" s="14"/>
      <c r="G60" s="14"/>
      <c r="H60" s="96"/>
      <c r="I60" s="96"/>
      <c r="J60" s="96">
        <v>0</v>
      </c>
      <c r="K60" s="96"/>
      <c r="M60" s="133"/>
    </row>
    <row r="61" spans="1:13" ht="15.6" x14ac:dyDescent="0.3">
      <c r="A61" s="27" t="s">
        <v>86</v>
      </c>
      <c r="B61" s="27" t="s">
        <v>114</v>
      </c>
      <c r="C61" s="27" t="s">
        <v>107</v>
      </c>
      <c r="D61" s="14"/>
      <c r="E61" s="14"/>
      <c r="F61" s="14"/>
      <c r="G61" s="14"/>
      <c r="H61" s="96"/>
      <c r="I61" s="96"/>
      <c r="J61" s="96">
        <v>0</v>
      </c>
      <c r="K61" s="96"/>
      <c r="M61" s="133"/>
    </row>
    <row r="62" spans="1:13" ht="15.6" x14ac:dyDescent="0.3">
      <c r="A62" s="30" t="s">
        <v>16</v>
      </c>
      <c r="B62" s="26" t="s">
        <v>114</v>
      </c>
      <c r="C62" s="26" t="s">
        <v>107</v>
      </c>
      <c r="D62" s="14"/>
      <c r="E62" s="14"/>
      <c r="F62" s="14"/>
      <c r="G62" s="14"/>
      <c r="H62" s="96"/>
      <c r="I62" s="96"/>
      <c r="J62" s="96">
        <v>0</v>
      </c>
      <c r="K62" s="96"/>
    </row>
    <row r="63" spans="1:13" ht="15.6" x14ac:dyDescent="0.3">
      <c r="A63" s="194" t="s">
        <v>128</v>
      </c>
      <c r="B63" s="26" t="s">
        <v>114</v>
      </c>
      <c r="C63" s="27" t="s">
        <v>107</v>
      </c>
      <c r="D63" s="14"/>
      <c r="E63" s="14"/>
      <c r="F63" s="14"/>
      <c r="G63" s="14"/>
      <c r="H63" s="96"/>
      <c r="I63" s="96"/>
      <c r="J63" s="96"/>
      <c r="K63" s="96"/>
    </row>
    <row r="64" spans="1:13" ht="15.6" x14ac:dyDescent="0.3">
      <c r="A64" s="199" t="s">
        <v>131</v>
      </c>
      <c r="B64" s="26" t="s">
        <v>114</v>
      </c>
      <c r="C64" s="27" t="s">
        <v>107</v>
      </c>
      <c r="D64" s="14"/>
      <c r="E64" s="14"/>
      <c r="F64" s="14"/>
      <c r="G64" s="14"/>
      <c r="H64" s="96"/>
      <c r="I64" s="96"/>
      <c r="J64" s="96"/>
      <c r="K64" s="96"/>
    </row>
    <row r="65" spans="1:12" ht="16.2" thickBot="1" x14ac:dyDescent="0.35">
      <c r="A65" s="117" t="s">
        <v>99</v>
      </c>
      <c r="B65" s="26" t="s">
        <v>114</v>
      </c>
      <c r="C65" s="26" t="s">
        <v>107</v>
      </c>
      <c r="D65" s="14"/>
      <c r="E65" s="14"/>
      <c r="F65" s="14"/>
      <c r="G65" s="14"/>
      <c r="H65" s="96"/>
      <c r="I65" s="96"/>
      <c r="J65" s="96"/>
      <c r="K65" s="96"/>
    </row>
    <row r="66" spans="1:12" ht="21.6" thickBot="1" x14ac:dyDescent="0.45">
      <c r="A66" s="123" t="s">
        <v>116</v>
      </c>
      <c r="B66" s="121"/>
      <c r="C66" s="121"/>
      <c r="D66" s="174">
        <f>SUM(D57:D65)</f>
        <v>0</v>
      </c>
      <c r="E66" s="174">
        <f t="shared" ref="E66:G66" si="5">SUM(E57:E65)</f>
        <v>0</v>
      </c>
      <c r="F66" s="174">
        <f t="shared" si="5"/>
        <v>2800</v>
      </c>
      <c r="G66" s="174">
        <f t="shared" si="5"/>
        <v>0</v>
      </c>
      <c r="H66" s="174">
        <f>SUM(H57:H65)</f>
        <v>0</v>
      </c>
      <c r="I66" s="174">
        <f t="shared" ref="I66:K66" si="6">SUM(I57:I65)</f>
        <v>0</v>
      </c>
      <c r="J66" s="174">
        <f t="shared" si="6"/>
        <v>1650</v>
      </c>
      <c r="K66" s="174">
        <f t="shared" si="6"/>
        <v>0</v>
      </c>
    </row>
    <row r="67" spans="1:12" ht="15.6" x14ac:dyDescent="0.3">
      <c r="A67" s="27" t="s">
        <v>77</v>
      </c>
      <c r="B67" s="26" t="s">
        <v>108</v>
      </c>
      <c r="C67" s="27" t="s">
        <v>102</v>
      </c>
      <c r="D67" s="18"/>
      <c r="E67" s="18"/>
      <c r="F67" s="18"/>
      <c r="G67" s="18"/>
      <c r="H67" s="96"/>
      <c r="I67" s="96"/>
      <c r="J67" s="96">
        <v>0</v>
      </c>
      <c r="K67" s="96"/>
    </row>
    <row r="68" spans="1:12" ht="15.6" x14ac:dyDescent="0.3">
      <c r="A68" s="30" t="s">
        <v>40</v>
      </c>
      <c r="B68" s="26" t="s">
        <v>56</v>
      </c>
      <c r="C68" s="26" t="s">
        <v>103</v>
      </c>
      <c r="D68" s="14">
        <v>12000</v>
      </c>
      <c r="E68" s="14"/>
      <c r="F68" s="14"/>
      <c r="G68" s="14"/>
      <c r="H68" s="96"/>
      <c r="I68" s="96"/>
      <c r="J68" s="96">
        <v>0</v>
      </c>
      <c r="K68" s="96"/>
    </row>
    <row r="69" spans="1:12" ht="15.6" x14ac:dyDescent="0.3">
      <c r="A69" s="26" t="s">
        <v>90</v>
      </c>
      <c r="B69" s="26" t="s">
        <v>108</v>
      </c>
      <c r="C69" s="26" t="s">
        <v>103</v>
      </c>
      <c r="D69" s="14"/>
      <c r="E69" s="14"/>
      <c r="F69" s="14"/>
      <c r="G69" s="14"/>
      <c r="H69" s="96"/>
      <c r="I69" s="96"/>
      <c r="J69" s="96">
        <v>0</v>
      </c>
      <c r="K69" s="96"/>
    </row>
    <row r="70" spans="1:12" ht="15.6" x14ac:dyDescent="0.3">
      <c r="A70" s="26" t="s">
        <v>92</v>
      </c>
      <c r="B70" s="26" t="s">
        <v>56</v>
      </c>
      <c r="C70" s="26" t="s">
        <v>103</v>
      </c>
      <c r="D70" s="14"/>
      <c r="E70" s="14"/>
      <c r="F70" s="14"/>
      <c r="G70" s="14"/>
      <c r="H70" s="96"/>
      <c r="I70" s="96"/>
      <c r="J70" s="96">
        <v>0</v>
      </c>
      <c r="K70" s="96"/>
    </row>
    <row r="71" spans="1:12" ht="15.6" x14ac:dyDescent="0.3">
      <c r="A71" s="26" t="s">
        <v>93</v>
      </c>
      <c r="B71" s="26" t="s">
        <v>56</v>
      </c>
      <c r="C71" s="26" t="s">
        <v>103</v>
      </c>
      <c r="D71" s="14"/>
      <c r="E71" s="14"/>
      <c r="F71" s="14"/>
      <c r="G71" s="14"/>
      <c r="H71" s="96"/>
      <c r="I71" s="96"/>
      <c r="J71" s="96">
        <v>0</v>
      </c>
      <c r="K71" s="96"/>
    </row>
    <row r="72" spans="1:12" ht="15.6" x14ac:dyDescent="0.3">
      <c r="A72" s="26" t="s">
        <v>100</v>
      </c>
      <c r="B72" s="26" t="s">
        <v>56</v>
      </c>
      <c r="C72" s="26" t="s">
        <v>103</v>
      </c>
      <c r="D72" s="14"/>
      <c r="E72" s="14"/>
      <c r="F72" s="14"/>
      <c r="G72" s="14"/>
      <c r="H72" s="96"/>
      <c r="I72" s="96"/>
      <c r="J72" s="96"/>
      <c r="K72" s="96"/>
      <c r="L72" s="138"/>
    </row>
    <row r="73" spans="1:12" ht="15.6" x14ac:dyDescent="0.3">
      <c r="A73" s="118" t="s">
        <v>101</v>
      </c>
      <c r="B73" s="26" t="s">
        <v>56</v>
      </c>
      <c r="C73" s="26" t="s">
        <v>103</v>
      </c>
      <c r="D73" s="14"/>
      <c r="E73" s="14"/>
      <c r="F73" s="14">
        <v>24947.06</v>
      </c>
      <c r="G73" s="14"/>
      <c r="H73" s="96"/>
      <c r="I73" s="96"/>
      <c r="J73" s="96"/>
      <c r="K73" s="96"/>
    </row>
    <row r="74" spans="1:12" ht="15.6" x14ac:dyDescent="0.3">
      <c r="A74" s="26" t="s">
        <v>81</v>
      </c>
      <c r="B74" s="26" t="s">
        <v>56</v>
      </c>
      <c r="C74" s="26" t="s">
        <v>103</v>
      </c>
      <c r="D74" s="14"/>
      <c r="E74" s="14"/>
      <c r="F74" s="14"/>
      <c r="G74" s="14"/>
      <c r="H74" s="96"/>
      <c r="I74" s="96"/>
      <c r="J74" s="96">
        <v>0</v>
      </c>
      <c r="K74" s="96"/>
    </row>
    <row r="75" spans="1:12" ht="21.6" thickBot="1" x14ac:dyDescent="0.3">
      <c r="A75" s="177" t="s">
        <v>44</v>
      </c>
      <c r="B75" s="178"/>
      <c r="C75" s="178"/>
      <c r="D75" s="179">
        <f>SUM(D67:D74)</f>
        <v>12000</v>
      </c>
      <c r="E75" s="179">
        <f t="shared" ref="E75:G75" si="7">SUM(E67:E74)</f>
        <v>0</v>
      </c>
      <c r="F75" s="179">
        <f t="shared" si="7"/>
        <v>24947.06</v>
      </c>
      <c r="G75" s="179">
        <f t="shared" si="7"/>
        <v>0</v>
      </c>
      <c r="H75" s="179">
        <f>SUM(H67:H74)</f>
        <v>0</v>
      </c>
      <c r="I75" s="179">
        <f t="shared" ref="I75:K75" si="8">SUM(I67:I74)</f>
        <v>0</v>
      </c>
      <c r="J75" s="179">
        <f t="shared" si="8"/>
        <v>0</v>
      </c>
      <c r="K75" s="179">
        <f t="shared" si="8"/>
        <v>0</v>
      </c>
    </row>
    <row r="76" spans="1:12" ht="21.6" thickBot="1" x14ac:dyDescent="0.3">
      <c r="A76" s="122" t="s">
        <v>45</v>
      </c>
      <c r="B76" s="121"/>
      <c r="C76" s="121"/>
      <c r="D76" s="131">
        <f t="shared" ref="D76:K76" si="9">D75+D66+D56+D22+D8</f>
        <v>12000</v>
      </c>
      <c r="E76" s="131">
        <f t="shared" si="9"/>
        <v>0</v>
      </c>
      <c r="F76" s="131">
        <f t="shared" si="9"/>
        <v>243273.06</v>
      </c>
      <c r="G76" s="131">
        <f t="shared" si="9"/>
        <v>0</v>
      </c>
      <c r="H76" s="131">
        <f t="shared" si="9"/>
        <v>0</v>
      </c>
      <c r="I76" s="131">
        <f t="shared" si="9"/>
        <v>0</v>
      </c>
      <c r="J76" s="131">
        <f t="shared" si="9"/>
        <v>96450</v>
      </c>
      <c r="K76" s="131">
        <f t="shared" si="9"/>
        <v>0</v>
      </c>
    </row>
    <row r="78" spans="1:12" x14ac:dyDescent="0.3">
      <c r="F78" s="133"/>
    </row>
    <row r="79" spans="1:12" x14ac:dyDescent="0.3">
      <c r="F79" s="6"/>
    </row>
  </sheetData>
  <mergeCells count="2">
    <mergeCell ref="D1:G1"/>
    <mergeCell ref="H1:K1"/>
  </mergeCells>
  <conditionalFormatting sqref="A1">
    <cfRule type="duplicateValues" dxfId="111" priority="19"/>
    <cfRule type="duplicateValues" dxfId="110" priority="20"/>
  </conditionalFormatting>
  <conditionalFormatting sqref="A14">
    <cfRule type="duplicateValues" dxfId="109" priority="9"/>
    <cfRule type="duplicateValues" dxfId="108" priority="10"/>
  </conditionalFormatting>
  <conditionalFormatting sqref="A20">
    <cfRule type="duplicateValues" dxfId="107" priority="1"/>
    <cfRule type="duplicateValues" dxfId="106" priority="2"/>
  </conditionalFormatting>
  <conditionalFormatting sqref="A41">
    <cfRule type="duplicateValues" dxfId="105" priority="5"/>
    <cfRule type="duplicateValues" dxfId="104" priority="6"/>
  </conditionalFormatting>
  <conditionalFormatting sqref="A54">
    <cfRule type="duplicateValues" dxfId="103" priority="3"/>
    <cfRule type="duplicateValues" dxfId="102" priority="4"/>
  </conditionalFormatting>
  <conditionalFormatting sqref="A57">
    <cfRule type="duplicateValues" dxfId="101" priority="11"/>
    <cfRule type="duplicateValues" dxfId="100" priority="12"/>
  </conditionalFormatting>
  <conditionalFormatting sqref="A58:A60 A7 A23:A40 A62 A42:A53 A55">
    <cfRule type="duplicateValues" dxfId="99" priority="17"/>
    <cfRule type="duplicateValues" dxfId="98" priority="18"/>
  </conditionalFormatting>
  <conditionalFormatting sqref="A61">
    <cfRule type="duplicateValues" dxfId="97" priority="7"/>
    <cfRule type="duplicateValues" dxfId="96" priority="8"/>
  </conditionalFormatting>
  <conditionalFormatting sqref="A67:A74">
    <cfRule type="duplicateValues" dxfId="95" priority="15"/>
    <cfRule type="duplicateValues" dxfId="94" priority="16"/>
  </conditionalFormatting>
  <conditionalFormatting sqref="A75:A76 A2:A6 A8:A13 A15:A19 A56 A66 A21:A22">
    <cfRule type="duplicateValues" dxfId="93" priority="13"/>
    <cfRule type="duplicateValues" dxfId="92" priority="14"/>
  </conditionalFormatting>
  <pageMargins left="0.7" right="0.7" top="0.75" bottom="0.75" header="0.3" footer="0.3"/>
  <pageSetup paperSize="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1526D-BE69-4CEF-9B1E-B00AE498E64D}">
  <sheetPr>
    <tabColor rgb="FFFFC000"/>
  </sheetPr>
  <dimension ref="A1:M78"/>
  <sheetViews>
    <sheetView rightToLeft="1" workbookViewId="0">
      <selection activeCell="A27" sqref="A27"/>
    </sheetView>
  </sheetViews>
  <sheetFormatPr defaultColWidth="30.09765625" defaultRowHeight="14.4" x14ac:dyDescent="0.3"/>
  <cols>
    <col min="1" max="1" width="30" style="32" bestFit="1" customWidth="1"/>
    <col min="2" max="2" width="11.3984375" style="32" customWidth="1"/>
    <col min="3" max="3" width="11.69921875" style="32" customWidth="1"/>
    <col min="4" max="4" width="16.8984375" customWidth="1"/>
    <col min="5" max="5" width="15.19921875" customWidth="1"/>
    <col min="6" max="6" width="16.8984375" customWidth="1"/>
    <col min="7" max="7" width="19" customWidth="1"/>
    <col min="8" max="9" width="15.19921875" style="3" customWidth="1"/>
    <col min="10" max="10" width="16.8984375" style="3" customWidth="1"/>
    <col min="11" max="11" width="19" customWidth="1"/>
  </cols>
  <sheetData>
    <row r="1" spans="1:11" ht="21" x14ac:dyDescent="0.25">
      <c r="A1" s="26"/>
      <c r="B1" s="26"/>
      <c r="C1" s="26"/>
      <c r="D1" s="241">
        <v>2025</v>
      </c>
      <c r="E1" s="241"/>
      <c r="F1" s="241"/>
      <c r="G1" s="241"/>
      <c r="H1" s="242">
        <v>2024</v>
      </c>
      <c r="I1" s="242"/>
      <c r="J1" s="242"/>
      <c r="K1" s="242"/>
    </row>
    <row r="2" spans="1:11" ht="21" x14ac:dyDescent="0.25">
      <c r="A2" s="11" t="s">
        <v>0</v>
      </c>
      <c r="B2" s="23" t="s">
        <v>53</v>
      </c>
      <c r="C2" s="23" t="s">
        <v>109</v>
      </c>
      <c r="D2" s="13" t="s">
        <v>46</v>
      </c>
      <c r="E2" s="13" t="s">
        <v>47</v>
      </c>
      <c r="F2" s="13" t="s">
        <v>48</v>
      </c>
      <c r="G2" s="13" t="s">
        <v>49</v>
      </c>
      <c r="H2" s="95" t="s">
        <v>46</v>
      </c>
      <c r="I2" s="95" t="s">
        <v>47</v>
      </c>
      <c r="J2" s="95" t="s">
        <v>48</v>
      </c>
      <c r="K2" s="95" t="s">
        <v>89</v>
      </c>
    </row>
    <row r="3" spans="1:11" ht="15.6" x14ac:dyDescent="0.3">
      <c r="A3" s="26" t="s">
        <v>1</v>
      </c>
      <c r="B3" s="26" t="s">
        <v>108</v>
      </c>
      <c r="C3" s="26" t="s">
        <v>58</v>
      </c>
      <c r="D3" s="14"/>
      <c r="E3" s="14">
        <v>3684</v>
      </c>
      <c r="F3" s="14"/>
      <c r="G3" s="14"/>
      <c r="H3" s="96"/>
      <c r="I3" s="96">
        <v>630</v>
      </c>
      <c r="J3" s="96"/>
      <c r="K3" s="96"/>
    </row>
    <row r="4" spans="1:11" ht="15.6" x14ac:dyDescent="0.3">
      <c r="A4" s="26" t="s">
        <v>2</v>
      </c>
      <c r="B4" s="26" t="s">
        <v>108</v>
      </c>
      <c r="C4" s="26" t="s">
        <v>58</v>
      </c>
      <c r="D4" s="14"/>
      <c r="E4" s="14"/>
      <c r="F4" s="14"/>
      <c r="G4" s="14"/>
      <c r="H4" s="96"/>
      <c r="I4" s="96"/>
      <c r="J4" s="96"/>
      <c r="K4" s="96"/>
    </row>
    <row r="5" spans="1:11" ht="15.6" x14ac:dyDescent="0.3">
      <c r="A5" s="26" t="s">
        <v>104</v>
      </c>
      <c r="B5" s="26" t="s">
        <v>108</v>
      </c>
      <c r="C5" s="26" t="s">
        <v>58</v>
      </c>
      <c r="D5" s="14"/>
      <c r="E5" s="14"/>
      <c r="F5" s="14"/>
      <c r="G5" s="14"/>
      <c r="H5" s="96"/>
      <c r="I5" s="96"/>
      <c r="J5" s="96"/>
      <c r="K5" s="96"/>
    </row>
    <row r="6" spans="1:11" ht="15.6" x14ac:dyDescent="0.3">
      <c r="A6" s="28" t="s">
        <v>105</v>
      </c>
      <c r="B6" s="26" t="s">
        <v>108</v>
      </c>
      <c r="C6" s="28" t="s">
        <v>58</v>
      </c>
      <c r="D6" s="15"/>
      <c r="E6" s="15"/>
      <c r="F6" s="15"/>
      <c r="G6" s="15"/>
      <c r="H6" s="96"/>
      <c r="I6" s="96"/>
      <c r="J6" s="96"/>
      <c r="K6" s="96"/>
    </row>
    <row r="7" spans="1:11" ht="16.2" thickBot="1" x14ac:dyDescent="0.35">
      <c r="A7" s="26" t="s">
        <v>34</v>
      </c>
      <c r="B7" s="26" t="s">
        <v>108</v>
      </c>
      <c r="C7" s="26" t="s">
        <v>58</v>
      </c>
      <c r="D7" s="14"/>
      <c r="E7" s="14"/>
      <c r="F7" s="14"/>
      <c r="G7" s="14"/>
      <c r="H7" s="96"/>
      <c r="I7" s="96"/>
      <c r="J7" s="96"/>
      <c r="K7" s="96"/>
    </row>
    <row r="8" spans="1:11" ht="21.6" thickBot="1" x14ac:dyDescent="0.45">
      <c r="A8" s="122" t="s">
        <v>3</v>
      </c>
      <c r="B8" s="121"/>
      <c r="C8" s="121"/>
      <c r="D8" s="174">
        <f>SUM(D3:D7)</f>
        <v>0</v>
      </c>
      <c r="E8" s="174">
        <f t="shared" ref="E8:G8" si="0">SUM(E3:E7)</f>
        <v>3684</v>
      </c>
      <c r="F8" s="174">
        <f t="shared" si="0"/>
        <v>0</v>
      </c>
      <c r="G8" s="174">
        <f t="shared" si="0"/>
        <v>0</v>
      </c>
      <c r="H8" s="174">
        <f>SUM(H3:H7)</f>
        <v>0</v>
      </c>
      <c r="I8" s="174">
        <f t="shared" ref="I8:K8" si="1">SUM(I3:I7)</f>
        <v>630</v>
      </c>
      <c r="J8" s="174">
        <f t="shared" si="1"/>
        <v>0</v>
      </c>
      <c r="K8" s="174">
        <f t="shared" si="1"/>
        <v>0</v>
      </c>
    </row>
    <row r="9" spans="1:11" ht="15.6" x14ac:dyDescent="0.3">
      <c r="A9" s="27" t="s">
        <v>4</v>
      </c>
      <c r="B9" s="26" t="s">
        <v>108</v>
      </c>
      <c r="C9" s="27" t="s">
        <v>106</v>
      </c>
      <c r="D9" s="18"/>
      <c r="E9" s="18"/>
      <c r="F9" s="18"/>
      <c r="G9" s="18"/>
      <c r="H9" s="96"/>
      <c r="I9" s="96"/>
      <c r="J9" s="96"/>
      <c r="K9" s="96"/>
    </row>
    <row r="10" spans="1:11" ht="15.6" x14ac:dyDescent="0.3">
      <c r="A10" s="26" t="s">
        <v>5</v>
      </c>
      <c r="B10" s="26" t="s">
        <v>108</v>
      </c>
      <c r="C10" s="26" t="s">
        <v>106</v>
      </c>
      <c r="D10" s="14"/>
      <c r="E10" s="14"/>
      <c r="F10" s="14"/>
      <c r="G10" s="14"/>
      <c r="H10" s="96"/>
      <c r="I10" s="96"/>
      <c r="J10" s="96"/>
      <c r="K10" s="96"/>
    </row>
    <row r="11" spans="1:11" ht="15.6" x14ac:dyDescent="0.3">
      <c r="A11" s="26" t="s">
        <v>6</v>
      </c>
      <c r="B11" s="26" t="s">
        <v>108</v>
      </c>
      <c r="C11" s="26" t="s">
        <v>106</v>
      </c>
      <c r="D11" s="14"/>
      <c r="E11" s="14"/>
      <c r="F11" s="14"/>
      <c r="G11" s="14"/>
      <c r="H11" s="96"/>
      <c r="I11" s="96"/>
      <c r="J11" s="96"/>
      <c r="K11" s="96"/>
    </row>
    <row r="12" spans="1:11" ht="15.6" x14ac:dyDescent="0.3">
      <c r="A12" s="26" t="s">
        <v>7</v>
      </c>
      <c r="B12" s="26" t="s">
        <v>108</v>
      </c>
      <c r="C12" s="26" t="s">
        <v>106</v>
      </c>
      <c r="D12" s="14"/>
      <c r="E12" s="14"/>
      <c r="F12" s="14"/>
      <c r="G12" s="14"/>
      <c r="H12" s="96"/>
      <c r="I12" s="96"/>
      <c r="J12" s="96"/>
      <c r="K12" s="96"/>
    </row>
    <row r="13" spans="1:11" ht="15.6" x14ac:dyDescent="0.3">
      <c r="A13" s="26" t="s">
        <v>8</v>
      </c>
      <c r="B13" s="26" t="s">
        <v>108</v>
      </c>
      <c r="C13" s="26" t="s">
        <v>106</v>
      </c>
      <c r="D13" s="14"/>
      <c r="E13" s="14"/>
      <c r="F13" s="14"/>
      <c r="G13" s="14"/>
      <c r="H13" s="96"/>
      <c r="I13" s="96"/>
      <c r="J13" s="96"/>
      <c r="K13" s="96"/>
    </row>
    <row r="14" spans="1:11" ht="15.6" x14ac:dyDescent="0.3">
      <c r="A14" s="26" t="s">
        <v>9</v>
      </c>
      <c r="B14" s="26" t="s">
        <v>108</v>
      </c>
      <c r="C14" s="26" t="s">
        <v>106</v>
      </c>
      <c r="D14" s="14"/>
      <c r="E14" s="14"/>
      <c r="F14" s="14"/>
      <c r="G14" s="14"/>
      <c r="H14" s="96"/>
      <c r="I14" s="96"/>
      <c r="J14" s="96"/>
      <c r="K14" s="96"/>
    </row>
    <row r="15" spans="1:11" ht="15.6" x14ac:dyDescent="0.3">
      <c r="A15" s="26" t="s">
        <v>31</v>
      </c>
      <c r="B15" s="26" t="s">
        <v>108</v>
      </c>
      <c r="C15" s="26" t="s">
        <v>106</v>
      </c>
      <c r="D15" s="14"/>
      <c r="E15" s="14"/>
      <c r="F15" s="14"/>
      <c r="G15" s="14"/>
      <c r="H15" s="96"/>
      <c r="I15" s="96"/>
      <c r="J15" s="96"/>
      <c r="K15" s="96"/>
    </row>
    <row r="16" spans="1:11" ht="15.6" x14ac:dyDescent="0.3">
      <c r="A16" s="26" t="s">
        <v>96</v>
      </c>
      <c r="B16" s="26" t="s">
        <v>108</v>
      </c>
      <c r="C16" s="26" t="s">
        <v>106</v>
      </c>
      <c r="D16" s="14"/>
      <c r="E16" s="14"/>
      <c r="F16" s="14"/>
      <c r="G16" s="14"/>
      <c r="H16" s="96"/>
      <c r="I16" s="96"/>
      <c r="J16" s="96"/>
      <c r="K16" s="96"/>
    </row>
    <row r="17" spans="1:11" ht="15.6" x14ac:dyDescent="0.3">
      <c r="A17" s="26" t="s">
        <v>42</v>
      </c>
      <c r="B17" s="26" t="s">
        <v>108</v>
      </c>
      <c r="C17" s="26" t="s">
        <v>106</v>
      </c>
      <c r="D17" s="14"/>
      <c r="E17" s="14"/>
      <c r="F17" s="14"/>
      <c r="G17" s="14"/>
      <c r="H17" s="96"/>
      <c r="I17" s="96"/>
      <c r="J17" s="96"/>
      <c r="K17" s="96"/>
    </row>
    <row r="18" spans="1:11" ht="15.6" x14ac:dyDescent="0.3">
      <c r="A18" s="26" t="s">
        <v>43</v>
      </c>
      <c r="B18" s="26" t="s">
        <v>108</v>
      </c>
      <c r="C18" s="26" t="s">
        <v>106</v>
      </c>
      <c r="D18" s="14"/>
      <c r="E18" s="14"/>
      <c r="F18" s="14"/>
      <c r="G18" s="14"/>
      <c r="H18" s="96"/>
      <c r="I18" s="96"/>
      <c r="J18" s="96"/>
      <c r="K18" s="96"/>
    </row>
    <row r="19" spans="1:11" ht="15.6" x14ac:dyDescent="0.3">
      <c r="A19" s="26" t="s">
        <v>30</v>
      </c>
      <c r="B19" s="26" t="s">
        <v>108</v>
      </c>
      <c r="C19" s="26" t="s">
        <v>106</v>
      </c>
      <c r="D19" s="14"/>
      <c r="E19" s="14"/>
      <c r="F19" s="14"/>
      <c r="G19" s="14"/>
      <c r="H19" s="96"/>
      <c r="I19" s="96"/>
      <c r="J19" s="96"/>
      <c r="K19" s="96"/>
    </row>
    <row r="20" spans="1:11" ht="15.6" x14ac:dyDescent="0.3">
      <c r="A20" s="28" t="s">
        <v>130</v>
      </c>
      <c r="B20" s="26" t="s">
        <v>108</v>
      </c>
      <c r="C20" s="26" t="s">
        <v>106</v>
      </c>
      <c r="D20" s="15"/>
      <c r="E20" s="15"/>
      <c r="F20" s="15"/>
      <c r="G20" s="15"/>
      <c r="H20" s="96"/>
      <c r="I20" s="96"/>
      <c r="J20" s="96"/>
      <c r="K20" s="96"/>
    </row>
    <row r="21" spans="1:11" ht="16.2" thickBot="1" x14ac:dyDescent="0.35">
      <c r="A21" s="28" t="s">
        <v>38</v>
      </c>
      <c r="B21" s="26" t="s">
        <v>108</v>
      </c>
      <c r="C21" s="28" t="s">
        <v>106</v>
      </c>
      <c r="D21" s="15"/>
      <c r="E21" s="15"/>
      <c r="F21" s="15"/>
      <c r="G21" s="15"/>
      <c r="H21" s="96"/>
      <c r="I21" s="96"/>
      <c r="J21" s="96"/>
      <c r="K21" s="96"/>
    </row>
    <row r="22" spans="1:11" ht="21.6" thickBot="1" x14ac:dyDescent="0.45">
      <c r="A22" s="122" t="s">
        <v>10</v>
      </c>
      <c r="B22" s="121"/>
      <c r="C22" s="121"/>
      <c r="D22" s="174">
        <f>SUM(D9:D21)</f>
        <v>0</v>
      </c>
      <c r="E22" s="174">
        <f t="shared" ref="E22:G22" si="2">SUM(E9:E21)</f>
        <v>0</v>
      </c>
      <c r="F22" s="174">
        <f t="shared" si="2"/>
        <v>0</v>
      </c>
      <c r="G22" s="174">
        <f t="shared" si="2"/>
        <v>0</v>
      </c>
      <c r="H22" s="174">
        <f>SUM(H9:H21)</f>
        <v>0</v>
      </c>
      <c r="I22" s="174">
        <f t="shared" ref="I22:K22" si="3">SUM(I9:I21)</f>
        <v>0</v>
      </c>
      <c r="J22" s="174">
        <f t="shared" si="3"/>
        <v>0</v>
      </c>
      <c r="K22" s="174">
        <f t="shared" si="3"/>
        <v>0</v>
      </c>
    </row>
    <row r="23" spans="1:11" ht="15.6" x14ac:dyDescent="0.3">
      <c r="A23" s="27" t="s">
        <v>11</v>
      </c>
      <c r="B23" s="27" t="s">
        <v>56</v>
      </c>
      <c r="C23" s="27" t="s">
        <v>107</v>
      </c>
      <c r="D23" s="18"/>
      <c r="E23" s="18">
        <v>864</v>
      </c>
      <c r="F23" s="18"/>
      <c r="G23" s="18"/>
      <c r="H23" s="96"/>
      <c r="I23" s="96">
        <v>144</v>
      </c>
      <c r="J23" s="96"/>
      <c r="K23" s="96"/>
    </row>
    <row r="24" spans="1:11" ht="15.6" x14ac:dyDescent="0.3">
      <c r="A24" s="30" t="s">
        <v>12</v>
      </c>
      <c r="B24" s="26" t="s">
        <v>56</v>
      </c>
      <c r="C24" s="26" t="s">
        <v>107</v>
      </c>
      <c r="D24" s="14"/>
      <c r="E24" s="14"/>
      <c r="F24" s="14"/>
      <c r="G24" s="14"/>
      <c r="H24" s="96"/>
      <c r="I24" s="96"/>
      <c r="J24" s="96"/>
      <c r="K24" s="96"/>
    </row>
    <row r="25" spans="1:11" ht="15.6" x14ac:dyDescent="0.3">
      <c r="A25" s="30" t="s">
        <v>13</v>
      </c>
      <c r="B25" s="26" t="s">
        <v>56</v>
      </c>
      <c r="C25" s="26" t="s">
        <v>107</v>
      </c>
      <c r="D25" s="14"/>
      <c r="E25" s="14"/>
      <c r="F25" s="14"/>
      <c r="G25" s="14"/>
      <c r="H25" s="96"/>
      <c r="I25" s="96"/>
      <c r="J25" s="96"/>
      <c r="K25" s="96"/>
    </row>
    <row r="26" spans="1:11" ht="15.6" x14ac:dyDescent="0.3">
      <c r="A26" s="26" t="s">
        <v>14</v>
      </c>
      <c r="B26" s="26" t="s">
        <v>55</v>
      </c>
      <c r="C26" s="26" t="s">
        <v>107</v>
      </c>
      <c r="D26" s="14"/>
      <c r="E26" s="14"/>
      <c r="F26" s="14"/>
      <c r="G26" s="14"/>
      <c r="H26" s="96"/>
      <c r="I26" s="96"/>
      <c r="J26" s="96"/>
      <c r="K26" s="96"/>
    </row>
    <row r="27" spans="1:11" ht="15.6" x14ac:dyDescent="0.3">
      <c r="A27" s="30" t="s">
        <v>15</v>
      </c>
      <c r="B27" s="26" t="s">
        <v>56</v>
      </c>
      <c r="C27" s="26" t="s">
        <v>107</v>
      </c>
      <c r="D27" s="14"/>
      <c r="E27" s="14"/>
      <c r="F27" s="14"/>
      <c r="G27" s="14"/>
      <c r="H27" s="96"/>
      <c r="I27" s="96"/>
      <c r="J27" s="96"/>
      <c r="K27" s="96"/>
    </row>
    <row r="28" spans="1:11" ht="15.6" x14ac:dyDescent="0.3">
      <c r="A28" s="30" t="s">
        <v>17</v>
      </c>
      <c r="B28" s="26" t="s">
        <v>56</v>
      </c>
      <c r="C28" s="26" t="s">
        <v>107</v>
      </c>
      <c r="D28" s="14"/>
      <c r="E28" s="14"/>
      <c r="F28" s="14"/>
      <c r="G28" s="14"/>
      <c r="H28" s="96"/>
      <c r="I28" s="96"/>
      <c r="J28" s="96"/>
      <c r="K28" s="96"/>
    </row>
    <row r="29" spans="1:11" ht="15.6" x14ac:dyDescent="0.3">
      <c r="A29" s="30" t="s">
        <v>18</v>
      </c>
      <c r="B29" s="26" t="s">
        <v>56</v>
      </c>
      <c r="C29" s="26" t="s">
        <v>107</v>
      </c>
      <c r="D29" s="14"/>
      <c r="E29" s="14"/>
      <c r="F29" s="14"/>
      <c r="G29" s="14"/>
      <c r="H29" s="96"/>
      <c r="I29" s="96"/>
      <c r="J29" s="96"/>
      <c r="K29" s="96"/>
    </row>
    <row r="30" spans="1:11" ht="15.6" x14ac:dyDescent="0.3">
      <c r="A30" s="26" t="s">
        <v>19</v>
      </c>
      <c r="B30" s="26" t="s">
        <v>56</v>
      </c>
      <c r="C30" s="26" t="s">
        <v>107</v>
      </c>
      <c r="D30" s="14"/>
      <c r="E30" s="14"/>
      <c r="F30" s="14"/>
      <c r="G30" s="14"/>
      <c r="H30" s="96"/>
      <c r="I30" s="96"/>
      <c r="J30" s="96"/>
      <c r="K30" s="96"/>
    </row>
    <row r="31" spans="1:11" ht="15.6" x14ac:dyDescent="0.3">
      <c r="A31" s="26" t="s">
        <v>20</v>
      </c>
      <c r="B31" s="26" t="s">
        <v>56</v>
      </c>
      <c r="C31" s="26" t="s">
        <v>107</v>
      </c>
      <c r="D31" s="14"/>
      <c r="E31" s="14">
        <v>1008</v>
      </c>
      <c r="F31" s="14"/>
      <c r="G31" s="14"/>
      <c r="H31" s="96"/>
      <c r="I31" s="96"/>
      <c r="J31" s="96"/>
      <c r="K31" s="96"/>
    </row>
    <row r="32" spans="1:11" ht="15.6" x14ac:dyDescent="0.3">
      <c r="A32" s="26" t="s">
        <v>21</v>
      </c>
      <c r="B32" s="26" t="s">
        <v>56</v>
      </c>
      <c r="C32" s="26" t="s">
        <v>107</v>
      </c>
      <c r="D32" s="14"/>
      <c r="E32" s="14"/>
      <c r="F32" s="14"/>
      <c r="G32" s="14"/>
      <c r="H32" s="96"/>
      <c r="I32" s="96"/>
      <c r="J32" s="96"/>
      <c r="K32" s="96"/>
    </row>
    <row r="33" spans="1:12" ht="15.6" x14ac:dyDescent="0.3">
      <c r="A33" s="26" t="s">
        <v>22</v>
      </c>
      <c r="B33" s="26" t="s">
        <v>56</v>
      </c>
      <c r="C33" s="26" t="s">
        <v>107</v>
      </c>
      <c r="D33" s="14"/>
      <c r="E33" s="14"/>
      <c r="F33" s="14"/>
      <c r="G33" s="14"/>
      <c r="H33" s="96"/>
      <c r="I33" s="96"/>
      <c r="J33" s="96"/>
      <c r="K33" s="96"/>
    </row>
    <row r="34" spans="1:12" ht="15.6" x14ac:dyDescent="0.3">
      <c r="A34" s="26" t="s">
        <v>23</v>
      </c>
      <c r="B34" s="26" t="s">
        <v>56</v>
      </c>
      <c r="C34" s="26" t="s">
        <v>107</v>
      </c>
      <c r="D34" s="14"/>
      <c r="E34" s="14"/>
      <c r="F34" s="14"/>
      <c r="G34" s="14"/>
      <c r="H34" s="96"/>
      <c r="I34" s="96"/>
      <c r="J34" s="96"/>
      <c r="K34" s="96"/>
    </row>
    <row r="35" spans="1:12" ht="15.6" x14ac:dyDescent="0.3">
      <c r="A35" s="26" t="s">
        <v>24</v>
      </c>
      <c r="B35" s="26" t="s">
        <v>56</v>
      </c>
      <c r="C35" s="26" t="s">
        <v>107</v>
      </c>
      <c r="D35" s="14"/>
      <c r="E35" s="14"/>
      <c r="F35" s="14"/>
      <c r="G35" s="14"/>
      <c r="H35" s="96"/>
      <c r="I35" s="96"/>
      <c r="J35" s="96"/>
      <c r="K35" s="96"/>
    </row>
    <row r="36" spans="1:12" ht="15.6" x14ac:dyDescent="0.3">
      <c r="A36" s="30" t="s">
        <v>25</v>
      </c>
      <c r="B36" s="26" t="s">
        <v>56</v>
      </c>
      <c r="C36" s="26" t="s">
        <v>107</v>
      </c>
      <c r="D36" s="14"/>
      <c r="E36" s="14"/>
      <c r="F36" s="14"/>
      <c r="G36" s="14"/>
      <c r="H36" s="96"/>
      <c r="I36" s="96">
        <v>-198</v>
      </c>
      <c r="J36" s="96"/>
      <c r="K36" s="96"/>
    </row>
    <row r="37" spans="1:12" ht="15.6" x14ac:dyDescent="0.3">
      <c r="A37" s="26" t="s">
        <v>26</v>
      </c>
      <c r="B37" s="26" t="s">
        <v>56</v>
      </c>
      <c r="C37" s="26" t="s">
        <v>107</v>
      </c>
      <c r="D37" s="14"/>
      <c r="E37" s="14"/>
      <c r="F37" s="14"/>
      <c r="G37" s="14"/>
      <c r="H37" s="96"/>
      <c r="I37" s="96"/>
      <c r="J37" s="96"/>
      <c r="K37" s="96"/>
    </row>
    <row r="38" spans="1:12" ht="15.6" x14ac:dyDescent="0.3">
      <c r="A38" s="26" t="s">
        <v>27</v>
      </c>
      <c r="B38" s="26" t="s">
        <v>56</v>
      </c>
      <c r="C38" s="26" t="s">
        <v>107</v>
      </c>
      <c r="D38" s="14"/>
      <c r="E38" s="14"/>
      <c r="F38" s="14"/>
      <c r="G38" s="14"/>
      <c r="H38" s="96"/>
      <c r="I38" s="96"/>
      <c r="J38" s="96"/>
      <c r="K38" s="96"/>
    </row>
    <row r="39" spans="1:12" ht="15.6" x14ac:dyDescent="0.3">
      <c r="A39" s="26" t="s">
        <v>28</v>
      </c>
      <c r="B39" s="26" t="s">
        <v>56</v>
      </c>
      <c r="C39" s="26" t="s">
        <v>107</v>
      </c>
      <c r="D39" s="14"/>
      <c r="E39" s="14"/>
      <c r="F39" s="14"/>
      <c r="G39" s="14"/>
      <c r="H39" s="96"/>
      <c r="I39" s="96"/>
      <c r="J39" s="96"/>
      <c r="K39" s="96"/>
    </row>
    <row r="40" spans="1:12" ht="15.6" x14ac:dyDescent="0.3">
      <c r="A40" s="26" t="s">
        <v>29</v>
      </c>
      <c r="B40" s="26" t="s">
        <v>56</v>
      </c>
      <c r="C40" s="26" t="s">
        <v>107</v>
      </c>
      <c r="D40" s="14"/>
      <c r="E40" s="14"/>
      <c r="F40" s="14"/>
      <c r="G40" s="14"/>
      <c r="H40" s="96"/>
      <c r="I40" s="96"/>
      <c r="J40" s="96"/>
      <c r="K40" s="96"/>
    </row>
    <row r="41" spans="1:12" ht="15.6" x14ac:dyDescent="0.3">
      <c r="A41" s="26" t="s">
        <v>98</v>
      </c>
      <c r="B41" s="26" t="s">
        <v>55</v>
      </c>
      <c r="C41" s="26" t="s">
        <v>107</v>
      </c>
      <c r="D41" s="14"/>
      <c r="E41" s="14"/>
      <c r="F41" s="14"/>
      <c r="G41" s="14"/>
      <c r="H41" s="96"/>
      <c r="I41" s="96"/>
      <c r="J41" s="96"/>
      <c r="K41" s="96"/>
    </row>
    <row r="42" spans="1:12" ht="15.6" x14ac:dyDescent="0.3">
      <c r="A42" s="26" t="s">
        <v>32</v>
      </c>
      <c r="B42" s="26" t="s">
        <v>55</v>
      </c>
      <c r="C42" s="26" t="s">
        <v>107</v>
      </c>
      <c r="D42" s="14"/>
      <c r="E42" s="14"/>
      <c r="F42" s="14"/>
      <c r="G42" s="14"/>
      <c r="H42" s="96"/>
      <c r="I42" s="96"/>
      <c r="J42" s="96"/>
      <c r="K42" s="96"/>
    </row>
    <row r="43" spans="1:12" ht="15.6" x14ac:dyDescent="0.3">
      <c r="A43" s="30" t="s">
        <v>95</v>
      </c>
      <c r="B43" s="26" t="s">
        <v>56</v>
      </c>
      <c r="C43" s="26" t="s">
        <v>107</v>
      </c>
      <c r="D43" s="14"/>
      <c r="E43" s="14"/>
      <c r="F43" s="14"/>
      <c r="G43" s="14"/>
      <c r="H43" s="96"/>
      <c r="I43" s="96"/>
      <c r="J43" s="96"/>
      <c r="K43" s="96"/>
    </row>
    <row r="44" spans="1:12" ht="15.6" x14ac:dyDescent="0.3">
      <c r="A44" s="26" t="s">
        <v>83</v>
      </c>
      <c r="B44" s="26" t="s">
        <v>56</v>
      </c>
      <c r="C44" s="26" t="s">
        <v>107</v>
      </c>
      <c r="D44" s="14"/>
      <c r="E44" s="14"/>
      <c r="F44" s="14"/>
      <c r="G44" s="14"/>
      <c r="H44" s="96"/>
      <c r="I44" s="96"/>
      <c r="J44" s="96"/>
      <c r="K44" s="96"/>
    </row>
    <row r="45" spans="1:12" ht="15.6" x14ac:dyDescent="0.3">
      <c r="A45" s="26" t="s">
        <v>82</v>
      </c>
      <c r="B45" s="26" t="s">
        <v>56</v>
      </c>
      <c r="C45" s="26" t="s">
        <v>107</v>
      </c>
      <c r="D45" s="14"/>
      <c r="E45" s="14"/>
      <c r="F45" s="14"/>
      <c r="G45" s="14"/>
      <c r="H45" s="96"/>
      <c r="I45" s="96"/>
      <c r="J45" s="96"/>
      <c r="K45" s="96"/>
    </row>
    <row r="46" spans="1:12" ht="15.6" x14ac:dyDescent="0.3">
      <c r="A46" s="26" t="s">
        <v>36</v>
      </c>
      <c r="B46" s="26" t="s">
        <v>55</v>
      </c>
      <c r="C46" s="26" t="s">
        <v>107</v>
      </c>
      <c r="D46" s="14"/>
      <c r="E46" s="14"/>
      <c r="F46" s="14"/>
      <c r="G46" s="14"/>
      <c r="H46" s="96"/>
      <c r="I46" s="96"/>
      <c r="J46" s="96"/>
      <c r="K46" s="96"/>
    </row>
    <row r="47" spans="1:12" ht="15.6" x14ac:dyDescent="0.3">
      <c r="A47" s="26" t="s">
        <v>94</v>
      </c>
      <c r="B47" s="26" t="s">
        <v>55</v>
      </c>
      <c r="C47" s="26" t="s">
        <v>107</v>
      </c>
      <c r="D47" s="14"/>
      <c r="E47" s="14"/>
      <c r="F47" s="14"/>
      <c r="G47" s="14"/>
      <c r="H47" s="96"/>
      <c r="I47" s="96"/>
      <c r="J47" s="96"/>
      <c r="K47" s="96"/>
      <c r="L47" s="138"/>
    </row>
    <row r="48" spans="1:12" ht="15.6" x14ac:dyDescent="0.3">
      <c r="A48" s="26" t="s">
        <v>85</v>
      </c>
      <c r="B48" s="26" t="s">
        <v>56</v>
      </c>
      <c r="C48" s="26" t="s">
        <v>107</v>
      </c>
      <c r="D48" s="14"/>
      <c r="E48" s="14"/>
      <c r="F48" s="14"/>
      <c r="G48" s="14"/>
      <c r="H48" s="96"/>
      <c r="I48" s="96"/>
      <c r="J48" s="96"/>
      <c r="K48" s="96"/>
    </row>
    <row r="49" spans="1:13" ht="15.6" x14ac:dyDescent="0.3">
      <c r="A49" s="26" t="s">
        <v>87</v>
      </c>
      <c r="B49" s="26" t="s">
        <v>56</v>
      </c>
      <c r="C49" s="26" t="s">
        <v>107</v>
      </c>
      <c r="D49" s="14"/>
      <c r="E49" s="14"/>
      <c r="F49" s="14"/>
      <c r="G49" s="14"/>
      <c r="H49" s="96"/>
      <c r="I49" s="96"/>
      <c r="J49" s="96"/>
      <c r="K49" s="96"/>
    </row>
    <row r="50" spans="1:13" ht="15.6" x14ac:dyDescent="0.3">
      <c r="A50" s="26" t="s">
        <v>97</v>
      </c>
      <c r="B50" s="26" t="s">
        <v>56</v>
      </c>
      <c r="C50" s="26" t="s">
        <v>107</v>
      </c>
      <c r="D50" s="14"/>
      <c r="E50" s="14"/>
      <c r="F50" s="14"/>
      <c r="G50" s="14"/>
      <c r="H50" s="96"/>
      <c r="I50" s="96"/>
      <c r="J50" s="96"/>
      <c r="K50" s="96"/>
    </row>
    <row r="51" spans="1:13" ht="15.6" x14ac:dyDescent="0.3">
      <c r="A51" s="26" t="s">
        <v>39</v>
      </c>
      <c r="B51" s="26" t="s">
        <v>56</v>
      </c>
      <c r="C51" s="26" t="s">
        <v>107</v>
      </c>
      <c r="D51" s="14"/>
      <c r="E51" s="14"/>
      <c r="F51" s="14"/>
      <c r="G51" s="14"/>
      <c r="H51" s="96"/>
      <c r="I51" s="96"/>
      <c r="J51" s="96"/>
      <c r="K51" s="96"/>
    </row>
    <row r="52" spans="1:13" ht="15.6" x14ac:dyDescent="0.3">
      <c r="A52" s="26" t="s">
        <v>91</v>
      </c>
      <c r="B52" s="26" t="s">
        <v>56</v>
      </c>
      <c r="C52" s="26" t="s">
        <v>107</v>
      </c>
      <c r="D52" s="14"/>
      <c r="E52" s="14"/>
      <c r="F52" s="14"/>
      <c r="G52" s="14"/>
      <c r="H52" s="96"/>
      <c r="I52" s="96"/>
      <c r="J52" s="96"/>
      <c r="K52" s="96"/>
    </row>
    <row r="53" spans="1:13" ht="15.6" x14ac:dyDescent="0.3">
      <c r="A53" s="26" t="s">
        <v>41</v>
      </c>
      <c r="B53" s="26" t="s">
        <v>56</v>
      </c>
      <c r="C53" s="26" t="s">
        <v>107</v>
      </c>
      <c r="D53" s="14"/>
      <c r="E53" s="14"/>
      <c r="F53" s="14"/>
      <c r="G53" s="14"/>
      <c r="H53" s="96"/>
      <c r="I53" s="96"/>
      <c r="J53" s="96"/>
      <c r="K53" s="96"/>
    </row>
    <row r="54" spans="1:13" ht="15.6" x14ac:dyDescent="0.3">
      <c r="A54" s="26" t="s">
        <v>129</v>
      </c>
      <c r="B54" s="26" t="s">
        <v>108</v>
      </c>
      <c r="C54" s="27" t="s">
        <v>107</v>
      </c>
      <c r="D54" s="15"/>
      <c r="E54" s="15"/>
      <c r="F54" s="15"/>
      <c r="G54" s="15"/>
      <c r="H54" s="96"/>
      <c r="I54" s="96"/>
      <c r="J54" s="96"/>
      <c r="K54" s="96"/>
    </row>
    <row r="55" spans="1:13" ht="16.2" thickBot="1" x14ac:dyDescent="0.35">
      <c r="A55" s="28" t="s">
        <v>88</v>
      </c>
      <c r="B55" s="28" t="s">
        <v>56</v>
      </c>
      <c r="C55" s="28" t="s">
        <v>107</v>
      </c>
      <c r="D55" s="15"/>
      <c r="E55" s="15"/>
      <c r="F55" s="15"/>
      <c r="G55" s="15"/>
      <c r="H55" s="96"/>
      <c r="I55" s="96"/>
      <c r="J55" s="96"/>
      <c r="K55" s="96"/>
    </row>
    <row r="56" spans="1:13" ht="21.6" thickBot="1" x14ac:dyDescent="0.45">
      <c r="A56" s="123" t="s">
        <v>115</v>
      </c>
      <c r="B56" s="121"/>
      <c r="C56" s="121"/>
      <c r="D56" s="174">
        <f>SUM(D23:D55)</f>
        <v>0</v>
      </c>
      <c r="E56" s="174">
        <f t="shared" ref="E56:G56" si="4">SUM(E23:E55)</f>
        <v>1872</v>
      </c>
      <c r="F56" s="174">
        <f t="shared" si="4"/>
        <v>0</v>
      </c>
      <c r="G56" s="174">
        <f t="shared" si="4"/>
        <v>0</v>
      </c>
      <c r="H56" s="174">
        <f>SUM(H23:H55)</f>
        <v>0</v>
      </c>
      <c r="I56" s="174">
        <f t="shared" ref="I56:K56" si="5">SUM(I23:I55)</f>
        <v>-54</v>
      </c>
      <c r="J56" s="174">
        <f t="shared" si="5"/>
        <v>0</v>
      </c>
      <c r="K56" s="174">
        <f t="shared" si="5"/>
        <v>0</v>
      </c>
    </row>
    <row r="57" spans="1:13" ht="15.6" x14ac:dyDescent="0.3">
      <c r="A57" s="30" t="s">
        <v>33</v>
      </c>
      <c r="B57" s="26" t="s">
        <v>114</v>
      </c>
      <c r="C57" s="26" t="s">
        <v>107</v>
      </c>
      <c r="D57" s="14"/>
      <c r="E57" s="14"/>
      <c r="F57" s="14"/>
      <c r="G57" s="14"/>
      <c r="H57" s="96"/>
      <c r="I57" s="96"/>
      <c r="J57" s="96"/>
      <c r="K57" s="96"/>
    </row>
    <row r="58" spans="1:13" ht="15.6" x14ac:dyDescent="0.3">
      <c r="A58" s="26" t="s">
        <v>84</v>
      </c>
      <c r="B58" s="26" t="s">
        <v>114</v>
      </c>
      <c r="C58" s="26" t="s">
        <v>107</v>
      </c>
      <c r="D58" s="14"/>
      <c r="E58" s="14">
        <v>396</v>
      </c>
      <c r="F58" s="14"/>
      <c r="G58" s="14"/>
      <c r="H58" s="96"/>
      <c r="I58" s="96"/>
      <c r="J58" s="96"/>
      <c r="K58" s="96"/>
    </row>
    <row r="59" spans="1:13" ht="15.6" x14ac:dyDescent="0.3">
      <c r="A59" s="26" t="s">
        <v>37</v>
      </c>
      <c r="B59" s="26" t="s">
        <v>114</v>
      </c>
      <c r="C59" s="26" t="s">
        <v>107</v>
      </c>
      <c r="D59" s="14"/>
      <c r="E59" s="14"/>
      <c r="F59" s="14"/>
      <c r="G59" s="14"/>
      <c r="H59" s="96"/>
      <c r="I59" s="96"/>
      <c r="J59" s="96"/>
      <c r="K59" s="96"/>
      <c r="M59" s="133"/>
    </row>
    <row r="60" spans="1:13" ht="15.6" x14ac:dyDescent="0.3">
      <c r="A60" s="26" t="s">
        <v>35</v>
      </c>
      <c r="B60" s="26" t="s">
        <v>114</v>
      </c>
      <c r="C60" s="26" t="s">
        <v>107</v>
      </c>
      <c r="D60" s="14"/>
      <c r="E60" s="14"/>
      <c r="F60" s="14"/>
      <c r="G60" s="14"/>
      <c r="H60" s="96"/>
      <c r="I60" s="96"/>
      <c r="J60" s="96"/>
      <c r="K60" s="96"/>
      <c r="M60" s="133"/>
    </row>
    <row r="61" spans="1:13" ht="15.6" x14ac:dyDescent="0.3">
      <c r="A61" s="27" t="s">
        <v>86</v>
      </c>
      <c r="B61" s="27" t="s">
        <v>114</v>
      </c>
      <c r="C61" s="27" t="s">
        <v>107</v>
      </c>
      <c r="D61" s="14"/>
      <c r="E61" s="14"/>
      <c r="F61" s="14"/>
      <c r="G61" s="14"/>
      <c r="H61" s="96"/>
      <c r="I61" s="96"/>
      <c r="J61" s="96"/>
      <c r="K61" s="96"/>
      <c r="M61" s="133"/>
    </row>
    <row r="62" spans="1:13" ht="15.6" x14ac:dyDescent="0.3">
      <c r="A62" s="30" t="s">
        <v>16</v>
      </c>
      <c r="B62" s="26" t="s">
        <v>114</v>
      </c>
      <c r="C62" s="26" t="s">
        <v>107</v>
      </c>
      <c r="D62" s="14"/>
      <c r="E62" s="14"/>
      <c r="F62" s="14"/>
      <c r="G62" s="14"/>
      <c r="H62" s="96"/>
      <c r="I62" s="96"/>
      <c r="J62" s="96"/>
      <c r="K62" s="96"/>
    </row>
    <row r="63" spans="1:13" ht="15.6" x14ac:dyDescent="0.3">
      <c r="A63" s="194" t="s">
        <v>128</v>
      </c>
      <c r="B63" s="26" t="s">
        <v>114</v>
      </c>
      <c r="C63" s="27" t="s">
        <v>107</v>
      </c>
      <c r="D63" s="14"/>
      <c r="E63" s="14"/>
      <c r="F63" s="14"/>
      <c r="G63" s="14"/>
      <c r="H63" s="96"/>
      <c r="I63" s="96"/>
      <c r="J63" s="96"/>
      <c r="K63" s="96"/>
    </row>
    <row r="64" spans="1:13" ht="15.6" x14ac:dyDescent="0.3">
      <c r="A64" s="199" t="s">
        <v>131</v>
      </c>
      <c r="B64" s="26" t="s">
        <v>114</v>
      </c>
      <c r="C64" s="27" t="s">
        <v>107</v>
      </c>
      <c r="D64" s="14"/>
      <c r="E64" s="14"/>
      <c r="F64" s="14"/>
      <c r="G64" s="14"/>
      <c r="H64" s="96"/>
      <c r="I64" s="96"/>
      <c r="J64" s="96"/>
      <c r="K64" s="96"/>
    </row>
    <row r="65" spans="1:12" ht="16.2" thickBot="1" x14ac:dyDescent="0.35">
      <c r="A65" s="117" t="s">
        <v>99</v>
      </c>
      <c r="B65" s="26" t="s">
        <v>114</v>
      </c>
      <c r="C65" s="26" t="s">
        <v>107</v>
      </c>
      <c r="D65" s="14"/>
      <c r="E65" s="14"/>
      <c r="F65" s="14"/>
      <c r="G65" s="14"/>
      <c r="H65" s="96"/>
      <c r="I65" s="96"/>
      <c r="J65" s="96"/>
      <c r="K65" s="96"/>
    </row>
    <row r="66" spans="1:12" ht="21.6" thickBot="1" x14ac:dyDescent="0.45">
      <c r="A66" s="123" t="s">
        <v>116</v>
      </c>
      <c r="B66" s="121"/>
      <c r="C66" s="121"/>
      <c r="D66" s="174">
        <f>SUM(D57:D65)</f>
        <v>0</v>
      </c>
      <c r="E66" s="174">
        <f t="shared" ref="E66:G66" si="6">SUM(E57:E65)</f>
        <v>396</v>
      </c>
      <c r="F66" s="174">
        <f t="shared" si="6"/>
        <v>0</v>
      </c>
      <c r="G66" s="174">
        <f t="shared" si="6"/>
        <v>0</v>
      </c>
      <c r="H66" s="174">
        <f>SUM(H57:H65)</f>
        <v>0</v>
      </c>
      <c r="I66" s="174">
        <f t="shared" ref="I66:K66" si="7">SUM(I57:I65)</f>
        <v>0</v>
      </c>
      <c r="J66" s="174">
        <f t="shared" si="7"/>
        <v>0</v>
      </c>
      <c r="K66" s="174">
        <f t="shared" si="7"/>
        <v>0</v>
      </c>
    </row>
    <row r="67" spans="1:12" ht="15.6" x14ac:dyDescent="0.3">
      <c r="A67" s="27" t="s">
        <v>77</v>
      </c>
      <c r="B67" s="26" t="s">
        <v>108</v>
      </c>
      <c r="C67" s="27" t="s">
        <v>102</v>
      </c>
      <c r="D67" s="18"/>
      <c r="E67" s="18">
        <v>2700</v>
      </c>
      <c r="F67" s="18"/>
      <c r="G67" s="18"/>
      <c r="H67" s="96"/>
      <c r="I67" s="96">
        <v>1152</v>
      </c>
      <c r="J67" s="96"/>
      <c r="K67" s="96"/>
    </row>
    <row r="68" spans="1:12" ht="15.6" x14ac:dyDescent="0.3">
      <c r="A68" s="30" t="s">
        <v>40</v>
      </c>
      <c r="B68" s="26" t="s">
        <v>56</v>
      </c>
      <c r="C68" s="26" t="s">
        <v>103</v>
      </c>
      <c r="D68" s="14"/>
      <c r="E68" s="14">
        <v>7785</v>
      </c>
      <c r="F68" s="14"/>
      <c r="G68" s="14"/>
      <c r="H68" s="96"/>
      <c r="I68" s="96">
        <v>288</v>
      </c>
      <c r="J68" s="96"/>
      <c r="K68" s="96"/>
    </row>
    <row r="69" spans="1:12" ht="15.6" x14ac:dyDescent="0.3">
      <c r="A69" s="26" t="s">
        <v>90</v>
      </c>
      <c r="B69" s="26" t="s">
        <v>108</v>
      </c>
      <c r="C69" s="26" t="s">
        <v>103</v>
      </c>
      <c r="D69" s="14"/>
      <c r="E69" s="14"/>
      <c r="F69" s="14"/>
      <c r="G69" s="14"/>
      <c r="H69" s="96"/>
      <c r="I69" s="96"/>
      <c r="J69" s="96"/>
      <c r="K69" s="96"/>
    </row>
    <row r="70" spans="1:12" ht="15.6" x14ac:dyDescent="0.3">
      <c r="A70" s="26" t="s">
        <v>92</v>
      </c>
      <c r="B70" s="26" t="s">
        <v>56</v>
      </c>
      <c r="C70" s="26" t="s">
        <v>103</v>
      </c>
      <c r="D70" s="14"/>
      <c r="E70" s="14"/>
      <c r="F70" s="14"/>
      <c r="G70" s="14"/>
      <c r="H70" s="96"/>
      <c r="I70" s="96"/>
      <c r="J70" s="96"/>
      <c r="K70" s="96"/>
    </row>
    <row r="71" spans="1:12" ht="15.6" x14ac:dyDescent="0.3">
      <c r="A71" s="26" t="s">
        <v>93</v>
      </c>
      <c r="B71" s="26" t="s">
        <v>56</v>
      </c>
      <c r="C71" s="26" t="s">
        <v>103</v>
      </c>
      <c r="D71" s="14"/>
      <c r="E71" s="14"/>
      <c r="F71" s="14"/>
      <c r="G71" s="14"/>
      <c r="H71" s="96"/>
      <c r="I71" s="96"/>
      <c r="J71" s="96"/>
      <c r="K71" s="96"/>
    </row>
    <row r="72" spans="1:12" ht="15.6" x14ac:dyDescent="0.3">
      <c r="A72" s="26" t="s">
        <v>100</v>
      </c>
      <c r="B72" s="26" t="s">
        <v>56</v>
      </c>
      <c r="C72" s="26" t="s">
        <v>103</v>
      </c>
      <c r="D72" s="14"/>
      <c r="E72" s="14"/>
      <c r="F72" s="14"/>
      <c r="G72" s="14"/>
      <c r="H72" s="96"/>
      <c r="I72" s="96"/>
      <c r="J72" s="96"/>
      <c r="K72" s="96"/>
      <c r="L72" s="138"/>
    </row>
    <row r="73" spans="1:12" ht="15.6" x14ac:dyDescent="0.3">
      <c r="A73" s="118" t="s">
        <v>101</v>
      </c>
      <c r="B73" s="26" t="s">
        <v>56</v>
      </c>
      <c r="C73" s="26" t="s">
        <v>103</v>
      </c>
      <c r="D73" s="14"/>
      <c r="E73" s="14">
        <v>432</v>
      </c>
      <c r="F73" s="14"/>
      <c r="G73" s="14"/>
      <c r="H73" s="96"/>
      <c r="I73" s="96">
        <v>72</v>
      </c>
      <c r="J73" s="96"/>
      <c r="K73" s="96"/>
    </row>
    <row r="74" spans="1:12" ht="15.6" x14ac:dyDescent="0.3">
      <c r="A74" s="26" t="s">
        <v>81</v>
      </c>
      <c r="B74" s="26" t="s">
        <v>56</v>
      </c>
      <c r="C74" s="26" t="s">
        <v>103</v>
      </c>
      <c r="D74" s="14"/>
      <c r="E74" s="14"/>
      <c r="F74" s="14"/>
      <c r="G74" s="14"/>
      <c r="H74" s="96"/>
      <c r="I74" s="96"/>
      <c r="J74" s="96"/>
      <c r="K74" s="96"/>
    </row>
    <row r="75" spans="1:12" ht="21.6" thickBot="1" x14ac:dyDescent="0.3">
      <c r="A75" s="177" t="s">
        <v>44</v>
      </c>
      <c r="B75" s="178"/>
      <c r="C75" s="178"/>
      <c r="D75" s="179">
        <f>SUM(D67:D74)</f>
        <v>0</v>
      </c>
      <c r="E75" s="179">
        <f t="shared" ref="E75:G75" si="8">SUM(E67:E74)</f>
        <v>10917</v>
      </c>
      <c r="F75" s="179">
        <f t="shared" si="8"/>
        <v>0</v>
      </c>
      <c r="G75" s="179">
        <f t="shared" si="8"/>
        <v>0</v>
      </c>
      <c r="H75" s="179">
        <f>SUM(H67:H74)</f>
        <v>0</v>
      </c>
      <c r="I75" s="179">
        <f t="shared" ref="I75:K75" si="9">SUM(I67:I74)</f>
        <v>1512</v>
      </c>
      <c r="J75" s="179">
        <f t="shared" si="9"/>
        <v>0</v>
      </c>
      <c r="K75" s="179">
        <f t="shared" si="9"/>
        <v>0</v>
      </c>
    </row>
    <row r="76" spans="1:12" ht="21.6" thickBot="1" x14ac:dyDescent="0.3">
      <c r="A76" s="122" t="s">
        <v>45</v>
      </c>
      <c r="B76" s="121"/>
      <c r="C76" s="121"/>
      <c r="D76" s="131">
        <f>D75+D66+D56+D22+D8</f>
        <v>0</v>
      </c>
      <c r="E76" s="131">
        <f t="shared" ref="E76:G76" si="10">E75+E66+E56+E22+E8</f>
        <v>16869</v>
      </c>
      <c r="F76" s="131">
        <f t="shared" si="10"/>
        <v>0</v>
      </c>
      <c r="G76" s="131">
        <f t="shared" si="10"/>
        <v>0</v>
      </c>
      <c r="H76" s="131">
        <f>H75+H66+H56+H22+H8</f>
        <v>0</v>
      </c>
      <c r="I76" s="131">
        <f t="shared" ref="I76:K76" si="11">I75+I66+I56+I22+I8</f>
        <v>2088</v>
      </c>
      <c r="J76" s="131">
        <f t="shared" si="11"/>
        <v>0</v>
      </c>
      <c r="K76" s="131">
        <f t="shared" si="11"/>
        <v>0</v>
      </c>
    </row>
    <row r="78" spans="1:12" x14ac:dyDescent="0.3">
      <c r="E78" s="6"/>
    </row>
  </sheetData>
  <mergeCells count="2">
    <mergeCell ref="D1:G1"/>
    <mergeCell ref="H1:K1"/>
  </mergeCells>
  <conditionalFormatting sqref="A1">
    <cfRule type="duplicateValues" dxfId="91" priority="19"/>
    <cfRule type="duplicateValues" dxfId="90" priority="20"/>
  </conditionalFormatting>
  <conditionalFormatting sqref="A14">
    <cfRule type="duplicateValues" dxfId="89" priority="9"/>
    <cfRule type="duplicateValues" dxfId="88" priority="10"/>
  </conditionalFormatting>
  <conditionalFormatting sqref="A20">
    <cfRule type="duplicateValues" dxfId="87" priority="1"/>
    <cfRule type="duplicateValues" dxfId="86" priority="2"/>
  </conditionalFormatting>
  <conditionalFormatting sqref="A41">
    <cfRule type="duplicateValues" dxfId="85" priority="5"/>
    <cfRule type="duplicateValues" dxfId="84" priority="6"/>
  </conditionalFormatting>
  <conditionalFormatting sqref="A54">
    <cfRule type="duplicateValues" dxfId="83" priority="3"/>
    <cfRule type="duplicateValues" dxfId="82" priority="4"/>
  </conditionalFormatting>
  <conditionalFormatting sqref="A57">
    <cfRule type="duplicateValues" dxfId="81" priority="11"/>
    <cfRule type="duplicateValues" dxfId="80" priority="12"/>
  </conditionalFormatting>
  <conditionalFormatting sqref="A58:A60 A7 A23:A40 A62 A42:A53 A55">
    <cfRule type="duplicateValues" dxfId="79" priority="17"/>
    <cfRule type="duplicateValues" dxfId="78" priority="18"/>
  </conditionalFormatting>
  <conditionalFormatting sqref="A61">
    <cfRule type="duplicateValues" dxfId="77" priority="7"/>
    <cfRule type="duplicateValues" dxfId="76" priority="8"/>
  </conditionalFormatting>
  <conditionalFormatting sqref="A67:A74">
    <cfRule type="duplicateValues" dxfId="75" priority="15"/>
    <cfRule type="duplicateValues" dxfId="74" priority="16"/>
  </conditionalFormatting>
  <conditionalFormatting sqref="A75:A76 A2:A6 A8:A13 A15:A19 A56 A66 A21:A22">
    <cfRule type="duplicateValues" dxfId="73" priority="13"/>
    <cfRule type="duplicateValues" dxfId="72" priority="14"/>
  </conditionalFormatting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9A15B-8C4D-479C-BAB3-74D7E7AAE8D7}">
  <sheetPr>
    <tabColor rgb="FFFFC000"/>
  </sheetPr>
  <dimension ref="A1:M82"/>
  <sheetViews>
    <sheetView rightToLeft="1" workbookViewId="0">
      <selection activeCell="A27" sqref="A27"/>
    </sheetView>
  </sheetViews>
  <sheetFormatPr defaultColWidth="30.09765625" defaultRowHeight="14.4" x14ac:dyDescent="0.3"/>
  <cols>
    <col min="1" max="1" width="30" style="32" bestFit="1" customWidth="1"/>
    <col min="2" max="2" width="11.3984375" style="32" customWidth="1"/>
    <col min="3" max="3" width="11.69921875" style="32" customWidth="1"/>
    <col min="4" max="4" width="16.8984375" customWidth="1"/>
    <col min="5" max="5" width="15.19921875" customWidth="1"/>
    <col min="6" max="6" width="17.09765625" customWidth="1"/>
    <col min="7" max="7" width="19" customWidth="1"/>
    <col min="8" max="9" width="15.19921875" style="3" customWidth="1"/>
    <col min="10" max="10" width="16.8984375" style="3" customWidth="1"/>
    <col min="11" max="11" width="19" customWidth="1"/>
  </cols>
  <sheetData>
    <row r="1" spans="1:11" ht="21" x14ac:dyDescent="0.25">
      <c r="A1" s="26"/>
      <c r="B1" s="26"/>
      <c r="C1" s="26"/>
      <c r="D1" s="241">
        <v>2025</v>
      </c>
      <c r="E1" s="241"/>
      <c r="F1" s="241"/>
      <c r="G1" s="241"/>
      <c r="H1" s="242">
        <v>2024</v>
      </c>
      <c r="I1" s="242"/>
      <c r="J1" s="242"/>
      <c r="K1" s="242"/>
    </row>
    <row r="2" spans="1:11" ht="21" x14ac:dyDescent="0.25">
      <c r="A2" s="11" t="s">
        <v>0</v>
      </c>
      <c r="B2" s="23" t="s">
        <v>53</v>
      </c>
      <c r="C2" s="23" t="s">
        <v>109</v>
      </c>
      <c r="D2" s="13" t="s">
        <v>46</v>
      </c>
      <c r="E2" s="13" t="s">
        <v>47</v>
      </c>
      <c r="F2" s="13" t="s">
        <v>48</v>
      </c>
      <c r="G2" s="13" t="s">
        <v>49</v>
      </c>
      <c r="H2" s="95" t="s">
        <v>46</v>
      </c>
      <c r="I2" s="95" t="s">
        <v>47</v>
      </c>
      <c r="J2" s="95" t="s">
        <v>48</v>
      </c>
      <c r="K2" s="95" t="s">
        <v>89</v>
      </c>
    </row>
    <row r="3" spans="1:11" ht="15.6" x14ac:dyDescent="0.3">
      <c r="A3" s="26" t="s">
        <v>1</v>
      </c>
      <c r="B3" s="26" t="s">
        <v>108</v>
      </c>
      <c r="C3" s="26" t="s">
        <v>58</v>
      </c>
      <c r="D3" s="195"/>
      <c r="E3" s="195"/>
      <c r="F3" s="195">
        <f>10883768.29-42206-F4</f>
        <v>10075480.609999999</v>
      </c>
      <c r="G3" s="195"/>
      <c r="H3" s="96"/>
      <c r="I3" s="96"/>
      <c r="J3" s="96">
        <f>7082872.74-J4-J67</f>
        <v>5667710.7100000009</v>
      </c>
      <c r="K3" s="96"/>
    </row>
    <row r="4" spans="1:11" ht="15.6" x14ac:dyDescent="0.3">
      <c r="A4" s="26" t="s">
        <v>2</v>
      </c>
      <c r="B4" s="26" t="s">
        <v>108</v>
      </c>
      <c r="C4" s="26" t="s">
        <v>58</v>
      </c>
      <c r="D4" s="195"/>
      <c r="E4" s="195"/>
      <c r="F4" s="195">
        <v>766081.68</v>
      </c>
      <c r="G4" s="195"/>
      <c r="H4" s="96"/>
      <c r="I4" s="96"/>
      <c r="J4" s="96">
        <v>178620.51</v>
      </c>
      <c r="K4" s="96"/>
    </row>
    <row r="5" spans="1:11" ht="15.6" x14ac:dyDescent="0.3">
      <c r="A5" s="26" t="s">
        <v>104</v>
      </c>
      <c r="B5" s="26" t="s">
        <v>108</v>
      </c>
      <c r="C5" s="26" t="s">
        <v>58</v>
      </c>
      <c r="D5" s="195"/>
      <c r="E5" s="195"/>
      <c r="F5" s="195"/>
      <c r="G5" s="195"/>
      <c r="H5" s="96"/>
      <c r="I5" s="96"/>
      <c r="J5" s="96"/>
      <c r="K5" s="96"/>
    </row>
    <row r="6" spans="1:11" ht="15.6" x14ac:dyDescent="0.3">
      <c r="A6" s="28" t="s">
        <v>105</v>
      </c>
      <c r="B6" s="26" t="s">
        <v>108</v>
      </c>
      <c r="C6" s="28" t="s">
        <v>58</v>
      </c>
      <c r="D6" s="196"/>
      <c r="E6" s="196"/>
      <c r="F6" s="196"/>
      <c r="G6" s="196"/>
      <c r="H6" s="96"/>
      <c r="I6" s="96"/>
      <c r="J6" s="96"/>
      <c r="K6" s="96"/>
    </row>
    <row r="7" spans="1:11" ht="16.2" thickBot="1" x14ac:dyDescent="0.35">
      <c r="A7" s="26" t="s">
        <v>34</v>
      </c>
      <c r="B7" s="26" t="s">
        <v>108</v>
      </c>
      <c r="C7" s="26" t="s">
        <v>58</v>
      </c>
      <c r="D7" s="195"/>
      <c r="E7" s="195"/>
      <c r="F7" s="195"/>
      <c r="G7" s="195"/>
      <c r="H7" s="96"/>
      <c r="I7" s="96"/>
      <c r="J7" s="96"/>
      <c r="K7" s="96"/>
    </row>
    <row r="8" spans="1:11" ht="21.6" thickBot="1" x14ac:dyDescent="0.45">
      <c r="A8" s="122" t="s">
        <v>3</v>
      </c>
      <c r="B8" s="121"/>
      <c r="C8" s="121"/>
      <c r="D8" s="174">
        <f>SUM(D3:D7)</f>
        <v>0</v>
      </c>
      <c r="E8" s="174">
        <f t="shared" ref="E8:G8" si="0">SUM(E3:E7)</f>
        <v>0</v>
      </c>
      <c r="F8" s="174">
        <f t="shared" si="0"/>
        <v>10841562.289999999</v>
      </c>
      <c r="G8" s="174">
        <f t="shared" si="0"/>
        <v>0</v>
      </c>
      <c r="H8" s="174">
        <f>SUM(H3:H7)</f>
        <v>0</v>
      </c>
      <c r="I8" s="174">
        <f t="shared" ref="I8:K8" si="1">SUM(I3:I7)</f>
        <v>0</v>
      </c>
      <c r="J8" s="174">
        <f t="shared" si="1"/>
        <v>5846331.2200000007</v>
      </c>
      <c r="K8" s="174">
        <f t="shared" si="1"/>
        <v>0</v>
      </c>
    </row>
    <row r="9" spans="1:11" ht="15.6" x14ac:dyDescent="0.3">
      <c r="A9" s="27" t="s">
        <v>4</v>
      </c>
      <c r="B9" s="26" t="s">
        <v>108</v>
      </c>
      <c r="C9" s="27" t="s">
        <v>106</v>
      </c>
      <c r="D9" s="18"/>
      <c r="E9" s="18"/>
      <c r="F9" s="18"/>
      <c r="G9" s="18"/>
      <c r="H9" s="96"/>
      <c r="I9" s="96"/>
      <c r="J9" s="96"/>
      <c r="K9" s="96"/>
    </row>
    <row r="10" spans="1:11" ht="15.6" x14ac:dyDescent="0.3">
      <c r="A10" s="26" t="s">
        <v>5</v>
      </c>
      <c r="B10" s="26" t="s">
        <v>108</v>
      </c>
      <c r="C10" s="26" t="s">
        <v>106</v>
      </c>
      <c r="D10" s="14"/>
      <c r="E10" s="14"/>
      <c r="F10" s="14"/>
      <c r="G10" s="14"/>
      <c r="H10" s="96"/>
      <c r="I10" s="96"/>
      <c r="J10" s="96"/>
      <c r="K10" s="96"/>
    </row>
    <row r="11" spans="1:11" ht="15.6" x14ac:dyDescent="0.3">
      <c r="A11" s="26" t="s">
        <v>6</v>
      </c>
      <c r="B11" s="26" t="s">
        <v>108</v>
      </c>
      <c r="C11" s="26" t="s">
        <v>106</v>
      </c>
      <c r="D11" s="14"/>
      <c r="E11" s="14"/>
      <c r="F11" s="14"/>
      <c r="G11" s="14"/>
      <c r="H11" s="96"/>
      <c r="I11" s="96"/>
      <c r="J11" s="96"/>
      <c r="K11" s="96"/>
    </row>
    <row r="12" spans="1:11" ht="15.6" x14ac:dyDescent="0.3">
      <c r="A12" s="26" t="s">
        <v>7</v>
      </c>
      <c r="B12" s="26" t="s">
        <v>108</v>
      </c>
      <c r="C12" s="26" t="s">
        <v>106</v>
      </c>
      <c r="D12" s="14"/>
      <c r="E12" s="14"/>
      <c r="F12" s="14"/>
      <c r="G12" s="14"/>
      <c r="H12" s="96"/>
      <c r="I12" s="96"/>
      <c r="J12" s="96"/>
      <c r="K12" s="96"/>
    </row>
    <row r="13" spans="1:11" ht="15.6" x14ac:dyDescent="0.3">
      <c r="A13" s="26" t="s">
        <v>8</v>
      </c>
      <c r="B13" s="26" t="s">
        <v>108</v>
      </c>
      <c r="C13" s="26" t="s">
        <v>106</v>
      </c>
      <c r="D13" s="14"/>
      <c r="E13" s="14"/>
      <c r="F13" s="14"/>
      <c r="G13" s="14"/>
      <c r="H13" s="96"/>
      <c r="I13" s="96"/>
      <c r="J13" s="96"/>
      <c r="K13" s="96"/>
    </row>
    <row r="14" spans="1:11" ht="15.6" x14ac:dyDescent="0.3">
      <c r="A14" s="26" t="s">
        <v>9</v>
      </c>
      <c r="B14" s="26" t="s">
        <v>108</v>
      </c>
      <c r="C14" s="26" t="s">
        <v>106</v>
      </c>
      <c r="D14" s="14"/>
      <c r="E14" s="14"/>
      <c r="F14" s="14">
        <v>483446.19</v>
      </c>
      <c r="G14" s="14"/>
      <c r="H14" s="96"/>
      <c r="I14" s="96"/>
      <c r="J14" s="96">
        <v>887936.09</v>
      </c>
      <c r="K14" s="96"/>
    </row>
    <row r="15" spans="1:11" ht="15.6" x14ac:dyDescent="0.3">
      <c r="A15" s="26" t="s">
        <v>31</v>
      </c>
      <c r="B15" s="26" t="s">
        <v>108</v>
      </c>
      <c r="C15" s="26" t="s">
        <v>106</v>
      </c>
      <c r="D15" s="14"/>
      <c r="E15" s="14"/>
      <c r="F15" s="14"/>
      <c r="G15" s="14"/>
      <c r="H15" s="96"/>
      <c r="I15" s="96"/>
      <c r="J15" s="96"/>
      <c r="K15" s="96"/>
    </row>
    <row r="16" spans="1:11" ht="15.6" x14ac:dyDescent="0.3">
      <c r="A16" s="26" t="s">
        <v>96</v>
      </c>
      <c r="B16" s="26" t="s">
        <v>108</v>
      </c>
      <c r="C16" s="26" t="s">
        <v>106</v>
      </c>
      <c r="D16" s="14"/>
      <c r="E16" s="14"/>
      <c r="F16" s="14"/>
      <c r="G16" s="14"/>
      <c r="H16" s="96"/>
      <c r="I16" s="96"/>
      <c r="J16" s="96"/>
      <c r="K16" s="96"/>
    </row>
    <row r="17" spans="1:11" ht="15.6" x14ac:dyDescent="0.3">
      <c r="A17" s="26" t="s">
        <v>42</v>
      </c>
      <c r="B17" s="26" t="s">
        <v>108</v>
      </c>
      <c r="C17" s="26" t="s">
        <v>106</v>
      </c>
      <c r="D17" s="14"/>
      <c r="E17" s="14"/>
      <c r="F17" s="14">
        <v>1692004.87</v>
      </c>
      <c r="G17" s="14"/>
      <c r="H17" s="96"/>
      <c r="I17" s="96"/>
      <c r="J17" s="96">
        <v>2367504.5299999998</v>
      </c>
      <c r="K17" s="96"/>
    </row>
    <row r="18" spans="1:11" ht="15.6" x14ac:dyDescent="0.3">
      <c r="A18" s="26" t="s">
        <v>43</v>
      </c>
      <c r="B18" s="26" t="s">
        <v>108</v>
      </c>
      <c r="C18" s="26" t="s">
        <v>106</v>
      </c>
      <c r="D18" s="14"/>
      <c r="E18" s="14"/>
      <c r="F18" s="14">
        <v>566224.25</v>
      </c>
      <c r="G18" s="14"/>
      <c r="H18" s="96"/>
      <c r="I18" s="96"/>
      <c r="J18" s="96">
        <v>2951019.75</v>
      </c>
      <c r="K18" s="96"/>
    </row>
    <row r="19" spans="1:11" ht="15.6" x14ac:dyDescent="0.3">
      <c r="A19" s="26" t="s">
        <v>30</v>
      </c>
      <c r="B19" s="26" t="s">
        <v>108</v>
      </c>
      <c r="C19" s="26" t="s">
        <v>106</v>
      </c>
      <c r="D19" s="14"/>
      <c r="E19" s="14"/>
      <c r="F19" s="14"/>
      <c r="G19" s="14"/>
      <c r="H19" s="96"/>
      <c r="I19" s="96"/>
      <c r="J19" s="96"/>
      <c r="K19" s="96"/>
    </row>
    <row r="20" spans="1:11" ht="15.6" x14ac:dyDescent="0.3">
      <c r="A20" s="28" t="s">
        <v>130</v>
      </c>
      <c r="B20" s="26" t="s">
        <v>108</v>
      </c>
      <c r="C20" s="26" t="s">
        <v>106</v>
      </c>
      <c r="D20" s="15"/>
      <c r="E20" s="15"/>
      <c r="F20" s="15"/>
      <c r="G20" s="15"/>
      <c r="H20" s="96"/>
      <c r="I20" s="96"/>
      <c r="J20" s="96"/>
      <c r="K20" s="96"/>
    </row>
    <row r="21" spans="1:11" ht="16.2" thickBot="1" x14ac:dyDescent="0.35">
      <c r="A21" s="28" t="s">
        <v>38</v>
      </c>
      <c r="B21" s="26" t="s">
        <v>108</v>
      </c>
      <c r="C21" s="28" t="s">
        <v>106</v>
      </c>
      <c r="D21" s="15"/>
      <c r="E21" s="15"/>
      <c r="F21" s="15"/>
      <c r="G21" s="15"/>
      <c r="H21" s="96"/>
      <c r="I21" s="96"/>
      <c r="J21" s="96"/>
      <c r="K21" s="96"/>
    </row>
    <row r="22" spans="1:11" ht="21.6" thickBot="1" x14ac:dyDescent="0.45">
      <c r="A22" s="122" t="s">
        <v>10</v>
      </c>
      <c r="B22" s="121"/>
      <c r="C22" s="121"/>
      <c r="D22" s="174">
        <f>SUM(D9:D21)</f>
        <v>0</v>
      </c>
      <c r="E22" s="174">
        <f t="shared" ref="E22:G22" si="2">SUM(E9:E21)</f>
        <v>0</v>
      </c>
      <c r="F22" s="174">
        <f t="shared" si="2"/>
        <v>2741675.31</v>
      </c>
      <c r="G22" s="174">
        <f t="shared" si="2"/>
        <v>0</v>
      </c>
      <c r="H22" s="174">
        <f>SUM(H9:H21)</f>
        <v>0</v>
      </c>
      <c r="I22" s="174">
        <f t="shared" ref="I22:K22" si="3">SUM(I9:I21)</f>
        <v>0</v>
      </c>
      <c r="J22" s="174">
        <f t="shared" si="3"/>
        <v>6206460.3699999992</v>
      </c>
      <c r="K22" s="174">
        <f t="shared" si="3"/>
        <v>0</v>
      </c>
    </row>
    <row r="23" spans="1:11" ht="15.6" x14ac:dyDescent="0.3">
      <c r="A23" s="27" t="s">
        <v>11</v>
      </c>
      <c r="B23" s="27" t="s">
        <v>56</v>
      </c>
      <c r="C23" s="27" t="s">
        <v>107</v>
      </c>
      <c r="D23" s="18"/>
      <c r="E23" s="18"/>
      <c r="F23" s="18"/>
      <c r="G23" s="18"/>
      <c r="H23" s="96"/>
      <c r="I23" s="96"/>
      <c r="J23" s="96"/>
      <c r="K23" s="96"/>
    </row>
    <row r="24" spans="1:11" ht="15.6" x14ac:dyDescent="0.3">
      <c r="A24" s="30" t="s">
        <v>12</v>
      </c>
      <c r="B24" s="26" t="s">
        <v>56</v>
      </c>
      <c r="C24" s="26" t="s">
        <v>107</v>
      </c>
      <c r="D24" s="14"/>
      <c r="E24" s="14"/>
      <c r="F24" s="14"/>
      <c r="G24" s="14"/>
      <c r="H24" s="96"/>
      <c r="I24" s="96"/>
      <c r="J24" s="96"/>
      <c r="K24" s="96"/>
    </row>
    <row r="25" spans="1:11" ht="15.6" x14ac:dyDescent="0.3">
      <c r="A25" s="30" t="s">
        <v>13</v>
      </c>
      <c r="B25" s="26" t="s">
        <v>56</v>
      </c>
      <c r="C25" s="26" t="s">
        <v>107</v>
      </c>
      <c r="D25" s="14"/>
      <c r="E25" s="14"/>
      <c r="F25" s="14"/>
      <c r="G25" s="14"/>
      <c r="H25" s="96"/>
      <c r="I25" s="96"/>
      <c r="J25" s="96"/>
      <c r="K25" s="96"/>
    </row>
    <row r="26" spans="1:11" ht="15.6" x14ac:dyDescent="0.3">
      <c r="A26" s="26" t="s">
        <v>14</v>
      </c>
      <c r="B26" s="26" t="s">
        <v>55</v>
      </c>
      <c r="C26" s="26" t="s">
        <v>107</v>
      </c>
      <c r="D26" s="14"/>
      <c r="E26" s="14"/>
      <c r="F26" s="14"/>
      <c r="G26" s="14"/>
      <c r="H26" s="96"/>
      <c r="I26" s="96"/>
      <c r="J26" s="96"/>
      <c r="K26" s="96"/>
    </row>
    <row r="27" spans="1:11" ht="15.6" x14ac:dyDescent="0.3">
      <c r="A27" s="30" t="s">
        <v>15</v>
      </c>
      <c r="B27" s="26" t="s">
        <v>56</v>
      </c>
      <c r="C27" s="26" t="s">
        <v>107</v>
      </c>
      <c r="D27" s="14"/>
      <c r="E27" s="14"/>
      <c r="F27" s="14"/>
      <c r="G27" s="14"/>
      <c r="H27" s="96"/>
      <c r="I27" s="96"/>
      <c r="J27" s="96"/>
      <c r="K27" s="96"/>
    </row>
    <row r="28" spans="1:11" ht="15.6" x14ac:dyDescent="0.3">
      <c r="A28" s="30" t="s">
        <v>17</v>
      </c>
      <c r="B28" s="26" t="s">
        <v>56</v>
      </c>
      <c r="C28" s="26" t="s">
        <v>107</v>
      </c>
      <c r="D28" s="14"/>
      <c r="E28" s="14"/>
      <c r="F28" s="14"/>
      <c r="G28" s="14"/>
      <c r="H28" s="96"/>
      <c r="I28" s="96"/>
      <c r="J28" s="96"/>
      <c r="K28" s="96"/>
    </row>
    <row r="29" spans="1:11" ht="15.6" x14ac:dyDescent="0.3">
      <c r="A29" s="30" t="s">
        <v>18</v>
      </c>
      <c r="B29" s="26" t="s">
        <v>56</v>
      </c>
      <c r="C29" s="26" t="s">
        <v>107</v>
      </c>
      <c r="D29" s="14"/>
      <c r="E29" s="14"/>
      <c r="F29" s="14"/>
      <c r="G29" s="14"/>
      <c r="H29" s="96"/>
      <c r="I29" s="96"/>
      <c r="J29" s="96"/>
      <c r="K29" s="96"/>
    </row>
    <row r="30" spans="1:11" ht="15.6" x14ac:dyDescent="0.3">
      <c r="A30" s="26" t="s">
        <v>19</v>
      </c>
      <c r="B30" s="26" t="s">
        <v>56</v>
      </c>
      <c r="C30" s="26" t="s">
        <v>107</v>
      </c>
      <c r="D30" s="14"/>
      <c r="E30" s="14"/>
      <c r="F30" s="14"/>
      <c r="G30" s="14"/>
      <c r="H30" s="96"/>
      <c r="I30" s="96"/>
      <c r="J30" s="96"/>
      <c r="K30" s="96"/>
    </row>
    <row r="31" spans="1:11" ht="15.6" x14ac:dyDescent="0.3">
      <c r="A31" s="26" t="s">
        <v>20</v>
      </c>
      <c r="B31" s="26" t="s">
        <v>56</v>
      </c>
      <c r="C31" s="26" t="s">
        <v>107</v>
      </c>
      <c r="D31" s="14"/>
      <c r="E31" s="14"/>
      <c r="F31" s="14">
        <v>1122023.23</v>
      </c>
      <c r="G31" s="14"/>
      <c r="H31" s="96"/>
      <c r="I31" s="96"/>
      <c r="J31" s="96">
        <v>690833.6</v>
      </c>
      <c r="K31" s="96"/>
    </row>
    <row r="32" spans="1:11" ht="15.6" x14ac:dyDescent="0.3">
      <c r="A32" s="26" t="s">
        <v>21</v>
      </c>
      <c r="B32" s="26" t="s">
        <v>56</v>
      </c>
      <c r="C32" s="26" t="s">
        <v>107</v>
      </c>
      <c r="D32" s="14"/>
      <c r="E32" s="14"/>
      <c r="F32" s="14"/>
      <c r="G32" s="14"/>
      <c r="H32" s="96"/>
      <c r="I32" s="96"/>
      <c r="J32" s="96"/>
      <c r="K32" s="96"/>
    </row>
    <row r="33" spans="1:12" ht="15.6" x14ac:dyDescent="0.3">
      <c r="A33" s="26" t="s">
        <v>22</v>
      </c>
      <c r="B33" s="26" t="s">
        <v>56</v>
      </c>
      <c r="C33" s="26" t="s">
        <v>107</v>
      </c>
      <c r="D33" s="14"/>
      <c r="E33" s="14"/>
      <c r="F33" s="14"/>
      <c r="G33" s="14"/>
      <c r="H33" s="96"/>
      <c r="I33" s="96"/>
      <c r="J33" s="96"/>
      <c r="K33" s="96"/>
    </row>
    <row r="34" spans="1:12" ht="15.6" x14ac:dyDescent="0.3">
      <c r="A34" s="26" t="s">
        <v>23</v>
      </c>
      <c r="B34" s="26" t="s">
        <v>56</v>
      </c>
      <c r="C34" s="26" t="s">
        <v>107</v>
      </c>
      <c r="D34" s="14"/>
      <c r="E34" s="14"/>
      <c r="F34" s="14"/>
      <c r="G34" s="14"/>
      <c r="H34" s="96"/>
      <c r="I34" s="96"/>
      <c r="J34" s="96"/>
      <c r="K34" s="96"/>
    </row>
    <row r="35" spans="1:12" ht="15.6" x14ac:dyDescent="0.3">
      <c r="A35" s="26" t="s">
        <v>24</v>
      </c>
      <c r="B35" s="26" t="s">
        <v>56</v>
      </c>
      <c r="C35" s="26" t="s">
        <v>107</v>
      </c>
      <c r="D35" s="14"/>
      <c r="E35" s="14"/>
      <c r="F35" s="14"/>
      <c r="G35" s="14"/>
      <c r="H35" s="96"/>
      <c r="I35" s="96"/>
      <c r="J35" s="96"/>
      <c r="K35" s="96"/>
    </row>
    <row r="36" spans="1:12" ht="15.6" x14ac:dyDescent="0.3">
      <c r="A36" s="30" t="s">
        <v>25</v>
      </c>
      <c r="B36" s="26" t="s">
        <v>56</v>
      </c>
      <c r="C36" s="26" t="s">
        <v>107</v>
      </c>
      <c r="D36" s="14"/>
      <c r="E36" s="14"/>
      <c r="F36" s="14"/>
      <c r="G36" s="14"/>
      <c r="H36" s="96"/>
      <c r="I36" s="96"/>
      <c r="J36" s="96"/>
      <c r="K36" s="96"/>
    </row>
    <row r="37" spans="1:12" ht="15.6" x14ac:dyDescent="0.3">
      <c r="A37" s="26" t="s">
        <v>26</v>
      </c>
      <c r="B37" s="26" t="s">
        <v>56</v>
      </c>
      <c r="C37" s="26" t="s">
        <v>107</v>
      </c>
      <c r="D37" s="14"/>
      <c r="E37" s="14"/>
      <c r="F37" s="14"/>
      <c r="G37" s="14"/>
      <c r="H37" s="96"/>
      <c r="I37" s="96"/>
      <c r="J37" s="96"/>
      <c r="K37" s="96"/>
    </row>
    <row r="38" spans="1:12" ht="15.6" x14ac:dyDescent="0.3">
      <c r="A38" s="26" t="s">
        <v>27</v>
      </c>
      <c r="B38" s="26" t="s">
        <v>56</v>
      </c>
      <c r="C38" s="26" t="s">
        <v>107</v>
      </c>
      <c r="D38" s="14"/>
      <c r="E38" s="14"/>
      <c r="F38" s="14"/>
      <c r="G38" s="14"/>
      <c r="H38" s="96"/>
      <c r="I38" s="96"/>
      <c r="J38" s="96"/>
      <c r="K38" s="96"/>
    </row>
    <row r="39" spans="1:12" ht="15.6" x14ac:dyDescent="0.3">
      <c r="A39" s="26" t="s">
        <v>28</v>
      </c>
      <c r="B39" s="26" t="s">
        <v>56</v>
      </c>
      <c r="C39" s="26" t="s">
        <v>107</v>
      </c>
      <c r="D39" s="14"/>
      <c r="E39" s="14"/>
      <c r="F39" s="14"/>
      <c r="G39" s="14"/>
      <c r="H39" s="96"/>
      <c r="I39" s="96"/>
      <c r="J39" s="96"/>
      <c r="K39" s="96"/>
    </row>
    <row r="40" spans="1:12" ht="15.6" x14ac:dyDescent="0.3">
      <c r="A40" s="26" t="s">
        <v>29</v>
      </c>
      <c r="B40" s="26" t="s">
        <v>56</v>
      </c>
      <c r="C40" s="26" t="s">
        <v>107</v>
      </c>
      <c r="D40" s="14"/>
      <c r="E40" s="14"/>
      <c r="F40" s="14"/>
      <c r="G40" s="14"/>
      <c r="H40" s="96"/>
      <c r="I40" s="96"/>
      <c r="J40" s="96"/>
      <c r="K40" s="96"/>
    </row>
    <row r="41" spans="1:12" ht="15.6" x14ac:dyDescent="0.3">
      <c r="A41" s="26" t="s">
        <v>98</v>
      </c>
      <c r="B41" s="26" t="s">
        <v>55</v>
      </c>
      <c r="C41" s="26" t="s">
        <v>107</v>
      </c>
      <c r="D41" s="14"/>
      <c r="E41" s="14"/>
      <c r="F41" s="14"/>
      <c r="G41" s="14"/>
      <c r="H41" s="96"/>
      <c r="I41" s="96"/>
      <c r="J41" s="96"/>
      <c r="K41" s="96"/>
    </row>
    <row r="42" spans="1:12" ht="15.6" x14ac:dyDescent="0.3">
      <c r="A42" s="26" t="s">
        <v>32</v>
      </c>
      <c r="B42" s="26" t="s">
        <v>55</v>
      </c>
      <c r="C42" s="26" t="s">
        <v>107</v>
      </c>
      <c r="D42" s="14"/>
      <c r="E42" s="14"/>
      <c r="F42" s="14"/>
      <c r="G42" s="14"/>
      <c r="H42" s="96"/>
      <c r="I42" s="96"/>
      <c r="J42" s="96"/>
      <c r="K42" s="96"/>
    </row>
    <row r="43" spans="1:12" ht="15.6" x14ac:dyDescent="0.3">
      <c r="A43" s="30" t="s">
        <v>95</v>
      </c>
      <c r="B43" s="26" t="s">
        <v>56</v>
      </c>
      <c r="C43" s="26" t="s">
        <v>107</v>
      </c>
      <c r="D43" s="14"/>
      <c r="E43" s="14"/>
      <c r="F43" s="14"/>
      <c r="G43" s="14"/>
      <c r="H43" s="96"/>
      <c r="I43" s="96"/>
      <c r="J43" s="96"/>
      <c r="K43" s="96"/>
    </row>
    <row r="44" spans="1:12" ht="15.6" x14ac:dyDescent="0.3">
      <c r="A44" s="26" t="s">
        <v>83</v>
      </c>
      <c r="B44" s="26" t="s">
        <v>56</v>
      </c>
      <c r="C44" s="26" t="s">
        <v>107</v>
      </c>
      <c r="D44" s="14"/>
      <c r="E44" s="14"/>
      <c r="F44" s="14"/>
      <c r="G44" s="14"/>
      <c r="H44" s="96"/>
      <c r="I44" s="96"/>
      <c r="J44" s="96"/>
      <c r="K44" s="96"/>
    </row>
    <row r="45" spans="1:12" ht="15.6" x14ac:dyDescent="0.3">
      <c r="A45" s="26" t="s">
        <v>82</v>
      </c>
      <c r="B45" s="26" t="s">
        <v>56</v>
      </c>
      <c r="C45" s="26" t="s">
        <v>107</v>
      </c>
      <c r="D45" s="14"/>
      <c r="E45" s="14"/>
      <c r="F45" s="14"/>
      <c r="G45" s="14"/>
      <c r="H45" s="96"/>
      <c r="I45" s="96"/>
      <c r="J45" s="96"/>
      <c r="K45" s="96"/>
    </row>
    <row r="46" spans="1:12" ht="15.6" x14ac:dyDescent="0.3">
      <c r="A46" s="26" t="s">
        <v>36</v>
      </c>
      <c r="B46" s="26" t="s">
        <v>55</v>
      </c>
      <c r="C46" s="26" t="s">
        <v>107</v>
      </c>
      <c r="D46" s="14"/>
      <c r="E46" s="14"/>
      <c r="F46" s="14"/>
      <c r="G46" s="14"/>
      <c r="H46" s="96"/>
      <c r="I46" s="96"/>
      <c r="J46" s="96"/>
      <c r="K46" s="96"/>
    </row>
    <row r="47" spans="1:12" ht="15.6" x14ac:dyDescent="0.3">
      <c r="A47" s="26" t="s">
        <v>94</v>
      </c>
      <c r="B47" s="26" t="s">
        <v>55</v>
      </c>
      <c r="C47" s="26" t="s">
        <v>107</v>
      </c>
      <c r="D47" s="14"/>
      <c r="E47" s="14"/>
      <c r="F47" s="14"/>
      <c r="G47" s="14"/>
      <c r="H47" s="96"/>
      <c r="I47" s="96"/>
      <c r="J47" s="96"/>
      <c r="K47" s="96"/>
      <c r="L47" s="138"/>
    </row>
    <row r="48" spans="1:12" ht="15.6" x14ac:dyDescent="0.3">
      <c r="A48" s="26" t="s">
        <v>85</v>
      </c>
      <c r="B48" s="26" t="s">
        <v>56</v>
      </c>
      <c r="C48" s="26" t="s">
        <v>107</v>
      </c>
      <c r="D48" s="14"/>
      <c r="E48" s="14"/>
      <c r="F48" s="14"/>
      <c r="G48" s="14"/>
      <c r="H48" s="96"/>
      <c r="I48" s="96"/>
      <c r="J48" s="96"/>
      <c r="K48" s="96"/>
    </row>
    <row r="49" spans="1:13" ht="15.6" x14ac:dyDescent="0.3">
      <c r="A49" s="26" t="s">
        <v>87</v>
      </c>
      <c r="B49" s="26" t="s">
        <v>56</v>
      </c>
      <c r="C49" s="26" t="s">
        <v>107</v>
      </c>
      <c r="D49" s="14"/>
      <c r="E49" s="14"/>
      <c r="F49" s="14"/>
      <c r="G49" s="14"/>
      <c r="H49" s="96"/>
      <c r="I49" s="96"/>
      <c r="J49" s="96"/>
      <c r="K49" s="96"/>
    </row>
    <row r="50" spans="1:13" ht="15.6" x14ac:dyDescent="0.3">
      <c r="A50" s="26" t="s">
        <v>97</v>
      </c>
      <c r="B50" s="26" t="s">
        <v>56</v>
      </c>
      <c r="C50" s="26" t="s">
        <v>107</v>
      </c>
      <c r="D50" s="14"/>
      <c r="E50" s="14"/>
      <c r="F50" s="14"/>
      <c r="G50" s="14"/>
      <c r="H50" s="96"/>
      <c r="I50" s="96"/>
      <c r="J50" s="96"/>
      <c r="K50" s="96"/>
    </row>
    <row r="51" spans="1:13" ht="15.6" x14ac:dyDescent="0.3">
      <c r="A51" s="26" t="s">
        <v>39</v>
      </c>
      <c r="B51" s="26" t="s">
        <v>56</v>
      </c>
      <c r="C51" s="26" t="s">
        <v>107</v>
      </c>
      <c r="D51" s="14"/>
      <c r="E51" s="14"/>
      <c r="F51" s="14"/>
      <c r="G51" s="14"/>
      <c r="H51" s="96"/>
      <c r="I51" s="96"/>
      <c r="J51" s="96"/>
      <c r="K51" s="96"/>
    </row>
    <row r="52" spans="1:13" ht="15.6" x14ac:dyDescent="0.3">
      <c r="A52" s="26" t="s">
        <v>91</v>
      </c>
      <c r="B52" s="26" t="s">
        <v>56</v>
      </c>
      <c r="C52" s="26" t="s">
        <v>107</v>
      </c>
      <c r="D52" s="14"/>
      <c r="E52" s="14"/>
      <c r="F52" s="14"/>
      <c r="G52" s="14"/>
      <c r="H52" s="96"/>
      <c r="I52" s="96"/>
      <c r="J52" s="96"/>
      <c r="K52" s="96"/>
    </row>
    <row r="53" spans="1:13" ht="15.6" x14ac:dyDescent="0.3">
      <c r="A53" s="26" t="s">
        <v>41</v>
      </c>
      <c r="B53" s="26" t="s">
        <v>56</v>
      </c>
      <c r="C53" s="26" t="s">
        <v>107</v>
      </c>
      <c r="D53" s="14"/>
      <c r="E53" s="14"/>
      <c r="F53" s="14"/>
      <c r="G53" s="14"/>
      <c r="H53" s="96"/>
      <c r="I53" s="96"/>
      <c r="J53" s="96"/>
      <c r="K53" s="96"/>
    </row>
    <row r="54" spans="1:13" ht="15.6" x14ac:dyDescent="0.3">
      <c r="A54" s="26" t="s">
        <v>129</v>
      </c>
      <c r="B54" s="26" t="s">
        <v>108</v>
      </c>
      <c r="C54" s="27" t="s">
        <v>107</v>
      </c>
      <c r="D54" s="15"/>
      <c r="E54" s="15"/>
      <c r="F54" s="15"/>
      <c r="G54" s="15"/>
      <c r="H54" s="96"/>
      <c r="I54" s="96"/>
      <c r="J54" s="96"/>
      <c r="K54" s="96"/>
    </row>
    <row r="55" spans="1:13" ht="16.2" thickBot="1" x14ac:dyDescent="0.35">
      <c r="A55" s="28" t="s">
        <v>88</v>
      </c>
      <c r="B55" s="28" t="s">
        <v>56</v>
      </c>
      <c r="C55" s="28" t="s">
        <v>107</v>
      </c>
      <c r="D55" s="15"/>
      <c r="E55" s="15"/>
      <c r="F55" s="15"/>
      <c r="G55" s="15"/>
      <c r="H55" s="96"/>
      <c r="I55" s="96"/>
      <c r="J55" s="96"/>
      <c r="K55" s="96"/>
    </row>
    <row r="56" spans="1:13" ht="21.6" thickBot="1" x14ac:dyDescent="0.45">
      <c r="A56" s="123" t="s">
        <v>115</v>
      </c>
      <c r="B56" s="121"/>
      <c r="C56" s="121"/>
      <c r="D56" s="174">
        <f>SUM(D23:D55)</f>
        <v>0</v>
      </c>
      <c r="E56" s="174">
        <f t="shared" ref="E56:G56" si="4">SUM(E23:E55)</f>
        <v>0</v>
      </c>
      <c r="F56" s="174">
        <f t="shared" si="4"/>
        <v>1122023.23</v>
      </c>
      <c r="G56" s="174">
        <f t="shared" si="4"/>
        <v>0</v>
      </c>
      <c r="H56" s="174">
        <f>SUM(H23:H55)</f>
        <v>0</v>
      </c>
      <c r="I56" s="174">
        <f t="shared" ref="I56:K56" si="5">SUM(I23:I55)</f>
        <v>0</v>
      </c>
      <c r="J56" s="174">
        <f t="shared" si="5"/>
        <v>690833.6</v>
      </c>
      <c r="K56" s="174">
        <f t="shared" si="5"/>
        <v>0</v>
      </c>
    </row>
    <row r="57" spans="1:13" ht="15.6" x14ac:dyDescent="0.3">
      <c r="A57" s="30" t="s">
        <v>33</v>
      </c>
      <c r="B57" s="26" t="s">
        <v>114</v>
      </c>
      <c r="C57" s="26" t="s">
        <v>107</v>
      </c>
      <c r="D57" s="14"/>
      <c r="E57" s="14"/>
      <c r="F57" s="14"/>
      <c r="G57" s="14"/>
      <c r="H57" s="96"/>
      <c r="I57" s="96"/>
      <c r="J57" s="96"/>
      <c r="K57" s="96"/>
    </row>
    <row r="58" spans="1:13" ht="15.6" x14ac:dyDescent="0.3">
      <c r="A58" s="26" t="s">
        <v>84</v>
      </c>
      <c r="B58" s="26" t="s">
        <v>114</v>
      </c>
      <c r="C58" s="26" t="s">
        <v>107</v>
      </c>
      <c r="D58" s="14"/>
      <c r="E58" s="14"/>
      <c r="F58" s="14">
        <v>406786.68</v>
      </c>
      <c r="G58" s="14"/>
      <c r="H58" s="96"/>
      <c r="I58" s="96"/>
      <c r="J58" s="96">
        <v>25284.95</v>
      </c>
      <c r="K58" s="96"/>
    </row>
    <row r="59" spans="1:13" ht="15.6" x14ac:dyDescent="0.3">
      <c r="A59" s="26" t="s">
        <v>37</v>
      </c>
      <c r="B59" s="26" t="s">
        <v>114</v>
      </c>
      <c r="C59" s="26" t="s">
        <v>107</v>
      </c>
      <c r="D59" s="14"/>
      <c r="E59" s="14"/>
      <c r="F59" s="14"/>
      <c r="G59" s="14"/>
      <c r="H59" s="96"/>
      <c r="I59" s="96"/>
      <c r="J59" s="96"/>
      <c r="K59" s="96"/>
      <c r="M59" s="133"/>
    </row>
    <row r="60" spans="1:13" ht="15.6" x14ac:dyDescent="0.3">
      <c r="A60" s="26" t="s">
        <v>35</v>
      </c>
      <c r="B60" s="26" t="s">
        <v>114</v>
      </c>
      <c r="C60" s="26" t="s">
        <v>107</v>
      </c>
      <c r="D60" s="14"/>
      <c r="E60" s="14"/>
      <c r="F60" s="14"/>
      <c r="G60" s="14"/>
      <c r="H60" s="96"/>
      <c r="I60" s="96"/>
      <c r="J60" s="96"/>
      <c r="K60" s="96"/>
      <c r="M60" s="133"/>
    </row>
    <row r="61" spans="1:13" ht="15.6" x14ac:dyDescent="0.3">
      <c r="A61" s="27" t="s">
        <v>86</v>
      </c>
      <c r="B61" s="27" t="s">
        <v>114</v>
      </c>
      <c r="C61" s="27" t="s">
        <v>107</v>
      </c>
      <c r="D61" s="14"/>
      <c r="E61" s="14"/>
      <c r="F61" s="14">
        <v>1492362.88</v>
      </c>
      <c r="G61" s="14"/>
      <c r="H61" s="96"/>
      <c r="I61" s="96"/>
      <c r="J61" s="96">
        <v>3401930.22</v>
      </c>
      <c r="K61" s="96"/>
      <c r="M61" s="133"/>
    </row>
    <row r="62" spans="1:13" ht="15.6" x14ac:dyDescent="0.3">
      <c r="A62" s="30" t="s">
        <v>16</v>
      </c>
      <c r="B62" s="26" t="s">
        <v>114</v>
      </c>
      <c r="C62" s="26" t="s">
        <v>107</v>
      </c>
      <c r="D62" s="14"/>
      <c r="E62" s="14"/>
      <c r="F62" s="14"/>
      <c r="G62" s="14"/>
      <c r="H62" s="96"/>
      <c r="I62" s="96"/>
      <c r="J62" s="96"/>
      <c r="K62" s="96"/>
    </row>
    <row r="63" spans="1:13" ht="15.6" x14ac:dyDescent="0.3">
      <c r="A63" s="194" t="s">
        <v>128</v>
      </c>
      <c r="B63" s="26" t="s">
        <v>114</v>
      </c>
      <c r="C63" s="27" t="s">
        <v>107</v>
      </c>
      <c r="D63" s="14"/>
      <c r="E63" s="14"/>
      <c r="F63" s="14"/>
      <c r="G63" s="14"/>
      <c r="H63" s="96"/>
      <c r="I63" s="96"/>
      <c r="J63" s="96"/>
      <c r="K63" s="96"/>
    </row>
    <row r="64" spans="1:13" ht="15.6" x14ac:dyDescent="0.3">
      <c r="A64" s="199" t="s">
        <v>131</v>
      </c>
      <c r="B64" s="26" t="s">
        <v>114</v>
      </c>
      <c r="C64" s="27" t="s">
        <v>107</v>
      </c>
      <c r="D64" s="14"/>
      <c r="E64" s="14"/>
      <c r="F64" s="14"/>
      <c r="G64" s="14"/>
      <c r="H64" s="96"/>
      <c r="I64" s="96"/>
      <c r="J64" s="96"/>
      <c r="K64" s="96"/>
    </row>
    <row r="65" spans="1:12" ht="16.2" thickBot="1" x14ac:dyDescent="0.35">
      <c r="A65" s="117" t="s">
        <v>99</v>
      </c>
      <c r="B65" s="26" t="s">
        <v>114</v>
      </c>
      <c r="C65" s="26" t="s">
        <v>107</v>
      </c>
      <c r="D65" s="14"/>
      <c r="E65" s="14"/>
      <c r="F65" s="14"/>
      <c r="G65" s="14"/>
      <c r="H65" s="96"/>
      <c r="I65" s="96"/>
      <c r="J65" s="96"/>
      <c r="K65" s="96"/>
    </row>
    <row r="66" spans="1:12" ht="21.6" thickBot="1" x14ac:dyDescent="0.45">
      <c r="A66" s="123" t="s">
        <v>116</v>
      </c>
      <c r="B66" s="121"/>
      <c r="C66" s="121"/>
      <c r="D66" s="174">
        <f>SUM(D57:D65)</f>
        <v>0</v>
      </c>
      <c r="E66" s="174">
        <f t="shared" ref="E66:G66" si="6">SUM(E57:E65)</f>
        <v>0</v>
      </c>
      <c r="F66" s="174">
        <f t="shared" si="6"/>
        <v>1899149.5599999998</v>
      </c>
      <c r="G66" s="174">
        <f t="shared" si="6"/>
        <v>0</v>
      </c>
      <c r="H66" s="174">
        <f>SUM(H57:H65)</f>
        <v>0</v>
      </c>
      <c r="I66" s="174">
        <f t="shared" ref="I66:K66" si="7">SUM(I57:I65)</f>
        <v>0</v>
      </c>
      <c r="J66" s="174">
        <f t="shared" si="7"/>
        <v>3427215.1700000004</v>
      </c>
      <c r="K66" s="174">
        <f t="shared" si="7"/>
        <v>0</v>
      </c>
    </row>
    <row r="67" spans="1:12" ht="15.6" x14ac:dyDescent="0.3">
      <c r="A67" s="27" t="s">
        <v>77</v>
      </c>
      <c r="B67" s="26" t="s">
        <v>108</v>
      </c>
      <c r="C67" s="27" t="s">
        <v>102</v>
      </c>
      <c r="D67" s="18"/>
      <c r="E67" s="18"/>
      <c r="F67" s="18">
        <f>1025035.55+42206</f>
        <v>1067241.55</v>
      </c>
      <c r="G67" s="18"/>
      <c r="H67" s="96"/>
      <c r="I67" s="96"/>
      <c r="J67" s="96">
        <v>1236541.52</v>
      </c>
      <c r="K67" s="96"/>
    </row>
    <row r="68" spans="1:12" ht="15.6" x14ac:dyDescent="0.3">
      <c r="A68" s="30" t="s">
        <v>40</v>
      </c>
      <c r="B68" s="26" t="s">
        <v>56</v>
      </c>
      <c r="C68" s="26" t="s">
        <v>103</v>
      </c>
      <c r="D68" s="14"/>
      <c r="E68" s="14"/>
      <c r="F68" s="14">
        <v>217015.57</v>
      </c>
      <c r="G68" s="14"/>
      <c r="H68" s="96"/>
      <c r="I68" s="96"/>
      <c r="J68" s="96"/>
      <c r="K68" s="96"/>
    </row>
    <row r="69" spans="1:12" ht="15.6" x14ac:dyDescent="0.3">
      <c r="A69" s="26" t="s">
        <v>90</v>
      </c>
      <c r="B69" s="26" t="s">
        <v>108</v>
      </c>
      <c r="C69" s="26" t="s">
        <v>103</v>
      </c>
      <c r="D69" s="14"/>
      <c r="E69" s="14"/>
      <c r="F69" s="14"/>
      <c r="G69" s="14"/>
      <c r="H69" s="96"/>
      <c r="I69" s="96"/>
      <c r="J69" s="96"/>
      <c r="K69" s="96"/>
    </row>
    <row r="70" spans="1:12" ht="15.6" x14ac:dyDescent="0.3">
      <c r="A70" s="26" t="s">
        <v>92</v>
      </c>
      <c r="B70" s="26" t="s">
        <v>56</v>
      </c>
      <c r="C70" s="26" t="s">
        <v>103</v>
      </c>
      <c r="D70" s="14"/>
      <c r="E70" s="14"/>
      <c r="F70" s="14"/>
      <c r="G70" s="14"/>
      <c r="H70" s="96"/>
      <c r="I70" s="96"/>
      <c r="J70" s="96"/>
      <c r="K70" s="96"/>
    </row>
    <row r="71" spans="1:12" ht="15.6" x14ac:dyDescent="0.3">
      <c r="A71" s="26" t="s">
        <v>93</v>
      </c>
      <c r="B71" s="26" t="s">
        <v>56</v>
      </c>
      <c r="C71" s="26" t="s">
        <v>103</v>
      </c>
      <c r="D71" s="14"/>
      <c r="E71" s="14"/>
      <c r="F71" s="14"/>
      <c r="G71" s="14"/>
      <c r="H71" s="96"/>
      <c r="I71" s="96"/>
      <c r="J71" s="96"/>
      <c r="K71" s="96"/>
    </row>
    <row r="72" spans="1:12" ht="15.6" x14ac:dyDescent="0.3">
      <c r="A72" s="26" t="s">
        <v>100</v>
      </c>
      <c r="B72" s="26" t="s">
        <v>56</v>
      </c>
      <c r="C72" s="26" t="s">
        <v>103</v>
      </c>
      <c r="D72" s="14"/>
      <c r="E72" s="14"/>
      <c r="F72" s="14">
        <v>54675.26</v>
      </c>
      <c r="G72" s="14"/>
      <c r="H72" s="96"/>
      <c r="I72" s="96"/>
      <c r="J72" s="96">
        <v>1500</v>
      </c>
      <c r="K72" s="96"/>
      <c r="L72" s="138"/>
    </row>
    <row r="73" spans="1:12" ht="15.6" x14ac:dyDescent="0.3">
      <c r="A73" s="118" t="s">
        <v>101</v>
      </c>
      <c r="B73" s="26" t="s">
        <v>56</v>
      </c>
      <c r="C73" s="26" t="s">
        <v>103</v>
      </c>
      <c r="D73" s="14"/>
      <c r="E73" s="14"/>
      <c r="F73" s="14">
        <v>173195.4</v>
      </c>
      <c r="G73" s="14"/>
      <c r="H73" s="96"/>
      <c r="I73" s="96"/>
      <c r="J73" s="96">
        <v>3563477.34</v>
      </c>
      <c r="K73" s="96"/>
    </row>
    <row r="74" spans="1:12" ht="15.6" x14ac:dyDescent="0.3">
      <c r="A74" s="26" t="s">
        <v>81</v>
      </c>
      <c r="B74" s="26" t="s">
        <v>56</v>
      </c>
      <c r="C74" s="26" t="s">
        <v>103</v>
      </c>
      <c r="D74" s="14"/>
      <c r="E74" s="14"/>
      <c r="F74" s="14"/>
      <c r="G74" s="14"/>
      <c r="H74" s="96"/>
      <c r="I74" s="96"/>
      <c r="J74" s="96"/>
      <c r="K74" s="96"/>
    </row>
    <row r="75" spans="1:12" ht="21.6" thickBot="1" x14ac:dyDescent="0.3">
      <c r="A75" s="177" t="s">
        <v>44</v>
      </c>
      <c r="B75" s="178"/>
      <c r="C75" s="178"/>
      <c r="D75" s="179">
        <f>SUM(D67:D74)</f>
        <v>0</v>
      </c>
      <c r="E75" s="179">
        <f t="shared" ref="E75:G75" si="8">SUM(E67:E74)</f>
        <v>0</v>
      </c>
      <c r="F75" s="179">
        <f t="shared" si="8"/>
        <v>1512127.78</v>
      </c>
      <c r="G75" s="179">
        <f t="shared" si="8"/>
        <v>0</v>
      </c>
      <c r="H75" s="179">
        <f>SUM(H67:H74)</f>
        <v>0</v>
      </c>
      <c r="I75" s="179">
        <f t="shared" ref="I75:K75" si="9">SUM(I67:I74)</f>
        <v>0</v>
      </c>
      <c r="J75" s="179">
        <f t="shared" si="9"/>
        <v>4801518.8599999994</v>
      </c>
      <c r="K75" s="179">
        <f t="shared" si="9"/>
        <v>0</v>
      </c>
    </row>
    <row r="76" spans="1:12" ht="21.6" thickBot="1" x14ac:dyDescent="0.3">
      <c r="A76" s="122" t="s">
        <v>45</v>
      </c>
      <c r="B76" s="121"/>
      <c r="C76" s="121"/>
      <c r="D76" s="131">
        <f>D75+D66+D56+D22+D8</f>
        <v>0</v>
      </c>
      <c r="E76" s="131">
        <f t="shared" ref="E76:G76" si="10">E75+E66+E56+E22+E8</f>
        <v>0</v>
      </c>
      <c r="F76" s="131">
        <f t="shared" si="10"/>
        <v>18116538.170000002</v>
      </c>
      <c r="G76" s="131">
        <f t="shared" si="10"/>
        <v>0</v>
      </c>
      <c r="H76" s="131">
        <f>H75+H66+H56+H22+H8</f>
        <v>0</v>
      </c>
      <c r="I76" s="131">
        <f t="shared" ref="I76:K76" si="11">I75+I66+I56+I22+I8</f>
        <v>0</v>
      </c>
      <c r="J76" s="131">
        <f t="shared" si="11"/>
        <v>20972359.219999999</v>
      </c>
      <c r="K76" s="131">
        <f t="shared" si="11"/>
        <v>0</v>
      </c>
    </row>
    <row r="77" spans="1:12" x14ac:dyDescent="0.3">
      <c r="H77" s="10"/>
      <c r="I77" s="10"/>
      <c r="J77" s="10"/>
    </row>
    <row r="78" spans="1:12" x14ac:dyDescent="0.3">
      <c r="D78" s="152"/>
      <c r="E78" s="152"/>
      <c r="F78" s="152"/>
      <c r="G78" s="152"/>
      <c r="J78" s="202"/>
    </row>
    <row r="79" spans="1:12" x14ac:dyDescent="0.3">
      <c r="D79" s="137"/>
      <c r="E79" s="137"/>
      <c r="F79" s="181"/>
      <c r="G79" s="137"/>
      <c r="J79" s="5"/>
    </row>
    <row r="80" spans="1:12" x14ac:dyDescent="0.3">
      <c r="D80" s="153"/>
      <c r="E80" s="153"/>
      <c r="F80" s="153"/>
      <c r="G80" s="153"/>
    </row>
    <row r="81" spans="4:10" x14ac:dyDescent="0.3">
      <c r="D81" s="153"/>
      <c r="E81" s="137"/>
      <c r="F81" s="137"/>
      <c r="G81" s="137"/>
      <c r="J81" s="10"/>
    </row>
    <row r="82" spans="4:10" x14ac:dyDescent="0.3">
      <c r="D82" s="153"/>
      <c r="E82" s="153"/>
      <c r="F82" s="153"/>
      <c r="G82" s="153"/>
    </row>
  </sheetData>
  <mergeCells count="2">
    <mergeCell ref="D1:G1"/>
    <mergeCell ref="H1:K1"/>
  </mergeCells>
  <conditionalFormatting sqref="A1">
    <cfRule type="duplicateValues" dxfId="71" priority="19"/>
    <cfRule type="duplicateValues" dxfId="70" priority="20"/>
  </conditionalFormatting>
  <conditionalFormatting sqref="A14">
    <cfRule type="duplicateValues" dxfId="69" priority="9"/>
    <cfRule type="duplicateValues" dxfId="68" priority="10"/>
  </conditionalFormatting>
  <conditionalFormatting sqref="A20">
    <cfRule type="duplicateValues" dxfId="67" priority="1"/>
    <cfRule type="duplicateValues" dxfId="66" priority="2"/>
  </conditionalFormatting>
  <conditionalFormatting sqref="A41">
    <cfRule type="duplicateValues" dxfId="65" priority="5"/>
    <cfRule type="duplicateValues" dxfId="64" priority="6"/>
  </conditionalFormatting>
  <conditionalFormatting sqref="A54">
    <cfRule type="duplicateValues" dxfId="63" priority="3"/>
    <cfRule type="duplicateValues" dxfId="62" priority="4"/>
  </conditionalFormatting>
  <conditionalFormatting sqref="A57">
    <cfRule type="duplicateValues" dxfId="61" priority="11"/>
    <cfRule type="duplicateValues" dxfId="60" priority="12"/>
  </conditionalFormatting>
  <conditionalFormatting sqref="A58:A60 A7 A23:A40 A62 A42:A53 A55">
    <cfRule type="duplicateValues" dxfId="59" priority="17"/>
    <cfRule type="duplicateValues" dxfId="58" priority="18"/>
  </conditionalFormatting>
  <conditionalFormatting sqref="A61">
    <cfRule type="duplicateValues" dxfId="57" priority="7"/>
    <cfRule type="duplicateValues" dxfId="56" priority="8"/>
  </conditionalFormatting>
  <conditionalFormatting sqref="A67:A74">
    <cfRule type="duplicateValues" dxfId="55" priority="15"/>
    <cfRule type="duplicateValues" dxfId="54" priority="16"/>
  </conditionalFormatting>
  <conditionalFormatting sqref="A75:A76 A2:A6 A8:A13 A15:A19 A56 A66 A21:A22">
    <cfRule type="duplicateValues" dxfId="53" priority="13"/>
    <cfRule type="duplicateValues" dxfId="52" priority="14"/>
  </conditionalFormatting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15C06-AA81-4FF9-BC64-3A1C59A7D754}">
  <sheetPr>
    <tabColor rgb="FFFFC000"/>
  </sheetPr>
  <dimension ref="A1:M76"/>
  <sheetViews>
    <sheetView rightToLeft="1" topLeftCell="A12" workbookViewId="0">
      <selection activeCell="A27" sqref="A27"/>
    </sheetView>
  </sheetViews>
  <sheetFormatPr defaultColWidth="30.09765625" defaultRowHeight="14.4" x14ac:dyDescent="0.3"/>
  <cols>
    <col min="1" max="1" width="30" style="32" bestFit="1" customWidth="1"/>
    <col min="2" max="2" width="11.3984375" style="32" bestFit="1" customWidth="1"/>
    <col min="3" max="3" width="11.69921875" style="32" bestFit="1" customWidth="1"/>
    <col min="4" max="4" width="16.8984375" bestFit="1" customWidth="1"/>
    <col min="5" max="5" width="15.19921875" bestFit="1" customWidth="1"/>
    <col min="6" max="6" width="16.8984375" bestFit="1" customWidth="1"/>
    <col min="7" max="7" width="19" bestFit="1" customWidth="1"/>
    <col min="8" max="9" width="15.19921875" style="3" bestFit="1" customWidth="1"/>
    <col min="10" max="10" width="16.8984375" style="3" bestFit="1" customWidth="1"/>
    <col min="11" max="11" width="19" bestFit="1" customWidth="1"/>
  </cols>
  <sheetData>
    <row r="1" spans="1:11" ht="21" x14ac:dyDescent="0.25">
      <c r="A1" s="26"/>
      <c r="B1" s="26"/>
      <c r="C1" s="26"/>
      <c r="D1" s="241">
        <v>2025</v>
      </c>
      <c r="E1" s="241"/>
      <c r="F1" s="241"/>
      <c r="G1" s="241"/>
      <c r="H1" s="242">
        <v>2024</v>
      </c>
      <c r="I1" s="242"/>
      <c r="J1" s="242"/>
      <c r="K1" s="242"/>
    </row>
    <row r="2" spans="1:11" ht="21" x14ac:dyDescent="0.25">
      <c r="A2" s="11" t="s">
        <v>0</v>
      </c>
      <c r="B2" s="23" t="s">
        <v>53</v>
      </c>
      <c r="C2" s="23" t="s">
        <v>109</v>
      </c>
      <c r="D2" s="13" t="s">
        <v>46</v>
      </c>
      <c r="E2" s="13" t="s">
        <v>47</v>
      </c>
      <c r="F2" s="13" t="s">
        <v>48</v>
      </c>
      <c r="G2" s="13" t="s">
        <v>49</v>
      </c>
      <c r="H2" s="95" t="s">
        <v>46</v>
      </c>
      <c r="I2" s="95" t="s">
        <v>47</v>
      </c>
      <c r="J2" s="95" t="s">
        <v>48</v>
      </c>
      <c r="K2" s="95" t="s">
        <v>89</v>
      </c>
    </row>
    <row r="3" spans="1:11" ht="15.6" x14ac:dyDescent="0.3">
      <c r="A3" s="26" t="s">
        <v>1</v>
      </c>
      <c r="B3" s="26" t="s">
        <v>108</v>
      </c>
      <c r="C3" s="26" t="s">
        <v>58</v>
      </c>
      <c r="D3" s="14"/>
      <c r="E3" s="14"/>
      <c r="F3" s="14"/>
      <c r="G3" s="14"/>
      <c r="H3" s="96"/>
      <c r="I3" s="96"/>
      <c r="J3" s="96"/>
      <c r="K3" s="96"/>
    </row>
    <row r="4" spans="1:11" ht="15.6" x14ac:dyDescent="0.3">
      <c r="A4" s="26" t="s">
        <v>2</v>
      </c>
      <c r="B4" s="26" t="s">
        <v>108</v>
      </c>
      <c r="C4" s="26" t="s">
        <v>58</v>
      </c>
      <c r="D4" s="14"/>
      <c r="E4" s="14"/>
      <c r="F4" s="14"/>
      <c r="G4" s="14"/>
      <c r="H4" s="96"/>
      <c r="I4" s="96"/>
      <c r="J4" s="96"/>
      <c r="K4" s="96"/>
    </row>
    <row r="5" spans="1:11" ht="15.6" x14ac:dyDescent="0.3">
      <c r="A5" s="26" t="s">
        <v>104</v>
      </c>
      <c r="B5" s="26" t="s">
        <v>108</v>
      </c>
      <c r="C5" s="26" t="s">
        <v>58</v>
      </c>
      <c r="D5" s="14"/>
      <c r="E5" s="14"/>
      <c r="F5" s="14"/>
      <c r="G5" s="14"/>
      <c r="H5" s="96"/>
      <c r="I5" s="96"/>
      <c r="J5" s="96"/>
      <c r="K5" s="96"/>
    </row>
    <row r="6" spans="1:11" ht="15.6" x14ac:dyDescent="0.3">
      <c r="A6" s="28" t="s">
        <v>105</v>
      </c>
      <c r="B6" s="26" t="s">
        <v>108</v>
      </c>
      <c r="C6" s="28" t="s">
        <v>58</v>
      </c>
      <c r="D6" s="15"/>
      <c r="E6" s="15"/>
      <c r="F6" s="15"/>
      <c r="G6" s="15"/>
      <c r="H6" s="96"/>
      <c r="I6" s="96"/>
      <c r="J6" s="96"/>
      <c r="K6" s="96"/>
    </row>
    <row r="7" spans="1:11" ht="16.2" thickBot="1" x14ac:dyDescent="0.35">
      <c r="A7" s="26" t="s">
        <v>34</v>
      </c>
      <c r="B7" s="26" t="s">
        <v>108</v>
      </c>
      <c r="C7" s="26" t="s">
        <v>58</v>
      </c>
      <c r="D7" s="14"/>
      <c r="E7" s="14"/>
      <c r="F7" s="14"/>
      <c r="G7" s="14"/>
      <c r="H7" s="96"/>
      <c r="I7" s="96"/>
      <c r="J7" s="96"/>
      <c r="K7" s="96"/>
    </row>
    <row r="8" spans="1:11" ht="21.6" thickBot="1" x14ac:dyDescent="0.45">
      <c r="A8" s="122" t="s">
        <v>3</v>
      </c>
      <c r="B8" s="121"/>
      <c r="C8" s="121"/>
      <c r="D8" s="174">
        <f>SUM(D3:D7)</f>
        <v>0</v>
      </c>
      <c r="E8" s="174">
        <f t="shared" ref="E8:G8" si="0">SUM(E3:E7)</f>
        <v>0</v>
      </c>
      <c r="F8" s="174">
        <f t="shared" si="0"/>
        <v>0</v>
      </c>
      <c r="G8" s="174">
        <f t="shared" si="0"/>
        <v>0</v>
      </c>
      <c r="H8" s="174">
        <f>SUM(H3:H7)</f>
        <v>0</v>
      </c>
      <c r="I8" s="174">
        <f t="shared" ref="I8:K8" si="1">SUM(I3:I7)</f>
        <v>0</v>
      </c>
      <c r="J8" s="174">
        <f t="shared" si="1"/>
        <v>0</v>
      </c>
      <c r="K8" s="174">
        <f t="shared" si="1"/>
        <v>0</v>
      </c>
    </row>
    <row r="9" spans="1:11" ht="15.6" x14ac:dyDescent="0.3">
      <c r="A9" s="27" t="s">
        <v>4</v>
      </c>
      <c r="B9" s="26" t="s">
        <v>108</v>
      </c>
      <c r="C9" s="27" t="s">
        <v>106</v>
      </c>
      <c r="D9" s="18"/>
      <c r="E9" s="18"/>
      <c r="F9" s="18"/>
      <c r="G9" s="18"/>
      <c r="H9" s="96"/>
      <c r="I9" s="96"/>
      <c r="J9" s="96"/>
      <c r="K9" s="96"/>
    </row>
    <row r="10" spans="1:11" ht="15.6" x14ac:dyDescent="0.3">
      <c r="A10" s="26" t="s">
        <v>5</v>
      </c>
      <c r="B10" s="26" t="s">
        <v>108</v>
      </c>
      <c r="C10" s="26" t="s">
        <v>106</v>
      </c>
      <c r="D10" s="14"/>
      <c r="E10" s="14"/>
      <c r="F10" s="14"/>
      <c r="G10" s="14"/>
      <c r="H10" s="96"/>
      <c r="I10" s="96"/>
      <c r="J10" s="96"/>
      <c r="K10" s="96"/>
    </row>
    <row r="11" spans="1:11" ht="15.6" x14ac:dyDescent="0.3">
      <c r="A11" s="26" t="s">
        <v>6</v>
      </c>
      <c r="B11" s="26" t="s">
        <v>108</v>
      </c>
      <c r="C11" s="26" t="s">
        <v>106</v>
      </c>
      <c r="D11" s="14"/>
      <c r="E11" s="14"/>
      <c r="F11" s="14"/>
      <c r="G11" s="14"/>
      <c r="H11" s="96"/>
      <c r="I11" s="96"/>
      <c r="J11" s="96"/>
      <c r="K11" s="96"/>
    </row>
    <row r="12" spans="1:11" ht="15.6" x14ac:dyDescent="0.3">
      <c r="A12" s="26" t="s">
        <v>7</v>
      </c>
      <c r="B12" s="26" t="s">
        <v>108</v>
      </c>
      <c r="C12" s="26" t="s">
        <v>106</v>
      </c>
      <c r="D12" s="14"/>
      <c r="E12" s="14"/>
      <c r="F12" s="14"/>
      <c r="G12" s="14"/>
      <c r="H12" s="96"/>
      <c r="I12" s="96"/>
      <c r="J12" s="96"/>
      <c r="K12" s="96"/>
    </row>
    <row r="13" spans="1:11" ht="15.6" x14ac:dyDescent="0.3">
      <c r="A13" s="26" t="s">
        <v>8</v>
      </c>
      <c r="B13" s="26" t="s">
        <v>108</v>
      </c>
      <c r="C13" s="26" t="s">
        <v>106</v>
      </c>
      <c r="D13" s="14"/>
      <c r="E13" s="14"/>
      <c r="F13" s="14"/>
      <c r="G13" s="14"/>
      <c r="H13" s="96"/>
      <c r="I13" s="96"/>
      <c r="J13" s="96"/>
      <c r="K13" s="96"/>
    </row>
    <row r="14" spans="1:11" ht="15.6" x14ac:dyDescent="0.3">
      <c r="A14" s="26" t="s">
        <v>9</v>
      </c>
      <c r="B14" s="26" t="s">
        <v>108</v>
      </c>
      <c r="C14" s="26" t="s">
        <v>106</v>
      </c>
      <c r="D14" s="14"/>
      <c r="E14" s="14"/>
      <c r="F14" s="14"/>
      <c r="G14" s="14"/>
      <c r="H14" s="96"/>
      <c r="I14" s="96"/>
      <c r="J14" s="96"/>
      <c r="K14" s="96"/>
    </row>
    <row r="15" spans="1:11" ht="15.6" x14ac:dyDescent="0.3">
      <c r="A15" s="26" t="s">
        <v>31</v>
      </c>
      <c r="B15" s="26" t="s">
        <v>108</v>
      </c>
      <c r="C15" s="26" t="s">
        <v>106</v>
      </c>
      <c r="D15" s="14"/>
      <c r="E15" s="14"/>
      <c r="F15" s="14"/>
      <c r="G15" s="14"/>
      <c r="H15" s="96"/>
      <c r="I15" s="96"/>
      <c r="J15" s="96"/>
      <c r="K15" s="96"/>
    </row>
    <row r="16" spans="1:11" ht="15.6" x14ac:dyDescent="0.3">
      <c r="A16" s="26" t="s">
        <v>96</v>
      </c>
      <c r="B16" s="26" t="s">
        <v>108</v>
      </c>
      <c r="C16" s="26" t="s">
        <v>106</v>
      </c>
      <c r="D16" s="14"/>
      <c r="E16" s="14"/>
      <c r="F16" s="14"/>
      <c r="G16" s="14"/>
      <c r="H16" s="96"/>
      <c r="I16" s="96"/>
      <c r="J16" s="96"/>
      <c r="K16" s="96"/>
    </row>
    <row r="17" spans="1:11" ht="15.6" x14ac:dyDescent="0.3">
      <c r="A17" s="26" t="s">
        <v>42</v>
      </c>
      <c r="B17" s="26" t="s">
        <v>108</v>
      </c>
      <c r="C17" s="26" t="s">
        <v>106</v>
      </c>
      <c r="D17" s="14"/>
      <c r="E17" s="14"/>
      <c r="F17" s="14"/>
      <c r="G17" s="14"/>
      <c r="H17" s="96"/>
      <c r="I17" s="96"/>
      <c r="J17" s="96"/>
      <c r="K17" s="96"/>
    </row>
    <row r="18" spans="1:11" ht="15.6" x14ac:dyDescent="0.3">
      <c r="A18" s="26" t="s">
        <v>43</v>
      </c>
      <c r="B18" s="26" t="s">
        <v>108</v>
      </c>
      <c r="C18" s="26" t="s">
        <v>106</v>
      </c>
      <c r="D18" s="14"/>
      <c r="E18" s="14"/>
      <c r="F18" s="14"/>
      <c r="G18" s="14"/>
      <c r="H18" s="96"/>
      <c r="I18" s="96"/>
      <c r="J18" s="96"/>
      <c r="K18" s="96"/>
    </row>
    <row r="19" spans="1:11" ht="15.6" x14ac:dyDescent="0.3">
      <c r="A19" s="26" t="s">
        <v>30</v>
      </c>
      <c r="B19" s="26" t="s">
        <v>108</v>
      </c>
      <c r="C19" s="26" t="s">
        <v>106</v>
      </c>
      <c r="D19" s="14"/>
      <c r="E19" s="14"/>
      <c r="F19" s="14"/>
      <c r="G19" s="14"/>
      <c r="H19" s="96"/>
      <c r="I19" s="96"/>
      <c r="J19" s="96"/>
      <c r="K19" s="96"/>
    </row>
    <row r="20" spans="1:11" ht="15.6" x14ac:dyDescent="0.3">
      <c r="A20" s="28" t="s">
        <v>130</v>
      </c>
      <c r="B20" s="26" t="s">
        <v>108</v>
      </c>
      <c r="C20" s="26" t="s">
        <v>106</v>
      </c>
      <c r="D20" s="15"/>
      <c r="E20" s="15"/>
      <c r="F20" s="15"/>
      <c r="G20" s="15"/>
      <c r="H20" s="96"/>
      <c r="I20" s="96"/>
      <c r="J20" s="96"/>
      <c r="K20" s="96"/>
    </row>
    <row r="21" spans="1:11" ht="16.2" thickBot="1" x14ac:dyDescent="0.35">
      <c r="A21" s="28" t="s">
        <v>38</v>
      </c>
      <c r="B21" s="26" t="s">
        <v>108</v>
      </c>
      <c r="C21" s="28" t="s">
        <v>106</v>
      </c>
      <c r="D21" s="15"/>
      <c r="E21" s="15"/>
      <c r="F21" s="15"/>
      <c r="G21" s="15"/>
      <c r="H21" s="96"/>
      <c r="I21" s="96"/>
      <c r="J21" s="96"/>
      <c r="K21" s="96"/>
    </row>
    <row r="22" spans="1:11" ht="21.6" thickBot="1" x14ac:dyDescent="0.45">
      <c r="A22" s="122" t="s">
        <v>10</v>
      </c>
      <c r="B22" s="121"/>
      <c r="C22" s="121"/>
      <c r="D22" s="174">
        <f>SUM(D9:D21)</f>
        <v>0</v>
      </c>
      <c r="E22" s="174">
        <f t="shared" ref="E22:G22" si="2">SUM(E9:E21)</f>
        <v>0</v>
      </c>
      <c r="F22" s="174">
        <f t="shared" si="2"/>
        <v>0</v>
      </c>
      <c r="G22" s="174">
        <f t="shared" si="2"/>
        <v>0</v>
      </c>
      <c r="H22" s="174">
        <f>SUM(H9:H21)</f>
        <v>0</v>
      </c>
      <c r="I22" s="174">
        <f t="shared" ref="I22:K22" si="3">SUM(I9:I21)</f>
        <v>0</v>
      </c>
      <c r="J22" s="174">
        <f t="shared" si="3"/>
        <v>0</v>
      </c>
      <c r="K22" s="174">
        <f t="shared" si="3"/>
        <v>0</v>
      </c>
    </row>
    <row r="23" spans="1:11" ht="15.6" x14ac:dyDescent="0.3">
      <c r="A23" s="27" t="s">
        <v>11</v>
      </c>
      <c r="B23" s="27" t="s">
        <v>56</v>
      </c>
      <c r="C23" s="27" t="s">
        <v>107</v>
      </c>
      <c r="D23" s="18"/>
      <c r="E23" s="18"/>
      <c r="F23" s="18"/>
      <c r="G23" s="18"/>
      <c r="H23" s="96"/>
      <c r="I23" s="96"/>
      <c r="J23" s="96"/>
      <c r="K23" s="96"/>
    </row>
    <row r="24" spans="1:11" ht="15.6" x14ac:dyDescent="0.3">
      <c r="A24" s="30" t="s">
        <v>12</v>
      </c>
      <c r="B24" s="26" t="s">
        <v>56</v>
      </c>
      <c r="C24" s="26" t="s">
        <v>107</v>
      </c>
      <c r="D24" s="14"/>
      <c r="E24" s="14"/>
      <c r="F24" s="14"/>
      <c r="G24" s="14"/>
      <c r="H24" s="96"/>
      <c r="I24" s="96"/>
      <c r="J24" s="96"/>
      <c r="K24" s="96"/>
    </row>
    <row r="25" spans="1:11" ht="15.6" x14ac:dyDescent="0.3">
      <c r="A25" s="30" t="s">
        <v>13</v>
      </c>
      <c r="B25" s="26" t="s">
        <v>56</v>
      </c>
      <c r="C25" s="26" t="s">
        <v>107</v>
      </c>
      <c r="D25" s="14"/>
      <c r="E25" s="14"/>
      <c r="F25" s="14"/>
      <c r="G25" s="14"/>
      <c r="H25" s="96"/>
      <c r="I25" s="96"/>
      <c r="J25" s="96"/>
      <c r="K25" s="96"/>
    </row>
    <row r="26" spans="1:11" ht="15.6" x14ac:dyDescent="0.3">
      <c r="A26" s="26" t="s">
        <v>14</v>
      </c>
      <c r="B26" s="26" t="s">
        <v>55</v>
      </c>
      <c r="C26" s="26" t="s">
        <v>107</v>
      </c>
      <c r="D26" s="14"/>
      <c r="E26" s="14"/>
      <c r="F26" s="14"/>
      <c r="G26" s="14"/>
      <c r="H26" s="96"/>
      <c r="I26" s="96"/>
      <c r="J26" s="96"/>
      <c r="K26" s="96"/>
    </row>
    <row r="27" spans="1:11" ht="15.6" x14ac:dyDescent="0.3">
      <c r="A27" s="30" t="s">
        <v>15</v>
      </c>
      <c r="B27" s="26" t="s">
        <v>56</v>
      </c>
      <c r="C27" s="26" t="s">
        <v>107</v>
      </c>
      <c r="D27" s="14"/>
      <c r="E27" s="14"/>
      <c r="F27" s="14"/>
      <c r="G27" s="14"/>
      <c r="H27" s="96"/>
      <c r="I27" s="96"/>
      <c r="J27" s="96"/>
      <c r="K27" s="96"/>
    </row>
    <row r="28" spans="1:11" ht="15.6" x14ac:dyDescent="0.3">
      <c r="A28" s="30" t="s">
        <v>17</v>
      </c>
      <c r="B28" s="26" t="s">
        <v>56</v>
      </c>
      <c r="C28" s="26" t="s">
        <v>107</v>
      </c>
      <c r="D28" s="14"/>
      <c r="E28" s="14"/>
      <c r="F28" s="14"/>
      <c r="G28" s="14"/>
      <c r="H28" s="96"/>
      <c r="I28" s="96"/>
      <c r="J28" s="96"/>
      <c r="K28" s="96"/>
    </row>
    <row r="29" spans="1:11" ht="15.6" x14ac:dyDescent="0.3">
      <c r="A29" s="30" t="s">
        <v>18</v>
      </c>
      <c r="B29" s="26" t="s">
        <v>56</v>
      </c>
      <c r="C29" s="26" t="s">
        <v>107</v>
      </c>
      <c r="D29" s="14"/>
      <c r="E29" s="14"/>
      <c r="F29" s="14"/>
      <c r="G29" s="14"/>
      <c r="H29" s="96"/>
      <c r="I29" s="96"/>
      <c r="J29" s="96"/>
      <c r="K29" s="96"/>
    </row>
    <row r="30" spans="1:11" ht="15.6" x14ac:dyDescent="0.3">
      <c r="A30" s="26" t="s">
        <v>19</v>
      </c>
      <c r="B30" s="26" t="s">
        <v>56</v>
      </c>
      <c r="C30" s="26" t="s">
        <v>107</v>
      </c>
      <c r="D30" s="14"/>
      <c r="E30" s="14"/>
      <c r="F30" s="14"/>
      <c r="G30" s="14"/>
      <c r="H30" s="96"/>
      <c r="I30" s="96"/>
      <c r="J30" s="96"/>
      <c r="K30" s="96"/>
    </row>
    <row r="31" spans="1:11" ht="15.6" x14ac:dyDescent="0.3">
      <c r="A31" s="26" t="s">
        <v>20</v>
      </c>
      <c r="B31" s="26" t="s">
        <v>56</v>
      </c>
      <c r="C31" s="26" t="s">
        <v>107</v>
      </c>
      <c r="D31" s="14"/>
      <c r="E31" s="14"/>
      <c r="F31" s="14"/>
      <c r="G31" s="14"/>
      <c r="H31" s="96"/>
      <c r="I31" s="96"/>
      <c r="J31" s="96"/>
      <c r="K31" s="96"/>
    </row>
    <row r="32" spans="1:11" ht="15.6" x14ac:dyDescent="0.3">
      <c r="A32" s="26" t="s">
        <v>21</v>
      </c>
      <c r="B32" s="26" t="s">
        <v>56</v>
      </c>
      <c r="C32" s="26" t="s">
        <v>107</v>
      </c>
      <c r="D32" s="14"/>
      <c r="E32" s="14"/>
      <c r="F32" s="14"/>
      <c r="G32" s="14"/>
      <c r="H32" s="96"/>
      <c r="I32" s="96"/>
      <c r="J32" s="96"/>
      <c r="K32" s="96"/>
    </row>
    <row r="33" spans="1:12" ht="15.6" x14ac:dyDescent="0.3">
      <c r="A33" s="26" t="s">
        <v>22</v>
      </c>
      <c r="B33" s="26" t="s">
        <v>56</v>
      </c>
      <c r="C33" s="26" t="s">
        <v>107</v>
      </c>
      <c r="D33" s="14"/>
      <c r="E33" s="14"/>
      <c r="F33" s="14"/>
      <c r="G33" s="14"/>
      <c r="H33" s="96"/>
      <c r="I33" s="96"/>
      <c r="J33" s="96"/>
      <c r="K33" s="96"/>
    </row>
    <row r="34" spans="1:12" ht="15.6" x14ac:dyDescent="0.3">
      <c r="A34" s="26" t="s">
        <v>23</v>
      </c>
      <c r="B34" s="26" t="s">
        <v>56</v>
      </c>
      <c r="C34" s="26" t="s">
        <v>107</v>
      </c>
      <c r="D34" s="14"/>
      <c r="E34" s="14"/>
      <c r="F34" s="14"/>
      <c r="G34" s="14"/>
      <c r="H34" s="96"/>
      <c r="I34" s="96"/>
      <c r="J34" s="96"/>
      <c r="K34" s="96"/>
    </row>
    <row r="35" spans="1:12" ht="15.6" x14ac:dyDescent="0.3">
      <c r="A35" s="26" t="s">
        <v>24</v>
      </c>
      <c r="B35" s="26" t="s">
        <v>56</v>
      </c>
      <c r="C35" s="26" t="s">
        <v>107</v>
      </c>
      <c r="D35" s="14"/>
      <c r="E35" s="14"/>
      <c r="F35" s="14"/>
      <c r="G35" s="14"/>
      <c r="H35" s="96"/>
      <c r="I35" s="96"/>
      <c r="J35" s="96"/>
      <c r="K35" s="96"/>
    </row>
    <row r="36" spans="1:12" ht="15.6" x14ac:dyDescent="0.3">
      <c r="A36" s="30" t="s">
        <v>25</v>
      </c>
      <c r="B36" s="26" t="s">
        <v>56</v>
      </c>
      <c r="C36" s="26" t="s">
        <v>107</v>
      </c>
      <c r="D36" s="14"/>
      <c r="E36" s="14"/>
      <c r="F36" s="14"/>
      <c r="G36" s="14"/>
      <c r="H36" s="96"/>
      <c r="I36" s="96"/>
      <c r="J36" s="96"/>
      <c r="K36" s="96"/>
    </row>
    <row r="37" spans="1:12" ht="15.6" x14ac:dyDescent="0.3">
      <c r="A37" s="26" t="s">
        <v>26</v>
      </c>
      <c r="B37" s="26" t="s">
        <v>56</v>
      </c>
      <c r="C37" s="26" t="s">
        <v>107</v>
      </c>
      <c r="D37" s="14"/>
      <c r="E37" s="14"/>
      <c r="F37" s="14"/>
      <c r="G37" s="14"/>
      <c r="H37" s="96"/>
      <c r="I37" s="96"/>
      <c r="J37" s="96"/>
      <c r="K37" s="96"/>
    </row>
    <row r="38" spans="1:12" ht="15.6" x14ac:dyDescent="0.3">
      <c r="A38" s="26" t="s">
        <v>27</v>
      </c>
      <c r="B38" s="26" t="s">
        <v>56</v>
      </c>
      <c r="C38" s="26" t="s">
        <v>107</v>
      </c>
      <c r="D38" s="14"/>
      <c r="E38" s="14"/>
      <c r="F38" s="14"/>
      <c r="G38" s="14"/>
      <c r="H38" s="96"/>
      <c r="I38" s="96"/>
      <c r="J38" s="96"/>
      <c r="K38" s="96"/>
    </row>
    <row r="39" spans="1:12" ht="15.6" x14ac:dyDescent="0.3">
      <c r="A39" s="26" t="s">
        <v>28</v>
      </c>
      <c r="B39" s="26" t="s">
        <v>56</v>
      </c>
      <c r="C39" s="26" t="s">
        <v>107</v>
      </c>
      <c r="D39" s="14"/>
      <c r="E39" s="14"/>
      <c r="F39" s="14"/>
      <c r="G39" s="14"/>
      <c r="H39" s="96"/>
      <c r="I39" s="96"/>
      <c r="J39" s="96"/>
      <c r="K39" s="96"/>
    </row>
    <row r="40" spans="1:12" ht="15.6" x14ac:dyDescent="0.3">
      <c r="A40" s="26" t="s">
        <v>29</v>
      </c>
      <c r="B40" s="26" t="s">
        <v>56</v>
      </c>
      <c r="C40" s="26" t="s">
        <v>107</v>
      </c>
      <c r="D40" s="14"/>
      <c r="E40" s="14"/>
      <c r="F40" s="14"/>
      <c r="G40" s="14"/>
      <c r="H40" s="96"/>
      <c r="I40" s="96"/>
      <c r="J40" s="96"/>
      <c r="K40" s="96"/>
    </row>
    <row r="41" spans="1:12" ht="15.6" x14ac:dyDescent="0.3">
      <c r="A41" s="26" t="s">
        <v>98</v>
      </c>
      <c r="B41" s="26" t="s">
        <v>55</v>
      </c>
      <c r="C41" s="26" t="s">
        <v>107</v>
      </c>
      <c r="D41" s="14"/>
      <c r="E41" s="14"/>
      <c r="F41" s="14"/>
      <c r="G41" s="14"/>
      <c r="H41" s="96"/>
      <c r="I41" s="96"/>
      <c r="J41" s="96"/>
      <c r="K41" s="96"/>
    </row>
    <row r="42" spans="1:12" ht="15.6" x14ac:dyDescent="0.3">
      <c r="A42" s="26" t="s">
        <v>32</v>
      </c>
      <c r="B42" s="26" t="s">
        <v>55</v>
      </c>
      <c r="C42" s="26" t="s">
        <v>107</v>
      </c>
      <c r="D42" s="14"/>
      <c r="E42" s="14"/>
      <c r="F42" s="14"/>
      <c r="G42" s="14"/>
      <c r="H42" s="96"/>
      <c r="I42" s="96"/>
      <c r="J42" s="96"/>
      <c r="K42" s="96"/>
    </row>
    <row r="43" spans="1:12" ht="15.6" x14ac:dyDescent="0.3">
      <c r="A43" s="30" t="s">
        <v>95</v>
      </c>
      <c r="B43" s="26" t="s">
        <v>56</v>
      </c>
      <c r="C43" s="26" t="s">
        <v>107</v>
      </c>
      <c r="D43" s="14"/>
      <c r="E43" s="14"/>
      <c r="F43" s="14"/>
      <c r="G43" s="14"/>
      <c r="H43" s="96"/>
      <c r="I43" s="96"/>
      <c r="J43" s="96"/>
      <c r="K43" s="96"/>
    </row>
    <row r="44" spans="1:12" ht="15.6" x14ac:dyDescent="0.3">
      <c r="A44" s="26" t="s">
        <v>83</v>
      </c>
      <c r="B44" s="26" t="s">
        <v>56</v>
      </c>
      <c r="C44" s="26" t="s">
        <v>107</v>
      </c>
      <c r="D44" s="14"/>
      <c r="E44" s="14"/>
      <c r="F44" s="14"/>
      <c r="G44" s="14"/>
      <c r="H44" s="96"/>
      <c r="I44" s="96"/>
      <c r="J44" s="96"/>
      <c r="K44" s="96"/>
    </row>
    <row r="45" spans="1:12" ht="15.6" x14ac:dyDescent="0.3">
      <c r="A45" s="26" t="s">
        <v>82</v>
      </c>
      <c r="B45" s="26" t="s">
        <v>56</v>
      </c>
      <c r="C45" s="26" t="s">
        <v>107</v>
      </c>
      <c r="D45" s="14"/>
      <c r="E45" s="14"/>
      <c r="F45" s="14"/>
      <c r="G45" s="14"/>
      <c r="H45" s="96"/>
      <c r="I45" s="96"/>
      <c r="J45" s="96"/>
      <c r="K45" s="96"/>
    </row>
    <row r="46" spans="1:12" ht="15.6" x14ac:dyDescent="0.3">
      <c r="A46" s="26" t="s">
        <v>36</v>
      </c>
      <c r="B46" s="26" t="s">
        <v>55</v>
      </c>
      <c r="C46" s="26" t="s">
        <v>107</v>
      </c>
      <c r="D46" s="14"/>
      <c r="E46" s="14"/>
      <c r="F46" s="14"/>
      <c r="G46" s="14"/>
      <c r="H46" s="96"/>
      <c r="I46" s="96"/>
      <c r="J46" s="96"/>
      <c r="K46" s="96"/>
    </row>
    <row r="47" spans="1:12" ht="15.6" x14ac:dyDescent="0.3">
      <c r="A47" s="26" t="s">
        <v>94</v>
      </c>
      <c r="B47" s="26" t="s">
        <v>55</v>
      </c>
      <c r="C47" s="26" t="s">
        <v>107</v>
      </c>
      <c r="D47" s="14"/>
      <c r="E47" s="14"/>
      <c r="F47" s="14"/>
      <c r="G47" s="14"/>
      <c r="H47" s="96"/>
      <c r="I47" s="96"/>
      <c r="J47" s="96"/>
      <c r="K47" s="96"/>
      <c r="L47" s="138"/>
    </row>
    <row r="48" spans="1:12" ht="15.6" x14ac:dyDescent="0.3">
      <c r="A48" s="26" t="s">
        <v>85</v>
      </c>
      <c r="B48" s="26" t="s">
        <v>56</v>
      </c>
      <c r="C48" s="26" t="s">
        <v>107</v>
      </c>
      <c r="D48" s="14"/>
      <c r="E48" s="14"/>
      <c r="F48" s="14"/>
      <c r="G48" s="14"/>
      <c r="H48" s="96"/>
      <c r="I48" s="96"/>
      <c r="J48" s="96"/>
      <c r="K48" s="96"/>
    </row>
    <row r="49" spans="1:13" ht="15.6" x14ac:dyDescent="0.3">
      <c r="A49" s="26" t="s">
        <v>87</v>
      </c>
      <c r="B49" s="26" t="s">
        <v>56</v>
      </c>
      <c r="C49" s="26" t="s">
        <v>107</v>
      </c>
      <c r="D49" s="14"/>
      <c r="E49" s="14"/>
      <c r="F49" s="14"/>
      <c r="G49" s="14"/>
      <c r="H49" s="96"/>
      <c r="I49" s="96"/>
      <c r="J49" s="96"/>
      <c r="K49" s="96"/>
    </row>
    <row r="50" spans="1:13" ht="15.6" x14ac:dyDescent="0.3">
      <c r="A50" s="26" t="s">
        <v>97</v>
      </c>
      <c r="B50" s="26" t="s">
        <v>56</v>
      </c>
      <c r="C50" s="26" t="s">
        <v>107</v>
      </c>
      <c r="D50" s="14"/>
      <c r="E50" s="14"/>
      <c r="F50" s="14"/>
      <c r="G50" s="14"/>
      <c r="H50" s="96"/>
      <c r="I50" s="96"/>
      <c r="J50" s="96"/>
      <c r="K50" s="96"/>
    </row>
    <row r="51" spans="1:13" ht="15.6" x14ac:dyDescent="0.3">
      <c r="A51" s="26" t="s">
        <v>39</v>
      </c>
      <c r="B51" s="26" t="s">
        <v>56</v>
      </c>
      <c r="C51" s="26" t="s">
        <v>107</v>
      </c>
      <c r="D51" s="14"/>
      <c r="E51" s="14"/>
      <c r="F51" s="14"/>
      <c r="G51" s="14"/>
      <c r="H51" s="96"/>
      <c r="I51" s="96"/>
      <c r="J51" s="96"/>
      <c r="K51" s="96"/>
    </row>
    <row r="52" spans="1:13" ht="15.6" x14ac:dyDescent="0.3">
      <c r="A52" s="26" t="s">
        <v>91</v>
      </c>
      <c r="B52" s="26" t="s">
        <v>56</v>
      </c>
      <c r="C52" s="26" t="s">
        <v>107</v>
      </c>
      <c r="D52" s="14"/>
      <c r="E52" s="14"/>
      <c r="F52" s="14"/>
      <c r="G52" s="14"/>
      <c r="H52" s="96"/>
      <c r="I52" s="96"/>
      <c r="J52" s="96"/>
      <c r="K52" s="96"/>
    </row>
    <row r="53" spans="1:13" ht="15.6" x14ac:dyDescent="0.3">
      <c r="A53" s="26" t="s">
        <v>41</v>
      </c>
      <c r="B53" s="26" t="s">
        <v>56</v>
      </c>
      <c r="C53" s="26" t="s">
        <v>107</v>
      </c>
      <c r="D53" s="14"/>
      <c r="E53" s="14"/>
      <c r="F53" s="14"/>
      <c r="G53" s="14"/>
      <c r="H53" s="96"/>
      <c r="I53" s="96"/>
      <c r="J53" s="96"/>
      <c r="K53" s="96"/>
    </row>
    <row r="54" spans="1:13" ht="15.6" x14ac:dyDescent="0.3">
      <c r="A54" s="26" t="s">
        <v>129</v>
      </c>
      <c r="B54" s="26" t="s">
        <v>108</v>
      </c>
      <c r="C54" s="27" t="s">
        <v>107</v>
      </c>
      <c r="D54" s="15"/>
      <c r="E54" s="15"/>
      <c r="F54" s="15"/>
      <c r="G54" s="15"/>
      <c r="H54" s="96"/>
      <c r="I54" s="96"/>
      <c r="J54" s="96"/>
      <c r="K54" s="96"/>
    </row>
    <row r="55" spans="1:13" ht="16.2" thickBot="1" x14ac:dyDescent="0.35">
      <c r="A55" s="28" t="s">
        <v>88</v>
      </c>
      <c r="B55" s="28" t="s">
        <v>56</v>
      </c>
      <c r="C55" s="28" t="s">
        <v>107</v>
      </c>
      <c r="D55" s="15"/>
      <c r="E55" s="15"/>
      <c r="F55" s="15"/>
      <c r="G55" s="15"/>
      <c r="H55" s="96"/>
      <c r="I55" s="96"/>
      <c r="J55" s="96"/>
      <c r="K55" s="96"/>
    </row>
    <row r="56" spans="1:13" ht="21.6" thickBot="1" x14ac:dyDescent="0.45">
      <c r="A56" s="123" t="s">
        <v>115</v>
      </c>
      <c r="B56" s="121"/>
      <c r="C56" s="121"/>
      <c r="D56" s="174">
        <f>SUM(D23:D55)</f>
        <v>0</v>
      </c>
      <c r="E56" s="174">
        <f t="shared" ref="E56:G56" si="4">SUM(E23:E55)</f>
        <v>0</v>
      </c>
      <c r="F56" s="174">
        <f t="shared" si="4"/>
        <v>0</v>
      </c>
      <c r="G56" s="174">
        <f t="shared" si="4"/>
        <v>0</v>
      </c>
      <c r="H56" s="174">
        <f>SUM(H23:H55)</f>
        <v>0</v>
      </c>
      <c r="I56" s="174">
        <f t="shared" ref="I56:K56" si="5">SUM(I23:I55)</f>
        <v>0</v>
      </c>
      <c r="J56" s="174">
        <f t="shared" si="5"/>
        <v>0</v>
      </c>
      <c r="K56" s="174">
        <f t="shared" si="5"/>
        <v>0</v>
      </c>
    </row>
    <row r="57" spans="1:13" ht="15.6" x14ac:dyDescent="0.3">
      <c r="A57" s="30" t="s">
        <v>33</v>
      </c>
      <c r="B57" s="26" t="s">
        <v>114</v>
      </c>
      <c r="C57" s="26" t="s">
        <v>107</v>
      </c>
      <c r="D57" s="14"/>
      <c r="E57" s="14"/>
      <c r="F57" s="14"/>
      <c r="G57" s="14"/>
      <c r="H57" s="96"/>
      <c r="I57" s="96"/>
      <c r="J57" s="96"/>
      <c r="K57" s="96"/>
    </row>
    <row r="58" spans="1:13" ht="15.6" x14ac:dyDescent="0.3">
      <c r="A58" s="26" t="s">
        <v>84</v>
      </c>
      <c r="B58" s="26" t="s">
        <v>114</v>
      </c>
      <c r="C58" s="26" t="s">
        <v>107</v>
      </c>
      <c r="D58" s="14"/>
      <c r="E58" s="14"/>
      <c r="F58" s="14"/>
      <c r="G58" s="14"/>
      <c r="H58" s="96"/>
      <c r="I58" s="96"/>
      <c r="J58" s="96"/>
      <c r="K58" s="96"/>
    </row>
    <row r="59" spans="1:13" ht="15.6" x14ac:dyDescent="0.3">
      <c r="A59" s="26" t="s">
        <v>37</v>
      </c>
      <c r="B59" s="26" t="s">
        <v>114</v>
      </c>
      <c r="C59" s="26" t="s">
        <v>107</v>
      </c>
      <c r="D59" s="14"/>
      <c r="E59" s="14"/>
      <c r="F59" s="14"/>
      <c r="G59" s="14"/>
      <c r="H59" s="96"/>
      <c r="I59" s="96"/>
      <c r="J59" s="96"/>
      <c r="K59" s="96"/>
      <c r="M59" s="133"/>
    </row>
    <row r="60" spans="1:13" ht="15.6" x14ac:dyDescent="0.3">
      <c r="A60" s="26" t="s">
        <v>35</v>
      </c>
      <c r="B60" s="26" t="s">
        <v>114</v>
      </c>
      <c r="C60" s="26" t="s">
        <v>107</v>
      </c>
      <c r="D60" s="14"/>
      <c r="E60" s="14"/>
      <c r="F60" s="14"/>
      <c r="G60" s="14"/>
      <c r="H60" s="96"/>
      <c r="I60" s="96"/>
      <c r="J60" s="96"/>
      <c r="K60" s="96"/>
      <c r="M60" s="133"/>
    </row>
    <row r="61" spans="1:13" ht="15.6" x14ac:dyDescent="0.3">
      <c r="A61" s="27" t="s">
        <v>86</v>
      </c>
      <c r="B61" s="27" t="s">
        <v>114</v>
      </c>
      <c r="C61" s="27" t="s">
        <v>107</v>
      </c>
      <c r="D61" s="14"/>
      <c r="E61" s="14"/>
      <c r="F61" s="14"/>
      <c r="G61" s="14"/>
      <c r="H61" s="96"/>
      <c r="I61" s="96"/>
      <c r="J61" s="96"/>
      <c r="K61" s="96"/>
      <c r="M61" s="133"/>
    </row>
    <row r="62" spans="1:13" ht="15.6" x14ac:dyDescent="0.3">
      <c r="A62" s="30" t="s">
        <v>16</v>
      </c>
      <c r="B62" s="26" t="s">
        <v>114</v>
      </c>
      <c r="C62" s="26" t="s">
        <v>107</v>
      </c>
      <c r="D62" s="14"/>
      <c r="E62" s="14"/>
      <c r="F62" s="14"/>
      <c r="G62" s="14"/>
      <c r="H62" s="96"/>
      <c r="I62" s="96"/>
      <c r="J62" s="96"/>
      <c r="K62" s="96"/>
    </row>
    <row r="63" spans="1:13" ht="15.6" x14ac:dyDescent="0.3">
      <c r="A63" s="194" t="s">
        <v>128</v>
      </c>
      <c r="B63" s="26" t="s">
        <v>114</v>
      </c>
      <c r="C63" s="27" t="s">
        <v>107</v>
      </c>
      <c r="D63" s="14"/>
      <c r="E63" s="14"/>
      <c r="F63" s="14"/>
      <c r="G63" s="14"/>
      <c r="H63" s="96"/>
      <c r="I63" s="96"/>
      <c r="J63" s="96"/>
      <c r="K63" s="96"/>
    </row>
    <row r="64" spans="1:13" ht="15.6" x14ac:dyDescent="0.3">
      <c r="A64" s="199" t="s">
        <v>131</v>
      </c>
      <c r="B64" s="26" t="s">
        <v>114</v>
      </c>
      <c r="C64" s="27" t="s">
        <v>107</v>
      </c>
      <c r="D64" s="14"/>
      <c r="E64" s="14"/>
      <c r="F64" s="14"/>
      <c r="G64" s="14"/>
      <c r="H64" s="96"/>
      <c r="I64" s="96"/>
      <c r="J64" s="96"/>
      <c r="K64" s="96"/>
    </row>
    <row r="65" spans="1:12" ht="16.2" thickBot="1" x14ac:dyDescent="0.35">
      <c r="A65" s="117" t="s">
        <v>99</v>
      </c>
      <c r="B65" s="26" t="s">
        <v>114</v>
      </c>
      <c r="C65" s="26" t="s">
        <v>107</v>
      </c>
      <c r="D65" s="14"/>
      <c r="E65" s="14"/>
      <c r="F65" s="14"/>
      <c r="G65" s="14"/>
      <c r="H65" s="96"/>
      <c r="I65" s="96"/>
      <c r="J65" s="96"/>
      <c r="K65" s="96"/>
    </row>
    <row r="66" spans="1:12" ht="21.6" thickBot="1" x14ac:dyDescent="0.45">
      <c r="A66" s="123" t="s">
        <v>116</v>
      </c>
      <c r="B66" s="121"/>
      <c r="C66" s="121"/>
      <c r="D66" s="174">
        <f>SUM(D57:D65)</f>
        <v>0</v>
      </c>
      <c r="E66" s="174">
        <f t="shared" ref="E66:G66" si="6">SUM(E57:E65)</f>
        <v>0</v>
      </c>
      <c r="F66" s="174">
        <f t="shared" si="6"/>
        <v>0</v>
      </c>
      <c r="G66" s="174">
        <f t="shared" si="6"/>
        <v>0</v>
      </c>
      <c r="H66" s="174">
        <f>SUM(H57:H65)</f>
        <v>0</v>
      </c>
      <c r="I66" s="174">
        <f t="shared" ref="I66:K66" si="7">SUM(I57:I65)</f>
        <v>0</v>
      </c>
      <c r="J66" s="174">
        <f t="shared" si="7"/>
        <v>0</v>
      </c>
      <c r="K66" s="174">
        <f t="shared" si="7"/>
        <v>0</v>
      </c>
    </row>
    <row r="67" spans="1:12" ht="15.6" x14ac:dyDescent="0.3">
      <c r="A67" s="27" t="s">
        <v>77</v>
      </c>
      <c r="B67" s="26" t="s">
        <v>108</v>
      </c>
      <c r="C67" s="27" t="s">
        <v>102</v>
      </c>
      <c r="D67" s="18"/>
      <c r="E67" s="18"/>
      <c r="F67" s="18"/>
      <c r="G67" s="18"/>
      <c r="H67" s="96"/>
      <c r="I67" s="96"/>
      <c r="J67" s="96"/>
      <c r="K67" s="96"/>
    </row>
    <row r="68" spans="1:12" ht="15.6" x14ac:dyDescent="0.3">
      <c r="A68" s="30" t="s">
        <v>40</v>
      </c>
      <c r="B68" s="26" t="s">
        <v>56</v>
      </c>
      <c r="C68" s="26" t="s">
        <v>103</v>
      </c>
      <c r="D68" s="14"/>
      <c r="E68" s="14"/>
      <c r="F68" s="14"/>
      <c r="G68" s="14"/>
      <c r="H68" s="96"/>
      <c r="I68" s="96"/>
      <c r="J68" s="96"/>
      <c r="K68" s="96"/>
    </row>
    <row r="69" spans="1:12" ht="15.6" x14ac:dyDescent="0.3">
      <c r="A69" s="26" t="s">
        <v>90</v>
      </c>
      <c r="B69" s="26" t="s">
        <v>108</v>
      </c>
      <c r="C69" s="26" t="s">
        <v>103</v>
      </c>
      <c r="D69" s="14"/>
      <c r="E69" s="14"/>
      <c r="F69" s="14"/>
      <c r="G69" s="14"/>
      <c r="H69" s="96"/>
      <c r="I69" s="96"/>
      <c r="J69" s="96"/>
      <c r="K69" s="96"/>
    </row>
    <row r="70" spans="1:12" ht="15.6" x14ac:dyDescent="0.3">
      <c r="A70" s="26" t="s">
        <v>92</v>
      </c>
      <c r="B70" s="26" t="s">
        <v>56</v>
      </c>
      <c r="C70" s="26" t="s">
        <v>103</v>
      </c>
      <c r="D70" s="14"/>
      <c r="E70" s="14"/>
      <c r="F70" s="14"/>
      <c r="G70" s="14"/>
      <c r="H70" s="96"/>
      <c r="I70" s="96"/>
      <c r="J70" s="96"/>
      <c r="K70" s="96"/>
    </row>
    <row r="71" spans="1:12" ht="15.6" x14ac:dyDescent="0.3">
      <c r="A71" s="26" t="s">
        <v>93</v>
      </c>
      <c r="B71" s="26" t="s">
        <v>56</v>
      </c>
      <c r="C71" s="26" t="s">
        <v>103</v>
      </c>
      <c r="D71" s="14"/>
      <c r="E71" s="14"/>
      <c r="F71" s="14"/>
      <c r="G71" s="14"/>
      <c r="H71" s="96"/>
      <c r="I71" s="96"/>
      <c r="J71" s="96"/>
      <c r="K71" s="96"/>
    </row>
    <row r="72" spans="1:12" ht="15.6" x14ac:dyDescent="0.3">
      <c r="A72" s="26" t="s">
        <v>100</v>
      </c>
      <c r="B72" s="26" t="s">
        <v>56</v>
      </c>
      <c r="C72" s="26" t="s">
        <v>103</v>
      </c>
      <c r="D72" s="14"/>
      <c r="E72" s="14"/>
      <c r="F72" s="14"/>
      <c r="G72" s="14"/>
      <c r="H72" s="96"/>
      <c r="I72" s="96"/>
      <c r="J72" s="96"/>
      <c r="K72" s="96"/>
      <c r="L72" s="138"/>
    </row>
    <row r="73" spans="1:12" ht="15.6" x14ac:dyDescent="0.3">
      <c r="A73" s="118" t="s">
        <v>101</v>
      </c>
      <c r="B73" s="26" t="s">
        <v>56</v>
      </c>
      <c r="C73" s="26" t="s">
        <v>103</v>
      </c>
      <c r="D73" s="14"/>
      <c r="E73" s="14"/>
      <c r="F73" s="14"/>
      <c r="G73" s="14"/>
      <c r="H73" s="96"/>
      <c r="I73" s="96"/>
      <c r="J73" s="96"/>
      <c r="K73" s="96"/>
    </row>
    <row r="74" spans="1:12" ht="15.6" x14ac:dyDescent="0.3">
      <c r="A74" s="26" t="s">
        <v>81</v>
      </c>
      <c r="B74" s="26" t="s">
        <v>56</v>
      </c>
      <c r="C74" s="26" t="s">
        <v>103</v>
      </c>
      <c r="D74" s="14"/>
      <c r="E74" s="14"/>
      <c r="F74" s="14"/>
      <c r="G74" s="14"/>
      <c r="H74" s="96"/>
      <c r="I74" s="96"/>
      <c r="J74" s="96"/>
      <c r="K74" s="96"/>
    </row>
    <row r="75" spans="1:12" ht="21.6" thickBot="1" x14ac:dyDescent="0.3">
      <c r="A75" s="177" t="s">
        <v>44</v>
      </c>
      <c r="B75" s="178"/>
      <c r="C75" s="178"/>
      <c r="D75" s="179">
        <f>SUM(D67:D74)</f>
        <v>0</v>
      </c>
      <c r="E75" s="179">
        <f t="shared" ref="E75:G75" si="8">SUM(E67:E74)</f>
        <v>0</v>
      </c>
      <c r="F75" s="179">
        <f t="shared" si="8"/>
        <v>0</v>
      </c>
      <c r="G75" s="179">
        <f t="shared" si="8"/>
        <v>0</v>
      </c>
      <c r="H75" s="179">
        <f>SUM(H67:H74)</f>
        <v>0</v>
      </c>
      <c r="I75" s="179">
        <f t="shared" ref="I75:K75" si="9">SUM(I67:I74)</f>
        <v>0</v>
      </c>
      <c r="J75" s="179">
        <f t="shared" si="9"/>
        <v>0</v>
      </c>
      <c r="K75" s="179">
        <f t="shared" si="9"/>
        <v>0</v>
      </c>
    </row>
    <row r="76" spans="1:12" ht="21.6" thickBot="1" x14ac:dyDescent="0.3">
      <c r="A76" s="122" t="s">
        <v>45</v>
      </c>
      <c r="B76" s="121"/>
      <c r="C76" s="121"/>
      <c r="D76" s="131">
        <f>D75+D66+D56+D22+D8</f>
        <v>0</v>
      </c>
      <c r="E76" s="131">
        <f t="shared" ref="E76:G76" si="10">E75+E66+E56+E22+E8</f>
        <v>0</v>
      </c>
      <c r="F76" s="131">
        <f t="shared" si="10"/>
        <v>0</v>
      </c>
      <c r="G76" s="131">
        <f t="shared" si="10"/>
        <v>0</v>
      </c>
      <c r="H76" s="131">
        <f>H75+H66+H56+H22+H8</f>
        <v>0</v>
      </c>
      <c r="I76" s="131">
        <f t="shared" ref="I76:K76" si="11">I75+I66+I56+I22+I8</f>
        <v>0</v>
      </c>
      <c r="J76" s="131">
        <f t="shared" si="11"/>
        <v>0</v>
      </c>
      <c r="K76" s="131">
        <f t="shared" si="11"/>
        <v>0</v>
      </c>
    </row>
  </sheetData>
  <mergeCells count="2">
    <mergeCell ref="D1:G1"/>
    <mergeCell ref="H1:K1"/>
  </mergeCells>
  <conditionalFormatting sqref="A1">
    <cfRule type="duplicateValues" dxfId="51" priority="19"/>
    <cfRule type="duplicateValues" dxfId="50" priority="20"/>
  </conditionalFormatting>
  <conditionalFormatting sqref="A14">
    <cfRule type="duplicateValues" dxfId="49" priority="9"/>
    <cfRule type="duplicateValues" dxfId="48" priority="10"/>
  </conditionalFormatting>
  <conditionalFormatting sqref="A20">
    <cfRule type="duplicateValues" dxfId="47" priority="1"/>
    <cfRule type="duplicateValues" dxfId="46" priority="2"/>
  </conditionalFormatting>
  <conditionalFormatting sqref="A41">
    <cfRule type="duplicateValues" dxfId="45" priority="5"/>
    <cfRule type="duplicateValues" dxfId="44" priority="6"/>
  </conditionalFormatting>
  <conditionalFormatting sqref="A54">
    <cfRule type="duplicateValues" dxfId="43" priority="3"/>
    <cfRule type="duplicateValues" dxfId="42" priority="4"/>
  </conditionalFormatting>
  <conditionalFormatting sqref="A57">
    <cfRule type="duplicateValues" dxfId="41" priority="11"/>
    <cfRule type="duplicateValues" dxfId="40" priority="12"/>
  </conditionalFormatting>
  <conditionalFormatting sqref="A58:A60 A7 A23:A40 A62 A42:A53 A55">
    <cfRule type="duplicateValues" dxfId="39" priority="17"/>
    <cfRule type="duplicateValues" dxfId="38" priority="18"/>
  </conditionalFormatting>
  <conditionalFormatting sqref="A61">
    <cfRule type="duplicateValues" dxfId="37" priority="7"/>
    <cfRule type="duplicateValues" dxfId="36" priority="8"/>
  </conditionalFormatting>
  <conditionalFormatting sqref="A67:A74">
    <cfRule type="duplicateValues" dxfId="35" priority="15"/>
    <cfRule type="duplicateValues" dxfId="34" priority="16"/>
  </conditionalFormatting>
  <conditionalFormatting sqref="A75:A76 A2:A6 A8:A13 A15:A19 A56 A66 A21:A22">
    <cfRule type="duplicateValues" dxfId="33" priority="13"/>
    <cfRule type="duplicateValues" dxfId="32" priority="14"/>
  </conditionalFormatting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396A7-850F-4ED5-BFFE-F950115F0DB8}">
  <sheetPr>
    <tabColor rgb="FFFFC000"/>
  </sheetPr>
  <dimension ref="A1:M82"/>
  <sheetViews>
    <sheetView rightToLeft="1" workbookViewId="0">
      <selection activeCell="A27" sqref="A27"/>
    </sheetView>
  </sheetViews>
  <sheetFormatPr defaultColWidth="30.09765625" defaultRowHeight="14.4" x14ac:dyDescent="0.3"/>
  <cols>
    <col min="1" max="1" width="30" style="32" bestFit="1" customWidth="1"/>
    <col min="2" max="2" width="11.3984375" style="32" bestFit="1" customWidth="1"/>
    <col min="3" max="3" width="11.69921875" style="32" bestFit="1" customWidth="1"/>
    <col min="4" max="4" width="16.8984375" bestFit="1" customWidth="1"/>
    <col min="5" max="5" width="15.19921875" bestFit="1" customWidth="1"/>
    <col min="6" max="6" width="16.8984375" bestFit="1" customWidth="1"/>
    <col min="7" max="7" width="19" bestFit="1" customWidth="1"/>
    <col min="8" max="9" width="15.19921875" style="3" customWidth="1"/>
    <col min="10" max="10" width="16.8984375" style="3" customWidth="1"/>
    <col min="11" max="11" width="19" customWidth="1"/>
    <col min="12" max="12" width="30.09765625" customWidth="1"/>
  </cols>
  <sheetData>
    <row r="1" spans="1:11" ht="21" x14ac:dyDescent="0.25">
      <c r="A1" s="26"/>
      <c r="B1" s="26"/>
      <c r="C1" s="26"/>
      <c r="D1" s="243">
        <v>2025</v>
      </c>
      <c r="E1" s="244"/>
      <c r="F1" s="244"/>
      <c r="G1" s="245"/>
      <c r="H1" s="246">
        <v>2024</v>
      </c>
      <c r="I1" s="247"/>
      <c r="J1" s="247"/>
      <c r="K1" s="248"/>
    </row>
    <row r="2" spans="1:11" ht="21" x14ac:dyDescent="0.25">
      <c r="A2" s="11" t="s">
        <v>0</v>
      </c>
      <c r="B2" s="23" t="s">
        <v>53</v>
      </c>
      <c r="C2" s="23" t="s">
        <v>109</v>
      </c>
      <c r="D2" s="13" t="s">
        <v>46</v>
      </c>
      <c r="E2" s="13" t="s">
        <v>47</v>
      </c>
      <c r="F2" s="13" t="s">
        <v>48</v>
      </c>
      <c r="G2" s="13" t="s">
        <v>49</v>
      </c>
      <c r="H2" s="95" t="s">
        <v>46</v>
      </c>
      <c r="I2" s="95" t="s">
        <v>47</v>
      </c>
      <c r="J2" s="95" t="s">
        <v>48</v>
      </c>
      <c r="K2" s="95" t="s">
        <v>89</v>
      </c>
    </row>
    <row r="3" spans="1:11" ht="15.6" x14ac:dyDescent="0.3">
      <c r="A3" s="26" t="s">
        <v>1</v>
      </c>
      <c r="B3" s="26" t="s">
        <v>108</v>
      </c>
      <c r="C3" s="26" t="s">
        <v>58</v>
      </c>
      <c r="D3" s="14"/>
      <c r="E3" s="14"/>
      <c r="F3" s="14"/>
      <c r="G3" s="14"/>
      <c r="H3" s="96"/>
      <c r="I3" s="96"/>
      <c r="J3" s="96"/>
      <c r="K3" s="96"/>
    </row>
    <row r="4" spans="1:11" ht="15.6" x14ac:dyDescent="0.3">
      <c r="A4" s="26" t="s">
        <v>2</v>
      </c>
      <c r="B4" s="26" t="s">
        <v>108</v>
      </c>
      <c r="C4" s="26" t="s">
        <v>58</v>
      </c>
      <c r="D4" s="14"/>
      <c r="E4" s="14"/>
      <c r="F4" s="14"/>
      <c r="G4" s="14"/>
      <c r="H4" s="96"/>
      <c r="I4" s="96"/>
      <c r="J4" s="96"/>
      <c r="K4" s="96"/>
    </row>
    <row r="5" spans="1:11" ht="15.6" x14ac:dyDescent="0.3">
      <c r="A5" s="26" t="s">
        <v>104</v>
      </c>
      <c r="B5" s="26" t="s">
        <v>108</v>
      </c>
      <c r="C5" s="26" t="s">
        <v>58</v>
      </c>
      <c r="D5" s="14"/>
      <c r="E5" s="14"/>
      <c r="F5" s="14"/>
      <c r="G5" s="14"/>
      <c r="H5" s="96"/>
      <c r="I5" s="96"/>
      <c r="J5" s="96"/>
      <c r="K5" s="96"/>
    </row>
    <row r="6" spans="1:11" ht="15.6" x14ac:dyDescent="0.3">
      <c r="A6" s="28" t="s">
        <v>105</v>
      </c>
      <c r="B6" s="26" t="s">
        <v>108</v>
      </c>
      <c r="C6" s="28" t="s">
        <v>58</v>
      </c>
      <c r="D6" s="15"/>
      <c r="E6" s="15"/>
      <c r="F6" s="15"/>
      <c r="G6" s="15"/>
      <c r="H6" s="96"/>
      <c r="I6" s="96"/>
      <c r="J6" s="96"/>
      <c r="K6" s="96"/>
    </row>
    <row r="7" spans="1:11" ht="16.2" thickBot="1" x14ac:dyDescent="0.35">
      <c r="A7" s="26" t="s">
        <v>34</v>
      </c>
      <c r="B7" s="26" t="s">
        <v>108</v>
      </c>
      <c r="C7" s="26" t="s">
        <v>58</v>
      </c>
      <c r="D7" s="14"/>
      <c r="E7" s="14"/>
      <c r="F7" s="14"/>
      <c r="G7" s="14"/>
      <c r="H7" s="96"/>
      <c r="I7" s="96"/>
      <c r="J7" s="96"/>
      <c r="K7" s="96"/>
    </row>
    <row r="8" spans="1:11" ht="21.6" thickBot="1" x14ac:dyDescent="0.45">
      <c r="A8" s="122" t="s">
        <v>3</v>
      </c>
      <c r="B8" s="121"/>
      <c r="C8" s="121"/>
      <c r="D8" s="174">
        <f>SUM(D3:D7)</f>
        <v>0</v>
      </c>
      <c r="E8" s="174">
        <f t="shared" ref="E8:G8" si="0">SUM(E3:E7)</f>
        <v>0</v>
      </c>
      <c r="F8" s="174">
        <f t="shared" si="0"/>
        <v>0</v>
      </c>
      <c r="G8" s="174">
        <f t="shared" si="0"/>
        <v>0</v>
      </c>
      <c r="H8" s="174">
        <f>SUM(H3:H7)</f>
        <v>0</v>
      </c>
      <c r="I8" s="174">
        <f t="shared" ref="I8:K8" si="1">SUM(I3:I7)</f>
        <v>0</v>
      </c>
      <c r="J8" s="174">
        <f t="shared" si="1"/>
        <v>0</v>
      </c>
      <c r="K8" s="174">
        <f t="shared" si="1"/>
        <v>0</v>
      </c>
    </row>
    <row r="9" spans="1:11" ht="15.6" x14ac:dyDescent="0.3">
      <c r="A9" s="27" t="s">
        <v>4</v>
      </c>
      <c r="B9" s="26" t="s">
        <v>108</v>
      </c>
      <c r="C9" s="27" t="s">
        <v>106</v>
      </c>
      <c r="D9" s="18"/>
      <c r="E9" s="18"/>
      <c r="F9" s="18"/>
      <c r="G9" s="18"/>
      <c r="H9" s="96"/>
      <c r="I9" s="96"/>
      <c r="J9" s="96"/>
      <c r="K9" s="96"/>
    </row>
    <row r="10" spans="1:11" ht="15.6" x14ac:dyDescent="0.3">
      <c r="A10" s="26" t="s">
        <v>5</v>
      </c>
      <c r="B10" s="26" t="s">
        <v>108</v>
      </c>
      <c r="C10" s="26" t="s">
        <v>106</v>
      </c>
      <c r="D10" s="14"/>
      <c r="E10" s="14"/>
      <c r="F10" s="14"/>
      <c r="G10" s="14"/>
      <c r="H10" s="96"/>
      <c r="I10" s="96"/>
      <c r="J10" s="96"/>
      <c r="K10" s="96"/>
    </row>
    <row r="11" spans="1:11" ht="15.6" x14ac:dyDescent="0.3">
      <c r="A11" s="26" t="s">
        <v>6</v>
      </c>
      <c r="B11" s="26" t="s">
        <v>108</v>
      </c>
      <c r="C11" s="26" t="s">
        <v>106</v>
      </c>
      <c r="D11" s="14"/>
      <c r="E11" s="14"/>
      <c r="F11" s="14"/>
      <c r="G11" s="14"/>
      <c r="H11" s="96"/>
      <c r="I11" s="96"/>
      <c r="J11" s="96"/>
      <c r="K11" s="96"/>
    </row>
    <row r="12" spans="1:11" ht="15.6" x14ac:dyDescent="0.3">
      <c r="A12" s="26" t="s">
        <v>7</v>
      </c>
      <c r="B12" s="26" t="s">
        <v>108</v>
      </c>
      <c r="C12" s="26" t="s">
        <v>106</v>
      </c>
      <c r="D12" s="14"/>
      <c r="E12" s="14"/>
      <c r="F12" s="14"/>
      <c r="G12" s="14"/>
      <c r="H12" s="96"/>
      <c r="I12" s="96"/>
      <c r="J12" s="96"/>
      <c r="K12" s="96"/>
    </row>
    <row r="13" spans="1:11" ht="15.6" x14ac:dyDescent="0.3">
      <c r="A13" s="26" t="s">
        <v>8</v>
      </c>
      <c r="B13" s="26" t="s">
        <v>108</v>
      </c>
      <c r="C13" s="26" t="s">
        <v>106</v>
      </c>
      <c r="D13" s="14"/>
      <c r="E13" s="14"/>
      <c r="F13" s="14"/>
      <c r="G13" s="14"/>
      <c r="H13" s="96"/>
      <c r="I13" s="96"/>
      <c r="J13" s="96"/>
      <c r="K13" s="96"/>
    </row>
    <row r="14" spans="1:11" ht="15.6" x14ac:dyDescent="0.3">
      <c r="A14" s="26" t="s">
        <v>9</v>
      </c>
      <c r="B14" s="26" t="s">
        <v>108</v>
      </c>
      <c r="C14" s="26" t="s">
        <v>106</v>
      </c>
      <c r="D14" s="14"/>
      <c r="E14" s="14"/>
      <c r="F14" s="14"/>
      <c r="G14" s="14"/>
      <c r="H14" s="96"/>
      <c r="I14" s="96"/>
      <c r="J14" s="96"/>
      <c r="K14" s="96"/>
    </row>
    <row r="15" spans="1:11" ht="15.6" x14ac:dyDescent="0.3">
      <c r="A15" s="26" t="s">
        <v>31</v>
      </c>
      <c r="B15" s="26" t="s">
        <v>108</v>
      </c>
      <c r="C15" s="26" t="s">
        <v>106</v>
      </c>
      <c r="D15" s="14"/>
      <c r="E15" s="14"/>
      <c r="F15" s="14"/>
      <c r="G15" s="14"/>
      <c r="H15" s="96"/>
      <c r="I15" s="96"/>
      <c r="J15" s="96"/>
      <c r="K15" s="96"/>
    </row>
    <row r="16" spans="1:11" ht="15.6" x14ac:dyDescent="0.3">
      <c r="A16" s="26" t="s">
        <v>96</v>
      </c>
      <c r="B16" s="26" t="s">
        <v>108</v>
      </c>
      <c r="C16" s="26" t="s">
        <v>106</v>
      </c>
      <c r="D16" s="14"/>
      <c r="E16" s="14"/>
      <c r="F16" s="14"/>
      <c r="G16" s="14"/>
      <c r="H16" s="96"/>
      <c r="I16" s="96"/>
      <c r="J16" s="96"/>
      <c r="K16" s="96"/>
    </row>
    <row r="17" spans="1:11" ht="15.6" x14ac:dyDescent="0.3">
      <c r="A17" s="26" t="s">
        <v>42</v>
      </c>
      <c r="B17" s="26" t="s">
        <v>108</v>
      </c>
      <c r="C17" s="26" t="s">
        <v>106</v>
      </c>
      <c r="D17" s="14"/>
      <c r="E17" s="14"/>
      <c r="F17" s="14"/>
      <c r="G17" s="14"/>
      <c r="H17" s="96"/>
      <c r="I17" s="96"/>
      <c r="J17" s="96"/>
      <c r="K17" s="96"/>
    </row>
    <row r="18" spans="1:11" ht="15.6" x14ac:dyDescent="0.3">
      <c r="A18" s="26" t="s">
        <v>43</v>
      </c>
      <c r="B18" s="26" t="s">
        <v>108</v>
      </c>
      <c r="C18" s="26" t="s">
        <v>106</v>
      </c>
      <c r="D18" s="14"/>
      <c r="E18" s="14"/>
      <c r="F18" s="14"/>
      <c r="G18" s="14"/>
      <c r="H18" s="96"/>
      <c r="I18" s="96"/>
      <c r="J18" s="96"/>
      <c r="K18" s="96"/>
    </row>
    <row r="19" spans="1:11" ht="15.6" x14ac:dyDescent="0.3">
      <c r="A19" s="26" t="s">
        <v>30</v>
      </c>
      <c r="B19" s="26" t="s">
        <v>108</v>
      </c>
      <c r="C19" s="26" t="s">
        <v>106</v>
      </c>
      <c r="D19" s="14"/>
      <c r="E19" s="14"/>
      <c r="F19" s="14"/>
      <c r="G19" s="14"/>
      <c r="H19" s="96"/>
      <c r="I19" s="96"/>
      <c r="J19" s="96"/>
      <c r="K19" s="96"/>
    </row>
    <row r="20" spans="1:11" ht="15.6" x14ac:dyDescent="0.3">
      <c r="A20" s="28" t="s">
        <v>130</v>
      </c>
      <c r="B20" s="26" t="s">
        <v>108</v>
      </c>
      <c r="C20" s="26" t="s">
        <v>106</v>
      </c>
      <c r="D20" s="15"/>
      <c r="E20" s="15"/>
      <c r="F20" s="15"/>
      <c r="G20" s="15"/>
      <c r="H20" s="96"/>
      <c r="I20" s="96"/>
      <c r="J20" s="96"/>
      <c r="K20" s="96"/>
    </row>
    <row r="21" spans="1:11" ht="16.2" thickBot="1" x14ac:dyDescent="0.35">
      <c r="A21" s="28" t="s">
        <v>38</v>
      </c>
      <c r="B21" s="26" t="s">
        <v>108</v>
      </c>
      <c r="C21" s="28" t="s">
        <v>106</v>
      </c>
      <c r="D21" s="15"/>
      <c r="E21" s="15"/>
      <c r="F21" s="15"/>
      <c r="G21" s="15"/>
      <c r="H21" s="96"/>
      <c r="I21" s="96"/>
      <c r="J21" s="96"/>
      <c r="K21" s="96"/>
    </row>
    <row r="22" spans="1:11" ht="21.6" thickBot="1" x14ac:dyDescent="0.45">
      <c r="A22" s="122" t="s">
        <v>10</v>
      </c>
      <c r="B22" s="121"/>
      <c r="C22" s="121"/>
      <c r="D22" s="174">
        <f>SUM(D9:D21)</f>
        <v>0</v>
      </c>
      <c r="E22" s="174">
        <f t="shared" ref="E22:G22" si="2">SUM(E9:E21)</f>
        <v>0</v>
      </c>
      <c r="F22" s="174">
        <f t="shared" si="2"/>
        <v>0</v>
      </c>
      <c r="G22" s="174">
        <f t="shared" si="2"/>
        <v>0</v>
      </c>
      <c r="H22" s="174">
        <f>SUM(H9:H21)</f>
        <v>0</v>
      </c>
      <c r="I22" s="174">
        <f t="shared" ref="I22:K22" si="3">SUM(I9:I21)</f>
        <v>0</v>
      </c>
      <c r="J22" s="174">
        <f t="shared" si="3"/>
        <v>0</v>
      </c>
      <c r="K22" s="174">
        <f t="shared" si="3"/>
        <v>0</v>
      </c>
    </row>
    <row r="23" spans="1:11" ht="15.6" x14ac:dyDescent="0.3">
      <c r="A23" s="27" t="s">
        <v>11</v>
      </c>
      <c r="B23" s="27" t="s">
        <v>56</v>
      </c>
      <c r="C23" s="27" t="s">
        <v>107</v>
      </c>
      <c r="D23" s="18"/>
      <c r="E23" s="18"/>
      <c r="F23" s="18"/>
      <c r="G23" s="18"/>
      <c r="H23" s="96"/>
      <c r="I23" s="96"/>
      <c r="J23" s="96"/>
      <c r="K23" s="96"/>
    </row>
    <row r="24" spans="1:11" ht="15.6" x14ac:dyDescent="0.3">
      <c r="A24" s="30" t="s">
        <v>12</v>
      </c>
      <c r="B24" s="26" t="s">
        <v>56</v>
      </c>
      <c r="C24" s="26" t="s">
        <v>107</v>
      </c>
      <c r="D24" s="14"/>
      <c r="E24" s="14"/>
      <c r="F24" s="14"/>
      <c r="G24" s="14"/>
      <c r="H24" s="96"/>
      <c r="I24" s="96"/>
      <c r="J24" s="96"/>
      <c r="K24" s="96"/>
    </row>
    <row r="25" spans="1:11" ht="15.6" x14ac:dyDescent="0.3">
      <c r="A25" s="30" t="s">
        <v>13</v>
      </c>
      <c r="B25" s="26" t="s">
        <v>56</v>
      </c>
      <c r="C25" s="26" t="s">
        <v>107</v>
      </c>
      <c r="D25" s="14"/>
      <c r="E25" s="14"/>
      <c r="F25" s="14"/>
      <c r="G25" s="14"/>
      <c r="H25" s="96"/>
      <c r="I25" s="96"/>
      <c r="J25" s="96"/>
      <c r="K25" s="96"/>
    </row>
    <row r="26" spans="1:11" ht="15.6" x14ac:dyDescent="0.3">
      <c r="A26" s="26" t="s">
        <v>14</v>
      </c>
      <c r="B26" s="26" t="s">
        <v>55</v>
      </c>
      <c r="C26" s="26" t="s">
        <v>107</v>
      </c>
      <c r="D26" s="14"/>
      <c r="E26" s="14"/>
      <c r="F26" s="14"/>
      <c r="G26" s="14"/>
      <c r="H26" s="96"/>
      <c r="I26" s="96"/>
      <c r="J26" s="96"/>
      <c r="K26" s="96"/>
    </row>
    <row r="27" spans="1:11" ht="15.6" x14ac:dyDescent="0.3">
      <c r="A27" s="30" t="s">
        <v>15</v>
      </c>
      <c r="B27" s="26" t="s">
        <v>56</v>
      </c>
      <c r="C27" s="26" t="s">
        <v>107</v>
      </c>
      <c r="D27" s="14"/>
      <c r="E27" s="14"/>
      <c r="F27" s="14"/>
      <c r="G27" s="14"/>
      <c r="H27" s="96"/>
      <c r="I27" s="96"/>
      <c r="J27" s="96"/>
      <c r="K27" s="96"/>
    </row>
    <row r="28" spans="1:11" ht="15.6" x14ac:dyDescent="0.3">
      <c r="A28" s="30" t="s">
        <v>17</v>
      </c>
      <c r="B28" s="26" t="s">
        <v>56</v>
      </c>
      <c r="C28" s="26" t="s">
        <v>107</v>
      </c>
      <c r="D28" s="14"/>
      <c r="E28" s="14"/>
      <c r="F28" s="14"/>
      <c r="G28" s="14"/>
      <c r="H28" s="96"/>
      <c r="I28" s="96"/>
      <c r="J28" s="96"/>
      <c r="K28" s="96"/>
    </row>
    <row r="29" spans="1:11" ht="15.6" x14ac:dyDescent="0.3">
      <c r="A29" s="30" t="s">
        <v>18</v>
      </c>
      <c r="B29" s="26" t="s">
        <v>56</v>
      </c>
      <c r="C29" s="26" t="s">
        <v>107</v>
      </c>
      <c r="D29" s="14"/>
      <c r="E29" s="14"/>
      <c r="F29" s="14"/>
      <c r="G29" s="14"/>
      <c r="H29" s="96"/>
      <c r="I29" s="96"/>
      <c r="J29" s="96"/>
      <c r="K29" s="96"/>
    </row>
    <row r="30" spans="1:11" ht="15.6" x14ac:dyDescent="0.3">
      <c r="A30" s="26" t="s">
        <v>19</v>
      </c>
      <c r="B30" s="26" t="s">
        <v>56</v>
      </c>
      <c r="C30" s="26" t="s">
        <v>107</v>
      </c>
      <c r="D30" s="14"/>
      <c r="E30" s="14"/>
      <c r="F30" s="14"/>
      <c r="G30" s="14"/>
      <c r="H30" s="96"/>
      <c r="I30" s="96"/>
      <c r="J30" s="96"/>
      <c r="K30" s="96"/>
    </row>
    <row r="31" spans="1:11" ht="15.6" x14ac:dyDescent="0.3">
      <c r="A31" s="26" t="s">
        <v>20</v>
      </c>
      <c r="B31" s="26" t="s">
        <v>56</v>
      </c>
      <c r="C31" s="26" t="s">
        <v>107</v>
      </c>
      <c r="D31" s="14"/>
      <c r="E31" s="14"/>
      <c r="F31" s="14"/>
      <c r="G31" s="14"/>
      <c r="H31" s="96"/>
      <c r="I31" s="96"/>
      <c r="J31" s="96"/>
      <c r="K31" s="96"/>
    </row>
    <row r="32" spans="1:11" ht="15.6" x14ac:dyDescent="0.3">
      <c r="A32" s="26" t="s">
        <v>21</v>
      </c>
      <c r="B32" s="26" t="s">
        <v>56</v>
      </c>
      <c r="C32" s="26" t="s">
        <v>107</v>
      </c>
      <c r="D32" s="14"/>
      <c r="E32" s="14"/>
      <c r="F32" s="14"/>
      <c r="G32" s="14"/>
      <c r="H32" s="96"/>
      <c r="I32" s="96"/>
      <c r="J32" s="96"/>
      <c r="K32" s="96"/>
    </row>
    <row r="33" spans="1:12" ht="15.6" x14ac:dyDescent="0.3">
      <c r="A33" s="26" t="s">
        <v>22</v>
      </c>
      <c r="B33" s="26" t="s">
        <v>56</v>
      </c>
      <c r="C33" s="26" t="s">
        <v>107</v>
      </c>
      <c r="D33" s="14"/>
      <c r="E33" s="14"/>
      <c r="F33" s="14"/>
      <c r="G33" s="14"/>
      <c r="H33" s="96"/>
      <c r="I33" s="96"/>
      <c r="J33" s="96"/>
      <c r="K33" s="96"/>
    </row>
    <row r="34" spans="1:12" ht="15.6" x14ac:dyDescent="0.3">
      <c r="A34" s="26" t="s">
        <v>23</v>
      </c>
      <c r="B34" s="26" t="s">
        <v>56</v>
      </c>
      <c r="C34" s="26" t="s">
        <v>107</v>
      </c>
      <c r="D34" s="14"/>
      <c r="E34" s="14"/>
      <c r="F34" s="14"/>
      <c r="G34" s="14"/>
      <c r="H34" s="96"/>
      <c r="I34" s="96"/>
      <c r="J34" s="96"/>
      <c r="K34" s="96"/>
    </row>
    <row r="35" spans="1:12" ht="15.6" x14ac:dyDescent="0.3">
      <c r="A35" s="26" t="s">
        <v>24</v>
      </c>
      <c r="B35" s="26" t="s">
        <v>56</v>
      </c>
      <c r="C35" s="26" t="s">
        <v>107</v>
      </c>
      <c r="D35" s="14"/>
      <c r="E35" s="14"/>
      <c r="F35" s="14"/>
      <c r="G35" s="14"/>
      <c r="H35" s="96"/>
      <c r="I35" s="96"/>
      <c r="J35" s="96"/>
      <c r="K35" s="96"/>
    </row>
    <row r="36" spans="1:12" ht="15.6" x14ac:dyDescent="0.3">
      <c r="A36" s="30" t="s">
        <v>25</v>
      </c>
      <c r="B36" s="26" t="s">
        <v>56</v>
      </c>
      <c r="C36" s="26" t="s">
        <v>107</v>
      </c>
      <c r="D36" s="14"/>
      <c r="E36" s="14"/>
      <c r="F36" s="14"/>
      <c r="G36" s="14"/>
      <c r="H36" s="96"/>
      <c r="I36" s="96"/>
      <c r="J36" s="96"/>
      <c r="K36" s="96"/>
    </row>
    <row r="37" spans="1:12" ht="15.6" x14ac:dyDescent="0.3">
      <c r="A37" s="26" t="s">
        <v>26</v>
      </c>
      <c r="B37" s="26" t="s">
        <v>56</v>
      </c>
      <c r="C37" s="26" t="s">
        <v>107</v>
      </c>
      <c r="D37" s="14"/>
      <c r="E37" s="14"/>
      <c r="F37" s="14"/>
      <c r="G37" s="14"/>
      <c r="H37" s="96"/>
      <c r="I37" s="96"/>
      <c r="J37" s="96"/>
      <c r="K37" s="96"/>
    </row>
    <row r="38" spans="1:12" ht="15.6" x14ac:dyDescent="0.3">
      <c r="A38" s="26" t="s">
        <v>27</v>
      </c>
      <c r="B38" s="26" t="s">
        <v>56</v>
      </c>
      <c r="C38" s="26" t="s">
        <v>107</v>
      </c>
      <c r="D38" s="14"/>
      <c r="E38" s="14"/>
      <c r="F38" s="14"/>
      <c r="G38" s="14"/>
      <c r="H38" s="96"/>
      <c r="I38" s="96"/>
      <c r="J38" s="96"/>
      <c r="K38" s="96"/>
    </row>
    <row r="39" spans="1:12" ht="15.6" x14ac:dyDescent="0.3">
      <c r="A39" s="26" t="s">
        <v>28</v>
      </c>
      <c r="B39" s="26" t="s">
        <v>56</v>
      </c>
      <c r="C39" s="26" t="s">
        <v>107</v>
      </c>
      <c r="D39" s="14"/>
      <c r="E39" s="14"/>
      <c r="F39" s="14"/>
      <c r="G39" s="14"/>
      <c r="H39" s="96"/>
      <c r="I39" s="96"/>
      <c r="J39" s="96"/>
      <c r="K39" s="96"/>
    </row>
    <row r="40" spans="1:12" ht="15.6" x14ac:dyDescent="0.3">
      <c r="A40" s="26" t="s">
        <v>29</v>
      </c>
      <c r="B40" s="26" t="s">
        <v>56</v>
      </c>
      <c r="C40" s="26" t="s">
        <v>107</v>
      </c>
      <c r="D40" s="14"/>
      <c r="E40" s="14"/>
      <c r="F40" s="14"/>
      <c r="G40" s="14"/>
      <c r="H40" s="96"/>
      <c r="I40" s="96"/>
      <c r="J40" s="96"/>
      <c r="K40" s="96"/>
    </row>
    <row r="41" spans="1:12" ht="15.6" x14ac:dyDescent="0.3">
      <c r="A41" s="26" t="s">
        <v>98</v>
      </c>
      <c r="B41" s="26" t="s">
        <v>55</v>
      </c>
      <c r="C41" s="26" t="s">
        <v>107</v>
      </c>
      <c r="D41" s="14"/>
      <c r="E41" s="14"/>
      <c r="F41" s="14"/>
      <c r="G41" s="14"/>
      <c r="H41" s="96"/>
      <c r="I41" s="96"/>
      <c r="J41" s="96"/>
      <c r="K41" s="96"/>
    </row>
    <row r="42" spans="1:12" ht="15.6" x14ac:dyDescent="0.3">
      <c r="A42" s="26" t="s">
        <v>32</v>
      </c>
      <c r="B42" s="26" t="s">
        <v>55</v>
      </c>
      <c r="C42" s="26" t="s">
        <v>107</v>
      </c>
      <c r="D42" s="14"/>
      <c r="E42" s="14"/>
      <c r="F42" s="14"/>
      <c r="G42" s="14"/>
      <c r="H42" s="96"/>
      <c r="I42" s="96"/>
      <c r="J42" s="96"/>
      <c r="K42" s="96"/>
    </row>
    <row r="43" spans="1:12" ht="15.6" x14ac:dyDescent="0.3">
      <c r="A43" s="30" t="s">
        <v>95</v>
      </c>
      <c r="B43" s="26" t="s">
        <v>56</v>
      </c>
      <c r="C43" s="26" t="s">
        <v>107</v>
      </c>
      <c r="D43" s="14"/>
      <c r="E43" s="14"/>
      <c r="F43" s="14"/>
      <c r="G43" s="14"/>
      <c r="H43" s="96"/>
      <c r="I43" s="96"/>
      <c r="J43" s="96"/>
      <c r="K43" s="96"/>
    </row>
    <row r="44" spans="1:12" ht="15.6" x14ac:dyDescent="0.3">
      <c r="A44" s="26" t="s">
        <v>83</v>
      </c>
      <c r="B44" s="26" t="s">
        <v>56</v>
      </c>
      <c r="C44" s="26" t="s">
        <v>107</v>
      </c>
      <c r="D44" s="14"/>
      <c r="E44" s="14"/>
      <c r="F44" s="14"/>
      <c r="G44" s="14"/>
      <c r="H44" s="96"/>
      <c r="I44" s="96"/>
      <c r="J44" s="96"/>
      <c r="K44" s="96"/>
    </row>
    <row r="45" spans="1:12" ht="15.6" x14ac:dyDescent="0.3">
      <c r="A45" s="26" t="s">
        <v>82</v>
      </c>
      <c r="B45" s="26" t="s">
        <v>56</v>
      </c>
      <c r="C45" s="26" t="s">
        <v>107</v>
      </c>
      <c r="D45" s="14"/>
      <c r="E45" s="14"/>
      <c r="F45" s="14"/>
      <c r="G45" s="14"/>
      <c r="H45" s="96"/>
      <c r="I45" s="96"/>
      <c r="J45" s="96"/>
      <c r="K45" s="96"/>
    </row>
    <row r="46" spans="1:12" ht="15.6" x14ac:dyDescent="0.3">
      <c r="A46" s="26" t="s">
        <v>36</v>
      </c>
      <c r="B46" s="26" t="s">
        <v>55</v>
      </c>
      <c r="C46" s="26" t="s">
        <v>107</v>
      </c>
      <c r="D46" s="14"/>
      <c r="E46" s="14"/>
      <c r="F46" s="14"/>
      <c r="G46" s="14"/>
      <c r="H46" s="96"/>
      <c r="I46" s="96"/>
      <c r="J46" s="96"/>
      <c r="K46" s="96"/>
    </row>
    <row r="47" spans="1:12" ht="15.6" x14ac:dyDescent="0.3">
      <c r="A47" s="26" t="s">
        <v>94</v>
      </c>
      <c r="B47" s="26" t="s">
        <v>55</v>
      </c>
      <c r="C47" s="26" t="s">
        <v>107</v>
      </c>
      <c r="D47" s="14"/>
      <c r="E47" s="14"/>
      <c r="F47" s="14"/>
      <c r="G47" s="14"/>
      <c r="H47" s="96"/>
      <c r="I47" s="96"/>
      <c r="J47" s="96"/>
      <c r="K47" s="96"/>
      <c r="L47" s="138"/>
    </row>
    <row r="48" spans="1:12" ht="15.6" x14ac:dyDescent="0.3">
      <c r="A48" s="26" t="s">
        <v>85</v>
      </c>
      <c r="B48" s="26" t="s">
        <v>56</v>
      </c>
      <c r="C48" s="26" t="s">
        <v>107</v>
      </c>
      <c r="D48" s="14"/>
      <c r="E48" s="14"/>
      <c r="F48" s="14"/>
      <c r="G48" s="14"/>
      <c r="H48" s="96"/>
      <c r="I48" s="96"/>
      <c r="J48" s="96"/>
      <c r="K48" s="96"/>
    </row>
    <row r="49" spans="1:13" ht="15.6" x14ac:dyDescent="0.3">
      <c r="A49" s="26" t="s">
        <v>87</v>
      </c>
      <c r="B49" s="26" t="s">
        <v>56</v>
      </c>
      <c r="C49" s="26" t="s">
        <v>107</v>
      </c>
      <c r="D49" s="14"/>
      <c r="E49" s="14"/>
      <c r="F49" s="14"/>
      <c r="G49" s="14"/>
      <c r="H49" s="96"/>
      <c r="I49" s="96"/>
      <c r="J49" s="96"/>
      <c r="K49" s="96"/>
    </row>
    <row r="50" spans="1:13" ht="15.6" x14ac:dyDescent="0.3">
      <c r="A50" s="26" t="s">
        <v>97</v>
      </c>
      <c r="B50" s="26" t="s">
        <v>56</v>
      </c>
      <c r="C50" s="26" t="s">
        <v>107</v>
      </c>
      <c r="D50" s="14"/>
      <c r="E50" s="14"/>
      <c r="F50" s="14"/>
      <c r="G50" s="14"/>
      <c r="H50" s="96"/>
      <c r="I50" s="96"/>
      <c r="J50" s="96"/>
      <c r="K50" s="96"/>
    </row>
    <row r="51" spans="1:13" ht="15.6" x14ac:dyDescent="0.3">
      <c r="A51" s="26" t="s">
        <v>39</v>
      </c>
      <c r="B51" s="26" t="s">
        <v>56</v>
      </c>
      <c r="C51" s="26" t="s">
        <v>107</v>
      </c>
      <c r="D51" s="14"/>
      <c r="E51" s="14"/>
      <c r="F51" s="14"/>
      <c r="G51" s="14"/>
      <c r="H51" s="96"/>
      <c r="I51" s="96"/>
      <c r="J51" s="96"/>
      <c r="K51" s="96"/>
    </row>
    <row r="52" spans="1:13" ht="15.6" x14ac:dyDescent="0.3">
      <c r="A52" s="26" t="s">
        <v>91</v>
      </c>
      <c r="B52" s="26" t="s">
        <v>56</v>
      </c>
      <c r="C52" s="26" t="s">
        <v>107</v>
      </c>
      <c r="D52" s="14"/>
      <c r="E52" s="14"/>
      <c r="F52" s="14"/>
      <c r="G52" s="14"/>
      <c r="H52" s="96"/>
      <c r="I52" s="96"/>
      <c r="J52" s="96"/>
      <c r="K52" s="96"/>
    </row>
    <row r="53" spans="1:13" ht="15.6" x14ac:dyDescent="0.3">
      <c r="A53" s="26" t="s">
        <v>41</v>
      </c>
      <c r="B53" s="26" t="s">
        <v>56</v>
      </c>
      <c r="C53" s="26" t="s">
        <v>107</v>
      </c>
      <c r="D53" s="14"/>
      <c r="E53" s="14"/>
      <c r="F53" s="14"/>
      <c r="G53" s="14"/>
      <c r="H53" s="96"/>
      <c r="I53" s="96"/>
      <c r="J53" s="96"/>
      <c r="K53" s="96"/>
    </row>
    <row r="54" spans="1:13" ht="15.6" x14ac:dyDescent="0.3">
      <c r="A54" s="26" t="s">
        <v>129</v>
      </c>
      <c r="B54" s="26" t="s">
        <v>108</v>
      </c>
      <c r="C54" s="27" t="s">
        <v>107</v>
      </c>
      <c r="D54" s="15"/>
      <c r="E54" s="15"/>
      <c r="F54" s="15"/>
      <c r="G54" s="15"/>
      <c r="H54" s="96"/>
      <c r="I54" s="96"/>
      <c r="J54" s="96"/>
      <c r="K54" s="96"/>
    </row>
    <row r="55" spans="1:13" ht="16.2" thickBot="1" x14ac:dyDescent="0.35">
      <c r="A55" s="28" t="s">
        <v>88</v>
      </c>
      <c r="B55" s="28" t="s">
        <v>56</v>
      </c>
      <c r="C55" s="28" t="s">
        <v>107</v>
      </c>
      <c r="D55" s="15"/>
      <c r="E55" s="15"/>
      <c r="F55" s="15"/>
      <c r="G55" s="15"/>
      <c r="H55" s="96"/>
      <c r="I55" s="96"/>
      <c r="J55" s="96"/>
      <c r="K55" s="96"/>
    </row>
    <row r="56" spans="1:13" ht="21.6" thickBot="1" x14ac:dyDescent="0.45">
      <c r="A56" s="123" t="s">
        <v>115</v>
      </c>
      <c r="B56" s="121"/>
      <c r="C56" s="121"/>
      <c r="D56" s="174">
        <f>SUM(D23:D55)</f>
        <v>0</v>
      </c>
      <c r="E56" s="174">
        <f t="shared" ref="E56:G56" si="4">SUM(E23:E55)</f>
        <v>0</v>
      </c>
      <c r="F56" s="174">
        <f t="shared" si="4"/>
        <v>0</v>
      </c>
      <c r="G56" s="174">
        <f t="shared" si="4"/>
        <v>0</v>
      </c>
      <c r="H56" s="174">
        <f>SUM(H23:H55)</f>
        <v>0</v>
      </c>
      <c r="I56" s="174">
        <f t="shared" ref="I56:K56" si="5">SUM(I23:I55)</f>
        <v>0</v>
      </c>
      <c r="J56" s="174">
        <f t="shared" si="5"/>
        <v>0</v>
      </c>
      <c r="K56" s="174">
        <f t="shared" si="5"/>
        <v>0</v>
      </c>
    </row>
    <row r="57" spans="1:13" ht="15.6" x14ac:dyDescent="0.3">
      <c r="A57" s="30" t="s">
        <v>33</v>
      </c>
      <c r="B57" s="26" t="s">
        <v>114</v>
      </c>
      <c r="C57" s="26" t="s">
        <v>107</v>
      </c>
      <c r="D57" s="14"/>
      <c r="E57" s="14"/>
      <c r="F57" s="14"/>
      <c r="G57" s="14"/>
      <c r="H57" s="96"/>
      <c r="I57" s="96"/>
      <c r="J57" s="96"/>
      <c r="K57" s="96"/>
    </row>
    <row r="58" spans="1:13" ht="15.6" x14ac:dyDescent="0.3">
      <c r="A58" s="26" t="s">
        <v>84</v>
      </c>
      <c r="B58" s="26" t="s">
        <v>114</v>
      </c>
      <c r="C58" s="26" t="s">
        <v>107</v>
      </c>
      <c r="D58" s="14"/>
      <c r="E58" s="14"/>
      <c r="F58" s="14"/>
      <c r="G58" s="14"/>
      <c r="H58" s="96"/>
      <c r="I58" s="96"/>
      <c r="J58" s="96"/>
      <c r="K58" s="96"/>
    </row>
    <row r="59" spans="1:13" ht="15.6" x14ac:dyDescent="0.3">
      <c r="A59" s="26" t="s">
        <v>37</v>
      </c>
      <c r="B59" s="26" t="s">
        <v>114</v>
      </c>
      <c r="C59" s="26" t="s">
        <v>107</v>
      </c>
      <c r="D59" s="14"/>
      <c r="E59" s="14"/>
      <c r="F59" s="14"/>
      <c r="G59" s="14"/>
      <c r="H59" s="96"/>
      <c r="I59" s="96"/>
      <c r="J59" s="96"/>
      <c r="K59" s="96"/>
      <c r="M59" s="133"/>
    </row>
    <row r="60" spans="1:13" ht="15.6" x14ac:dyDescent="0.3">
      <c r="A60" s="26" t="s">
        <v>35</v>
      </c>
      <c r="B60" s="26" t="s">
        <v>114</v>
      </c>
      <c r="C60" s="26" t="s">
        <v>107</v>
      </c>
      <c r="D60" s="14"/>
      <c r="E60" s="14"/>
      <c r="F60" s="14"/>
      <c r="G60" s="14"/>
      <c r="H60" s="96"/>
      <c r="I60" s="96"/>
      <c r="J60" s="96"/>
      <c r="K60" s="96"/>
      <c r="M60" s="133"/>
    </row>
    <row r="61" spans="1:13" ht="15.6" x14ac:dyDescent="0.3">
      <c r="A61" s="27" t="s">
        <v>86</v>
      </c>
      <c r="B61" s="27" t="s">
        <v>114</v>
      </c>
      <c r="C61" s="27" t="s">
        <v>107</v>
      </c>
      <c r="D61" s="14"/>
      <c r="E61" s="14"/>
      <c r="F61" s="14"/>
      <c r="G61" s="14"/>
      <c r="H61" s="96"/>
      <c r="I61" s="96"/>
      <c r="J61" s="96"/>
      <c r="K61" s="96"/>
      <c r="M61" s="133"/>
    </row>
    <row r="62" spans="1:13" ht="15.6" x14ac:dyDescent="0.3">
      <c r="A62" s="30" t="s">
        <v>16</v>
      </c>
      <c r="B62" s="26" t="s">
        <v>114</v>
      </c>
      <c r="C62" s="26" t="s">
        <v>107</v>
      </c>
      <c r="D62" s="14"/>
      <c r="E62" s="14"/>
      <c r="F62" s="14"/>
      <c r="G62" s="14"/>
      <c r="H62" s="96"/>
      <c r="I62" s="96"/>
      <c r="J62" s="96"/>
      <c r="K62" s="96"/>
    </row>
    <row r="63" spans="1:13" ht="15.6" x14ac:dyDescent="0.3">
      <c r="A63" s="194" t="s">
        <v>128</v>
      </c>
      <c r="B63" s="26" t="s">
        <v>114</v>
      </c>
      <c r="C63" s="27" t="s">
        <v>107</v>
      </c>
      <c r="D63" s="14"/>
      <c r="E63" s="14"/>
      <c r="F63" s="14"/>
      <c r="G63" s="14"/>
      <c r="H63" s="96"/>
      <c r="I63" s="96"/>
      <c r="J63" s="96"/>
      <c r="K63" s="96"/>
    </row>
    <row r="64" spans="1:13" ht="15.6" x14ac:dyDescent="0.3">
      <c r="A64" s="199" t="s">
        <v>131</v>
      </c>
      <c r="B64" s="26" t="s">
        <v>114</v>
      </c>
      <c r="C64" s="27" t="s">
        <v>107</v>
      </c>
      <c r="D64" s="14"/>
      <c r="E64" s="14"/>
      <c r="F64" s="14"/>
      <c r="G64" s="14"/>
      <c r="H64" s="96"/>
      <c r="I64" s="96"/>
      <c r="J64" s="96"/>
      <c r="K64" s="96"/>
    </row>
    <row r="65" spans="1:12" ht="16.2" thickBot="1" x14ac:dyDescent="0.35">
      <c r="A65" s="117" t="s">
        <v>99</v>
      </c>
      <c r="B65" s="26" t="s">
        <v>114</v>
      </c>
      <c r="C65" s="26" t="s">
        <v>107</v>
      </c>
      <c r="D65" s="14"/>
      <c r="E65" s="14"/>
      <c r="F65" s="14"/>
      <c r="G65" s="14"/>
      <c r="H65" s="96"/>
      <c r="I65" s="96"/>
      <c r="J65" s="96"/>
      <c r="K65" s="96"/>
    </row>
    <row r="66" spans="1:12" ht="21.6" thickBot="1" x14ac:dyDescent="0.45">
      <c r="A66" s="123" t="s">
        <v>116</v>
      </c>
      <c r="B66" s="121"/>
      <c r="C66" s="121"/>
      <c r="D66" s="174">
        <f>SUM(D57:D65)</f>
        <v>0</v>
      </c>
      <c r="E66" s="174">
        <f t="shared" ref="E66:G66" si="6">SUM(E57:E65)</f>
        <v>0</v>
      </c>
      <c r="F66" s="174">
        <f t="shared" si="6"/>
        <v>0</v>
      </c>
      <c r="G66" s="174">
        <f t="shared" si="6"/>
        <v>0</v>
      </c>
      <c r="H66" s="174">
        <f>SUM(H57:H65)</f>
        <v>0</v>
      </c>
      <c r="I66" s="174">
        <f t="shared" ref="I66:K66" si="7">SUM(I57:I65)</f>
        <v>0</v>
      </c>
      <c r="J66" s="174">
        <f t="shared" si="7"/>
        <v>0</v>
      </c>
      <c r="K66" s="174">
        <f t="shared" si="7"/>
        <v>0</v>
      </c>
    </row>
    <row r="67" spans="1:12" ht="15.6" x14ac:dyDescent="0.3">
      <c r="A67" s="27" t="s">
        <v>77</v>
      </c>
      <c r="B67" s="26" t="s">
        <v>108</v>
      </c>
      <c r="C67" s="27" t="s">
        <v>102</v>
      </c>
      <c r="D67" s="18"/>
      <c r="E67" s="18"/>
      <c r="F67" s="18"/>
      <c r="G67" s="18"/>
      <c r="H67" s="96"/>
      <c r="I67" s="96"/>
      <c r="J67" s="96"/>
      <c r="K67" s="96"/>
    </row>
    <row r="68" spans="1:12" ht="15.6" x14ac:dyDescent="0.3">
      <c r="A68" s="30" t="s">
        <v>40</v>
      </c>
      <c r="B68" s="26" t="s">
        <v>56</v>
      </c>
      <c r="C68" s="26" t="s">
        <v>103</v>
      </c>
      <c r="D68" s="14"/>
      <c r="E68" s="14"/>
      <c r="F68" s="14"/>
      <c r="G68" s="14"/>
      <c r="H68" s="96"/>
      <c r="I68" s="96"/>
      <c r="J68" s="96"/>
      <c r="K68" s="96"/>
    </row>
    <row r="69" spans="1:12" ht="15.6" x14ac:dyDescent="0.3">
      <c r="A69" s="26" t="s">
        <v>90</v>
      </c>
      <c r="B69" s="26" t="s">
        <v>108</v>
      </c>
      <c r="C69" s="26" t="s">
        <v>103</v>
      </c>
      <c r="D69" s="14"/>
      <c r="E69" s="14"/>
      <c r="F69" s="14"/>
      <c r="G69" s="14"/>
      <c r="H69" s="96"/>
      <c r="I69" s="96"/>
      <c r="J69" s="96"/>
      <c r="K69" s="96"/>
    </row>
    <row r="70" spans="1:12" ht="15.6" x14ac:dyDescent="0.3">
      <c r="A70" s="26" t="s">
        <v>92</v>
      </c>
      <c r="B70" s="26" t="s">
        <v>56</v>
      </c>
      <c r="C70" s="26" t="s">
        <v>103</v>
      </c>
      <c r="D70" s="14"/>
      <c r="E70" s="14"/>
      <c r="F70" s="14"/>
      <c r="G70" s="14"/>
      <c r="H70" s="96"/>
      <c r="I70" s="96"/>
      <c r="J70" s="96"/>
      <c r="K70" s="96"/>
    </row>
    <row r="71" spans="1:12" ht="15.6" x14ac:dyDescent="0.3">
      <c r="A71" s="26" t="s">
        <v>93</v>
      </c>
      <c r="B71" s="26" t="s">
        <v>56</v>
      </c>
      <c r="C71" s="26" t="s">
        <v>103</v>
      </c>
      <c r="D71" s="14"/>
      <c r="E71" s="14"/>
      <c r="F71" s="14"/>
      <c r="G71" s="14"/>
      <c r="H71" s="96"/>
      <c r="I71" s="96"/>
      <c r="J71" s="96"/>
      <c r="K71" s="96"/>
    </row>
    <row r="72" spans="1:12" ht="15.6" x14ac:dyDescent="0.3">
      <c r="A72" s="26" t="s">
        <v>100</v>
      </c>
      <c r="B72" s="26" t="s">
        <v>56</v>
      </c>
      <c r="C72" s="26" t="s">
        <v>103</v>
      </c>
      <c r="D72" s="14"/>
      <c r="E72" s="14"/>
      <c r="F72" s="14"/>
      <c r="G72" s="14"/>
      <c r="H72" s="96"/>
      <c r="I72" s="96"/>
      <c r="J72" s="96"/>
      <c r="K72" s="96"/>
      <c r="L72" s="138"/>
    </row>
    <row r="73" spans="1:12" ht="15.6" x14ac:dyDescent="0.3">
      <c r="A73" s="118" t="s">
        <v>101</v>
      </c>
      <c r="B73" s="26" t="s">
        <v>56</v>
      </c>
      <c r="C73" s="26" t="s">
        <v>103</v>
      </c>
      <c r="D73" s="14"/>
      <c r="E73" s="14"/>
      <c r="F73" s="14"/>
      <c r="G73" s="14"/>
      <c r="H73" s="96"/>
      <c r="I73" s="96"/>
      <c r="J73" s="96"/>
      <c r="K73" s="96"/>
    </row>
    <row r="74" spans="1:12" ht="15.6" x14ac:dyDescent="0.3">
      <c r="A74" s="26" t="s">
        <v>81</v>
      </c>
      <c r="B74" s="26" t="s">
        <v>56</v>
      </c>
      <c r="C74" s="26" t="s">
        <v>103</v>
      </c>
      <c r="D74" s="14"/>
      <c r="E74" s="14"/>
      <c r="F74" s="14"/>
      <c r="G74" s="14"/>
      <c r="H74" s="96"/>
      <c r="I74" s="96"/>
      <c r="J74" s="96"/>
      <c r="K74" s="96"/>
    </row>
    <row r="75" spans="1:12" ht="21.6" thickBot="1" x14ac:dyDescent="0.3">
      <c r="A75" s="177" t="s">
        <v>44</v>
      </c>
      <c r="B75" s="178"/>
      <c r="C75" s="178"/>
      <c r="D75" s="179">
        <f>SUM(D67:D74)</f>
        <v>0</v>
      </c>
      <c r="E75" s="179">
        <f t="shared" ref="E75:G75" si="8">SUM(E67:E74)</f>
        <v>0</v>
      </c>
      <c r="F75" s="179">
        <f t="shared" si="8"/>
        <v>0</v>
      </c>
      <c r="G75" s="179">
        <f t="shared" si="8"/>
        <v>0</v>
      </c>
      <c r="H75" s="179">
        <f>SUM(H67:H74)</f>
        <v>0</v>
      </c>
      <c r="I75" s="179">
        <f t="shared" ref="I75:K75" si="9">SUM(I67:I74)</f>
        <v>0</v>
      </c>
      <c r="J75" s="179">
        <f t="shared" si="9"/>
        <v>0</v>
      </c>
      <c r="K75" s="179">
        <f t="shared" si="9"/>
        <v>0</v>
      </c>
    </row>
    <row r="76" spans="1:12" ht="21.6" thickBot="1" x14ac:dyDescent="0.3">
      <c r="A76" s="122" t="s">
        <v>45</v>
      </c>
      <c r="B76" s="121"/>
      <c r="C76" s="121"/>
      <c r="D76" s="131">
        <f>D75+D66+D56+D22+D8</f>
        <v>0</v>
      </c>
      <c r="E76" s="131">
        <f t="shared" ref="E76:G76" si="10">E75+E66+E56+E22+E8</f>
        <v>0</v>
      </c>
      <c r="F76" s="131">
        <f t="shared" si="10"/>
        <v>0</v>
      </c>
      <c r="G76" s="131">
        <f t="shared" si="10"/>
        <v>0</v>
      </c>
      <c r="H76" s="131">
        <f>H75+H66+H56+H22+H8</f>
        <v>0</v>
      </c>
      <c r="I76" s="131">
        <f t="shared" ref="I76:K76" si="11">I75+I66+I56+I22+I8</f>
        <v>0</v>
      </c>
      <c r="J76" s="131">
        <f t="shared" si="11"/>
        <v>0</v>
      </c>
      <c r="K76" s="131">
        <f t="shared" si="11"/>
        <v>0</v>
      </c>
    </row>
    <row r="77" spans="1:12" x14ac:dyDescent="0.3">
      <c r="H77" s="10"/>
      <c r="I77" s="10"/>
      <c r="J77" s="10"/>
    </row>
    <row r="78" spans="1:12" x14ac:dyDescent="0.3">
      <c r="D78" s="152"/>
      <c r="E78" s="152"/>
      <c r="F78" s="152"/>
      <c r="G78" s="152"/>
    </row>
    <row r="79" spans="1:12" x14ac:dyDescent="0.3">
      <c r="D79" s="137"/>
      <c r="E79" s="137"/>
      <c r="F79" s="137"/>
      <c r="G79" s="137"/>
    </row>
    <row r="80" spans="1:12" x14ac:dyDescent="0.3">
      <c r="D80" s="153"/>
      <c r="E80" s="153"/>
      <c r="F80" s="153"/>
      <c r="G80" s="153"/>
    </row>
    <row r="81" spans="4:7" x14ac:dyDescent="0.3">
      <c r="D81" s="153"/>
      <c r="E81" s="137"/>
      <c r="F81" s="137"/>
      <c r="G81" s="137"/>
    </row>
    <row r="82" spans="4:7" x14ac:dyDescent="0.3">
      <c r="D82" s="153"/>
      <c r="E82" s="153"/>
      <c r="F82" s="153"/>
      <c r="G82" s="153"/>
    </row>
  </sheetData>
  <mergeCells count="2">
    <mergeCell ref="D1:G1"/>
    <mergeCell ref="H1:K1"/>
  </mergeCells>
  <conditionalFormatting sqref="A1">
    <cfRule type="duplicateValues" dxfId="31" priority="19"/>
    <cfRule type="duplicateValues" dxfId="30" priority="20"/>
  </conditionalFormatting>
  <conditionalFormatting sqref="A14">
    <cfRule type="duplicateValues" dxfId="29" priority="17"/>
    <cfRule type="duplicateValues" dxfId="28" priority="17"/>
  </conditionalFormatting>
  <conditionalFormatting sqref="A20">
    <cfRule type="duplicateValues" dxfId="27" priority="1"/>
    <cfRule type="duplicateValues" dxfId="26" priority="2"/>
  </conditionalFormatting>
  <conditionalFormatting sqref="A41">
    <cfRule type="duplicateValues" dxfId="25" priority="5"/>
    <cfRule type="duplicateValues" dxfId="24" priority="6"/>
  </conditionalFormatting>
  <conditionalFormatting sqref="A54">
    <cfRule type="duplicateValues" dxfId="23" priority="3"/>
    <cfRule type="duplicateValues" dxfId="22" priority="4"/>
  </conditionalFormatting>
  <conditionalFormatting sqref="A57">
    <cfRule type="duplicateValues" dxfId="21" priority="15"/>
    <cfRule type="duplicateValues" dxfId="20" priority="15"/>
  </conditionalFormatting>
  <conditionalFormatting sqref="A58:A60 A7 A23:A40 A62 A42:A53 A55">
    <cfRule type="duplicateValues" dxfId="19" priority="18"/>
    <cfRule type="duplicateValues" dxfId="18" priority="21"/>
  </conditionalFormatting>
  <conditionalFormatting sqref="A61">
    <cfRule type="duplicateValues" dxfId="17" priority="11"/>
    <cfRule type="duplicateValues" dxfId="16" priority="11"/>
  </conditionalFormatting>
  <conditionalFormatting sqref="A67:A74">
    <cfRule type="duplicateValues" dxfId="15" priority="16"/>
    <cfRule type="duplicateValues" dxfId="14" priority="22"/>
  </conditionalFormatting>
  <conditionalFormatting sqref="A75:A76 A2:A6 A8:A13 A15:A19 A56 A66 A21:A22">
    <cfRule type="duplicateValues" dxfId="13" priority="13"/>
    <cfRule type="duplicateValues" dxfId="12" priority="14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19</vt:i4>
      </vt:variant>
    </vt:vector>
  </HeadingPairs>
  <TitlesOfParts>
    <vt:vector size="19" baseType="lpstr">
      <vt:lpstr>דוח הנהלה</vt:lpstr>
      <vt:lpstr>תפוקה מצטברת מול אשתקד</vt:lpstr>
      <vt:lpstr>תפוקה חודשית מול אשתקד</vt:lpstr>
      <vt:lpstr>תפוקה מצטברת מול יעד מצטבר</vt:lpstr>
      <vt:lpstr>תפוקה מול יעד חודשי</vt:lpstr>
      <vt:lpstr>עולים יורדים</vt:lpstr>
      <vt:lpstr>הכשרה</vt:lpstr>
      <vt:lpstr>מגדל</vt:lpstr>
      <vt:lpstr>מנורה</vt:lpstr>
      <vt:lpstr>איילון</vt:lpstr>
      <vt:lpstr>הראל</vt:lpstr>
      <vt:lpstr>הפניקס</vt:lpstr>
      <vt:lpstr>כלל</vt:lpstr>
      <vt:lpstr>מור</vt:lpstr>
      <vt:lpstr>אלטשולר שחם</vt:lpstr>
      <vt:lpstr>מדיהו </vt:lpstr>
      <vt:lpstr>אנליסט </vt:lpstr>
      <vt:lpstr>מיטב דש</vt:lpstr>
      <vt:lpstr>אינפניטי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lena</dc:creator>
  <cp:lastModifiedBy>גלית ואלצר | גל אלמגור ביטוח</cp:lastModifiedBy>
  <cp:lastPrinted>2024-04-20T19:16:09Z</cp:lastPrinted>
  <dcterms:created xsi:type="dcterms:W3CDTF">2023-08-01T07:26:23Z</dcterms:created>
  <dcterms:modified xsi:type="dcterms:W3CDTF">2025-08-10T09:33:26Z</dcterms:modified>
</cp:coreProperties>
</file>