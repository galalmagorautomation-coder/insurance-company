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1KgdrUoWmOuim7wOdzgAhjLF35Tr523z\מאגר מידע של גל אלמגור\דוחות תפוקה\דוחות תפוקה ביטוח חיים\2025\01.2025\"/>
    </mc:Choice>
  </mc:AlternateContent>
  <xr:revisionPtr revIDLastSave="0" documentId="13_ncr:1_{0CA09CE7-684B-4734-A14B-FF8866619FA6}" xr6:coauthVersionLast="47" xr6:coauthVersionMax="47" xr10:uidLastSave="{00000000-0000-0000-0000-000000000000}"/>
  <bookViews>
    <workbookView xWindow="28680" yWindow="-120" windowWidth="29040" windowHeight="15720" tabRatio="933" xr2:uid="{EAA44E19-442B-426F-BCE2-2F28622BB0FA}"/>
  </bookViews>
  <sheets>
    <sheet name="דוח הנהלה" sheetId="11" r:id="rId1"/>
    <sheet name="תפוקה מצטברת מול אשתקד" sheetId="12" r:id="rId2"/>
    <sheet name="תפוקה מצטברת מול יעד מצטבר" sheetId="13" r:id="rId3"/>
    <sheet name="תפוקה מול יעד חודשי" sheetId="14" r:id="rId4"/>
    <sheet name="עולים יורדים" sheetId="10" r:id="rId5"/>
    <sheet name="הכשרה" sheetId="1" r:id="rId6"/>
    <sheet name="מגדל" sheetId="3" r:id="rId7"/>
    <sheet name="מנורה" sheetId="2" r:id="rId8"/>
    <sheet name="איילון" sheetId="4" r:id="rId9"/>
    <sheet name="הראל" sheetId="5" r:id="rId10"/>
    <sheet name="הפניקס" sheetId="6" r:id="rId11"/>
    <sheet name="כלל" sheetId="7" r:id="rId12"/>
    <sheet name="מור" sheetId="8" r:id="rId13"/>
    <sheet name="אלטשולר שחם" sheetId="9" r:id="rId14"/>
    <sheet name="מדיהו " sheetId="17" r:id="rId15"/>
    <sheet name="אנליסט " sheetId="15" r:id="rId16"/>
    <sheet name="מיטב דש" sheetId="16" r:id="rId17"/>
    <sheet name="אינפניטי" sheetId="18" r:id="rId18"/>
  </sheets>
  <externalReferences>
    <externalReference r:id="rId19"/>
    <externalReference r:id="rId20"/>
    <externalReference r:id="rId21"/>
    <externalReference r:id="rId22"/>
  </externalReferences>
  <definedNames>
    <definedName name="_xlnm._FilterDatabase" localSheetId="8" hidden="1">איילון!$A$2:$N$72</definedName>
    <definedName name="_xlnm._FilterDatabase" localSheetId="17" hidden="1">אינפניטי!$A$2:$K$72</definedName>
    <definedName name="_xlnm._FilterDatabase" localSheetId="13" hidden="1">'אלטשולר שחם'!$A$2:$K$72</definedName>
    <definedName name="_xlnm._FilterDatabase" localSheetId="15" hidden="1">'אנליסט '!$A$2:$K$72</definedName>
    <definedName name="_xlnm._FilterDatabase" localSheetId="5" hidden="1">הכשרה!$A$2:$K$72</definedName>
    <definedName name="_xlnm._FilterDatabase" localSheetId="10" hidden="1">הפניקס!$A$2:$K$72</definedName>
    <definedName name="_xlnm._FilterDatabase" localSheetId="9" hidden="1">הראל!$A$2:$P$72</definedName>
    <definedName name="_xlnm._FilterDatabase" localSheetId="11" hidden="1">כלל!$A$2:$L$72</definedName>
    <definedName name="_xlnm._FilterDatabase" localSheetId="6" hidden="1">מגדל!$A$2:$M$72</definedName>
    <definedName name="_xlnm._FilterDatabase" localSheetId="14" hidden="1">'מדיהו '!$A$2:$K$72</definedName>
    <definedName name="_xlnm._FilterDatabase" localSheetId="12" hidden="1">מור!$A$2:$O$72</definedName>
    <definedName name="_xlnm._FilterDatabase" localSheetId="16" hidden="1">'מיטב דש'!$A$2:$K$72</definedName>
    <definedName name="_xlnm._FilterDatabase" localSheetId="7" hidden="1">מנורה!$A$2:$L$72</definedName>
    <definedName name="_xlnm._FilterDatabase" localSheetId="4" hidden="1">'עולים יורדים'!$A$1:$F$65</definedName>
    <definedName name="_xlnm._FilterDatabase" localSheetId="3" hidden="1">'תפוקה מול יעד חודשי'!$A$2:$O$72</definedName>
    <definedName name="_xlnm._FilterDatabase" localSheetId="1" hidden="1">'תפוקה מצטברת מול אשתקד'!$A$2:$R$72</definedName>
    <definedName name="_xlnm._FilterDatabase" localSheetId="2" hidden="1">'תפוקה מצטברת מול יעד מצטבר'!$A$2:$P$72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1" l="1"/>
  <c r="I71" i="12"/>
  <c r="I21" i="12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6" i="11"/>
  <c r="D46" i="11"/>
  <c r="C46" i="11"/>
  <c r="B46" i="11"/>
  <c r="E45" i="11"/>
  <c r="D45" i="11"/>
  <c r="C45" i="11"/>
  <c r="B45" i="11"/>
  <c r="E44" i="11"/>
  <c r="D44" i="11"/>
  <c r="B44" i="11"/>
  <c r="C44" i="11"/>
  <c r="E43" i="11"/>
  <c r="D43" i="11"/>
  <c r="C43" i="11"/>
  <c r="B43" i="11"/>
  <c r="E42" i="11"/>
  <c r="D42" i="11"/>
  <c r="C42" i="11"/>
  <c r="B42" i="11"/>
  <c r="I41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2" i="10"/>
  <c r="E72" i="4"/>
  <c r="F72" i="4"/>
  <c r="G72" i="4"/>
  <c r="H72" i="4"/>
  <c r="J72" i="4"/>
  <c r="K72" i="4"/>
  <c r="D72" i="4"/>
  <c r="E71" i="4"/>
  <c r="F71" i="4"/>
  <c r="G71" i="4"/>
  <c r="H71" i="4"/>
  <c r="J71" i="4"/>
  <c r="K71" i="4"/>
  <c r="E62" i="4"/>
  <c r="F62" i="4"/>
  <c r="G62" i="4"/>
  <c r="H62" i="4"/>
  <c r="J62" i="4"/>
  <c r="K62" i="4"/>
  <c r="D62" i="4"/>
  <c r="E54" i="4"/>
  <c r="F54" i="4"/>
  <c r="G54" i="4"/>
  <c r="H54" i="4"/>
  <c r="J54" i="4"/>
  <c r="K54" i="4"/>
  <c r="D54" i="4"/>
  <c r="E21" i="4"/>
  <c r="F21" i="4"/>
  <c r="G21" i="4"/>
  <c r="H21" i="4"/>
  <c r="J21" i="4"/>
  <c r="K21" i="4"/>
  <c r="D21" i="4"/>
  <c r="E8" i="4"/>
  <c r="F8" i="4"/>
  <c r="G8" i="4"/>
  <c r="H8" i="4"/>
  <c r="J8" i="4"/>
  <c r="K8" i="4"/>
  <c r="D8" i="4"/>
  <c r="E5" i="4"/>
  <c r="I8" i="14"/>
  <c r="J8" i="14"/>
  <c r="K8" i="14"/>
  <c r="H8" i="14"/>
  <c r="I28" i="14"/>
  <c r="J28" i="14"/>
  <c r="K28" i="14"/>
  <c r="I29" i="14"/>
  <c r="J29" i="14"/>
  <c r="K29" i="14"/>
  <c r="I30" i="14"/>
  <c r="J30" i="14"/>
  <c r="K30" i="14"/>
  <c r="I31" i="14"/>
  <c r="J31" i="14"/>
  <c r="K31" i="14"/>
  <c r="I32" i="14"/>
  <c r="J32" i="14"/>
  <c r="K32" i="14"/>
  <c r="I33" i="14"/>
  <c r="J33" i="14"/>
  <c r="K33" i="14"/>
  <c r="I34" i="14"/>
  <c r="J34" i="14"/>
  <c r="K34" i="14"/>
  <c r="I35" i="14"/>
  <c r="J35" i="14"/>
  <c r="K35" i="14"/>
  <c r="I36" i="14"/>
  <c r="J36" i="14"/>
  <c r="K36" i="14"/>
  <c r="I37" i="14"/>
  <c r="J37" i="14"/>
  <c r="K37" i="14"/>
  <c r="I38" i="14"/>
  <c r="J38" i="14"/>
  <c r="K38" i="14"/>
  <c r="I39" i="14"/>
  <c r="J39" i="14"/>
  <c r="K39" i="14"/>
  <c r="I43" i="14"/>
  <c r="J43" i="14"/>
  <c r="K43" i="14"/>
  <c r="I44" i="14"/>
  <c r="J44" i="14"/>
  <c r="K44" i="14"/>
  <c r="I45" i="14"/>
  <c r="J45" i="14"/>
  <c r="K45" i="14"/>
  <c r="I46" i="14"/>
  <c r="J46" i="14"/>
  <c r="K46" i="14"/>
  <c r="I47" i="14"/>
  <c r="J47" i="14"/>
  <c r="K47" i="14"/>
  <c r="I48" i="14"/>
  <c r="J48" i="14"/>
  <c r="K48" i="14"/>
  <c r="I52" i="14"/>
  <c r="J52" i="14"/>
  <c r="K52" i="14"/>
  <c r="I53" i="14"/>
  <c r="J53" i="14"/>
  <c r="K53" i="14"/>
  <c r="I55" i="14"/>
  <c r="J55" i="14"/>
  <c r="J62" i="14" s="1"/>
  <c r="K55" i="14"/>
  <c r="K62" i="14" s="1"/>
  <c r="I56" i="14"/>
  <c r="I62" i="14" s="1"/>
  <c r="J56" i="14"/>
  <c r="K56" i="14"/>
  <c r="I57" i="14"/>
  <c r="J57" i="14"/>
  <c r="K57" i="14"/>
  <c r="I58" i="14"/>
  <c r="J58" i="14"/>
  <c r="K58" i="14"/>
  <c r="I59" i="14"/>
  <c r="J59" i="14"/>
  <c r="K59" i="14"/>
  <c r="I60" i="14"/>
  <c r="J60" i="14"/>
  <c r="K60" i="14"/>
  <c r="I61" i="14"/>
  <c r="J61" i="14"/>
  <c r="K61" i="14"/>
  <c r="I63" i="14"/>
  <c r="I71" i="14" s="1"/>
  <c r="I72" i="14" s="1"/>
  <c r="J63" i="14"/>
  <c r="J71" i="14" s="1"/>
  <c r="J72" i="14" s="1"/>
  <c r="K63" i="14"/>
  <c r="I64" i="14"/>
  <c r="J64" i="14"/>
  <c r="K64" i="14"/>
  <c r="K71" i="14" s="1"/>
  <c r="I65" i="14"/>
  <c r="J65" i="14"/>
  <c r="K65" i="14"/>
  <c r="I68" i="14"/>
  <c r="J68" i="14"/>
  <c r="K68" i="14"/>
  <c r="I69" i="14"/>
  <c r="J69" i="14"/>
  <c r="K69" i="14"/>
  <c r="I70" i="14"/>
  <c r="J70" i="14"/>
  <c r="K70" i="14"/>
  <c r="I10" i="14"/>
  <c r="J10" i="14"/>
  <c r="K10" i="14"/>
  <c r="I11" i="14"/>
  <c r="J11" i="14"/>
  <c r="K11" i="14"/>
  <c r="I12" i="14"/>
  <c r="J12" i="14"/>
  <c r="K12" i="14"/>
  <c r="I13" i="14"/>
  <c r="J13" i="14"/>
  <c r="K13" i="14"/>
  <c r="I14" i="14"/>
  <c r="J14" i="14"/>
  <c r="K14" i="14"/>
  <c r="I15" i="14"/>
  <c r="J15" i="14"/>
  <c r="K15" i="14"/>
  <c r="I16" i="14"/>
  <c r="J16" i="14"/>
  <c r="K16" i="14"/>
  <c r="I17" i="14"/>
  <c r="J17" i="14"/>
  <c r="K17" i="14"/>
  <c r="I18" i="14"/>
  <c r="J18" i="14"/>
  <c r="K18" i="14"/>
  <c r="I19" i="14"/>
  <c r="J19" i="14"/>
  <c r="K19" i="14"/>
  <c r="I20" i="14"/>
  <c r="J20" i="14"/>
  <c r="K20" i="14"/>
  <c r="I22" i="14"/>
  <c r="I54" i="14" s="1"/>
  <c r="J22" i="14"/>
  <c r="J54" i="14" s="1"/>
  <c r="K22" i="14"/>
  <c r="K54" i="14" s="1"/>
  <c r="I23" i="14"/>
  <c r="J23" i="14"/>
  <c r="K23" i="14"/>
  <c r="I24" i="14"/>
  <c r="J24" i="14"/>
  <c r="K24" i="14"/>
  <c r="I26" i="14"/>
  <c r="J26" i="14"/>
  <c r="K26" i="14"/>
  <c r="I27" i="14"/>
  <c r="J27" i="14"/>
  <c r="K27" i="14"/>
  <c r="K9" i="14"/>
  <c r="K21" i="14" s="1"/>
  <c r="J9" i="14"/>
  <c r="J21" i="14" s="1"/>
  <c r="I9" i="14"/>
  <c r="I21" i="14" s="1"/>
  <c r="H10" i="14"/>
  <c r="H11" i="14"/>
  <c r="H12" i="14"/>
  <c r="H13" i="14"/>
  <c r="H14" i="14"/>
  <c r="H15" i="14"/>
  <c r="H16" i="14"/>
  <c r="H17" i="14"/>
  <c r="H18" i="14"/>
  <c r="H19" i="14"/>
  <c r="H20" i="14"/>
  <c r="H22" i="14"/>
  <c r="H23" i="14"/>
  <c r="H24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3" i="14"/>
  <c r="H44" i="14"/>
  <c r="H45" i="14"/>
  <c r="H46" i="14"/>
  <c r="H47" i="14"/>
  <c r="H48" i="14"/>
  <c r="H52" i="14"/>
  <c r="H53" i="14"/>
  <c r="H55" i="14"/>
  <c r="H62" i="14" s="1"/>
  <c r="H56" i="14"/>
  <c r="H57" i="14"/>
  <c r="H58" i="14"/>
  <c r="H59" i="14"/>
  <c r="H60" i="14"/>
  <c r="H61" i="14"/>
  <c r="H63" i="14"/>
  <c r="H71" i="14" s="1"/>
  <c r="H64" i="14"/>
  <c r="H65" i="14"/>
  <c r="H68" i="14"/>
  <c r="H69" i="14"/>
  <c r="H70" i="14"/>
  <c r="H9" i="14"/>
  <c r="H21" i="14" s="1"/>
  <c r="H25" i="14" s="1"/>
  <c r="H54" i="14" s="1"/>
  <c r="K72" i="14" l="1"/>
  <c r="H72" i="14"/>
  <c r="I4" i="4"/>
  <c r="I7" i="4"/>
  <c r="I9" i="4"/>
  <c r="I10" i="4"/>
  <c r="I11" i="4"/>
  <c r="I12" i="4"/>
  <c r="I13" i="4"/>
  <c r="I14" i="4"/>
  <c r="I15" i="4"/>
  <c r="I17" i="4"/>
  <c r="I18" i="4"/>
  <c r="I19" i="4"/>
  <c r="I20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7" i="4"/>
  <c r="I48" i="4"/>
  <c r="I50" i="4"/>
  <c r="I51" i="4"/>
  <c r="I52" i="4"/>
  <c r="I53" i="4"/>
  <c r="I55" i="4"/>
  <c r="I56" i="4"/>
  <c r="I57" i="4"/>
  <c r="I58" i="4"/>
  <c r="I59" i="4"/>
  <c r="I60" i="4"/>
  <c r="I63" i="4"/>
  <c r="I64" i="4"/>
  <c r="I65" i="4"/>
  <c r="I66" i="4"/>
  <c r="I67" i="4"/>
  <c r="I70" i="4"/>
  <c r="I3" i="4"/>
  <c r="J8" i="9"/>
  <c r="J9" i="9"/>
  <c r="J10" i="9"/>
  <c r="J11" i="9"/>
  <c r="J12" i="9"/>
  <c r="J13" i="9"/>
  <c r="J14" i="9"/>
  <c r="J15" i="9"/>
  <c r="J17" i="9"/>
  <c r="J18" i="9"/>
  <c r="J19" i="9"/>
  <c r="J20" i="9"/>
  <c r="J22" i="9"/>
  <c r="J54" i="9" s="1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50" i="9"/>
  <c r="J51" i="9"/>
  <c r="J52" i="9"/>
  <c r="J53" i="9"/>
  <c r="J55" i="9"/>
  <c r="J62" i="9" s="1"/>
  <c r="J56" i="9"/>
  <c r="J57" i="9"/>
  <c r="J58" i="9"/>
  <c r="J4" i="9"/>
  <c r="J3" i="9"/>
  <c r="K4" i="12"/>
  <c r="O4" i="14" s="1"/>
  <c r="K5" i="12"/>
  <c r="O5" i="14" s="1"/>
  <c r="K6" i="12"/>
  <c r="O6" i="14" s="1"/>
  <c r="K7" i="12"/>
  <c r="O7" i="14" s="1"/>
  <c r="K9" i="12"/>
  <c r="K10" i="12"/>
  <c r="O10" i="14" s="1"/>
  <c r="K11" i="12"/>
  <c r="O11" i="14" s="1"/>
  <c r="K12" i="12"/>
  <c r="O12" i="14" s="1"/>
  <c r="K13" i="12"/>
  <c r="O13" i="14" s="1"/>
  <c r="K14" i="12"/>
  <c r="O14" i="14" s="1"/>
  <c r="K15" i="12"/>
  <c r="O15" i="14" s="1"/>
  <c r="K16" i="12"/>
  <c r="O16" i="14" s="1"/>
  <c r="K17" i="12"/>
  <c r="O17" i="14" s="1"/>
  <c r="K18" i="12"/>
  <c r="O18" i="14" s="1"/>
  <c r="K19" i="12"/>
  <c r="O19" i="14" s="1"/>
  <c r="K20" i="12"/>
  <c r="O20" i="14" s="1"/>
  <c r="K22" i="12"/>
  <c r="K23" i="12"/>
  <c r="O23" i="14" s="1"/>
  <c r="K24" i="12"/>
  <c r="O24" i="14" s="1"/>
  <c r="K25" i="12"/>
  <c r="O25" i="14" s="1"/>
  <c r="K26" i="12"/>
  <c r="O26" i="14" s="1"/>
  <c r="K27" i="12"/>
  <c r="O27" i="14" s="1"/>
  <c r="K28" i="12"/>
  <c r="O28" i="14" s="1"/>
  <c r="K29" i="12"/>
  <c r="O29" i="14" s="1"/>
  <c r="K30" i="12"/>
  <c r="O30" i="14" s="1"/>
  <c r="K31" i="12"/>
  <c r="O31" i="14" s="1"/>
  <c r="K32" i="12"/>
  <c r="O32" i="14" s="1"/>
  <c r="K33" i="12"/>
  <c r="O33" i="14" s="1"/>
  <c r="K34" i="12"/>
  <c r="O34" i="14" s="1"/>
  <c r="K35" i="12"/>
  <c r="O35" i="14" s="1"/>
  <c r="K36" i="12"/>
  <c r="O36" i="14" s="1"/>
  <c r="K37" i="12"/>
  <c r="O37" i="14" s="1"/>
  <c r="K38" i="12"/>
  <c r="O38" i="14" s="1"/>
  <c r="K39" i="12"/>
  <c r="O39" i="14" s="1"/>
  <c r="K40" i="12"/>
  <c r="O40" i="14" s="1"/>
  <c r="K41" i="12"/>
  <c r="O41" i="14" s="1"/>
  <c r="K42" i="12"/>
  <c r="O42" i="14" s="1"/>
  <c r="K43" i="12"/>
  <c r="O43" i="14" s="1"/>
  <c r="K44" i="12"/>
  <c r="O44" i="14" s="1"/>
  <c r="K45" i="12"/>
  <c r="O45" i="14" s="1"/>
  <c r="K46" i="12"/>
  <c r="O46" i="14" s="1"/>
  <c r="K47" i="12"/>
  <c r="O47" i="14" s="1"/>
  <c r="K48" i="12"/>
  <c r="O48" i="14" s="1"/>
  <c r="K49" i="12"/>
  <c r="O49" i="14" s="1"/>
  <c r="K50" i="12"/>
  <c r="O50" i="14" s="1"/>
  <c r="K51" i="12"/>
  <c r="O51" i="14" s="1"/>
  <c r="K52" i="12"/>
  <c r="O52" i="14" s="1"/>
  <c r="K53" i="12"/>
  <c r="O53" i="14" s="1"/>
  <c r="K55" i="12"/>
  <c r="K56" i="12"/>
  <c r="O56" i="14" s="1"/>
  <c r="K57" i="12"/>
  <c r="O57" i="14" s="1"/>
  <c r="K58" i="12"/>
  <c r="O58" i="14" s="1"/>
  <c r="K59" i="12"/>
  <c r="O59" i="14" s="1"/>
  <c r="K60" i="12"/>
  <c r="O60" i="14" s="1"/>
  <c r="K61" i="12"/>
  <c r="O61" i="14" s="1"/>
  <c r="K63" i="12"/>
  <c r="O63" i="14" s="1"/>
  <c r="K64" i="12"/>
  <c r="O64" i="14" s="1"/>
  <c r="K65" i="12"/>
  <c r="O65" i="14" s="1"/>
  <c r="K66" i="12"/>
  <c r="O66" i="14" s="1"/>
  <c r="K67" i="12"/>
  <c r="O67" i="14" s="1"/>
  <c r="K68" i="12"/>
  <c r="O68" i="14" s="1"/>
  <c r="K69" i="12"/>
  <c r="O69" i="14" s="1"/>
  <c r="K70" i="12"/>
  <c r="O70" i="14" s="1"/>
  <c r="K3" i="12"/>
  <c r="I45" i="12"/>
  <c r="M45" i="14" s="1"/>
  <c r="J4" i="12"/>
  <c r="N4" i="14" s="1"/>
  <c r="J5" i="12"/>
  <c r="N5" i="14" s="1"/>
  <c r="J6" i="12"/>
  <c r="N6" i="14" s="1"/>
  <c r="J7" i="12"/>
  <c r="N7" i="14" s="1"/>
  <c r="J9" i="12"/>
  <c r="J10" i="12"/>
  <c r="N10" i="14" s="1"/>
  <c r="J11" i="12"/>
  <c r="N11" i="14" s="1"/>
  <c r="J12" i="12"/>
  <c r="N12" i="14" s="1"/>
  <c r="J13" i="12"/>
  <c r="N13" i="14" s="1"/>
  <c r="J14" i="12"/>
  <c r="N14" i="14" s="1"/>
  <c r="J15" i="12"/>
  <c r="N15" i="14" s="1"/>
  <c r="J16" i="12"/>
  <c r="N16" i="14" s="1"/>
  <c r="J17" i="12"/>
  <c r="N17" i="14" s="1"/>
  <c r="J18" i="12"/>
  <c r="N18" i="14" s="1"/>
  <c r="J19" i="12"/>
  <c r="N19" i="14" s="1"/>
  <c r="J20" i="12"/>
  <c r="N20" i="14" s="1"/>
  <c r="J22" i="12"/>
  <c r="J23" i="12"/>
  <c r="N23" i="14" s="1"/>
  <c r="J24" i="12"/>
  <c r="N24" i="14" s="1"/>
  <c r="J25" i="12"/>
  <c r="N25" i="14" s="1"/>
  <c r="J26" i="12"/>
  <c r="N26" i="14" s="1"/>
  <c r="J27" i="12"/>
  <c r="N27" i="14" s="1"/>
  <c r="J28" i="12"/>
  <c r="N28" i="14" s="1"/>
  <c r="J29" i="12"/>
  <c r="N29" i="14" s="1"/>
  <c r="J30" i="12"/>
  <c r="N30" i="14" s="1"/>
  <c r="J31" i="12"/>
  <c r="N31" i="14" s="1"/>
  <c r="J32" i="12"/>
  <c r="N32" i="14" s="1"/>
  <c r="J33" i="12"/>
  <c r="N33" i="14" s="1"/>
  <c r="J34" i="12"/>
  <c r="N34" i="14" s="1"/>
  <c r="J35" i="12"/>
  <c r="N35" i="14" s="1"/>
  <c r="J36" i="12"/>
  <c r="N36" i="14" s="1"/>
  <c r="J37" i="12"/>
  <c r="N37" i="14" s="1"/>
  <c r="J38" i="12"/>
  <c r="N38" i="14" s="1"/>
  <c r="J39" i="12"/>
  <c r="N39" i="14" s="1"/>
  <c r="J40" i="12"/>
  <c r="N40" i="14" s="1"/>
  <c r="J41" i="12"/>
  <c r="N41" i="14" s="1"/>
  <c r="J42" i="12"/>
  <c r="N42" i="14" s="1"/>
  <c r="J43" i="12"/>
  <c r="N43" i="14" s="1"/>
  <c r="J44" i="12"/>
  <c r="N44" i="14" s="1"/>
  <c r="J45" i="12"/>
  <c r="N45" i="14" s="1"/>
  <c r="J46" i="12"/>
  <c r="N46" i="14" s="1"/>
  <c r="J47" i="12"/>
  <c r="N47" i="14" s="1"/>
  <c r="J48" i="12"/>
  <c r="N48" i="14" s="1"/>
  <c r="J49" i="12"/>
  <c r="N49" i="14" s="1"/>
  <c r="J50" i="12"/>
  <c r="N50" i="14" s="1"/>
  <c r="J51" i="12"/>
  <c r="N51" i="14" s="1"/>
  <c r="J52" i="12"/>
  <c r="N52" i="14" s="1"/>
  <c r="J53" i="12"/>
  <c r="N53" i="14" s="1"/>
  <c r="J55" i="12"/>
  <c r="J56" i="12"/>
  <c r="N56" i="14" s="1"/>
  <c r="J57" i="12"/>
  <c r="N57" i="14" s="1"/>
  <c r="J58" i="12"/>
  <c r="N58" i="14" s="1"/>
  <c r="J59" i="12"/>
  <c r="N59" i="14" s="1"/>
  <c r="J60" i="12"/>
  <c r="N60" i="14" s="1"/>
  <c r="J61" i="12"/>
  <c r="N61" i="14" s="1"/>
  <c r="J63" i="12"/>
  <c r="N63" i="14" s="1"/>
  <c r="J64" i="12"/>
  <c r="N64" i="14" s="1"/>
  <c r="J65" i="12"/>
  <c r="N65" i="14" s="1"/>
  <c r="J66" i="12"/>
  <c r="N66" i="14" s="1"/>
  <c r="J67" i="12"/>
  <c r="N67" i="14" s="1"/>
  <c r="J68" i="12"/>
  <c r="N68" i="14" s="1"/>
  <c r="J69" i="12"/>
  <c r="N69" i="14" s="1"/>
  <c r="J70" i="12"/>
  <c r="N70" i="14" s="1"/>
  <c r="J3" i="12"/>
  <c r="I4" i="12"/>
  <c r="M4" i="14" s="1"/>
  <c r="I5" i="12"/>
  <c r="M5" i="14" s="1"/>
  <c r="I6" i="12"/>
  <c r="M6" i="14" s="1"/>
  <c r="I7" i="12"/>
  <c r="M7" i="14" s="1"/>
  <c r="I9" i="12"/>
  <c r="I10" i="12"/>
  <c r="M10" i="14" s="1"/>
  <c r="I11" i="12"/>
  <c r="M11" i="14" s="1"/>
  <c r="I12" i="12"/>
  <c r="M12" i="14" s="1"/>
  <c r="I13" i="12"/>
  <c r="M13" i="14" s="1"/>
  <c r="I14" i="12"/>
  <c r="M14" i="14" s="1"/>
  <c r="I15" i="12"/>
  <c r="M15" i="14" s="1"/>
  <c r="I16" i="12"/>
  <c r="M16" i="14" s="1"/>
  <c r="I17" i="12"/>
  <c r="M17" i="14" s="1"/>
  <c r="I18" i="12"/>
  <c r="M18" i="14" s="1"/>
  <c r="I19" i="12"/>
  <c r="M19" i="14" s="1"/>
  <c r="I20" i="12"/>
  <c r="M20" i="14" s="1"/>
  <c r="I22" i="12"/>
  <c r="I23" i="12"/>
  <c r="M23" i="14" s="1"/>
  <c r="I24" i="12"/>
  <c r="M24" i="14" s="1"/>
  <c r="I25" i="12"/>
  <c r="M25" i="14" s="1"/>
  <c r="I26" i="12"/>
  <c r="M26" i="14" s="1"/>
  <c r="I27" i="12"/>
  <c r="M27" i="14" s="1"/>
  <c r="I28" i="12"/>
  <c r="M28" i="14" s="1"/>
  <c r="I29" i="12"/>
  <c r="M29" i="14" s="1"/>
  <c r="I30" i="12"/>
  <c r="M30" i="14" s="1"/>
  <c r="I31" i="12"/>
  <c r="M31" i="14" s="1"/>
  <c r="I32" i="12"/>
  <c r="M32" i="14" s="1"/>
  <c r="I33" i="12"/>
  <c r="M33" i="14" s="1"/>
  <c r="I34" i="12"/>
  <c r="M34" i="14" s="1"/>
  <c r="I35" i="12"/>
  <c r="M35" i="14" s="1"/>
  <c r="I36" i="12"/>
  <c r="M36" i="14" s="1"/>
  <c r="I37" i="12"/>
  <c r="M37" i="14" s="1"/>
  <c r="I38" i="12"/>
  <c r="M38" i="14" s="1"/>
  <c r="I39" i="12"/>
  <c r="M39" i="14" s="1"/>
  <c r="I40" i="12"/>
  <c r="M40" i="14" s="1"/>
  <c r="I41" i="12"/>
  <c r="M41" i="14" s="1"/>
  <c r="I42" i="12"/>
  <c r="M42" i="14" s="1"/>
  <c r="I43" i="12"/>
  <c r="M43" i="14" s="1"/>
  <c r="I44" i="12"/>
  <c r="M44" i="14" s="1"/>
  <c r="I46" i="12"/>
  <c r="M46" i="14" s="1"/>
  <c r="I47" i="12"/>
  <c r="M47" i="14" s="1"/>
  <c r="I48" i="12"/>
  <c r="M48" i="14" s="1"/>
  <c r="I49" i="12"/>
  <c r="I50" i="12"/>
  <c r="M50" i="14" s="1"/>
  <c r="I51" i="12"/>
  <c r="M51" i="14" s="1"/>
  <c r="I52" i="12"/>
  <c r="M52" i="14" s="1"/>
  <c r="I53" i="12"/>
  <c r="M53" i="14" s="1"/>
  <c r="I55" i="12"/>
  <c r="I56" i="12"/>
  <c r="M56" i="14" s="1"/>
  <c r="I57" i="12"/>
  <c r="M57" i="14" s="1"/>
  <c r="I58" i="12"/>
  <c r="M58" i="14" s="1"/>
  <c r="I59" i="12"/>
  <c r="M59" i="14" s="1"/>
  <c r="I60" i="12"/>
  <c r="M60" i="14" s="1"/>
  <c r="I61" i="12"/>
  <c r="M61" i="14" s="1"/>
  <c r="I63" i="12"/>
  <c r="M63" i="14" s="1"/>
  <c r="I64" i="12"/>
  <c r="M64" i="14" s="1"/>
  <c r="I65" i="12"/>
  <c r="M65" i="14" s="1"/>
  <c r="I66" i="12"/>
  <c r="M66" i="14" s="1"/>
  <c r="I67" i="12"/>
  <c r="M67" i="14" s="1"/>
  <c r="I68" i="12"/>
  <c r="M68" i="14" s="1"/>
  <c r="I69" i="12"/>
  <c r="M69" i="14" s="1"/>
  <c r="I70" i="12"/>
  <c r="M70" i="14" s="1"/>
  <c r="I3" i="12"/>
  <c r="H4" i="12"/>
  <c r="L4" i="14" s="1"/>
  <c r="H5" i="12"/>
  <c r="L5" i="14" s="1"/>
  <c r="H6" i="12"/>
  <c r="L6" i="14" s="1"/>
  <c r="H7" i="12"/>
  <c r="L7" i="14" s="1"/>
  <c r="H9" i="12"/>
  <c r="H10" i="12"/>
  <c r="L10" i="14" s="1"/>
  <c r="H11" i="12"/>
  <c r="L11" i="14" s="1"/>
  <c r="H12" i="12"/>
  <c r="L12" i="14" s="1"/>
  <c r="H13" i="12"/>
  <c r="L13" i="14" s="1"/>
  <c r="H14" i="12"/>
  <c r="L14" i="14" s="1"/>
  <c r="H15" i="12"/>
  <c r="L15" i="14" s="1"/>
  <c r="H16" i="12"/>
  <c r="L16" i="14" s="1"/>
  <c r="H17" i="12"/>
  <c r="L17" i="14" s="1"/>
  <c r="H18" i="12"/>
  <c r="L18" i="14" s="1"/>
  <c r="H19" i="12"/>
  <c r="L19" i="14" s="1"/>
  <c r="H20" i="12"/>
  <c r="L20" i="14" s="1"/>
  <c r="H22" i="12"/>
  <c r="H23" i="12"/>
  <c r="L23" i="14" s="1"/>
  <c r="H24" i="12"/>
  <c r="L24" i="14" s="1"/>
  <c r="H25" i="12"/>
  <c r="L25" i="14" s="1"/>
  <c r="H26" i="12"/>
  <c r="L26" i="14" s="1"/>
  <c r="H27" i="12"/>
  <c r="L27" i="14" s="1"/>
  <c r="H28" i="12"/>
  <c r="L28" i="14" s="1"/>
  <c r="H29" i="12"/>
  <c r="L29" i="14" s="1"/>
  <c r="H30" i="12"/>
  <c r="L30" i="14" s="1"/>
  <c r="H31" i="12"/>
  <c r="L31" i="14" s="1"/>
  <c r="H32" i="12"/>
  <c r="L32" i="14" s="1"/>
  <c r="H33" i="12"/>
  <c r="L33" i="14" s="1"/>
  <c r="H34" i="12"/>
  <c r="L34" i="14" s="1"/>
  <c r="H35" i="12"/>
  <c r="L35" i="14" s="1"/>
  <c r="H36" i="12"/>
  <c r="L36" i="14" s="1"/>
  <c r="H37" i="12"/>
  <c r="L37" i="14" s="1"/>
  <c r="H38" i="12"/>
  <c r="L38" i="14" s="1"/>
  <c r="H39" i="12"/>
  <c r="L39" i="14" s="1"/>
  <c r="H40" i="12"/>
  <c r="L40" i="14" s="1"/>
  <c r="H41" i="12"/>
  <c r="L41" i="14" s="1"/>
  <c r="H42" i="12"/>
  <c r="L42" i="14" s="1"/>
  <c r="H43" i="12"/>
  <c r="L43" i="14" s="1"/>
  <c r="H44" i="12"/>
  <c r="L44" i="14" s="1"/>
  <c r="H45" i="12"/>
  <c r="L45" i="14" s="1"/>
  <c r="H46" i="12"/>
  <c r="L46" i="14" s="1"/>
  <c r="H47" i="12"/>
  <c r="L47" i="14" s="1"/>
  <c r="H48" i="12"/>
  <c r="L48" i="14" s="1"/>
  <c r="H49" i="12"/>
  <c r="L49" i="14" s="1"/>
  <c r="H50" i="12"/>
  <c r="L50" i="14" s="1"/>
  <c r="H51" i="12"/>
  <c r="L51" i="14" s="1"/>
  <c r="H52" i="12"/>
  <c r="L52" i="14" s="1"/>
  <c r="H53" i="12"/>
  <c r="L53" i="14" s="1"/>
  <c r="H55" i="12"/>
  <c r="H56" i="12"/>
  <c r="L56" i="14" s="1"/>
  <c r="H57" i="12"/>
  <c r="L57" i="14" s="1"/>
  <c r="H58" i="12"/>
  <c r="L58" i="14" s="1"/>
  <c r="H59" i="12"/>
  <c r="L59" i="14" s="1"/>
  <c r="H60" i="12"/>
  <c r="L60" i="14" s="1"/>
  <c r="H61" i="12"/>
  <c r="L61" i="14" s="1"/>
  <c r="H63" i="12"/>
  <c r="L63" i="14" s="1"/>
  <c r="H64" i="12"/>
  <c r="L64" i="14" s="1"/>
  <c r="H65" i="12"/>
  <c r="L65" i="14" s="1"/>
  <c r="H66" i="12"/>
  <c r="L66" i="14" s="1"/>
  <c r="H67" i="12"/>
  <c r="L67" i="14" s="1"/>
  <c r="H68" i="12"/>
  <c r="L68" i="14" s="1"/>
  <c r="H69" i="12"/>
  <c r="L69" i="14" s="1"/>
  <c r="H70" i="12"/>
  <c r="L70" i="14" s="1"/>
  <c r="H3" i="12"/>
  <c r="E72" i="17"/>
  <c r="F72" i="17"/>
  <c r="G72" i="17"/>
  <c r="H72" i="17"/>
  <c r="I72" i="17"/>
  <c r="J72" i="17"/>
  <c r="K72" i="17"/>
  <c r="D72" i="17"/>
  <c r="E71" i="17"/>
  <c r="F71" i="17"/>
  <c r="G71" i="17"/>
  <c r="H71" i="17"/>
  <c r="I71" i="17"/>
  <c r="J71" i="17"/>
  <c r="K71" i="17"/>
  <c r="D71" i="17"/>
  <c r="E62" i="17"/>
  <c r="F62" i="17"/>
  <c r="G62" i="17"/>
  <c r="H62" i="17"/>
  <c r="I62" i="17"/>
  <c r="J62" i="17"/>
  <c r="K62" i="17"/>
  <c r="D62" i="17"/>
  <c r="E54" i="17"/>
  <c r="F54" i="17"/>
  <c r="G54" i="17"/>
  <c r="H54" i="17"/>
  <c r="I54" i="17"/>
  <c r="J54" i="17"/>
  <c r="K54" i="17"/>
  <c r="D54" i="17"/>
  <c r="E21" i="17"/>
  <c r="F21" i="17"/>
  <c r="G21" i="17"/>
  <c r="H21" i="17"/>
  <c r="I21" i="17"/>
  <c r="J21" i="17"/>
  <c r="K21" i="17"/>
  <c r="D21" i="17"/>
  <c r="E8" i="17"/>
  <c r="F8" i="17"/>
  <c r="G8" i="17"/>
  <c r="H8" i="17"/>
  <c r="I8" i="17"/>
  <c r="J8" i="17"/>
  <c r="K8" i="17"/>
  <c r="D8" i="17"/>
  <c r="O28" i="11" l="1"/>
  <c r="O30" i="11"/>
  <c r="O31" i="11"/>
  <c r="M49" i="14"/>
  <c r="O29" i="11"/>
  <c r="I71" i="4"/>
  <c r="I21" i="4"/>
  <c r="J21" i="9"/>
  <c r="J72" i="9" s="1"/>
  <c r="I8" i="4"/>
  <c r="I62" i="4"/>
  <c r="I54" i="4"/>
  <c r="N55" i="14"/>
  <c r="N62" i="14" s="1"/>
  <c r="F55" i="12"/>
  <c r="J62" i="12"/>
  <c r="N3" i="14"/>
  <c r="N8" i="14" s="1"/>
  <c r="J8" i="12"/>
  <c r="J71" i="12" s="1"/>
  <c r="O22" i="14"/>
  <c r="O54" i="14" s="1"/>
  <c r="K54" i="12"/>
  <c r="O9" i="14"/>
  <c r="O21" i="14" s="1"/>
  <c r="K21" i="12"/>
  <c r="L3" i="14"/>
  <c r="M22" i="14"/>
  <c r="I54" i="12"/>
  <c r="M9" i="14"/>
  <c r="M21" i="14" s="1"/>
  <c r="M55" i="14"/>
  <c r="M62" i="14" s="1"/>
  <c r="E55" i="12"/>
  <c r="I62" i="12"/>
  <c r="L22" i="14"/>
  <c r="L54" i="14" s="1"/>
  <c r="H54" i="12"/>
  <c r="L9" i="14"/>
  <c r="L21" i="14" s="1"/>
  <c r="H21" i="12"/>
  <c r="O3" i="14"/>
  <c r="O8" i="14" s="1"/>
  <c r="K8" i="12"/>
  <c r="K71" i="12" s="1"/>
  <c r="L55" i="14"/>
  <c r="L62" i="14" s="1"/>
  <c r="H62" i="12"/>
  <c r="O55" i="14"/>
  <c r="O62" i="14" s="1"/>
  <c r="G55" i="12"/>
  <c r="K62" i="12"/>
  <c r="M3" i="14"/>
  <c r="M8" i="14" s="1"/>
  <c r="I8" i="12"/>
  <c r="N22" i="14"/>
  <c r="N54" i="14" s="1"/>
  <c r="J54" i="12"/>
  <c r="N9" i="14"/>
  <c r="N21" i="14" s="1"/>
  <c r="J21" i="12"/>
  <c r="O71" i="14"/>
  <c r="L8" i="14"/>
  <c r="M71" i="14"/>
  <c r="N71" i="14"/>
  <c r="L71" i="14"/>
  <c r="J72" i="12" l="1"/>
  <c r="M54" i="14"/>
  <c r="M72" i="14" s="1"/>
  <c r="I72" i="4"/>
  <c r="I72" i="12"/>
  <c r="K72" i="12"/>
  <c r="O72" i="14"/>
  <c r="L72" i="14"/>
  <c r="N72" i="14"/>
  <c r="D72" i="6" l="1"/>
  <c r="D21" i="6"/>
  <c r="D8" i="6"/>
  <c r="D54" i="6"/>
  <c r="D72" i="3"/>
  <c r="D71" i="3"/>
  <c r="E21" i="3"/>
  <c r="F21" i="3"/>
  <c r="G21" i="3"/>
  <c r="D21" i="3"/>
  <c r="E8" i="3"/>
  <c r="F8" i="3"/>
  <c r="G8" i="3"/>
  <c r="D8" i="3"/>
  <c r="D21" i="1"/>
  <c r="E8" i="1"/>
  <c r="F8" i="1"/>
  <c r="G8" i="1"/>
  <c r="H8" i="1"/>
  <c r="I8" i="1"/>
  <c r="J8" i="1"/>
  <c r="K8" i="1"/>
  <c r="D8" i="1"/>
  <c r="E72" i="7"/>
  <c r="F72" i="7"/>
  <c r="G72" i="7"/>
  <c r="D72" i="7"/>
  <c r="E71" i="7"/>
  <c r="F71" i="7"/>
  <c r="G71" i="7"/>
  <c r="D71" i="7"/>
  <c r="G62" i="7"/>
  <c r="E62" i="7"/>
  <c r="F62" i="7"/>
  <c r="D62" i="7"/>
  <c r="E54" i="7"/>
  <c r="F54" i="7"/>
  <c r="G54" i="7"/>
  <c r="D54" i="7"/>
  <c r="G21" i="7"/>
  <c r="E21" i="7"/>
  <c r="F21" i="7"/>
  <c r="D21" i="7"/>
  <c r="E8" i="7"/>
  <c r="F8" i="7"/>
  <c r="G8" i="7"/>
  <c r="I8" i="7"/>
  <c r="D8" i="7"/>
  <c r="G3" i="7"/>
  <c r="G44" i="7"/>
  <c r="E3" i="7"/>
  <c r="I4" i="7"/>
  <c r="J4" i="7"/>
  <c r="K4" i="7"/>
  <c r="I7" i="7"/>
  <c r="J7" i="7"/>
  <c r="K7" i="7"/>
  <c r="I9" i="7"/>
  <c r="J9" i="7"/>
  <c r="K9" i="7"/>
  <c r="I10" i="7"/>
  <c r="J10" i="7"/>
  <c r="K10" i="7"/>
  <c r="I11" i="7"/>
  <c r="J11" i="7"/>
  <c r="K11" i="7"/>
  <c r="I12" i="7"/>
  <c r="J12" i="7"/>
  <c r="K12" i="7"/>
  <c r="I13" i="7"/>
  <c r="J13" i="7"/>
  <c r="K13" i="7"/>
  <c r="I14" i="7"/>
  <c r="J14" i="7"/>
  <c r="K14" i="7"/>
  <c r="I15" i="7"/>
  <c r="J15" i="7"/>
  <c r="K15" i="7"/>
  <c r="I17" i="7"/>
  <c r="J17" i="7"/>
  <c r="K17" i="7"/>
  <c r="I18" i="7"/>
  <c r="J18" i="7"/>
  <c r="K18" i="7"/>
  <c r="I19" i="7"/>
  <c r="J19" i="7"/>
  <c r="K19" i="7"/>
  <c r="I20" i="7"/>
  <c r="J20" i="7"/>
  <c r="K20" i="7"/>
  <c r="I22" i="7"/>
  <c r="J22" i="7"/>
  <c r="K22" i="7"/>
  <c r="I23" i="7"/>
  <c r="J23" i="7"/>
  <c r="K23" i="7"/>
  <c r="I24" i="7"/>
  <c r="J24" i="7"/>
  <c r="K24" i="7"/>
  <c r="I25" i="7"/>
  <c r="J25" i="7"/>
  <c r="K25" i="7"/>
  <c r="I26" i="7"/>
  <c r="J26" i="7"/>
  <c r="K26" i="7"/>
  <c r="I27" i="7"/>
  <c r="J27" i="7"/>
  <c r="K27" i="7"/>
  <c r="I28" i="7"/>
  <c r="J28" i="7"/>
  <c r="K28" i="7"/>
  <c r="I29" i="7"/>
  <c r="J29" i="7"/>
  <c r="K29" i="7"/>
  <c r="I30" i="7"/>
  <c r="J30" i="7"/>
  <c r="K30" i="7"/>
  <c r="I31" i="7"/>
  <c r="J31" i="7"/>
  <c r="K31" i="7"/>
  <c r="I32" i="7"/>
  <c r="J32" i="7"/>
  <c r="K32" i="7"/>
  <c r="I33" i="7"/>
  <c r="J33" i="7"/>
  <c r="K33" i="7"/>
  <c r="I34" i="7"/>
  <c r="J34" i="7"/>
  <c r="K34" i="7"/>
  <c r="I35" i="7"/>
  <c r="J35" i="7"/>
  <c r="K35" i="7"/>
  <c r="I36" i="7"/>
  <c r="J36" i="7"/>
  <c r="K36" i="7"/>
  <c r="I37" i="7"/>
  <c r="J37" i="7"/>
  <c r="K37" i="7"/>
  <c r="I38" i="7"/>
  <c r="J38" i="7"/>
  <c r="K38" i="7"/>
  <c r="I39" i="7"/>
  <c r="J39" i="7"/>
  <c r="K39" i="7"/>
  <c r="I43" i="7"/>
  <c r="J43" i="7"/>
  <c r="K43" i="7"/>
  <c r="I44" i="7"/>
  <c r="J44" i="7"/>
  <c r="K44" i="7"/>
  <c r="I45" i="7"/>
  <c r="J45" i="7"/>
  <c r="K45" i="7"/>
  <c r="I47" i="7"/>
  <c r="J47" i="7"/>
  <c r="K47" i="7"/>
  <c r="I48" i="7"/>
  <c r="J48" i="7"/>
  <c r="K48" i="7"/>
  <c r="I50" i="7"/>
  <c r="J50" i="7"/>
  <c r="K50" i="7"/>
  <c r="I51" i="7"/>
  <c r="J51" i="7"/>
  <c r="K51" i="7"/>
  <c r="I52" i="7"/>
  <c r="J52" i="7"/>
  <c r="K52" i="7"/>
  <c r="I53" i="7"/>
  <c r="J53" i="7"/>
  <c r="K53" i="7"/>
  <c r="I55" i="7"/>
  <c r="J55" i="7"/>
  <c r="K55" i="7"/>
  <c r="I56" i="7"/>
  <c r="J56" i="7"/>
  <c r="K56" i="7"/>
  <c r="I57" i="7"/>
  <c r="I62" i="7" s="1"/>
  <c r="J57" i="7"/>
  <c r="K57" i="7"/>
  <c r="I58" i="7"/>
  <c r="J58" i="7"/>
  <c r="K58" i="7"/>
  <c r="I59" i="7"/>
  <c r="J59" i="7"/>
  <c r="K59" i="7"/>
  <c r="I60" i="7"/>
  <c r="J60" i="7"/>
  <c r="K60" i="7"/>
  <c r="I63" i="7"/>
  <c r="J63" i="7"/>
  <c r="K63" i="7"/>
  <c r="I64" i="7"/>
  <c r="J64" i="7"/>
  <c r="K64" i="7"/>
  <c r="I65" i="7"/>
  <c r="J65" i="7"/>
  <c r="K65" i="7"/>
  <c r="I66" i="7"/>
  <c r="J66" i="7"/>
  <c r="K66" i="7"/>
  <c r="I67" i="7"/>
  <c r="J67" i="7"/>
  <c r="K67" i="7"/>
  <c r="I70" i="7"/>
  <c r="J70" i="7"/>
  <c r="K70" i="7"/>
  <c r="K3" i="7"/>
  <c r="K8" i="7" s="1"/>
  <c r="J3" i="7"/>
  <c r="J8" i="7" s="1"/>
  <c r="I3" i="7"/>
  <c r="H4" i="7"/>
  <c r="H7" i="7"/>
  <c r="H9" i="7"/>
  <c r="H10" i="7"/>
  <c r="H11" i="7"/>
  <c r="H12" i="7"/>
  <c r="H13" i="7"/>
  <c r="H14" i="7"/>
  <c r="H15" i="7"/>
  <c r="H17" i="7"/>
  <c r="H18" i="7"/>
  <c r="H19" i="7"/>
  <c r="H20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3" i="7"/>
  <c r="H44" i="7"/>
  <c r="H45" i="7"/>
  <c r="H47" i="7"/>
  <c r="H48" i="7"/>
  <c r="H50" i="7"/>
  <c r="H51" i="7"/>
  <c r="H52" i="7"/>
  <c r="H53" i="7"/>
  <c r="H55" i="7"/>
  <c r="H56" i="7"/>
  <c r="H57" i="7"/>
  <c r="H58" i="7"/>
  <c r="H59" i="7"/>
  <c r="H60" i="7"/>
  <c r="H63" i="7"/>
  <c r="H64" i="7"/>
  <c r="H65" i="7"/>
  <c r="H66" i="7"/>
  <c r="H67" i="7"/>
  <c r="H70" i="7"/>
  <c r="H3" i="7"/>
  <c r="H8" i="7" s="1"/>
  <c r="J71" i="7" l="1"/>
  <c r="J54" i="7"/>
  <c r="J21" i="7"/>
  <c r="K71" i="7"/>
  <c r="K21" i="7"/>
  <c r="I71" i="7"/>
  <c r="I21" i="7"/>
  <c r="K62" i="7"/>
  <c r="H62" i="7"/>
  <c r="H54" i="7"/>
  <c r="H71" i="7"/>
  <c r="H72" i="7" s="1"/>
  <c r="I54" i="7"/>
  <c r="H21" i="7"/>
  <c r="J62" i="7"/>
  <c r="K54" i="7"/>
  <c r="J72" i="7"/>
  <c r="D54" i="3"/>
  <c r="E72" i="2"/>
  <c r="F72" i="2"/>
  <c r="G72" i="2"/>
  <c r="D72" i="2"/>
  <c r="E71" i="2"/>
  <c r="F71" i="2"/>
  <c r="G71" i="2"/>
  <c r="D71" i="2"/>
  <c r="E62" i="2"/>
  <c r="F62" i="2"/>
  <c r="G62" i="2"/>
  <c r="D62" i="2"/>
  <c r="E54" i="2"/>
  <c r="F54" i="2"/>
  <c r="G54" i="2"/>
  <c r="D54" i="2"/>
  <c r="E21" i="2"/>
  <c r="F21" i="2"/>
  <c r="G21" i="2"/>
  <c r="D21" i="2"/>
  <c r="H4" i="2"/>
  <c r="I4" i="2"/>
  <c r="J4" i="2"/>
  <c r="K4" i="2"/>
  <c r="H7" i="2"/>
  <c r="I7" i="2"/>
  <c r="J7" i="2"/>
  <c r="K7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3" i="2"/>
  <c r="I43" i="2"/>
  <c r="J43" i="2"/>
  <c r="K43" i="2"/>
  <c r="H44" i="2"/>
  <c r="I44" i="2"/>
  <c r="J44" i="2"/>
  <c r="K44" i="2"/>
  <c r="H45" i="2"/>
  <c r="I45" i="2"/>
  <c r="J45" i="2"/>
  <c r="K45" i="2"/>
  <c r="H47" i="2"/>
  <c r="I47" i="2"/>
  <c r="J47" i="2"/>
  <c r="K47" i="2"/>
  <c r="H48" i="2"/>
  <c r="I48" i="2"/>
  <c r="J48" i="2"/>
  <c r="K48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70" i="2"/>
  <c r="I70" i="2"/>
  <c r="J70" i="2"/>
  <c r="K70" i="2"/>
  <c r="K3" i="2"/>
  <c r="J3" i="2"/>
  <c r="I3" i="2"/>
  <c r="H3" i="2"/>
  <c r="I72" i="7" l="1"/>
  <c r="K72" i="7"/>
  <c r="K71" i="2"/>
  <c r="J71" i="2"/>
  <c r="J21" i="2"/>
  <c r="J8" i="2"/>
  <c r="I71" i="2"/>
  <c r="I62" i="2"/>
  <c r="I54" i="2"/>
  <c r="I21" i="2"/>
  <c r="H62" i="2"/>
  <c r="H54" i="2"/>
  <c r="K54" i="2"/>
  <c r="I8" i="2"/>
  <c r="K21" i="2"/>
  <c r="J54" i="2"/>
  <c r="K8" i="2"/>
  <c r="H71" i="2"/>
  <c r="H21" i="2"/>
  <c r="K62" i="2"/>
  <c r="J62" i="2"/>
  <c r="H8" i="2"/>
  <c r="U29" i="11"/>
  <c r="U30" i="11"/>
  <c r="U31" i="11"/>
  <c r="U28" i="11"/>
  <c r="T29" i="11"/>
  <c r="T30" i="11"/>
  <c r="T31" i="11"/>
  <c r="T28" i="11"/>
  <c r="S29" i="11"/>
  <c r="S30" i="11"/>
  <c r="S31" i="11"/>
  <c r="S28" i="11"/>
  <c r="R29" i="11"/>
  <c r="R30" i="11"/>
  <c r="R31" i="11"/>
  <c r="R28" i="11"/>
  <c r="J72" i="2" l="1"/>
  <c r="K72" i="2"/>
  <c r="I72" i="2"/>
  <c r="H72" i="2"/>
  <c r="B28" i="11"/>
  <c r="C28" i="11" s="1"/>
  <c r="D28" i="11" s="1"/>
  <c r="E28" i="11" s="1"/>
  <c r="B29" i="11"/>
  <c r="C29" i="11" s="1"/>
  <c r="B30" i="11"/>
  <c r="C30" i="11" s="1"/>
  <c r="B31" i="11"/>
  <c r="C31" i="11" s="1"/>
  <c r="Q31" i="11" l="1"/>
  <c r="P31" i="11"/>
  <c r="P29" i="11"/>
  <c r="Q30" i="11"/>
  <c r="P30" i="11"/>
  <c r="Q29" i="11"/>
  <c r="E71" i="16"/>
  <c r="E72" i="16" s="1"/>
  <c r="F71" i="16"/>
  <c r="F72" i="16" s="1"/>
  <c r="G71" i="16"/>
  <c r="G72" i="16" s="1"/>
  <c r="H71" i="16"/>
  <c r="H72" i="16" s="1"/>
  <c r="I71" i="16"/>
  <c r="I72" i="16" s="1"/>
  <c r="J71" i="16"/>
  <c r="J72" i="16" s="1"/>
  <c r="K71" i="16"/>
  <c r="K72" i="16" s="1"/>
  <c r="E62" i="16"/>
  <c r="F62" i="16"/>
  <c r="G62" i="16"/>
  <c r="H62" i="16"/>
  <c r="I62" i="16"/>
  <c r="J62" i="16"/>
  <c r="K62" i="16"/>
  <c r="D62" i="16"/>
  <c r="E54" i="16"/>
  <c r="F54" i="16"/>
  <c r="G54" i="16"/>
  <c r="H54" i="16"/>
  <c r="I54" i="16"/>
  <c r="J54" i="16"/>
  <c r="K54" i="16"/>
  <c r="D54" i="16"/>
  <c r="E21" i="16"/>
  <c r="F21" i="16"/>
  <c r="G21" i="16"/>
  <c r="H21" i="16"/>
  <c r="I21" i="16"/>
  <c r="J21" i="16"/>
  <c r="K21" i="16"/>
  <c r="E8" i="16"/>
  <c r="F8" i="16"/>
  <c r="G8" i="16"/>
  <c r="H8" i="16"/>
  <c r="I8" i="16"/>
  <c r="J8" i="16"/>
  <c r="K8" i="16"/>
  <c r="D8" i="16"/>
  <c r="E71" i="8"/>
  <c r="F71" i="8"/>
  <c r="G71" i="8"/>
  <c r="E62" i="8"/>
  <c r="F62" i="8"/>
  <c r="G62" i="8"/>
  <c r="D62" i="8"/>
  <c r="E54" i="8"/>
  <c r="F54" i="8"/>
  <c r="G54" i="8"/>
  <c r="D54" i="8"/>
  <c r="E21" i="8"/>
  <c r="F21" i="8"/>
  <c r="G21" i="8"/>
  <c r="E8" i="8"/>
  <c r="F8" i="8"/>
  <c r="G8" i="8"/>
  <c r="H4" i="8"/>
  <c r="I4" i="8"/>
  <c r="J4" i="8"/>
  <c r="K4" i="8"/>
  <c r="H5" i="8"/>
  <c r="I5" i="8"/>
  <c r="J5" i="8"/>
  <c r="K5" i="8"/>
  <c r="H6" i="8"/>
  <c r="I6" i="8"/>
  <c r="J6" i="8"/>
  <c r="K6" i="8"/>
  <c r="H7" i="8"/>
  <c r="I7" i="8"/>
  <c r="J7" i="8"/>
  <c r="K7" i="8"/>
  <c r="H9" i="8"/>
  <c r="I9" i="8"/>
  <c r="J9" i="8"/>
  <c r="K9" i="8"/>
  <c r="H10" i="8"/>
  <c r="I10" i="8"/>
  <c r="J10" i="8"/>
  <c r="K10" i="8"/>
  <c r="H11" i="8"/>
  <c r="I11" i="8"/>
  <c r="J11" i="8"/>
  <c r="K11" i="8"/>
  <c r="H12" i="8"/>
  <c r="I12" i="8"/>
  <c r="J12" i="8"/>
  <c r="K12" i="8"/>
  <c r="H13" i="8"/>
  <c r="I13" i="8"/>
  <c r="J13" i="8"/>
  <c r="K13" i="8"/>
  <c r="H14" i="8"/>
  <c r="I14" i="8"/>
  <c r="J14" i="8"/>
  <c r="K14" i="8"/>
  <c r="H15" i="8"/>
  <c r="I15" i="8"/>
  <c r="J15" i="8"/>
  <c r="K15" i="8"/>
  <c r="H16" i="8"/>
  <c r="I16" i="8"/>
  <c r="J16" i="8"/>
  <c r="K16" i="8"/>
  <c r="H17" i="8"/>
  <c r="I17" i="8"/>
  <c r="J17" i="8"/>
  <c r="K17" i="8"/>
  <c r="H18" i="8"/>
  <c r="I18" i="8"/>
  <c r="J18" i="8"/>
  <c r="K18" i="8"/>
  <c r="H19" i="8"/>
  <c r="I19" i="8"/>
  <c r="J19" i="8"/>
  <c r="K19" i="8"/>
  <c r="H20" i="8"/>
  <c r="I20" i="8"/>
  <c r="J20" i="8"/>
  <c r="K20" i="8"/>
  <c r="H22" i="8"/>
  <c r="I22" i="8"/>
  <c r="J22" i="8"/>
  <c r="K22" i="8"/>
  <c r="H23" i="8"/>
  <c r="I23" i="8"/>
  <c r="J23" i="8"/>
  <c r="K23" i="8"/>
  <c r="H24" i="8"/>
  <c r="I24" i="8"/>
  <c r="J24" i="8"/>
  <c r="K24" i="8"/>
  <c r="H25" i="8"/>
  <c r="I25" i="8"/>
  <c r="J25" i="8"/>
  <c r="K25" i="8"/>
  <c r="H26" i="8"/>
  <c r="I26" i="8"/>
  <c r="J26" i="8"/>
  <c r="K26" i="8"/>
  <c r="H27" i="8"/>
  <c r="I27" i="8"/>
  <c r="J27" i="8"/>
  <c r="K27" i="8"/>
  <c r="H28" i="8"/>
  <c r="I28" i="8"/>
  <c r="J28" i="8"/>
  <c r="K28" i="8"/>
  <c r="H29" i="8"/>
  <c r="I29" i="8"/>
  <c r="J29" i="8"/>
  <c r="K29" i="8"/>
  <c r="H30" i="8"/>
  <c r="I30" i="8"/>
  <c r="J30" i="8"/>
  <c r="K30" i="8"/>
  <c r="H31" i="8"/>
  <c r="I31" i="8"/>
  <c r="J31" i="8"/>
  <c r="K31" i="8"/>
  <c r="H32" i="8"/>
  <c r="I32" i="8"/>
  <c r="J32" i="8"/>
  <c r="K32" i="8"/>
  <c r="H33" i="8"/>
  <c r="I33" i="8"/>
  <c r="J33" i="8"/>
  <c r="K33" i="8"/>
  <c r="H34" i="8"/>
  <c r="I34" i="8"/>
  <c r="J34" i="8"/>
  <c r="K34" i="8"/>
  <c r="H35" i="8"/>
  <c r="I35" i="8"/>
  <c r="J35" i="8"/>
  <c r="K35" i="8"/>
  <c r="H36" i="8"/>
  <c r="I36" i="8"/>
  <c r="J36" i="8"/>
  <c r="K36" i="8"/>
  <c r="H37" i="8"/>
  <c r="I37" i="8"/>
  <c r="J37" i="8"/>
  <c r="K37" i="8"/>
  <c r="H38" i="8"/>
  <c r="I38" i="8"/>
  <c r="J38" i="8"/>
  <c r="K38" i="8"/>
  <c r="H39" i="8"/>
  <c r="I39" i="8"/>
  <c r="J39" i="8"/>
  <c r="K39" i="8"/>
  <c r="H40" i="8"/>
  <c r="I40" i="8"/>
  <c r="J40" i="8"/>
  <c r="K40" i="8"/>
  <c r="H41" i="8"/>
  <c r="I41" i="8"/>
  <c r="J41" i="8"/>
  <c r="K41" i="8"/>
  <c r="H42" i="8"/>
  <c r="I42" i="8"/>
  <c r="J42" i="8"/>
  <c r="K42" i="8"/>
  <c r="H43" i="8"/>
  <c r="I43" i="8"/>
  <c r="J43" i="8"/>
  <c r="K43" i="8"/>
  <c r="H44" i="8"/>
  <c r="I44" i="8"/>
  <c r="J44" i="8"/>
  <c r="K44" i="8"/>
  <c r="H45" i="8"/>
  <c r="I45" i="8"/>
  <c r="J45" i="8"/>
  <c r="K45" i="8"/>
  <c r="H46" i="8"/>
  <c r="I46" i="8"/>
  <c r="J46" i="8"/>
  <c r="K46" i="8"/>
  <c r="H47" i="8"/>
  <c r="I47" i="8"/>
  <c r="J47" i="8"/>
  <c r="K47" i="8"/>
  <c r="H48" i="8"/>
  <c r="I48" i="8"/>
  <c r="J48" i="8"/>
  <c r="K48" i="8"/>
  <c r="H49" i="8"/>
  <c r="I49" i="8"/>
  <c r="J49" i="8"/>
  <c r="K49" i="8"/>
  <c r="H50" i="8"/>
  <c r="I50" i="8"/>
  <c r="J50" i="8"/>
  <c r="K50" i="8"/>
  <c r="H51" i="8"/>
  <c r="I51" i="8"/>
  <c r="J51" i="8"/>
  <c r="K51" i="8"/>
  <c r="H52" i="8"/>
  <c r="I52" i="8"/>
  <c r="J52" i="8"/>
  <c r="K52" i="8"/>
  <c r="H53" i="8"/>
  <c r="I53" i="8"/>
  <c r="J53" i="8"/>
  <c r="K53" i="8"/>
  <c r="H55" i="8"/>
  <c r="I55" i="8"/>
  <c r="J55" i="8"/>
  <c r="K55" i="8"/>
  <c r="H56" i="8"/>
  <c r="I56" i="8"/>
  <c r="J56" i="8"/>
  <c r="K56" i="8"/>
  <c r="H57" i="8"/>
  <c r="I57" i="8"/>
  <c r="J57" i="8"/>
  <c r="K57" i="8"/>
  <c r="H58" i="8"/>
  <c r="I58" i="8"/>
  <c r="J58" i="8"/>
  <c r="K58" i="8"/>
  <c r="H59" i="8"/>
  <c r="I59" i="8"/>
  <c r="J59" i="8"/>
  <c r="K59" i="8"/>
  <c r="H60" i="8"/>
  <c r="I60" i="8"/>
  <c r="J60" i="8"/>
  <c r="K60" i="8"/>
  <c r="H61" i="8"/>
  <c r="I61" i="8"/>
  <c r="J61" i="8"/>
  <c r="K61" i="8"/>
  <c r="H63" i="8"/>
  <c r="I63" i="8"/>
  <c r="J63" i="8"/>
  <c r="K63" i="8"/>
  <c r="H64" i="8"/>
  <c r="I64" i="8"/>
  <c r="J64" i="8"/>
  <c r="K64" i="8"/>
  <c r="H65" i="8"/>
  <c r="I65" i="8"/>
  <c r="J65" i="8"/>
  <c r="K65" i="8"/>
  <c r="H66" i="8"/>
  <c r="I66" i="8"/>
  <c r="J66" i="8"/>
  <c r="K66" i="8"/>
  <c r="H67" i="8"/>
  <c r="I67" i="8"/>
  <c r="J67" i="8"/>
  <c r="K67" i="8"/>
  <c r="H68" i="8"/>
  <c r="I68" i="8"/>
  <c r="J68" i="8"/>
  <c r="K68" i="8"/>
  <c r="H69" i="8"/>
  <c r="I69" i="8"/>
  <c r="J69" i="8"/>
  <c r="K69" i="8"/>
  <c r="H70" i="8"/>
  <c r="I70" i="8"/>
  <c r="J70" i="8"/>
  <c r="K70" i="8"/>
  <c r="K3" i="8"/>
  <c r="J3" i="8"/>
  <c r="I3" i="8"/>
  <c r="H3" i="8"/>
  <c r="D8" i="8"/>
  <c r="E72" i="3"/>
  <c r="F72" i="3"/>
  <c r="G72" i="3"/>
  <c r="E71" i="3"/>
  <c r="F71" i="3"/>
  <c r="G71" i="3"/>
  <c r="E62" i="3"/>
  <c r="F62" i="3"/>
  <c r="G62" i="3"/>
  <c r="D62" i="3"/>
  <c r="E54" i="3"/>
  <c r="F54" i="3"/>
  <c r="G54" i="3"/>
  <c r="H4" i="3"/>
  <c r="I4" i="3"/>
  <c r="J4" i="3"/>
  <c r="K4" i="3"/>
  <c r="H5" i="3"/>
  <c r="I5" i="3"/>
  <c r="J5" i="3"/>
  <c r="K5" i="3"/>
  <c r="H6" i="3"/>
  <c r="I6" i="3"/>
  <c r="J6" i="3"/>
  <c r="K6" i="3"/>
  <c r="H7" i="3"/>
  <c r="I7" i="3"/>
  <c r="J7" i="3"/>
  <c r="K7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H50" i="3"/>
  <c r="I50" i="3"/>
  <c r="J50" i="3"/>
  <c r="K50" i="3"/>
  <c r="H51" i="3"/>
  <c r="I51" i="3"/>
  <c r="J51" i="3"/>
  <c r="K51" i="3"/>
  <c r="H52" i="3"/>
  <c r="I52" i="3"/>
  <c r="J52" i="3"/>
  <c r="K52" i="3"/>
  <c r="H53" i="3"/>
  <c r="I53" i="3"/>
  <c r="J53" i="3"/>
  <c r="K53" i="3"/>
  <c r="H55" i="3"/>
  <c r="I55" i="3"/>
  <c r="J55" i="3"/>
  <c r="K55" i="3"/>
  <c r="H56" i="3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K3" i="3"/>
  <c r="J3" i="3"/>
  <c r="I3" i="3"/>
  <c r="H3" i="3"/>
  <c r="I8" i="3" l="1"/>
  <c r="J8" i="3"/>
  <c r="K21" i="3"/>
  <c r="J21" i="3"/>
  <c r="K8" i="3"/>
  <c r="I21" i="3"/>
  <c r="H21" i="3"/>
  <c r="H8" i="3"/>
  <c r="K8" i="8"/>
  <c r="E72" i="8"/>
  <c r="K62" i="3"/>
  <c r="J62" i="3"/>
  <c r="I62" i="3"/>
  <c r="H71" i="8"/>
  <c r="H21" i="8"/>
  <c r="H62" i="3"/>
  <c r="K62" i="8"/>
  <c r="I8" i="8"/>
  <c r="J8" i="8"/>
  <c r="K54" i="3"/>
  <c r="I21" i="8"/>
  <c r="K71" i="3"/>
  <c r="J71" i="3"/>
  <c r="J54" i="3"/>
  <c r="I71" i="3"/>
  <c r="I54" i="3"/>
  <c r="H71" i="3"/>
  <c r="H54" i="3"/>
  <c r="K54" i="8"/>
  <c r="K71" i="8"/>
  <c r="K21" i="8"/>
  <c r="J71" i="8"/>
  <c r="J54" i="8"/>
  <c r="J21" i="8"/>
  <c r="I71" i="8"/>
  <c r="I54" i="8"/>
  <c r="H54" i="8"/>
  <c r="G72" i="8"/>
  <c r="F72" i="8"/>
  <c r="J62" i="8"/>
  <c r="I62" i="8"/>
  <c r="H62" i="8"/>
  <c r="H8" i="8"/>
  <c r="F63" i="3"/>
  <c r="H72" i="8" l="1"/>
  <c r="K72" i="3"/>
  <c r="J72" i="8"/>
  <c r="H72" i="3"/>
  <c r="J72" i="3"/>
  <c r="I72" i="3"/>
  <c r="K72" i="8"/>
  <c r="I72" i="8"/>
  <c r="E72" i="5"/>
  <c r="F72" i="5"/>
  <c r="G72" i="5"/>
  <c r="D72" i="5"/>
  <c r="E71" i="5"/>
  <c r="F71" i="5"/>
  <c r="G71" i="5"/>
  <c r="E62" i="5"/>
  <c r="F62" i="5"/>
  <c r="G62" i="5"/>
  <c r="D62" i="5"/>
  <c r="E54" i="5"/>
  <c r="F54" i="5"/>
  <c r="G54" i="5"/>
  <c r="D54" i="5"/>
  <c r="E21" i="5"/>
  <c r="F21" i="5"/>
  <c r="G21" i="5"/>
  <c r="D8" i="5"/>
  <c r="E8" i="5"/>
  <c r="F8" i="5"/>
  <c r="G8" i="5"/>
  <c r="H4" i="5"/>
  <c r="I4" i="5"/>
  <c r="J4" i="5"/>
  <c r="K4" i="5"/>
  <c r="H5" i="5"/>
  <c r="I5" i="5"/>
  <c r="J5" i="5"/>
  <c r="K5" i="5"/>
  <c r="H6" i="5"/>
  <c r="I6" i="5"/>
  <c r="J6" i="5"/>
  <c r="K6" i="5"/>
  <c r="H7" i="5"/>
  <c r="I7" i="5"/>
  <c r="J7" i="5"/>
  <c r="K7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H52" i="5"/>
  <c r="I52" i="5"/>
  <c r="J52" i="5"/>
  <c r="K52" i="5"/>
  <c r="H53" i="5"/>
  <c r="I53" i="5"/>
  <c r="J53" i="5"/>
  <c r="K53" i="5"/>
  <c r="H55" i="5"/>
  <c r="I55" i="5"/>
  <c r="J55" i="5"/>
  <c r="K55" i="5"/>
  <c r="H56" i="5"/>
  <c r="I56" i="5"/>
  <c r="J56" i="5"/>
  <c r="K56" i="5"/>
  <c r="H57" i="5"/>
  <c r="I57" i="5"/>
  <c r="J57" i="5"/>
  <c r="K57" i="5"/>
  <c r="H58" i="5"/>
  <c r="I58" i="5"/>
  <c r="J58" i="5"/>
  <c r="K58" i="5"/>
  <c r="H59" i="5"/>
  <c r="I59" i="5"/>
  <c r="J59" i="5"/>
  <c r="K59" i="5"/>
  <c r="H60" i="5"/>
  <c r="I60" i="5"/>
  <c r="J60" i="5"/>
  <c r="K60" i="5"/>
  <c r="H61" i="5"/>
  <c r="I61" i="5"/>
  <c r="J61" i="5"/>
  <c r="K61" i="5"/>
  <c r="H63" i="5"/>
  <c r="I63" i="5"/>
  <c r="J63" i="5"/>
  <c r="K63" i="5"/>
  <c r="H64" i="5"/>
  <c r="I64" i="5"/>
  <c r="J64" i="5"/>
  <c r="K64" i="5"/>
  <c r="H65" i="5"/>
  <c r="I65" i="5"/>
  <c r="J65" i="5"/>
  <c r="K65" i="5"/>
  <c r="H66" i="5"/>
  <c r="I66" i="5"/>
  <c r="J66" i="5"/>
  <c r="K66" i="5"/>
  <c r="H67" i="5"/>
  <c r="I67" i="5"/>
  <c r="J67" i="5"/>
  <c r="K67" i="5"/>
  <c r="H68" i="5"/>
  <c r="I68" i="5"/>
  <c r="J68" i="5"/>
  <c r="K68" i="5"/>
  <c r="H69" i="5"/>
  <c r="L69" i="12" s="1"/>
  <c r="I69" i="5"/>
  <c r="J69" i="5"/>
  <c r="K69" i="5"/>
  <c r="H70" i="5"/>
  <c r="I70" i="5"/>
  <c r="J70" i="5"/>
  <c r="K70" i="5"/>
  <c r="K3" i="5"/>
  <c r="J3" i="5"/>
  <c r="I3" i="5"/>
  <c r="H3" i="5"/>
  <c r="D21" i="5"/>
  <c r="E72" i="6"/>
  <c r="F72" i="6"/>
  <c r="G72" i="6"/>
  <c r="E71" i="6"/>
  <c r="F71" i="6"/>
  <c r="G71" i="6"/>
  <c r="E62" i="6"/>
  <c r="F62" i="6"/>
  <c r="G62" i="6"/>
  <c r="D62" i="6"/>
  <c r="E21" i="6"/>
  <c r="F21" i="6"/>
  <c r="G21" i="6"/>
  <c r="E8" i="6"/>
  <c r="F8" i="6"/>
  <c r="G8" i="6"/>
  <c r="E54" i="6"/>
  <c r="G54" i="6"/>
  <c r="F22" i="6"/>
  <c r="F54" i="6" s="1"/>
  <c r="H4" i="6"/>
  <c r="I4" i="6"/>
  <c r="J4" i="6"/>
  <c r="K4" i="6"/>
  <c r="H5" i="6"/>
  <c r="I5" i="6"/>
  <c r="J5" i="6"/>
  <c r="K5" i="6"/>
  <c r="H6" i="6"/>
  <c r="I6" i="6"/>
  <c r="J6" i="6"/>
  <c r="K6" i="6"/>
  <c r="H7" i="6"/>
  <c r="I7" i="6"/>
  <c r="J7" i="6"/>
  <c r="K7" i="6"/>
  <c r="H9" i="6"/>
  <c r="I9" i="6"/>
  <c r="J9" i="6"/>
  <c r="K9" i="6"/>
  <c r="H10" i="6"/>
  <c r="I10" i="6"/>
  <c r="J10" i="6"/>
  <c r="K10" i="6"/>
  <c r="H11" i="6"/>
  <c r="I11" i="6"/>
  <c r="J11" i="6"/>
  <c r="K11" i="6"/>
  <c r="H12" i="6"/>
  <c r="I12" i="6"/>
  <c r="J12" i="6"/>
  <c r="K12" i="6"/>
  <c r="H13" i="6"/>
  <c r="I13" i="6"/>
  <c r="J13" i="6"/>
  <c r="K13" i="6"/>
  <c r="H14" i="6"/>
  <c r="I14" i="6"/>
  <c r="J14" i="6"/>
  <c r="K14" i="6"/>
  <c r="H15" i="6"/>
  <c r="I15" i="6"/>
  <c r="J15" i="6"/>
  <c r="K15" i="6"/>
  <c r="H16" i="6"/>
  <c r="I16" i="6"/>
  <c r="J16" i="6"/>
  <c r="K16" i="6"/>
  <c r="H17" i="6"/>
  <c r="I17" i="6"/>
  <c r="J17" i="6"/>
  <c r="K17" i="6"/>
  <c r="H18" i="6"/>
  <c r="I18" i="6"/>
  <c r="J18" i="6"/>
  <c r="K18" i="6"/>
  <c r="H19" i="6"/>
  <c r="I19" i="6"/>
  <c r="J19" i="6"/>
  <c r="K19" i="6"/>
  <c r="H20" i="6"/>
  <c r="I20" i="6"/>
  <c r="J20" i="6"/>
  <c r="K20" i="6"/>
  <c r="H22" i="6"/>
  <c r="I22" i="6"/>
  <c r="J22" i="6"/>
  <c r="K22" i="6"/>
  <c r="H23" i="6"/>
  <c r="I23" i="6"/>
  <c r="J23" i="6"/>
  <c r="K23" i="6"/>
  <c r="H24" i="6"/>
  <c r="I24" i="6"/>
  <c r="J24" i="6"/>
  <c r="K24" i="6"/>
  <c r="H25" i="6"/>
  <c r="I25" i="6"/>
  <c r="J25" i="6"/>
  <c r="K25" i="6"/>
  <c r="H26" i="6"/>
  <c r="I26" i="6"/>
  <c r="J26" i="6"/>
  <c r="K26" i="6"/>
  <c r="H27" i="6"/>
  <c r="I27" i="6"/>
  <c r="J27" i="6"/>
  <c r="K27" i="6"/>
  <c r="H28" i="6"/>
  <c r="I28" i="6"/>
  <c r="J28" i="6"/>
  <c r="K28" i="6"/>
  <c r="H29" i="6"/>
  <c r="I29" i="6"/>
  <c r="J29" i="6"/>
  <c r="K29" i="6"/>
  <c r="H30" i="6"/>
  <c r="I30" i="6"/>
  <c r="J30" i="6"/>
  <c r="K30" i="6"/>
  <c r="H31" i="6"/>
  <c r="I31" i="6"/>
  <c r="J31" i="6"/>
  <c r="K31" i="6"/>
  <c r="H32" i="6"/>
  <c r="I32" i="6"/>
  <c r="J32" i="6"/>
  <c r="K32" i="6"/>
  <c r="H33" i="6"/>
  <c r="I33" i="6"/>
  <c r="J33" i="6"/>
  <c r="K33" i="6"/>
  <c r="H34" i="6"/>
  <c r="I34" i="6"/>
  <c r="J34" i="6"/>
  <c r="K34" i="6"/>
  <c r="H35" i="6"/>
  <c r="I35" i="6"/>
  <c r="J35" i="6"/>
  <c r="K35" i="6"/>
  <c r="H36" i="6"/>
  <c r="I36" i="6"/>
  <c r="J36" i="6"/>
  <c r="K36" i="6"/>
  <c r="H37" i="6"/>
  <c r="I37" i="6"/>
  <c r="J37" i="6"/>
  <c r="K37" i="6"/>
  <c r="H38" i="6"/>
  <c r="I38" i="6"/>
  <c r="J38" i="6"/>
  <c r="K38" i="6"/>
  <c r="H39" i="6"/>
  <c r="I39" i="6"/>
  <c r="J39" i="6"/>
  <c r="K39" i="6"/>
  <c r="H40" i="6"/>
  <c r="I40" i="6"/>
  <c r="J40" i="6"/>
  <c r="K40" i="6"/>
  <c r="H41" i="6"/>
  <c r="I41" i="6"/>
  <c r="J41" i="6"/>
  <c r="K41" i="6"/>
  <c r="H42" i="6"/>
  <c r="I42" i="6"/>
  <c r="J42" i="6"/>
  <c r="K42" i="6"/>
  <c r="H43" i="6"/>
  <c r="I43" i="6"/>
  <c r="J43" i="6"/>
  <c r="K43" i="6"/>
  <c r="H44" i="6"/>
  <c r="I44" i="6"/>
  <c r="J44" i="6"/>
  <c r="K44" i="6"/>
  <c r="H45" i="6"/>
  <c r="I45" i="6"/>
  <c r="J45" i="6"/>
  <c r="K45" i="6"/>
  <c r="H46" i="6"/>
  <c r="I46" i="6"/>
  <c r="J46" i="6"/>
  <c r="K46" i="6"/>
  <c r="H47" i="6"/>
  <c r="I47" i="6"/>
  <c r="J47" i="6"/>
  <c r="K47" i="6"/>
  <c r="H48" i="6"/>
  <c r="I48" i="6"/>
  <c r="J48" i="6"/>
  <c r="K48" i="6"/>
  <c r="H49" i="6"/>
  <c r="I49" i="6"/>
  <c r="J49" i="6"/>
  <c r="K49" i="6"/>
  <c r="H50" i="6"/>
  <c r="I50" i="6"/>
  <c r="J50" i="6"/>
  <c r="K50" i="6"/>
  <c r="H51" i="6"/>
  <c r="I51" i="6"/>
  <c r="J51" i="6"/>
  <c r="K51" i="6"/>
  <c r="H52" i="6"/>
  <c r="I52" i="6"/>
  <c r="J52" i="6"/>
  <c r="K52" i="6"/>
  <c r="H53" i="6"/>
  <c r="I53" i="6"/>
  <c r="J53" i="6"/>
  <c r="K53" i="6"/>
  <c r="H55" i="6"/>
  <c r="I55" i="6"/>
  <c r="J55" i="6"/>
  <c r="K55" i="6"/>
  <c r="H56" i="6"/>
  <c r="I56" i="6"/>
  <c r="J56" i="6"/>
  <c r="K56" i="6"/>
  <c r="H57" i="6"/>
  <c r="I57" i="6"/>
  <c r="J57" i="6"/>
  <c r="K57" i="6"/>
  <c r="H58" i="6"/>
  <c r="I58" i="6"/>
  <c r="J58" i="6"/>
  <c r="K58" i="6"/>
  <c r="H59" i="6"/>
  <c r="I59" i="6"/>
  <c r="J59" i="6"/>
  <c r="K59" i="6"/>
  <c r="H60" i="6"/>
  <c r="I60" i="6"/>
  <c r="J60" i="6"/>
  <c r="K60" i="6"/>
  <c r="H61" i="6"/>
  <c r="I61" i="6"/>
  <c r="J61" i="6"/>
  <c r="K61" i="6"/>
  <c r="H63" i="6"/>
  <c r="I63" i="6"/>
  <c r="J63" i="6"/>
  <c r="K63" i="6"/>
  <c r="H64" i="6"/>
  <c r="I64" i="6"/>
  <c r="J64" i="6"/>
  <c r="K64" i="6"/>
  <c r="H65" i="6"/>
  <c r="I65" i="6"/>
  <c r="J65" i="6"/>
  <c r="K65" i="6"/>
  <c r="H66" i="6"/>
  <c r="I66" i="6"/>
  <c r="J66" i="6"/>
  <c r="K66" i="6"/>
  <c r="H67" i="6"/>
  <c r="I67" i="6"/>
  <c r="J67" i="6"/>
  <c r="K67" i="6"/>
  <c r="H68" i="6"/>
  <c r="I68" i="6"/>
  <c r="J68" i="6"/>
  <c r="K68" i="6"/>
  <c r="H69" i="6"/>
  <c r="I69" i="6"/>
  <c r="J69" i="6"/>
  <c r="K69" i="6"/>
  <c r="H70" i="6"/>
  <c r="I70" i="6"/>
  <c r="J70" i="6"/>
  <c r="K70" i="6"/>
  <c r="K3" i="6"/>
  <c r="J3" i="6"/>
  <c r="I3" i="6"/>
  <c r="H3" i="6"/>
  <c r="D3" i="6"/>
  <c r="K63" i="13"/>
  <c r="K64" i="13"/>
  <c r="K65" i="13"/>
  <c r="K68" i="13"/>
  <c r="K69" i="13"/>
  <c r="K70" i="13"/>
  <c r="K55" i="13"/>
  <c r="K56" i="13"/>
  <c r="K57" i="13"/>
  <c r="K58" i="13"/>
  <c r="K59" i="13"/>
  <c r="K60" i="13"/>
  <c r="K61" i="13"/>
  <c r="K22" i="13"/>
  <c r="K23" i="13"/>
  <c r="K24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1" i="13"/>
  <c r="K43" i="13"/>
  <c r="K44" i="13"/>
  <c r="K45" i="13"/>
  <c r="K46" i="13"/>
  <c r="K47" i="13"/>
  <c r="K48" i="13"/>
  <c r="K50" i="13"/>
  <c r="K52" i="13"/>
  <c r="K53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7" i="13"/>
  <c r="K4" i="13"/>
  <c r="K3" i="13"/>
  <c r="K8" i="13" s="1"/>
  <c r="J7" i="13"/>
  <c r="J4" i="13"/>
  <c r="J3" i="13"/>
  <c r="J63" i="13"/>
  <c r="J64" i="13"/>
  <c r="J68" i="13"/>
  <c r="J69" i="13"/>
  <c r="J70" i="13"/>
  <c r="J55" i="13"/>
  <c r="J56" i="13"/>
  <c r="J57" i="13"/>
  <c r="J58" i="13"/>
  <c r="J59" i="13"/>
  <c r="J61" i="13"/>
  <c r="J22" i="13"/>
  <c r="J23" i="13"/>
  <c r="J24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3" i="13"/>
  <c r="J44" i="13"/>
  <c r="J47" i="13"/>
  <c r="J48" i="13"/>
  <c r="J50" i="13"/>
  <c r="J52" i="13"/>
  <c r="J53" i="13"/>
  <c r="J19" i="13"/>
  <c r="I64" i="13"/>
  <c r="I65" i="13"/>
  <c r="I68" i="13"/>
  <c r="I69" i="13"/>
  <c r="I70" i="13"/>
  <c r="I63" i="13"/>
  <c r="I56" i="13"/>
  <c r="I57" i="13"/>
  <c r="I58" i="13"/>
  <c r="I59" i="13"/>
  <c r="I60" i="13"/>
  <c r="I61" i="13"/>
  <c r="I55" i="13"/>
  <c r="I23" i="13"/>
  <c r="I24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1" i="13"/>
  <c r="I43" i="13"/>
  <c r="I44" i="13"/>
  <c r="I45" i="13"/>
  <c r="I46" i="13"/>
  <c r="I47" i="13"/>
  <c r="I48" i="13"/>
  <c r="I50" i="13"/>
  <c r="I52" i="13"/>
  <c r="I53" i="13"/>
  <c r="I22" i="13"/>
  <c r="J10" i="13"/>
  <c r="J11" i="13"/>
  <c r="J13" i="13"/>
  <c r="J14" i="13"/>
  <c r="J15" i="13"/>
  <c r="J17" i="13"/>
  <c r="J18" i="13"/>
  <c r="I9" i="13"/>
  <c r="I10" i="13"/>
  <c r="I11" i="13"/>
  <c r="I13" i="13"/>
  <c r="I14" i="13"/>
  <c r="I15" i="13"/>
  <c r="I17" i="13"/>
  <c r="I18" i="13"/>
  <c r="I19" i="13"/>
  <c r="H65" i="13"/>
  <c r="H41" i="13"/>
  <c r="H45" i="13"/>
  <c r="H46" i="13"/>
  <c r="C19" i="11"/>
  <c r="D19" i="11"/>
  <c r="E9" i="11"/>
  <c r="D9" i="11"/>
  <c r="C9" i="11"/>
  <c r="B9" i="11"/>
  <c r="E6" i="11"/>
  <c r="D6" i="11"/>
  <c r="C6" i="11"/>
  <c r="L66" i="12" l="1"/>
  <c r="L63" i="12"/>
  <c r="L56" i="12"/>
  <c r="L59" i="12"/>
  <c r="L47" i="12"/>
  <c r="L44" i="12"/>
  <c r="L51" i="12"/>
  <c r="L40" i="12"/>
  <c r="L52" i="12"/>
  <c r="L36" i="12"/>
  <c r="L33" i="12"/>
  <c r="L30" i="12"/>
  <c r="L27" i="12"/>
  <c r="L49" i="12"/>
  <c r="L22" i="12"/>
  <c r="L18" i="12"/>
  <c r="L15" i="12"/>
  <c r="L12" i="12"/>
  <c r="L9" i="12"/>
  <c r="L5" i="12"/>
  <c r="E22" i="10"/>
  <c r="M63" i="12"/>
  <c r="E57" i="10"/>
  <c r="M51" i="12"/>
  <c r="E15" i="10"/>
  <c r="M33" i="12"/>
  <c r="M18" i="12"/>
  <c r="E34" i="10"/>
  <c r="O65" i="12"/>
  <c r="O60" i="12"/>
  <c r="O55" i="12"/>
  <c r="O58" i="12"/>
  <c r="O46" i="12"/>
  <c r="O43" i="12"/>
  <c r="O50" i="12"/>
  <c r="O39" i="12"/>
  <c r="O38" i="12"/>
  <c r="O35" i="12"/>
  <c r="O32" i="12"/>
  <c r="O29" i="12"/>
  <c r="O26" i="12"/>
  <c r="O24" i="12"/>
  <c r="O20" i="12"/>
  <c r="O17" i="12"/>
  <c r="O14" i="12"/>
  <c r="O11" i="12"/>
  <c r="O7" i="12"/>
  <c r="O4" i="12"/>
  <c r="E40" i="10"/>
  <c r="M69" i="12"/>
  <c r="E58" i="10"/>
  <c r="M44" i="12"/>
  <c r="M36" i="12"/>
  <c r="E8" i="10"/>
  <c r="E37" i="10"/>
  <c r="M49" i="12"/>
  <c r="E2" i="10"/>
  <c r="M12" i="12"/>
  <c r="L3" i="12"/>
  <c r="I8" i="5"/>
  <c r="E20" i="10"/>
  <c r="M3" i="12"/>
  <c r="N65" i="12"/>
  <c r="N55" i="12"/>
  <c r="N46" i="12"/>
  <c r="N50" i="12"/>
  <c r="N39" i="12"/>
  <c r="N38" i="12"/>
  <c r="N35" i="12"/>
  <c r="N32" i="12"/>
  <c r="N29" i="12"/>
  <c r="N26" i="12"/>
  <c r="N24" i="12"/>
  <c r="N20" i="12"/>
  <c r="N17" i="12"/>
  <c r="N14" i="12"/>
  <c r="N11" i="12"/>
  <c r="N7" i="12"/>
  <c r="N4" i="12"/>
  <c r="M59" i="12"/>
  <c r="E42" i="10"/>
  <c r="M52" i="12"/>
  <c r="E56" i="10"/>
  <c r="E46" i="10"/>
  <c r="M27" i="12"/>
  <c r="O68" i="12"/>
  <c r="I8" i="6"/>
  <c r="N68" i="12"/>
  <c r="N60" i="12"/>
  <c r="N58" i="12"/>
  <c r="N43" i="12"/>
  <c r="N3" i="12"/>
  <c r="E32" i="10"/>
  <c r="M68" i="12"/>
  <c r="M65" i="12"/>
  <c r="E53" i="10"/>
  <c r="M60" i="12"/>
  <c r="E54" i="10"/>
  <c r="E10" i="10"/>
  <c r="M55" i="12"/>
  <c r="E4" i="10"/>
  <c r="M58" i="12"/>
  <c r="E51" i="10"/>
  <c r="M46" i="12"/>
  <c r="E45" i="10"/>
  <c r="M43" i="12"/>
  <c r="E59" i="10"/>
  <c r="M50" i="12"/>
  <c r="M39" i="12"/>
  <c r="E49" i="10"/>
  <c r="E25" i="10"/>
  <c r="M38" i="12"/>
  <c r="E7" i="10"/>
  <c r="M35" i="12"/>
  <c r="E11" i="10"/>
  <c r="M32" i="12"/>
  <c r="E27" i="10"/>
  <c r="M29" i="12"/>
  <c r="E9" i="10"/>
  <c r="M26" i="12"/>
  <c r="M24" i="12"/>
  <c r="E28" i="10"/>
  <c r="E65" i="10"/>
  <c r="M20" i="12"/>
  <c r="E16" i="10"/>
  <c r="M17" i="12"/>
  <c r="E26" i="10"/>
  <c r="M14" i="12"/>
  <c r="E43" i="10"/>
  <c r="M11" i="12"/>
  <c r="M7" i="12"/>
  <c r="E18" i="10"/>
  <c r="M4" i="12"/>
  <c r="E19" i="10"/>
  <c r="E3" i="10"/>
  <c r="C3" i="10" s="1"/>
  <c r="M47" i="12"/>
  <c r="E29" i="10"/>
  <c r="M40" i="12"/>
  <c r="E13" i="10"/>
  <c r="M30" i="12"/>
  <c r="E35" i="10"/>
  <c r="M22" i="12"/>
  <c r="E33" i="10"/>
  <c r="M15" i="12"/>
  <c r="E5" i="10"/>
  <c r="M9" i="12"/>
  <c r="E47" i="10"/>
  <c r="M5" i="12"/>
  <c r="O3" i="12"/>
  <c r="L68" i="12"/>
  <c r="L65" i="12"/>
  <c r="L60" i="12"/>
  <c r="L55" i="12"/>
  <c r="L58" i="12"/>
  <c r="L46" i="12"/>
  <c r="L43" i="12"/>
  <c r="L50" i="12"/>
  <c r="L39" i="12"/>
  <c r="L38" i="12"/>
  <c r="L35" i="12"/>
  <c r="L32" i="12"/>
  <c r="L29" i="12"/>
  <c r="L26" i="12"/>
  <c r="L24" i="12"/>
  <c r="L20" i="12"/>
  <c r="L17" i="12"/>
  <c r="L14" i="12"/>
  <c r="L11" i="12"/>
  <c r="L7" i="12"/>
  <c r="L4" i="12"/>
  <c r="M56" i="12"/>
  <c r="E61" i="10"/>
  <c r="O64" i="12"/>
  <c r="O61" i="12"/>
  <c r="O57" i="12"/>
  <c r="O48" i="12"/>
  <c r="O45" i="12"/>
  <c r="O42" i="12"/>
  <c r="O41" i="12"/>
  <c r="O53" i="12"/>
  <c r="O37" i="12"/>
  <c r="O34" i="12"/>
  <c r="O31" i="12"/>
  <c r="O28" i="12"/>
  <c r="O25" i="12"/>
  <c r="O23" i="12"/>
  <c r="O19" i="12"/>
  <c r="O16" i="12"/>
  <c r="O13" i="12"/>
  <c r="O10" i="12"/>
  <c r="O6" i="12"/>
  <c r="E55" i="10"/>
  <c r="M66" i="12"/>
  <c r="O67" i="12"/>
  <c r="N70" i="12"/>
  <c r="N64" i="12"/>
  <c r="N57" i="12"/>
  <c r="N45" i="12"/>
  <c r="N41" i="12"/>
  <c r="N53" i="12"/>
  <c r="N37" i="12"/>
  <c r="N34" i="12"/>
  <c r="N31" i="12"/>
  <c r="N28" i="12"/>
  <c r="N25" i="12"/>
  <c r="N23" i="12"/>
  <c r="N19" i="12"/>
  <c r="N16" i="12"/>
  <c r="N13" i="12"/>
  <c r="N10" i="12"/>
  <c r="N6" i="12"/>
  <c r="O70" i="12"/>
  <c r="N67" i="12"/>
  <c r="N61" i="12"/>
  <c r="N48" i="12"/>
  <c r="N42" i="12"/>
  <c r="M70" i="12"/>
  <c r="E21" i="10"/>
  <c r="M67" i="12"/>
  <c r="E50" i="10"/>
  <c r="E44" i="10"/>
  <c r="M64" i="12"/>
  <c r="E36" i="10"/>
  <c r="M61" i="12"/>
  <c r="E30" i="10"/>
  <c r="M57" i="12"/>
  <c r="E6" i="10"/>
  <c r="M48" i="12"/>
  <c r="M45" i="12"/>
  <c r="E31" i="10"/>
  <c r="M42" i="12"/>
  <c r="E12" i="10"/>
  <c r="E62" i="10"/>
  <c r="M41" i="12"/>
  <c r="E60" i="10"/>
  <c r="M53" i="12"/>
  <c r="E38" i="10"/>
  <c r="M37" i="12"/>
  <c r="E64" i="10"/>
  <c r="M34" i="12"/>
  <c r="M31" i="12"/>
  <c r="E14" i="10"/>
  <c r="M28" i="12"/>
  <c r="E23" i="10"/>
  <c r="E24" i="10"/>
  <c r="M25" i="12"/>
  <c r="E41" i="10"/>
  <c r="M23" i="12"/>
  <c r="E63" i="10"/>
  <c r="M19" i="12"/>
  <c r="E52" i="10"/>
  <c r="M16" i="12"/>
  <c r="E17" i="10"/>
  <c r="M13" i="12"/>
  <c r="M10" i="12"/>
  <c r="E39" i="10"/>
  <c r="E48" i="10"/>
  <c r="M6" i="12"/>
  <c r="L70" i="12"/>
  <c r="L67" i="12"/>
  <c r="L64" i="12"/>
  <c r="L61" i="12"/>
  <c r="L57" i="12"/>
  <c r="L48" i="12"/>
  <c r="L45" i="12"/>
  <c r="L42" i="12"/>
  <c r="L41" i="12"/>
  <c r="L53" i="12"/>
  <c r="L37" i="12"/>
  <c r="L34" i="12"/>
  <c r="L31" i="12"/>
  <c r="L28" i="12"/>
  <c r="L25" i="12"/>
  <c r="L23" i="12"/>
  <c r="L19" i="12"/>
  <c r="L16" i="12"/>
  <c r="L13" i="12"/>
  <c r="L10" i="12"/>
  <c r="L6" i="12"/>
  <c r="O69" i="12"/>
  <c r="O66" i="12"/>
  <c r="O63" i="12"/>
  <c r="O56" i="12"/>
  <c r="O59" i="12"/>
  <c r="O47" i="12"/>
  <c r="O44" i="12"/>
  <c r="O51" i="12"/>
  <c r="O40" i="12"/>
  <c r="O52" i="12"/>
  <c r="O36" i="12"/>
  <c r="O33" i="12"/>
  <c r="O30" i="12"/>
  <c r="O27" i="12"/>
  <c r="O49" i="12"/>
  <c r="O22" i="12"/>
  <c r="O18" i="12"/>
  <c r="O15" i="12"/>
  <c r="O12" i="12"/>
  <c r="O9" i="12"/>
  <c r="O5" i="12"/>
  <c r="N69" i="12"/>
  <c r="N66" i="12"/>
  <c r="N63" i="12"/>
  <c r="N56" i="12"/>
  <c r="N59" i="12"/>
  <c r="N47" i="12"/>
  <c r="N44" i="12"/>
  <c r="N51" i="12"/>
  <c r="N40" i="12"/>
  <c r="N52" i="12"/>
  <c r="N36" i="12"/>
  <c r="N33" i="12"/>
  <c r="N30" i="12"/>
  <c r="N27" i="12"/>
  <c r="N49" i="12"/>
  <c r="N22" i="12"/>
  <c r="N18" i="12"/>
  <c r="N15" i="12"/>
  <c r="N12" i="12"/>
  <c r="N9" i="12"/>
  <c r="N5" i="12"/>
  <c r="J8" i="6"/>
  <c r="J8" i="5"/>
  <c r="J62" i="13"/>
  <c r="K8" i="6"/>
  <c r="H8" i="6"/>
  <c r="K62" i="6"/>
  <c r="K8" i="5"/>
  <c r="I71" i="6"/>
  <c r="K71" i="6"/>
  <c r="K54" i="6"/>
  <c r="K21" i="6"/>
  <c r="H62" i="5"/>
  <c r="J71" i="6"/>
  <c r="J54" i="6"/>
  <c r="J21" i="6"/>
  <c r="I54" i="6"/>
  <c r="I21" i="6"/>
  <c r="H71" i="6"/>
  <c r="H21" i="6"/>
  <c r="J62" i="6"/>
  <c r="K71" i="5"/>
  <c r="K54" i="5"/>
  <c r="K21" i="5"/>
  <c r="I62" i="6"/>
  <c r="J71" i="5"/>
  <c r="J54" i="5"/>
  <c r="J21" i="5"/>
  <c r="H62" i="6"/>
  <c r="H54" i="6"/>
  <c r="I71" i="5"/>
  <c r="I54" i="5"/>
  <c r="I21" i="5"/>
  <c r="H71" i="5"/>
  <c r="H54" i="5"/>
  <c r="H21" i="5"/>
  <c r="H8" i="5"/>
  <c r="K62" i="5"/>
  <c r="J62" i="5"/>
  <c r="I62" i="5"/>
  <c r="J71" i="13"/>
  <c r="K71" i="13"/>
  <c r="J54" i="13"/>
  <c r="K21" i="13"/>
  <c r="J8" i="13"/>
  <c r="K62" i="13"/>
  <c r="K54" i="13"/>
  <c r="I71" i="13"/>
  <c r="I62" i="13"/>
  <c r="I21" i="13"/>
  <c r="O21" i="12" l="1"/>
  <c r="N54" i="12"/>
  <c r="L8" i="12"/>
  <c r="L71" i="12" s="1"/>
  <c r="N30" i="11"/>
  <c r="M54" i="12"/>
  <c r="L62" i="12"/>
  <c r="D55" i="12"/>
  <c r="N31" i="11"/>
  <c r="F31" i="11" s="1"/>
  <c r="N21" i="12"/>
  <c r="N8" i="12"/>
  <c r="N71" i="12" s="1"/>
  <c r="O54" i="12"/>
  <c r="O62" i="12"/>
  <c r="L21" i="12"/>
  <c r="J72" i="5"/>
  <c r="J72" i="6"/>
  <c r="O8" i="12"/>
  <c r="O71" i="12" s="1"/>
  <c r="M62" i="12"/>
  <c r="N62" i="12"/>
  <c r="L54" i="12"/>
  <c r="N28" i="11"/>
  <c r="M21" i="12"/>
  <c r="M8" i="12"/>
  <c r="M71" i="12" s="1"/>
  <c r="N29" i="11"/>
  <c r="K72" i="13"/>
  <c r="K72" i="5"/>
  <c r="H72" i="5"/>
  <c r="I72" i="5"/>
  <c r="I72" i="6"/>
  <c r="H72" i="6"/>
  <c r="K72" i="6"/>
  <c r="K71" i="18"/>
  <c r="K72" i="18" s="1"/>
  <c r="J71" i="18"/>
  <c r="J72" i="18" s="1"/>
  <c r="I71" i="18"/>
  <c r="I72" i="18" s="1"/>
  <c r="H71" i="18"/>
  <c r="H72" i="18" s="1"/>
  <c r="G71" i="18"/>
  <c r="F71" i="18"/>
  <c r="E71" i="18"/>
  <c r="D71" i="18"/>
  <c r="K62" i="18"/>
  <c r="J62" i="18"/>
  <c r="I62" i="18"/>
  <c r="H62" i="18"/>
  <c r="G62" i="18"/>
  <c r="G72" i="18" s="1"/>
  <c r="F62" i="18"/>
  <c r="F72" i="18" s="1"/>
  <c r="E62" i="18"/>
  <c r="E72" i="18" s="1"/>
  <c r="D62" i="18"/>
  <c r="D72" i="18" s="1"/>
  <c r="K21" i="18"/>
  <c r="J21" i="18"/>
  <c r="I21" i="18"/>
  <c r="H21" i="18"/>
  <c r="G21" i="18"/>
  <c r="F21" i="18"/>
  <c r="E21" i="18"/>
  <c r="D21" i="18"/>
  <c r="K8" i="18"/>
  <c r="J8" i="18"/>
  <c r="I8" i="18"/>
  <c r="H8" i="18"/>
  <c r="G8" i="18"/>
  <c r="F8" i="18"/>
  <c r="E8" i="18"/>
  <c r="D8" i="18"/>
  <c r="D71" i="16"/>
  <c r="D21" i="16"/>
  <c r="K71" i="15"/>
  <c r="K72" i="15" s="1"/>
  <c r="J71" i="15"/>
  <c r="J72" i="15" s="1"/>
  <c r="I71" i="15"/>
  <c r="I72" i="15" s="1"/>
  <c r="H71" i="15"/>
  <c r="H72" i="15" s="1"/>
  <c r="G71" i="15"/>
  <c r="F71" i="15"/>
  <c r="E71" i="15"/>
  <c r="D71" i="15"/>
  <c r="K62" i="15"/>
  <c r="J62" i="15"/>
  <c r="I62" i="15"/>
  <c r="H62" i="15"/>
  <c r="G62" i="15"/>
  <c r="G72" i="15" s="1"/>
  <c r="F62" i="15"/>
  <c r="E62" i="15"/>
  <c r="E72" i="15" s="1"/>
  <c r="D62" i="15"/>
  <c r="D72" i="15" s="1"/>
  <c r="K21" i="15"/>
  <c r="J21" i="15"/>
  <c r="I21" i="15"/>
  <c r="H21" i="15"/>
  <c r="G21" i="15"/>
  <c r="F21" i="15"/>
  <c r="E21" i="15"/>
  <c r="D21" i="15"/>
  <c r="K8" i="15"/>
  <c r="J8" i="15"/>
  <c r="I8" i="15"/>
  <c r="H8" i="15"/>
  <c r="G8" i="15"/>
  <c r="F8" i="15"/>
  <c r="E8" i="15"/>
  <c r="D8" i="15"/>
  <c r="G72" i="9"/>
  <c r="F72" i="9"/>
  <c r="E72" i="9"/>
  <c r="D72" i="9"/>
  <c r="K71" i="9"/>
  <c r="K72" i="9" s="1"/>
  <c r="J71" i="9"/>
  <c r="I71" i="9"/>
  <c r="I72" i="9" s="1"/>
  <c r="H71" i="9"/>
  <c r="H72" i="9" s="1"/>
  <c r="G71" i="9"/>
  <c r="F71" i="9"/>
  <c r="E71" i="9"/>
  <c r="D71" i="9"/>
  <c r="K62" i="9"/>
  <c r="I62" i="9"/>
  <c r="H62" i="9"/>
  <c r="G62" i="9"/>
  <c r="F62" i="9"/>
  <c r="E62" i="9"/>
  <c r="D62" i="9"/>
  <c r="K21" i="9"/>
  <c r="I21" i="9"/>
  <c r="H21" i="9"/>
  <c r="G21" i="9"/>
  <c r="F21" i="9"/>
  <c r="E21" i="9"/>
  <c r="D21" i="9"/>
  <c r="K8" i="9"/>
  <c r="I8" i="9"/>
  <c r="H8" i="9"/>
  <c r="G8" i="9"/>
  <c r="F8" i="9"/>
  <c r="E8" i="9"/>
  <c r="D8" i="9"/>
  <c r="D71" i="8"/>
  <c r="D21" i="8"/>
  <c r="D71" i="6"/>
  <c r="D71" i="5"/>
  <c r="D71" i="4"/>
  <c r="D21" i="11"/>
  <c r="C21" i="11"/>
  <c r="B21" i="11"/>
  <c r="D18" i="11"/>
  <c r="C18" i="11"/>
  <c r="D17" i="11"/>
  <c r="C17" i="11"/>
  <c r="H8" i="12"/>
  <c r="G8" i="2"/>
  <c r="F8" i="2"/>
  <c r="E8" i="2"/>
  <c r="D8" i="2"/>
  <c r="H31" i="11"/>
  <c r="I31" i="11"/>
  <c r="K31" i="11"/>
  <c r="L31" i="11"/>
  <c r="M31" i="11"/>
  <c r="F21" i="11"/>
  <c r="G21" i="11"/>
  <c r="H21" i="11"/>
  <c r="H17" i="13"/>
  <c r="H18" i="13"/>
  <c r="H19" i="13"/>
  <c r="H23" i="13"/>
  <c r="H50" i="13"/>
  <c r="H64" i="13"/>
  <c r="H69" i="13"/>
  <c r="H68" i="13"/>
  <c r="H70" i="13"/>
  <c r="H52" i="13"/>
  <c r="H43" i="13"/>
  <c r="H53" i="13"/>
  <c r="H44" i="13"/>
  <c r="H24" i="13"/>
  <c r="H26" i="13"/>
  <c r="H27" i="13"/>
  <c r="H28" i="13"/>
  <c r="H29" i="13"/>
  <c r="H30" i="13"/>
  <c r="H31" i="13"/>
  <c r="H32" i="13"/>
  <c r="H34" i="13"/>
  <c r="H35" i="13"/>
  <c r="H36" i="13"/>
  <c r="H37" i="13"/>
  <c r="H38" i="13"/>
  <c r="H39" i="13"/>
  <c r="H47" i="13"/>
  <c r="H48" i="13"/>
  <c r="I4" i="13"/>
  <c r="H4" i="13"/>
  <c r="M72" i="12" l="1"/>
  <c r="N72" i="12"/>
  <c r="O72" i="12"/>
  <c r="L72" i="12"/>
  <c r="B17" i="11"/>
  <c r="H71" i="12"/>
  <c r="H72" i="12" s="1"/>
  <c r="F72" i="15"/>
  <c r="D72" i="16"/>
  <c r="D72" i="8"/>
  <c r="I3" i="13"/>
  <c r="I7" i="13"/>
  <c r="H9" i="13"/>
  <c r="H10" i="13"/>
  <c r="H11" i="13"/>
  <c r="H13" i="13"/>
  <c r="H14" i="13"/>
  <c r="H22" i="13"/>
  <c r="H15" i="13"/>
  <c r="H7" i="13"/>
  <c r="H3" i="13"/>
  <c r="I8" i="13" l="1"/>
  <c r="I54" i="13" s="1"/>
  <c r="I72" i="13" s="1"/>
  <c r="H63" i="13"/>
  <c r="H59" i="13" l="1"/>
  <c r="H60" i="13"/>
  <c r="H61" i="13" l="1"/>
  <c r="H56" i="13" l="1"/>
  <c r="H57" i="13" l="1"/>
  <c r="D5" i="11"/>
  <c r="C5" i="11"/>
  <c r="J9" i="13"/>
  <c r="J21" i="13" s="1"/>
  <c r="J72" i="13" s="1"/>
  <c r="H33" i="13" l="1"/>
  <c r="H55" i="13"/>
  <c r="H58" i="13"/>
  <c r="J31" i="11" l="1"/>
  <c r="H62" i="13"/>
  <c r="H21" i="13"/>
  <c r="H8" i="13"/>
  <c r="H54" i="13" s="1"/>
  <c r="E51" i="11" l="1"/>
  <c r="T32" i="11"/>
  <c r="U32" i="11"/>
  <c r="S32" i="11"/>
  <c r="R32" i="11"/>
  <c r="G48" i="11" l="1"/>
  <c r="H71" i="13" l="1"/>
  <c r="H72" i="13" s="1"/>
  <c r="N70" i="13" l="1"/>
  <c r="N56" i="13"/>
  <c r="N69" i="13"/>
  <c r="N68" i="13"/>
  <c r="N67" i="13"/>
  <c r="N66" i="13"/>
  <c r="N65" i="13"/>
  <c r="N64" i="13"/>
  <c r="N63" i="13"/>
  <c r="N53" i="13"/>
  <c r="N59" i="13"/>
  <c r="N52" i="13"/>
  <c r="N51" i="13"/>
  <c r="N50" i="13"/>
  <c r="N49" i="13"/>
  <c r="N48" i="13"/>
  <c r="N47" i="13"/>
  <c r="N55" i="13"/>
  <c r="N46" i="13"/>
  <c r="N45" i="13"/>
  <c r="N60" i="13"/>
  <c r="N44" i="13"/>
  <c r="N43" i="13"/>
  <c r="N58" i="13"/>
  <c r="N57" i="13"/>
  <c r="N7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61" i="13"/>
  <c r="N26" i="13"/>
  <c r="N25" i="13"/>
  <c r="N24" i="13"/>
  <c r="N23" i="13"/>
  <c r="N22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4" i="13"/>
  <c r="N5" i="13"/>
  <c r="N6" i="13"/>
  <c r="M70" i="13"/>
  <c r="M56" i="13"/>
  <c r="M69" i="13"/>
  <c r="M68" i="13"/>
  <c r="M67" i="13"/>
  <c r="M66" i="13"/>
  <c r="M65" i="13"/>
  <c r="M64" i="13"/>
  <c r="M63" i="13"/>
  <c r="M53" i="13"/>
  <c r="M59" i="13"/>
  <c r="M52" i="13"/>
  <c r="M51" i="13"/>
  <c r="M50" i="13"/>
  <c r="M49" i="13"/>
  <c r="M48" i="13"/>
  <c r="M47" i="13"/>
  <c r="M55" i="13"/>
  <c r="M46" i="13"/>
  <c r="M45" i="13"/>
  <c r="M60" i="13"/>
  <c r="M44" i="13"/>
  <c r="M43" i="13"/>
  <c r="M58" i="13"/>
  <c r="M57" i="13"/>
  <c r="M7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61" i="13"/>
  <c r="M26" i="13"/>
  <c r="M25" i="13"/>
  <c r="M24" i="13"/>
  <c r="M23" i="13"/>
  <c r="M22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4" i="13"/>
  <c r="M5" i="13"/>
  <c r="M6" i="13"/>
  <c r="L70" i="13"/>
  <c r="L56" i="13"/>
  <c r="L69" i="13"/>
  <c r="L68" i="13"/>
  <c r="L67" i="13"/>
  <c r="L66" i="13"/>
  <c r="L65" i="13"/>
  <c r="L64" i="13"/>
  <c r="L63" i="13"/>
  <c r="L53" i="13"/>
  <c r="L59" i="13"/>
  <c r="L52" i="13"/>
  <c r="L51" i="13"/>
  <c r="L50" i="13"/>
  <c r="L49" i="13"/>
  <c r="L48" i="13"/>
  <c r="L47" i="13"/>
  <c r="L55" i="13"/>
  <c r="L46" i="13"/>
  <c r="L45" i="13"/>
  <c r="L60" i="13"/>
  <c r="L44" i="13"/>
  <c r="L43" i="13"/>
  <c r="L58" i="13"/>
  <c r="L57" i="13"/>
  <c r="L7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6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4" i="13"/>
  <c r="L5" i="13"/>
  <c r="L6" i="13"/>
  <c r="N71" i="13" l="1"/>
  <c r="N62" i="13"/>
  <c r="M62" i="13"/>
  <c r="M21" i="13"/>
  <c r="L71" i="13"/>
  <c r="L21" i="13"/>
  <c r="N21" i="13"/>
  <c r="L62" i="13"/>
  <c r="M71" i="13"/>
  <c r="J71" i="1"/>
  <c r="H71" i="1"/>
  <c r="F71" i="1"/>
  <c r="D71" i="1"/>
  <c r="E71" i="1"/>
  <c r="G71" i="1"/>
  <c r="I71" i="1"/>
  <c r="K71" i="1"/>
  <c r="E62" i="1"/>
  <c r="F62" i="1"/>
  <c r="G62" i="1"/>
  <c r="H62" i="1"/>
  <c r="I62" i="1"/>
  <c r="J62" i="1"/>
  <c r="K62" i="1"/>
  <c r="D62" i="1"/>
  <c r="G21" i="1"/>
  <c r="E21" i="1"/>
  <c r="F21" i="1"/>
  <c r="H21" i="1"/>
  <c r="I21" i="1"/>
  <c r="J21" i="1"/>
  <c r="K21" i="1"/>
  <c r="B7" i="11"/>
  <c r="C7" i="11"/>
  <c r="D7" i="11"/>
  <c r="E7" i="11"/>
  <c r="E5" i="11"/>
  <c r="B42" i="10"/>
  <c r="B6" i="10"/>
  <c r="B22" i="10"/>
  <c r="B44" i="10"/>
  <c r="B53" i="10"/>
  <c r="B55" i="10"/>
  <c r="B50" i="10"/>
  <c r="B4" i="10"/>
  <c r="B21" i="10"/>
  <c r="G5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2" i="14"/>
  <c r="G23" i="14"/>
  <c r="G24" i="14"/>
  <c r="G25" i="14"/>
  <c r="G26" i="14"/>
  <c r="G61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7" i="14"/>
  <c r="G57" i="14"/>
  <c r="G58" i="14"/>
  <c r="G43" i="14"/>
  <c r="G44" i="14"/>
  <c r="G60" i="14"/>
  <c r="G45" i="14"/>
  <c r="G46" i="14"/>
  <c r="G56" i="14"/>
  <c r="G47" i="14"/>
  <c r="G48" i="14"/>
  <c r="G49" i="14"/>
  <c r="G50" i="14"/>
  <c r="G51" i="14"/>
  <c r="G52" i="14"/>
  <c r="G59" i="14"/>
  <c r="G53" i="14"/>
  <c r="G63" i="14"/>
  <c r="G64" i="14"/>
  <c r="G65" i="14"/>
  <c r="G66" i="14"/>
  <c r="G67" i="14"/>
  <c r="G68" i="14"/>
  <c r="G69" i="14"/>
  <c r="G55" i="14"/>
  <c r="G70" i="14"/>
  <c r="F5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2" i="14"/>
  <c r="F23" i="14"/>
  <c r="F24" i="14"/>
  <c r="F25" i="14"/>
  <c r="F26" i="14"/>
  <c r="F61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7" i="14"/>
  <c r="F57" i="14"/>
  <c r="F58" i="14"/>
  <c r="F43" i="14"/>
  <c r="F44" i="14"/>
  <c r="F60" i="14"/>
  <c r="F45" i="14"/>
  <c r="F46" i="14"/>
  <c r="F56" i="14"/>
  <c r="F47" i="14"/>
  <c r="F48" i="14"/>
  <c r="F49" i="14"/>
  <c r="F50" i="14"/>
  <c r="F51" i="14"/>
  <c r="F52" i="14"/>
  <c r="F59" i="14"/>
  <c r="F53" i="14"/>
  <c r="F63" i="14"/>
  <c r="F64" i="14"/>
  <c r="F65" i="14"/>
  <c r="F66" i="14"/>
  <c r="F67" i="14"/>
  <c r="F68" i="14"/>
  <c r="F69" i="14"/>
  <c r="F55" i="14"/>
  <c r="F70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2" i="14"/>
  <c r="E23" i="14"/>
  <c r="E24" i="14"/>
  <c r="E25" i="14"/>
  <c r="E26" i="14"/>
  <c r="E61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7" i="14"/>
  <c r="E57" i="14"/>
  <c r="E58" i="14"/>
  <c r="E43" i="14"/>
  <c r="E44" i="14"/>
  <c r="E60" i="14"/>
  <c r="E45" i="14"/>
  <c r="E46" i="14"/>
  <c r="E56" i="14"/>
  <c r="E47" i="14"/>
  <c r="E48" i="14"/>
  <c r="E49" i="14"/>
  <c r="E50" i="14"/>
  <c r="E51" i="14"/>
  <c r="E52" i="14"/>
  <c r="E59" i="14"/>
  <c r="E53" i="14"/>
  <c r="E63" i="14"/>
  <c r="E64" i="14"/>
  <c r="E65" i="14"/>
  <c r="E66" i="14"/>
  <c r="E67" i="14"/>
  <c r="E68" i="14"/>
  <c r="E69" i="14"/>
  <c r="E55" i="14"/>
  <c r="E70" i="14"/>
  <c r="D5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61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7" i="14"/>
  <c r="D57" i="14"/>
  <c r="D58" i="14"/>
  <c r="D43" i="14"/>
  <c r="D44" i="14"/>
  <c r="D60" i="14"/>
  <c r="D45" i="14"/>
  <c r="D46" i="14"/>
  <c r="D56" i="14"/>
  <c r="D47" i="14"/>
  <c r="D48" i="14"/>
  <c r="D49" i="14"/>
  <c r="D50" i="14"/>
  <c r="D51" i="14"/>
  <c r="D52" i="14"/>
  <c r="D59" i="14"/>
  <c r="D53" i="14"/>
  <c r="D63" i="14"/>
  <c r="D64" i="14"/>
  <c r="D65" i="14"/>
  <c r="D66" i="14"/>
  <c r="D67" i="14"/>
  <c r="D68" i="14"/>
  <c r="D69" i="14"/>
  <c r="D55" i="14"/>
  <c r="D70" i="14"/>
  <c r="E36" i="13"/>
  <c r="E37" i="13"/>
  <c r="E38" i="13"/>
  <c r="E39" i="13"/>
  <c r="E40" i="13"/>
  <c r="E41" i="13"/>
  <c r="E42" i="13"/>
  <c r="E43" i="13"/>
  <c r="E44" i="13"/>
  <c r="E47" i="13"/>
  <c r="E48" i="13"/>
  <c r="E16" i="13"/>
  <c r="E17" i="13"/>
  <c r="E19" i="13"/>
  <c r="E20" i="13"/>
  <c r="E6" i="13"/>
  <c r="F64" i="12"/>
  <c r="F65" i="12"/>
  <c r="F66" i="12"/>
  <c r="F67" i="12"/>
  <c r="F68" i="12"/>
  <c r="F69" i="12"/>
  <c r="F58" i="12"/>
  <c r="F23" i="12"/>
  <c r="D23" i="13" s="1"/>
  <c r="F24" i="12"/>
  <c r="D24" i="13" s="1"/>
  <c r="F49" i="12"/>
  <c r="D25" i="13" s="1"/>
  <c r="F25" i="12"/>
  <c r="D26" i="13" s="1"/>
  <c r="F61" i="12"/>
  <c r="D61" i="13" s="1"/>
  <c r="F26" i="12"/>
  <c r="D27" i="13" s="1"/>
  <c r="F27" i="12"/>
  <c r="D28" i="13" s="1"/>
  <c r="F28" i="12"/>
  <c r="D29" i="13" s="1"/>
  <c r="F29" i="12"/>
  <c r="D30" i="13" s="1"/>
  <c r="F30" i="12"/>
  <c r="D31" i="13" s="1"/>
  <c r="F31" i="12"/>
  <c r="D32" i="13" s="1"/>
  <c r="F32" i="12"/>
  <c r="D33" i="13" s="1"/>
  <c r="F33" i="12"/>
  <c r="D34" i="13" s="1"/>
  <c r="F34" i="12"/>
  <c r="D35" i="13" s="1"/>
  <c r="F35" i="12"/>
  <c r="D36" i="13" s="1"/>
  <c r="F36" i="12"/>
  <c r="D37" i="13" s="1"/>
  <c r="F37" i="12"/>
  <c r="D38" i="13" s="1"/>
  <c r="F38" i="12"/>
  <c r="D39" i="13" s="1"/>
  <c r="F52" i="12"/>
  <c r="D40" i="13" s="1"/>
  <c r="F53" i="12"/>
  <c r="D41" i="13" s="1"/>
  <c r="F39" i="12"/>
  <c r="D42" i="13" s="1"/>
  <c r="F7" i="12"/>
  <c r="D7" i="13" s="1"/>
  <c r="D57" i="13"/>
  <c r="F56" i="12"/>
  <c r="D58" i="13" s="1"/>
  <c r="F40" i="12"/>
  <c r="D43" i="13" s="1"/>
  <c r="F41" i="12"/>
  <c r="D44" i="13" s="1"/>
  <c r="F60" i="12"/>
  <c r="D60" i="13" s="1"/>
  <c r="F50" i="12"/>
  <c r="D45" i="13" s="1"/>
  <c r="F51" i="12"/>
  <c r="D46" i="13" s="1"/>
  <c r="F57" i="12"/>
  <c r="D55" i="13" s="1"/>
  <c r="F42" i="12"/>
  <c r="D47" i="13" s="1"/>
  <c r="F43" i="12"/>
  <c r="D48" i="13" s="1"/>
  <c r="F44" i="12"/>
  <c r="D49" i="13" s="1"/>
  <c r="F45" i="12"/>
  <c r="D50" i="13" s="1"/>
  <c r="F46" i="12"/>
  <c r="D51" i="13" s="1"/>
  <c r="F47" i="12"/>
  <c r="D52" i="13" s="1"/>
  <c r="F59" i="12"/>
  <c r="D59" i="13" s="1"/>
  <c r="F48" i="12"/>
  <c r="D53" i="13" s="1"/>
  <c r="F10" i="12"/>
  <c r="D10" i="13" s="1"/>
  <c r="F11" i="12"/>
  <c r="D11" i="13" s="1"/>
  <c r="F12" i="12"/>
  <c r="D12" i="13" s="1"/>
  <c r="F14" i="12"/>
  <c r="D14" i="13" s="1"/>
  <c r="F15" i="12"/>
  <c r="D15" i="13" s="1"/>
  <c r="F16" i="12"/>
  <c r="D16" i="13" s="1"/>
  <c r="F17" i="12"/>
  <c r="D17" i="13" s="1"/>
  <c r="F18" i="12"/>
  <c r="D18" i="13" s="1"/>
  <c r="F19" i="12"/>
  <c r="D19" i="13" s="1"/>
  <c r="F20" i="12"/>
  <c r="D20" i="13" s="1"/>
  <c r="F4" i="12"/>
  <c r="D4" i="13" s="1"/>
  <c r="F5" i="12"/>
  <c r="D5" i="13" s="1"/>
  <c r="F6" i="12"/>
  <c r="D6" i="13" s="1"/>
  <c r="E64" i="12"/>
  <c r="E65" i="12"/>
  <c r="E66" i="12"/>
  <c r="E67" i="12"/>
  <c r="E68" i="12"/>
  <c r="E69" i="12"/>
  <c r="E37" i="12"/>
  <c r="E56" i="12"/>
  <c r="E18" i="12"/>
  <c r="E19" i="12"/>
  <c r="D64" i="12"/>
  <c r="D65" i="12"/>
  <c r="O65" i="13" s="1"/>
  <c r="D66" i="12"/>
  <c r="D67" i="12"/>
  <c r="O67" i="13" s="1"/>
  <c r="D68" i="12"/>
  <c r="D69" i="12"/>
  <c r="D58" i="12"/>
  <c r="O56" i="13" s="1"/>
  <c r="F23" i="13"/>
  <c r="F25" i="13"/>
  <c r="F26" i="13"/>
  <c r="F61" i="13"/>
  <c r="F28" i="13"/>
  <c r="F29" i="13"/>
  <c r="D30" i="12"/>
  <c r="F32" i="13"/>
  <c r="F33" i="13"/>
  <c r="F35" i="13"/>
  <c r="F36" i="13"/>
  <c r="F39" i="13"/>
  <c r="F40" i="13"/>
  <c r="F7" i="13"/>
  <c r="F57" i="13"/>
  <c r="D40" i="12"/>
  <c r="F44" i="13"/>
  <c r="F60" i="13"/>
  <c r="F49" i="13"/>
  <c r="F50" i="13"/>
  <c r="F11" i="13"/>
  <c r="F13" i="13"/>
  <c r="D19" i="12"/>
  <c r="F63" i="12"/>
  <c r="F22" i="12"/>
  <c r="F9" i="12"/>
  <c r="E63" i="12"/>
  <c r="E22" i="12"/>
  <c r="E9" i="12"/>
  <c r="D63" i="12"/>
  <c r="G63" i="12" s="1"/>
  <c r="D22" i="12"/>
  <c r="D9" i="12"/>
  <c r="B5" i="11" l="1"/>
  <c r="B6" i="11"/>
  <c r="G58" i="12"/>
  <c r="G67" i="12"/>
  <c r="E19" i="11"/>
  <c r="O63" i="13"/>
  <c r="G65" i="12"/>
  <c r="G72" i="1"/>
  <c r="E47" i="11" s="1"/>
  <c r="Q32" i="11"/>
  <c r="D62" i="14"/>
  <c r="I72" i="1"/>
  <c r="H72" i="1"/>
  <c r="J72" i="1"/>
  <c r="D72" i="1"/>
  <c r="B47" i="11" s="1"/>
  <c r="K72" i="1"/>
  <c r="F71" i="14"/>
  <c r="E62" i="14"/>
  <c r="F62" i="14"/>
  <c r="E71" i="14"/>
  <c r="D21" i="14"/>
  <c r="G21" i="14"/>
  <c r="F21" i="14"/>
  <c r="F72" i="1"/>
  <c r="D47" i="11" s="1"/>
  <c r="E72" i="1"/>
  <c r="C47" i="11" s="1"/>
  <c r="G62" i="14"/>
  <c r="G71" i="14"/>
  <c r="E21" i="14"/>
  <c r="F8" i="14"/>
  <c r="E8" i="14"/>
  <c r="D8" i="14"/>
  <c r="D71" i="14"/>
  <c r="E4" i="12"/>
  <c r="E6" i="12"/>
  <c r="E35" i="13"/>
  <c r="B19" i="11"/>
  <c r="C22" i="10"/>
  <c r="E52" i="12"/>
  <c r="E45" i="12"/>
  <c r="E31" i="12"/>
  <c r="D38" i="12"/>
  <c r="D11" i="12"/>
  <c r="E41" i="12"/>
  <c r="E43" i="12"/>
  <c r="D32" i="12"/>
  <c r="E49" i="12"/>
  <c r="E44" i="12"/>
  <c r="E11" i="12"/>
  <c r="D25" i="12"/>
  <c r="E40" i="12"/>
  <c r="D49" i="12"/>
  <c r="E10" i="12"/>
  <c r="E24" i="12"/>
  <c r="D60" i="12"/>
  <c r="D13" i="12"/>
  <c r="O13" i="13" s="1"/>
  <c r="E7" i="12"/>
  <c r="D31" i="12"/>
  <c r="C42" i="10"/>
  <c r="D35" i="12"/>
  <c r="E12" i="12"/>
  <c r="E32" i="12"/>
  <c r="D44" i="12"/>
  <c r="D52" i="12"/>
  <c r="D45" i="12"/>
  <c r="D61" i="12"/>
  <c r="D41" i="12"/>
  <c r="E30" i="12"/>
  <c r="C55" i="10"/>
  <c r="C53" i="10"/>
  <c r="E14" i="12"/>
  <c r="D34" i="12"/>
  <c r="E57" i="12"/>
  <c r="D27" i="12"/>
  <c r="D28" i="12"/>
  <c r="E34" i="12"/>
  <c r="D4" i="12"/>
  <c r="F4" i="13"/>
  <c r="D17" i="12"/>
  <c r="F17" i="13"/>
  <c r="E59" i="12"/>
  <c r="D6" i="12"/>
  <c r="F6" i="13"/>
  <c r="D51" i="12"/>
  <c r="F46" i="13"/>
  <c r="E47" i="12"/>
  <c r="D5" i="12"/>
  <c r="F5" i="13"/>
  <c r="D50" i="12"/>
  <c r="F45" i="13"/>
  <c r="D33" i="12"/>
  <c r="F34" i="13"/>
  <c r="E53" i="12"/>
  <c r="E26" i="12"/>
  <c r="D20" i="12"/>
  <c r="F20" i="13"/>
  <c r="E38" i="12"/>
  <c r="D16" i="12"/>
  <c r="F16" i="13"/>
  <c r="D59" i="12"/>
  <c r="F59" i="13"/>
  <c r="D57" i="12"/>
  <c r="F55" i="13"/>
  <c r="E16" i="12"/>
  <c r="D15" i="12"/>
  <c r="F15" i="13"/>
  <c r="D47" i="12"/>
  <c r="F52" i="13"/>
  <c r="D39" i="12"/>
  <c r="F42" i="13"/>
  <c r="D70" i="12"/>
  <c r="F70" i="13"/>
  <c r="E15" i="12"/>
  <c r="E51" i="12"/>
  <c r="E39" i="12"/>
  <c r="E27" i="12"/>
  <c r="D14" i="12"/>
  <c r="F14" i="13"/>
  <c r="D46" i="12"/>
  <c r="F51" i="13"/>
  <c r="D53" i="12"/>
  <c r="F41" i="13"/>
  <c r="D26" i="12"/>
  <c r="F27" i="13"/>
  <c r="E50" i="12"/>
  <c r="E33" i="12"/>
  <c r="D7" i="12"/>
  <c r="E35" i="12"/>
  <c r="D12" i="12"/>
  <c r="F12" i="13"/>
  <c r="E20" i="12"/>
  <c r="E25" i="12"/>
  <c r="E46" i="12"/>
  <c r="D23" i="12"/>
  <c r="D18" i="12"/>
  <c r="F18" i="13"/>
  <c r="D10" i="12"/>
  <c r="F10" i="13"/>
  <c r="F48" i="13"/>
  <c r="D43" i="12"/>
  <c r="D56" i="12"/>
  <c r="F58" i="13"/>
  <c r="D37" i="12"/>
  <c r="F38" i="13"/>
  <c r="D42" i="12"/>
  <c r="F47" i="13"/>
  <c r="D36" i="12"/>
  <c r="F37" i="13"/>
  <c r="D29" i="12"/>
  <c r="F30" i="13"/>
  <c r="D24" i="12"/>
  <c r="F24" i="13"/>
  <c r="E17" i="12"/>
  <c r="E48" i="12"/>
  <c r="E42" i="12"/>
  <c r="E36" i="12"/>
  <c r="E29" i="12"/>
  <c r="D48" i="12"/>
  <c r="F53" i="13"/>
  <c r="E28" i="12"/>
  <c r="E23" i="12"/>
  <c r="F43" i="13"/>
  <c r="C50" i="10"/>
  <c r="F19" i="13"/>
  <c r="F31" i="13"/>
  <c r="C40" i="10"/>
  <c r="C32" i="10"/>
  <c r="B40" i="10"/>
  <c r="B32" i="10"/>
  <c r="C44" i="10"/>
  <c r="C4" i="10"/>
  <c r="C6" i="10"/>
  <c r="G41" i="12" l="1"/>
  <c r="O44" i="13"/>
  <c r="G44" i="13" s="1"/>
  <c r="O60" i="13"/>
  <c r="G60" i="13" s="1"/>
  <c r="G60" i="12"/>
  <c r="E60" i="13" s="1"/>
  <c r="O46" i="13"/>
  <c r="G46" i="13" s="1"/>
  <c r="G51" i="12"/>
  <c r="E46" i="13" s="1"/>
  <c r="O49" i="13"/>
  <c r="G49" i="13" s="1"/>
  <c r="G44" i="12"/>
  <c r="E49" i="13" s="1"/>
  <c r="O52" i="13"/>
  <c r="G52" i="13" s="1"/>
  <c r="G47" i="12"/>
  <c r="E52" i="13" s="1"/>
  <c r="O25" i="13"/>
  <c r="G25" i="13" s="1"/>
  <c r="G49" i="12"/>
  <c r="E25" i="13" s="1"/>
  <c r="O61" i="13"/>
  <c r="G61" i="13" s="1"/>
  <c r="G61" i="12"/>
  <c r="E61" i="13" s="1"/>
  <c r="G53" i="12"/>
  <c r="O41" i="13"/>
  <c r="G41" i="13" s="1"/>
  <c r="O23" i="13"/>
  <c r="G23" i="13" s="1"/>
  <c r="G23" i="12"/>
  <c r="E23" i="13" s="1"/>
  <c r="G37" i="12"/>
  <c r="O38" i="13"/>
  <c r="G38" i="13" s="1"/>
  <c r="O53" i="13"/>
  <c r="G53" i="13" s="1"/>
  <c r="G48" i="12"/>
  <c r="E53" i="13" s="1"/>
  <c r="G35" i="12"/>
  <c r="O36" i="13"/>
  <c r="G36" i="13" s="1"/>
  <c r="O5" i="13"/>
  <c r="G5" i="12"/>
  <c r="E5" i="13" s="1"/>
  <c r="O28" i="13"/>
  <c r="G28" i="13" s="1"/>
  <c r="G27" i="12"/>
  <c r="E28" i="13" s="1"/>
  <c r="O12" i="13"/>
  <c r="G12" i="13" s="1"/>
  <c r="G12" i="12"/>
  <c r="E12" i="13" s="1"/>
  <c r="O34" i="13"/>
  <c r="G34" i="13" s="1"/>
  <c r="G33" i="12"/>
  <c r="E34" i="13" s="1"/>
  <c r="G36" i="12"/>
  <c r="O37" i="13"/>
  <c r="G37" i="13" s="1"/>
  <c r="O15" i="13"/>
  <c r="G15" i="13" s="1"/>
  <c r="G15" i="12"/>
  <c r="E15" i="13" s="1"/>
  <c r="G43" i="12"/>
  <c r="O48" i="13"/>
  <c r="G48" i="13" s="1"/>
  <c r="O32" i="13"/>
  <c r="G32" i="13" s="1"/>
  <c r="G31" i="12"/>
  <c r="E32" i="13" s="1"/>
  <c r="O33" i="13"/>
  <c r="G33" i="13" s="1"/>
  <c r="G32" i="12"/>
  <c r="E33" i="13" s="1"/>
  <c r="G42" i="12"/>
  <c r="O47" i="13"/>
  <c r="G47" i="13" s="1"/>
  <c r="G20" i="12"/>
  <c r="O20" i="13"/>
  <c r="G20" i="13" s="1"/>
  <c r="G52" i="12"/>
  <c r="O40" i="13"/>
  <c r="G40" i="13" s="1"/>
  <c r="O7" i="13"/>
  <c r="G7" i="13" s="1"/>
  <c r="G7" i="12"/>
  <c r="E7" i="13" s="1"/>
  <c r="G16" i="12"/>
  <c r="O16" i="13"/>
  <c r="G16" i="13" s="1"/>
  <c r="B18" i="11"/>
  <c r="O14" i="13"/>
  <c r="G14" i="13" s="1"/>
  <c r="G14" i="12"/>
  <c r="E14" i="13" s="1"/>
  <c r="F42" i="11"/>
  <c r="H42" i="11"/>
  <c r="F72" i="14"/>
  <c r="H9" i="11" s="1"/>
  <c r="H43" i="11"/>
  <c r="F45" i="11"/>
  <c r="G45" i="11"/>
  <c r="H45" i="11"/>
  <c r="I45" i="11"/>
  <c r="F44" i="11"/>
  <c r="I44" i="11"/>
  <c r="H44" i="11"/>
  <c r="G44" i="11"/>
  <c r="G46" i="11"/>
  <c r="G40" i="11"/>
  <c r="H40" i="11"/>
  <c r="I40" i="11"/>
  <c r="F40" i="11"/>
  <c r="G47" i="11"/>
  <c r="D72" i="14"/>
  <c r="F9" i="11" s="1"/>
  <c r="E72" i="14"/>
  <c r="G9" i="11" s="1"/>
  <c r="G41" i="11"/>
  <c r="F41" i="11"/>
  <c r="H41" i="11"/>
  <c r="I39" i="11"/>
  <c r="C27" i="10"/>
  <c r="E5" i="12" l="1"/>
  <c r="G5" i="13"/>
  <c r="C19" i="10"/>
  <c r="B19" i="10"/>
  <c r="C10" i="10" l="1"/>
  <c r="B10" i="10"/>
  <c r="C47" i="10"/>
  <c r="C39" i="10"/>
  <c r="C35" i="10"/>
  <c r="C29" i="10"/>
  <c r="C7" i="10"/>
  <c r="B27" i="10"/>
  <c r="C24" i="10" l="1"/>
  <c r="C28" i="10"/>
  <c r="C26" i="10"/>
  <c r="C33" i="10"/>
  <c r="C11" i="10"/>
  <c r="C48" i="10"/>
  <c r="C8" i="10"/>
  <c r="C62" i="10"/>
  <c r="C18" i="10"/>
  <c r="C31" i="10"/>
  <c r="C12" i="10"/>
  <c r="C15" i="10"/>
  <c r="C49" i="10"/>
  <c r="C34" i="10"/>
  <c r="C64" i="10"/>
  <c r="C54" i="10"/>
  <c r="C2" i="10"/>
  <c r="C46" i="10"/>
  <c r="C5" i="10"/>
  <c r="C61" i="10"/>
  <c r="C25" i="10"/>
  <c r="C9" i="10"/>
  <c r="C63" i="10"/>
  <c r="C56" i="10"/>
  <c r="C45" i="10"/>
  <c r="C65" i="10"/>
  <c r="C23" i="10"/>
  <c r="C36" i="10"/>
  <c r="C16" i="10"/>
  <c r="C57" i="10"/>
  <c r="B30" i="10"/>
  <c r="C30" i="10"/>
  <c r="C58" i="10"/>
  <c r="C51" i="10"/>
  <c r="C52" i="10"/>
  <c r="C60" i="10"/>
  <c r="C14" i="10"/>
  <c r="B25" i="10"/>
  <c r="B61" i="10"/>
  <c r="B46" i="10"/>
  <c r="C38" i="10" l="1"/>
  <c r="C13" i="10"/>
  <c r="C37" i="10"/>
  <c r="C43" i="10"/>
  <c r="C59" i="10"/>
  <c r="C41" i="10"/>
  <c r="B43" i="10" l="1"/>
  <c r="B52" i="10" l="1"/>
  <c r="G56" i="13"/>
  <c r="F66" i="13"/>
  <c r="D66" i="13"/>
  <c r="E56" i="13"/>
  <c r="E66" i="13"/>
  <c r="E9" i="13" l="1"/>
  <c r="F9" i="13"/>
  <c r="F64" i="13"/>
  <c r="F68" i="13"/>
  <c r="F65" i="13"/>
  <c r="E64" i="13"/>
  <c r="E68" i="13"/>
  <c r="E65" i="13"/>
  <c r="G65" i="13"/>
  <c r="F67" i="13"/>
  <c r="E69" i="13"/>
  <c r="G67" i="13"/>
  <c r="E67" i="13"/>
  <c r="D67" i="13"/>
  <c r="F69" i="13"/>
  <c r="D68" i="13"/>
  <c r="F56" i="13"/>
  <c r="D69" i="13"/>
  <c r="D56" i="13"/>
  <c r="D65" i="13"/>
  <c r="D64" i="13"/>
  <c r="F70" i="12"/>
  <c r="D70" i="13" s="1"/>
  <c r="F21" i="13" l="1"/>
  <c r="L18" i="11" s="1"/>
  <c r="E22" i="13"/>
  <c r="E62" i="13"/>
  <c r="K19" i="11" s="1"/>
  <c r="F63" i="13"/>
  <c r="D63" i="13"/>
  <c r="D22" i="13"/>
  <c r="D62" i="13"/>
  <c r="J19" i="11" s="1"/>
  <c r="D9" i="13"/>
  <c r="F13" i="12"/>
  <c r="D13" i="13" s="1"/>
  <c r="G63" i="13"/>
  <c r="F22" i="13"/>
  <c r="F62" i="13"/>
  <c r="L19" i="11" s="1"/>
  <c r="E63" i="13"/>
  <c r="F62" i="12"/>
  <c r="D62" i="12"/>
  <c r="F71" i="13" l="1"/>
  <c r="L20" i="11" s="1"/>
  <c r="D71" i="13"/>
  <c r="J20" i="11" s="1"/>
  <c r="D21" i="13" l="1"/>
  <c r="J18" i="11" s="1"/>
  <c r="B65" i="10"/>
  <c r="B39" i="10" l="1"/>
  <c r="B33" i="10" l="1"/>
  <c r="B5" i="10"/>
  <c r="B34" i="10"/>
  <c r="B26" i="10"/>
  <c r="B28" i="10"/>
  <c r="B17" i="10"/>
  <c r="B56" i="10" l="1"/>
  <c r="B9" i="10"/>
  <c r="B8" i="10"/>
  <c r="B37" i="10" l="1"/>
  <c r="B12" i="10"/>
  <c r="B64" i="10"/>
  <c r="B47" i="10"/>
  <c r="B54" i="10"/>
  <c r="B35" i="10"/>
  <c r="B16" i="10"/>
  <c r="B18" i="10"/>
  <c r="B7" i="10"/>
  <c r="B23" i="10"/>
  <c r="B62" i="10"/>
  <c r="B14" i="10"/>
  <c r="B49" i="10"/>
  <c r="B57" i="10"/>
  <c r="B3" i="10"/>
  <c r="B45" i="10"/>
  <c r="B60" i="10"/>
  <c r="B36" i="10"/>
  <c r="B58" i="10"/>
  <c r="B24" i="10"/>
  <c r="B63" i="10"/>
  <c r="B2" i="10"/>
  <c r="B15" i="10"/>
  <c r="B29" i="10"/>
  <c r="B11" i="10"/>
  <c r="B31" i="10"/>
  <c r="B13" i="10"/>
  <c r="B38" i="10"/>
  <c r="B48" i="10"/>
  <c r="B51" i="10"/>
  <c r="B41" i="10"/>
  <c r="B59" i="10" l="1"/>
  <c r="D71" i="12" l="1"/>
  <c r="C21" i="10"/>
  <c r="G71" i="12"/>
  <c r="I20" i="11" s="1"/>
  <c r="E70" i="12"/>
  <c r="M29" i="11" l="1"/>
  <c r="I29" i="11"/>
  <c r="K29" i="11"/>
  <c r="L29" i="11"/>
  <c r="M28" i="11"/>
  <c r="I28" i="11"/>
  <c r="E70" i="13"/>
  <c r="N32" i="11"/>
  <c r="F19" i="11"/>
  <c r="E71" i="13" l="1"/>
  <c r="K20" i="11" s="1"/>
  <c r="F21" i="12" l="1"/>
  <c r="H18" i="11" s="1"/>
  <c r="F71" i="12"/>
  <c r="H19" i="11" s="1"/>
  <c r="C17" i="10"/>
  <c r="H28" i="11" l="1"/>
  <c r="E71" i="12"/>
  <c r="G19" i="11" s="1"/>
  <c r="G13" i="12"/>
  <c r="E13" i="12"/>
  <c r="D21" i="12" l="1"/>
  <c r="E13" i="13"/>
  <c r="G13" i="13"/>
  <c r="E21" i="12"/>
  <c r="G18" i="11" s="1"/>
  <c r="F18" i="11" l="1"/>
  <c r="E21" i="13"/>
  <c r="K18" i="11" s="1"/>
  <c r="F29" i="11" l="1"/>
  <c r="F28" i="11"/>
  <c r="J29" i="11" l="1"/>
  <c r="J28" i="11"/>
  <c r="K28" i="11" l="1"/>
  <c r="L28" i="11"/>
  <c r="H5" i="11"/>
  <c r="G6" i="11"/>
  <c r="I6" i="11"/>
  <c r="I5" i="11"/>
  <c r="F6" i="11"/>
  <c r="H6" i="11"/>
  <c r="F5" i="11"/>
  <c r="I7" i="11"/>
  <c r="H7" i="11"/>
  <c r="G7" i="11"/>
  <c r="F7" i="11"/>
  <c r="I22" i="11" l="1"/>
  <c r="I10" i="11"/>
  <c r="I8" i="11"/>
  <c r="H8" i="11"/>
  <c r="H10" i="11"/>
  <c r="G8" i="11"/>
  <c r="G10" i="11"/>
  <c r="F8" i="11"/>
  <c r="F10" i="11"/>
  <c r="E18" i="13"/>
  <c r="M30" i="11" l="1"/>
  <c r="I30" i="11"/>
  <c r="E32" i="11"/>
  <c r="M32" i="11" s="1"/>
  <c r="E52" i="11" l="1"/>
  <c r="E58" i="13" l="1"/>
  <c r="C52" i="11"/>
  <c r="B20" i="10"/>
  <c r="B52" i="11" l="1"/>
  <c r="F39" i="11"/>
  <c r="E8" i="12"/>
  <c r="H39" i="11"/>
  <c r="D52" i="11"/>
  <c r="L3" i="13"/>
  <c r="N3" i="13"/>
  <c r="M3" i="13"/>
  <c r="D3" i="12"/>
  <c r="E3" i="12"/>
  <c r="C20" i="10"/>
  <c r="G39" i="11"/>
  <c r="G17" i="11" l="1"/>
  <c r="D8" i="12"/>
  <c r="G8" i="12" s="1"/>
  <c r="M8" i="13"/>
  <c r="M54" i="13" s="1"/>
  <c r="M72" i="13" s="1"/>
  <c r="N8" i="13"/>
  <c r="N54" i="13" s="1"/>
  <c r="N72" i="13" s="1"/>
  <c r="L8" i="13"/>
  <c r="L54" i="13" s="1"/>
  <c r="L72" i="13" s="1"/>
  <c r="F3" i="13"/>
  <c r="D3" i="13"/>
  <c r="F8" i="12"/>
  <c r="E3" i="13"/>
  <c r="D32" i="11"/>
  <c r="L30" i="11"/>
  <c r="H30" i="11"/>
  <c r="K30" i="11"/>
  <c r="G30" i="11"/>
  <c r="C32" i="11"/>
  <c r="J30" i="11"/>
  <c r="B32" i="11"/>
  <c r="F30" i="11"/>
  <c r="H17" i="11" l="1"/>
  <c r="F17" i="11"/>
  <c r="G29" i="11"/>
  <c r="L32" i="11"/>
  <c r="E8" i="13"/>
  <c r="K17" i="11" s="1"/>
  <c r="E72" i="13"/>
  <c r="F32" i="11"/>
  <c r="I32" i="11"/>
  <c r="J32" i="11"/>
  <c r="K32" i="11"/>
  <c r="D72" i="13"/>
  <c r="D8" i="13"/>
  <c r="J17" i="11" s="1"/>
  <c r="F72" i="13"/>
  <c r="F8" i="13"/>
  <c r="L17" i="11" s="1"/>
  <c r="G31" i="11" l="1"/>
  <c r="L22" i="11"/>
  <c r="L21" i="11"/>
  <c r="K22" i="11"/>
  <c r="K21" i="11"/>
  <c r="J22" i="11"/>
  <c r="J21" i="11"/>
  <c r="G28" i="11"/>
  <c r="G32" i="11"/>
  <c r="H29" i="11"/>
  <c r="P32" i="11" l="1"/>
  <c r="H32" i="11" s="1"/>
  <c r="E54" i="13"/>
  <c r="F54" i="13"/>
  <c r="D54" i="13"/>
  <c r="E29" i="13"/>
  <c r="E11" i="13"/>
  <c r="E26" i="13"/>
  <c r="E45" i="13"/>
  <c r="E4" i="13"/>
  <c r="E27" i="13"/>
  <c r="E55" i="13"/>
  <c r="E59" i="13"/>
  <c r="E30" i="13"/>
  <c r="E10" i="13"/>
  <c r="E31" i="13"/>
  <c r="E50" i="13"/>
  <c r="E24" i="13"/>
  <c r="E57" i="13"/>
  <c r="E51" i="13"/>
  <c r="G4" i="12"/>
  <c r="O4" i="13"/>
  <c r="G4" i="13" s="1"/>
  <c r="G21" i="12"/>
  <c r="I18" i="11" s="1"/>
  <c r="O22" i="13"/>
  <c r="G22" i="13" s="1"/>
  <c r="O11" i="13"/>
  <c r="G11" i="13" s="1"/>
  <c r="O18" i="13"/>
  <c r="G18" i="13" s="1"/>
  <c r="O24" i="13"/>
  <c r="G24" i="13" s="1"/>
  <c r="G25" i="12"/>
  <c r="E18" i="11"/>
  <c r="G18" i="12"/>
  <c r="E17" i="11"/>
  <c r="O10" i="13"/>
  <c r="G10" i="13" s="1"/>
  <c r="O9" i="13"/>
  <c r="G9" i="13" s="1"/>
  <c r="G24" i="12"/>
  <c r="O17" i="13"/>
  <c r="G17" i="13" s="1"/>
  <c r="O31" i="13"/>
  <c r="G31" i="13" s="1"/>
  <c r="G22" i="12"/>
  <c r="O30" i="13"/>
  <c r="G30" i="13" s="1"/>
  <c r="G9" i="12"/>
  <c r="G26" i="12"/>
  <c r="G17" i="12"/>
  <c r="O27" i="13"/>
  <c r="G27" i="13" s="1"/>
  <c r="G29" i="12"/>
  <c r="O29" i="13"/>
  <c r="G29" i="13" s="1"/>
  <c r="G19" i="12"/>
  <c r="O26" i="13"/>
  <c r="G26" i="13" s="1"/>
  <c r="O19" i="13"/>
  <c r="G19" i="13" s="1"/>
  <c r="O3" i="13"/>
  <c r="G3" i="13" s="1"/>
  <c r="G10" i="12"/>
  <c r="O6" i="13"/>
  <c r="G6" i="13" s="1"/>
  <c r="G6" i="12"/>
  <c r="G28" i="12"/>
  <c r="F3" i="12" s="1"/>
  <c r="G30" i="12"/>
  <c r="G11" i="12"/>
  <c r="O8" i="13" l="1"/>
  <c r="G8" i="13" s="1"/>
  <c r="M17" i="11" s="1"/>
  <c r="O21" i="13"/>
  <c r="G21" i="13" s="1"/>
  <c r="M18" i="11" s="1"/>
  <c r="O68" i="13"/>
  <c r="G68" i="13" s="1"/>
  <c r="O59" i="13"/>
  <c r="G59" i="13" s="1"/>
  <c r="O43" i="13"/>
  <c r="G43" i="13" s="1"/>
  <c r="O45" i="13"/>
  <c r="G45" i="13" s="1"/>
  <c r="G46" i="12"/>
  <c r="O69" i="13"/>
  <c r="G69" i="13" s="1"/>
  <c r="O66" i="13"/>
  <c r="G66" i="13" s="1"/>
  <c r="O64" i="13"/>
  <c r="E21" i="11"/>
  <c r="G59" i="12"/>
  <c r="G66" i="12"/>
  <c r="O70" i="13"/>
  <c r="G70" i="13" s="1"/>
  <c r="E61" i="12"/>
  <c r="G34" i="12"/>
  <c r="G38" i="12"/>
  <c r="E58" i="12"/>
  <c r="G62" i="12"/>
  <c r="I19" i="11" s="1"/>
  <c r="O58" i="13"/>
  <c r="G58" i="13" s="1"/>
  <c r="G68" i="12"/>
  <c r="G57" i="12"/>
  <c r="O35" i="13"/>
  <c r="G35" i="13" s="1"/>
  <c r="O39" i="13"/>
  <c r="G39" i="13" s="1"/>
  <c r="O57" i="13"/>
  <c r="G57" i="13" s="1"/>
  <c r="O50" i="13"/>
  <c r="G50" i="13" s="1"/>
  <c r="G39" i="12"/>
  <c r="G64" i="12"/>
  <c r="O42" i="13"/>
  <c r="G42" i="13" s="1"/>
  <c r="G50" i="12"/>
  <c r="G45" i="12"/>
  <c r="G40" i="12"/>
  <c r="O51" i="13"/>
  <c r="G51" i="13" s="1"/>
  <c r="O55" i="13"/>
  <c r="G55" i="13" s="1"/>
  <c r="G70" i="12"/>
  <c r="G69" i="12"/>
  <c r="O62" i="13" l="1"/>
  <c r="G62" i="13" s="1"/>
  <c r="M19" i="11" s="1"/>
  <c r="O54" i="13"/>
  <c r="G54" i="13" s="1"/>
  <c r="O71" i="13"/>
  <c r="G64" i="13"/>
  <c r="G71" i="13" l="1"/>
  <c r="M20" i="11" s="1"/>
  <c r="O72" i="13"/>
  <c r="G72" i="13" s="1"/>
  <c r="M21" i="11" l="1"/>
  <c r="M22" i="11"/>
  <c r="I17" i="11"/>
  <c r="G3" i="12"/>
  <c r="E60" i="12"/>
  <c r="E62" i="12"/>
  <c r="F3" i="14"/>
  <c r="D3" i="14"/>
  <c r="G72" i="14"/>
  <c r="I9" i="11" s="1"/>
  <c r="G3" i="14"/>
  <c r="G8" i="14"/>
  <c r="D4" i="14"/>
  <c r="E4" i="14"/>
  <c r="F6" i="14"/>
  <c r="F4" i="14"/>
  <c r="G6" i="14"/>
  <c r="G4" i="14"/>
  <c r="E3" i="14"/>
  <c r="D6" i="14"/>
  <c r="E6" i="14"/>
  <c r="E5" i="14"/>
  <c r="G5" i="11" s="1"/>
  <c r="E8" i="11"/>
  <c r="E10" i="11" s="1"/>
  <c r="F54" i="14"/>
  <c r="D8" i="11"/>
  <c r="D10" i="11" s="1"/>
  <c r="D54" i="14"/>
  <c r="B8" i="11"/>
  <c r="B10" i="11" s="1"/>
  <c r="G54" i="14"/>
  <c r="C8" i="11"/>
  <c r="C10" i="11" s="1"/>
  <c r="E54" i="14"/>
  <c r="B20" i="11"/>
  <c r="B22" i="11" s="1"/>
  <c r="G56" i="12"/>
  <c r="C20" i="11"/>
  <c r="C22" i="11" s="1"/>
  <c r="E54" i="12"/>
  <c r="F52" i="11"/>
  <c r="D54" i="12"/>
  <c r="G54" i="12"/>
  <c r="E20" i="11"/>
  <c r="E22" i="11"/>
  <c r="F54" i="12"/>
  <c r="G72" i="12"/>
  <c r="I21" i="11" s="1"/>
  <c r="G52" i="11"/>
  <c r="D20" i="11"/>
  <c r="D22" i="11" s="1"/>
  <c r="H52" i="11" l="1"/>
  <c r="E72" i="12"/>
  <c r="G20" i="11" s="1"/>
  <c r="F72" i="12"/>
  <c r="D72" i="12"/>
  <c r="F20" i="11" s="1"/>
  <c r="F22" i="11"/>
  <c r="H20" i="11"/>
  <c r="H22" i="11"/>
  <c r="I52" i="11"/>
  <c r="G22" i="11" l="1"/>
  <c r="J54" i="15" l="1"/>
  <c r="H54" i="9"/>
  <c r="G54" i="1"/>
  <c r="G54" i="9"/>
  <c r="I54" i="18"/>
  <c r="J54" i="18"/>
  <c r="D54" i="1"/>
  <c r="D54" i="15"/>
  <c r="I54" i="15"/>
  <c r="F54" i="15"/>
  <c r="I54" i="1"/>
  <c r="E54" i="15"/>
  <c r="F54" i="1"/>
  <c r="H54" i="15"/>
  <c r="H54" i="1"/>
  <c r="I54" i="9"/>
  <c r="K54" i="9"/>
  <c r="D54" i="9"/>
  <c r="G54" i="18"/>
  <c r="E54" i="18"/>
  <c r="E54" i="1"/>
  <c r="K54" i="1"/>
  <c r="F54" i="18"/>
  <c r="H54" i="18"/>
  <c r="D54" i="18"/>
  <c r="G54" i="15"/>
  <c r="F54" i="9"/>
  <c r="K54" i="18"/>
  <c r="K54" i="15"/>
  <c r="E54" i="9"/>
  <c r="J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DE70FAC4-5D4A-4550-9363-9A6705AF1B4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ABFF131A-A5FC-4912-B84D-A623E3EEB56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38E3F34-02D8-4E7F-97AC-0EC08D7D1F7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5C147B12-0587-4B8E-970A-B95BD316219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95E305-BF6C-4B52-9901-1B09344B651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D1D3763A-2161-4023-B2FB-1A72305B71B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7C4D062-8ED6-43CA-8ABE-61348659C5F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1310878-D6A7-4822-B46D-E45F1861F1F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1DE37DE-2546-4B4C-9A56-DDFAC3359F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F323CFE7-32B2-4883-AC2B-AA67D884736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701770B-572F-4A60-8770-97CF1AD3450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17237AEE-6FC6-4250-B6A1-97E05C05D28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1F9BAB02-C593-4A56-B771-5608FE22EAA4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898DB6E-3A05-4F36-B789-84742714C4D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89F91046-19D2-4FD3-9109-5424636CBEB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6655DE2E-54AE-4766-845A-25FE2066ECD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FF5857-4941-47FB-AD50-1A9C038C4F7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B1DDEA97-A436-408D-8817-E9C8BF5A6A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CDBA252B-EB88-4575-B3A4-70FE22CE837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71B8559A-1569-43DF-B45E-AF2FA260A7D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EC30F25-099E-489B-A90C-23C9D162798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2690BD6C-DE25-4AE1-ACD9-57A56F52C29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E9CCADD-69C0-49A9-BD76-3D4CDC8091C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4FBA4F46-083A-4091-BB1E-8EA2BB91487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791F82FD-B074-4B2A-8928-C60EC9132E9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F3669EA8-0700-4343-A21C-37BB0E2DD70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7F756469-6AC1-4A5D-98DF-9D8A26EA7FF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05999120-F618-4D26-979D-886161B0B1F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73929FA-DB50-43EB-AA1C-DCBFBDF0DD3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27E7DB7F-FC5B-45B3-A0FC-6A56BED91D6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544CB9A-B036-47DA-AFCA-B8152238052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2F4E3F0-CE08-434C-9B82-9364CB737AD4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sharedStrings.xml><?xml version="1.0" encoding="utf-8"?>
<sst xmlns="http://schemas.openxmlformats.org/spreadsheetml/2006/main" count="3543" uniqueCount="135">
  <si>
    <t>שם סוכן</t>
  </si>
  <si>
    <t>גל אלמגור סוכ</t>
  </si>
  <si>
    <t>דניאלה אביב</t>
  </si>
  <si>
    <t>סה"כ ישיר</t>
  </si>
  <si>
    <t>בראשית סוכנות לביטוח</t>
  </si>
  <si>
    <t>גל אלמגור דאוד סוכ' לב</t>
  </si>
  <si>
    <t>גל אלמגור -וייס סוכנות</t>
  </si>
  <si>
    <t>גל אלמגור דרום סוכ ל</t>
  </si>
  <si>
    <t>משה שטרן גל אלמגור</t>
  </si>
  <si>
    <t>מקסימום סוכנות לבטוח פ</t>
  </si>
  <si>
    <t>סה"כ חברות בנות</t>
  </si>
  <si>
    <t>מועלם אלפרד</t>
  </si>
  <si>
    <t>גרניק בנימין</t>
  </si>
  <si>
    <t>סאוסן שלבי</t>
  </si>
  <si>
    <t>דורי כדורי דאי</t>
  </si>
  <si>
    <t>סברא סמיר</t>
  </si>
  <si>
    <t>מחמוד פארס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</si>
  <si>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</si>
  <si>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</si>
  <si>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</si>
  <si>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</si>
  <si>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</si>
  <si>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</si>
  <si>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</si>
  <si>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</si>
  <si>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</si>
  <si>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</si>
  <si>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</si>
  <si>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</si>
  <si>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</si>
  <si>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גולדר אבי</t>
  </si>
  <si>
    <t>א.ד. אבידן ביטוחים בע"מ</t>
  </si>
  <si>
    <t>מטאנס זוהיר</t>
  </si>
  <si>
    <t>סטולרז אסף</t>
  </si>
  <si>
    <t>דני פחימה</t>
  </si>
  <si>
    <t>עאטף עדווי</t>
  </si>
  <si>
    <t>מכלול סוכנות לביטוח</t>
  </si>
  <si>
    <t>גול זאב</t>
  </si>
  <si>
    <t>בדר צבי</t>
  </si>
  <si>
    <t>יונתן מנחם</t>
  </si>
  <si>
    <t>שלי מזרחי</t>
  </si>
  <si>
    <t>יהונתן שיוביץ</t>
  </si>
  <si>
    <t>אלרם סוכנות לביטוח</t>
  </si>
  <si>
    <t>רכס אורן</t>
  </si>
  <si>
    <t>סה"כ פרימיום</t>
  </si>
  <si>
    <t>סה"כ כולל</t>
  </si>
  <si>
    <t>פנסיוני</t>
  </si>
  <si>
    <t xml:space="preserve">סיכונים </t>
  </si>
  <si>
    <t>פיננסים</t>
  </si>
  <si>
    <t>ניודי פנסיה</t>
  </si>
  <si>
    <t>סיכונים</t>
  </si>
  <si>
    <t xml:space="preserve">פיננסים </t>
  </si>
  <si>
    <t>שינוי מול אשתקד %</t>
  </si>
  <si>
    <t xml:space="preserve">מפקח </t>
  </si>
  <si>
    <t>מפקח</t>
  </si>
  <si>
    <t>לא מפוקחים</t>
  </si>
  <si>
    <t xml:space="preserve">ערן גירוני </t>
  </si>
  <si>
    <t xml:space="preserve">קבוצה </t>
  </si>
  <si>
    <t xml:space="preserve">ישירים </t>
  </si>
  <si>
    <t>חברות בת</t>
  </si>
  <si>
    <t xml:space="preserve">סוכני פרימיום </t>
  </si>
  <si>
    <t xml:space="preserve">סה"כ מכירות </t>
  </si>
  <si>
    <t>השגת יעדים%</t>
  </si>
  <si>
    <t>השגת יעדים חודשי %</t>
  </si>
  <si>
    <t>מנורה</t>
  </si>
  <si>
    <t>מגדל</t>
  </si>
  <si>
    <t>כלל</t>
  </si>
  <si>
    <t>אלטשולר שחם</t>
  </si>
  <si>
    <t>מור</t>
  </si>
  <si>
    <t>הראל</t>
  </si>
  <si>
    <t>הפניקס</t>
  </si>
  <si>
    <t>איילון</t>
  </si>
  <si>
    <t xml:space="preserve">הכשרה </t>
  </si>
  <si>
    <t>סה"כ</t>
  </si>
  <si>
    <t>השגת יעדים מצטבר %</t>
  </si>
  <si>
    <t>עולים בולטים</t>
  </si>
  <si>
    <t>סוכן</t>
  </si>
  <si>
    <t>שינוי % מול תקופה חופפת אשתקד</t>
  </si>
  <si>
    <t>עליה מול תקופה חופפת אשתקד</t>
  </si>
  <si>
    <t>יורדים בולטים</t>
  </si>
  <si>
    <t>ירידה מול תקופה חופפת אשתקד</t>
  </si>
  <si>
    <t>שינוי %</t>
  </si>
  <si>
    <t>עליה/ירידה</t>
  </si>
  <si>
    <t>יעדים מצטבר</t>
  </si>
  <si>
    <t>אריאל בר-חיים</t>
  </si>
  <si>
    <r>
      <t xml:space="preserve">תפוקה </t>
    </r>
    <r>
      <rPr>
        <b/>
        <i/>
        <sz val="11"/>
        <color rgb="FFFF0000"/>
        <rFont val="Calibri"/>
        <family val="2"/>
      </rPr>
      <t>מצטברת</t>
    </r>
    <r>
      <rPr>
        <b/>
        <i/>
        <sz val="11"/>
        <color theme="1"/>
        <rFont val="Calibri"/>
        <family val="2"/>
      </rPr>
      <t xml:space="preserve"> לפי קבוצות</t>
    </r>
  </si>
  <si>
    <r>
      <t>תפוקה</t>
    </r>
    <r>
      <rPr>
        <b/>
        <sz val="12"/>
        <color rgb="FFFF0000"/>
        <rFont val="Calibri"/>
        <family val="2"/>
      </rPr>
      <t xml:space="preserve"> חודשית</t>
    </r>
    <r>
      <rPr>
        <b/>
        <sz val="12"/>
        <color theme="1"/>
        <rFont val="Calibri"/>
        <family val="2"/>
      </rPr>
      <t xml:space="preserve"> לפי קבוצות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</si>
  <si>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מפקחים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</si>
  <si>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חברות</t>
    </r>
  </si>
  <si>
    <t>נור אבו ראס</t>
  </si>
  <si>
    <t>לילי שרון</t>
  </si>
  <si>
    <t>אחמד עלי אחמד</t>
  </si>
  <si>
    <t>שירלי בוכריס</t>
  </si>
  <si>
    <t>עבוד כיתי</t>
  </si>
  <si>
    <t>אביב מור יוסף</t>
  </si>
  <si>
    <t>יעקב ישראל שטרן</t>
  </si>
  <si>
    <t>סיון פיינרו</t>
  </si>
  <si>
    <t xml:space="preserve">ניודי פנסיה </t>
  </si>
  <si>
    <t>חנה כצנלסון</t>
  </si>
  <si>
    <t>ינאי חיים בוני</t>
  </si>
  <si>
    <t xml:space="preserve">מיכאל וקסלר </t>
  </si>
  <si>
    <t xml:space="preserve">שני לוי </t>
  </si>
  <si>
    <t>דורון ענק הביטוח</t>
  </si>
  <si>
    <t>דאי דניאל</t>
  </si>
  <si>
    <t xml:space="preserve">גל אלמגור -ראם </t>
  </si>
  <si>
    <t xml:space="preserve">ניר יבלונקה </t>
  </si>
  <si>
    <t xml:space="preserve">אבו חיט ניזאם </t>
  </si>
  <si>
    <t>אילנית כהן</t>
  </si>
  <si>
    <t>נעם הלשטוק</t>
  </si>
  <si>
    <t>אורטל / לנג ביג סוכנות לביטוח פנסיוני</t>
  </si>
  <si>
    <t>פרמיום</t>
  </si>
  <si>
    <t xml:space="preserve">פרמיום </t>
  </si>
  <si>
    <t xml:space="preserve">רותי </t>
  </si>
  <si>
    <t xml:space="preserve">אילנית </t>
  </si>
  <si>
    <t xml:space="preserve">שותפים </t>
  </si>
  <si>
    <t xml:space="preserve">סוכנים </t>
  </si>
  <si>
    <t>יוסי אביב</t>
  </si>
  <si>
    <t>מחלקה</t>
  </si>
  <si>
    <t xml:space="preserve">מדיהו </t>
  </si>
  <si>
    <t xml:space="preserve">אנליסט </t>
  </si>
  <si>
    <t>מיטב דש</t>
  </si>
  <si>
    <t>אינפניטי</t>
  </si>
  <si>
    <t>0%0</t>
  </si>
  <si>
    <t>תפוקה חודשית 01/2025</t>
  </si>
  <si>
    <t>תפוקה מצטברת  01/2025</t>
  </si>
  <si>
    <t>תפוקה מצטברת 01/2024</t>
  </si>
  <si>
    <t>תפוקה מצטברת 01/2025</t>
  </si>
  <si>
    <t>יעד מצטבר 01/2025</t>
  </si>
  <si>
    <t>יעד חודשי 01/2025</t>
  </si>
  <si>
    <t>איתי אדן</t>
  </si>
  <si>
    <t>סוכנים ערן</t>
  </si>
  <si>
    <t>סוכנים איתי</t>
  </si>
  <si>
    <t>תפוקה מצטברת - 2025</t>
  </si>
  <si>
    <t xml:space="preserve">תפוקה מצטברת - 2024 </t>
  </si>
  <si>
    <t xml:space="preserve">סוכנים איתי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</si>
</sst>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2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333333"/>
      <name val="Calibri"/>
      <family val="2"/>
    </font>
    <font>
      <b/>
      <sz val="14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  <charset val="177"/>
    </font>
    <font>
      <sz val="10"/>
      <name val="Arial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charset val="177"/>
    </font>
    <font>
      <b/>
      <sz val="14"/>
      <color theme="1"/>
      <name val="Calibri"/>
      <family val="2"/>
      <charset val="177"/>
    </font>
    <font>
      <b/>
      <sz val="11"/>
      <color theme="1"/>
      <name val="Calibri"/>
      <family val="2"/>
      <charset val="177"/>
    </font>
    <font>
      <b/>
      <sz val="18"/>
      <color theme="1"/>
      <name val="Calibri"/>
      <family val="2"/>
      <charset val="177"/>
    </font>
    <font>
      <b/>
      <sz val="16"/>
      <color theme="1"/>
      <name val="Calibri"/>
      <family val="2"/>
      <charset val="177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63636"/>
      <name val="Arial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E9D9AB"/>
        <bgColor indexed="64"/>
      </patternFill>
    </fill>
    <fill>
      <patternFill patternType="solid">
        <fgColor rgb="FFF0E5C6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</cellStyleXfs>
  <cellXfs count="27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readingOrder="1"/>
    </xf>
    <xf numFmtId="164" fontId="1" fillId="0" borderId="0" xfId="1" applyNumberFormat="1" applyFont="1" applyAlignment="1">
      <alignment readingOrder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 readingOrder="2"/>
    </xf>
    <xf numFmtId="164" fontId="6" fillId="6" borderId="1" xfId="1" applyNumberFormat="1" applyFont="1" applyFill="1" applyBorder="1" applyAlignment="1">
      <alignment horizontal="center" vertical="center"/>
    </xf>
    <xf numFmtId="164" fontId="8" fillId="16" borderId="1" xfId="1" applyNumberFormat="1" applyFont="1" applyFill="1" applyBorder="1" applyAlignment="1">
      <alignment horizontal="center" vertical="center" wrapText="1" readingOrder="2"/>
    </xf>
    <xf numFmtId="164" fontId="6" fillId="13" borderId="1" xfId="1" applyNumberFormat="1" applyFont="1" applyFill="1" applyBorder="1" applyAlignment="1">
      <alignment horizontal="center"/>
    </xf>
    <xf numFmtId="164" fontId="6" fillId="13" borderId="2" xfId="1" applyNumberFormat="1" applyFont="1" applyFill="1" applyBorder="1" applyAlignment="1">
      <alignment horizontal="center"/>
    </xf>
    <xf numFmtId="0" fontId="7" fillId="16" borderId="27" xfId="0" applyFont="1" applyFill="1" applyBorder="1" applyAlignment="1">
      <alignment horizontal="center" vertical="center" wrapText="1" readingOrder="2"/>
    </xf>
    <xf numFmtId="0" fontId="7" fillId="16" borderId="12" xfId="0" applyFont="1" applyFill="1" applyBorder="1" applyAlignment="1">
      <alignment horizontal="center" vertical="center" wrapText="1" readingOrder="2"/>
    </xf>
    <xf numFmtId="164" fontId="6" fillId="13" borderId="10" xfId="1" applyNumberFormat="1" applyFont="1" applyFill="1" applyBorder="1" applyAlignment="1">
      <alignment horizontal="center"/>
    </xf>
    <xf numFmtId="164" fontId="6" fillId="0" borderId="1" xfId="1" applyNumberFormat="1" applyFont="1" applyBorder="1" applyAlignment="1">
      <alignment horizontal="center" vertical="center" wrapText="1" readingOrder="1"/>
    </xf>
    <xf numFmtId="9" fontId="6" fillId="0" borderId="1" xfId="2" applyFont="1" applyBorder="1" applyAlignment="1">
      <alignment horizontal="center" vertical="center"/>
    </xf>
    <xf numFmtId="164" fontId="6" fillId="6" borderId="1" xfId="1" applyNumberFormat="1" applyFont="1" applyFill="1" applyBorder="1" applyAlignment="1">
      <alignment readingOrder="1"/>
    </xf>
    <xf numFmtId="164" fontId="6" fillId="10" borderId="1" xfId="1" applyNumberFormat="1" applyFont="1" applyFill="1" applyBorder="1" applyAlignment="1">
      <alignment readingOrder="1"/>
    </xf>
    <xf numFmtId="164" fontId="6" fillId="9" borderId="1" xfId="1" applyNumberFormat="1" applyFont="1" applyFill="1" applyBorder="1" applyAlignment="1">
      <alignment readingOrder="1"/>
    </xf>
    <xf numFmtId="0" fontId="9" fillId="2" borderId="1" xfId="0" applyFont="1" applyFill="1" applyBorder="1" applyAlignment="1">
      <alignment horizontal="center" vertical="center" wrapText="1" readingOrder="2"/>
    </xf>
    <xf numFmtId="164" fontId="11" fillId="7" borderId="1" xfId="1" applyNumberFormat="1" applyFont="1" applyFill="1" applyBorder="1" applyAlignment="1">
      <alignment horizontal="center" vertical="center"/>
    </xf>
    <xf numFmtId="164" fontId="9" fillId="15" borderId="1" xfId="1" applyNumberFormat="1" applyFont="1" applyFill="1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0" fillId="0" borderId="10" xfId="0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 readingOrder="2"/>
    </xf>
    <xf numFmtId="164" fontId="9" fillId="5" borderId="1" xfId="1" applyNumberFormat="1" applyFont="1" applyFill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164" fontId="6" fillId="0" borderId="0" xfId="1" applyNumberFormat="1" applyFont="1"/>
    <xf numFmtId="0" fontId="6" fillId="0" borderId="0" xfId="0" applyFont="1"/>
    <xf numFmtId="164" fontId="7" fillId="13" borderId="0" xfId="1" applyNumberFormat="1" applyFont="1" applyFill="1" applyBorder="1" applyAlignment="1">
      <alignment horizontal="center"/>
    </xf>
    <xf numFmtId="164" fontId="9" fillId="13" borderId="0" xfId="1" applyNumberFormat="1" applyFont="1" applyFill="1" applyBorder="1" applyAlignment="1">
      <alignment horizontal="center" vertical="center"/>
    </xf>
    <xf numFmtId="9" fontId="6" fillId="13" borderId="0" xfId="2" applyFont="1" applyFill="1" applyBorder="1"/>
    <xf numFmtId="9" fontId="13" fillId="13" borderId="0" xfId="2" applyFont="1" applyFill="1" applyBorder="1" applyAlignment="1">
      <alignment horizontal="center" vertical="center" wrapText="1" readingOrder="2"/>
    </xf>
    <xf numFmtId="164" fontId="13" fillId="13" borderId="0" xfId="1" applyNumberFormat="1" applyFont="1" applyFill="1" applyBorder="1" applyAlignment="1">
      <alignment horizontal="center" vertical="center" wrapText="1" readingOrder="2"/>
    </xf>
    <xf numFmtId="164" fontId="3" fillId="0" borderId="0" xfId="1" applyNumberFormat="1" applyFont="1" applyAlignment="1">
      <alignment horizontal="center" vertical="center"/>
    </xf>
    <xf numFmtId="164" fontId="9" fillId="19" borderId="10" xfId="1" applyNumberFormat="1" applyFont="1" applyFill="1" applyBorder="1" applyAlignment="1">
      <alignment horizontal="center" vertical="center" wrapText="1" readingOrder="2"/>
    </xf>
    <xf numFmtId="164" fontId="9" fillId="9" borderId="10" xfId="1" applyNumberFormat="1" applyFont="1" applyFill="1" applyBorder="1" applyAlignment="1">
      <alignment horizontal="center" vertical="center" wrapText="1" readingOrder="2"/>
    </xf>
    <xf numFmtId="164" fontId="13" fillId="12" borderId="13" xfId="1" applyNumberFormat="1" applyFont="1" applyFill="1" applyBorder="1" applyAlignment="1">
      <alignment horizontal="center" vertical="center" wrapText="1" readingOrder="1"/>
    </xf>
    <xf numFmtId="9" fontId="13" fillId="12" borderId="13" xfId="2" applyFont="1" applyFill="1" applyBorder="1" applyAlignment="1">
      <alignment horizontal="center" vertical="center" wrapText="1" readingOrder="1"/>
    </xf>
    <xf numFmtId="9" fontId="13" fillId="12" borderId="14" xfId="2" applyFont="1" applyFill="1" applyBorder="1" applyAlignment="1">
      <alignment horizontal="center" vertical="center" wrapText="1" readingOrder="1"/>
    </xf>
    <xf numFmtId="9" fontId="6" fillId="0" borderId="2" xfId="2" applyFont="1" applyBorder="1" applyAlignment="1">
      <alignment horizontal="center" vertical="center" readingOrder="1"/>
    </xf>
    <xf numFmtId="9" fontId="6" fillId="0" borderId="10" xfId="2" applyFont="1" applyBorder="1" applyAlignment="1">
      <alignment horizontal="center" vertical="center" readingOrder="1"/>
    </xf>
    <xf numFmtId="9" fontId="6" fillId="0" borderId="1" xfId="2" applyFont="1" applyBorder="1" applyAlignment="1">
      <alignment horizontal="center" vertical="center" readingOrder="1"/>
    </xf>
    <xf numFmtId="164" fontId="6" fillId="0" borderId="1" xfId="1" applyNumberFormat="1" applyFont="1" applyBorder="1" applyAlignment="1">
      <alignment horizontal="center" vertical="center" readingOrder="1"/>
    </xf>
    <xf numFmtId="9" fontId="6" fillId="0" borderId="6" xfId="2" applyFont="1" applyBorder="1" applyAlignment="1">
      <alignment horizontal="center" vertical="center" readingOrder="1"/>
    </xf>
    <xf numFmtId="164" fontId="6" fillId="0" borderId="0" xfId="1" applyNumberFormat="1" applyFont="1" applyAlignment="1">
      <alignment horizontal="center" vertical="center"/>
    </xf>
    <xf numFmtId="164" fontId="6" fillId="0" borderId="9" xfId="1" applyNumberFormat="1" applyFont="1" applyBorder="1" applyAlignment="1">
      <alignment horizontal="center" vertical="center" readingOrder="1"/>
    </xf>
    <xf numFmtId="164" fontId="6" fillId="0" borderId="5" xfId="1" applyNumberFormat="1" applyFont="1" applyBorder="1" applyAlignment="1">
      <alignment horizontal="center" vertical="center" readingOrder="1"/>
    </xf>
    <xf numFmtId="0" fontId="16" fillId="6" borderId="4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readingOrder="1"/>
    </xf>
    <xf numFmtId="0" fontId="6" fillId="0" borderId="0" xfId="0" applyFont="1" applyAlignment="1">
      <alignment readingOrder="1"/>
    </xf>
    <xf numFmtId="0" fontId="16" fillId="11" borderId="4" xfId="0" applyFont="1" applyFill="1" applyBorder="1" applyAlignment="1">
      <alignment horizontal="center" vertical="center" wrapText="1" readingOrder="1"/>
    </xf>
    <xf numFmtId="9" fontId="5" fillId="17" borderId="3" xfId="2" applyFont="1" applyFill="1" applyBorder="1" applyAlignment="1">
      <alignment horizontal="center" vertical="center"/>
    </xf>
    <xf numFmtId="9" fontId="5" fillId="17" borderId="3" xfId="2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19" fillId="0" borderId="0" xfId="0" applyFont="1" applyAlignment="1">
      <alignment readingOrder="1"/>
    </xf>
    <xf numFmtId="0" fontId="6" fillId="13" borderId="0" xfId="0" applyFont="1" applyFill="1" applyAlignment="1">
      <alignment readingOrder="1"/>
    </xf>
    <xf numFmtId="0" fontId="9" fillId="0" borderId="0" xfId="0" applyFont="1" applyAlignment="1">
      <alignment horizontal="center" vertical="center" readingOrder="1"/>
    </xf>
    <xf numFmtId="164" fontId="11" fillId="0" borderId="24" xfId="1" applyNumberFormat="1" applyFont="1" applyBorder="1" applyAlignment="1">
      <alignment horizontal="center" vertical="center"/>
    </xf>
    <xf numFmtId="164" fontId="11" fillId="0" borderId="25" xfId="1" applyNumberFormat="1" applyFont="1" applyBorder="1" applyAlignment="1">
      <alignment horizontal="center" vertical="center"/>
    </xf>
    <xf numFmtId="164" fontId="11" fillId="0" borderId="26" xfId="1" applyNumberFormat="1" applyFont="1" applyBorder="1" applyAlignment="1">
      <alignment horizontal="center" vertical="center"/>
    </xf>
    <xf numFmtId="0" fontId="9" fillId="16" borderId="14" xfId="0" applyFont="1" applyFill="1" applyBorder="1" applyAlignment="1">
      <alignment horizontal="center" vertical="center" wrapText="1" readingOrder="2"/>
    </xf>
    <xf numFmtId="164" fontId="6" fillId="10" borderId="1" xfId="1" applyNumberFormat="1" applyFont="1" applyFill="1" applyBorder="1" applyAlignment="1">
      <alignment horizontal="center" vertical="center"/>
    </xf>
    <xf numFmtId="164" fontId="6" fillId="10" borderId="2" xfId="1" applyNumberFormat="1" applyFont="1" applyFill="1" applyBorder="1" applyAlignment="1">
      <alignment horizontal="center" vertical="center"/>
    </xf>
    <xf numFmtId="164" fontId="9" fillId="5" borderId="1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164" fontId="8" fillId="16" borderId="12" xfId="1" applyNumberFormat="1" applyFont="1" applyFill="1" applyBorder="1" applyAlignment="1">
      <alignment horizontal="center" vertical="center" wrapText="1" readingOrder="2"/>
    </xf>
    <xf numFmtId="9" fontId="20" fillId="13" borderId="0" xfId="2" applyFont="1" applyFill="1" applyBorder="1" applyAlignment="1">
      <alignment horizontal="center" vertical="center" wrapText="1" readingOrder="2"/>
    </xf>
    <xf numFmtId="0" fontId="21" fillId="0" borderId="0" xfId="0" applyFont="1" applyAlignment="1">
      <alignment readingOrder="1"/>
    </xf>
    <xf numFmtId="164" fontId="19" fillId="0" borderId="5" xfId="1" applyNumberFormat="1" applyFont="1" applyBorder="1"/>
    <xf numFmtId="164" fontId="19" fillId="0" borderId="0" xfId="1" applyNumberFormat="1" applyFont="1"/>
    <xf numFmtId="9" fontId="21" fillId="23" borderId="4" xfId="2" applyFont="1" applyFill="1" applyBorder="1" applyAlignment="1">
      <alignment horizontal="center" vertical="center"/>
    </xf>
    <xf numFmtId="164" fontId="7" fillId="12" borderId="15" xfId="1" applyNumberFormat="1" applyFont="1" applyFill="1" applyBorder="1" applyAlignment="1">
      <alignment horizontal="center" vertical="center" wrapText="1" readingOrder="2"/>
    </xf>
    <xf numFmtId="164" fontId="9" fillId="19" borderId="9" xfId="1" applyNumberFormat="1" applyFont="1" applyFill="1" applyBorder="1" applyAlignment="1">
      <alignment horizontal="center" vertical="center" wrapText="1" readingOrder="2"/>
    </xf>
    <xf numFmtId="164" fontId="9" fillId="9" borderId="11" xfId="1" applyNumberFormat="1" applyFont="1" applyFill="1" applyBorder="1" applyAlignment="1">
      <alignment horizontal="center" vertical="center" wrapText="1" readingOrder="2"/>
    </xf>
    <xf numFmtId="164" fontId="13" fillId="12" borderId="12" xfId="1" applyNumberFormat="1" applyFont="1" applyFill="1" applyBorder="1" applyAlignment="1">
      <alignment horizontal="center" vertical="center" wrapText="1" readingOrder="1"/>
    </xf>
    <xf numFmtId="9" fontId="6" fillId="0" borderId="8" xfId="2" applyFont="1" applyBorder="1" applyAlignment="1">
      <alignment horizontal="center" vertical="center" readingOrder="1"/>
    </xf>
    <xf numFmtId="164" fontId="9" fillId="9" borderId="3" xfId="1" applyNumberFormat="1" applyFont="1" applyFill="1" applyBorder="1" applyAlignment="1">
      <alignment horizontal="center" vertical="center" wrapText="1" readingOrder="2"/>
    </xf>
    <xf numFmtId="164" fontId="24" fillId="0" borderId="1" xfId="1" applyNumberFormat="1" applyFont="1" applyBorder="1" applyAlignment="1">
      <alignment horizontal="center" vertical="center" wrapText="1" readingOrder="1"/>
    </xf>
    <xf numFmtId="164" fontId="0" fillId="0" borderId="0" xfId="1" applyNumberFormat="1" applyFont="1" applyBorder="1" applyAlignment="1">
      <alignment horizontal="center" vertical="center"/>
    </xf>
    <xf numFmtId="164" fontId="9" fillId="9" borderId="37" xfId="1" applyNumberFormat="1" applyFont="1" applyFill="1" applyBorder="1" applyAlignment="1">
      <alignment horizontal="center" vertical="center" wrapText="1" readingOrder="2"/>
    </xf>
    <xf numFmtId="9" fontId="6" fillId="0" borderId="30" xfId="2" applyFont="1" applyBorder="1" applyAlignment="1">
      <alignment horizontal="center" vertical="center" readingOrder="1"/>
    </xf>
    <xf numFmtId="9" fontId="6" fillId="0" borderId="38" xfId="2" applyFont="1" applyBorder="1" applyAlignment="1">
      <alignment horizontal="center" vertical="center" readingOrder="1"/>
    </xf>
    <xf numFmtId="9" fontId="6" fillId="0" borderId="5" xfId="2" applyFont="1" applyBorder="1" applyAlignment="1">
      <alignment horizontal="center" vertical="center" readingOrder="1"/>
    </xf>
    <xf numFmtId="9" fontId="6" fillId="0" borderId="7" xfId="2" applyFont="1" applyBorder="1" applyAlignment="1">
      <alignment horizontal="center" vertical="center" readingOrder="1"/>
    </xf>
    <xf numFmtId="164" fontId="9" fillId="19" borderId="33" xfId="1" applyNumberFormat="1" applyFont="1" applyFill="1" applyBorder="1" applyAlignment="1">
      <alignment horizontal="center" vertical="center" wrapText="1" readingOrder="2"/>
    </xf>
    <xf numFmtId="164" fontId="9" fillId="9" borderId="9" xfId="1" applyNumberFormat="1" applyFont="1" applyFill="1" applyBorder="1" applyAlignment="1">
      <alignment horizontal="center" vertical="center" wrapText="1" readingOrder="2"/>
    </xf>
    <xf numFmtId="9" fontId="13" fillId="12" borderId="12" xfId="2" applyFont="1" applyFill="1" applyBorder="1" applyAlignment="1">
      <alignment horizontal="center" vertical="center" wrapText="1" readingOrder="1"/>
    </xf>
    <xf numFmtId="10" fontId="7" fillId="12" borderId="27" xfId="1" applyNumberFormat="1" applyFont="1" applyFill="1" applyBorder="1" applyAlignment="1">
      <alignment horizontal="center" vertical="center" wrapText="1" readingOrder="1"/>
    </xf>
    <xf numFmtId="10" fontId="13" fillId="12" borderId="28" xfId="1" applyNumberFormat="1" applyFont="1" applyFill="1" applyBorder="1" applyAlignment="1">
      <alignment horizontal="center" vertical="center" wrapText="1" readingOrder="1"/>
    </xf>
    <xf numFmtId="10" fontId="13" fillId="12" borderId="29" xfId="1" applyNumberFormat="1" applyFont="1" applyFill="1" applyBorder="1" applyAlignment="1">
      <alignment horizontal="center" vertical="center" wrapText="1" readingOrder="1"/>
    </xf>
    <xf numFmtId="164" fontId="9" fillId="17" borderId="34" xfId="1" applyNumberFormat="1" applyFont="1" applyFill="1" applyBorder="1" applyAlignment="1">
      <alignment horizontal="center" vertical="center"/>
    </xf>
    <xf numFmtId="164" fontId="9" fillId="17" borderId="35" xfId="1" applyNumberFormat="1" applyFont="1" applyFill="1" applyBorder="1" applyAlignment="1">
      <alignment horizontal="center" vertical="center"/>
    </xf>
    <xf numFmtId="164" fontId="9" fillId="17" borderId="36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8" fillId="16" borderId="12" xfId="1" applyNumberFormat="1" applyFont="1" applyFill="1" applyBorder="1" applyAlignment="1">
      <alignment horizontal="center" vertical="center" wrapText="1" readingOrder="1"/>
    </xf>
    <xf numFmtId="43" fontId="0" fillId="0" borderId="0" xfId="0" applyNumberFormat="1" applyAlignment="1">
      <alignment horizontal="center" vertical="center"/>
    </xf>
    <xf numFmtId="9" fontId="8" fillId="8" borderId="2" xfId="2" applyFont="1" applyFill="1" applyBorder="1" applyAlignment="1">
      <alignment vertical="center" wrapText="1"/>
    </xf>
    <xf numFmtId="9" fontId="8" fillId="15" borderId="2" xfId="2" applyFont="1" applyFill="1" applyBorder="1" applyAlignment="1">
      <alignment vertical="center" wrapText="1"/>
    </xf>
    <xf numFmtId="9" fontId="8" fillId="5" borderId="2" xfId="2" applyFont="1" applyFill="1" applyBorder="1" applyAlignment="1">
      <alignment vertical="center"/>
    </xf>
    <xf numFmtId="9" fontId="7" fillId="7" borderId="2" xfId="2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 wrapText="1" readingOrder="1"/>
    </xf>
    <xf numFmtId="164" fontId="6" fillId="6" borderId="1" xfId="1" applyNumberFormat="1" applyFont="1" applyFill="1" applyBorder="1" applyAlignment="1">
      <alignment horizontal="center" vertical="center" readingOrder="1"/>
    </xf>
    <xf numFmtId="43" fontId="0" fillId="0" borderId="0" xfId="0" applyNumberFormat="1"/>
    <xf numFmtId="0" fontId="25" fillId="0" borderId="0" xfId="0" applyFont="1"/>
    <xf numFmtId="9" fontId="5" fillId="12" borderId="4" xfId="2" applyFont="1" applyFill="1" applyBorder="1" applyAlignment="1">
      <alignment horizontal="center" vertical="center"/>
    </xf>
    <xf numFmtId="9" fontId="5" fillId="12" borderId="4" xfId="2" applyFont="1" applyFill="1" applyBorder="1" applyAlignment="1">
      <alignment horizontal="center" vertical="center" wrapText="1"/>
    </xf>
    <xf numFmtId="0" fontId="0" fillId="0" borderId="1" xfId="0" applyBorder="1"/>
    <xf numFmtId="0" fontId="9" fillId="16" borderId="19" xfId="0" applyFont="1" applyFill="1" applyBorder="1" applyAlignment="1">
      <alignment horizontal="center" vertical="center" wrapText="1" readingOrder="2"/>
    </xf>
    <xf numFmtId="0" fontId="7" fillId="7" borderId="1" xfId="0" applyFont="1" applyFill="1" applyBorder="1" applyAlignment="1">
      <alignment horizontal="center" vertical="center"/>
    </xf>
    <xf numFmtId="9" fontId="6" fillId="0" borderId="2" xfId="2" applyFont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 wrapText="1" readingOrder="2"/>
    </xf>
    <xf numFmtId="9" fontId="6" fillId="0" borderId="10" xfId="2" applyFont="1" applyBorder="1" applyAlignment="1">
      <alignment horizontal="center" vertical="center"/>
    </xf>
    <xf numFmtId="0" fontId="7" fillId="16" borderId="43" xfId="0" applyFont="1" applyFill="1" applyBorder="1" applyAlignment="1">
      <alignment horizontal="center" vertical="center" wrapText="1" readingOrder="2"/>
    </xf>
    <xf numFmtId="0" fontId="9" fillId="16" borderId="44" xfId="0" applyFont="1" applyFill="1" applyBorder="1" applyAlignment="1">
      <alignment horizontal="center" vertical="center" wrapText="1" readingOrder="2"/>
    </xf>
    <xf numFmtId="9" fontId="0" fillId="0" borderId="0" xfId="2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 readingOrder="2"/>
    </xf>
    <xf numFmtId="164" fontId="7" fillId="16" borderId="27" xfId="1" applyNumberFormat="1" applyFont="1" applyFill="1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164" fontId="7" fillId="0" borderId="0" xfId="1" applyNumberFormat="1" applyFont="1" applyFill="1" applyBorder="1" applyAlignment="1">
      <alignment vertical="center"/>
    </xf>
    <xf numFmtId="164" fontId="9" fillId="17" borderId="45" xfId="1" applyNumberFormat="1" applyFont="1" applyFill="1" applyBorder="1" applyAlignment="1">
      <alignment horizontal="center" vertical="center"/>
    </xf>
    <xf numFmtId="164" fontId="9" fillId="17" borderId="46" xfId="1" applyNumberFormat="1" applyFont="1" applyFill="1" applyBorder="1" applyAlignment="1">
      <alignment horizontal="center" vertical="center"/>
    </xf>
    <xf numFmtId="9" fontId="13" fillId="12" borderId="28" xfId="2" applyFont="1" applyFill="1" applyBorder="1" applyAlignment="1">
      <alignment horizontal="center" vertical="center" wrapText="1" readingOrder="1"/>
    </xf>
    <xf numFmtId="9" fontId="13" fillId="12" borderId="48" xfId="2" applyFont="1" applyFill="1" applyBorder="1" applyAlignment="1">
      <alignment horizontal="center" vertical="center" wrapText="1" readingOrder="1"/>
    </xf>
    <xf numFmtId="164" fontId="6" fillId="0" borderId="0" xfId="1" applyNumberFormat="1" applyFont="1" applyFill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 wrapText="1" readingOrder="2"/>
    </xf>
    <xf numFmtId="164" fontId="9" fillId="0" borderId="0" xfId="1" applyNumberFormat="1" applyFont="1" applyFill="1" applyBorder="1" applyAlignment="1">
      <alignment horizontal="center" vertical="center" wrapText="1" readingOrder="2"/>
    </xf>
    <xf numFmtId="9" fontId="6" fillId="0" borderId="0" xfId="2" applyFont="1" applyFill="1" applyBorder="1" applyAlignment="1">
      <alignment horizontal="center" vertical="center" readingOrder="1"/>
    </xf>
    <xf numFmtId="9" fontId="13" fillId="0" borderId="0" xfId="2" applyFont="1" applyFill="1" applyBorder="1" applyAlignment="1">
      <alignment horizontal="center" vertical="center" wrapText="1" readingOrder="1"/>
    </xf>
    <xf numFmtId="164" fontId="6" fillId="6" borderId="2" xfId="1" applyNumberFormat="1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wrapText="1" readingOrder="2"/>
    </xf>
    <xf numFmtId="0" fontId="25" fillId="0" borderId="1" xfId="0" applyFont="1" applyBorder="1"/>
    <xf numFmtId="164" fontId="6" fillId="6" borderId="10" xfId="1" applyNumberFormat="1" applyFont="1" applyFill="1" applyBorder="1" applyAlignment="1">
      <alignment horizontal="center" vertical="center" readingOrder="1"/>
    </xf>
    <xf numFmtId="164" fontId="6" fillId="16" borderId="3" xfId="1" applyNumberFormat="1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 vertical="center" wrapText="1" readingOrder="2"/>
    </xf>
    <xf numFmtId="0" fontId="7" fillId="16" borderId="3" xfId="0" applyFont="1" applyFill="1" applyBorder="1" applyAlignment="1">
      <alignment horizontal="center" vertical="center" wrapText="1" readingOrder="2"/>
    </xf>
    <xf numFmtId="164" fontId="7" fillId="16" borderId="3" xfId="1" applyNumberFormat="1" applyFont="1" applyFill="1" applyBorder="1" applyAlignment="1">
      <alignment horizontal="center" vertical="center"/>
    </xf>
    <xf numFmtId="164" fontId="7" fillId="16" borderId="3" xfId="1" applyNumberFormat="1" applyFont="1" applyFill="1" applyBorder="1" applyAlignment="1">
      <alignment horizontal="center" vertical="center" wrapText="1" readingOrder="2"/>
    </xf>
    <xf numFmtId="0" fontId="16" fillId="0" borderId="4" xfId="0" applyFont="1" applyBorder="1" applyAlignment="1">
      <alignment horizontal="center" vertical="center" wrapText="1" readingOrder="1"/>
    </xf>
    <xf numFmtId="9" fontId="6" fillId="16" borderId="3" xfId="2" applyFont="1" applyFill="1" applyBorder="1" applyAlignment="1">
      <alignment horizontal="center" vertical="center"/>
    </xf>
    <xf numFmtId="9" fontId="0" fillId="16" borderId="1" xfId="2" applyFont="1" applyFill="1" applyBorder="1" applyAlignment="1">
      <alignment horizontal="center" vertical="center"/>
    </xf>
    <xf numFmtId="164" fontId="9" fillId="16" borderId="29" xfId="0" applyNumberFormat="1" applyFont="1" applyFill="1" applyBorder="1" applyAlignment="1">
      <alignment horizontal="center" vertical="center" wrapText="1" readingOrder="2"/>
    </xf>
    <xf numFmtId="164" fontId="9" fillId="16" borderId="14" xfId="0" applyNumberFormat="1" applyFont="1" applyFill="1" applyBorder="1" applyAlignment="1">
      <alignment horizontal="center" vertical="center" wrapText="1" readingOrder="2"/>
    </xf>
    <xf numFmtId="164" fontId="9" fillId="16" borderId="44" xfId="0" applyNumberFormat="1" applyFont="1" applyFill="1" applyBorder="1" applyAlignment="1">
      <alignment horizontal="center" vertical="center" wrapText="1" readingOrder="2"/>
    </xf>
    <xf numFmtId="164" fontId="7" fillId="16" borderId="3" xfId="1" applyNumberFormat="1" applyFont="1" applyFill="1" applyBorder="1" applyAlignment="1">
      <alignment horizontal="center" vertical="center" wrapText="1" readingOrder="1"/>
    </xf>
    <xf numFmtId="164" fontId="0" fillId="16" borderId="3" xfId="0" applyNumberFormat="1" applyFill="1" applyBorder="1"/>
    <xf numFmtId="3" fontId="0" fillId="0" borderId="0" xfId="0" applyNumberFormat="1"/>
    <xf numFmtId="9" fontId="21" fillId="23" borderId="39" xfId="2" applyFont="1" applyFill="1" applyBorder="1" applyAlignment="1">
      <alignment horizontal="center" vertical="center"/>
    </xf>
    <xf numFmtId="9" fontId="21" fillId="23" borderId="21" xfId="2" applyFont="1" applyFill="1" applyBorder="1" applyAlignment="1">
      <alignment horizontal="center" vertical="center"/>
    </xf>
    <xf numFmtId="9" fontId="13" fillId="12" borderId="29" xfId="2" applyFont="1" applyFill="1" applyBorder="1" applyAlignment="1">
      <alignment horizontal="center" vertical="center" wrapText="1" readingOrder="1"/>
    </xf>
    <xf numFmtId="0" fontId="0" fillId="13" borderId="0" xfId="0" applyFill="1"/>
    <xf numFmtId="43" fontId="0" fillId="0" borderId="0" xfId="1" applyFont="1"/>
    <xf numFmtId="164" fontId="7" fillId="12" borderId="47" xfId="1" applyNumberFormat="1" applyFont="1" applyFill="1" applyBorder="1" applyAlignment="1">
      <alignment horizontal="center" vertical="center" wrapText="1" readingOrder="2"/>
    </xf>
    <xf numFmtId="164" fontId="13" fillId="12" borderId="27" xfId="1" applyNumberFormat="1" applyFont="1" applyFill="1" applyBorder="1" applyAlignment="1">
      <alignment horizontal="center" vertical="center" wrapText="1" readingOrder="1"/>
    </xf>
    <xf numFmtId="164" fontId="13" fillId="12" borderId="28" xfId="1" applyNumberFormat="1" applyFont="1" applyFill="1" applyBorder="1" applyAlignment="1">
      <alignment horizontal="center" vertical="center" wrapText="1" readingOrder="1"/>
    </xf>
    <xf numFmtId="164" fontId="13" fillId="12" borderId="48" xfId="1" applyNumberFormat="1" applyFont="1" applyFill="1" applyBorder="1" applyAlignment="1">
      <alignment horizontal="center" vertical="center" wrapText="1" readingOrder="1"/>
    </xf>
    <xf numFmtId="9" fontId="13" fillId="12" borderId="51" xfId="2" applyFont="1" applyFill="1" applyBorder="1" applyAlignment="1">
      <alignment horizontal="center" vertical="center" wrapText="1" readingOrder="1"/>
    </xf>
    <xf numFmtId="164" fontId="11" fillId="0" borderId="1" xfId="1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164" fontId="6" fillId="6" borderId="2" xfId="1" applyNumberFormat="1" applyFont="1" applyFill="1" applyBorder="1" applyAlignment="1">
      <alignment horizontal="center" vertical="center"/>
    </xf>
    <xf numFmtId="164" fontId="0" fillId="10" borderId="2" xfId="1" applyNumberFormat="1" applyFont="1" applyFill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164" fontId="6" fillId="6" borderId="10" xfId="1" applyNumberFormat="1" applyFont="1" applyFill="1" applyBorder="1" applyAlignment="1">
      <alignment horizontal="center" vertical="center"/>
    </xf>
    <xf numFmtId="164" fontId="6" fillId="10" borderId="52" xfId="1" applyNumberFormat="1" applyFont="1" applyFill="1" applyBorder="1" applyAlignment="1">
      <alignment horizontal="center" vertical="center"/>
    </xf>
    <xf numFmtId="164" fontId="0" fillId="10" borderId="10" xfId="1" applyNumberFormat="1" applyFont="1" applyFill="1" applyBorder="1" applyAlignment="1">
      <alignment horizontal="center" vertical="center"/>
    </xf>
    <xf numFmtId="0" fontId="9" fillId="16" borderId="32" xfId="0" applyFont="1" applyFill="1" applyBorder="1" applyAlignment="1">
      <alignment horizontal="center" vertical="center" wrapText="1" readingOrder="2"/>
    </xf>
    <xf numFmtId="9" fontId="0" fillId="0" borderId="13" xfId="2" applyFont="1" applyBorder="1" applyAlignment="1">
      <alignment horizontal="center" vertical="center"/>
    </xf>
    <xf numFmtId="164" fontId="9" fillId="16" borderId="32" xfId="0" applyNumberFormat="1" applyFont="1" applyFill="1" applyBorder="1" applyAlignment="1">
      <alignment horizontal="center" vertical="center" wrapText="1" readingOrder="2"/>
    </xf>
    <xf numFmtId="164" fontId="7" fillId="16" borderId="12" xfId="1" applyNumberFormat="1" applyFont="1" applyFill="1" applyBorder="1" applyAlignment="1">
      <alignment horizontal="center" vertical="center"/>
    </xf>
    <xf numFmtId="9" fontId="0" fillId="16" borderId="13" xfId="2" applyFont="1" applyFill="1" applyBorder="1" applyAlignment="1">
      <alignment horizontal="center" vertical="center"/>
    </xf>
    <xf numFmtId="164" fontId="0" fillId="13" borderId="0" xfId="1" applyNumberFormat="1" applyFont="1" applyFill="1" applyBorder="1"/>
    <xf numFmtId="164" fontId="0" fillId="13" borderId="0" xfId="0" applyNumberFormat="1" applyFill="1"/>
    <xf numFmtId="0" fontId="12" fillId="0" borderId="2" xfId="0" applyFont="1" applyBorder="1" applyAlignment="1">
      <alignment horizontal="center" vertical="center" wrapText="1" readingOrder="2"/>
    </xf>
    <xf numFmtId="164" fontId="6" fillId="0" borderId="52" xfId="1" applyNumberFormat="1" applyFont="1" applyBorder="1" applyAlignment="1">
      <alignment horizontal="center" vertical="center" readingOrder="1"/>
    </xf>
    <xf numFmtId="164" fontId="6" fillId="0" borderId="43" xfId="1" applyNumberFormat="1" applyFont="1" applyBorder="1" applyAlignment="1">
      <alignment horizontal="center" vertical="center" readingOrder="1"/>
    </xf>
    <xf numFmtId="164" fontId="6" fillId="0" borderId="0" xfId="1" applyNumberFormat="1" applyFont="1" applyBorder="1" applyAlignment="1">
      <alignment horizontal="center" vertical="center" wrapText="1" readingOrder="1"/>
    </xf>
    <xf numFmtId="9" fontId="6" fillId="0" borderId="0" xfId="2" applyFont="1" applyBorder="1" applyAlignment="1">
      <alignment horizontal="center" vertical="center"/>
    </xf>
    <xf numFmtId="164" fontId="6" fillId="6" borderId="0" xfId="1" applyNumberFormat="1" applyFont="1" applyFill="1" applyBorder="1" applyAlignment="1">
      <alignment readingOrder="1"/>
    </xf>
    <xf numFmtId="164" fontId="6" fillId="10" borderId="0" xfId="1" applyNumberFormat="1" applyFont="1" applyFill="1" applyBorder="1" applyAlignment="1">
      <alignment readingOrder="1"/>
    </xf>
    <xf numFmtId="9" fontId="13" fillId="12" borderId="27" xfId="2" applyFont="1" applyFill="1" applyBorder="1" applyAlignment="1">
      <alignment horizontal="center" vertical="center" wrapText="1" readingOrder="1"/>
    </xf>
    <xf numFmtId="164" fontId="23" fillId="3" borderId="53" xfId="1" applyNumberFormat="1" applyFont="1" applyFill="1" applyBorder="1" applyAlignment="1">
      <alignment horizontal="center" vertical="center" wrapText="1" readingOrder="2"/>
    </xf>
    <xf numFmtId="164" fontId="23" fillId="3" borderId="50" xfId="1" applyNumberFormat="1" applyFont="1" applyFill="1" applyBorder="1" applyAlignment="1">
      <alignment horizontal="center" vertical="center" wrapText="1" readingOrder="2"/>
    </xf>
    <xf numFmtId="164" fontId="23" fillId="3" borderId="51" xfId="1" applyNumberFormat="1" applyFont="1" applyFill="1" applyBorder="1" applyAlignment="1">
      <alignment horizontal="center" vertical="center" wrapText="1" readingOrder="2"/>
    </xf>
    <xf numFmtId="164" fontId="6" fillId="0" borderId="0" xfId="1" applyNumberFormat="1" applyFont="1" applyFill="1" applyBorder="1" applyAlignment="1">
      <alignment readingOrder="1"/>
    </xf>
    <xf numFmtId="164" fontId="9" fillId="19" borderId="0" xfId="1" applyNumberFormat="1" applyFont="1" applyFill="1" applyBorder="1" applyAlignment="1">
      <alignment horizontal="center" vertical="center" wrapText="1" readingOrder="2"/>
    </xf>
    <xf numFmtId="164" fontId="6" fillId="0" borderId="21" xfId="1" applyNumberFormat="1" applyFont="1" applyBorder="1" applyAlignment="1">
      <alignment horizontal="center" vertical="center" readingOrder="1"/>
    </xf>
    <xf numFmtId="164" fontId="6" fillId="0" borderId="42" xfId="1" applyNumberFormat="1" applyFont="1" applyBorder="1" applyAlignment="1">
      <alignment horizontal="center" vertical="center" readingOrder="1"/>
    </xf>
    <xf numFmtId="164" fontId="6" fillId="0" borderId="49" xfId="1" applyNumberFormat="1" applyFont="1" applyBorder="1" applyAlignment="1">
      <alignment horizontal="center" vertical="center" readingOrder="1"/>
    </xf>
    <xf numFmtId="164" fontId="13" fillId="12" borderId="51" xfId="1" applyNumberFormat="1" applyFont="1" applyFill="1" applyBorder="1" applyAlignment="1">
      <alignment horizontal="center" vertical="center" wrapText="1" readingOrder="1"/>
    </xf>
    <xf numFmtId="164" fontId="9" fillId="19" borderId="52" xfId="1" applyNumberFormat="1" applyFont="1" applyFill="1" applyBorder="1" applyAlignment="1">
      <alignment horizontal="center" vertical="center" wrapText="1" readingOrder="2"/>
    </xf>
    <xf numFmtId="164" fontId="11" fillId="0" borderId="30" xfId="1" applyNumberFormat="1" applyFont="1" applyBorder="1" applyAlignment="1">
      <alignment horizontal="center" vertical="center"/>
    </xf>
    <xf numFmtId="164" fontId="9" fillId="19" borderId="43" xfId="1" applyNumberFormat="1" applyFont="1" applyFill="1" applyBorder="1" applyAlignment="1">
      <alignment horizontal="center" vertical="center" wrapText="1" readingOrder="2"/>
    </xf>
    <xf numFmtId="164" fontId="9" fillId="19" borderId="54" xfId="1" applyNumberFormat="1" applyFont="1" applyFill="1" applyBorder="1" applyAlignment="1">
      <alignment horizontal="center" vertical="center" wrapText="1" readingOrder="2"/>
    </xf>
    <xf numFmtId="164" fontId="6" fillId="0" borderId="6" xfId="1" applyNumberFormat="1" applyFont="1" applyBorder="1" applyAlignment="1">
      <alignment horizontal="center" vertical="center" readingOrder="1"/>
    </xf>
    <xf numFmtId="164" fontId="6" fillId="0" borderId="44" xfId="1" applyNumberFormat="1" applyFont="1" applyBorder="1" applyAlignment="1">
      <alignment horizontal="center" vertical="center" readingOrder="1"/>
    </xf>
    <xf numFmtId="164" fontId="13" fillId="12" borderId="14" xfId="1" applyNumberFormat="1" applyFont="1" applyFill="1" applyBorder="1" applyAlignment="1">
      <alignment horizontal="center" vertical="center" wrapText="1" readingOrder="1"/>
    </xf>
    <xf numFmtId="10" fontId="7" fillId="12" borderId="51" xfId="1" applyNumberFormat="1" applyFont="1" applyFill="1" applyBorder="1" applyAlignment="1">
      <alignment horizontal="center" vertical="center" wrapText="1" readingOrder="1"/>
    </xf>
    <xf numFmtId="164" fontId="11" fillId="0" borderId="38" xfId="1" applyNumberFormat="1" applyFont="1" applyBorder="1" applyAlignment="1">
      <alignment horizontal="center" vertical="center"/>
    </xf>
    <xf numFmtId="10" fontId="7" fillId="12" borderId="3" xfId="1" applyNumberFormat="1" applyFont="1" applyFill="1" applyBorder="1" applyAlignment="1">
      <alignment horizontal="center" vertical="center" wrapText="1" readingOrder="1"/>
    </xf>
    <xf numFmtId="10" fontId="7" fillId="12" borderId="12" xfId="1" applyNumberFormat="1" applyFont="1" applyFill="1" applyBorder="1" applyAlignment="1">
      <alignment horizontal="center" vertical="center" wrapText="1" readingOrder="1"/>
    </xf>
    <xf numFmtId="0" fontId="9" fillId="16" borderId="1" xfId="0" applyFont="1" applyFill="1" applyBorder="1" applyAlignment="1">
      <alignment horizontal="center" vertical="center" wrapText="1" readingOrder="2"/>
    </xf>
    <xf numFmtId="0" fontId="9" fillId="0" borderId="42" xfId="0" applyFont="1" applyBorder="1" applyAlignment="1">
      <alignment horizontal="center" vertical="center" wrapText="1" readingOrder="2"/>
    </xf>
    <xf numFmtId="164" fontId="7" fillId="12" borderId="51" xfId="1" applyNumberFormat="1" applyFont="1" applyFill="1" applyBorder="1" applyAlignment="1">
      <alignment horizontal="center" vertical="center" wrapText="1" readingOrder="2"/>
    </xf>
    <xf numFmtId="164" fontId="9" fillId="17" borderId="55" xfId="1" applyNumberFormat="1" applyFont="1" applyFill="1" applyBorder="1" applyAlignment="1">
      <alignment horizontal="center" vertical="center"/>
    </xf>
    <xf numFmtId="164" fontId="23" fillId="3" borderId="12" xfId="1" applyNumberFormat="1" applyFont="1" applyFill="1" applyBorder="1" applyAlignment="1">
      <alignment horizontal="center" vertical="center" wrapText="1" readingOrder="2"/>
    </xf>
    <xf numFmtId="164" fontId="23" fillId="3" borderId="13" xfId="1" applyNumberFormat="1" applyFont="1" applyFill="1" applyBorder="1" applyAlignment="1">
      <alignment horizontal="center" vertical="center" wrapText="1" readingOrder="2"/>
    </xf>
    <xf numFmtId="164" fontId="23" fillId="3" borderId="14" xfId="1" applyNumberFormat="1" applyFont="1" applyFill="1" applyBorder="1" applyAlignment="1">
      <alignment horizontal="center" vertical="center" wrapText="1" readingOrder="2"/>
    </xf>
    <xf numFmtId="9" fontId="21" fillId="21" borderId="9" xfId="2" applyFont="1" applyFill="1" applyBorder="1" applyAlignment="1">
      <alignment horizontal="center" vertical="center"/>
    </xf>
    <xf numFmtId="9" fontId="21" fillId="21" borderId="10" xfId="2" applyFont="1" applyFill="1" applyBorder="1" applyAlignment="1">
      <alignment horizontal="center" vertical="center"/>
    </xf>
    <xf numFmtId="9" fontId="21" fillId="21" borderId="11" xfId="2" applyFont="1" applyFill="1" applyBorder="1" applyAlignment="1">
      <alignment horizontal="center" vertical="center"/>
    </xf>
    <xf numFmtId="164" fontId="9" fillId="16" borderId="29" xfId="1" applyNumberFormat="1" applyFont="1" applyFill="1" applyBorder="1" applyAlignment="1">
      <alignment horizontal="center" vertical="center" wrapText="1" readingOrder="2"/>
    </xf>
    <xf numFmtId="164" fontId="0" fillId="0" borderId="1" xfId="1" applyNumberFormat="1" applyFont="1" applyBorder="1" applyAlignment="1">
      <alignment horizontal="center"/>
    </xf>
    <xf numFmtId="164" fontId="7" fillId="16" borderId="3" xfId="1" applyNumberFormat="1" applyFont="1" applyFill="1" applyBorder="1" applyAlignment="1">
      <alignment horizontal="center"/>
    </xf>
    <xf numFmtId="3" fontId="28" fillId="24" borderId="56" xfId="0" applyNumberFormat="1" applyFont="1" applyFill="1" applyBorder="1" applyAlignment="1">
      <alignment horizontal="right" vertical="center"/>
    </xf>
    <xf numFmtId="164" fontId="29" fillId="16" borderId="3" xfId="1" applyNumberFormat="1" applyFont="1" applyFill="1" applyBorder="1" applyAlignment="1">
      <alignment horizontal="center"/>
    </xf>
    <xf numFmtId="164" fontId="6" fillId="13" borderId="10" xfId="1" applyNumberFormat="1" applyFont="1" applyFill="1" applyBorder="1" applyAlignment="1">
      <alignment horizontal="right"/>
    </xf>
    <xf numFmtId="164" fontId="6" fillId="13" borderId="1" xfId="1" applyNumberFormat="1" applyFont="1" applyFill="1" applyBorder="1" applyAlignment="1">
      <alignment horizontal="right"/>
    </xf>
    <xf numFmtId="164" fontId="6" fillId="13" borderId="2" xfId="1" applyNumberFormat="1" applyFont="1" applyFill="1" applyBorder="1" applyAlignment="1">
      <alignment horizontal="right"/>
    </xf>
    <xf numFmtId="164" fontId="30" fillId="16" borderId="3" xfId="0" applyNumberFormat="1" applyFont="1" applyFill="1" applyBorder="1"/>
    <xf numFmtId="164" fontId="13" fillId="16" borderId="3" xfId="1" applyNumberFormat="1" applyFont="1" applyFill="1" applyBorder="1" applyAlignment="1">
      <alignment horizontal="center"/>
    </xf>
    <xf numFmtId="164" fontId="6" fillId="13" borderId="52" xfId="1" applyNumberFormat="1" applyFont="1" applyFill="1" applyBorder="1" applyAlignment="1">
      <alignment horizontal="center"/>
    </xf>
    <xf numFmtId="1" fontId="0" fillId="0" borderId="1" xfId="0" applyNumberFormat="1" applyBorder="1"/>
    <xf numFmtId="164" fontId="7" fillId="16" borderId="3" xfId="0" applyNumberFormat="1" applyFont="1" applyFill="1" applyBorder="1" applyAlignment="1">
      <alignment horizontal="center" vertical="center" wrapText="1" readingOrder="2"/>
    </xf>
    <xf numFmtId="0" fontId="7" fillId="16" borderId="51" xfId="0" applyFont="1" applyFill="1" applyBorder="1" applyAlignment="1">
      <alignment horizontal="center" vertical="center" wrapText="1" readingOrder="2"/>
    </xf>
    <xf numFmtId="0" fontId="9" fillId="16" borderId="51" xfId="0" applyFont="1" applyFill="1" applyBorder="1" applyAlignment="1">
      <alignment horizontal="center" vertical="center" wrapText="1" readingOrder="2"/>
    </xf>
    <xf numFmtId="164" fontId="7" fillId="16" borderId="51" xfId="1" applyNumberFormat="1" applyFont="1" applyFill="1" applyBorder="1" applyAlignment="1">
      <alignment horizontal="center" vertical="center" wrapText="1" readingOrder="1"/>
    </xf>
    <xf numFmtId="164" fontId="31" fillId="0" borderId="5" xfId="1" applyNumberFormat="1" applyFont="1" applyBorder="1" applyAlignment="1">
      <alignment horizontal="center" vertical="center"/>
    </xf>
    <xf numFmtId="164" fontId="31" fillId="0" borderId="1" xfId="1" applyNumberFormat="1" applyFont="1" applyBorder="1" applyAlignment="1">
      <alignment horizontal="center" vertical="center"/>
    </xf>
    <xf numFmtId="164" fontId="31" fillId="0" borderId="6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 readingOrder="2"/>
    </xf>
    <xf numFmtId="164" fontId="7" fillId="18" borderId="18" xfId="1" applyNumberFormat="1" applyFont="1" applyFill="1" applyBorder="1" applyAlignment="1">
      <alignment horizontal="center" vertical="center" wrapText="1" readingOrder="2"/>
    </xf>
    <xf numFmtId="164" fontId="7" fillId="18" borderId="31" xfId="1" applyNumberFormat="1" applyFont="1" applyFill="1" applyBorder="1" applyAlignment="1">
      <alignment horizontal="center" vertical="center" wrapText="1" readingOrder="2"/>
    </xf>
    <xf numFmtId="164" fontId="7" fillId="4" borderId="15" xfId="1" applyNumberFormat="1" applyFont="1" applyFill="1" applyBorder="1" applyAlignment="1">
      <alignment horizontal="center" vertical="center" wrapText="1" readingOrder="2"/>
    </xf>
    <xf numFmtId="164" fontId="7" fillId="4" borderId="16" xfId="1" applyNumberFormat="1" applyFont="1" applyFill="1" applyBorder="1" applyAlignment="1">
      <alignment horizontal="center" vertical="center" wrapText="1" readingOrder="2"/>
    </xf>
    <xf numFmtId="164" fontId="7" fillId="4" borderId="17" xfId="1" applyNumberFormat="1" applyFont="1" applyFill="1" applyBorder="1" applyAlignment="1">
      <alignment horizontal="center" vertical="center" wrapText="1" readingOrder="2"/>
    </xf>
    <xf numFmtId="164" fontId="7" fillId="18" borderId="21" xfId="1" applyNumberFormat="1" applyFont="1" applyFill="1" applyBorder="1" applyAlignment="1">
      <alignment horizontal="center" vertical="center" wrapText="1" readingOrder="2"/>
    </xf>
    <xf numFmtId="164" fontId="7" fillId="18" borderId="22" xfId="1" applyNumberFormat="1" applyFont="1" applyFill="1" applyBorder="1" applyAlignment="1">
      <alignment horizontal="center" vertical="center" wrapText="1" readingOrder="2"/>
    </xf>
    <xf numFmtId="164" fontId="7" fillId="14" borderId="15" xfId="1" applyNumberFormat="1" applyFont="1" applyFill="1" applyBorder="1" applyAlignment="1">
      <alignment horizontal="center" vertical="center" wrapText="1" readingOrder="2"/>
    </xf>
    <xf numFmtId="164" fontId="7" fillId="14" borderId="16" xfId="1" applyNumberFormat="1" applyFont="1" applyFill="1" applyBorder="1" applyAlignment="1">
      <alignment horizontal="center" vertical="center" wrapText="1" readingOrder="2"/>
    </xf>
    <xf numFmtId="164" fontId="7" fillId="14" borderId="17" xfId="1" applyNumberFormat="1" applyFont="1" applyFill="1" applyBorder="1" applyAlignment="1">
      <alignment horizontal="center" vertical="center" wrapText="1" readingOrder="2"/>
    </xf>
    <xf numFmtId="164" fontId="7" fillId="14" borderId="39" xfId="1" applyNumberFormat="1" applyFont="1" applyFill="1" applyBorder="1" applyAlignment="1">
      <alignment horizontal="center" vertical="center" wrapText="1" readingOrder="2"/>
    </xf>
    <xf numFmtId="164" fontId="7" fillId="14" borderId="40" xfId="1" applyNumberFormat="1" applyFont="1" applyFill="1" applyBorder="1" applyAlignment="1">
      <alignment horizontal="center" vertical="center" wrapText="1" readingOrder="2"/>
    </xf>
    <xf numFmtId="164" fontId="7" fillId="14" borderId="41" xfId="1" applyNumberFormat="1" applyFont="1" applyFill="1" applyBorder="1" applyAlignment="1">
      <alignment horizontal="center" vertical="center" wrapText="1" readingOrder="2"/>
    </xf>
    <xf numFmtId="0" fontId="23" fillId="22" borderId="15" xfId="0" applyFont="1" applyFill="1" applyBorder="1" applyAlignment="1">
      <alignment horizontal="center" vertical="center"/>
    </xf>
    <xf numFmtId="0" fontId="23" fillId="22" borderId="16" xfId="0" applyFont="1" applyFill="1" applyBorder="1" applyAlignment="1">
      <alignment horizontal="center" vertical="center"/>
    </xf>
    <xf numFmtId="0" fontId="23" fillId="22" borderId="17" xfId="0" applyFont="1" applyFill="1" applyBorder="1" applyAlignment="1">
      <alignment horizontal="center" vertical="center"/>
    </xf>
    <xf numFmtId="164" fontId="7" fillId="7" borderId="15" xfId="1" applyNumberFormat="1" applyFont="1" applyFill="1" applyBorder="1" applyAlignment="1">
      <alignment horizontal="center" vertical="center"/>
    </xf>
    <xf numFmtId="164" fontId="7" fillId="7" borderId="16" xfId="1" applyNumberFormat="1" applyFont="1" applyFill="1" applyBorder="1" applyAlignment="1">
      <alignment horizontal="center" vertical="center"/>
    </xf>
    <xf numFmtId="164" fontId="7" fillId="7" borderId="17" xfId="1" applyNumberFormat="1" applyFont="1" applyFill="1" applyBorder="1" applyAlignment="1">
      <alignment horizontal="center" vertical="center"/>
    </xf>
    <xf numFmtId="0" fontId="22" fillId="20" borderId="12" xfId="1" applyNumberFormat="1" applyFont="1" applyFill="1" applyBorder="1" applyAlignment="1">
      <alignment horizontal="center" vertical="center"/>
    </xf>
    <xf numFmtId="0" fontId="22" fillId="20" borderId="13" xfId="1" applyNumberFormat="1" applyFont="1" applyFill="1" applyBorder="1" applyAlignment="1">
      <alignment horizontal="center" vertical="center"/>
    </xf>
    <xf numFmtId="0" fontId="22" fillId="20" borderId="14" xfId="1" applyNumberFormat="1" applyFont="1" applyFill="1" applyBorder="1" applyAlignment="1">
      <alignment horizontal="center" vertical="center"/>
    </xf>
    <xf numFmtId="0" fontId="7" fillId="15" borderId="30" xfId="0" applyFont="1" applyFill="1" applyBorder="1" applyAlignment="1">
      <alignment horizontal="center" vertical="center" wrapText="1" readingOrder="2"/>
    </xf>
    <xf numFmtId="0" fontId="7" fillId="15" borderId="23" xfId="0" applyFont="1" applyFill="1" applyBorder="1" applyAlignment="1">
      <alignment horizontal="center" vertical="center" wrapText="1" readingOrder="2"/>
    </xf>
    <xf numFmtId="0" fontId="7" fillId="15" borderId="20" xfId="0" applyFont="1" applyFill="1" applyBorder="1" applyAlignment="1">
      <alignment horizontal="center" vertical="center" wrapText="1" readingOrder="2"/>
    </xf>
    <xf numFmtId="0" fontId="7" fillId="7" borderId="1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 wrapText="1" readingOrder="2"/>
    </xf>
    <xf numFmtId="0" fontId="7" fillId="5" borderId="33" xfId="0" applyFont="1" applyFill="1" applyBorder="1" applyAlignment="1">
      <alignment horizontal="center" vertical="center" wrapText="1" readingOrder="2"/>
    </xf>
    <xf numFmtId="0" fontId="7" fillId="15" borderId="1" xfId="0" applyFont="1" applyFill="1" applyBorder="1" applyAlignment="1">
      <alignment horizontal="center" vertical="center" wrapText="1" readingOrder="2"/>
    </xf>
    <xf numFmtId="0" fontId="7" fillId="7" borderId="30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 readingOrder="2"/>
    </xf>
    <xf numFmtId="0" fontId="7" fillId="5" borderId="1" xfId="0" applyFont="1" applyFill="1" applyBorder="1" applyAlignment="1">
      <alignment horizontal="center" vertical="center" wrapText="1" readingOrder="1"/>
    </xf>
    <xf numFmtId="0" fontId="7" fillId="5" borderId="30" xfId="0" applyFont="1" applyFill="1" applyBorder="1" applyAlignment="1"/>
    <xf numFmtId="0" fontId="7" fillId="5" borderId="23" xfId="0" applyFont="1" applyFill="1" applyBorder="1" applyAlignment="1"/>
    <xf numFmtId="0" fontId="7" fillId="5" borderId="20" xfId="0" applyFont="1" applyFill="1" applyBorder="1" applyAlignment="1"/>
  </cellXfs>
  <cellStyles count="5">
    <cellStyle name="Comma" xfId="1" builtinId="3"/>
    <cellStyle name="Comma 2" xfId="4" xr:uid="{377724DF-F3ED-4A03-9CB5-B1A6F9C7100E}"/>
    <cellStyle name="Normal" xfId="0" builtinId="0"/>
    <cellStyle name="Normal 2" xfId="3" xr:uid="{A0DA3FFA-5124-4BA7-9D1F-4FF45B9A273A}"/>
    <cellStyle name="Percent" xfId="2" builtinId="5"/>
  </cellStyles>
  <dxfs count="3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68EA"/>
      <color rgb="FFBF95DF"/>
      <color rgb="FFEE92C7"/>
      <color rgb="FFD0ECE5"/>
      <color rgb="FFE1CCF0"/>
      <color rgb="FFF0E5C6"/>
      <color rgb="FFE9D9AB"/>
      <color rgb="FFF9DBEC"/>
      <color rgb="FFEED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5\&#1491;&#1493;&#1495;%20&#1497;&#1506;&#1491;&#1497;&#1501;%20-&#1506;&#1494;&#1512;%202025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5/&#1491;&#1493;&#1495;%20&#1497;&#1506;&#1491;&#1497;&#1501;%20-&#1506;&#1494;&#1512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&#1491;&#1493;&#1495;%20&#1497;&#1506;&#1491;&#1497;&#1501;%20-&#1506;&#1494;&#1512;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&#1491;&#1493;&#1495;%20&#1497;&#1506;&#1491;&#1497;&#1501;%20-&#1506;&#1494;&#151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12.2024\&#1491;&#1493;&#1495;%20&#1495;&#1497;&#1497;&#1501;%2012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12.2024/&#1491;&#1493;&#1495;%20&#1495;&#1497;&#1497;&#1501;%2012.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1.2024\&#1491;&#1493;&#1495;%20&#1495;&#1497;&#1497;&#1501;%2001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1.2024/&#1491;&#1493;&#1495;%20&#1495;&#1497;&#1497;&#1501;%2001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גיליון1"/>
      <sheetName val="גיליון2"/>
    </sheetNames>
    <sheetDataSet>
      <sheetData sheetId="0">
        <row r="1">
          <cell r="A1"/>
          <cell r="B1"/>
          <cell r="C1" t="str">
            <v>שינוי מול אשתקד %</v>
          </cell>
          <cell r="D1"/>
          <cell r="E1"/>
          <cell r="F1" t="str">
            <v xml:space="preserve">תפוקה מצטברת </v>
          </cell>
          <cell r="G1"/>
          <cell r="H1"/>
          <cell r="I1" t="str">
            <v>יעד 2025</v>
          </cell>
          <cell r="J1"/>
          <cell r="K1"/>
          <cell r="L1"/>
          <cell r="M1" t="str">
            <v>התפלגות חודשית</v>
          </cell>
          <cell r="N1"/>
          <cell r="O1"/>
          <cell r="P1"/>
          <cell r="Q1" t="str">
            <v>התפלגות שנתית (מצטבר)</v>
          </cell>
          <cell r="R1"/>
          <cell r="S1"/>
          <cell r="T1"/>
        </row>
        <row r="2">
          <cell r="A2"/>
          <cell r="B2"/>
          <cell r="C2"/>
          <cell r="D2"/>
          <cell r="E2"/>
          <cell r="F2"/>
          <cell r="G2"/>
          <cell r="H2"/>
          <cell r="I2" t="str">
            <v>פנסיוני</v>
          </cell>
          <cell r="J2" t="str">
            <v>סיכונים</v>
          </cell>
          <cell r="K2" t="str">
            <v>פיננסים</v>
          </cell>
          <cell r="L2" t="str">
            <v>ניוד פנסיה</v>
          </cell>
          <cell r="M2" t="str">
            <v>פנסיוני</v>
          </cell>
          <cell r="N2" t="str">
            <v>סיכונים</v>
          </cell>
          <cell r="O2" t="str">
            <v>פיננסים</v>
          </cell>
          <cell r="P2" t="str">
            <v>ניוד פנסיה</v>
          </cell>
          <cell r="Q2" t="str">
            <v>פנסיוני</v>
          </cell>
          <cell r="R2" t="str">
            <v>סיכונים</v>
          </cell>
          <cell r="S2" t="str">
            <v>פיננסים</v>
          </cell>
          <cell r="T2" t="str">
            <v>ניוד פנסיה</v>
          </cell>
        </row>
        <row r="3">
          <cell r="A3" t="str">
            <v>שם סוכן</v>
          </cell>
          <cell r="B3" t="str">
            <v xml:space="preserve">מפקח </v>
          </cell>
          <cell r="C3" t="str">
            <v>פנסיוני</v>
          </cell>
          <cell r="D3" t="str">
            <v>סיכונים</v>
          </cell>
          <cell r="E3" t="str">
            <v xml:space="preserve">פיננסים </v>
          </cell>
          <cell r="F3" t="str">
            <v>פנסיוני</v>
          </cell>
          <cell r="G3" t="str">
            <v xml:space="preserve">סיכונים </v>
          </cell>
          <cell r="H3" t="str">
            <v>פיננסים</v>
          </cell>
          <cell r="I3"/>
          <cell r="J3"/>
          <cell r="K3"/>
          <cell r="L3"/>
          <cell r="M3">
            <v>0.12</v>
          </cell>
          <cell r="N3">
            <v>9.5000000000000001E-2</v>
          </cell>
          <cell r="O3">
            <v>0.13800000000000001</v>
          </cell>
          <cell r="P3">
            <v>0.13800000000000001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</row>
        <row r="4">
          <cell r="A4" t="str">
            <v>גל אלמגור סוכ</v>
          </cell>
          <cell r="B4" t="str">
            <v>יוסי אביב</v>
          </cell>
          <cell r="C4" t="e">
            <v>#REF!</v>
          </cell>
          <cell r="D4" t="e">
            <v>#REF!</v>
          </cell>
          <cell r="E4" t="e">
            <v>#REF!</v>
          </cell>
          <cell r="F4"/>
          <cell r="G4"/>
          <cell r="H4"/>
          <cell r="I4">
            <v>18000000</v>
          </cell>
          <cell r="J4">
            <v>1300000</v>
          </cell>
          <cell r="K4">
            <v>50000000</v>
          </cell>
          <cell r="L4">
            <v>100000000</v>
          </cell>
          <cell r="M4">
            <v>2160000</v>
          </cell>
          <cell r="N4">
            <v>123500</v>
          </cell>
          <cell r="O4">
            <v>6900000.0000000009</v>
          </cell>
          <cell r="P4">
            <v>13800000.000000002</v>
          </cell>
          <cell r="Q4">
            <v>18000000</v>
          </cell>
          <cell r="R4">
            <v>1300000</v>
          </cell>
          <cell r="S4">
            <v>50000000</v>
          </cell>
          <cell r="T4">
            <v>100000000</v>
          </cell>
        </row>
        <row r="5">
          <cell r="A5" t="str">
            <v>דניאלה אביב</v>
          </cell>
          <cell r="B5" t="str">
            <v>יוסי אביב</v>
          </cell>
          <cell r="C5" t="e">
            <v>#REF!</v>
          </cell>
          <cell r="D5" t="e">
            <v>#REF!</v>
          </cell>
          <cell r="E5" t="e">
            <v>#REF!</v>
          </cell>
          <cell r="F5"/>
          <cell r="G5"/>
          <cell r="H5"/>
          <cell r="I5">
            <v>1500000</v>
          </cell>
          <cell r="J5">
            <v>0</v>
          </cell>
          <cell r="K5">
            <v>25000000</v>
          </cell>
          <cell r="L5">
            <v>20000000</v>
          </cell>
          <cell r="M5">
            <v>180000</v>
          </cell>
          <cell r="N5">
            <v>0</v>
          </cell>
          <cell r="O5">
            <v>3450000.0000000005</v>
          </cell>
          <cell r="P5">
            <v>2760000</v>
          </cell>
          <cell r="Q5">
            <v>1500000</v>
          </cell>
          <cell r="R5">
            <v>0</v>
          </cell>
          <cell r="S5">
            <v>25000000</v>
          </cell>
          <cell r="T5">
            <v>20000000</v>
          </cell>
        </row>
        <row r="6">
          <cell r="A6" t="str">
            <v>רותי פרנקו</v>
          </cell>
          <cell r="B6" t="str">
            <v>יוסי אביב</v>
          </cell>
          <cell r="C6"/>
          <cell r="D6"/>
          <cell r="E6"/>
          <cell r="F6"/>
          <cell r="G6"/>
          <cell r="H6"/>
          <cell r="I6">
            <v>0</v>
          </cell>
          <cell r="J6">
            <v>300000</v>
          </cell>
          <cell r="K6">
            <v>0</v>
          </cell>
          <cell r="L6">
            <v>0</v>
          </cell>
          <cell r="M6">
            <v>0</v>
          </cell>
          <cell r="N6">
            <v>28500</v>
          </cell>
          <cell r="O6">
            <v>0</v>
          </cell>
          <cell r="P6">
            <v>0</v>
          </cell>
          <cell r="Q6">
            <v>0</v>
          </cell>
          <cell r="R6">
            <v>300000</v>
          </cell>
          <cell r="S6">
            <v>0</v>
          </cell>
          <cell r="T6">
            <v>0</v>
          </cell>
        </row>
        <row r="7">
          <cell r="A7" t="str">
            <v>אילנית דרור</v>
          </cell>
          <cell r="B7" t="str">
            <v>יוסי אביב</v>
          </cell>
          <cell r="C7"/>
          <cell r="D7"/>
          <cell r="E7"/>
          <cell r="F7"/>
          <cell r="G7"/>
          <cell r="H7"/>
          <cell r="I7">
            <v>500000</v>
          </cell>
          <cell r="J7">
            <v>250000</v>
          </cell>
          <cell r="K7">
            <v>2000000</v>
          </cell>
          <cell r="L7">
            <v>1000000</v>
          </cell>
          <cell r="M7">
            <v>60000</v>
          </cell>
          <cell r="N7">
            <v>23750</v>
          </cell>
          <cell r="O7">
            <v>276000</v>
          </cell>
          <cell r="P7">
            <v>138000</v>
          </cell>
          <cell r="Q7">
            <v>500000</v>
          </cell>
          <cell r="R7">
            <v>250000</v>
          </cell>
          <cell r="S7">
            <v>2000000</v>
          </cell>
          <cell r="T7">
            <v>1000000</v>
          </cell>
        </row>
        <row r="8">
          <cell r="A8" t="str">
            <v>דני פחימה</v>
          </cell>
          <cell r="B8" t="str">
            <v>יוסי אביב</v>
          </cell>
          <cell r="C8" t="e">
            <v>#REF!</v>
          </cell>
          <cell r="D8" t="e">
            <v>#REF!</v>
          </cell>
          <cell r="E8" t="e">
            <v>#REF!</v>
          </cell>
          <cell r="F8"/>
          <cell r="G8"/>
          <cell r="H8"/>
          <cell r="I8">
            <v>0</v>
          </cell>
          <cell r="J8">
            <v>0</v>
          </cell>
          <cell r="K8">
            <v>1000000</v>
          </cell>
          <cell r="L8">
            <v>500000</v>
          </cell>
          <cell r="M8">
            <v>0</v>
          </cell>
          <cell r="N8">
            <v>0</v>
          </cell>
          <cell r="O8">
            <v>138000</v>
          </cell>
          <cell r="P8">
            <v>69000</v>
          </cell>
          <cell r="Q8">
            <v>0</v>
          </cell>
          <cell r="R8">
            <v>0</v>
          </cell>
          <cell r="S8">
            <v>1000000</v>
          </cell>
          <cell r="T8">
            <v>500000</v>
          </cell>
        </row>
        <row r="9">
          <cell r="A9" t="str">
            <v>סה"כ ישיר</v>
          </cell>
          <cell r="B9"/>
          <cell r="C9" t="e">
            <v>#REF!</v>
          </cell>
          <cell r="D9" t="e">
            <v>#REF!</v>
          </cell>
          <cell r="E9" t="e">
            <v>#REF!</v>
          </cell>
          <cell r="F9">
            <v>0</v>
          </cell>
          <cell r="G9">
            <v>0</v>
          </cell>
          <cell r="H9">
            <v>0</v>
          </cell>
          <cell r="I9">
            <v>20000000</v>
          </cell>
          <cell r="J9">
            <v>1850000</v>
          </cell>
          <cell r="K9">
            <v>78000000</v>
          </cell>
          <cell r="L9">
            <v>121500000</v>
          </cell>
          <cell r="M9">
            <v>2400000</v>
          </cell>
          <cell r="N9">
            <v>175750</v>
          </cell>
          <cell r="O9">
            <v>10764000.000000002</v>
          </cell>
          <cell r="P9">
            <v>16767000.000000002</v>
          </cell>
          <cell r="Q9">
            <v>20000000</v>
          </cell>
          <cell r="R9">
            <v>1850000</v>
          </cell>
          <cell r="S9">
            <v>78000000</v>
          </cell>
          <cell r="T9">
            <v>121500000</v>
          </cell>
        </row>
        <row r="10">
          <cell r="A10" t="str">
            <v>בראשית סוכנות לביטוח</v>
          </cell>
          <cell r="B10" t="str">
            <v>יוסי אביב</v>
          </cell>
          <cell r="C10" t="e">
            <v>#REF!</v>
          </cell>
          <cell r="D10" t="e">
            <v>#REF!</v>
          </cell>
          <cell r="E10" t="e">
            <v>#REF!</v>
          </cell>
          <cell r="F10"/>
          <cell r="G10"/>
          <cell r="H10"/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 t="str">
            <v>גל אלמגור דאוד סוכ' לב</v>
          </cell>
          <cell r="B11" t="str">
            <v>יוסי אביב</v>
          </cell>
          <cell r="C11" t="e">
            <v>#REF!</v>
          </cell>
          <cell r="D11" t="e">
            <v>#REF!</v>
          </cell>
          <cell r="E11" t="e">
            <v>#REF!</v>
          </cell>
          <cell r="F11"/>
          <cell r="G11"/>
          <cell r="H11"/>
          <cell r="I11">
            <v>2500000</v>
          </cell>
          <cell r="J11">
            <v>1000000</v>
          </cell>
          <cell r="K11">
            <v>1000000</v>
          </cell>
          <cell r="L11">
            <v>2500000</v>
          </cell>
          <cell r="M11">
            <v>300000</v>
          </cell>
          <cell r="N11">
            <v>95000</v>
          </cell>
          <cell r="O11">
            <v>138000</v>
          </cell>
          <cell r="P11">
            <v>345000</v>
          </cell>
          <cell r="Q11">
            <v>2500000</v>
          </cell>
          <cell r="R11">
            <v>1000000</v>
          </cell>
          <cell r="S11">
            <v>1000000</v>
          </cell>
          <cell r="T11">
            <v>2500000</v>
          </cell>
        </row>
        <row r="12">
          <cell r="A12" t="str">
            <v>גל אלמגור -וייס סוכנות</v>
          </cell>
          <cell r="B12" t="str">
            <v>יוסי אביב</v>
          </cell>
          <cell r="C12" t="e">
            <v>#REF!</v>
          </cell>
          <cell r="D12" t="e">
            <v>#REF!</v>
          </cell>
          <cell r="E12" t="e">
            <v>#REF!</v>
          </cell>
          <cell r="F12"/>
          <cell r="G12"/>
          <cell r="H12"/>
          <cell r="I12">
            <v>500000</v>
          </cell>
          <cell r="J12">
            <v>200000</v>
          </cell>
          <cell r="K12">
            <v>0</v>
          </cell>
          <cell r="L12">
            <v>0</v>
          </cell>
          <cell r="M12">
            <v>60000</v>
          </cell>
          <cell r="N12">
            <v>19000</v>
          </cell>
          <cell r="O12">
            <v>0</v>
          </cell>
          <cell r="P12">
            <v>0</v>
          </cell>
          <cell r="Q12">
            <v>500000</v>
          </cell>
          <cell r="R12">
            <v>200000</v>
          </cell>
          <cell r="S12">
            <v>0</v>
          </cell>
          <cell r="T12">
            <v>0</v>
          </cell>
        </row>
        <row r="13">
          <cell r="A13" t="str">
            <v>משה שטרן גל אלמגור</v>
          </cell>
          <cell r="B13" t="str">
            <v>יוסי אביב</v>
          </cell>
          <cell r="C13" t="e">
            <v>#REF!</v>
          </cell>
          <cell r="D13" t="e">
            <v>#REF!</v>
          </cell>
          <cell r="E13" t="e">
            <v>#REF!</v>
          </cell>
          <cell r="F13"/>
          <cell r="G13"/>
          <cell r="H13"/>
          <cell r="I13">
            <v>0</v>
          </cell>
          <cell r="J13">
            <v>600000</v>
          </cell>
          <cell r="K13">
            <v>0</v>
          </cell>
          <cell r="L13">
            <v>0</v>
          </cell>
          <cell r="M13">
            <v>0</v>
          </cell>
          <cell r="N13">
            <v>57000</v>
          </cell>
          <cell r="O13">
            <v>0</v>
          </cell>
          <cell r="P13">
            <v>0</v>
          </cell>
          <cell r="Q13">
            <v>0</v>
          </cell>
          <cell r="R13">
            <v>600000</v>
          </cell>
          <cell r="S13">
            <v>0</v>
          </cell>
          <cell r="T13">
            <v>0</v>
          </cell>
        </row>
        <row r="14">
          <cell r="A14" t="str">
            <v>מקסימום סוכנות לבטוח פ</v>
          </cell>
          <cell r="B14" t="str">
            <v>יוסי אביב</v>
          </cell>
          <cell r="C14" t="e">
            <v>#REF!</v>
          </cell>
          <cell r="D14" t="e">
            <v>#REF!</v>
          </cell>
          <cell r="E14" t="e">
            <v>#REF!</v>
          </cell>
          <cell r="F14"/>
          <cell r="G14"/>
          <cell r="H14"/>
          <cell r="I14">
            <v>300000</v>
          </cell>
          <cell r="J14">
            <v>150000</v>
          </cell>
          <cell r="K14">
            <v>4000000</v>
          </cell>
          <cell r="L14">
            <v>12000000</v>
          </cell>
          <cell r="M14">
            <v>36000</v>
          </cell>
          <cell r="N14">
            <v>14250</v>
          </cell>
          <cell r="O14">
            <v>552000</v>
          </cell>
          <cell r="P14">
            <v>1656000.0000000002</v>
          </cell>
          <cell r="Q14">
            <v>300000</v>
          </cell>
          <cell r="R14">
            <v>150000</v>
          </cell>
          <cell r="S14">
            <v>4000000</v>
          </cell>
          <cell r="T14">
            <v>12000000</v>
          </cell>
        </row>
        <row r="15">
          <cell r="A15" t="str">
            <v>א.ד. אבידן ביטוחים בע"מ</v>
          </cell>
          <cell r="B15" t="str">
            <v>יוסי אביב</v>
          </cell>
          <cell r="C15" t="e">
            <v>#REF!</v>
          </cell>
          <cell r="D15" t="e">
            <v>#REF!</v>
          </cell>
          <cell r="E15" t="e">
            <v>#REF!</v>
          </cell>
          <cell r="F15"/>
          <cell r="G15"/>
          <cell r="H15"/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גל אלמגור דרום סוכ ל</v>
          </cell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</row>
        <row r="17">
          <cell r="A17" t="str">
            <v xml:space="preserve">גל אלמגור -ראם </v>
          </cell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</row>
        <row r="18">
          <cell r="A18" t="str">
            <v>סה"כ חברות בנות</v>
          </cell>
          <cell r="B18"/>
          <cell r="C18" t="e">
            <v>#REF!</v>
          </cell>
          <cell r="D18" t="e">
            <v>#REF!</v>
          </cell>
          <cell r="E18" t="e">
            <v>#REF!</v>
          </cell>
          <cell r="F18">
            <v>0</v>
          </cell>
          <cell r="G18">
            <v>0</v>
          </cell>
          <cell r="H18">
            <v>0</v>
          </cell>
          <cell r="I18">
            <v>3300000</v>
          </cell>
          <cell r="J18">
            <v>1950000</v>
          </cell>
          <cell r="K18">
            <v>5000000</v>
          </cell>
          <cell r="L18">
            <v>14500000</v>
          </cell>
          <cell r="M18">
            <v>396000</v>
          </cell>
          <cell r="N18">
            <v>185250</v>
          </cell>
          <cell r="O18">
            <v>690000</v>
          </cell>
          <cell r="P18">
            <v>2001000.0000000002</v>
          </cell>
          <cell r="Q18">
            <v>3300000</v>
          </cell>
          <cell r="R18">
            <v>1950000</v>
          </cell>
          <cell r="S18">
            <v>5000000</v>
          </cell>
          <cell r="T18">
            <v>14500000</v>
          </cell>
        </row>
        <row r="19">
          <cell r="A19" t="str">
            <v>מועלם אלפרד</v>
          </cell>
          <cell r="B19" t="str">
            <v xml:space="preserve">ערן גירוני </v>
          </cell>
          <cell r="C19" t="e">
            <v>#REF!</v>
          </cell>
          <cell r="D19" t="e">
            <v>#REF!</v>
          </cell>
          <cell r="E19" t="e">
            <v>#REF!</v>
          </cell>
          <cell r="F19"/>
          <cell r="G19"/>
          <cell r="H19"/>
          <cell r="I19">
            <v>1600000</v>
          </cell>
          <cell r="J19">
            <v>170000</v>
          </cell>
          <cell r="K19">
            <v>2500000</v>
          </cell>
          <cell r="L19">
            <v>5000000</v>
          </cell>
          <cell r="M19">
            <v>192000</v>
          </cell>
          <cell r="N19">
            <v>16150</v>
          </cell>
          <cell r="O19">
            <v>345000</v>
          </cell>
          <cell r="P19">
            <v>690000</v>
          </cell>
          <cell r="Q19">
            <v>1600000</v>
          </cell>
          <cell r="R19">
            <v>170000</v>
          </cell>
          <cell r="S19">
            <v>2500000</v>
          </cell>
          <cell r="T19">
            <v>5000000</v>
          </cell>
        </row>
        <row r="20">
          <cell r="A20" t="str">
            <v>גרניק בנימין</v>
          </cell>
          <cell r="B20" t="str">
            <v xml:space="preserve">ערן גירוני </v>
          </cell>
          <cell r="C20" t="e">
            <v>#REF!</v>
          </cell>
          <cell r="D20" t="e">
            <v>#REF!</v>
          </cell>
          <cell r="E20" t="e">
            <v>#REF!</v>
          </cell>
          <cell r="F20"/>
          <cell r="G20"/>
          <cell r="H20"/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>יונתן מנחם</v>
          </cell>
          <cell r="B21" t="str">
            <v xml:space="preserve">ערן גירוני </v>
          </cell>
          <cell r="C21" t="e">
            <v>#REF!</v>
          </cell>
          <cell r="D21" t="e">
            <v>#REF!</v>
          </cell>
          <cell r="E21" t="e">
            <v>#REF!</v>
          </cell>
          <cell r="F21"/>
          <cell r="G21"/>
          <cell r="H21"/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>שלי מזרחי</v>
          </cell>
          <cell r="B22" t="str">
            <v xml:space="preserve">ערן גירוני </v>
          </cell>
          <cell r="C22" t="e">
            <v>#REF!</v>
          </cell>
          <cell r="D22" t="e">
            <v>#REF!</v>
          </cell>
          <cell r="E22" t="e">
            <v>#REF!</v>
          </cell>
          <cell r="F22"/>
          <cell r="G22"/>
          <cell r="H22"/>
          <cell r="I22">
            <v>3000000</v>
          </cell>
          <cell r="J22">
            <v>600000</v>
          </cell>
          <cell r="K22">
            <v>10000000</v>
          </cell>
          <cell r="L22">
            <v>6000000</v>
          </cell>
          <cell r="M22">
            <v>360000</v>
          </cell>
          <cell r="N22">
            <v>57000</v>
          </cell>
          <cell r="O22">
            <v>1380000</v>
          </cell>
          <cell r="P22">
            <v>828000.00000000012</v>
          </cell>
          <cell r="Q22">
            <v>3000000</v>
          </cell>
          <cell r="R22">
            <v>600000</v>
          </cell>
          <cell r="S22">
            <v>10000000</v>
          </cell>
          <cell r="T22">
            <v>6000000</v>
          </cell>
        </row>
        <row r="23">
          <cell r="A23" t="str">
            <v>אורטל / לנג ביג סוכנות לביטוח פנסיוני</v>
          </cell>
          <cell r="B23" t="str">
            <v xml:space="preserve">ערן גירוני </v>
          </cell>
          <cell r="C23" t="e">
            <v>#REF!</v>
          </cell>
          <cell r="D23" t="e">
            <v>#REF!</v>
          </cell>
          <cell r="E23" t="e">
            <v>#REF!</v>
          </cell>
          <cell r="F23"/>
          <cell r="G23"/>
          <cell r="H23"/>
          <cell r="I23">
            <v>3000000</v>
          </cell>
          <cell r="J23">
            <v>250000</v>
          </cell>
          <cell r="K23">
            <v>20000000</v>
          </cell>
          <cell r="L23">
            <v>6000000</v>
          </cell>
          <cell r="M23">
            <v>360000</v>
          </cell>
          <cell r="N23">
            <v>23750</v>
          </cell>
          <cell r="O23">
            <v>2760000</v>
          </cell>
          <cell r="P23">
            <v>828000.00000000012</v>
          </cell>
          <cell r="Q23">
            <v>3000000</v>
          </cell>
          <cell r="R23">
            <v>250000</v>
          </cell>
          <cell r="S23">
            <v>20000000</v>
          </cell>
          <cell r="T23">
            <v>6000000</v>
          </cell>
        </row>
        <row r="24">
          <cell r="A24" t="str">
            <v>נעם הלשטוק</v>
          </cell>
          <cell r="B24" t="str">
            <v xml:space="preserve">ערן גירוני </v>
          </cell>
          <cell r="C24" t="e">
            <v>#REF!</v>
          </cell>
          <cell r="D24" t="e">
            <v>#REF!</v>
          </cell>
          <cell r="E24" t="e">
            <v>#REF!</v>
          </cell>
          <cell r="F24"/>
          <cell r="G24"/>
          <cell r="H24"/>
          <cell r="I24">
            <v>1000000</v>
          </cell>
          <cell r="J24">
            <v>150000</v>
          </cell>
          <cell r="K24">
            <v>8000000</v>
          </cell>
          <cell r="L24">
            <v>6000000</v>
          </cell>
          <cell r="M24">
            <v>120000</v>
          </cell>
          <cell r="N24">
            <v>14250</v>
          </cell>
          <cell r="O24">
            <v>1104000</v>
          </cell>
          <cell r="P24">
            <v>828000.00000000012</v>
          </cell>
          <cell r="Q24">
            <v>1000000</v>
          </cell>
          <cell r="R24">
            <v>150000</v>
          </cell>
          <cell r="S24">
            <v>8000000</v>
          </cell>
          <cell r="T24">
            <v>6000000</v>
          </cell>
        </row>
        <row r="25">
          <cell r="A25" t="str">
            <v>נור אבו ראס</v>
          </cell>
          <cell r="B25" t="str">
            <v xml:space="preserve">ערן גירוני </v>
          </cell>
          <cell r="C25" t="e">
            <v>#REF!</v>
          </cell>
          <cell r="D25" t="e">
            <v>#REF!</v>
          </cell>
          <cell r="E25" t="e">
            <v>#REF!</v>
          </cell>
          <cell r="F25"/>
          <cell r="G25"/>
          <cell r="H25"/>
          <cell r="I25">
            <v>500000</v>
          </cell>
          <cell r="J25">
            <v>150000</v>
          </cell>
          <cell r="K25">
            <v>1000000</v>
          </cell>
          <cell r="L25">
            <v>2000000</v>
          </cell>
          <cell r="M25">
            <v>60000</v>
          </cell>
          <cell r="N25">
            <v>14250</v>
          </cell>
          <cell r="O25">
            <v>138000</v>
          </cell>
          <cell r="P25">
            <v>276000</v>
          </cell>
          <cell r="Q25">
            <v>500000</v>
          </cell>
          <cell r="R25">
            <v>150000</v>
          </cell>
          <cell r="S25">
            <v>1000000</v>
          </cell>
          <cell r="T25">
            <v>2000000</v>
          </cell>
        </row>
        <row r="26">
          <cell r="A26" t="str">
            <v>יהונתן שיוביץ</v>
          </cell>
          <cell r="B26" t="str">
            <v xml:space="preserve">ערן גירוני </v>
          </cell>
          <cell r="C26" t="e">
            <v>#REF!</v>
          </cell>
          <cell r="D26" t="e">
            <v>#REF!</v>
          </cell>
          <cell r="E26" t="e">
            <v>#REF!</v>
          </cell>
          <cell r="F26"/>
          <cell r="G26"/>
          <cell r="H26"/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 t="str">
            <v>אחמד עלי אחמד</v>
          </cell>
          <cell r="B27" t="str">
            <v xml:space="preserve">ערן גירוני </v>
          </cell>
          <cell r="C27" t="e">
            <v>#REF!</v>
          </cell>
          <cell r="D27" t="e">
            <v>#REF!</v>
          </cell>
          <cell r="E27" t="e">
            <v>#REF!</v>
          </cell>
          <cell r="F27"/>
          <cell r="G27"/>
          <cell r="H27"/>
          <cell r="I27">
            <v>300000</v>
          </cell>
          <cell r="J27">
            <v>80000</v>
          </cell>
          <cell r="K27">
            <v>300000</v>
          </cell>
          <cell r="L27">
            <v>300000</v>
          </cell>
          <cell r="M27">
            <v>36000</v>
          </cell>
          <cell r="N27">
            <v>7600</v>
          </cell>
          <cell r="O27">
            <v>41400</v>
          </cell>
          <cell r="P27">
            <v>41400</v>
          </cell>
          <cell r="Q27">
            <v>300000</v>
          </cell>
          <cell r="R27">
            <v>80000</v>
          </cell>
          <cell r="S27">
            <v>300000</v>
          </cell>
          <cell r="T27">
            <v>300000</v>
          </cell>
        </row>
        <row r="28">
          <cell r="A28" t="str">
            <v>סיון פיינרו</v>
          </cell>
          <cell r="B28" t="str">
            <v xml:space="preserve">ערן גירוני </v>
          </cell>
          <cell r="C28" t="e">
            <v>#REF!</v>
          </cell>
          <cell r="D28" t="e">
            <v>#REF!</v>
          </cell>
          <cell r="E28" t="e">
            <v>#REF!</v>
          </cell>
          <cell r="F28"/>
          <cell r="G28"/>
          <cell r="H28"/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 t="str">
            <v>לילי שרון</v>
          </cell>
          <cell r="B29" t="str">
            <v xml:space="preserve">ערן גירוני </v>
          </cell>
          <cell r="C29" t="e">
            <v>#REF!</v>
          </cell>
          <cell r="D29" t="e">
            <v>#REF!</v>
          </cell>
          <cell r="E29" t="e">
            <v>#REF!</v>
          </cell>
          <cell r="F29"/>
          <cell r="G29"/>
          <cell r="H29"/>
          <cell r="I29">
            <v>50000</v>
          </cell>
          <cell r="J29">
            <v>50000</v>
          </cell>
          <cell r="K29">
            <v>300000</v>
          </cell>
          <cell r="L29">
            <v>200000</v>
          </cell>
          <cell r="M29">
            <v>6000</v>
          </cell>
          <cell r="N29">
            <v>4750</v>
          </cell>
          <cell r="O29">
            <v>41400</v>
          </cell>
          <cell r="P29">
            <v>27600.000000000004</v>
          </cell>
          <cell r="Q29">
            <v>50000</v>
          </cell>
          <cell r="R29">
            <v>50000</v>
          </cell>
          <cell r="S29">
            <v>300000</v>
          </cell>
          <cell r="T29">
            <v>200000</v>
          </cell>
        </row>
        <row r="30">
          <cell r="A30" t="str">
            <v>סאוסן שלבי</v>
          </cell>
          <cell r="B30" t="str">
            <v xml:space="preserve">ערן גירוני </v>
          </cell>
          <cell r="C30" t="e">
            <v>#REF!</v>
          </cell>
          <cell r="D30" t="e">
            <v>#REF!</v>
          </cell>
          <cell r="E30" t="e">
            <v>#REF!</v>
          </cell>
          <cell r="F30"/>
          <cell r="G30"/>
          <cell r="H30"/>
          <cell r="I30">
            <v>100000</v>
          </cell>
          <cell r="J30">
            <v>50000</v>
          </cell>
          <cell r="K30">
            <v>300000</v>
          </cell>
          <cell r="L30">
            <v>100000</v>
          </cell>
          <cell r="M30">
            <v>12000</v>
          </cell>
          <cell r="N30">
            <v>4750</v>
          </cell>
          <cell r="O30">
            <v>41400</v>
          </cell>
          <cell r="P30">
            <v>13800.000000000002</v>
          </cell>
          <cell r="Q30">
            <v>100000</v>
          </cell>
          <cell r="R30">
            <v>50000</v>
          </cell>
          <cell r="S30">
            <v>300000</v>
          </cell>
          <cell r="T30">
            <v>100000</v>
          </cell>
        </row>
        <row r="31">
          <cell r="A31" t="str">
            <v>סברא סמיר</v>
          </cell>
          <cell r="B31" t="str">
            <v xml:space="preserve">ערן גירוני </v>
          </cell>
          <cell r="C31" t="e">
            <v>#REF!</v>
          </cell>
          <cell r="D31" t="e">
            <v>#REF!</v>
          </cell>
          <cell r="E31" t="e">
            <v>#REF!</v>
          </cell>
          <cell r="F31"/>
          <cell r="G31"/>
          <cell r="H31"/>
          <cell r="I31">
            <v>2500000</v>
          </cell>
          <cell r="J31">
            <v>300000</v>
          </cell>
          <cell r="K31">
            <v>3000000</v>
          </cell>
          <cell r="L31">
            <v>4000000</v>
          </cell>
          <cell r="M31">
            <v>300000</v>
          </cell>
          <cell r="N31">
            <v>28500</v>
          </cell>
          <cell r="O31">
            <v>414000.00000000006</v>
          </cell>
          <cell r="P31">
            <v>552000</v>
          </cell>
          <cell r="Q31">
            <v>2500000</v>
          </cell>
          <cell r="R31">
            <v>300000</v>
          </cell>
          <cell r="S31">
            <v>3000000</v>
          </cell>
          <cell r="T31">
            <v>4000000</v>
          </cell>
        </row>
        <row r="32">
          <cell r="A32" t="str">
            <v>ריזק חלבי</v>
          </cell>
          <cell r="B32" t="str">
            <v xml:space="preserve">ערן גירוני </v>
          </cell>
          <cell r="C32" t="e">
            <v>#REF!</v>
          </cell>
          <cell r="D32" t="e">
            <v>#REF!</v>
          </cell>
          <cell r="E32" t="e">
            <v>#REF!</v>
          </cell>
          <cell r="F32"/>
          <cell r="G32"/>
          <cell r="H32"/>
          <cell r="I32">
            <v>300000</v>
          </cell>
          <cell r="J32">
            <v>200000</v>
          </cell>
          <cell r="K32">
            <v>100000</v>
          </cell>
          <cell r="L32">
            <v>200000</v>
          </cell>
          <cell r="M32">
            <v>36000</v>
          </cell>
          <cell r="N32">
            <v>19000</v>
          </cell>
          <cell r="O32">
            <v>13800.000000000002</v>
          </cell>
          <cell r="P32">
            <v>27600.000000000004</v>
          </cell>
          <cell r="Q32">
            <v>300000</v>
          </cell>
          <cell r="R32">
            <v>200000</v>
          </cell>
          <cell r="S32">
            <v>100000</v>
          </cell>
          <cell r="T32">
            <v>200000</v>
          </cell>
        </row>
        <row r="33">
          <cell r="A33" t="str">
            <v>שלבי מיסון</v>
          </cell>
          <cell r="B33" t="str">
            <v xml:space="preserve">ערן גירוני </v>
          </cell>
          <cell r="C33" t="e">
            <v>#REF!</v>
          </cell>
          <cell r="D33" t="e">
            <v>#REF!</v>
          </cell>
          <cell r="E33" t="e">
            <v>#REF!</v>
          </cell>
          <cell r="F33"/>
          <cell r="G33"/>
          <cell r="H33"/>
          <cell r="I33">
            <v>300000</v>
          </cell>
          <cell r="J33">
            <v>150000</v>
          </cell>
          <cell r="K33">
            <v>1500000</v>
          </cell>
          <cell r="L33">
            <v>300000</v>
          </cell>
          <cell r="M33">
            <v>36000</v>
          </cell>
          <cell r="N33">
            <v>14250</v>
          </cell>
          <cell r="O33">
            <v>207000.00000000003</v>
          </cell>
          <cell r="P33">
            <v>41400</v>
          </cell>
          <cell r="Q33">
            <v>300000</v>
          </cell>
          <cell r="R33">
            <v>150000</v>
          </cell>
          <cell r="S33">
            <v>1500000</v>
          </cell>
          <cell r="T33">
            <v>300000</v>
          </cell>
        </row>
        <row r="34">
          <cell r="A34" t="str">
            <v>בחוס יוסף</v>
          </cell>
          <cell r="B34" t="str">
            <v xml:space="preserve">ערן גירוני </v>
          </cell>
          <cell r="C34" t="e">
            <v>#REF!</v>
          </cell>
          <cell r="D34" t="e">
            <v>#REF!</v>
          </cell>
          <cell r="E34" t="e">
            <v>#REF!</v>
          </cell>
          <cell r="F34"/>
          <cell r="G34"/>
          <cell r="H34"/>
          <cell r="I34">
            <v>1750000</v>
          </cell>
          <cell r="J34">
            <v>150000</v>
          </cell>
          <cell r="K34">
            <v>3000000</v>
          </cell>
          <cell r="L34">
            <v>5000000</v>
          </cell>
          <cell r="M34">
            <v>210000</v>
          </cell>
          <cell r="N34">
            <v>14250</v>
          </cell>
          <cell r="O34">
            <v>414000.00000000006</v>
          </cell>
          <cell r="P34">
            <v>690000</v>
          </cell>
          <cell r="Q34">
            <v>1750000</v>
          </cell>
          <cell r="R34">
            <v>150000</v>
          </cell>
          <cell r="S34">
            <v>3000000</v>
          </cell>
          <cell r="T34">
            <v>5000000</v>
          </cell>
        </row>
        <row r="35">
          <cell r="A35" t="str">
            <v>קליין סיון</v>
          </cell>
          <cell r="B35" t="str">
            <v xml:space="preserve">ערן גירוני </v>
          </cell>
          <cell r="C35" t="e">
            <v>#REF!</v>
          </cell>
          <cell r="D35" t="e">
            <v>#REF!</v>
          </cell>
          <cell r="E35" t="e">
            <v>#REF!</v>
          </cell>
          <cell r="F35"/>
          <cell r="G35"/>
          <cell r="H35"/>
          <cell r="I35">
            <v>1000000</v>
          </cell>
          <cell r="J35">
            <v>200000</v>
          </cell>
          <cell r="K35">
            <v>4000000</v>
          </cell>
          <cell r="L35">
            <v>2500000</v>
          </cell>
          <cell r="M35">
            <v>120000</v>
          </cell>
          <cell r="N35">
            <v>19000</v>
          </cell>
          <cell r="O35">
            <v>552000</v>
          </cell>
          <cell r="P35">
            <v>345000</v>
          </cell>
          <cell r="Q35">
            <v>1000000</v>
          </cell>
          <cell r="R35">
            <v>200000</v>
          </cell>
          <cell r="S35">
            <v>4000000</v>
          </cell>
          <cell r="T35">
            <v>2500000</v>
          </cell>
        </row>
        <row r="36">
          <cell r="A36" t="str">
            <v>צקותאי אורי</v>
          </cell>
          <cell r="B36" t="str">
            <v xml:space="preserve">ערן גירוני </v>
          </cell>
          <cell r="C36" t="e">
            <v>#REF!</v>
          </cell>
          <cell r="D36" t="e">
            <v>#REF!</v>
          </cell>
          <cell r="E36" t="e">
            <v>#REF!</v>
          </cell>
          <cell r="F36"/>
          <cell r="G36"/>
          <cell r="H36"/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 t="str">
            <v>סמיר בלאן</v>
          </cell>
          <cell r="B37" t="str">
            <v xml:space="preserve">ערן גירוני </v>
          </cell>
          <cell r="C37" t="e">
            <v>#REF!</v>
          </cell>
          <cell r="D37" t="e">
            <v>#REF!</v>
          </cell>
          <cell r="E37" t="e">
            <v>#REF!</v>
          </cell>
          <cell r="F37"/>
          <cell r="G37"/>
          <cell r="H37"/>
          <cell r="I37"/>
          <cell r="J37"/>
          <cell r="K37"/>
          <cell r="L37"/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>אלקרינאוי ראוף</v>
          </cell>
          <cell r="B38" t="str">
            <v xml:space="preserve">ערן גירוני </v>
          </cell>
          <cell r="C38" t="e">
            <v>#REF!</v>
          </cell>
          <cell r="D38" t="e">
            <v>#REF!</v>
          </cell>
          <cell r="E38" t="e">
            <v>#REF!</v>
          </cell>
          <cell r="F38"/>
          <cell r="G38"/>
          <cell r="H38"/>
          <cell r="I38"/>
          <cell r="J38"/>
          <cell r="K38"/>
          <cell r="L38"/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>דאי גדי</v>
          </cell>
          <cell r="B39" t="str">
            <v xml:space="preserve">ערן גירוני </v>
          </cell>
          <cell r="C39" t="e">
            <v>#REF!</v>
          </cell>
          <cell r="D39" t="e">
            <v>#REF!</v>
          </cell>
          <cell r="E39" t="e">
            <v>#REF!</v>
          </cell>
          <cell r="F39"/>
          <cell r="G39"/>
          <cell r="H39"/>
          <cell r="I39">
            <v>2500000</v>
          </cell>
          <cell r="J39">
            <v>450000</v>
          </cell>
          <cell r="K39">
            <v>6000000</v>
          </cell>
          <cell r="L39">
            <v>4000000</v>
          </cell>
          <cell r="M39">
            <v>300000</v>
          </cell>
          <cell r="N39">
            <v>42750</v>
          </cell>
          <cell r="O39">
            <v>828000.00000000012</v>
          </cell>
          <cell r="P39">
            <v>552000</v>
          </cell>
          <cell r="Q39">
            <v>2500000</v>
          </cell>
          <cell r="R39">
            <v>450000</v>
          </cell>
          <cell r="S39">
            <v>6000000</v>
          </cell>
          <cell r="T39">
            <v>4000000</v>
          </cell>
        </row>
        <row r="40">
          <cell r="A40" t="str">
            <v>מילאד אבו שקארה</v>
          </cell>
          <cell r="B40" t="str">
            <v xml:space="preserve">ערן גירוני </v>
          </cell>
          <cell r="C40" t="e">
            <v>#REF!</v>
          </cell>
          <cell r="D40" t="e">
            <v>#REF!</v>
          </cell>
          <cell r="E40" t="e">
            <v>#REF!</v>
          </cell>
          <cell r="F40"/>
          <cell r="G40"/>
          <cell r="H40"/>
          <cell r="I40"/>
          <cell r="J40"/>
          <cell r="K40"/>
          <cell r="L40"/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>דראושה אדהם</v>
          </cell>
          <cell r="B41" t="str">
            <v xml:space="preserve">ערן גירוני </v>
          </cell>
          <cell r="C41" t="e">
            <v>#REF!</v>
          </cell>
          <cell r="D41" t="e">
            <v>#REF!</v>
          </cell>
          <cell r="E41" t="e">
            <v>#REF!</v>
          </cell>
          <cell r="F41"/>
          <cell r="G41"/>
          <cell r="H41"/>
          <cell r="I41"/>
          <cell r="J41"/>
          <cell r="K41"/>
          <cell r="L41"/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בדארנה עומר</v>
          </cell>
          <cell r="B42" t="str">
            <v xml:space="preserve">ערן גירוני </v>
          </cell>
          <cell r="C42" t="e">
            <v>#REF!</v>
          </cell>
          <cell r="D42" t="e">
            <v>#REF!</v>
          </cell>
          <cell r="E42" t="e">
            <v>#REF!</v>
          </cell>
          <cell r="F42"/>
          <cell r="G42"/>
          <cell r="H42"/>
          <cell r="I42"/>
          <cell r="J42"/>
          <cell r="K42"/>
          <cell r="L42"/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לוי חיים</v>
          </cell>
          <cell r="B43" t="str">
            <v xml:space="preserve">ערן גירוני </v>
          </cell>
          <cell r="C43" t="e">
            <v>#REF!</v>
          </cell>
          <cell r="D43" t="e">
            <v>#REF!</v>
          </cell>
          <cell r="E43" t="e">
            <v>#REF!</v>
          </cell>
          <cell r="F43"/>
          <cell r="G43"/>
          <cell r="H43"/>
          <cell r="I43"/>
          <cell r="J43">
            <v>10000</v>
          </cell>
          <cell r="K43"/>
          <cell r="L43"/>
          <cell r="M43">
            <v>0</v>
          </cell>
          <cell r="N43">
            <v>950</v>
          </cell>
          <cell r="O43">
            <v>0</v>
          </cell>
          <cell r="P43">
            <v>0</v>
          </cell>
          <cell r="Q43">
            <v>0</v>
          </cell>
          <cell r="R43">
            <v>10000</v>
          </cell>
          <cell r="S43">
            <v>0</v>
          </cell>
          <cell r="T43">
            <v>0</v>
          </cell>
        </row>
        <row r="44">
          <cell r="A44" t="str">
            <v>עבוד כיתי</v>
          </cell>
          <cell r="B44" t="str">
            <v xml:space="preserve">ערן גירוני </v>
          </cell>
          <cell r="C44" t="e">
            <v>#REF!</v>
          </cell>
          <cell r="D44" t="e">
            <v>#REF!</v>
          </cell>
          <cell r="E44" t="e">
            <v>#REF!</v>
          </cell>
          <cell r="F44"/>
          <cell r="G44"/>
          <cell r="H44"/>
          <cell r="I44">
            <v>50000</v>
          </cell>
          <cell r="J44">
            <v>50000</v>
          </cell>
          <cell r="K44">
            <v>500000</v>
          </cell>
          <cell r="L44">
            <v>200000</v>
          </cell>
          <cell r="M44">
            <v>6000</v>
          </cell>
          <cell r="N44">
            <v>4750</v>
          </cell>
          <cell r="O44">
            <v>69000</v>
          </cell>
          <cell r="P44">
            <v>27600.000000000004</v>
          </cell>
          <cell r="Q44">
            <v>50000</v>
          </cell>
          <cell r="R44">
            <v>50000</v>
          </cell>
          <cell r="S44">
            <v>500000</v>
          </cell>
          <cell r="T44">
            <v>200000</v>
          </cell>
        </row>
        <row r="45">
          <cell r="A45" t="str">
            <v>יעקב ישראל שטרן</v>
          </cell>
          <cell r="B45" t="str">
            <v xml:space="preserve">ערן גירוני </v>
          </cell>
          <cell r="C45" t="e">
            <v>#REF!</v>
          </cell>
          <cell r="D45" t="e">
            <v>#REF!</v>
          </cell>
          <cell r="E45" t="e">
            <v>#REF!</v>
          </cell>
          <cell r="F45"/>
          <cell r="G45"/>
          <cell r="H45"/>
          <cell r="I45">
            <v>100000</v>
          </cell>
          <cell r="J45">
            <v>50000</v>
          </cell>
          <cell r="K45">
            <v>2000000</v>
          </cell>
          <cell r="L45">
            <v>500000</v>
          </cell>
          <cell r="M45">
            <v>12000</v>
          </cell>
          <cell r="N45">
            <v>4750</v>
          </cell>
          <cell r="O45">
            <v>276000</v>
          </cell>
          <cell r="P45">
            <v>69000</v>
          </cell>
          <cell r="Q45">
            <v>100000</v>
          </cell>
          <cell r="R45">
            <v>50000</v>
          </cell>
          <cell r="S45">
            <v>2000000</v>
          </cell>
          <cell r="T45">
            <v>500000</v>
          </cell>
          <cell r="W45"/>
        </row>
        <row r="46">
          <cell r="A46" t="str">
            <v>שני לוי</v>
          </cell>
          <cell r="B46" t="str">
            <v xml:space="preserve">ערן גירוני </v>
          </cell>
          <cell r="C46"/>
          <cell r="D46"/>
          <cell r="E46"/>
          <cell r="F46"/>
          <cell r="G46"/>
          <cell r="H46"/>
          <cell r="I46">
            <v>200000</v>
          </cell>
          <cell r="J46">
            <v>100000</v>
          </cell>
          <cell r="K46">
            <v>500000</v>
          </cell>
          <cell r="L46">
            <v>600000</v>
          </cell>
          <cell r="M46"/>
          <cell r="N46"/>
          <cell r="O46"/>
          <cell r="P46"/>
          <cell r="Q46">
            <v>200000</v>
          </cell>
          <cell r="R46">
            <v>100000</v>
          </cell>
          <cell r="S46">
            <v>500000</v>
          </cell>
          <cell r="T46">
            <v>600000</v>
          </cell>
          <cell r="W46"/>
        </row>
        <row r="47">
          <cell r="A47" t="str">
            <v>דורי דאי כדורי</v>
          </cell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W47"/>
        </row>
        <row r="48">
          <cell r="A48" t="str">
            <v>אבו חיט ניזאם</v>
          </cell>
          <cell r="B48" t="str">
            <v>איתי אדן</v>
          </cell>
          <cell r="C48"/>
          <cell r="D48"/>
          <cell r="E48"/>
          <cell r="F48"/>
          <cell r="G48"/>
          <cell r="H48"/>
          <cell r="I48">
            <v>400000</v>
          </cell>
          <cell r="J48">
            <v>100000</v>
          </cell>
          <cell r="K48">
            <v>1000000</v>
          </cell>
          <cell r="L48">
            <v>1000000</v>
          </cell>
          <cell r="M48"/>
          <cell r="N48"/>
          <cell r="O48"/>
          <cell r="P48"/>
          <cell r="Q48"/>
          <cell r="R48"/>
          <cell r="S48"/>
          <cell r="T48"/>
          <cell r="W48"/>
        </row>
        <row r="49">
          <cell r="A49" t="str">
            <v>מטאנס זוהיר</v>
          </cell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W49"/>
        </row>
        <row r="50">
          <cell r="A50" t="str">
            <v>מכלול סוכנות לביטוח</v>
          </cell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W50"/>
        </row>
        <row r="51">
          <cell r="A51" t="str">
            <v>דורון ענק הביטוח</v>
          </cell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W51"/>
        </row>
        <row r="52">
          <cell r="A52" t="str">
            <v>חנה כצנלסון</v>
          </cell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W52"/>
        </row>
        <row r="53">
          <cell r="A53" t="str">
            <v>מיכאל וקסלר</v>
          </cell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W53"/>
        </row>
        <row r="54">
          <cell r="A54" t="str">
            <v>בדר צבי</v>
          </cell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W54"/>
        </row>
        <row r="55">
          <cell r="A55" t="str">
            <v>קבוצת סוכנים ערן גירוני</v>
          </cell>
          <cell r="B55"/>
          <cell r="C55"/>
          <cell r="D55"/>
          <cell r="E55"/>
          <cell r="F55"/>
          <cell r="G55"/>
          <cell r="H55"/>
          <cell r="I55">
            <v>18250000</v>
          </cell>
          <cell r="J55">
            <v>3160000</v>
          </cell>
          <cell r="K55">
            <v>63000000</v>
          </cell>
          <cell r="L55">
            <v>42900000</v>
          </cell>
          <cell r="M55">
            <v>2166000</v>
          </cell>
          <cell r="N55">
            <v>290700</v>
          </cell>
          <cell r="O55">
            <v>8625000</v>
          </cell>
          <cell r="P55">
            <v>5837400</v>
          </cell>
          <cell r="Q55">
            <v>18250000</v>
          </cell>
          <cell r="R55">
            <v>3160000</v>
          </cell>
          <cell r="S55">
            <v>63000000</v>
          </cell>
          <cell r="T55">
            <v>42900000</v>
          </cell>
        </row>
        <row r="56">
          <cell r="A56" t="str">
            <v>אריאל בר-חיים</v>
          </cell>
          <cell r="B56" t="str">
            <v>יוסי אביב</v>
          </cell>
          <cell r="C56" t="e">
            <v>#REF!</v>
          </cell>
          <cell r="D56" t="e">
            <v>#REF!</v>
          </cell>
          <cell r="E56" t="e">
            <v>#REF!</v>
          </cell>
          <cell r="F56"/>
          <cell r="G56"/>
          <cell r="H56"/>
          <cell r="I56">
            <v>1000000</v>
          </cell>
          <cell r="J56">
            <v>150000</v>
          </cell>
          <cell r="K56">
            <v>10000000</v>
          </cell>
          <cell r="L56">
            <v>5000000</v>
          </cell>
          <cell r="M56">
            <v>120000</v>
          </cell>
          <cell r="N56">
            <v>14250</v>
          </cell>
          <cell r="O56">
            <v>1380000</v>
          </cell>
          <cell r="P56">
            <v>690000</v>
          </cell>
          <cell r="Q56">
            <v>1000000</v>
          </cell>
          <cell r="R56">
            <v>150000</v>
          </cell>
          <cell r="S56">
            <v>10000000</v>
          </cell>
          <cell r="T56">
            <v>5000000</v>
          </cell>
        </row>
        <row r="57">
          <cell r="A57" t="str">
            <v>אלרם סוכנות לביטוח</v>
          </cell>
          <cell r="B57" t="str">
            <v>יוסי אביב</v>
          </cell>
          <cell r="C57" t="e">
            <v>#REF!</v>
          </cell>
          <cell r="D57" t="e">
            <v>#REF!</v>
          </cell>
          <cell r="E57" t="e">
            <v>#REF!</v>
          </cell>
          <cell r="F57"/>
          <cell r="G57"/>
          <cell r="H57"/>
          <cell r="I57">
            <v>1500000</v>
          </cell>
          <cell r="J57">
            <v>600000</v>
          </cell>
          <cell r="K57">
            <v>12000000</v>
          </cell>
          <cell r="L57">
            <v>6000000</v>
          </cell>
          <cell r="M57">
            <v>180000</v>
          </cell>
          <cell r="N57">
            <v>57000</v>
          </cell>
          <cell r="O57">
            <v>1656000.0000000002</v>
          </cell>
          <cell r="P57">
            <v>828000.00000000012</v>
          </cell>
          <cell r="Q57">
            <v>1500000</v>
          </cell>
          <cell r="R57">
            <v>600000</v>
          </cell>
          <cell r="S57">
            <v>12000000</v>
          </cell>
          <cell r="T57">
            <v>6000000</v>
          </cell>
        </row>
        <row r="58">
          <cell r="A58" t="str">
            <v>רכס אורן</v>
          </cell>
          <cell r="B58" t="str">
            <v>יוסי אביב</v>
          </cell>
          <cell r="C58" t="e">
            <v>#REF!</v>
          </cell>
          <cell r="D58" t="e">
            <v>#REF!</v>
          </cell>
          <cell r="E58" t="e">
            <v>#REF!</v>
          </cell>
          <cell r="F58"/>
          <cell r="G58"/>
          <cell r="H58"/>
          <cell r="I58">
            <v>3000000</v>
          </cell>
          <cell r="J58">
            <v>350000</v>
          </cell>
          <cell r="K58">
            <v>35000000</v>
          </cell>
          <cell r="L58">
            <v>10000000</v>
          </cell>
          <cell r="M58">
            <v>360000</v>
          </cell>
          <cell r="N58">
            <v>33250</v>
          </cell>
          <cell r="O58">
            <v>4830000</v>
          </cell>
          <cell r="P58">
            <v>1380000</v>
          </cell>
          <cell r="Q58">
            <v>3000000</v>
          </cell>
          <cell r="R58">
            <v>350000</v>
          </cell>
          <cell r="S58">
            <v>35000000</v>
          </cell>
          <cell r="T58">
            <v>10000000</v>
          </cell>
        </row>
        <row r="59">
          <cell r="A59" t="str">
            <v>גולדר אבי</v>
          </cell>
          <cell r="B59" t="str">
            <v>יוסי אביב</v>
          </cell>
          <cell r="C59" t="e">
            <v>#REF!</v>
          </cell>
          <cell r="D59" t="e">
            <v>#REF!</v>
          </cell>
          <cell r="E59" t="e">
            <v>#REF!</v>
          </cell>
          <cell r="F59"/>
          <cell r="G59"/>
          <cell r="H59"/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סה"כ פרימיום</v>
          </cell>
          <cell r="B60"/>
          <cell r="C60" t="e">
            <v>#REF!</v>
          </cell>
          <cell r="D60" t="e">
            <v>#REF!</v>
          </cell>
          <cell r="E60" t="e">
            <v>#REF!</v>
          </cell>
          <cell r="F60">
            <v>0</v>
          </cell>
          <cell r="G60">
            <v>0</v>
          </cell>
          <cell r="H60">
            <v>0</v>
          </cell>
          <cell r="I60">
            <v>5500000</v>
          </cell>
          <cell r="J60">
            <v>1100000</v>
          </cell>
          <cell r="K60">
            <v>57000000</v>
          </cell>
          <cell r="L60">
            <v>21000000</v>
          </cell>
          <cell r="M60">
            <v>660000</v>
          </cell>
          <cell r="N60">
            <v>104500</v>
          </cell>
          <cell r="O60">
            <v>7866000</v>
          </cell>
          <cell r="P60">
            <v>2898000</v>
          </cell>
          <cell r="Q60">
            <v>5500000</v>
          </cell>
          <cell r="R60">
            <v>1100000</v>
          </cell>
          <cell r="S60">
            <v>57000000</v>
          </cell>
          <cell r="T60">
            <v>21000000</v>
          </cell>
        </row>
        <row r="61">
          <cell r="A61" t="str">
            <v>שירלי בוכריס</v>
          </cell>
          <cell r="B61" t="str">
            <v>איתי אדן</v>
          </cell>
          <cell r="C61" t="e">
            <v>#REF!</v>
          </cell>
          <cell r="D61" t="e">
            <v>#REF!</v>
          </cell>
          <cell r="E61" t="e">
            <v>#REF!</v>
          </cell>
          <cell r="F61"/>
          <cell r="G61"/>
          <cell r="H61"/>
          <cell r="I61">
            <v>1000000</v>
          </cell>
          <cell r="J61">
            <v>100000</v>
          </cell>
          <cell r="K61">
            <v>2500000</v>
          </cell>
          <cell r="L61">
            <v>1500000</v>
          </cell>
          <cell r="M61">
            <v>120000</v>
          </cell>
          <cell r="N61">
            <v>9500</v>
          </cell>
          <cell r="O61">
            <v>345000</v>
          </cell>
          <cell r="P61">
            <v>207000.00000000003</v>
          </cell>
          <cell r="Q61">
            <v>10000000</v>
          </cell>
          <cell r="R61">
            <v>100000</v>
          </cell>
          <cell r="S61">
            <v>2500000</v>
          </cell>
          <cell r="T61">
            <v>1500000</v>
          </cell>
        </row>
        <row r="62">
          <cell r="A62" t="str">
            <v>אילנית כהן</v>
          </cell>
          <cell r="B62" t="str">
            <v>איתי אדן</v>
          </cell>
          <cell r="C62"/>
          <cell r="D62"/>
          <cell r="E62"/>
          <cell r="F62"/>
          <cell r="G62"/>
          <cell r="H62"/>
          <cell r="I62">
            <v>100000</v>
          </cell>
          <cell r="J62">
            <v>100000</v>
          </cell>
          <cell r="K62">
            <v>2000000</v>
          </cell>
          <cell r="L62">
            <v>1500000</v>
          </cell>
          <cell r="M62"/>
          <cell r="N62"/>
          <cell r="O62"/>
          <cell r="P62"/>
          <cell r="Q62">
            <v>18500000</v>
          </cell>
          <cell r="R62">
            <v>100000</v>
          </cell>
          <cell r="S62">
            <v>2000000</v>
          </cell>
          <cell r="T62">
            <v>1500000</v>
          </cell>
        </row>
        <row r="63">
          <cell r="A63" t="str">
            <v>מחמוד פארס</v>
          </cell>
          <cell r="B63" t="str">
            <v>איתי אדן</v>
          </cell>
          <cell r="C63" t="e">
            <v>#REF!</v>
          </cell>
          <cell r="D63" t="e">
            <v>#REF!</v>
          </cell>
          <cell r="E63" t="e">
            <v>#REF!</v>
          </cell>
          <cell r="F63"/>
          <cell r="G63"/>
          <cell r="H63"/>
          <cell r="I63"/>
          <cell r="J63">
            <v>100000</v>
          </cell>
          <cell r="K63"/>
          <cell r="L63"/>
          <cell r="M63">
            <v>0</v>
          </cell>
          <cell r="N63">
            <v>9500</v>
          </cell>
          <cell r="O63">
            <v>0</v>
          </cell>
          <cell r="P63">
            <v>0</v>
          </cell>
          <cell r="Q63">
            <v>34000000</v>
          </cell>
          <cell r="R63">
            <v>100000</v>
          </cell>
          <cell r="S63">
            <v>0</v>
          </cell>
          <cell r="T63">
            <v>0</v>
          </cell>
        </row>
        <row r="64">
          <cell r="A64" t="str">
            <v>חאטר וסים</v>
          </cell>
          <cell r="B64" t="str">
            <v>איתי אדן</v>
          </cell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>
            <v>68000000</v>
          </cell>
          <cell r="R64">
            <v>0</v>
          </cell>
          <cell r="S64">
            <v>0</v>
          </cell>
          <cell r="T64">
            <v>0</v>
          </cell>
        </row>
        <row r="65">
          <cell r="A65" t="str">
            <v>סטולרז אסף</v>
          </cell>
          <cell r="B65" t="str">
            <v>איתי אדן</v>
          </cell>
          <cell r="C65" t="e">
            <v>#REF!</v>
          </cell>
          <cell r="D65" t="e">
            <v>#REF!</v>
          </cell>
          <cell r="E65" t="e">
            <v>#REF!</v>
          </cell>
          <cell r="F65"/>
          <cell r="G65"/>
          <cell r="H65"/>
          <cell r="I65">
            <v>500000</v>
          </cell>
          <cell r="J65">
            <v>80000</v>
          </cell>
          <cell r="K65">
            <v>7000000</v>
          </cell>
          <cell r="L65">
            <v>1000000</v>
          </cell>
          <cell r="M65">
            <v>60000</v>
          </cell>
          <cell r="N65">
            <v>7600</v>
          </cell>
          <cell r="O65">
            <v>966000.00000000012</v>
          </cell>
          <cell r="P65">
            <v>138000</v>
          </cell>
          <cell r="Q65">
            <v>130500000</v>
          </cell>
          <cell r="R65">
            <v>80000</v>
          </cell>
          <cell r="S65">
            <v>7000000</v>
          </cell>
          <cell r="T65">
            <v>1000000</v>
          </cell>
        </row>
        <row r="66">
          <cell r="A66" t="str">
            <v>עאטף עדווי</v>
          </cell>
          <cell r="B66" t="str">
            <v>איתי אדן</v>
          </cell>
          <cell r="C66" t="e">
            <v>#REF!</v>
          </cell>
          <cell r="D66" t="e">
            <v>#REF!</v>
          </cell>
          <cell r="E66" t="e">
            <v>#REF!</v>
          </cell>
          <cell r="F66"/>
          <cell r="G66"/>
          <cell r="H66"/>
          <cell r="I66"/>
          <cell r="J66">
            <v>40000</v>
          </cell>
          <cell r="K66"/>
          <cell r="L66"/>
          <cell r="M66">
            <v>0</v>
          </cell>
          <cell r="N66">
            <v>3800</v>
          </cell>
          <cell r="O66">
            <v>0</v>
          </cell>
          <cell r="P66">
            <v>0</v>
          </cell>
          <cell r="Q66">
            <v>251000000</v>
          </cell>
          <cell r="R66">
            <v>40000</v>
          </cell>
          <cell r="S66">
            <v>0</v>
          </cell>
          <cell r="T66">
            <v>0</v>
          </cell>
        </row>
        <row r="67">
          <cell r="A67" t="str">
            <v>גול זאב</v>
          </cell>
          <cell r="B67" t="str">
            <v>איתי אדן</v>
          </cell>
          <cell r="C67" t="e">
            <v>#REF!</v>
          </cell>
          <cell r="D67" t="e">
            <v>#REF!</v>
          </cell>
          <cell r="E67" t="e">
            <v>#REF!</v>
          </cell>
          <cell r="F67"/>
          <cell r="G67"/>
          <cell r="H67"/>
          <cell r="I67">
            <v>4000000</v>
          </cell>
          <cell r="J67">
            <v>350000</v>
          </cell>
          <cell r="K67">
            <v>4000000</v>
          </cell>
          <cell r="L67">
            <v>4000000</v>
          </cell>
          <cell r="M67">
            <v>480000</v>
          </cell>
          <cell r="N67">
            <v>33250</v>
          </cell>
          <cell r="O67">
            <v>552000</v>
          </cell>
          <cell r="P67">
            <v>552000</v>
          </cell>
          <cell r="Q67">
            <v>483500000</v>
          </cell>
          <cell r="R67">
            <v>350000</v>
          </cell>
          <cell r="S67">
            <v>4000000</v>
          </cell>
          <cell r="T67">
            <v>4000000</v>
          </cell>
        </row>
        <row r="68">
          <cell r="A68" t="str">
            <v>רן בסין</v>
          </cell>
          <cell r="B68" t="str">
            <v>איתי אדן</v>
          </cell>
          <cell r="C68" t="e">
            <v>#REF!</v>
          </cell>
          <cell r="D68" t="e">
            <v>#REF!</v>
          </cell>
          <cell r="E68" t="e">
            <v>#REF!</v>
          </cell>
          <cell r="F68"/>
          <cell r="G68"/>
          <cell r="H68"/>
          <cell r="I68"/>
          <cell r="J68"/>
          <cell r="K68"/>
          <cell r="L68"/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933000000</v>
          </cell>
          <cell r="R68">
            <v>0</v>
          </cell>
          <cell r="S68">
            <v>0</v>
          </cell>
          <cell r="T68">
            <v>0</v>
          </cell>
        </row>
        <row r="69">
          <cell r="A69" t="str">
            <v>אביב מור יוסף</v>
          </cell>
          <cell r="B69" t="str">
            <v>איתי אדן</v>
          </cell>
          <cell r="C69" t="e">
            <v>#REF!</v>
          </cell>
          <cell r="D69" t="e">
            <v>#REF!</v>
          </cell>
          <cell r="E69" t="e">
            <v>#REF!</v>
          </cell>
          <cell r="F69"/>
          <cell r="G69"/>
          <cell r="H69"/>
          <cell r="I69">
            <v>1000000</v>
          </cell>
          <cell r="J69">
            <v>200000</v>
          </cell>
          <cell r="K69">
            <v>2500000</v>
          </cell>
          <cell r="L69">
            <v>10000000</v>
          </cell>
          <cell r="M69">
            <v>120000</v>
          </cell>
          <cell r="N69">
            <v>19000</v>
          </cell>
          <cell r="O69">
            <v>345000</v>
          </cell>
          <cell r="P69">
            <v>1380000</v>
          </cell>
          <cell r="Q69">
            <v>1798000000</v>
          </cell>
          <cell r="R69">
            <v>200000</v>
          </cell>
          <cell r="S69">
            <v>2500000</v>
          </cell>
          <cell r="T69">
            <v>10000000</v>
          </cell>
        </row>
        <row r="70">
          <cell r="A70" t="str">
            <v>גל אלמגור קפיטל</v>
          </cell>
          <cell r="B70" t="str">
            <v>איתי אדן</v>
          </cell>
          <cell r="C70"/>
          <cell r="D70"/>
          <cell r="E70"/>
          <cell r="F70"/>
          <cell r="G70"/>
          <cell r="H70"/>
          <cell r="I70">
            <v>1000000</v>
          </cell>
          <cell r="J70">
            <v>150000</v>
          </cell>
          <cell r="K70">
            <v>5000000</v>
          </cell>
          <cell r="L70">
            <v>2000000</v>
          </cell>
          <cell r="M70">
            <v>120000</v>
          </cell>
          <cell r="N70">
            <v>14250</v>
          </cell>
          <cell r="O70">
            <v>690000</v>
          </cell>
          <cell r="P70">
            <v>276000</v>
          </cell>
          <cell r="Q70"/>
          <cell r="R70">
            <v>150000</v>
          </cell>
          <cell r="S70">
            <v>5000000</v>
          </cell>
          <cell r="T70">
            <v>2000000</v>
          </cell>
        </row>
        <row r="71">
          <cell r="A71" t="str">
            <v>סה"כ גל אלמגור מרכז קפיטל</v>
          </cell>
          <cell r="B71" t="str">
            <v>איתי אדן</v>
          </cell>
          <cell r="C71"/>
          <cell r="D71"/>
          <cell r="E71"/>
          <cell r="F71"/>
          <cell r="G71"/>
          <cell r="H71"/>
          <cell r="I71">
            <v>7600000</v>
          </cell>
          <cell r="J71">
            <v>1120000</v>
          </cell>
          <cell r="K71">
            <v>23000000</v>
          </cell>
          <cell r="L71">
            <v>20000000</v>
          </cell>
          <cell r="M71">
            <v>780000</v>
          </cell>
          <cell r="N71">
            <v>82650</v>
          </cell>
          <cell r="O71">
            <v>2208000</v>
          </cell>
          <cell r="P71">
            <v>2277000</v>
          </cell>
          <cell r="Q71"/>
          <cell r="R71"/>
          <cell r="S71"/>
          <cell r="T71"/>
        </row>
        <row r="72">
          <cell r="A72" t="str">
            <v>סה"כ כולל</v>
          </cell>
          <cell r="B72"/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>
            <v>54650000</v>
          </cell>
          <cell r="J72">
            <v>9180000</v>
          </cell>
          <cell r="K72">
            <v>226000000</v>
          </cell>
          <cell r="L72">
            <v>219900000</v>
          </cell>
          <cell r="M72">
            <v>6402000</v>
          </cell>
          <cell r="N72">
            <v>838850</v>
          </cell>
          <cell r="O72">
            <v>30153000</v>
          </cell>
          <cell r="P72">
            <v>29780400</v>
          </cell>
          <cell r="Q72">
            <v>47050000</v>
          </cell>
          <cell r="R72">
            <v>8060000</v>
          </cell>
          <cell r="S72">
            <v>203000000</v>
          </cell>
          <cell r="T72">
            <v>199900000</v>
          </cell>
        </row>
        <row r="73">
          <cell r="R73"/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גיליון1"/>
      <sheetName val="גיליון2"/>
    </sheetNames>
    <sheetDataSet>
      <sheetData sheetId="0">
        <row r="1">
          <cell r="A1"/>
          <cell r="B1"/>
          <cell r="C1" t="str">
            <v>שינוי מול אשתקד %</v>
          </cell>
          <cell r="D1"/>
          <cell r="E1"/>
          <cell r="F1" t="str">
            <v>תפוקה מצטברת 12/2024</v>
          </cell>
          <cell r="G1"/>
          <cell r="H1"/>
          <cell r="I1" t="str">
            <v>יעד 2024</v>
          </cell>
          <cell r="M1" t="str">
            <v>התפלגות חודשית</v>
          </cell>
          <cell r="N1"/>
          <cell r="O1"/>
          <cell r="P1"/>
          <cell r="Q1" t="str">
            <v>התפלגות שנתית (מצטבר)</v>
          </cell>
          <cell r="R1"/>
          <cell r="S1"/>
          <cell r="T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M2" t="str">
            <v>פנסיוני</v>
          </cell>
          <cell r="N2" t="str">
            <v>סיכונים</v>
          </cell>
          <cell r="O2" t="str">
            <v>פיננסים</v>
          </cell>
          <cell r="P2" t="str">
            <v>ניוד פנסיה</v>
          </cell>
          <cell r="Q2" t="str">
            <v>פנסיוני</v>
          </cell>
          <cell r="R2" t="str">
            <v>סיכונים</v>
          </cell>
          <cell r="S2" t="str">
            <v>פיננסים</v>
          </cell>
          <cell r="T2" t="str">
            <v>ניוד פנסיה</v>
          </cell>
        </row>
        <row r="3">
          <cell r="A3" t="str">
            <v>שם סוכן</v>
          </cell>
          <cell r="B3" t="str">
            <v xml:space="preserve">מפקח </v>
          </cell>
          <cell r="C3" t="str">
            <v>פנסיוני</v>
          </cell>
          <cell r="D3" t="str">
            <v>סיכונים</v>
          </cell>
          <cell r="E3" t="str">
            <v xml:space="preserve">פיננסים </v>
          </cell>
          <cell r="F3" t="str">
            <v>פנסיוני</v>
          </cell>
          <cell r="G3" t="str">
            <v xml:space="preserve">סיכונים </v>
          </cell>
          <cell r="H3" t="str">
            <v>פיננסים</v>
          </cell>
          <cell r="I3" t="str">
            <v>פנסיוני</v>
          </cell>
          <cell r="J3" t="str">
            <v>סיכונים</v>
          </cell>
          <cell r="K3" t="str">
            <v>פיננסים</v>
          </cell>
          <cell r="L3" t="str">
            <v>ניוד פנסיה</v>
          </cell>
          <cell r="M3">
            <v>0.12</v>
          </cell>
          <cell r="N3">
            <v>9.5000000000000001E-2</v>
          </cell>
          <cell r="O3">
            <v>0.13800000000000001</v>
          </cell>
          <cell r="P3">
            <v>0.13800000000000001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</row>
        <row r="4">
          <cell r="A4" t="str">
            <v>גל אלמגור סוכ</v>
          </cell>
          <cell r="B4" t="str">
            <v>לא מפוקחים</v>
          </cell>
          <cell r="C4" t="e">
            <v>#REF!</v>
          </cell>
          <cell r="D4" t="e">
            <v>#REF!</v>
          </cell>
          <cell r="E4" t="e">
            <v>#REF!</v>
          </cell>
          <cell r="F4">
            <v>3977155.6665585595</v>
          </cell>
          <cell r="G4">
            <v>1802368.0374497559</v>
          </cell>
          <cell r="H4">
            <v>18248874.458978634</v>
          </cell>
          <cell r="I4">
            <v>25000000</v>
          </cell>
          <cell r="J4">
            <v>1500000</v>
          </cell>
          <cell r="K4">
            <v>50000000</v>
          </cell>
          <cell r="L4">
            <v>50000000</v>
          </cell>
          <cell r="M4">
            <v>3000000</v>
          </cell>
          <cell r="N4">
            <v>142500</v>
          </cell>
          <cell r="O4">
            <v>6900000.0000000009</v>
          </cell>
          <cell r="P4">
            <v>6900000.0000000009</v>
          </cell>
          <cell r="Q4">
            <v>25000000</v>
          </cell>
          <cell r="R4">
            <v>1500000</v>
          </cell>
          <cell r="S4">
            <v>50000000</v>
          </cell>
          <cell r="T4">
            <v>50000000</v>
          </cell>
        </row>
        <row r="5">
          <cell r="A5" t="str">
            <v>דניאלה אביב</v>
          </cell>
          <cell r="B5" t="str">
            <v>לא מפוקחים</v>
          </cell>
          <cell r="C5" t="e">
            <v>#REF!</v>
          </cell>
          <cell r="D5" t="e">
            <v>#REF!</v>
          </cell>
          <cell r="E5" t="e">
            <v>#REF!</v>
          </cell>
          <cell r="F5">
            <v>999649.92497237399</v>
          </cell>
          <cell r="G5">
            <v>13595.314131000236</v>
          </cell>
          <cell r="H5">
            <v>11092477</v>
          </cell>
          <cell r="I5"/>
          <cell r="J5"/>
          <cell r="K5"/>
          <cell r="L5"/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6">
          <cell r="A6" t="str">
            <v>סה"כ ישיר</v>
          </cell>
          <cell r="B6"/>
          <cell r="C6" t="e">
            <v>#REF!</v>
          </cell>
          <cell r="D6" t="e">
            <v>#REF!</v>
          </cell>
          <cell r="E6" t="e">
            <v>#REF!</v>
          </cell>
          <cell r="F6">
            <v>4976805.591530934</v>
          </cell>
          <cell r="G6">
            <v>1815963.3515807563</v>
          </cell>
          <cell r="H6">
            <v>29341351.458978634</v>
          </cell>
          <cell r="I6">
            <v>25000000</v>
          </cell>
          <cell r="J6">
            <v>1500000</v>
          </cell>
          <cell r="K6">
            <v>50000000</v>
          </cell>
          <cell r="L6">
            <v>50000000</v>
          </cell>
          <cell r="M6">
            <v>3000000</v>
          </cell>
          <cell r="N6">
            <v>142500</v>
          </cell>
          <cell r="O6">
            <v>6900000.0000000009</v>
          </cell>
          <cell r="P6">
            <v>6900000.0000000009</v>
          </cell>
          <cell r="Q6">
            <v>25000000</v>
          </cell>
          <cell r="R6">
            <v>1500000</v>
          </cell>
          <cell r="S6">
            <v>50000000</v>
          </cell>
          <cell r="T6">
            <v>50000000</v>
          </cell>
        </row>
        <row r="7">
          <cell r="A7" t="str">
            <v>בראשית סוכנות לביטוח</v>
          </cell>
          <cell r="B7" t="str">
            <v>לא מפוקחים</v>
          </cell>
          <cell r="C7" t="e">
            <v>#REF!</v>
          </cell>
          <cell r="D7" t="e">
            <v>#REF!</v>
          </cell>
          <cell r="E7" t="e">
            <v>#REF!</v>
          </cell>
          <cell r="F7">
            <v>-10401.864805670701</v>
          </cell>
          <cell r="G7">
            <v>83.18</v>
          </cell>
          <cell r="H7">
            <v>0</v>
          </cell>
          <cell r="I7"/>
          <cell r="J7"/>
          <cell r="K7"/>
          <cell r="L7"/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A8" t="str">
            <v>גל אלמגור דאוד סוכ' לב</v>
          </cell>
          <cell r="B8" t="str">
            <v>לא מפוקחים</v>
          </cell>
          <cell r="C8" t="e">
            <v>#REF!</v>
          </cell>
          <cell r="D8" t="e">
            <v>#REF!</v>
          </cell>
          <cell r="E8" t="e">
            <v>#REF!</v>
          </cell>
          <cell r="F8">
            <v>872724.25167165673</v>
          </cell>
          <cell r="G8">
            <v>609949.56194031402</v>
          </cell>
          <cell r="H8">
            <v>217018.71662516659</v>
          </cell>
          <cell r="I8">
            <v>2500000</v>
          </cell>
          <cell r="J8">
            <v>1000000</v>
          </cell>
          <cell r="K8">
            <v>1000000</v>
          </cell>
          <cell r="L8">
            <v>2500000</v>
          </cell>
          <cell r="M8">
            <v>300000</v>
          </cell>
          <cell r="N8">
            <v>95000</v>
          </cell>
          <cell r="O8">
            <v>138000</v>
          </cell>
          <cell r="P8">
            <v>345000</v>
          </cell>
          <cell r="Q8">
            <v>2500000</v>
          </cell>
          <cell r="R8">
            <v>1000000</v>
          </cell>
          <cell r="S8">
            <v>1000000</v>
          </cell>
          <cell r="T8">
            <v>2500000</v>
          </cell>
        </row>
        <row r="9">
          <cell r="A9" t="str">
            <v>גל אלמגור -וייס סוכנות</v>
          </cell>
          <cell r="B9" t="str">
            <v>לא מפוקחים</v>
          </cell>
          <cell r="C9" t="e">
            <v>#REF!</v>
          </cell>
          <cell r="D9" t="e">
            <v>#REF!</v>
          </cell>
          <cell r="E9" t="e">
            <v>#REF!</v>
          </cell>
          <cell r="F9">
            <v>438788.20876511617</v>
          </cell>
          <cell r="G9">
            <v>186706.12077622363</v>
          </cell>
          <cell r="H9">
            <v>132191.3381338772</v>
          </cell>
          <cell r="I9">
            <v>200000</v>
          </cell>
          <cell r="J9">
            <v>100000</v>
          </cell>
          <cell r="K9">
            <v>1000000</v>
          </cell>
          <cell r="L9">
            <v>500000</v>
          </cell>
          <cell r="M9">
            <v>24000</v>
          </cell>
          <cell r="N9">
            <v>9500</v>
          </cell>
          <cell r="O9">
            <v>138000</v>
          </cell>
          <cell r="P9">
            <v>69000</v>
          </cell>
          <cell r="Q9">
            <v>200000</v>
          </cell>
          <cell r="R9">
            <v>100000</v>
          </cell>
          <cell r="S9">
            <v>1000000</v>
          </cell>
          <cell r="T9">
            <v>500000</v>
          </cell>
        </row>
        <row r="10">
          <cell r="A10" t="str">
            <v>משה שטרן גל אלמגור</v>
          </cell>
          <cell r="B10" t="str">
            <v>לא מפוקחים</v>
          </cell>
          <cell r="C10" t="e">
            <v>#REF!</v>
          </cell>
          <cell r="D10" t="e">
            <v>#REF!</v>
          </cell>
          <cell r="E10" t="e">
            <v>#REF!</v>
          </cell>
          <cell r="F10">
            <v>78836</v>
          </cell>
          <cell r="G10">
            <v>948536.15296836849</v>
          </cell>
          <cell r="H10">
            <v>0</v>
          </cell>
          <cell r="I10"/>
          <cell r="J10">
            <v>450000</v>
          </cell>
          <cell r="K10"/>
          <cell r="L10"/>
          <cell r="M10">
            <v>0</v>
          </cell>
          <cell r="N10">
            <v>42750</v>
          </cell>
          <cell r="O10">
            <v>0</v>
          </cell>
          <cell r="P10">
            <v>0</v>
          </cell>
          <cell r="Q10">
            <v>0</v>
          </cell>
          <cell r="R10">
            <v>450000</v>
          </cell>
          <cell r="S10">
            <v>0</v>
          </cell>
          <cell r="T10">
            <v>0</v>
          </cell>
        </row>
        <row r="11">
          <cell r="A11" t="str">
            <v>מקסימום סוכנות לבטוח פ</v>
          </cell>
          <cell r="B11" t="str">
            <v>לא מפוקחים</v>
          </cell>
          <cell r="C11" t="e">
            <v>#REF!</v>
          </cell>
          <cell r="D11" t="e">
            <v>#REF!</v>
          </cell>
          <cell r="E11" t="e">
            <v>#REF!</v>
          </cell>
          <cell r="F11">
            <v>215471.9863028992</v>
          </cell>
          <cell r="G11">
            <v>200394.19662631411</v>
          </cell>
          <cell r="H11">
            <v>14173984.921839958</v>
          </cell>
          <cell r="I11">
            <v>1000000</v>
          </cell>
          <cell r="J11">
            <v>150000</v>
          </cell>
          <cell r="K11">
            <v>10000000</v>
          </cell>
          <cell r="L11">
            <v>5000000</v>
          </cell>
          <cell r="M11">
            <v>120000</v>
          </cell>
          <cell r="N11">
            <v>14250</v>
          </cell>
          <cell r="O11">
            <v>1380000</v>
          </cell>
          <cell r="P11">
            <v>690000</v>
          </cell>
          <cell r="Q11">
            <v>1000000</v>
          </cell>
          <cell r="R11">
            <v>150000</v>
          </cell>
          <cell r="S11">
            <v>10000000</v>
          </cell>
          <cell r="T11">
            <v>5000000</v>
          </cell>
        </row>
        <row r="12">
          <cell r="A12" t="str">
            <v>סה"כ חברות בנות</v>
          </cell>
          <cell r="B12"/>
          <cell r="C12" t="e">
            <v>#REF!</v>
          </cell>
          <cell r="D12" t="e">
            <v>#REF!</v>
          </cell>
          <cell r="E12" t="e">
            <v>#REF!</v>
          </cell>
          <cell r="F12">
            <v>1595418.5819340013</v>
          </cell>
          <cell r="G12">
            <v>1945669.2123112204</v>
          </cell>
          <cell r="H12">
            <v>14523194.976599002</v>
          </cell>
          <cell r="I12">
            <v>3700000</v>
          </cell>
          <cell r="J12">
            <v>1700000</v>
          </cell>
          <cell r="K12">
            <v>12000000</v>
          </cell>
          <cell r="L12">
            <v>8000000</v>
          </cell>
          <cell r="M12">
            <v>444000</v>
          </cell>
          <cell r="N12">
            <v>161500</v>
          </cell>
          <cell r="O12">
            <v>1656000</v>
          </cell>
          <cell r="P12">
            <v>1104000</v>
          </cell>
          <cell r="Q12">
            <v>3700000</v>
          </cell>
          <cell r="R12">
            <v>1700000</v>
          </cell>
          <cell r="S12">
            <v>12000000</v>
          </cell>
          <cell r="T12">
            <v>8000000</v>
          </cell>
        </row>
        <row r="13">
          <cell r="A13" t="str">
            <v>מועלם אלפרד</v>
          </cell>
          <cell r="B13" t="str">
            <v xml:space="preserve">ערן גירוני </v>
          </cell>
          <cell r="C13" t="e">
            <v>#REF!</v>
          </cell>
          <cell r="D13" t="e">
            <v>#REF!</v>
          </cell>
          <cell r="E13" t="e">
            <v>#REF!</v>
          </cell>
          <cell r="F13">
            <v>861306.71000910201</v>
          </cell>
          <cell r="G13">
            <v>241687.09218499999</v>
          </cell>
          <cell r="H13">
            <v>1255116.4742650001</v>
          </cell>
          <cell r="I13">
            <v>1300000</v>
          </cell>
          <cell r="J13">
            <v>200000</v>
          </cell>
          <cell r="K13">
            <v>2000000</v>
          </cell>
          <cell r="L13">
            <v>3000000</v>
          </cell>
          <cell r="M13">
            <v>156000</v>
          </cell>
          <cell r="N13">
            <v>19000</v>
          </cell>
          <cell r="O13">
            <v>276000</v>
          </cell>
          <cell r="P13">
            <v>414000.00000000006</v>
          </cell>
          <cell r="Q13">
            <v>1300000</v>
          </cell>
          <cell r="R13">
            <v>200000</v>
          </cell>
          <cell r="S13">
            <v>2000000</v>
          </cell>
          <cell r="T13">
            <v>3000000</v>
          </cell>
        </row>
        <row r="14">
          <cell r="A14" t="str">
            <v>גרניק בנימין</v>
          </cell>
          <cell r="B14" t="str">
            <v xml:space="preserve">ערן גירוני </v>
          </cell>
          <cell r="C14" t="e">
            <v>#REF!</v>
          </cell>
          <cell r="D14" t="e">
            <v>#REF!</v>
          </cell>
          <cell r="E14" t="e">
            <v>#REF!</v>
          </cell>
          <cell r="F14">
            <v>252081.77037636924</v>
          </cell>
          <cell r="G14">
            <v>17922.466850653334</v>
          </cell>
          <cell r="H14">
            <v>401471.00403000001</v>
          </cell>
          <cell r="I14"/>
          <cell r="J14">
            <v>20000</v>
          </cell>
          <cell r="K14">
            <v>300000</v>
          </cell>
          <cell r="L14"/>
          <cell r="M14">
            <v>0</v>
          </cell>
          <cell r="N14">
            <v>1900</v>
          </cell>
          <cell r="O14">
            <v>41400</v>
          </cell>
          <cell r="P14">
            <v>0</v>
          </cell>
          <cell r="Q14">
            <v>0</v>
          </cell>
          <cell r="R14">
            <v>20000</v>
          </cell>
          <cell r="S14">
            <v>300000</v>
          </cell>
          <cell r="T14">
            <v>0</v>
          </cell>
        </row>
        <row r="15">
          <cell r="A15" t="str">
            <v>סאוסן שלבי</v>
          </cell>
          <cell r="B15" t="str">
            <v xml:space="preserve">ערן גירוני </v>
          </cell>
          <cell r="C15" t="e">
            <v>#REF!</v>
          </cell>
          <cell r="D15" t="e">
            <v>#REF!</v>
          </cell>
          <cell r="E15" t="e">
            <v>#REF!</v>
          </cell>
          <cell r="F15">
            <v>86121.135677052007</v>
          </cell>
          <cell r="G15">
            <v>85182.178870377233</v>
          </cell>
          <cell r="H15">
            <v>28734.404676438517</v>
          </cell>
          <cell r="I15">
            <v>200000</v>
          </cell>
          <cell r="J15">
            <v>70000</v>
          </cell>
          <cell r="K15">
            <v>200000</v>
          </cell>
          <cell r="L15">
            <v>300000</v>
          </cell>
          <cell r="M15">
            <v>24000</v>
          </cell>
          <cell r="N15">
            <v>6650</v>
          </cell>
          <cell r="O15">
            <v>27600.000000000004</v>
          </cell>
          <cell r="P15">
            <v>41400</v>
          </cell>
          <cell r="Q15">
            <v>200000</v>
          </cell>
          <cell r="R15">
            <v>70000</v>
          </cell>
          <cell r="S15">
            <v>200000</v>
          </cell>
          <cell r="T15">
            <v>300000</v>
          </cell>
        </row>
        <row r="16">
          <cell r="A16" t="str">
            <v>סברא סמיר</v>
          </cell>
          <cell r="B16" t="str">
            <v xml:space="preserve">ערן גירוני </v>
          </cell>
          <cell r="C16" t="e">
            <v>#REF!</v>
          </cell>
          <cell r="D16" t="e">
            <v>#REF!</v>
          </cell>
          <cell r="E16" t="e">
            <v>#REF!</v>
          </cell>
          <cell r="F16">
            <v>1671127.6488919049</v>
          </cell>
          <cell r="G16">
            <v>337134.85362821491</v>
          </cell>
          <cell r="H16">
            <v>2917106</v>
          </cell>
          <cell r="I16">
            <v>3000000</v>
          </cell>
          <cell r="J16">
            <v>400000</v>
          </cell>
          <cell r="K16">
            <v>4000000</v>
          </cell>
          <cell r="L16">
            <v>3000000</v>
          </cell>
          <cell r="M16">
            <v>360000</v>
          </cell>
          <cell r="N16">
            <v>38000</v>
          </cell>
          <cell r="O16">
            <v>552000</v>
          </cell>
          <cell r="P16">
            <v>414000.00000000006</v>
          </cell>
          <cell r="Q16">
            <v>3000000</v>
          </cell>
          <cell r="R16">
            <v>400000</v>
          </cell>
          <cell r="S16">
            <v>4000000</v>
          </cell>
          <cell r="T16">
            <v>3000000</v>
          </cell>
        </row>
        <row r="17">
          <cell r="A17" t="str">
            <v>מחמוד פארס</v>
          </cell>
          <cell r="B17" t="str">
            <v xml:space="preserve">ערן גירוני </v>
          </cell>
          <cell r="C17" t="e">
            <v>#REF!</v>
          </cell>
          <cell r="D17" t="e">
            <v>#REF!</v>
          </cell>
          <cell r="E17" t="e">
            <v>#REF!</v>
          </cell>
          <cell r="F17">
            <v>8069.664636496801</v>
          </cell>
          <cell r="G17">
            <v>0</v>
          </cell>
          <cell r="H17">
            <v>0</v>
          </cell>
          <cell r="I17"/>
          <cell r="J17"/>
          <cell r="K17"/>
          <cell r="L17"/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 t="str">
            <v>ריזק חלבי</v>
          </cell>
          <cell r="B18" t="str">
            <v xml:space="preserve">ערן גירוני </v>
          </cell>
          <cell r="C18" t="e">
            <v>#REF!</v>
          </cell>
          <cell r="D18" t="e">
            <v>#REF!</v>
          </cell>
          <cell r="E18" t="e">
            <v>#REF!</v>
          </cell>
          <cell r="F18">
            <v>707752.87396321993</v>
          </cell>
          <cell r="G18">
            <v>474000.36316176539</v>
          </cell>
          <cell r="H18">
            <v>19123.056339999999</v>
          </cell>
          <cell r="I18">
            <v>600000</v>
          </cell>
          <cell r="J18">
            <v>700000</v>
          </cell>
          <cell r="K18">
            <v>1000000</v>
          </cell>
          <cell r="L18">
            <v>1000000</v>
          </cell>
          <cell r="M18">
            <v>72000</v>
          </cell>
          <cell r="N18">
            <v>66500</v>
          </cell>
          <cell r="O18">
            <v>138000</v>
          </cell>
          <cell r="P18">
            <v>138000</v>
          </cell>
          <cell r="Q18">
            <v>600000</v>
          </cell>
          <cell r="R18">
            <v>700000</v>
          </cell>
          <cell r="S18">
            <v>1000000</v>
          </cell>
          <cell r="T18">
            <v>1000000</v>
          </cell>
        </row>
        <row r="19">
          <cell r="A19" t="str">
            <v>שלבי מיסון</v>
          </cell>
          <cell r="B19" t="str">
            <v xml:space="preserve">ערן גירוני </v>
          </cell>
          <cell r="C19" t="e">
            <v>#REF!</v>
          </cell>
          <cell r="D19" t="e">
            <v>#REF!</v>
          </cell>
          <cell r="E19" t="e">
            <v>#REF!</v>
          </cell>
          <cell r="F19">
            <v>297683</v>
          </cell>
          <cell r="G19">
            <v>110965</v>
          </cell>
          <cell r="H19">
            <v>480165</v>
          </cell>
          <cell r="I19">
            <v>400000</v>
          </cell>
          <cell r="J19">
            <v>100000</v>
          </cell>
          <cell r="K19">
            <v>1000000</v>
          </cell>
          <cell r="L19">
            <v>500000</v>
          </cell>
          <cell r="M19">
            <v>48000</v>
          </cell>
          <cell r="N19">
            <v>9500</v>
          </cell>
          <cell r="O19">
            <v>138000</v>
          </cell>
          <cell r="P19">
            <v>69000</v>
          </cell>
          <cell r="Q19">
            <v>400000</v>
          </cell>
          <cell r="R19">
            <v>100000</v>
          </cell>
          <cell r="S19">
            <v>1000000</v>
          </cell>
          <cell r="T19">
            <v>500000</v>
          </cell>
        </row>
        <row r="20">
          <cell r="A20" t="str">
            <v>בחוס יוסף</v>
          </cell>
          <cell r="B20" t="str">
            <v xml:space="preserve">ערן גירוני </v>
          </cell>
          <cell r="C20" t="e">
            <v>#REF!</v>
          </cell>
          <cell r="D20" t="e">
            <v>#REF!</v>
          </cell>
          <cell r="E20" t="e">
            <v>#REF!</v>
          </cell>
          <cell r="F20">
            <v>1432323.2177314938</v>
          </cell>
          <cell r="G20">
            <v>231680.30438288359</v>
          </cell>
          <cell r="H20">
            <v>1342796</v>
          </cell>
          <cell r="I20">
            <v>1500000</v>
          </cell>
          <cell r="J20">
            <v>200000</v>
          </cell>
          <cell r="K20">
            <v>2000000</v>
          </cell>
          <cell r="L20">
            <v>700000</v>
          </cell>
          <cell r="M20">
            <v>180000</v>
          </cell>
          <cell r="N20">
            <v>19000</v>
          </cell>
          <cell r="O20">
            <v>276000</v>
          </cell>
          <cell r="P20">
            <v>96600.000000000015</v>
          </cell>
          <cell r="Q20">
            <v>1500000</v>
          </cell>
          <cell r="R20">
            <v>200000</v>
          </cell>
          <cell r="S20">
            <v>2000000</v>
          </cell>
          <cell r="T20">
            <v>700000</v>
          </cell>
        </row>
        <row r="21">
          <cell r="A21" t="str">
            <v>קליין סיון</v>
          </cell>
          <cell r="B21" t="str">
            <v xml:space="preserve">ערן גירוני </v>
          </cell>
          <cell r="C21" t="e">
            <v>#REF!</v>
          </cell>
          <cell r="D21" t="e">
            <v>#REF!</v>
          </cell>
          <cell r="E21" t="e">
            <v>#REF!</v>
          </cell>
          <cell r="F21">
            <v>1041286.0939165966</v>
          </cell>
          <cell r="G21">
            <v>156892.02884676223</v>
          </cell>
          <cell r="H21">
            <v>6283724.373435</v>
          </cell>
          <cell r="I21">
            <v>1000000</v>
          </cell>
          <cell r="J21">
            <v>200000</v>
          </cell>
          <cell r="K21">
            <v>4000000</v>
          </cell>
          <cell r="L21">
            <v>2500000</v>
          </cell>
          <cell r="M21">
            <v>120000</v>
          </cell>
          <cell r="N21">
            <v>19000</v>
          </cell>
          <cell r="O21">
            <v>552000</v>
          </cell>
          <cell r="P21">
            <v>345000</v>
          </cell>
          <cell r="Q21">
            <v>1000000</v>
          </cell>
          <cell r="R21">
            <v>200000</v>
          </cell>
          <cell r="S21">
            <v>4000000</v>
          </cell>
          <cell r="T21">
            <v>2500000</v>
          </cell>
        </row>
        <row r="22">
          <cell r="A22" t="str">
            <v>צקותאי אורי</v>
          </cell>
          <cell r="B22" t="str">
            <v xml:space="preserve">ערן גירוני </v>
          </cell>
          <cell r="C22" t="e">
            <v>#REF!</v>
          </cell>
          <cell r="D22" t="e">
            <v>#REF!</v>
          </cell>
          <cell r="E22" t="e">
            <v>#REF!</v>
          </cell>
          <cell r="F22">
            <v>19081</v>
          </cell>
          <cell r="G22">
            <v>23112</v>
          </cell>
          <cell r="H22">
            <v>0</v>
          </cell>
          <cell r="I22"/>
          <cell r="J22"/>
          <cell r="K22"/>
          <cell r="L22"/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 t="str">
            <v>סמיר בלאן</v>
          </cell>
          <cell r="B23" t="str">
            <v xml:space="preserve">ערן גירוני </v>
          </cell>
          <cell r="C23" t="e">
            <v>#REF!</v>
          </cell>
          <cell r="D23" t="e">
            <v>#REF!</v>
          </cell>
          <cell r="E23" t="e">
            <v>#REF!</v>
          </cell>
          <cell r="F23">
            <v>246191.49217677602</v>
          </cell>
          <cell r="G23">
            <v>13169.402716308416</v>
          </cell>
          <cell r="H23">
            <v>240963.2303375639</v>
          </cell>
          <cell r="I23">
            <v>400000</v>
          </cell>
          <cell r="J23">
            <v>50000</v>
          </cell>
          <cell r="K23">
            <v>500000</v>
          </cell>
          <cell r="L23">
            <v>200000</v>
          </cell>
          <cell r="M23">
            <v>48000</v>
          </cell>
          <cell r="N23">
            <v>4750</v>
          </cell>
          <cell r="O23">
            <v>69000</v>
          </cell>
          <cell r="P23">
            <v>27600.000000000004</v>
          </cell>
          <cell r="Q23">
            <v>400000</v>
          </cell>
          <cell r="R23">
            <v>50000</v>
          </cell>
          <cell r="S23">
            <v>500000</v>
          </cell>
          <cell r="T23">
            <v>200000</v>
          </cell>
        </row>
        <row r="24">
          <cell r="A24" t="str">
            <v>רפלוביץ מרינה</v>
          </cell>
          <cell r="B24" t="str">
            <v xml:space="preserve">ערן גירוני </v>
          </cell>
          <cell r="C24" t="e">
            <v>#REF!</v>
          </cell>
          <cell r="D24" t="e">
            <v>#REF!</v>
          </cell>
          <cell r="E24" t="e">
            <v>#REF!</v>
          </cell>
          <cell r="F24">
            <v>20841.401170492209</v>
          </cell>
          <cell r="G24">
            <v>36473.915722317135</v>
          </cell>
          <cell r="H24">
            <v>1999503.4212082336</v>
          </cell>
          <cell r="I24">
            <v>300000</v>
          </cell>
          <cell r="J24">
            <v>70000</v>
          </cell>
          <cell r="K24">
            <v>1000000</v>
          </cell>
          <cell r="L24">
            <v>500000</v>
          </cell>
          <cell r="M24">
            <v>36000</v>
          </cell>
          <cell r="N24">
            <v>6650</v>
          </cell>
          <cell r="O24">
            <v>138000</v>
          </cell>
          <cell r="P24">
            <v>69000</v>
          </cell>
          <cell r="Q24">
            <v>300000</v>
          </cell>
          <cell r="R24">
            <v>70000</v>
          </cell>
          <cell r="S24">
            <v>1000000</v>
          </cell>
          <cell r="T24">
            <v>500000</v>
          </cell>
        </row>
        <row r="25">
          <cell r="A25" t="str">
            <v>רן בסין</v>
          </cell>
          <cell r="B25" t="str">
            <v xml:space="preserve">ערן גירוני </v>
          </cell>
          <cell r="C25" t="e">
            <v>#REF!</v>
          </cell>
          <cell r="D25" t="e">
            <v>#REF!</v>
          </cell>
          <cell r="E25" t="e">
            <v>#REF!</v>
          </cell>
          <cell r="F25">
            <v>50740</v>
          </cell>
          <cell r="G25">
            <v>8863.06</v>
          </cell>
          <cell r="H25">
            <v>0</v>
          </cell>
          <cell r="I25"/>
          <cell r="J25"/>
          <cell r="K25"/>
          <cell r="L25"/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 t="str">
            <v>אלקרינאוי ראוף</v>
          </cell>
          <cell r="B26" t="str">
            <v xml:space="preserve">ערן גירוני </v>
          </cell>
          <cell r="C26" t="e">
            <v>#REF!</v>
          </cell>
          <cell r="D26" t="e">
            <v>#REF!</v>
          </cell>
          <cell r="E26" t="e">
            <v>#REF!</v>
          </cell>
          <cell r="F26">
            <v>0</v>
          </cell>
          <cell r="G26">
            <v>52615</v>
          </cell>
          <cell r="H26">
            <v>0</v>
          </cell>
          <cell r="I26"/>
          <cell r="J26">
            <v>50000</v>
          </cell>
          <cell r="K26"/>
          <cell r="L26"/>
          <cell r="M26">
            <v>0</v>
          </cell>
          <cell r="N26">
            <v>4750</v>
          </cell>
          <cell r="O26">
            <v>0</v>
          </cell>
          <cell r="P26">
            <v>0</v>
          </cell>
          <cell r="Q26">
            <v>0</v>
          </cell>
          <cell r="R26">
            <v>50000</v>
          </cell>
          <cell r="S26">
            <v>0</v>
          </cell>
          <cell r="T26">
            <v>0</v>
          </cell>
        </row>
        <row r="27">
          <cell r="A27" t="str">
            <v>דאי גדי</v>
          </cell>
          <cell r="B27" t="str">
            <v xml:space="preserve">ערן גירוני </v>
          </cell>
          <cell r="C27" t="e">
            <v>#REF!</v>
          </cell>
          <cell r="D27" t="e">
            <v>#REF!</v>
          </cell>
          <cell r="E27" t="e">
            <v>#REF!</v>
          </cell>
          <cell r="F27">
            <v>2049855.1864713421</v>
          </cell>
          <cell r="G27">
            <v>267355.40908744017</v>
          </cell>
          <cell r="H27">
            <v>1731999.4921542429</v>
          </cell>
          <cell r="I27">
            <v>4000000</v>
          </cell>
          <cell r="J27">
            <v>450000</v>
          </cell>
          <cell r="K27">
            <v>12000000</v>
          </cell>
          <cell r="L27">
            <v>10000000</v>
          </cell>
          <cell r="M27">
            <v>480000</v>
          </cell>
          <cell r="N27">
            <v>42750</v>
          </cell>
          <cell r="O27">
            <v>1656000.0000000002</v>
          </cell>
          <cell r="P27">
            <v>1380000</v>
          </cell>
          <cell r="Q27">
            <v>4000000</v>
          </cell>
          <cell r="R27">
            <v>450000</v>
          </cell>
          <cell r="S27">
            <v>12000000</v>
          </cell>
          <cell r="T27">
            <v>10000000</v>
          </cell>
        </row>
        <row r="28">
          <cell r="A28" t="str">
            <v>מילאד אבו שקארה</v>
          </cell>
          <cell r="B28" t="str">
            <v xml:space="preserve">ערן גירוני </v>
          </cell>
          <cell r="C28" t="e">
            <v>#REF!</v>
          </cell>
          <cell r="D28" t="e">
            <v>#REF!</v>
          </cell>
          <cell r="E28" t="e">
            <v>#REF!</v>
          </cell>
          <cell r="F28">
            <v>29806</v>
          </cell>
          <cell r="G28">
            <v>86503</v>
          </cell>
          <cell r="H28">
            <v>16410</v>
          </cell>
          <cell r="I28">
            <v>100000</v>
          </cell>
          <cell r="J28">
            <v>100000</v>
          </cell>
          <cell r="K28">
            <v>100000</v>
          </cell>
          <cell r="L28">
            <v>1000000</v>
          </cell>
          <cell r="M28">
            <v>12000</v>
          </cell>
          <cell r="N28">
            <v>9500</v>
          </cell>
          <cell r="O28">
            <v>13800.000000000002</v>
          </cell>
          <cell r="P28">
            <v>138000</v>
          </cell>
          <cell r="Q28">
            <v>100000</v>
          </cell>
          <cell r="R28">
            <v>100000</v>
          </cell>
          <cell r="S28">
            <v>100000</v>
          </cell>
          <cell r="T28">
            <v>1000000</v>
          </cell>
        </row>
        <row r="29">
          <cell r="A29" t="str">
            <v>דראושה אדהם</v>
          </cell>
          <cell r="B29" t="str">
            <v xml:space="preserve">ערן גירוני </v>
          </cell>
          <cell r="C29" t="e">
            <v>#REF!</v>
          </cell>
          <cell r="D29" t="e">
            <v>#REF!</v>
          </cell>
          <cell r="E29" t="e">
            <v>#REF!</v>
          </cell>
          <cell r="F29">
            <v>33225.678478205366</v>
          </cell>
          <cell r="G29">
            <v>24569.736071955929</v>
          </cell>
          <cell r="H29">
            <v>138499.002255</v>
          </cell>
          <cell r="I29"/>
          <cell r="J29"/>
          <cell r="K29"/>
          <cell r="L29"/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 t="str">
            <v>בדארנה עומר</v>
          </cell>
          <cell r="B30" t="str">
            <v xml:space="preserve">ערן גירוני </v>
          </cell>
          <cell r="C30" t="e">
            <v>#REF!</v>
          </cell>
          <cell r="D30" t="e">
            <v>#REF!</v>
          </cell>
          <cell r="E30" t="e">
            <v>#REF!</v>
          </cell>
          <cell r="F30">
            <v>168985.96207021869</v>
          </cell>
          <cell r="G30">
            <v>0</v>
          </cell>
          <cell r="H30">
            <v>0</v>
          </cell>
          <cell r="I30"/>
          <cell r="J30"/>
          <cell r="K30"/>
          <cell r="L30"/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וסים חאטר</v>
          </cell>
          <cell r="B31" t="str">
            <v xml:space="preserve">ערן גירוני </v>
          </cell>
          <cell r="C31" t="e">
            <v>#REF!</v>
          </cell>
          <cell r="D31" t="e">
            <v>#REF!</v>
          </cell>
          <cell r="E31" t="e">
            <v>#REF!</v>
          </cell>
          <cell r="F31">
            <v>0</v>
          </cell>
          <cell r="G31">
            <v>0</v>
          </cell>
          <cell r="H31">
            <v>0</v>
          </cell>
          <cell r="I31"/>
          <cell r="J31"/>
          <cell r="K31"/>
          <cell r="L31"/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 t="str">
            <v>לוי חיים</v>
          </cell>
          <cell r="B32" t="str">
            <v xml:space="preserve">ערן גירוני </v>
          </cell>
          <cell r="C32" t="e">
            <v>#REF!</v>
          </cell>
          <cell r="D32" t="e">
            <v>#REF!</v>
          </cell>
          <cell r="E32" t="e">
            <v>#REF!</v>
          </cell>
          <cell r="F32">
            <v>60899.696605304489</v>
          </cell>
          <cell r="G32">
            <v>1833</v>
          </cell>
          <cell r="H32">
            <v>0</v>
          </cell>
          <cell r="I32"/>
          <cell r="J32">
            <v>10000</v>
          </cell>
          <cell r="K32"/>
          <cell r="L32"/>
          <cell r="M32">
            <v>0</v>
          </cell>
          <cell r="N32">
            <v>950</v>
          </cell>
          <cell r="O32">
            <v>0</v>
          </cell>
          <cell r="P32">
            <v>0</v>
          </cell>
          <cell r="Q32">
            <v>0</v>
          </cell>
          <cell r="R32">
            <v>10000</v>
          </cell>
          <cell r="S32">
            <v>0</v>
          </cell>
          <cell r="T32">
            <v>0</v>
          </cell>
        </row>
        <row r="33">
          <cell r="A33" t="str">
            <v>גולדר אבי</v>
          </cell>
          <cell r="B33" t="str">
            <v>לא מפוקחים</v>
          </cell>
          <cell r="C33" t="e">
            <v>#REF!</v>
          </cell>
          <cell r="D33" t="e">
            <v>#REF!</v>
          </cell>
          <cell r="E33" t="e">
            <v>#REF!</v>
          </cell>
          <cell r="F33">
            <v>62716.774468988078</v>
          </cell>
          <cell r="G33">
            <v>6442.9471375590183</v>
          </cell>
          <cell r="H33">
            <v>2228523.7660212973</v>
          </cell>
          <cell r="I33"/>
          <cell r="J33"/>
          <cell r="K33">
            <v>500000</v>
          </cell>
          <cell r="L33"/>
          <cell r="M33">
            <v>0</v>
          </cell>
          <cell r="N33">
            <v>0</v>
          </cell>
          <cell r="O33">
            <v>69000</v>
          </cell>
          <cell r="P33">
            <v>0</v>
          </cell>
          <cell r="Q33">
            <v>0</v>
          </cell>
          <cell r="R33">
            <v>0</v>
          </cell>
          <cell r="S33">
            <v>500000</v>
          </cell>
          <cell r="T33">
            <v>0</v>
          </cell>
        </row>
        <row r="34">
          <cell r="A34" t="str">
            <v>א.ד. אבידן ביטוחים בע"מ</v>
          </cell>
          <cell r="B34" t="str">
            <v>לא מפוקחים</v>
          </cell>
          <cell r="C34" t="e">
            <v>#REF!</v>
          </cell>
          <cell r="D34" t="e">
            <v>#REF!</v>
          </cell>
          <cell r="E34" t="e">
            <v>#REF!</v>
          </cell>
          <cell r="F34">
            <v>71220.501152367564</v>
          </cell>
          <cell r="G34">
            <v>11120.024913318712</v>
          </cell>
          <cell r="H34">
            <v>1566253.8900000001</v>
          </cell>
          <cell r="I34">
            <v>500000</v>
          </cell>
          <cell r="J34"/>
          <cell r="K34"/>
          <cell r="L34"/>
          <cell r="M34">
            <v>60000</v>
          </cell>
          <cell r="N34">
            <v>0</v>
          </cell>
          <cell r="O34">
            <v>0</v>
          </cell>
          <cell r="P34">
            <v>0</v>
          </cell>
          <cell r="Q34">
            <v>500000</v>
          </cell>
          <cell r="R34">
            <v>0</v>
          </cell>
          <cell r="S34">
            <v>0</v>
          </cell>
          <cell r="T34">
            <v>0</v>
          </cell>
        </row>
        <row r="35">
          <cell r="A35" t="str">
            <v>סטולרז אסף</v>
          </cell>
          <cell r="B35" t="str">
            <v>לא מפוקחים</v>
          </cell>
          <cell r="C35" t="e">
            <v>#REF!</v>
          </cell>
          <cell r="D35" t="e">
            <v>#REF!</v>
          </cell>
          <cell r="E35" t="e">
            <v>#REF!</v>
          </cell>
          <cell r="F35">
            <v>116150.99270927912</v>
          </cell>
          <cell r="G35">
            <v>18478.010295578151</v>
          </cell>
          <cell r="H35">
            <v>2849175.5070694657</v>
          </cell>
          <cell r="I35">
            <v>500000</v>
          </cell>
          <cell r="J35">
            <v>80000</v>
          </cell>
          <cell r="K35">
            <v>7000000</v>
          </cell>
          <cell r="L35">
            <v>1000000</v>
          </cell>
          <cell r="M35">
            <v>60000</v>
          </cell>
          <cell r="N35">
            <v>7600</v>
          </cell>
          <cell r="O35">
            <v>966000.00000000012</v>
          </cell>
          <cell r="P35">
            <v>138000</v>
          </cell>
          <cell r="Q35">
            <v>500000</v>
          </cell>
          <cell r="R35">
            <v>80000</v>
          </cell>
          <cell r="S35">
            <v>7000000</v>
          </cell>
          <cell r="T35">
            <v>1000000</v>
          </cell>
        </row>
        <row r="36">
          <cell r="A36" t="str">
            <v>דני פחימה</v>
          </cell>
          <cell r="B36" t="str">
            <v>לא מפוקחים</v>
          </cell>
          <cell r="C36" t="e">
            <v>#REF!</v>
          </cell>
          <cell r="D36" t="e">
            <v>#REF!</v>
          </cell>
          <cell r="E36" t="e">
            <v>#REF!</v>
          </cell>
          <cell r="F36">
            <v>2336</v>
          </cell>
          <cell r="G36">
            <v>3888</v>
          </cell>
          <cell r="H36">
            <v>6000</v>
          </cell>
          <cell r="I36"/>
          <cell r="J36"/>
          <cell r="K36">
            <v>1000000</v>
          </cell>
          <cell r="L36">
            <v>500000</v>
          </cell>
          <cell r="M36">
            <v>0</v>
          </cell>
          <cell r="N36">
            <v>0</v>
          </cell>
          <cell r="O36">
            <v>138000</v>
          </cell>
          <cell r="P36">
            <v>69000</v>
          </cell>
          <cell r="Q36">
            <v>0</v>
          </cell>
          <cell r="R36">
            <v>0</v>
          </cell>
          <cell r="S36">
            <v>1000000</v>
          </cell>
          <cell r="T36">
            <v>500000</v>
          </cell>
        </row>
        <row r="37">
          <cell r="A37" t="str">
            <v>עאטף עדווי</v>
          </cell>
          <cell r="B37" t="str">
            <v>לא מפוקחים</v>
          </cell>
          <cell r="C37" t="e">
            <v>#REF!</v>
          </cell>
          <cell r="D37" t="e">
            <v>#REF!</v>
          </cell>
          <cell r="E37" t="e">
            <v>#REF!</v>
          </cell>
          <cell r="F37">
            <v>288823</v>
          </cell>
          <cell r="G37">
            <v>21838</v>
          </cell>
          <cell r="H37">
            <v>0</v>
          </cell>
          <cell r="I37"/>
          <cell r="J37">
            <v>40000</v>
          </cell>
          <cell r="K37"/>
          <cell r="L37"/>
          <cell r="M37">
            <v>0</v>
          </cell>
          <cell r="N37">
            <v>3800</v>
          </cell>
          <cell r="O37">
            <v>0</v>
          </cell>
          <cell r="P37">
            <v>0</v>
          </cell>
          <cell r="Q37">
            <v>0</v>
          </cell>
          <cell r="R37">
            <v>40000</v>
          </cell>
          <cell r="S37">
            <v>0</v>
          </cell>
          <cell r="T37">
            <v>0</v>
          </cell>
        </row>
        <row r="38">
          <cell r="A38" t="str">
            <v>דר סוכנות לביטוח</v>
          </cell>
          <cell r="B38" t="str">
            <v>לא מפוקחים</v>
          </cell>
          <cell r="C38" t="e">
            <v>#REF!</v>
          </cell>
          <cell r="D38" t="e">
            <v>#REF!</v>
          </cell>
          <cell r="E38" t="e">
            <v>#REF!</v>
          </cell>
          <cell r="F38">
            <v>12411</v>
          </cell>
          <cell r="G38">
            <v>192</v>
          </cell>
          <cell r="H38">
            <v>0</v>
          </cell>
          <cell r="I38"/>
          <cell r="J38"/>
          <cell r="K38"/>
          <cell r="L38"/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>גול זאב</v>
          </cell>
          <cell r="B39" t="str">
            <v>לא מפוקחים</v>
          </cell>
          <cell r="C39" t="e">
            <v>#REF!</v>
          </cell>
          <cell r="D39" t="e">
            <v>#REF!</v>
          </cell>
          <cell r="E39" t="e">
            <v>#REF!</v>
          </cell>
          <cell r="F39">
            <v>1843707.05898</v>
          </cell>
          <cell r="G39">
            <v>228284.59729999999</v>
          </cell>
          <cell r="H39">
            <v>4491591.9059499996</v>
          </cell>
          <cell r="I39">
            <v>4000000</v>
          </cell>
          <cell r="J39">
            <v>350000</v>
          </cell>
          <cell r="K39">
            <v>4000000</v>
          </cell>
          <cell r="L39">
            <v>4000000</v>
          </cell>
          <cell r="M39">
            <v>480000</v>
          </cell>
          <cell r="N39">
            <v>33250</v>
          </cell>
          <cell r="O39">
            <v>552000</v>
          </cell>
          <cell r="P39">
            <v>552000</v>
          </cell>
          <cell r="Q39">
            <v>4000000</v>
          </cell>
          <cell r="R39">
            <v>350000</v>
          </cell>
          <cell r="S39">
            <v>4000000</v>
          </cell>
          <cell r="T39">
            <v>4000000</v>
          </cell>
        </row>
        <row r="40">
          <cell r="A40" t="str">
            <v>עבוד כיתי</v>
          </cell>
          <cell r="B40" t="str">
            <v>לא מפוקחים</v>
          </cell>
          <cell r="C40" t="e">
            <v>#REF!</v>
          </cell>
          <cell r="D40" t="e">
            <v>#REF!</v>
          </cell>
          <cell r="E40" t="e">
            <v>#REF!</v>
          </cell>
          <cell r="F40"/>
          <cell r="G40"/>
          <cell r="H40"/>
          <cell r="I40">
            <v>300000</v>
          </cell>
          <cell r="J40">
            <v>100000</v>
          </cell>
          <cell r="K40">
            <v>500000</v>
          </cell>
          <cell r="L40">
            <v>500000</v>
          </cell>
          <cell r="M40">
            <v>36000</v>
          </cell>
          <cell r="N40">
            <v>9500</v>
          </cell>
          <cell r="O40">
            <v>69000</v>
          </cell>
          <cell r="P40">
            <v>69000</v>
          </cell>
          <cell r="Q40">
            <v>300000</v>
          </cell>
          <cell r="R40">
            <v>100000</v>
          </cell>
          <cell r="S40">
            <v>500000</v>
          </cell>
          <cell r="T40">
            <v>500000</v>
          </cell>
        </row>
        <row r="41">
          <cell r="A41" t="str">
            <v>יעקב ישראל שטרן</v>
          </cell>
          <cell r="B41" t="str">
            <v>לא מפוקחים</v>
          </cell>
          <cell r="C41" t="e">
            <v>#REF!</v>
          </cell>
          <cell r="D41" t="e">
            <v>#REF!</v>
          </cell>
          <cell r="E41" t="e">
            <v>#REF!</v>
          </cell>
          <cell r="F41"/>
          <cell r="G41"/>
          <cell r="H41"/>
          <cell r="I41">
            <v>100000</v>
          </cell>
          <cell r="J41">
            <v>50000</v>
          </cell>
          <cell r="K41">
            <v>2000000</v>
          </cell>
          <cell r="L41">
            <v>500000</v>
          </cell>
          <cell r="M41">
            <v>12000</v>
          </cell>
          <cell r="N41">
            <v>4750</v>
          </cell>
          <cell r="O41">
            <v>276000</v>
          </cell>
          <cell r="P41">
            <v>69000</v>
          </cell>
          <cell r="Q41">
            <v>100000</v>
          </cell>
          <cell r="R41">
            <v>50000</v>
          </cell>
          <cell r="S41">
            <v>2000000</v>
          </cell>
          <cell r="T41">
            <v>500000</v>
          </cell>
        </row>
        <row r="42">
          <cell r="A42" t="str">
            <v>יתר הסוכנים</v>
          </cell>
          <cell r="B42"/>
          <cell r="C42" t="e">
            <v>#REF!</v>
          </cell>
          <cell r="D42" t="e">
            <v>#REF!</v>
          </cell>
          <cell r="E42" t="e">
            <v>#REF!</v>
          </cell>
          <cell r="F42">
            <v>11434743.859485211</v>
          </cell>
          <cell r="G42">
            <v>2460202.3911701343</v>
          </cell>
          <cell r="H42">
            <v>27997156.527742237</v>
          </cell>
          <cell r="I42">
            <v>18200000</v>
          </cell>
          <cell r="J42">
            <v>3240000</v>
          </cell>
          <cell r="K42">
            <v>43100000</v>
          </cell>
          <cell r="L42">
            <v>29200000</v>
          </cell>
          <cell r="M42">
            <v>2184000</v>
          </cell>
          <cell r="N42">
            <v>307800</v>
          </cell>
          <cell r="O42">
            <v>5947800</v>
          </cell>
          <cell r="P42">
            <v>4029600</v>
          </cell>
          <cell r="Q42">
            <v>18200000</v>
          </cell>
          <cell r="R42">
            <v>3240000</v>
          </cell>
          <cell r="S42">
            <v>43100000</v>
          </cell>
          <cell r="T42">
            <v>29200000</v>
          </cell>
        </row>
        <row r="43">
          <cell r="A43" t="str">
            <v>גלידר אנה</v>
          </cell>
          <cell r="B43" t="str">
            <v>לא מפוקחים</v>
          </cell>
          <cell r="C43" t="e">
            <v>#REF!</v>
          </cell>
          <cell r="D43" t="e">
            <v>#REF!</v>
          </cell>
          <cell r="E43" t="e">
            <v>#REF!</v>
          </cell>
          <cell r="F43">
            <v>987187.34207102738</v>
          </cell>
          <cell r="G43">
            <v>183460.34483877767</v>
          </cell>
          <cell r="H43">
            <v>5517139.2151299994</v>
          </cell>
          <cell r="I43">
            <v>1000000</v>
          </cell>
          <cell r="J43">
            <v>150000</v>
          </cell>
          <cell r="K43">
            <v>4000000</v>
          </cell>
          <cell r="L43">
            <v>4000000</v>
          </cell>
          <cell r="M43">
            <v>120000</v>
          </cell>
          <cell r="N43">
            <v>14250</v>
          </cell>
          <cell r="O43">
            <v>552000</v>
          </cell>
          <cell r="P43">
            <v>552000</v>
          </cell>
          <cell r="Q43">
            <v>1000000</v>
          </cell>
          <cell r="R43">
            <v>150000</v>
          </cell>
          <cell r="S43">
            <v>4000000</v>
          </cell>
          <cell r="T43">
            <v>4000000</v>
          </cell>
        </row>
        <row r="44">
          <cell r="A44" t="str">
            <v>אביב מור יוסף</v>
          </cell>
          <cell r="B44" t="str">
            <v>לא מפוקחים</v>
          </cell>
          <cell r="C44" t="e">
            <v>#REF!</v>
          </cell>
          <cell r="D44" t="e">
            <v>#REF!</v>
          </cell>
          <cell r="E44" t="e">
            <v>#REF!</v>
          </cell>
          <cell r="F44"/>
          <cell r="G44"/>
          <cell r="H44"/>
          <cell r="I44">
            <v>1000000</v>
          </cell>
          <cell r="J44">
            <v>200000</v>
          </cell>
          <cell r="K44">
            <v>10000000</v>
          </cell>
          <cell r="L44">
            <v>4000000</v>
          </cell>
          <cell r="M44">
            <v>120000</v>
          </cell>
          <cell r="N44">
            <v>19000</v>
          </cell>
          <cell r="O44">
            <v>1380000</v>
          </cell>
          <cell r="P44">
            <v>552000</v>
          </cell>
          <cell r="Q44">
            <v>1000000</v>
          </cell>
          <cell r="R44">
            <v>200000</v>
          </cell>
          <cell r="S44">
            <v>10000000</v>
          </cell>
          <cell r="T44">
            <v>4000000</v>
          </cell>
        </row>
        <row r="45">
          <cell r="A45" t="str">
            <v>אריאל בר-חיים</v>
          </cell>
          <cell r="B45" t="str">
            <v>לא מפוקחים</v>
          </cell>
          <cell r="C45" t="e">
            <v>#REF!</v>
          </cell>
          <cell r="D45" t="e">
            <v>#REF!</v>
          </cell>
          <cell r="E45" t="e">
            <v>#REF!</v>
          </cell>
          <cell r="F45">
            <v>4195</v>
          </cell>
          <cell r="G45">
            <v>7613</v>
          </cell>
          <cell r="H45">
            <v>26588.25</v>
          </cell>
          <cell r="I45">
            <v>1000000</v>
          </cell>
          <cell r="J45">
            <v>150000</v>
          </cell>
          <cell r="K45">
            <v>10000000</v>
          </cell>
          <cell r="L45">
            <v>5000000</v>
          </cell>
          <cell r="M45">
            <v>120000</v>
          </cell>
          <cell r="N45">
            <v>14250</v>
          </cell>
          <cell r="O45">
            <v>1380000</v>
          </cell>
          <cell r="P45">
            <v>690000</v>
          </cell>
          <cell r="Q45">
            <v>1000000</v>
          </cell>
          <cell r="R45">
            <v>150000</v>
          </cell>
          <cell r="S45">
            <v>10000000</v>
          </cell>
          <cell r="T45">
            <v>5000000</v>
          </cell>
        </row>
        <row r="46">
          <cell r="A46" t="str">
            <v>יונתן מנחם</v>
          </cell>
          <cell r="B46" t="str">
            <v xml:space="preserve">ערן גירוני </v>
          </cell>
          <cell r="C46" t="e">
            <v>#REF!</v>
          </cell>
          <cell r="D46" t="e">
            <v>#REF!</v>
          </cell>
          <cell r="E46" t="e">
            <v>#REF!</v>
          </cell>
          <cell r="F46">
            <v>84601</v>
          </cell>
          <cell r="G46">
            <v>38284.622947771182</v>
          </cell>
          <cell r="H46">
            <v>606</v>
          </cell>
          <cell r="I46">
            <v>150000</v>
          </cell>
          <cell r="J46">
            <v>50000</v>
          </cell>
          <cell r="K46">
            <v>200000</v>
          </cell>
          <cell r="L46">
            <v>200000</v>
          </cell>
          <cell r="M46">
            <v>18000</v>
          </cell>
          <cell r="N46">
            <v>4750</v>
          </cell>
          <cell r="O46">
            <v>27600.000000000004</v>
          </cell>
          <cell r="P46">
            <v>27600.000000000004</v>
          </cell>
          <cell r="Q46">
            <v>150000</v>
          </cell>
          <cell r="R46">
            <v>50000</v>
          </cell>
          <cell r="S46">
            <v>200000</v>
          </cell>
          <cell r="T46">
            <v>200000</v>
          </cell>
        </row>
        <row r="47">
          <cell r="A47" t="str">
            <v>שלי מזרחי</v>
          </cell>
          <cell r="B47" t="str">
            <v xml:space="preserve">ערן גירוני </v>
          </cell>
          <cell r="C47" t="e">
            <v>#REF!</v>
          </cell>
          <cell r="D47" t="e">
            <v>#REF!</v>
          </cell>
          <cell r="E47" t="e">
            <v>#REF!</v>
          </cell>
          <cell r="F47">
            <v>337822.24982096814</v>
          </cell>
          <cell r="G47">
            <v>369395.20362282777</v>
          </cell>
          <cell r="H47">
            <v>589267.05697031738</v>
          </cell>
          <cell r="I47">
            <v>1200000</v>
          </cell>
          <cell r="J47">
            <v>400000</v>
          </cell>
          <cell r="K47">
            <v>5000000</v>
          </cell>
          <cell r="L47">
            <v>2000000</v>
          </cell>
          <cell r="M47">
            <v>144000</v>
          </cell>
          <cell r="N47">
            <v>38000</v>
          </cell>
          <cell r="O47">
            <v>690000</v>
          </cell>
          <cell r="P47">
            <v>276000</v>
          </cell>
          <cell r="Q47">
            <v>1200000</v>
          </cell>
          <cell r="R47">
            <v>400000</v>
          </cell>
          <cell r="S47">
            <v>5000000</v>
          </cell>
          <cell r="T47">
            <v>2000000</v>
          </cell>
        </row>
        <row r="48">
          <cell r="A48" t="str">
            <v>אורטל / לנג ביג סוכנות לביטוח פנסיוני</v>
          </cell>
          <cell r="B48" t="str">
            <v xml:space="preserve">ערן גירוני 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#N/A</v>
          </cell>
          <cell r="G48" t="e">
            <v>#N/A</v>
          </cell>
          <cell r="H48" t="e">
            <v>#N/A</v>
          </cell>
          <cell r="I48">
            <v>2500000</v>
          </cell>
          <cell r="J48">
            <v>200000</v>
          </cell>
          <cell r="K48">
            <v>30000000</v>
          </cell>
          <cell r="L48">
            <v>8000000</v>
          </cell>
          <cell r="M48">
            <v>300000</v>
          </cell>
          <cell r="N48">
            <v>19000</v>
          </cell>
          <cell r="O48">
            <v>4140000.0000000005</v>
          </cell>
          <cell r="P48">
            <v>1104000</v>
          </cell>
          <cell r="Q48">
            <v>2500000</v>
          </cell>
          <cell r="R48">
            <v>200000</v>
          </cell>
          <cell r="S48">
            <v>30000000</v>
          </cell>
          <cell r="T48">
            <v>8000000</v>
          </cell>
        </row>
        <row r="49">
          <cell r="A49" t="str">
            <v>נעם הלשטוק</v>
          </cell>
          <cell r="B49" t="str">
            <v xml:space="preserve">ערן גירוני 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#N/A</v>
          </cell>
          <cell r="G49" t="e">
            <v>#N/A</v>
          </cell>
          <cell r="H49" t="e">
            <v>#N/A</v>
          </cell>
          <cell r="I49">
            <v>1000000</v>
          </cell>
          <cell r="J49">
            <v>150000</v>
          </cell>
          <cell r="K49">
            <v>5000000</v>
          </cell>
          <cell r="L49">
            <v>5000000</v>
          </cell>
          <cell r="M49">
            <v>120000</v>
          </cell>
          <cell r="N49">
            <v>14250</v>
          </cell>
          <cell r="O49">
            <v>690000</v>
          </cell>
          <cell r="P49">
            <v>690000</v>
          </cell>
          <cell r="Q49">
            <v>1000000</v>
          </cell>
          <cell r="R49">
            <v>150000</v>
          </cell>
          <cell r="S49">
            <v>5000000</v>
          </cell>
          <cell r="T49">
            <v>5000000</v>
          </cell>
        </row>
        <row r="50">
          <cell r="A50" t="str">
            <v>נור אבו ראס</v>
          </cell>
          <cell r="B50" t="str">
            <v xml:space="preserve">ערן גירוני </v>
          </cell>
          <cell r="C50" t="e">
            <v>#REF!</v>
          </cell>
          <cell r="D50" t="e">
            <v>#REF!</v>
          </cell>
          <cell r="E50" t="e">
            <v>#REF!</v>
          </cell>
          <cell r="F50"/>
          <cell r="G50"/>
          <cell r="H50"/>
          <cell r="I50">
            <v>100000</v>
          </cell>
          <cell r="J50">
            <v>150000</v>
          </cell>
          <cell r="K50">
            <v>500000</v>
          </cell>
          <cell r="L50">
            <v>500000</v>
          </cell>
          <cell r="M50">
            <v>12000</v>
          </cell>
          <cell r="N50">
            <v>14250</v>
          </cell>
          <cell r="O50">
            <v>69000</v>
          </cell>
          <cell r="P50">
            <v>69000</v>
          </cell>
          <cell r="Q50">
            <v>100000</v>
          </cell>
          <cell r="R50">
            <v>150000</v>
          </cell>
          <cell r="S50">
            <v>500000</v>
          </cell>
          <cell r="T50">
            <v>500000</v>
          </cell>
        </row>
        <row r="51">
          <cell r="A51" t="str">
            <v>יהונתן שיוביץ</v>
          </cell>
          <cell r="B51" t="str">
            <v xml:space="preserve">ערן גירוני </v>
          </cell>
          <cell r="C51" t="e">
            <v>#REF!</v>
          </cell>
          <cell r="D51" t="e">
            <v>#REF!</v>
          </cell>
          <cell r="E51" t="e">
            <v>#REF!</v>
          </cell>
          <cell r="F51">
            <v>0</v>
          </cell>
          <cell r="G51">
            <v>16873.49408</v>
          </cell>
          <cell r="H51">
            <v>37392</v>
          </cell>
          <cell r="I51">
            <v>100000</v>
          </cell>
          <cell r="J51">
            <v>50000</v>
          </cell>
          <cell r="K51">
            <v>300000</v>
          </cell>
          <cell r="L51">
            <v>100000</v>
          </cell>
          <cell r="M51">
            <v>12000</v>
          </cell>
          <cell r="N51">
            <v>4750</v>
          </cell>
          <cell r="O51">
            <v>41400</v>
          </cell>
          <cell r="P51">
            <v>13800.000000000002</v>
          </cell>
          <cell r="Q51">
            <v>100000</v>
          </cell>
          <cell r="R51">
            <v>50000</v>
          </cell>
          <cell r="S51">
            <v>300000</v>
          </cell>
          <cell r="T51">
            <v>100000</v>
          </cell>
        </row>
        <row r="52">
          <cell r="A52" t="str">
            <v>אחמד עלי אחמד</v>
          </cell>
          <cell r="B52" t="str">
            <v xml:space="preserve">ערן גירוני </v>
          </cell>
          <cell r="C52" t="e">
            <v>#REF!</v>
          </cell>
          <cell r="D52" t="e">
            <v>#REF!</v>
          </cell>
          <cell r="E52" t="e">
            <v>#REF!</v>
          </cell>
          <cell r="F52"/>
          <cell r="G52"/>
          <cell r="H52"/>
          <cell r="I52">
            <v>600000</v>
          </cell>
          <cell r="J52">
            <v>100000</v>
          </cell>
          <cell r="K52">
            <v>250000</v>
          </cell>
          <cell r="L52">
            <v>250000</v>
          </cell>
          <cell r="M52">
            <v>72000</v>
          </cell>
          <cell r="N52">
            <v>9500</v>
          </cell>
          <cell r="O52">
            <v>34500</v>
          </cell>
          <cell r="P52">
            <v>34500</v>
          </cell>
          <cell r="Q52">
            <v>600000</v>
          </cell>
          <cell r="R52">
            <v>100000</v>
          </cell>
          <cell r="S52">
            <v>250000</v>
          </cell>
          <cell r="T52">
            <v>250000</v>
          </cell>
        </row>
        <row r="53">
          <cell r="A53" t="str">
            <v>שירלי בוכריס</v>
          </cell>
          <cell r="B53" t="str">
            <v xml:space="preserve">ערן גירוני </v>
          </cell>
          <cell r="C53" t="e">
            <v>#REF!</v>
          </cell>
          <cell r="D53" t="e">
            <v>#REF!</v>
          </cell>
          <cell r="E53" t="e">
            <v>#REF!</v>
          </cell>
          <cell r="F53"/>
          <cell r="G53"/>
          <cell r="H53"/>
          <cell r="I53">
            <v>1000000</v>
          </cell>
          <cell r="J53">
            <v>150000</v>
          </cell>
          <cell r="K53">
            <v>7000000</v>
          </cell>
          <cell r="L53">
            <v>5000000</v>
          </cell>
          <cell r="M53">
            <v>120000</v>
          </cell>
          <cell r="N53">
            <v>14250</v>
          </cell>
          <cell r="O53">
            <v>966000.00000000012</v>
          </cell>
          <cell r="P53">
            <v>690000</v>
          </cell>
          <cell r="Q53">
            <v>1000000</v>
          </cell>
          <cell r="R53">
            <v>150000</v>
          </cell>
          <cell r="S53">
            <v>7000000</v>
          </cell>
          <cell r="T53">
            <v>5000000</v>
          </cell>
        </row>
        <row r="54">
          <cell r="A54" t="str">
            <v>סיון פיינרו</v>
          </cell>
          <cell r="B54" t="str">
            <v xml:space="preserve">ערן גירוני </v>
          </cell>
          <cell r="C54" t="e">
            <v>#REF!</v>
          </cell>
          <cell r="D54" t="e">
            <v>#REF!</v>
          </cell>
          <cell r="E54" t="e">
            <v>#REF!</v>
          </cell>
          <cell r="F54"/>
          <cell r="G54"/>
          <cell r="H54"/>
          <cell r="I54"/>
          <cell r="J54">
            <v>50000</v>
          </cell>
          <cell r="K54"/>
          <cell r="L54"/>
          <cell r="M54">
            <v>0</v>
          </cell>
          <cell r="N54">
            <v>4750</v>
          </cell>
          <cell r="O54">
            <v>0</v>
          </cell>
          <cell r="P54">
            <v>0</v>
          </cell>
          <cell r="Q54">
            <v>0</v>
          </cell>
          <cell r="R54">
            <v>50000</v>
          </cell>
          <cell r="S54">
            <v>0</v>
          </cell>
          <cell r="T54">
            <v>0</v>
          </cell>
        </row>
        <row r="55">
          <cell r="A55" t="str">
            <v>לילי שרון</v>
          </cell>
          <cell r="B55" t="str">
            <v xml:space="preserve">ערן גירוני </v>
          </cell>
          <cell r="C55" t="e">
            <v>#REF!</v>
          </cell>
          <cell r="D55" t="e">
            <v>#REF!</v>
          </cell>
          <cell r="E55" t="e">
            <v>#REF!</v>
          </cell>
          <cell r="F55"/>
          <cell r="G55"/>
          <cell r="H55"/>
          <cell r="I55">
            <v>250000</v>
          </cell>
          <cell r="J55">
            <v>50000</v>
          </cell>
          <cell r="K55">
            <v>1000000</v>
          </cell>
          <cell r="L55">
            <v>200000</v>
          </cell>
          <cell r="M55">
            <v>30000</v>
          </cell>
          <cell r="N55">
            <v>4750</v>
          </cell>
          <cell r="O55">
            <v>138000</v>
          </cell>
          <cell r="P55">
            <v>27600.000000000004</v>
          </cell>
          <cell r="Q55">
            <v>250000</v>
          </cell>
          <cell r="R55">
            <v>50000</v>
          </cell>
          <cell r="S55">
            <v>1000000</v>
          </cell>
          <cell r="T55">
            <v>200000</v>
          </cell>
        </row>
        <row r="56">
          <cell r="A56" t="str">
            <v>אלרם סוכנות לביטוח</v>
          </cell>
          <cell r="B56" t="str">
            <v>לא מפוקחים</v>
          </cell>
          <cell r="C56" t="e">
            <v>#REF!</v>
          </cell>
          <cell r="D56" t="e">
            <v>#REF!</v>
          </cell>
          <cell r="E56" t="e">
            <v>#REF!</v>
          </cell>
          <cell r="F56">
            <v>507685.26325352263</v>
          </cell>
          <cell r="G56">
            <v>344680.19770019373</v>
          </cell>
          <cell r="H56">
            <v>2316225</v>
          </cell>
          <cell r="I56">
            <v>1500000</v>
          </cell>
          <cell r="J56">
            <v>600000</v>
          </cell>
          <cell r="K56">
            <v>12000000</v>
          </cell>
          <cell r="L56">
            <v>6000000</v>
          </cell>
          <cell r="M56">
            <v>180000</v>
          </cell>
          <cell r="N56">
            <v>57000</v>
          </cell>
          <cell r="O56">
            <v>1656000.0000000002</v>
          </cell>
          <cell r="P56">
            <v>828000.00000000012</v>
          </cell>
          <cell r="Q56">
            <v>1500000</v>
          </cell>
          <cell r="R56">
            <v>600000</v>
          </cell>
          <cell r="S56">
            <v>12000000</v>
          </cell>
          <cell r="T56">
            <v>6000000</v>
          </cell>
        </row>
        <row r="57">
          <cell r="A57" t="str">
            <v>רכס אורן</v>
          </cell>
          <cell r="B57" t="str">
            <v>לא מפוקחים</v>
          </cell>
          <cell r="C57" t="e">
            <v>#REF!</v>
          </cell>
          <cell r="D57" t="e">
            <v>#REF!</v>
          </cell>
          <cell r="E57" t="e">
            <v>#REF!</v>
          </cell>
          <cell r="F57">
            <v>1467638.4550390211</v>
          </cell>
          <cell r="G57">
            <v>288584.1303883685</v>
          </cell>
          <cell r="H57">
            <v>27835114.90848418</v>
          </cell>
          <cell r="I57">
            <v>3000000</v>
          </cell>
          <cell r="J57">
            <v>350000</v>
          </cell>
          <cell r="K57">
            <v>35000000</v>
          </cell>
          <cell r="L57">
            <v>10000000</v>
          </cell>
          <cell r="M57">
            <v>360000</v>
          </cell>
          <cell r="N57">
            <v>33250</v>
          </cell>
          <cell r="O57">
            <v>4830000</v>
          </cell>
          <cell r="P57">
            <v>1380000</v>
          </cell>
          <cell r="Q57">
            <v>3000000</v>
          </cell>
          <cell r="R57">
            <v>350000</v>
          </cell>
          <cell r="S57">
            <v>35000000</v>
          </cell>
          <cell r="T57">
            <v>10000000</v>
          </cell>
        </row>
        <row r="58">
          <cell r="A58" t="str">
            <v>סה"כ פרימיום</v>
          </cell>
          <cell r="B58"/>
          <cell r="C58" t="e">
            <v>#REF!</v>
          </cell>
          <cell r="D58" t="e">
            <v>#REF!</v>
          </cell>
          <cell r="E58" t="e">
            <v>#REF!</v>
          </cell>
          <cell r="F58" t="e">
            <v>#N/A</v>
          </cell>
          <cell r="G58" t="e">
            <v>#N/A</v>
          </cell>
          <cell r="H58" t="e">
            <v>#N/A</v>
          </cell>
          <cell r="I58">
            <v>14400000</v>
          </cell>
          <cell r="J58">
            <v>2800000</v>
          </cell>
          <cell r="K58">
            <v>120250000</v>
          </cell>
          <cell r="L58">
            <v>50250000</v>
          </cell>
          <cell r="M58">
            <v>1728000</v>
          </cell>
          <cell r="N58">
            <v>266000</v>
          </cell>
          <cell r="O58">
            <v>16594500</v>
          </cell>
          <cell r="P58">
            <v>6934500</v>
          </cell>
          <cell r="Q58">
            <v>14400000</v>
          </cell>
          <cell r="R58">
            <v>2800000</v>
          </cell>
          <cell r="S58">
            <v>120250000</v>
          </cell>
          <cell r="T58">
            <v>50250000</v>
          </cell>
        </row>
        <row r="59">
          <cell r="A59" t="str">
            <v>סה"כ כולל</v>
          </cell>
          <cell r="B59"/>
          <cell r="C59" t="e">
            <v>#REF!</v>
          </cell>
          <cell r="D59" t="e">
            <v>#REF!</v>
          </cell>
          <cell r="E59" t="e">
            <v>#REF!</v>
          </cell>
          <cell r="F59" t="e">
            <v>#N/A</v>
          </cell>
          <cell r="G59" t="e">
            <v>#N/A</v>
          </cell>
          <cell r="H59" t="e">
            <v>#N/A</v>
          </cell>
          <cell r="I59">
            <v>61300000</v>
          </cell>
          <cell r="J59">
            <v>9240000</v>
          </cell>
          <cell r="K59">
            <v>225350000</v>
          </cell>
          <cell r="L59">
            <v>137450000</v>
          </cell>
          <cell r="M59">
            <v>7356000</v>
          </cell>
          <cell r="N59">
            <v>877800</v>
          </cell>
          <cell r="O59">
            <v>31098300</v>
          </cell>
          <cell r="P59">
            <v>18968100</v>
          </cell>
          <cell r="Q59">
            <v>61300000</v>
          </cell>
          <cell r="R59">
            <v>9240000</v>
          </cell>
          <cell r="S59">
            <v>225350000</v>
          </cell>
          <cell r="T59">
            <v>137450000</v>
          </cell>
        </row>
        <row r="60">
          <cell r="C60"/>
          <cell r="D60"/>
          <cell r="E60"/>
          <cell r="F60"/>
          <cell r="G60"/>
          <cell r="H60"/>
        </row>
        <row r="61">
          <cell r="A61"/>
          <cell r="R61"/>
        </row>
        <row r="62">
          <cell r="A62"/>
        </row>
        <row r="63">
          <cell r="A63"/>
        </row>
        <row r="64">
          <cell r="A64"/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  <sheetName val="מדיהו "/>
      <sheetName val="אנליסט "/>
      <sheetName val="מיטב דש"/>
      <sheetName val="אינפניטי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/>
          <cell r="B1"/>
          <cell r="C1"/>
          <cell r="D1">
            <v>2024</v>
          </cell>
          <cell r="E1"/>
          <cell r="F1"/>
          <cell r="G1"/>
          <cell r="H1">
            <v>2023</v>
          </cell>
          <cell r="I1"/>
          <cell r="J1"/>
          <cell r="K1"/>
        </row>
        <row r="2">
          <cell r="A2" t="str">
            <v>שם סוכן</v>
          </cell>
          <cell r="B2" t="str">
            <v xml:space="preserve">מפקח </v>
          </cell>
          <cell r="C2" t="str">
            <v>מחלקה</v>
          </cell>
          <cell r="D2" t="str">
            <v>פנסיוני</v>
          </cell>
          <cell r="E2" t="str">
            <v xml:space="preserve">סיכונים </v>
          </cell>
          <cell r="F2" t="str">
            <v>פיננסים</v>
          </cell>
          <cell r="G2" t="str">
            <v>ניודי פנסיה</v>
          </cell>
          <cell r="H2" t="str">
            <v>פנסיוני</v>
          </cell>
          <cell r="I2" t="str">
            <v xml:space="preserve">סיכונים </v>
          </cell>
          <cell r="J2" t="str">
            <v>פיננסים</v>
          </cell>
          <cell r="K2" t="str">
            <v xml:space="preserve">ניודי פנסיה </v>
          </cell>
        </row>
        <row r="3">
          <cell r="A3" t="str">
            <v>גל אלמגור סוכ</v>
          </cell>
          <cell r="B3" t="str">
            <v>יוסי אביב</v>
          </cell>
          <cell r="C3" t="str">
            <v xml:space="preserve">ישירים </v>
          </cell>
          <cell r="D3">
            <v>4548117.0599999996</v>
          </cell>
          <cell r="E3">
            <v>208241.6</v>
          </cell>
          <cell r="F3">
            <v>5897539</v>
          </cell>
          <cell r="G3">
            <v>32752822.359999999</v>
          </cell>
          <cell r="H3">
            <v>1053767.2899999996</v>
          </cell>
          <cell r="I3">
            <v>455647.04000000108</v>
          </cell>
          <cell r="J3">
            <v>5476466.049999997</v>
          </cell>
          <cell r="K3">
            <v>7055946.9599999972</v>
          </cell>
        </row>
        <row r="4">
          <cell r="A4" t="str">
            <v>דניאלה אביב</v>
          </cell>
          <cell r="B4" t="str">
            <v>יוסי אביב</v>
          </cell>
          <cell r="C4" t="str">
            <v xml:space="preserve">ישירים </v>
          </cell>
          <cell r="D4">
            <v>1804863.09</v>
          </cell>
          <cell r="E4">
            <v>1499.94</v>
          </cell>
          <cell r="F4">
            <v>10264216</v>
          </cell>
          <cell r="G4">
            <v>10795632.9</v>
          </cell>
          <cell r="H4">
            <v>338826.57999999996</v>
          </cell>
          <cell r="I4">
            <v>976.98</v>
          </cell>
          <cell r="J4">
            <v>1315473.26</v>
          </cell>
          <cell r="K4">
            <v>3055348.4699999997</v>
          </cell>
        </row>
        <row r="5">
          <cell r="A5" t="str">
            <v xml:space="preserve">רותי </v>
          </cell>
          <cell r="B5" t="str">
            <v>יוסי אביב</v>
          </cell>
          <cell r="C5" t="str">
            <v xml:space="preserve">ישירים </v>
          </cell>
          <cell r="D5"/>
          <cell r="E5">
            <v>72261.679999999993</v>
          </cell>
          <cell r="F5"/>
          <cell r="G5"/>
          <cell r="H5"/>
          <cell r="I5">
            <v>0</v>
          </cell>
          <cell r="J5">
            <v>0</v>
          </cell>
          <cell r="K5">
            <v>0</v>
          </cell>
        </row>
        <row r="6">
          <cell r="A6" t="str">
            <v xml:space="preserve">אילנית </v>
          </cell>
          <cell r="B6" t="str">
            <v>יוסי אביב</v>
          </cell>
          <cell r="C6" t="str">
            <v xml:space="preserve">ישירים </v>
          </cell>
          <cell r="D6">
            <v>29842.95</v>
          </cell>
          <cell r="E6">
            <v>25460.05</v>
          </cell>
          <cell r="F6"/>
          <cell r="G6"/>
          <cell r="H6"/>
          <cell r="I6">
            <v>0</v>
          </cell>
          <cell r="J6">
            <v>0</v>
          </cell>
          <cell r="K6">
            <v>0</v>
          </cell>
        </row>
        <row r="7">
          <cell r="A7" t="str">
            <v>סה"כ ישיר</v>
          </cell>
          <cell r="B7"/>
          <cell r="C7"/>
          <cell r="D7">
            <v>6382823.0999999996</v>
          </cell>
          <cell r="E7">
            <v>307463.26999999996</v>
          </cell>
          <cell r="F7">
            <v>16161755</v>
          </cell>
          <cell r="G7">
            <v>43548455.259999998</v>
          </cell>
          <cell r="H7">
            <v>1392593.8699999996</v>
          </cell>
          <cell r="I7">
            <v>456624.02000000107</v>
          </cell>
          <cell r="J7">
            <v>6791939.3099999968</v>
          </cell>
          <cell r="K7">
            <v>10111295.429999996</v>
          </cell>
        </row>
        <row r="8">
          <cell r="A8" t="str">
            <v>בראשית סוכנות לביטוח</v>
          </cell>
          <cell r="B8" t="str">
            <v>יוסי אביב</v>
          </cell>
          <cell r="C8" t="str">
            <v xml:space="preserve">שותפים </v>
          </cell>
          <cell r="D8"/>
          <cell r="E8">
            <v>83.03</v>
          </cell>
          <cell r="F8"/>
          <cell r="G8"/>
          <cell r="H8">
            <v>0</v>
          </cell>
          <cell r="I8">
            <v>77.95</v>
          </cell>
          <cell r="J8">
            <v>371.78</v>
          </cell>
          <cell r="K8">
            <v>0</v>
          </cell>
        </row>
        <row r="9">
          <cell r="A9" t="str">
            <v>גל אלמגור דאוד סוכ' לב</v>
          </cell>
          <cell r="B9" t="str">
            <v>יוסי אביב</v>
          </cell>
          <cell r="C9" t="str">
            <v xml:space="preserve">שותפים </v>
          </cell>
          <cell r="D9">
            <v>156.82</v>
          </cell>
          <cell r="E9">
            <v>10198.719999999999</v>
          </cell>
          <cell r="F9">
            <v>142.91999999999999</v>
          </cell>
          <cell r="G9">
            <v>29386.959999999999</v>
          </cell>
          <cell r="H9">
            <v>8382.76</v>
          </cell>
          <cell r="I9">
            <v>1874.77</v>
          </cell>
          <cell r="J9">
            <v>0</v>
          </cell>
          <cell r="K9">
            <v>0</v>
          </cell>
        </row>
        <row r="10">
          <cell r="A10" t="str">
            <v>גל אלמגור -וייס סוכנות</v>
          </cell>
          <cell r="B10" t="str">
            <v>יוסי אביב</v>
          </cell>
          <cell r="C10" t="str">
            <v xml:space="preserve">שותפים </v>
          </cell>
          <cell r="D10">
            <v>140429.65</v>
          </cell>
          <cell r="E10">
            <v>9119.27</v>
          </cell>
          <cell r="F10">
            <v>106225</v>
          </cell>
          <cell r="G10">
            <v>322475.23</v>
          </cell>
          <cell r="H10">
            <v>37185.46</v>
          </cell>
          <cell r="I10">
            <v>65538.959999999992</v>
          </cell>
          <cell r="J10">
            <v>199006.37</v>
          </cell>
          <cell r="K10">
            <v>272426.65999999997</v>
          </cell>
        </row>
        <row r="11">
          <cell r="A11" t="str">
            <v>גל אלמגור דרום סוכ ל</v>
          </cell>
          <cell r="B11" t="str">
            <v>יוסי אביב</v>
          </cell>
          <cell r="C11" t="str">
            <v xml:space="preserve">שותפים </v>
          </cell>
          <cell r="D11">
            <v>140.38</v>
          </cell>
          <cell r="E11">
            <v>879.33</v>
          </cell>
          <cell r="F11"/>
          <cell r="G11"/>
          <cell r="H11">
            <v>110.57</v>
          </cell>
          <cell r="I11">
            <v>2415.7800000000002</v>
          </cell>
          <cell r="J11">
            <v>32.660000000000004</v>
          </cell>
          <cell r="K11">
            <v>0</v>
          </cell>
        </row>
        <row r="12">
          <cell r="A12" t="str">
            <v>משה שטרן גל אלמגור</v>
          </cell>
          <cell r="B12" t="str">
            <v>יוסי אביב</v>
          </cell>
          <cell r="C12" t="str">
            <v xml:space="preserve">שותפים </v>
          </cell>
          <cell r="D12"/>
          <cell r="E12">
            <v>5972.62</v>
          </cell>
          <cell r="F12">
            <v>888809.12</v>
          </cell>
          <cell r="G12">
            <v>111191.62</v>
          </cell>
          <cell r="H12">
            <v>44707.040000000001</v>
          </cell>
          <cell r="I12">
            <v>195413.19000000009</v>
          </cell>
          <cell r="J12">
            <v>0</v>
          </cell>
          <cell r="K12">
            <v>0</v>
          </cell>
        </row>
        <row r="13">
          <cell r="A13" t="str">
            <v>מקסימום סוכנות לבטוח פ</v>
          </cell>
          <cell r="B13" t="str">
            <v>יוסי אביב</v>
          </cell>
          <cell r="C13" t="str">
            <v xml:space="preserve">שותפים </v>
          </cell>
          <cell r="D13">
            <v>676730.93</v>
          </cell>
          <cell r="E13">
            <v>7613.13</v>
          </cell>
          <cell r="F13">
            <v>238904.88</v>
          </cell>
          <cell r="G13">
            <v>5635297.5300000003</v>
          </cell>
          <cell r="H13">
            <v>196928.11</v>
          </cell>
          <cell r="I13">
            <v>5990.36</v>
          </cell>
          <cell r="J13">
            <v>4.0000000000020464E-2</v>
          </cell>
          <cell r="K13">
            <v>2308570.7599999998</v>
          </cell>
        </row>
        <row r="14">
          <cell r="A14" t="str">
            <v>א.ד. אבידן ביטוחים בע"מ</v>
          </cell>
          <cell r="B14" t="str">
            <v>לא מפוקחים</v>
          </cell>
          <cell r="C14" t="str">
            <v xml:space="preserve">שותפים </v>
          </cell>
          <cell r="D14">
            <v>137.84</v>
          </cell>
          <cell r="E14"/>
          <cell r="F14"/>
          <cell r="G14"/>
          <cell r="H14">
            <v>128</v>
          </cell>
          <cell r="I14">
            <v>0</v>
          </cell>
          <cell r="J14">
            <v>0</v>
          </cell>
          <cell r="K14">
            <v>0</v>
          </cell>
        </row>
        <row r="15">
          <cell r="A15" t="str">
            <v xml:space="preserve">גל אלמגור -ראם </v>
          </cell>
          <cell r="B15" t="str">
            <v>יוסי אביב</v>
          </cell>
          <cell r="C15" t="str">
            <v xml:space="preserve">שותפים </v>
          </cell>
          <cell r="D15">
            <v>14247.98</v>
          </cell>
          <cell r="E15">
            <v>38306.410000000003</v>
          </cell>
          <cell r="F15">
            <v>5000</v>
          </cell>
          <cell r="G15"/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אלרם סוכנות לביטוח</v>
          </cell>
          <cell r="B16" t="str">
            <v>יוסי אביב</v>
          </cell>
          <cell r="C16" t="str">
            <v xml:space="preserve">שותפים </v>
          </cell>
          <cell r="D16">
            <v>602705.56999999995</v>
          </cell>
          <cell r="E16">
            <v>14091.71</v>
          </cell>
          <cell r="F16">
            <v>479309.99</v>
          </cell>
          <cell r="G16">
            <v>2763744.4</v>
          </cell>
          <cell r="H16">
            <v>510606.87000000005</v>
          </cell>
          <cell r="I16">
            <v>116006.23999999985</v>
          </cell>
          <cell r="J16">
            <v>2064223.62</v>
          </cell>
          <cell r="K16">
            <v>459202.14</v>
          </cell>
        </row>
        <row r="17">
          <cell r="A17" t="str">
            <v>רכס אורן</v>
          </cell>
          <cell r="B17" t="str">
            <v>יוסי אביב</v>
          </cell>
          <cell r="C17" t="str">
            <v xml:space="preserve">שותפים </v>
          </cell>
          <cell r="D17">
            <v>193328.87</v>
          </cell>
          <cell r="E17">
            <v>23978.375</v>
          </cell>
          <cell r="F17">
            <v>6922638</v>
          </cell>
          <cell r="G17">
            <v>1368729.26</v>
          </cell>
          <cell r="H17">
            <v>99481</v>
          </cell>
          <cell r="I17">
            <v>39033.745000000003</v>
          </cell>
          <cell r="J17">
            <v>735.3</v>
          </cell>
          <cell r="K17">
            <v>1044640</v>
          </cell>
        </row>
        <row r="18">
          <cell r="A18" t="str">
            <v>גולדר אבי</v>
          </cell>
          <cell r="B18" t="str">
            <v>יוסי אביב</v>
          </cell>
          <cell r="C18" t="str">
            <v xml:space="preserve">שותפים </v>
          </cell>
          <cell r="D18">
            <v>597.88</v>
          </cell>
          <cell r="E18">
            <v>517.47</v>
          </cell>
          <cell r="F18">
            <v>19012</v>
          </cell>
          <cell r="G18"/>
          <cell r="H18">
            <v>730.8599999999999</v>
          </cell>
          <cell r="I18">
            <v>4330.13</v>
          </cell>
          <cell r="J18">
            <v>1827.87</v>
          </cell>
          <cell r="K18">
            <v>0</v>
          </cell>
        </row>
        <row r="19">
          <cell r="A19" t="str">
            <v>בדר צבי</v>
          </cell>
          <cell r="B19" t="str">
            <v>יוסי אביב</v>
          </cell>
          <cell r="C19" t="str">
            <v xml:space="preserve">שותפים </v>
          </cell>
          <cell r="D19"/>
          <cell r="E19">
            <v>1119.3150000000001</v>
          </cell>
          <cell r="F19"/>
          <cell r="G19"/>
          <cell r="H19">
            <v>0</v>
          </cell>
          <cell r="I19">
            <v>6063.6900000000005</v>
          </cell>
          <cell r="J19">
            <v>0</v>
          </cell>
          <cell r="K19">
            <v>0</v>
          </cell>
        </row>
        <row r="20">
          <cell r="A20" t="str">
            <v>סה"כ חברות בנות</v>
          </cell>
          <cell r="B20"/>
          <cell r="C20"/>
          <cell r="D20">
            <v>1628475.92</v>
          </cell>
          <cell r="E20">
            <v>111879.38</v>
          </cell>
          <cell r="F20">
            <v>8660041.9100000001</v>
          </cell>
          <cell r="G20">
            <v>10230825</v>
          </cell>
          <cell r="H20">
            <v>898260.67</v>
          </cell>
          <cell r="I20">
            <v>436744.81499999989</v>
          </cell>
          <cell r="J20">
            <v>2266197.64</v>
          </cell>
          <cell r="K20">
            <v>4084839.56</v>
          </cell>
        </row>
        <row r="21">
          <cell r="A21" t="str">
            <v>מועלם אלפרד</v>
          </cell>
          <cell r="B21" t="str">
            <v xml:space="preserve">ערן גירוני </v>
          </cell>
          <cell r="C21" t="str">
            <v xml:space="preserve">סוכנים </v>
          </cell>
          <cell r="D21">
            <v>375311.64</v>
          </cell>
          <cell r="E21">
            <v>33523.83</v>
          </cell>
          <cell r="F21">
            <v>447353.42</v>
          </cell>
          <cell r="G21">
            <v>2853897.09</v>
          </cell>
          <cell r="H21">
            <v>125880.45</v>
          </cell>
          <cell r="I21">
            <v>36261.469999999987</v>
          </cell>
          <cell r="J21">
            <v>325931.21999999997</v>
          </cell>
          <cell r="K21">
            <v>1231682.0699999998</v>
          </cell>
        </row>
        <row r="22">
          <cell r="A22" t="str">
            <v>גרניק בנימין</v>
          </cell>
          <cell r="B22" t="str">
            <v xml:space="preserve">ערן גירוני </v>
          </cell>
          <cell r="C22" t="str">
            <v xml:space="preserve">סוכנים </v>
          </cell>
          <cell r="D22"/>
          <cell r="E22"/>
          <cell r="F22">
            <v>227.25</v>
          </cell>
          <cell r="G22"/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סאוסן שלבי</v>
          </cell>
          <cell r="B23" t="str">
            <v xml:space="preserve">ערן גירוני </v>
          </cell>
          <cell r="C23" t="str">
            <v xml:space="preserve">סוכנים </v>
          </cell>
          <cell r="D23">
            <v>4442.57</v>
          </cell>
          <cell r="E23">
            <v>11765.71</v>
          </cell>
          <cell r="F23"/>
          <cell r="G23"/>
          <cell r="H23">
            <v>25979.66</v>
          </cell>
          <cell r="I23">
            <v>11982.24</v>
          </cell>
          <cell r="J23">
            <v>0</v>
          </cell>
          <cell r="K23">
            <v>0</v>
          </cell>
        </row>
        <row r="24">
          <cell r="A24" t="str">
            <v>יוספוביץ טלי</v>
          </cell>
          <cell r="B24" t="str">
            <v xml:space="preserve">ערן גירוני </v>
          </cell>
          <cell r="C24" t="str">
            <v xml:space="preserve">סוכנים </v>
          </cell>
          <cell r="D24"/>
          <cell r="E24"/>
          <cell r="F24">
            <v>312011.48</v>
          </cell>
          <cell r="G24"/>
          <cell r="H24">
            <v>48198.880000000005</v>
          </cell>
          <cell r="I24">
            <v>3106.54</v>
          </cell>
          <cell r="J24">
            <v>764819.9</v>
          </cell>
          <cell r="K24">
            <v>0</v>
          </cell>
        </row>
        <row r="25">
          <cell r="A25" t="str">
            <v>דורי כדורי דאי</v>
          </cell>
          <cell r="B25" t="str">
            <v>לא מפוקחים</v>
          </cell>
          <cell r="C25" t="str">
            <v xml:space="preserve">סוכנים </v>
          </cell>
          <cell r="D25"/>
          <cell r="E25"/>
          <cell r="F25"/>
          <cell r="G25"/>
          <cell r="H25">
            <v>120.39999999999999</v>
          </cell>
          <cell r="I25">
            <v>4.97</v>
          </cell>
          <cell r="J25">
            <v>697.64</v>
          </cell>
          <cell r="K25">
            <v>0</v>
          </cell>
        </row>
        <row r="26">
          <cell r="A26" t="str">
            <v>סברא סמיר</v>
          </cell>
          <cell r="B26" t="str">
            <v xml:space="preserve">ערן גירוני </v>
          </cell>
          <cell r="C26" t="str">
            <v xml:space="preserve">סוכנים </v>
          </cell>
          <cell r="D26">
            <v>536312.42000000004</v>
          </cell>
          <cell r="E26">
            <v>77505.27</v>
          </cell>
          <cell r="F26">
            <v>2189781.25</v>
          </cell>
          <cell r="G26">
            <v>3110947.37</v>
          </cell>
          <cell r="H26">
            <v>379441.44</v>
          </cell>
          <cell r="I26">
            <v>58662.460000000021</v>
          </cell>
          <cell r="J26">
            <v>2232464.0299999998</v>
          </cell>
          <cell r="K26">
            <v>2370199.31</v>
          </cell>
        </row>
        <row r="27">
          <cell r="A27" t="str">
            <v>מחמוד פארס</v>
          </cell>
          <cell r="B27" t="str">
            <v xml:space="preserve">ערן גירוני </v>
          </cell>
          <cell r="C27" t="str">
            <v xml:space="preserve">סוכנים </v>
          </cell>
          <cell r="D27"/>
          <cell r="E27"/>
          <cell r="F27"/>
          <cell r="G27"/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>ריזק חלבי</v>
          </cell>
          <cell r="B28" t="str">
            <v xml:space="preserve">ערן גירוני </v>
          </cell>
          <cell r="C28" t="str">
            <v xml:space="preserve">סוכנים </v>
          </cell>
          <cell r="D28"/>
          <cell r="E28"/>
          <cell r="F28"/>
          <cell r="G28"/>
          <cell r="H28">
            <v>13.87</v>
          </cell>
          <cell r="I28">
            <v>14353.8</v>
          </cell>
          <cell r="J28">
            <v>0</v>
          </cell>
          <cell r="K28">
            <v>0</v>
          </cell>
        </row>
        <row r="29">
          <cell r="A29" t="str">
            <v>שלבי מיסון</v>
          </cell>
          <cell r="B29" t="str">
            <v xml:space="preserve">ערן גירוני </v>
          </cell>
          <cell r="C29" t="str">
            <v xml:space="preserve">סוכנים </v>
          </cell>
          <cell r="D29">
            <v>100290.03</v>
          </cell>
          <cell r="E29">
            <v>47131.56</v>
          </cell>
          <cell r="F29">
            <v>14588.59</v>
          </cell>
          <cell r="G29">
            <v>310614.69</v>
          </cell>
          <cell r="H29">
            <v>258548.46000000002</v>
          </cell>
          <cell r="I29">
            <v>11792.009999999995</v>
          </cell>
          <cell r="J29">
            <v>35837.869999999995</v>
          </cell>
          <cell r="K29">
            <v>143875.45000000001</v>
          </cell>
        </row>
        <row r="30">
          <cell r="A30" t="str">
            <v>בחוס יוסף</v>
          </cell>
          <cell r="B30" t="str">
            <v xml:space="preserve">ערן גירוני </v>
          </cell>
          <cell r="C30" t="str">
            <v xml:space="preserve">סוכנים </v>
          </cell>
          <cell r="D30">
            <v>1530161.84</v>
          </cell>
          <cell r="E30">
            <v>91840.51</v>
          </cell>
          <cell r="F30">
            <v>2388443.64</v>
          </cell>
          <cell r="G30">
            <v>7705582.2699999996</v>
          </cell>
          <cell r="H30">
            <v>1313729.6600000001</v>
          </cell>
          <cell r="I30">
            <v>190471.73999999993</v>
          </cell>
          <cell r="J30">
            <v>1083316.27</v>
          </cell>
          <cell r="K30">
            <v>2105761.59</v>
          </cell>
        </row>
        <row r="31">
          <cell r="A31" t="str">
            <v>קליין סיון</v>
          </cell>
          <cell r="B31" t="str">
            <v xml:space="preserve">ערן גירוני </v>
          </cell>
          <cell r="C31" t="str">
            <v xml:space="preserve">סוכנים </v>
          </cell>
          <cell r="D31">
            <v>344567.28</v>
          </cell>
          <cell r="E31">
            <v>13085.82</v>
          </cell>
          <cell r="F31">
            <v>23381.5</v>
          </cell>
          <cell r="G31">
            <v>1308566.2</v>
          </cell>
          <cell r="H31">
            <v>717646.67</v>
          </cell>
          <cell r="I31">
            <v>60793.270000000019</v>
          </cell>
          <cell r="J31">
            <v>0</v>
          </cell>
          <cell r="K31">
            <v>3479851.4699999997</v>
          </cell>
        </row>
        <row r="32">
          <cell r="A32" t="str">
            <v>צקותאי אורי</v>
          </cell>
          <cell r="B32" t="str">
            <v xml:space="preserve">ערן גירוני </v>
          </cell>
          <cell r="C32" t="str">
            <v xml:space="preserve">סוכנים </v>
          </cell>
          <cell r="D32"/>
          <cell r="E32">
            <v>8.1</v>
          </cell>
          <cell r="F32">
            <v>14500.7</v>
          </cell>
          <cell r="G32"/>
          <cell r="H32">
            <v>0</v>
          </cell>
          <cell r="I32">
            <v>7466.0899999999992</v>
          </cell>
          <cell r="J32">
            <v>0</v>
          </cell>
          <cell r="K32">
            <v>0</v>
          </cell>
        </row>
        <row r="33">
          <cell r="A33" t="str">
            <v>סמיר בלאן</v>
          </cell>
          <cell r="B33" t="str">
            <v xml:space="preserve">ערן גירוני </v>
          </cell>
          <cell r="C33" t="str">
            <v xml:space="preserve">סוכנים </v>
          </cell>
          <cell r="D33">
            <v>1040.8900000000001</v>
          </cell>
          <cell r="E33">
            <v>3674.18</v>
          </cell>
          <cell r="F33">
            <v>31086.42</v>
          </cell>
          <cell r="G33"/>
          <cell r="H33">
            <v>59770.03</v>
          </cell>
          <cell r="I33">
            <v>14250.400000000001</v>
          </cell>
          <cell r="J33">
            <v>0</v>
          </cell>
          <cell r="K33">
            <v>0</v>
          </cell>
        </row>
        <row r="34">
          <cell r="A34" t="str">
            <v>רפלוביץ מרינה</v>
          </cell>
          <cell r="B34" t="str">
            <v xml:space="preserve">ערן גירוני </v>
          </cell>
          <cell r="C34" t="str">
            <v xml:space="preserve">סוכנים </v>
          </cell>
          <cell r="D34">
            <v>33080.67</v>
          </cell>
          <cell r="E34">
            <v>9507.09</v>
          </cell>
          <cell r="F34">
            <v>142.63999999999999</v>
          </cell>
          <cell r="G34">
            <v>134541.57999999999</v>
          </cell>
          <cell r="H34">
            <v>154810.78</v>
          </cell>
          <cell r="I34">
            <v>10972.49</v>
          </cell>
          <cell r="J34">
            <v>0</v>
          </cell>
          <cell r="K34">
            <v>92098.33</v>
          </cell>
        </row>
        <row r="35">
          <cell r="A35" t="str">
            <v>רן בסין</v>
          </cell>
          <cell r="B35" t="str">
            <v xml:space="preserve">ערן גירוני </v>
          </cell>
          <cell r="C35" t="str">
            <v xml:space="preserve">סוכנים </v>
          </cell>
          <cell r="D35"/>
          <cell r="E35">
            <v>876.88</v>
          </cell>
          <cell r="F35"/>
          <cell r="G35"/>
          <cell r="H35">
            <v>0</v>
          </cell>
          <cell r="I35">
            <v>331.12</v>
          </cell>
          <cell r="J35">
            <v>0</v>
          </cell>
          <cell r="K35">
            <v>0</v>
          </cell>
        </row>
        <row r="36">
          <cell r="A36" t="str">
            <v>אלקרינאוי ראוף</v>
          </cell>
          <cell r="B36" t="str">
            <v xml:space="preserve">ערן גירוני </v>
          </cell>
          <cell r="C36" t="str">
            <v xml:space="preserve">סוכנים </v>
          </cell>
          <cell r="D36"/>
          <cell r="E36"/>
          <cell r="F36"/>
          <cell r="G36"/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A37" t="str">
            <v>דאי גדי</v>
          </cell>
          <cell r="B37" t="str">
            <v xml:space="preserve">ערן גירוני </v>
          </cell>
          <cell r="C37" t="str">
            <v xml:space="preserve">סוכנים </v>
          </cell>
          <cell r="D37">
            <v>2931.65</v>
          </cell>
          <cell r="E37">
            <v>738.21</v>
          </cell>
          <cell r="F37">
            <v>39004</v>
          </cell>
          <cell r="G37"/>
          <cell r="H37">
            <v>693872.11000000045</v>
          </cell>
          <cell r="I37">
            <v>118546.14999999994</v>
          </cell>
          <cell r="J37">
            <v>3932917.4400000004</v>
          </cell>
          <cell r="K37">
            <v>2522073.29</v>
          </cell>
        </row>
        <row r="38">
          <cell r="A38" t="str">
            <v>מילאד אבו שקארה</v>
          </cell>
          <cell r="B38" t="str">
            <v xml:space="preserve">ערן גירוני </v>
          </cell>
          <cell r="C38" t="str">
            <v xml:space="preserve">סוכנים </v>
          </cell>
          <cell r="D38">
            <v>4623.51</v>
          </cell>
          <cell r="E38">
            <v>2433.31</v>
          </cell>
          <cell r="F38">
            <v>0</v>
          </cell>
          <cell r="G38"/>
          <cell r="H38">
            <v>122064.14999999998</v>
          </cell>
          <cell r="I38">
            <v>36463.310000000005</v>
          </cell>
          <cell r="J38">
            <v>21629.510000000002</v>
          </cell>
          <cell r="K38">
            <v>0</v>
          </cell>
        </row>
        <row r="39">
          <cell r="A39" t="str">
            <v>דראושה אדהם</v>
          </cell>
          <cell r="B39" t="str">
            <v xml:space="preserve">ערן גירוני </v>
          </cell>
          <cell r="C39" t="str">
            <v xml:space="preserve">סוכנים </v>
          </cell>
          <cell r="D39">
            <v>3.78</v>
          </cell>
          <cell r="E39">
            <v>1.44</v>
          </cell>
          <cell r="F39"/>
          <cell r="G39"/>
          <cell r="H39">
            <v>5.58</v>
          </cell>
          <cell r="I39">
            <v>0</v>
          </cell>
          <cell r="J39">
            <v>0</v>
          </cell>
          <cell r="K39">
            <v>0</v>
          </cell>
        </row>
        <row r="40">
          <cell r="A40" t="str">
            <v>בדארנה עומר</v>
          </cell>
          <cell r="B40" t="str">
            <v xml:space="preserve">ערן גירוני </v>
          </cell>
          <cell r="C40" t="str">
            <v xml:space="preserve">סוכנים </v>
          </cell>
          <cell r="D40"/>
          <cell r="E40"/>
          <cell r="F40"/>
          <cell r="G40"/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A41" t="str">
            <v>ערן שמילוביץ</v>
          </cell>
          <cell r="B41" t="str">
            <v>לא מפוקחים</v>
          </cell>
          <cell r="C41" t="str">
            <v xml:space="preserve">סוכנים </v>
          </cell>
          <cell r="D41"/>
          <cell r="E41">
            <v>7769.72</v>
          </cell>
          <cell r="F41"/>
          <cell r="G41"/>
          <cell r="H41">
            <v>138.73000000000002</v>
          </cell>
          <cell r="I41">
            <v>9952.0400000000009</v>
          </cell>
          <cell r="J41">
            <v>14696.37</v>
          </cell>
          <cell r="K41">
            <v>0</v>
          </cell>
        </row>
        <row r="42">
          <cell r="A42" t="str">
            <v>לוי חיים</v>
          </cell>
          <cell r="B42" t="str">
            <v xml:space="preserve">ערן גירוני </v>
          </cell>
          <cell r="C42" t="str">
            <v xml:space="preserve">סוכנים </v>
          </cell>
          <cell r="D42">
            <v>17098.46</v>
          </cell>
          <cell r="E42">
            <v>3788.13</v>
          </cell>
          <cell r="F42">
            <v>832.34</v>
          </cell>
          <cell r="G42"/>
          <cell r="H42">
            <v>0</v>
          </cell>
          <cell r="I42">
            <v>6259.91</v>
          </cell>
          <cell r="J42">
            <v>0</v>
          </cell>
          <cell r="K42">
            <v>0</v>
          </cell>
        </row>
        <row r="43">
          <cell r="A43" t="str">
            <v xml:space="preserve">אבו חיט ניזאם </v>
          </cell>
          <cell r="B43" t="str">
            <v>לא מפוקחים</v>
          </cell>
          <cell r="C43" t="str">
            <v xml:space="preserve">סוכנים </v>
          </cell>
          <cell r="D43">
            <v>46947.519999999997</v>
          </cell>
          <cell r="E43">
            <v>12917.18</v>
          </cell>
          <cell r="F43">
            <v>17522.52</v>
          </cell>
          <cell r="G43"/>
          <cell r="H43"/>
          <cell r="I43">
            <v>0</v>
          </cell>
          <cell r="J43">
            <v>0</v>
          </cell>
          <cell r="K43">
            <v>0</v>
          </cell>
        </row>
        <row r="44">
          <cell r="A44" t="str">
            <v>מטאנס זוהיר</v>
          </cell>
          <cell r="B44" t="str">
            <v>לא מפוקחים</v>
          </cell>
          <cell r="C44" t="str">
            <v xml:space="preserve">סוכנים </v>
          </cell>
          <cell r="D44">
            <v>128.1</v>
          </cell>
          <cell r="E44"/>
          <cell r="F44"/>
          <cell r="G44"/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דאי דניאל</v>
          </cell>
          <cell r="B45" t="str">
            <v xml:space="preserve">ערן גירוני </v>
          </cell>
          <cell r="C45" t="str">
            <v xml:space="preserve">סוכנים </v>
          </cell>
          <cell r="D45">
            <v>97185.23</v>
          </cell>
          <cell r="E45"/>
          <cell r="F45"/>
          <cell r="G45">
            <v>651397.26</v>
          </cell>
          <cell r="H45"/>
          <cell r="I45">
            <v>0</v>
          </cell>
          <cell r="J45">
            <v>0</v>
          </cell>
          <cell r="K45">
            <v>0</v>
          </cell>
        </row>
        <row r="46">
          <cell r="A46" t="str">
            <v>דני פחימה</v>
          </cell>
          <cell r="B46" t="str">
            <v>לא מפוקחים</v>
          </cell>
          <cell r="C46" t="str">
            <v xml:space="preserve">סוכנים </v>
          </cell>
          <cell r="D46">
            <v>41343.480000000003</v>
          </cell>
          <cell r="E46"/>
          <cell r="F46">
            <v>42338.01</v>
          </cell>
          <cell r="G46">
            <v>131949.32</v>
          </cell>
          <cell r="H46">
            <v>65813.14</v>
          </cell>
          <cell r="I46">
            <v>6442.1599999999989</v>
          </cell>
          <cell r="J46">
            <v>726738.14999999991</v>
          </cell>
          <cell r="K46">
            <v>580402.93999999994</v>
          </cell>
        </row>
        <row r="47">
          <cell r="A47" t="str">
            <v>עאטף עדווי</v>
          </cell>
          <cell r="B47" t="str">
            <v>לא מפוקחים</v>
          </cell>
          <cell r="C47" t="str">
            <v xml:space="preserve">סוכנים </v>
          </cell>
          <cell r="D47">
            <v>82758.14</v>
          </cell>
          <cell r="E47">
            <v>2637.85</v>
          </cell>
          <cell r="F47">
            <v>139502.82</v>
          </cell>
          <cell r="G47"/>
          <cell r="H47">
            <v>156656.74000000002</v>
          </cell>
          <cell r="I47">
            <v>21527.719999999998</v>
          </cell>
          <cell r="J47">
            <v>0</v>
          </cell>
          <cell r="K47">
            <v>-1.0000000009313226E-2</v>
          </cell>
        </row>
        <row r="48">
          <cell r="A48" t="str">
            <v>אביב מור יוסף</v>
          </cell>
          <cell r="B48" t="str">
            <v>לא מפוקחים</v>
          </cell>
          <cell r="C48" t="str">
            <v xml:space="preserve">סוכנים </v>
          </cell>
          <cell r="D48">
            <v>1191760.25</v>
          </cell>
          <cell r="E48">
            <v>5381.06</v>
          </cell>
          <cell r="F48">
            <v>779211.36</v>
          </cell>
          <cell r="G48">
            <v>3818671.65</v>
          </cell>
          <cell r="H48">
            <v>55079.38</v>
          </cell>
          <cell r="I48">
            <v>7759.29</v>
          </cell>
          <cell r="J48">
            <v>0</v>
          </cell>
          <cell r="K48">
            <v>367703.47</v>
          </cell>
          <cell r="L48"/>
        </row>
        <row r="49">
          <cell r="A49" t="str">
            <v>אחמד עלי אחמד</v>
          </cell>
          <cell r="B49" t="str">
            <v xml:space="preserve">ערן גירוני </v>
          </cell>
          <cell r="C49" t="str">
            <v xml:space="preserve">סוכנים </v>
          </cell>
          <cell r="D49"/>
          <cell r="E49"/>
          <cell r="F49"/>
          <cell r="G49"/>
          <cell r="H49">
            <v>0</v>
          </cell>
          <cell r="I49">
            <v>639.77</v>
          </cell>
          <cell r="J49">
            <v>0</v>
          </cell>
          <cell r="K49">
            <v>0</v>
          </cell>
        </row>
        <row r="50">
          <cell r="A50" t="str">
            <v>לילי שרון</v>
          </cell>
          <cell r="B50" t="str">
            <v xml:space="preserve">ערן גירוני </v>
          </cell>
          <cell r="C50" t="str">
            <v xml:space="preserve">סוכנים </v>
          </cell>
          <cell r="D50"/>
          <cell r="E50">
            <v>185.23</v>
          </cell>
          <cell r="F50"/>
          <cell r="G50"/>
          <cell r="H50">
            <v>25397.98</v>
          </cell>
          <cell r="I50">
            <v>5244.18</v>
          </cell>
          <cell r="J50">
            <v>0</v>
          </cell>
          <cell r="K50">
            <v>119501.31</v>
          </cell>
        </row>
        <row r="51">
          <cell r="A51" t="str">
            <v>אילנית כהן</v>
          </cell>
          <cell r="B51" t="str">
            <v xml:space="preserve">ערן גירוני </v>
          </cell>
          <cell r="C51" t="str">
            <v xml:space="preserve">סוכנים </v>
          </cell>
          <cell r="D51"/>
          <cell r="E51">
            <v>6045.95</v>
          </cell>
          <cell r="F51"/>
          <cell r="G51"/>
          <cell r="H51"/>
          <cell r="I51">
            <v>0</v>
          </cell>
          <cell r="J51">
            <v>0</v>
          </cell>
          <cell r="K51">
            <v>0</v>
          </cell>
        </row>
        <row r="52">
          <cell r="A52" t="str">
            <v>מכלול סוכנות לביטוח</v>
          </cell>
          <cell r="B52" t="str">
            <v>לא מפוקחים</v>
          </cell>
          <cell r="C52" t="str">
            <v xml:space="preserve">סוכנים </v>
          </cell>
          <cell r="D52"/>
          <cell r="E52"/>
          <cell r="F52"/>
          <cell r="G52"/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דורון ענק הביטוח</v>
          </cell>
          <cell r="B53" t="str">
            <v>לא מפוקחים</v>
          </cell>
          <cell r="C53" t="str">
            <v xml:space="preserve">סוכנים </v>
          </cell>
          <cell r="D53">
            <v>473.39</v>
          </cell>
          <cell r="E53">
            <v>3774.49</v>
          </cell>
          <cell r="F53"/>
          <cell r="G53"/>
          <cell r="H53"/>
          <cell r="I53">
            <v>0</v>
          </cell>
          <cell r="J53">
            <v>0</v>
          </cell>
          <cell r="K53">
            <v>0</v>
          </cell>
        </row>
        <row r="54">
          <cell r="A54" t="str">
            <v>גול זאב</v>
          </cell>
          <cell r="B54" t="str">
            <v>לא מפוקחים</v>
          </cell>
          <cell r="C54" t="str">
            <v xml:space="preserve">סוכנים </v>
          </cell>
          <cell r="D54">
            <v>5230.66</v>
          </cell>
          <cell r="E54">
            <v>4879.2</v>
          </cell>
          <cell r="F54">
            <v>1035.28</v>
          </cell>
          <cell r="G54"/>
          <cell r="H54">
            <v>18954.07</v>
          </cell>
          <cell r="I54">
            <v>545.66</v>
          </cell>
          <cell r="J54">
            <v>276.59999999999997</v>
          </cell>
          <cell r="K54">
            <v>0</v>
          </cell>
        </row>
        <row r="55">
          <cell r="A55" t="str">
            <v>עבוד כיתי</v>
          </cell>
          <cell r="B55" t="str">
            <v xml:space="preserve">ערן גירוני </v>
          </cell>
          <cell r="C55" t="str">
            <v xml:space="preserve">סוכנים </v>
          </cell>
          <cell r="D55"/>
          <cell r="E55">
            <v>7347.69</v>
          </cell>
          <cell r="F55">
            <v>17994.53</v>
          </cell>
          <cell r="G55"/>
          <cell r="H55">
            <v>0</v>
          </cell>
          <cell r="I55">
            <v>31447.140000000007</v>
          </cell>
          <cell r="J55">
            <v>0</v>
          </cell>
          <cell r="K55">
            <v>0</v>
          </cell>
        </row>
        <row r="56">
          <cell r="A56" t="str">
            <v>יעקב ישראל שטרן</v>
          </cell>
          <cell r="B56" t="str">
            <v xml:space="preserve">ערן גירוני </v>
          </cell>
          <cell r="C56" t="str">
            <v xml:space="preserve">סוכנים </v>
          </cell>
          <cell r="D56">
            <v>14017.31</v>
          </cell>
          <cell r="E56">
            <v>714.32</v>
          </cell>
          <cell r="F56">
            <v>254214.89</v>
          </cell>
          <cell r="G56"/>
          <cell r="H56">
            <v>60133.149999999994</v>
          </cell>
          <cell r="I56">
            <v>0</v>
          </cell>
          <cell r="J56">
            <v>0</v>
          </cell>
          <cell r="K56">
            <v>35064.239999999998</v>
          </cell>
        </row>
        <row r="57">
          <cell r="A57" t="str">
            <v xml:space="preserve">ניר יבלונקה </v>
          </cell>
          <cell r="B57" t="str">
            <v xml:space="preserve">ערן גירוני </v>
          </cell>
          <cell r="C57" t="str">
            <v xml:space="preserve">סוכנים </v>
          </cell>
          <cell r="D57">
            <v>146737.63</v>
          </cell>
          <cell r="E57">
            <v>2442.6</v>
          </cell>
          <cell r="F57">
            <v>318697.62</v>
          </cell>
          <cell r="G57">
            <v>938893.53</v>
          </cell>
          <cell r="H57"/>
          <cell r="I57">
            <v>0</v>
          </cell>
          <cell r="J57">
            <v>0</v>
          </cell>
          <cell r="K57">
            <v>0</v>
          </cell>
        </row>
        <row r="58">
          <cell r="A58" t="str">
            <v>גלידר אנה</v>
          </cell>
          <cell r="B58" t="str">
            <v>יוסי אביב</v>
          </cell>
          <cell r="C58" t="str">
            <v xml:space="preserve">סוכנים </v>
          </cell>
          <cell r="D58">
            <v>576601.09</v>
          </cell>
          <cell r="E58">
            <v>1236.78</v>
          </cell>
          <cell r="F58">
            <v>376069.9</v>
          </cell>
          <cell r="G58">
            <v>5501839.4900000002</v>
          </cell>
          <cell r="H58">
            <v>782959.85999999975</v>
          </cell>
          <cell r="I58">
            <v>57881.159999999974</v>
          </cell>
          <cell r="J58">
            <v>951067.02</v>
          </cell>
          <cell r="K58">
            <v>3627723.63</v>
          </cell>
        </row>
        <row r="59">
          <cell r="A59" t="str">
            <v>יונתן מנחם</v>
          </cell>
          <cell r="B59" t="str">
            <v xml:space="preserve">ערן גירוני </v>
          </cell>
          <cell r="C59" t="str">
            <v xml:space="preserve">סוכנים </v>
          </cell>
          <cell r="D59">
            <v>78906.47</v>
          </cell>
          <cell r="E59">
            <v>3676.3</v>
          </cell>
          <cell r="F59">
            <v>20329</v>
          </cell>
          <cell r="G59"/>
          <cell r="H59">
            <v>9496.19</v>
          </cell>
          <cell r="I59">
            <v>9442.14</v>
          </cell>
          <cell r="J59">
            <v>13504.36</v>
          </cell>
          <cell r="K59">
            <v>0</v>
          </cell>
        </row>
        <row r="60">
          <cell r="A60" t="str">
            <v>ינאי חיים בוני</v>
          </cell>
          <cell r="B60" t="str">
            <v xml:space="preserve">ערן גירוני </v>
          </cell>
          <cell r="C60" t="str">
            <v xml:space="preserve">סוכנים </v>
          </cell>
          <cell r="D60">
            <v>148337.67000000001</v>
          </cell>
          <cell r="E60">
            <v>8375.2999999999993</v>
          </cell>
          <cell r="F60">
            <v>978543</v>
          </cell>
          <cell r="G60">
            <v>2586567</v>
          </cell>
          <cell r="H60"/>
          <cell r="I60">
            <v>0</v>
          </cell>
          <cell r="J60">
            <v>0</v>
          </cell>
          <cell r="K60">
            <v>0</v>
          </cell>
          <cell r="M60"/>
        </row>
        <row r="61">
          <cell r="A61" t="str">
            <v>יהונתן שיוביץ</v>
          </cell>
          <cell r="B61" t="str">
            <v xml:space="preserve">ערן גירוני </v>
          </cell>
          <cell r="C61" t="str">
            <v xml:space="preserve">סוכנים </v>
          </cell>
          <cell r="D61"/>
          <cell r="E61">
            <v>1057.6400000000001</v>
          </cell>
          <cell r="F61"/>
          <cell r="G61"/>
          <cell r="H61">
            <v>16679.64</v>
          </cell>
          <cell r="I61">
            <v>6807.8799999999992</v>
          </cell>
          <cell r="J61">
            <v>30028.36</v>
          </cell>
          <cell r="K61">
            <v>0</v>
          </cell>
          <cell r="M61"/>
        </row>
        <row r="62">
          <cell r="A62" t="str">
            <v>שירלי בוכריס</v>
          </cell>
          <cell r="B62" t="str">
            <v xml:space="preserve">ערן גירוני </v>
          </cell>
          <cell r="C62" t="str">
            <v xml:space="preserve">סוכנים </v>
          </cell>
          <cell r="D62">
            <v>725082.85</v>
          </cell>
          <cell r="E62">
            <v>16052.36</v>
          </cell>
          <cell r="F62">
            <v>969195.89</v>
          </cell>
          <cell r="G62">
            <v>2463693.27</v>
          </cell>
          <cell r="H62">
            <v>285606.32</v>
          </cell>
          <cell r="I62">
            <v>32652.78</v>
          </cell>
          <cell r="J62">
            <v>2155123.6400000006</v>
          </cell>
          <cell r="K62">
            <v>564845.89</v>
          </cell>
          <cell r="M62"/>
        </row>
        <row r="63">
          <cell r="A63" t="str">
            <v>סיון פיינרו</v>
          </cell>
          <cell r="B63" t="str">
            <v xml:space="preserve">ערן גירוני </v>
          </cell>
          <cell r="C63" t="str">
            <v xml:space="preserve">סוכנים </v>
          </cell>
          <cell r="D63">
            <v>33310.21</v>
          </cell>
          <cell r="E63"/>
          <cell r="F63"/>
          <cell r="G63">
            <v>45819.25</v>
          </cell>
          <cell r="H63">
            <v>20595.810000000001</v>
          </cell>
          <cell r="I63">
            <v>3151.12</v>
          </cell>
          <cell r="J63">
            <v>0</v>
          </cell>
          <cell r="K63">
            <v>168136.96000000002</v>
          </cell>
        </row>
        <row r="64">
          <cell r="A64" t="str">
            <v>יתר הסוכנים</v>
          </cell>
          <cell r="B64"/>
          <cell r="C64"/>
          <cell r="D64">
            <v>6138684.7399999984</v>
          </cell>
          <cell r="E64">
            <v>380373.70999999996</v>
          </cell>
          <cell r="F64">
            <v>9376008.0500000007</v>
          </cell>
          <cell r="G64">
            <v>31562979.970000003</v>
          </cell>
          <cell r="H64">
            <v>5397593.1500000004</v>
          </cell>
          <cell r="I64">
            <v>775211.01000000013</v>
          </cell>
          <cell r="J64">
            <v>12289048.379999999</v>
          </cell>
          <cell r="K64">
            <v>17408919.940000005</v>
          </cell>
        </row>
        <row r="65">
          <cell r="A65" t="str">
            <v>אריאל בר-חיים</v>
          </cell>
          <cell r="B65" t="str">
            <v>יוסי אביב</v>
          </cell>
          <cell r="C65" t="str">
            <v>פרמיום</v>
          </cell>
          <cell r="D65">
            <v>525125.12</v>
          </cell>
          <cell r="E65">
            <v>11261.17</v>
          </cell>
          <cell r="F65">
            <v>2045173</v>
          </cell>
          <cell r="G65">
            <v>2929015.95</v>
          </cell>
          <cell r="H65">
            <v>73947.94</v>
          </cell>
          <cell r="I65">
            <v>9370.6800000000021</v>
          </cell>
          <cell r="J65">
            <v>0</v>
          </cell>
          <cell r="K65">
            <v>167423.14000000001</v>
          </cell>
        </row>
        <row r="66">
          <cell r="A66" t="str">
            <v>שלי מזרחי</v>
          </cell>
          <cell r="B66" t="str">
            <v xml:space="preserve">ערן גירוני </v>
          </cell>
          <cell r="C66" t="str">
            <v xml:space="preserve">פרמיום </v>
          </cell>
          <cell r="D66">
            <v>1657076.1</v>
          </cell>
          <cell r="E66">
            <v>139788.14000000001</v>
          </cell>
          <cell r="F66">
            <v>3972476.92</v>
          </cell>
          <cell r="G66">
            <v>12220746.82</v>
          </cell>
          <cell r="H66">
            <v>416643.89</v>
          </cell>
          <cell r="I66">
            <v>81117</v>
          </cell>
          <cell r="J66">
            <v>1017430.91</v>
          </cell>
          <cell r="K66">
            <v>2250212.2800000003</v>
          </cell>
        </row>
        <row r="67">
          <cell r="A67" t="str">
            <v>חנה כצנלסון</v>
          </cell>
          <cell r="B67" t="str">
            <v>יוסי אביב</v>
          </cell>
          <cell r="C67" t="str">
            <v xml:space="preserve">פרמיום </v>
          </cell>
          <cell r="D67">
            <v>181710.16</v>
          </cell>
          <cell r="E67">
            <v>4211.68</v>
          </cell>
          <cell r="F67"/>
          <cell r="G67">
            <v>1299666.3899999999</v>
          </cell>
          <cell r="H67"/>
          <cell r="I67">
            <v>0</v>
          </cell>
          <cell r="J67">
            <v>0</v>
          </cell>
          <cell r="K67">
            <v>0</v>
          </cell>
        </row>
        <row r="68">
          <cell r="A68" t="str">
            <v xml:space="preserve">מיכאל וקסלר </v>
          </cell>
          <cell r="B68" t="str">
            <v xml:space="preserve">ערן גירוני </v>
          </cell>
          <cell r="C68" t="str">
            <v xml:space="preserve">פרמיום </v>
          </cell>
          <cell r="D68">
            <v>116219.22</v>
          </cell>
          <cell r="E68"/>
          <cell r="F68">
            <v>107596.02</v>
          </cell>
          <cell r="G68">
            <v>292379.49</v>
          </cell>
          <cell r="H68"/>
          <cell r="I68">
            <v>0</v>
          </cell>
          <cell r="J68">
            <v>0</v>
          </cell>
          <cell r="K68">
            <v>0</v>
          </cell>
        </row>
        <row r="69">
          <cell r="A69" t="str">
            <v xml:space="preserve">שני לוי </v>
          </cell>
          <cell r="B69" t="str">
            <v xml:space="preserve">ערן גירוני </v>
          </cell>
          <cell r="C69" t="str">
            <v xml:space="preserve">פרמיום </v>
          </cell>
          <cell r="D69"/>
          <cell r="E69">
            <v>1764.75</v>
          </cell>
          <cell r="F69"/>
          <cell r="G69"/>
          <cell r="H69"/>
          <cell r="I69">
            <v>0</v>
          </cell>
          <cell r="J69">
            <v>0</v>
          </cell>
          <cell r="K69">
            <v>0</v>
          </cell>
        </row>
        <row r="70">
          <cell r="A70" t="str">
            <v>נעם הלשטוק</v>
          </cell>
          <cell r="B70" t="str">
            <v xml:space="preserve">ערן גירוני </v>
          </cell>
          <cell r="C70" t="str">
            <v xml:space="preserve">פרמיום </v>
          </cell>
          <cell r="D70">
            <v>373813.08</v>
          </cell>
          <cell r="E70">
            <v>39928.03</v>
          </cell>
          <cell r="F70">
            <v>4051264.92</v>
          </cell>
          <cell r="G70">
            <v>4037541.94</v>
          </cell>
          <cell r="H70">
            <v>378158.96</v>
          </cell>
          <cell r="I70">
            <v>58368.74</v>
          </cell>
          <cell r="J70">
            <v>1824403.59</v>
          </cell>
          <cell r="K70">
            <v>1029113.0599999998</v>
          </cell>
        </row>
        <row r="71">
          <cell r="A71" t="str">
            <v>אורטל / לנג ביג סוכנות לביטוח פנסיוני</v>
          </cell>
          <cell r="B71" t="str">
            <v xml:space="preserve">ערן גירוני </v>
          </cell>
          <cell r="C71" t="str">
            <v xml:space="preserve">פרמיום </v>
          </cell>
          <cell r="D71">
            <v>2031035.51</v>
          </cell>
          <cell r="E71">
            <v>33958.58</v>
          </cell>
          <cell r="F71">
            <v>11661940</v>
          </cell>
          <cell r="G71">
            <v>12951576.99</v>
          </cell>
          <cell r="H71">
            <v>904119.31</v>
          </cell>
          <cell r="I71">
            <v>39356.639999999999</v>
          </cell>
          <cell r="J71">
            <v>19238852.120000001</v>
          </cell>
          <cell r="K71">
            <v>4637818.63</v>
          </cell>
          <cell r="L71"/>
        </row>
        <row r="72">
          <cell r="A72" t="str">
            <v>סטולרז אסף</v>
          </cell>
          <cell r="B72" t="str">
            <v>לא מפוקחים</v>
          </cell>
          <cell r="C72" t="str">
            <v>פרמיום</v>
          </cell>
          <cell r="D72">
            <v>61692.66</v>
          </cell>
          <cell r="E72">
            <v>8653.85</v>
          </cell>
          <cell r="F72">
            <v>2552751.02</v>
          </cell>
          <cell r="G72">
            <v>700623.18</v>
          </cell>
          <cell r="H72">
            <v>211132.86</v>
          </cell>
          <cell r="I72">
            <v>62495.439999999973</v>
          </cell>
          <cell r="J72">
            <v>6468362.6500000013</v>
          </cell>
          <cell r="K72">
            <v>886641.06</v>
          </cell>
        </row>
        <row r="73">
          <cell r="A73" t="str">
            <v>נור אבו ראס</v>
          </cell>
          <cell r="B73" t="str">
            <v xml:space="preserve">ערן גירוני </v>
          </cell>
          <cell r="C73" t="str">
            <v xml:space="preserve">פרמיום </v>
          </cell>
          <cell r="D73">
            <v>37877.620000000003</v>
          </cell>
          <cell r="E73">
            <v>4761.95</v>
          </cell>
          <cell r="F73"/>
          <cell r="G73"/>
          <cell r="H73">
            <v>4104.5699999999988</v>
          </cell>
          <cell r="I73">
            <v>41790.139999999978</v>
          </cell>
          <cell r="J73">
            <v>0</v>
          </cell>
          <cell r="K73">
            <v>0</v>
          </cell>
        </row>
        <row r="74">
          <cell r="A74" t="str">
            <v>סה"כ פרימיום</v>
          </cell>
          <cell r="B74"/>
          <cell r="C74"/>
          <cell r="D74">
            <v>4984549.4700000007</v>
          </cell>
          <cell r="E74">
            <v>244328.15000000005</v>
          </cell>
          <cell r="F74">
            <v>24391201.879999999</v>
          </cell>
          <cell r="G74">
            <v>34431550.759999998</v>
          </cell>
          <cell r="H74">
            <v>1988107.53</v>
          </cell>
          <cell r="I74">
            <v>292498.63999999996</v>
          </cell>
          <cell r="J74">
            <v>28549049.270000003</v>
          </cell>
          <cell r="K74">
            <v>8971208.1699999999</v>
          </cell>
        </row>
        <row r="75">
          <cell r="A75" t="str">
            <v>סה"כ כולל</v>
          </cell>
          <cell r="B75"/>
          <cell r="C75"/>
          <cell r="D75">
            <v>19134533.229999997</v>
          </cell>
          <cell r="E75">
            <v>1044044.51</v>
          </cell>
          <cell r="F75">
            <v>58589006.840000004</v>
          </cell>
          <cell r="G75">
            <v>119773810.99000001</v>
          </cell>
          <cell r="H75">
            <v>9676555.2200000007</v>
          </cell>
          <cell r="I75">
            <v>1961078.4850000013</v>
          </cell>
          <cell r="J75">
            <v>49896234.600000001</v>
          </cell>
          <cell r="K75">
            <v>40576263.100000001</v>
          </cell>
        </row>
        <row r="76">
          <cell r="H76"/>
          <cell r="I76"/>
          <cell r="J76"/>
        </row>
        <row r="77">
          <cell r="D77"/>
          <cell r="E77"/>
          <cell r="F77"/>
          <cell r="G77"/>
        </row>
        <row r="78">
          <cell r="D78"/>
          <cell r="E78"/>
          <cell r="F78"/>
          <cell r="G78"/>
        </row>
        <row r="79">
          <cell r="D79"/>
          <cell r="E79"/>
          <cell r="F79"/>
          <cell r="G79"/>
        </row>
        <row r="80">
          <cell r="D80"/>
          <cell r="E80"/>
          <cell r="F80"/>
          <cell r="G80"/>
        </row>
        <row r="81">
          <cell r="D81"/>
          <cell r="E81"/>
          <cell r="F81"/>
          <cell r="G81"/>
        </row>
      </sheetData>
      <sheetData sheetId="7"/>
      <sheetData sheetId="8"/>
      <sheetData sheetId="9">
        <row r="1">
          <cell r="A1"/>
          <cell r="B1"/>
          <cell r="C1"/>
          <cell r="D1">
            <v>2024</v>
          </cell>
          <cell r="E1"/>
          <cell r="F1"/>
          <cell r="G1"/>
          <cell r="H1">
            <v>2023</v>
          </cell>
          <cell r="I1"/>
          <cell r="J1"/>
          <cell r="K1"/>
        </row>
        <row r="2">
          <cell r="A2" t="str">
            <v>שם סוכן</v>
          </cell>
          <cell r="B2" t="str">
            <v xml:space="preserve">מפקח </v>
          </cell>
          <cell r="C2" t="str">
            <v>מחלקה</v>
          </cell>
          <cell r="D2" t="str">
            <v>פנסיוני</v>
          </cell>
          <cell r="E2" t="str">
            <v xml:space="preserve">סיכונים </v>
          </cell>
          <cell r="F2" t="str">
            <v>פיננסים</v>
          </cell>
          <cell r="G2" t="str">
            <v>ניודי פנסיה</v>
          </cell>
          <cell r="H2" t="str">
            <v>פנסיוני</v>
          </cell>
          <cell r="I2" t="str">
            <v xml:space="preserve">סיכונים </v>
          </cell>
          <cell r="J2" t="str">
            <v>פיננסים</v>
          </cell>
          <cell r="K2" t="str">
            <v xml:space="preserve">ניודי פנסיה </v>
          </cell>
        </row>
        <row r="3">
          <cell r="A3" t="str">
            <v>גל אלמגור סוכ</v>
          </cell>
          <cell r="B3" t="str">
            <v>יוסי אביב</v>
          </cell>
          <cell r="C3" t="str">
            <v xml:space="preserve">ישירים </v>
          </cell>
          <cell r="D3">
            <v>62994.773270000005</v>
          </cell>
          <cell r="E3">
            <v>30009.086712000004</v>
          </cell>
          <cell r="F3">
            <v>260583.16176199997</v>
          </cell>
          <cell r="G3">
            <v>21554.218817999998</v>
          </cell>
          <cell r="H3">
            <v>100267.36701799999</v>
          </cell>
          <cell r="I3">
            <v>91435.342409999925</v>
          </cell>
          <cell r="J3">
            <v>8613.7391019999341</v>
          </cell>
          <cell r="K3">
            <v>13721.622292000335</v>
          </cell>
        </row>
        <row r="4">
          <cell r="A4" t="str">
            <v>דניאלה אביב</v>
          </cell>
          <cell r="B4" t="str">
            <v>יוסי אביב</v>
          </cell>
          <cell r="C4" t="str">
            <v xml:space="preserve">ישירים </v>
          </cell>
          <cell r="D4">
            <v>50152.986575999996</v>
          </cell>
          <cell r="E4">
            <v>236.83952600000001</v>
          </cell>
          <cell r="F4"/>
          <cell r="G4"/>
          <cell r="H4">
            <v>0</v>
          </cell>
          <cell r="I4">
            <v>8075.1287400000001</v>
          </cell>
          <cell r="J4">
            <v>12001.661294000001</v>
          </cell>
          <cell r="K4">
            <v>0</v>
          </cell>
        </row>
        <row r="5">
          <cell r="A5" t="str">
            <v xml:space="preserve">רותי </v>
          </cell>
          <cell r="B5" t="str">
            <v>יוסי אביב</v>
          </cell>
          <cell r="C5" t="str">
            <v xml:space="preserve">ישירים </v>
          </cell>
          <cell r="D5"/>
          <cell r="E5">
            <v>2671.1382060000001</v>
          </cell>
          <cell r="F5"/>
          <cell r="G5"/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 t="str">
            <v xml:space="preserve">אילנית </v>
          </cell>
          <cell r="B6" t="str">
            <v>יוסי אביב</v>
          </cell>
          <cell r="C6" t="str">
            <v xml:space="preserve">ישירים </v>
          </cell>
          <cell r="D6">
            <v>0</v>
          </cell>
          <cell r="E6">
            <v>6785.1200559999997</v>
          </cell>
          <cell r="F6">
            <v>9673.4548679999989</v>
          </cell>
          <cell r="G6">
            <v>13184.826094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סה"כ ישיר</v>
          </cell>
          <cell r="B7"/>
          <cell r="C7"/>
          <cell r="D7">
            <v>113147.759846</v>
          </cell>
          <cell r="E7">
            <v>39702.184500000003</v>
          </cell>
          <cell r="F7">
            <v>270256.61662999995</v>
          </cell>
          <cell r="G7">
            <v>34739.044911999998</v>
          </cell>
          <cell r="H7"/>
          <cell r="I7"/>
          <cell r="J7"/>
          <cell r="K7"/>
        </row>
        <row r="8">
          <cell r="A8" t="str">
            <v>בראשית סוכנות לביטוח</v>
          </cell>
          <cell r="B8" t="str">
            <v>יוסי אביב</v>
          </cell>
          <cell r="C8" t="str">
            <v xml:space="preserve">שותפים </v>
          </cell>
          <cell r="D8"/>
          <cell r="E8"/>
          <cell r="F8"/>
          <cell r="G8">
            <v>16447.927892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גל אלמגור דאוד סוכ' לב</v>
          </cell>
          <cell r="B9" t="str">
            <v>יוסי אביב</v>
          </cell>
          <cell r="C9" t="str">
            <v xml:space="preserve">שותפים </v>
          </cell>
          <cell r="D9">
            <v>11601.806017999999</v>
          </cell>
          <cell r="E9">
            <v>308563.399408</v>
          </cell>
          <cell r="F9">
            <v>12118.813366</v>
          </cell>
          <cell r="G9"/>
          <cell r="H9">
            <v>75018.918967999998</v>
          </cell>
          <cell r="I9">
            <v>258219.22720999995</v>
          </cell>
          <cell r="J9">
            <v>59153.493602000002</v>
          </cell>
          <cell r="K9">
            <v>306903.37564600003</v>
          </cell>
        </row>
        <row r="10">
          <cell r="A10" t="str">
            <v>גל אלמגור -וייס סוכנות</v>
          </cell>
          <cell r="B10" t="str">
            <v>יוסי אביב</v>
          </cell>
          <cell r="C10" t="str">
            <v xml:space="preserve">שותפים </v>
          </cell>
          <cell r="D10"/>
          <cell r="E10">
            <v>669.63853000000006</v>
          </cell>
          <cell r="F10"/>
          <cell r="G10"/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גל אלמגור דרום סוכ ל</v>
          </cell>
          <cell r="B11" t="str">
            <v>יוסי אביב</v>
          </cell>
          <cell r="C11" t="str">
            <v xml:space="preserve">שותפים </v>
          </cell>
          <cell r="D11"/>
          <cell r="E11"/>
          <cell r="F11"/>
          <cell r="G11"/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משה שטרן גל אלמגור</v>
          </cell>
          <cell r="B12" t="str">
            <v>יוסי אביב</v>
          </cell>
          <cell r="C12" t="str">
            <v xml:space="preserve">שותפים </v>
          </cell>
          <cell r="D12"/>
          <cell r="E12">
            <v>27027.875050000006</v>
          </cell>
          <cell r="F12"/>
          <cell r="G12"/>
          <cell r="H12">
            <v>0</v>
          </cell>
          <cell r="I12">
            <v>67566.795968000006</v>
          </cell>
          <cell r="J12">
            <v>0</v>
          </cell>
          <cell r="K12">
            <v>0</v>
          </cell>
          <cell r="N12"/>
          <cell r="O12"/>
          <cell r="P12"/>
        </row>
        <row r="13">
          <cell r="A13" t="str">
            <v>מקסימום סוכנות לבטוח פ</v>
          </cell>
          <cell r="B13" t="str">
            <v>יוסי אביב</v>
          </cell>
          <cell r="C13" t="str">
            <v xml:space="preserve">שותפים </v>
          </cell>
          <cell r="D13">
            <v>0</v>
          </cell>
          <cell r="E13">
            <v>0</v>
          </cell>
          <cell r="F13">
            <v>87296.040215999994</v>
          </cell>
          <cell r="G13">
            <v>3310.5721880000001</v>
          </cell>
          <cell r="H13">
            <v>0</v>
          </cell>
          <cell r="I13">
            <v>2031.078532</v>
          </cell>
          <cell r="J13">
            <v>55131.741770000001</v>
          </cell>
          <cell r="K13">
            <v>0</v>
          </cell>
          <cell r="N13"/>
          <cell r="O13"/>
          <cell r="P13"/>
        </row>
        <row r="14">
          <cell r="A14" t="str">
            <v>א.ד. אבידן ביטוחים בע"מ</v>
          </cell>
          <cell r="B14" t="str">
            <v>לא מפוקחים</v>
          </cell>
          <cell r="C14" t="str">
            <v xml:space="preserve">שותפים </v>
          </cell>
          <cell r="D14"/>
          <cell r="E14"/>
          <cell r="F14"/>
          <cell r="G14"/>
          <cell r="H14">
            <v>0</v>
          </cell>
          <cell r="I14">
            <v>0</v>
          </cell>
          <cell r="J14">
            <v>0</v>
          </cell>
          <cell r="K14">
            <v>0</v>
          </cell>
          <cell r="N14"/>
          <cell r="O14"/>
          <cell r="P14"/>
        </row>
        <row r="15">
          <cell r="A15" t="str">
            <v xml:space="preserve">גל אלמגור -ראם </v>
          </cell>
          <cell r="B15" t="str">
            <v>יוסי אביב</v>
          </cell>
          <cell r="C15" t="str">
            <v xml:space="preserve">שותפים </v>
          </cell>
          <cell r="D15">
            <v>206113.92819599999</v>
          </cell>
          <cell r="E15">
            <v>3599.0953680000002</v>
          </cell>
          <cell r="F15">
            <v>28533.661442000004</v>
          </cell>
          <cell r="G15">
            <v>84007.217579999982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אלרם סוכנות לביטוח</v>
          </cell>
          <cell r="B16" t="str">
            <v>יוסי אביב</v>
          </cell>
          <cell r="C16" t="str">
            <v xml:space="preserve">שותפים </v>
          </cell>
          <cell r="D16"/>
          <cell r="E16">
            <v>6716.441006</v>
          </cell>
          <cell r="F16">
            <v>45988.232047999998</v>
          </cell>
          <cell r="G16"/>
          <cell r="H16">
            <v>33794.104820000008</v>
          </cell>
          <cell r="I16">
            <v>2593.6415679999996</v>
          </cell>
          <cell r="J16">
            <v>38348.542386000001</v>
          </cell>
          <cell r="K16">
            <v>0</v>
          </cell>
        </row>
        <row r="17">
          <cell r="A17" t="str">
            <v>רכס אורן</v>
          </cell>
          <cell r="B17" t="str">
            <v>יוסי אביב</v>
          </cell>
          <cell r="C17" t="str">
            <v xml:space="preserve">שותפים </v>
          </cell>
          <cell r="D17">
            <v>39345</v>
          </cell>
          <cell r="E17">
            <v>7431</v>
          </cell>
          <cell r="F17">
            <v>539153</v>
          </cell>
          <cell r="G17"/>
          <cell r="H17">
            <v>94625.409738000002</v>
          </cell>
          <cell r="I17">
            <v>-69.136400000001004</v>
          </cell>
          <cell r="J17">
            <v>318473.29160400003</v>
          </cell>
          <cell r="K17">
            <v>25177</v>
          </cell>
        </row>
        <row r="18">
          <cell r="A18" t="str">
            <v>גולדר אבי</v>
          </cell>
          <cell r="B18" t="str">
            <v>יוסי אביב</v>
          </cell>
          <cell r="C18" t="str">
            <v xml:space="preserve">שותפים </v>
          </cell>
          <cell r="D18">
            <v>8713.6562480000011</v>
          </cell>
          <cell r="E18">
            <v>173.69750199999999</v>
          </cell>
          <cell r="F18">
            <v>61574.127548999997</v>
          </cell>
          <cell r="G18"/>
          <cell r="H18">
            <v>18867.096471999997</v>
          </cell>
          <cell r="I18">
            <v>373.94106399999998</v>
          </cell>
          <cell r="J18">
            <v>5193.7375139999995</v>
          </cell>
          <cell r="K18">
            <v>25176.68447</v>
          </cell>
        </row>
        <row r="19">
          <cell r="A19" t="str">
            <v>בדר צבי</v>
          </cell>
          <cell r="B19" t="str">
            <v>יוסי אביב</v>
          </cell>
          <cell r="C19" t="str">
            <v xml:space="preserve">שותפים </v>
          </cell>
          <cell r="D19"/>
          <cell r="E19"/>
          <cell r="F19"/>
          <cell r="G19"/>
          <cell r="H19">
            <v>74770.666249999995</v>
          </cell>
          <cell r="I19">
            <v>0</v>
          </cell>
          <cell r="J19">
            <v>11990.183786</v>
          </cell>
          <cell r="K19">
            <v>0</v>
          </cell>
        </row>
        <row r="20">
          <cell r="A20" t="str">
            <v>סה"כ חברות בנות</v>
          </cell>
          <cell r="B20"/>
          <cell r="C20"/>
          <cell r="D20">
            <v>265774.39046199998</v>
          </cell>
          <cell r="E20">
            <v>354181.14686400001</v>
          </cell>
          <cell r="F20">
            <v>774663.87462100002</v>
          </cell>
          <cell r="G20">
            <v>103765.71765999998</v>
          </cell>
          <cell r="H20">
            <v>297076.19624800002</v>
          </cell>
          <cell r="I20">
            <v>330715.54794199998</v>
          </cell>
          <cell r="J20">
            <v>488290.99066200003</v>
          </cell>
          <cell r="K20">
            <v>357257.06011600001</v>
          </cell>
        </row>
        <row r="21">
          <cell r="A21" t="str">
            <v>מועלם אלפרד</v>
          </cell>
          <cell r="B21" t="str">
            <v xml:space="preserve">ערן גירוני </v>
          </cell>
          <cell r="C21" t="str">
            <v xml:space="preserve">סוכנים </v>
          </cell>
          <cell r="D21">
            <v>1167995.9076060001</v>
          </cell>
          <cell r="E21">
            <v>114740.84336000009</v>
          </cell>
          <cell r="F21">
            <v>1203103.5277139999</v>
          </cell>
          <cell r="G21">
            <v>3256971.769326</v>
          </cell>
          <cell r="H21">
            <v>1142209.5307</v>
          </cell>
          <cell r="I21">
            <v>118758.61475800001</v>
          </cell>
          <cell r="J21">
            <v>332240.16722400003</v>
          </cell>
          <cell r="K21">
            <v>3308287.9292819998</v>
          </cell>
        </row>
        <row r="22">
          <cell r="A22" t="str">
            <v>גרניק בנימין</v>
          </cell>
          <cell r="B22" t="str">
            <v xml:space="preserve">ערן גירוני </v>
          </cell>
          <cell r="C22" t="str">
            <v xml:space="preserve">סוכנים </v>
          </cell>
          <cell r="D22">
            <v>106385.77004</v>
          </cell>
          <cell r="E22">
            <v>23253.644545999996</v>
          </cell>
          <cell r="F22">
            <v>701053.97861400002</v>
          </cell>
          <cell r="G22">
            <v>29859.231159999999</v>
          </cell>
          <cell r="H22">
            <v>221666.44691800003</v>
          </cell>
          <cell r="I22">
            <v>18401.211486000004</v>
          </cell>
          <cell r="J22">
            <v>275565.37496600003</v>
          </cell>
          <cell r="K22">
            <v>318893.75209999998</v>
          </cell>
        </row>
        <row r="23">
          <cell r="A23" t="str">
            <v>סאוסן שלבי</v>
          </cell>
          <cell r="B23" t="str">
            <v xml:space="preserve">ערן גירוני </v>
          </cell>
          <cell r="C23" t="str">
            <v xml:space="preserve">סוכנים </v>
          </cell>
          <cell r="D23"/>
          <cell r="E23">
            <v>12285.664314000001</v>
          </cell>
          <cell r="F23"/>
          <cell r="G23"/>
          <cell r="H23">
            <v>36524.898480000003</v>
          </cell>
          <cell r="I23">
            <v>20786.124800000001</v>
          </cell>
          <cell r="J23">
            <v>54423.810728000011</v>
          </cell>
          <cell r="K23">
            <v>24488.653279999999</v>
          </cell>
        </row>
        <row r="24">
          <cell r="A24" t="str">
            <v>יוספוביץ טלי</v>
          </cell>
          <cell r="B24" t="str">
            <v xml:space="preserve">ערן גירוני </v>
          </cell>
          <cell r="C24" t="str">
            <v xml:space="preserve">סוכנים </v>
          </cell>
          <cell r="D24"/>
          <cell r="E24"/>
          <cell r="F24"/>
          <cell r="G24"/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דורי כדורי דאי</v>
          </cell>
          <cell r="B25" t="str">
            <v>לא מפוקחים</v>
          </cell>
          <cell r="C25" t="str">
            <v xml:space="preserve">סוכנים </v>
          </cell>
          <cell r="D25"/>
          <cell r="E25"/>
          <cell r="F25"/>
          <cell r="G25"/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סברא סמיר</v>
          </cell>
          <cell r="B26" t="str">
            <v xml:space="preserve">ערן גירוני </v>
          </cell>
          <cell r="C26" t="str">
            <v xml:space="preserve">סוכנים </v>
          </cell>
          <cell r="D26"/>
          <cell r="E26">
            <v>27443.080829999995</v>
          </cell>
          <cell r="F26"/>
          <cell r="G26">
            <v>12556.992822</v>
          </cell>
          <cell r="H26">
            <v>0</v>
          </cell>
          <cell r="I26">
            <v>48098.781766</v>
          </cell>
          <cell r="J26">
            <v>0</v>
          </cell>
          <cell r="K26">
            <v>0</v>
          </cell>
        </row>
        <row r="27">
          <cell r="A27" t="str">
            <v>מחמוד פארס</v>
          </cell>
          <cell r="B27" t="str">
            <v xml:space="preserve">ערן גירוני </v>
          </cell>
          <cell r="C27" t="str">
            <v xml:space="preserve">סוכנים </v>
          </cell>
          <cell r="D27"/>
          <cell r="E27"/>
          <cell r="F27"/>
          <cell r="G27"/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>ריזק חלבי</v>
          </cell>
          <cell r="B28" t="str">
            <v xml:space="preserve">ערן גירוני </v>
          </cell>
          <cell r="C28" t="str">
            <v xml:space="preserve">סוכנים </v>
          </cell>
          <cell r="D28">
            <v>295343.05948400003</v>
          </cell>
          <cell r="E28">
            <v>16127.534786000002</v>
          </cell>
          <cell r="F28">
            <v>39805.822253999999</v>
          </cell>
          <cell r="G28">
            <v>665119.4627439999</v>
          </cell>
          <cell r="H28">
            <v>429306.18176600005</v>
          </cell>
          <cell r="I28">
            <v>138425.57243200002</v>
          </cell>
          <cell r="J28">
            <v>119951.55996599999</v>
          </cell>
          <cell r="K28">
            <v>1122341.7166360002</v>
          </cell>
        </row>
        <row r="29">
          <cell r="A29" t="str">
            <v>שלבי מיסון</v>
          </cell>
          <cell r="B29" t="str">
            <v xml:space="preserve">ערן גירוני </v>
          </cell>
          <cell r="C29" t="str">
            <v xml:space="preserve">סוכנים </v>
          </cell>
          <cell r="D29"/>
          <cell r="E29">
            <v>68506.662025999991</v>
          </cell>
          <cell r="F29">
            <v>1612.9826459999999</v>
          </cell>
          <cell r="G29"/>
          <cell r="H29">
            <v>0</v>
          </cell>
          <cell r="I29">
            <v>25972.582216000003</v>
          </cell>
          <cell r="J29">
            <v>0</v>
          </cell>
          <cell r="K29">
            <v>0</v>
          </cell>
        </row>
        <row r="30">
          <cell r="A30" t="str">
            <v>בחוס יוסף</v>
          </cell>
          <cell r="B30" t="str">
            <v xml:space="preserve">ערן גירוני </v>
          </cell>
          <cell r="C30" t="str">
            <v xml:space="preserve">סוכנים </v>
          </cell>
          <cell r="D30">
            <v>3655.2342639999993</v>
          </cell>
          <cell r="E30">
            <v>15243.873832000001</v>
          </cell>
          <cell r="F30"/>
          <cell r="G30"/>
          <cell r="H30">
            <v>8848.800855999998</v>
          </cell>
          <cell r="I30">
            <v>11910.199042</v>
          </cell>
          <cell r="J30">
            <v>0</v>
          </cell>
          <cell r="K30">
            <v>0</v>
          </cell>
        </row>
        <row r="31">
          <cell r="A31" t="str">
            <v>קליין סיון</v>
          </cell>
          <cell r="B31" t="str">
            <v xml:space="preserve">ערן גירוני </v>
          </cell>
          <cell r="C31" t="str">
            <v xml:space="preserve">סוכנים </v>
          </cell>
          <cell r="D31">
            <v>800525.91053600004</v>
          </cell>
          <cell r="E31">
            <v>72463.287005999999</v>
          </cell>
          <cell r="F31">
            <v>3220198.2303260006</v>
          </cell>
          <cell r="G31">
            <v>4570438.8010820001</v>
          </cell>
          <cell r="H31">
            <v>346597.53886799997</v>
          </cell>
          <cell r="I31">
            <v>122484.48359</v>
          </cell>
          <cell r="J31">
            <v>587410.91876599996</v>
          </cell>
          <cell r="K31">
            <v>945334.83134999988</v>
          </cell>
        </row>
        <row r="32">
          <cell r="A32" t="str">
            <v>צקותאי אורי</v>
          </cell>
          <cell r="B32" t="str">
            <v xml:space="preserve">ערן גירוני </v>
          </cell>
          <cell r="C32" t="str">
            <v xml:space="preserve">סוכנים </v>
          </cell>
          <cell r="D32"/>
          <cell r="E32"/>
          <cell r="F32"/>
          <cell r="G32"/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סמיר בלאן</v>
          </cell>
          <cell r="B33" t="str">
            <v xml:space="preserve">ערן גירוני </v>
          </cell>
          <cell r="C33" t="str">
            <v xml:space="preserve">סוכנים </v>
          </cell>
          <cell r="D33"/>
          <cell r="E33"/>
          <cell r="F33"/>
          <cell r="G33"/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רפלוביץ מרינה</v>
          </cell>
          <cell r="B34" t="str">
            <v xml:space="preserve">ערן גירוני </v>
          </cell>
          <cell r="C34" t="str">
            <v xml:space="preserve">סוכנים </v>
          </cell>
          <cell r="D34">
            <v>0</v>
          </cell>
          <cell r="E34">
            <v>14338.876112</v>
          </cell>
          <cell r="F34"/>
          <cell r="G34"/>
          <cell r="H34">
            <v>0</v>
          </cell>
          <cell r="I34">
            <v>15471.061494</v>
          </cell>
          <cell r="J34">
            <v>0</v>
          </cell>
          <cell r="K34">
            <v>0</v>
          </cell>
        </row>
        <row r="35">
          <cell r="A35" t="str">
            <v>רן בסין</v>
          </cell>
          <cell r="B35" t="str">
            <v xml:space="preserve">ערן גירוני </v>
          </cell>
          <cell r="C35" t="str">
            <v xml:space="preserve">סוכנים </v>
          </cell>
          <cell r="D35"/>
          <cell r="E35"/>
          <cell r="F35"/>
          <cell r="G35"/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A36" t="str">
            <v>אלקרינאוי ראוף</v>
          </cell>
          <cell r="B36" t="str">
            <v xml:space="preserve">ערן גירוני </v>
          </cell>
          <cell r="C36" t="str">
            <v xml:space="preserve">סוכנים </v>
          </cell>
          <cell r="D36"/>
          <cell r="E36"/>
          <cell r="F36"/>
          <cell r="G36"/>
          <cell r="H36">
            <v>0</v>
          </cell>
          <cell r="I36">
            <v>17476.267466000001</v>
          </cell>
          <cell r="J36">
            <v>0</v>
          </cell>
          <cell r="K36">
            <v>0</v>
          </cell>
        </row>
        <row r="37">
          <cell r="A37" t="str">
            <v>דאי גדי</v>
          </cell>
          <cell r="B37" t="str">
            <v xml:space="preserve">ערן גירוני </v>
          </cell>
          <cell r="C37" t="str">
            <v xml:space="preserve">סוכנים </v>
          </cell>
          <cell r="D37"/>
          <cell r="E37"/>
          <cell r="F37"/>
          <cell r="G37"/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A38" t="str">
            <v>מילאד אבו שקארה</v>
          </cell>
          <cell r="B38" t="str">
            <v xml:space="preserve">ערן גירוני </v>
          </cell>
          <cell r="C38" t="str">
            <v xml:space="preserve">סוכנים </v>
          </cell>
          <cell r="D38"/>
          <cell r="E38"/>
          <cell r="F38"/>
          <cell r="G38"/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A39" t="str">
            <v>דראושה אדהם</v>
          </cell>
          <cell r="B39" t="str">
            <v xml:space="preserve">ערן גירוני </v>
          </cell>
          <cell r="C39" t="str">
            <v xml:space="preserve">סוכנים </v>
          </cell>
          <cell r="D39">
            <v>24229.143268000007</v>
          </cell>
          <cell r="E39">
            <v>5043.1489019999999</v>
          </cell>
          <cell r="F39"/>
          <cell r="G39">
            <v>30767.588104000002</v>
          </cell>
          <cell r="H39">
            <v>47860.878072000007</v>
          </cell>
          <cell r="I39">
            <v>0</v>
          </cell>
          <cell r="J39">
            <v>39067.716981999998</v>
          </cell>
          <cell r="K39">
            <v>194387.28665999998</v>
          </cell>
        </row>
        <row r="40">
          <cell r="A40" t="str">
            <v>בדארנה עומר</v>
          </cell>
          <cell r="B40" t="str">
            <v xml:space="preserve">ערן גירוני </v>
          </cell>
          <cell r="C40" t="str">
            <v xml:space="preserve">סוכנים </v>
          </cell>
          <cell r="D40"/>
          <cell r="E40"/>
          <cell r="F40"/>
          <cell r="G40"/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A41" t="str">
            <v>ערן שמילוביץ</v>
          </cell>
          <cell r="B41" t="str">
            <v>לא מפוקחים</v>
          </cell>
          <cell r="C41" t="str">
            <v xml:space="preserve">סוכנים </v>
          </cell>
          <cell r="D41"/>
          <cell r="E41"/>
          <cell r="F41"/>
          <cell r="G41"/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A42" t="str">
            <v>לוי חיים</v>
          </cell>
          <cell r="B42" t="str">
            <v xml:space="preserve">ערן גירוני </v>
          </cell>
          <cell r="C42" t="str">
            <v xml:space="preserve">סוכנים </v>
          </cell>
          <cell r="D42"/>
          <cell r="E42"/>
          <cell r="F42"/>
          <cell r="G42"/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A43" t="str">
            <v xml:space="preserve">אבו חיט ניזאם </v>
          </cell>
          <cell r="B43" t="str">
            <v>לא מפוקחים</v>
          </cell>
          <cell r="C43" t="str">
            <v xml:space="preserve">סוכנים </v>
          </cell>
          <cell r="D43"/>
          <cell r="E43"/>
          <cell r="F43"/>
          <cell r="G43"/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A44" t="str">
            <v>מטאנס זוהיר</v>
          </cell>
          <cell r="B44" t="str">
            <v>לא מפוקחים</v>
          </cell>
          <cell r="C44" t="str">
            <v xml:space="preserve">סוכנים </v>
          </cell>
          <cell r="D44"/>
          <cell r="E44"/>
          <cell r="F44"/>
          <cell r="G44"/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דאי דניאל</v>
          </cell>
          <cell r="B45" t="str">
            <v xml:space="preserve">ערן גירוני </v>
          </cell>
          <cell r="C45" t="str">
            <v xml:space="preserve">סוכנים </v>
          </cell>
          <cell r="D45">
            <v>172444.668022</v>
          </cell>
          <cell r="E45">
            <v>7339.5058879999997</v>
          </cell>
          <cell r="F45">
            <v>333552.60980799998</v>
          </cell>
          <cell r="G45">
            <v>606595.94472400006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דני פחימה</v>
          </cell>
          <cell r="B46" t="str">
            <v>לא מפוקחים</v>
          </cell>
          <cell r="C46" t="str">
            <v xml:space="preserve">סוכנים </v>
          </cell>
          <cell r="D46"/>
          <cell r="E46"/>
          <cell r="F46"/>
          <cell r="G46"/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עאטף עדווי</v>
          </cell>
          <cell r="B47" t="str">
            <v>לא מפוקחים</v>
          </cell>
          <cell r="C47" t="str">
            <v xml:space="preserve">סוכנים </v>
          </cell>
          <cell r="D47"/>
          <cell r="E47"/>
          <cell r="F47"/>
          <cell r="G47"/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אביב מור יוסף</v>
          </cell>
          <cell r="B48" t="str">
            <v>לא מפוקחים</v>
          </cell>
          <cell r="C48" t="str">
            <v xml:space="preserve">סוכנים </v>
          </cell>
          <cell r="D48">
            <v>15563.469834</v>
          </cell>
          <cell r="E48">
            <v>24946.067146000001</v>
          </cell>
          <cell r="F48"/>
          <cell r="G48">
            <v>5258.8224700000001</v>
          </cell>
          <cell r="H48">
            <v>2465.1870599999997</v>
          </cell>
          <cell r="I48">
            <v>2307.570874</v>
          </cell>
          <cell r="J48">
            <v>0</v>
          </cell>
          <cell r="K48">
            <v>0</v>
          </cell>
        </row>
        <row r="49">
          <cell r="A49" t="str">
            <v>אחמד עלי אחמד</v>
          </cell>
          <cell r="B49" t="str">
            <v xml:space="preserve">ערן גירוני </v>
          </cell>
          <cell r="C49" t="str">
            <v xml:space="preserve">סוכנים </v>
          </cell>
          <cell r="D49">
            <v>204033.21630999999</v>
          </cell>
          <cell r="E49">
            <v>29038.185572000002</v>
          </cell>
          <cell r="F49">
            <v>17643.982444000001</v>
          </cell>
          <cell r="G49">
            <v>327071.229078</v>
          </cell>
          <cell r="H49">
            <v>15494.966087999999</v>
          </cell>
          <cell r="I49">
            <v>8202.1932859999997</v>
          </cell>
          <cell r="J49">
            <v>0</v>
          </cell>
          <cell r="K49">
            <v>0</v>
          </cell>
        </row>
        <row r="50">
          <cell r="A50" t="str">
            <v>לילי שרון</v>
          </cell>
          <cell r="B50" t="str">
            <v xml:space="preserve">ערן גירוני </v>
          </cell>
          <cell r="C50" t="str">
            <v xml:space="preserve">סוכנים </v>
          </cell>
          <cell r="D50"/>
          <cell r="E50"/>
          <cell r="F50"/>
          <cell r="G50"/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A51" t="str">
            <v>אילנית כהן</v>
          </cell>
          <cell r="B51" t="str">
            <v xml:space="preserve">ערן גירוני </v>
          </cell>
          <cell r="C51" t="str">
            <v xml:space="preserve">סוכנים </v>
          </cell>
          <cell r="D51">
            <v>23948.505723999999</v>
          </cell>
          <cell r="E51">
            <v>4521.9852259999989</v>
          </cell>
          <cell r="F51">
            <v>421182.48002599995</v>
          </cell>
          <cell r="G51">
            <v>64968.103860000003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A52" t="str">
            <v>מכלול סוכנות לביטוח</v>
          </cell>
          <cell r="B52" t="str">
            <v>לא מפוקחים</v>
          </cell>
          <cell r="C52" t="str">
            <v xml:space="preserve">סוכנים </v>
          </cell>
          <cell r="D52">
            <v>9005</v>
          </cell>
          <cell r="E52">
            <v>1149</v>
          </cell>
          <cell r="F52"/>
          <cell r="G52">
            <v>4328913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דורון ענק הביטוח</v>
          </cell>
          <cell r="B53" t="str">
            <v>לא מפוקחים</v>
          </cell>
          <cell r="C53" t="str">
            <v xml:space="preserve">סוכנים </v>
          </cell>
          <cell r="D53"/>
          <cell r="E53"/>
          <cell r="F53"/>
          <cell r="G53"/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גול זאב</v>
          </cell>
          <cell r="B54" t="str">
            <v>לא מפוקחים</v>
          </cell>
          <cell r="C54" t="str">
            <v xml:space="preserve">סוכנים </v>
          </cell>
          <cell r="D54">
            <v>435094.93396599998</v>
          </cell>
          <cell r="E54">
            <v>24110.118559999999</v>
          </cell>
          <cell r="F54">
            <v>22463.700248000001</v>
          </cell>
          <cell r="G54">
            <v>1320176.8112499998</v>
          </cell>
          <cell r="H54">
            <v>173623.26363199999</v>
          </cell>
          <cell r="I54">
            <v>29495.145022000008</v>
          </cell>
          <cell r="J54">
            <v>59785.609786000001</v>
          </cell>
          <cell r="K54">
            <v>182315.57678600002</v>
          </cell>
        </row>
        <row r="55">
          <cell r="A55" t="str">
            <v>עבוד כיתי</v>
          </cell>
          <cell r="B55" t="str">
            <v xml:space="preserve">ערן גירוני </v>
          </cell>
          <cell r="C55" t="str">
            <v xml:space="preserve">סוכנים </v>
          </cell>
          <cell r="D55"/>
          <cell r="E55"/>
          <cell r="F55"/>
          <cell r="G55"/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6">
          <cell r="A56" t="str">
            <v>יעקב ישראל שטרן</v>
          </cell>
          <cell r="B56" t="str">
            <v xml:space="preserve">ערן גירוני </v>
          </cell>
          <cell r="C56" t="str">
            <v xml:space="preserve">סוכנים </v>
          </cell>
          <cell r="D56"/>
          <cell r="E56"/>
          <cell r="F56"/>
          <cell r="G56"/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A57" t="str">
            <v xml:space="preserve">ניר יבלונקה </v>
          </cell>
          <cell r="B57" t="str">
            <v xml:space="preserve">ערן גירוני </v>
          </cell>
          <cell r="C57" t="str">
            <v xml:space="preserve">סוכנים </v>
          </cell>
          <cell r="D57"/>
          <cell r="E57"/>
          <cell r="F57"/>
          <cell r="G57"/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A58" t="str">
            <v>גלידר אנה</v>
          </cell>
          <cell r="B58" t="str">
            <v>יוסי אביב</v>
          </cell>
          <cell r="C58" t="str">
            <v xml:space="preserve">סוכנים </v>
          </cell>
          <cell r="D58">
            <v>3870.8366620000002</v>
          </cell>
          <cell r="E58">
            <v>236.07088999999999</v>
          </cell>
          <cell r="F58">
            <v>570.48448599999995</v>
          </cell>
          <cell r="G58">
            <v>1857.095746</v>
          </cell>
          <cell r="H58">
            <v>0</v>
          </cell>
          <cell r="I58">
            <v>3176.7925560000003</v>
          </cell>
          <cell r="J58">
            <v>0</v>
          </cell>
          <cell r="K58">
            <v>7957.3673060000001</v>
          </cell>
        </row>
        <row r="59">
          <cell r="A59" t="str">
            <v>יונתן מנחם</v>
          </cell>
          <cell r="B59" t="str">
            <v xml:space="preserve">ערן גירוני </v>
          </cell>
          <cell r="C59" t="str">
            <v xml:space="preserve">סוכנים </v>
          </cell>
          <cell r="D59"/>
          <cell r="E59"/>
          <cell r="F59"/>
          <cell r="G59"/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ינאי חיים בוני</v>
          </cell>
          <cell r="B60" t="str">
            <v xml:space="preserve">ערן גירוני </v>
          </cell>
          <cell r="C60" t="str">
            <v xml:space="preserve">סוכנים </v>
          </cell>
          <cell r="D60">
            <v>90323.910929999984</v>
          </cell>
          <cell r="E60">
            <v>20743.535582</v>
          </cell>
          <cell r="F60">
            <v>53828.532758000001</v>
          </cell>
          <cell r="G60">
            <v>217752.54333799999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יהונתן שיוביץ</v>
          </cell>
          <cell r="B61" t="str">
            <v xml:space="preserve">ערן גירוני </v>
          </cell>
          <cell r="C61" t="str">
            <v xml:space="preserve">סוכנים </v>
          </cell>
          <cell r="D61"/>
          <cell r="E61"/>
          <cell r="F61"/>
          <cell r="G61"/>
          <cell r="H61">
            <v>27563.964847999996</v>
          </cell>
          <cell r="I61">
            <v>0</v>
          </cell>
          <cell r="J61">
            <v>0</v>
          </cell>
          <cell r="K61">
            <v>28656.598838000002</v>
          </cell>
        </row>
        <row r="62">
          <cell r="A62" t="str">
            <v>שירלי בוכריס</v>
          </cell>
          <cell r="B62" t="str">
            <v xml:space="preserve">ערן גירוני </v>
          </cell>
          <cell r="C62" t="str">
            <v xml:space="preserve">סוכנים </v>
          </cell>
          <cell r="D62">
            <v>1771.905256</v>
          </cell>
          <cell r="E62">
            <v>3929.0110199999999</v>
          </cell>
          <cell r="F62">
            <v>26817.638869999999</v>
          </cell>
          <cell r="G62">
            <v>6737.1372419999998</v>
          </cell>
          <cell r="H62">
            <v>11067.827021999999</v>
          </cell>
          <cell r="I62">
            <v>1975.7140060000002</v>
          </cell>
          <cell r="J62">
            <v>37518.790119999998</v>
          </cell>
          <cell r="K62">
            <v>115156.686498</v>
          </cell>
        </row>
        <row r="63">
          <cell r="A63" t="str">
            <v>סיון פיינרו</v>
          </cell>
          <cell r="B63" t="str">
            <v xml:space="preserve">ערן גירוני </v>
          </cell>
          <cell r="C63" t="str">
            <v xml:space="preserve">סוכנים </v>
          </cell>
          <cell r="D63"/>
          <cell r="E63">
            <v>0</v>
          </cell>
          <cell r="F63">
            <v>412.51555400000001</v>
          </cell>
          <cell r="G63">
            <v>4866.448026</v>
          </cell>
          <cell r="H63">
            <v>0</v>
          </cell>
          <cell r="I63">
            <v>4456.9888439999995</v>
          </cell>
          <cell r="J63">
            <v>0</v>
          </cell>
          <cell r="K63">
            <v>0</v>
          </cell>
        </row>
        <row r="64">
          <cell r="A64" t="str">
            <v>יתר הסוכנים</v>
          </cell>
          <cell r="B64"/>
          <cell r="C64"/>
          <cell r="D64">
            <v>3354191.4719019993</v>
          </cell>
          <cell r="E64">
            <v>485460.09559799999</v>
          </cell>
          <cell r="F64">
            <v>6042246.4857480004</v>
          </cell>
          <cell r="G64">
            <v>15449910.980972001</v>
          </cell>
          <cell r="H64">
            <v>2463229.4843100007</v>
          </cell>
          <cell r="I64">
            <v>587399.30363800004</v>
          </cell>
          <cell r="J64">
            <v>1505963.9485380002</v>
          </cell>
          <cell r="K64">
            <v>6247820.3987359991</v>
          </cell>
        </row>
        <row r="65">
          <cell r="A65" t="str">
            <v>אריאל בר-חיים</v>
          </cell>
          <cell r="B65" t="str">
            <v>יוסי אביב</v>
          </cell>
          <cell r="C65" t="str">
            <v>פרמיום</v>
          </cell>
          <cell r="D65"/>
          <cell r="E65"/>
          <cell r="F65">
            <v>1818725.0952640001</v>
          </cell>
          <cell r="G65">
            <v>73029.230846000006</v>
          </cell>
          <cell r="H65">
            <v>0</v>
          </cell>
          <cell r="I65">
            <v>2436.4932899999999</v>
          </cell>
          <cell r="J65">
            <v>0</v>
          </cell>
          <cell r="K65">
            <v>74677.800273999994</v>
          </cell>
        </row>
        <row r="66">
          <cell r="A66" t="str">
            <v>שלי מזרחי</v>
          </cell>
          <cell r="B66" t="str">
            <v xml:space="preserve">ערן גירוני </v>
          </cell>
          <cell r="C66" t="str">
            <v xml:space="preserve">פרמיום </v>
          </cell>
          <cell r="D66">
            <v>806927.28195199999</v>
          </cell>
          <cell r="E66">
            <v>432329.55244599999</v>
          </cell>
          <cell r="F66">
            <v>3389441.2589620003</v>
          </cell>
          <cell r="G66">
            <v>2755997.7982020001</v>
          </cell>
          <cell r="H66">
            <v>474296.10737400001</v>
          </cell>
          <cell r="I66">
            <v>352725.17474400002</v>
          </cell>
          <cell r="J66">
            <v>94586.898518000002</v>
          </cell>
          <cell r="K66">
            <v>844549.80145200004</v>
          </cell>
        </row>
        <row r="67">
          <cell r="A67" t="str">
            <v>חנה כצנלסון</v>
          </cell>
          <cell r="B67" t="str">
            <v>יוסי אביב</v>
          </cell>
          <cell r="C67" t="str">
            <v xml:space="preserve">פרמיום </v>
          </cell>
          <cell r="D67"/>
          <cell r="E67">
            <v>4232.8357500000002</v>
          </cell>
          <cell r="F67"/>
          <cell r="G67"/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 xml:space="preserve">מיכאל וקסלר </v>
          </cell>
          <cell r="B68" t="str">
            <v xml:space="preserve">ערן גירוני </v>
          </cell>
          <cell r="C68" t="str">
            <v xml:space="preserve">פרמיום </v>
          </cell>
          <cell r="D68">
            <v>35555.478684000009</v>
          </cell>
          <cell r="E68">
            <v>1897.3352640000003</v>
          </cell>
          <cell r="F68">
            <v>6528.7657160000017</v>
          </cell>
          <cell r="G68">
            <v>102471.06418999999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 xml:space="preserve">שני לוי </v>
          </cell>
          <cell r="B69" t="str">
            <v xml:space="preserve">ערן גירוני </v>
          </cell>
          <cell r="C69" t="str">
            <v xml:space="preserve">פרמיום </v>
          </cell>
          <cell r="D69">
            <v>9565.0487239999984</v>
          </cell>
          <cell r="E69">
            <v>25167.263505999996</v>
          </cell>
          <cell r="F69"/>
          <cell r="G69">
            <v>83045.725114000001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 t="str">
            <v>נעם הלשטוק</v>
          </cell>
          <cell r="B70" t="str">
            <v xml:space="preserve">ערן גירוני </v>
          </cell>
          <cell r="C70" t="str">
            <v xml:space="preserve">פרמיום </v>
          </cell>
          <cell r="D70"/>
          <cell r="E70">
            <v>12587.353943999999</v>
          </cell>
          <cell r="F70">
            <v>225835.405642</v>
          </cell>
          <cell r="G70"/>
          <cell r="H70">
            <v>3.4808000000339234E-2</v>
          </cell>
          <cell r="I70">
            <v>12865.928656</v>
          </cell>
          <cell r="J70"/>
          <cell r="K70"/>
        </row>
        <row r="71">
          <cell r="A71" t="str">
            <v>אורטל / לנג ביג סוכנות לביטוח פנסיוני</v>
          </cell>
          <cell r="B71" t="str">
            <v xml:space="preserve">ערן גירוני </v>
          </cell>
          <cell r="C71" t="str">
            <v xml:space="preserve">פרמיום </v>
          </cell>
          <cell r="D71">
            <v>8674.3134719999998</v>
          </cell>
          <cell r="E71">
            <v>-2745.340048</v>
          </cell>
          <cell r="F71">
            <v>70322.692682000008</v>
          </cell>
          <cell r="G71">
            <v>14738.296386000002</v>
          </cell>
          <cell r="H71">
            <v>569751.83689200005</v>
          </cell>
          <cell r="I71">
            <v>115953.69896600001</v>
          </cell>
          <cell r="J71">
            <v>27336.960658000025</v>
          </cell>
          <cell r="K71">
            <v>2423484.5943559995</v>
          </cell>
        </row>
        <row r="72">
          <cell r="A72" t="str">
            <v>סטולרז אסף</v>
          </cell>
          <cell r="B72" t="str">
            <v>לא מפוקחים</v>
          </cell>
          <cell r="C72" t="str">
            <v>פרמיום</v>
          </cell>
          <cell r="D72"/>
          <cell r="E72">
            <v>244.24120600000001</v>
          </cell>
          <cell r="F72"/>
          <cell r="G72">
            <v>2398.1016180000001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נור אבו ראס</v>
          </cell>
          <cell r="B73" t="str">
            <v xml:space="preserve">ערן גירוני </v>
          </cell>
          <cell r="C73" t="str">
            <v xml:space="preserve">פרמיום </v>
          </cell>
          <cell r="D73"/>
          <cell r="E73">
            <v>13222.275748</v>
          </cell>
          <cell r="F73"/>
          <cell r="G73"/>
          <cell r="H73">
            <v>0</v>
          </cell>
          <cell r="I73">
            <v>42643.208440000002</v>
          </cell>
          <cell r="J73">
            <v>10778.797498</v>
          </cell>
          <cell r="K73">
            <v>68665.223759999993</v>
          </cell>
        </row>
        <row r="74">
          <cell r="A74" t="str">
            <v>סה"כ פרימיום</v>
          </cell>
          <cell r="B74"/>
          <cell r="C74"/>
          <cell r="D74">
            <v>860722.12283199991</v>
          </cell>
          <cell r="E74">
            <v>486935.51781599998</v>
          </cell>
          <cell r="F74">
            <v>5510853.218266</v>
          </cell>
          <cell r="G74">
            <v>3031680.2163559995</v>
          </cell>
          <cell r="H74">
            <v>1044047.9790740001</v>
          </cell>
          <cell r="I74">
            <v>526624.50409599999</v>
          </cell>
          <cell r="J74">
            <v>132702.65667400003</v>
          </cell>
          <cell r="K74">
            <v>3411377.4198419997</v>
          </cell>
        </row>
        <row r="75">
          <cell r="A75" t="str">
            <v>סה"כ כולל</v>
          </cell>
          <cell r="B75"/>
          <cell r="C75"/>
          <cell r="D75">
            <v>4593835.745041999</v>
          </cell>
          <cell r="E75">
            <v>1366278.944778</v>
          </cell>
          <cell r="F75">
            <v>12598020.195264999</v>
          </cell>
          <cell r="G75">
            <v>18620095.959899999</v>
          </cell>
          <cell r="H75">
            <v>3804353.6596320006</v>
          </cell>
          <cell r="I75">
            <v>1444739.355676</v>
          </cell>
          <cell r="J75">
            <v>2126957.5958740003</v>
          </cell>
          <cell r="K75">
            <v>10016454.878694</v>
          </cell>
        </row>
        <row r="76">
          <cell r="H76"/>
          <cell r="I76"/>
          <cell r="J76"/>
        </row>
        <row r="77">
          <cell r="D77"/>
          <cell r="E77"/>
          <cell r="F77"/>
          <cell r="G77"/>
        </row>
        <row r="79">
          <cell r="D79"/>
          <cell r="E79"/>
          <cell r="F79"/>
          <cell r="G79"/>
        </row>
        <row r="81">
          <cell r="D81"/>
          <cell r="E81"/>
          <cell r="F81"/>
          <cell r="G81"/>
        </row>
      </sheetData>
      <sheetData sheetId="10">
        <row r="1">
          <cell r="A1"/>
          <cell r="B1"/>
          <cell r="C1"/>
          <cell r="D1">
            <v>2024</v>
          </cell>
          <cell r="E1"/>
          <cell r="F1"/>
          <cell r="G1"/>
          <cell r="H1">
            <v>2023</v>
          </cell>
          <cell r="I1"/>
          <cell r="J1"/>
          <cell r="K1"/>
        </row>
        <row r="2">
          <cell r="A2" t="str">
            <v>שם סוכן</v>
          </cell>
          <cell r="B2" t="str">
            <v xml:space="preserve">מפקח </v>
          </cell>
          <cell r="C2" t="str">
            <v>מחלקה</v>
          </cell>
          <cell r="D2" t="str">
            <v>פנסיוני</v>
          </cell>
          <cell r="E2" t="str">
            <v xml:space="preserve">סיכונים </v>
          </cell>
          <cell r="F2" t="str">
            <v>פיננסים</v>
          </cell>
          <cell r="G2" t="str">
            <v>ניודי פנסיה</v>
          </cell>
          <cell r="H2" t="str">
            <v>פנסיוני</v>
          </cell>
          <cell r="I2" t="str">
            <v xml:space="preserve">סיכונים </v>
          </cell>
          <cell r="J2" t="str">
            <v>פיננסים</v>
          </cell>
          <cell r="K2" t="str">
            <v xml:space="preserve">ניודי פנסיה </v>
          </cell>
        </row>
        <row r="3">
          <cell r="A3" t="str">
            <v>גל אלמגור סוכ</v>
          </cell>
          <cell r="B3" t="str">
            <v>יוסי אביב</v>
          </cell>
          <cell r="C3" t="str">
            <v xml:space="preserve">ישירים </v>
          </cell>
          <cell r="D3">
            <v>1003625.718</v>
          </cell>
          <cell r="E3">
            <v>131253.26550000001</v>
          </cell>
          <cell r="F3">
            <v>2027232.5789999999</v>
          </cell>
          <cell r="G3">
            <v>3800139</v>
          </cell>
          <cell r="H3">
            <v>41203.533200000005</v>
          </cell>
          <cell r="I3">
            <v>256909.346288</v>
          </cell>
          <cell r="J3">
            <v>2100185.9600000009</v>
          </cell>
          <cell r="K3">
            <v>80038</v>
          </cell>
        </row>
        <row r="4">
          <cell r="A4" t="str">
            <v>דניאלה אביב</v>
          </cell>
          <cell r="B4" t="str">
            <v>יוסי אביב</v>
          </cell>
          <cell r="C4" t="str">
            <v xml:space="preserve">ישירים </v>
          </cell>
          <cell r="D4"/>
          <cell r="E4"/>
          <cell r="F4">
            <v>1149478.23</v>
          </cell>
          <cell r="G4"/>
          <cell r="H4">
            <v>0</v>
          </cell>
          <cell r="I4">
            <v>0</v>
          </cell>
          <cell r="J4">
            <v>7417850.7715839995</v>
          </cell>
          <cell r="K4">
            <v>0</v>
          </cell>
        </row>
        <row r="5">
          <cell r="A5" t="str">
            <v xml:space="preserve">רותי </v>
          </cell>
          <cell r="B5" t="str">
            <v>יוסי אביב</v>
          </cell>
          <cell r="C5" t="str">
            <v xml:space="preserve">ישירים </v>
          </cell>
          <cell r="D5"/>
          <cell r="E5"/>
          <cell r="F5"/>
          <cell r="G5"/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 t="str">
            <v xml:space="preserve">אילנית </v>
          </cell>
          <cell r="B6" t="str">
            <v>יוסי אביב</v>
          </cell>
          <cell r="C6" t="str">
            <v xml:space="preserve">ישירים </v>
          </cell>
          <cell r="D6"/>
          <cell r="E6">
            <v>1971.238192</v>
          </cell>
          <cell r="F6">
            <v>827779.17</v>
          </cell>
          <cell r="G6"/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סה"כ ישיר</v>
          </cell>
          <cell r="B7"/>
          <cell r="C7"/>
          <cell r="D7">
            <v>1003625.718</v>
          </cell>
          <cell r="E7">
            <v>133224.503692</v>
          </cell>
          <cell r="F7">
            <v>4004489.9789999998</v>
          </cell>
          <cell r="G7">
            <v>3800139</v>
          </cell>
          <cell r="H7">
            <v>41203.533200000005</v>
          </cell>
          <cell r="I7">
            <v>256909.346288</v>
          </cell>
          <cell r="J7">
            <v>9518036.7315840013</v>
          </cell>
          <cell r="K7">
            <v>80038</v>
          </cell>
        </row>
        <row r="8">
          <cell r="A8" t="str">
            <v>בראשית סוכנות לביטוח</v>
          </cell>
          <cell r="B8" t="str">
            <v>יוסי אביב</v>
          </cell>
          <cell r="C8" t="str">
            <v xml:space="preserve">שותפים </v>
          </cell>
          <cell r="D8"/>
          <cell r="E8"/>
          <cell r="F8"/>
          <cell r="G8"/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גל אלמגור דאוד סוכ' לב</v>
          </cell>
          <cell r="B9" t="str">
            <v>יוסי אביב</v>
          </cell>
          <cell r="C9" t="str">
            <v xml:space="preserve">שותפים </v>
          </cell>
          <cell r="D9">
            <v>4643.500884</v>
          </cell>
          <cell r="E9"/>
          <cell r="F9"/>
          <cell r="G9"/>
          <cell r="H9">
            <v>7516.1025380000001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>גל אלמגור -וייס סוכנות</v>
          </cell>
          <cell r="B10" t="str">
            <v>יוסי אביב</v>
          </cell>
          <cell r="C10" t="str">
            <v xml:space="preserve">שותפים </v>
          </cell>
          <cell r="D10"/>
          <cell r="E10">
            <v>2270.6503819999998</v>
          </cell>
          <cell r="F10"/>
          <cell r="G10"/>
          <cell r="H10">
            <v>0</v>
          </cell>
          <cell r="I10">
            <v>1516.1733019999999</v>
          </cell>
          <cell r="J10">
            <v>0</v>
          </cell>
          <cell r="K10">
            <v>6056</v>
          </cell>
        </row>
        <row r="11">
          <cell r="A11" t="str">
            <v>גל אלמגור דרום סוכ ל</v>
          </cell>
          <cell r="B11" t="str">
            <v>יוסי אביב</v>
          </cell>
          <cell r="C11" t="str">
            <v xml:space="preserve">שותפים </v>
          </cell>
          <cell r="D11"/>
          <cell r="E11"/>
          <cell r="F11"/>
          <cell r="G11"/>
          <cell r="H11">
            <v>0</v>
          </cell>
          <cell r="I11">
            <v>1300.591572</v>
          </cell>
          <cell r="J11">
            <v>0</v>
          </cell>
          <cell r="K11">
            <v>0</v>
          </cell>
        </row>
        <row r="12">
          <cell r="A12" t="str">
            <v>משה שטרן גל אלמגור</v>
          </cell>
          <cell r="B12" t="str">
            <v>יוסי אביב</v>
          </cell>
          <cell r="C12" t="str">
            <v xml:space="preserve">שותפים </v>
          </cell>
          <cell r="D12"/>
          <cell r="E12">
            <v>82399.202600000004</v>
          </cell>
          <cell r="F12">
            <v>154743</v>
          </cell>
          <cell r="G12"/>
          <cell r="H12">
            <v>0</v>
          </cell>
          <cell r="I12">
            <v>263110.46220199991</v>
          </cell>
          <cell r="J12">
            <v>535909.73</v>
          </cell>
          <cell r="K12">
            <v>0</v>
          </cell>
        </row>
        <row r="13">
          <cell r="A13" t="str">
            <v>מקסימום סוכנות לבטוח פ</v>
          </cell>
          <cell r="B13" t="str">
            <v>יוסי אביב</v>
          </cell>
          <cell r="C13" t="str">
            <v xml:space="preserve">שותפים </v>
          </cell>
          <cell r="D13"/>
          <cell r="E13"/>
          <cell r="F13">
            <v>488678.2133</v>
          </cell>
          <cell r="G13"/>
          <cell r="H13">
            <v>0</v>
          </cell>
          <cell r="I13">
            <v>1822</v>
          </cell>
          <cell r="J13">
            <v>0</v>
          </cell>
          <cell r="K13">
            <v>0</v>
          </cell>
        </row>
        <row r="14">
          <cell r="A14" t="str">
            <v>א.ד. אבידן ביטוחים בע"מ</v>
          </cell>
          <cell r="B14" t="str">
            <v>לא מפוקחים</v>
          </cell>
          <cell r="C14" t="str">
            <v xml:space="preserve">שותפים </v>
          </cell>
          <cell r="D14"/>
          <cell r="E14"/>
          <cell r="F14"/>
          <cell r="G14"/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 t="str">
            <v xml:space="preserve">גל אלמגור -ראם </v>
          </cell>
          <cell r="B15" t="str">
            <v>יוסי אביב</v>
          </cell>
          <cell r="C15" t="str">
            <v xml:space="preserve">שותפים </v>
          </cell>
          <cell r="D15">
            <v>46240.131150000001</v>
          </cell>
          <cell r="E15"/>
          <cell r="F15"/>
          <cell r="G15"/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אלרם סוכנות לביטוח</v>
          </cell>
          <cell r="B16" t="str">
            <v>יוסי אביב</v>
          </cell>
          <cell r="C16" t="str">
            <v xml:space="preserve">שותפים </v>
          </cell>
          <cell r="D16">
            <v>54797.142220000002</v>
          </cell>
          <cell r="E16">
            <v>1226.8996299999999</v>
          </cell>
          <cell r="F16">
            <v>557695.43000000005</v>
          </cell>
          <cell r="G16">
            <v>310384</v>
          </cell>
          <cell r="H16">
            <v>1438.225334</v>
          </cell>
          <cell r="I16">
            <v>96665.058671999999</v>
          </cell>
          <cell r="J16">
            <v>1658892.59</v>
          </cell>
          <cell r="K16">
            <v>0</v>
          </cell>
        </row>
        <row r="17">
          <cell r="A17" t="str">
            <v>רכס אורן</v>
          </cell>
          <cell r="B17" t="str">
            <v>יוסי אביב</v>
          </cell>
          <cell r="C17" t="str">
            <v xml:space="preserve">שותפים </v>
          </cell>
          <cell r="D17">
            <v>74921.456099999996</v>
          </cell>
          <cell r="E17">
            <v>29509.61565</v>
          </cell>
          <cell r="F17">
            <v>4951841.415</v>
          </cell>
          <cell r="G17">
            <v>3342820</v>
          </cell>
          <cell r="H17">
            <v>395077.07388799987</v>
          </cell>
          <cell r="I17">
            <v>90501.554304000019</v>
          </cell>
          <cell r="J17">
            <v>12501322.785399998</v>
          </cell>
          <cell r="K17">
            <v>887167</v>
          </cell>
        </row>
        <row r="18">
          <cell r="A18" t="str">
            <v>גולדר אבי</v>
          </cell>
          <cell r="B18" t="str">
            <v>יוסי אביב</v>
          </cell>
          <cell r="C18" t="str">
            <v xml:space="preserve">שותפים </v>
          </cell>
          <cell r="D18"/>
          <cell r="E18"/>
          <cell r="F18"/>
          <cell r="G18"/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>בדר צבי</v>
          </cell>
          <cell r="B19" t="str">
            <v>יוסי אביב</v>
          </cell>
          <cell r="C19" t="str">
            <v xml:space="preserve">שותפים </v>
          </cell>
          <cell r="D19"/>
          <cell r="E19"/>
          <cell r="F19"/>
          <cell r="G19"/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סה"כ חברות בנות</v>
          </cell>
          <cell r="B20"/>
          <cell r="C20"/>
          <cell r="D20">
            <v>180602.230354</v>
          </cell>
          <cell r="E20">
            <v>115406.368262</v>
          </cell>
          <cell r="F20">
            <v>6152958.0582999997</v>
          </cell>
          <cell r="G20">
            <v>3653204</v>
          </cell>
          <cell r="H20">
            <v>404031.40175999986</v>
          </cell>
          <cell r="I20">
            <v>454915.8400519999</v>
          </cell>
          <cell r="J20">
            <v>14696125.105399998</v>
          </cell>
          <cell r="K20">
            <v>893223</v>
          </cell>
        </row>
        <row r="21">
          <cell r="A21" t="str">
            <v>מועלם אלפרד</v>
          </cell>
          <cell r="B21" t="str">
            <v xml:space="preserve">ערן גירוני </v>
          </cell>
          <cell r="C21" t="str">
            <v xml:space="preserve">סוכנים </v>
          </cell>
          <cell r="D21"/>
          <cell r="E21"/>
          <cell r="F21"/>
          <cell r="G21">
            <v>2595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גרניק בנימין</v>
          </cell>
          <cell r="B22" t="str">
            <v xml:space="preserve">ערן גירוני </v>
          </cell>
          <cell r="C22" t="str">
            <v xml:space="preserve">סוכנים </v>
          </cell>
          <cell r="D22"/>
          <cell r="E22"/>
          <cell r="F22"/>
          <cell r="G22"/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סאוסן שלבי</v>
          </cell>
          <cell r="B23" t="str">
            <v xml:space="preserve">ערן גירוני </v>
          </cell>
          <cell r="C23" t="str">
            <v xml:space="preserve">סוכנים </v>
          </cell>
          <cell r="D23"/>
          <cell r="E23"/>
          <cell r="F23"/>
          <cell r="G23"/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יוספוביץ טלי</v>
          </cell>
          <cell r="B24" t="str">
            <v xml:space="preserve">ערן גירוני </v>
          </cell>
          <cell r="C24" t="str">
            <v xml:space="preserve">סוכנים </v>
          </cell>
          <cell r="D24"/>
          <cell r="E24"/>
          <cell r="F24"/>
          <cell r="G24"/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דורי כדורי דאי</v>
          </cell>
          <cell r="B25" t="str">
            <v>לא מפוקחים</v>
          </cell>
          <cell r="C25" t="str">
            <v xml:space="preserve">סוכנים </v>
          </cell>
          <cell r="D25"/>
          <cell r="E25"/>
          <cell r="F25"/>
          <cell r="G25"/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סברא סמיר</v>
          </cell>
          <cell r="B26" t="str">
            <v xml:space="preserve">ערן גירוני </v>
          </cell>
          <cell r="C26" t="str">
            <v xml:space="preserve">סוכנים </v>
          </cell>
          <cell r="D26">
            <v>1362637.8870000001</v>
          </cell>
          <cell r="E26">
            <v>10109.59643</v>
          </cell>
          <cell r="F26"/>
          <cell r="G26">
            <v>1163727</v>
          </cell>
          <cell r="H26">
            <v>1891296.4254660003</v>
          </cell>
          <cell r="I26">
            <v>54835.417690000017</v>
          </cell>
          <cell r="J26">
            <v>0</v>
          </cell>
          <cell r="K26">
            <v>424385</v>
          </cell>
        </row>
        <row r="27">
          <cell r="A27" t="str">
            <v>מחמוד פארס</v>
          </cell>
          <cell r="B27" t="str">
            <v xml:space="preserve">ערן גירוני </v>
          </cell>
          <cell r="C27" t="str">
            <v xml:space="preserve">סוכנים </v>
          </cell>
          <cell r="D27"/>
          <cell r="E27"/>
          <cell r="F27"/>
          <cell r="G27"/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>ריזק חלבי</v>
          </cell>
          <cell r="B28" t="str">
            <v xml:space="preserve">ערן גירוני </v>
          </cell>
          <cell r="C28" t="str">
            <v xml:space="preserve">סוכנים </v>
          </cell>
          <cell r="D28">
            <v>8908.0784540000004</v>
          </cell>
          <cell r="E28">
            <v>33186.806949999998</v>
          </cell>
          <cell r="F28">
            <v>4473</v>
          </cell>
          <cell r="G28"/>
          <cell r="H28">
            <v>0</v>
          </cell>
          <cell r="I28">
            <v>399887.14060399978</v>
          </cell>
          <cell r="J28">
            <v>0</v>
          </cell>
          <cell r="K28">
            <v>0</v>
          </cell>
        </row>
        <row r="29">
          <cell r="A29" t="str">
            <v>שלבי מיסון</v>
          </cell>
          <cell r="B29" t="str">
            <v xml:space="preserve">ערן גירוני </v>
          </cell>
          <cell r="C29" t="str">
            <v xml:space="preserve">סוכנים </v>
          </cell>
          <cell r="D29"/>
          <cell r="E29"/>
          <cell r="F29"/>
          <cell r="G29"/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 t="str">
            <v>בחוס יוסף</v>
          </cell>
          <cell r="B30" t="str">
            <v xml:space="preserve">ערן גירוני </v>
          </cell>
          <cell r="C30" t="str">
            <v xml:space="preserve">סוכנים </v>
          </cell>
          <cell r="D30"/>
          <cell r="E30"/>
          <cell r="F30"/>
          <cell r="G30"/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A31" t="str">
            <v>קליין סיון</v>
          </cell>
          <cell r="B31" t="str">
            <v xml:space="preserve">ערן גירוני </v>
          </cell>
          <cell r="C31" t="str">
            <v xml:space="preserve">סוכנים </v>
          </cell>
          <cell r="D31">
            <v>8356.553656</v>
          </cell>
          <cell r="E31">
            <v>1040.1922520000001</v>
          </cell>
          <cell r="F31">
            <v>21709.11</v>
          </cell>
          <cell r="G31"/>
          <cell r="H31">
            <v>39329.662890000007</v>
          </cell>
          <cell r="I31">
            <v>1545.899222</v>
          </cell>
          <cell r="J31">
            <v>0</v>
          </cell>
          <cell r="K31">
            <v>0</v>
          </cell>
        </row>
        <row r="32">
          <cell r="A32" t="str">
            <v>צקותאי אורי</v>
          </cell>
          <cell r="B32" t="str">
            <v xml:space="preserve">ערן גירוני </v>
          </cell>
          <cell r="C32" t="str">
            <v xml:space="preserve">סוכנים </v>
          </cell>
          <cell r="D32"/>
          <cell r="E32"/>
          <cell r="F32"/>
          <cell r="G32"/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סמיר בלאן</v>
          </cell>
          <cell r="B33" t="str">
            <v xml:space="preserve">ערן גירוני </v>
          </cell>
          <cell r="C33" t="str">
            <v xml:space="preserve">סוכנים </v>
          </cell>
          <cell r="D33"/>
          <cell r="E33"/>
          <cell r="F33"/>
          <cell r="G33"/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רפלוביץ מרינה</v>
          </cell>
          <cell r="B34" t="str">
            <v xml:space="preserve">ערן גירוני </v>
          </cell>
          <cell r="C34" t="str">
            <v xml:space="preserve">סוכנים </v>
          </cell>
          <cell r="D34"/>
          <cell r="E34"/>
          <cell r="F34">
            <v>70000</v>
          </cell>
          <cell r="G34"/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רן בסין</v>
          </cell>
          <cell r="B35" t="str">
            <v xml:space="preserve">ערן גירוני </v>
          </cell>
          <cell r="C35" t="str">
            <v xml:space="preserve">סוכנים </v>
          </cell>
          <cell r="D35"/>
          <cell r="E35"/>
          <cell r="F35"/>
          <cell r="G35"/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A36" t="str">
            <v>אלקרינאוי ראוף</v>
          </cell>
          <cell r="B36" t="str">
            <v xml:space="preserve">ערן גירוני </v>
          </cell>
          <cell r="C36" t="str">
            <v xml:space="preserve">סוכנים </v>
          </cell>
          <cell r="D36"/>
          <cell r="E36"/>
          <cell r="F36"/>
          <cell r="G36"/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A37" t="str">
            <v>דאי גדי</v>
          </cell>
          <cell r="B37" t="str">
            <v xml:space="preserve">ערן גירוני </v>
          </cell>
          <cell r="C37" t="str">
            <v xml:space="preserve">סוכנים </v>
          </cell>
          <cell r="D37"/>
          <cell r="E37"/>
          <cell r="F37"/>
          <cell r="G37"/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A38" t="str">
            <v>מילאד אבו שקארה</v>
          </cell>
          <cell r="B38" t="str">
            <v xml:space="preserve">ערן גירוני </v>
          </cell>
          <cell r="C38" t="str">
            <v xml:space="preserve">סוכנים </v>
          </cell>
          <cell r="D38"/>
          <cell r="E38"/>
          <cell r="F38"/>
          <cell r="G38"/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A39" t="str">
            <v>דראושה אדהם</v>
          </cell>
          <cell r="B39" t="str">
            <v xml:space="preserve">ערן גירוני </v>
          </cell>
          <cell r="C39" t="str">
            <v xml:space="preserve">סוכנים </v>
          </cell>
          <cell r="D39"/>
          <cell r="E39"/>
          <cell r="F39"/>
          <cell r="G39"/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A40" t="str">
            <v>בדארנה עומר</v>
          </cell>
          <cell r="B40" t="str">
            <v xml:space="preserve">ערן גירוני </v>
          </cell>
          <cell r="C40" t="str">
            <v xml:space="preserve">סוכנים </v>
          </cell>
          <cell r="D40"/>
          <cell r="E40"/>
          <cell r="F40"/>
          <cell r="G40"/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A41" t="str">
            <v>ערן שמילוביץ</v>
          </cell>
          <cell r="B41" t="str">
            <v>לא מפוקחים</v>
          </cell>
          <cell r="C41" t="str">
            <v xml:space="preserve">סוכנים </v>
          </cell>
          <cell r="D41"/>
          <cell r="E41"/>
          <cell r="F41"/>
          <cell r="G41"/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A42" t="str">
            <v>לוי חיים</v>
          </cell>
          <cell r="B42" t="str">
            <v xml:space="preserve">ערן גירוני </v>
          </cell>
          <cell r="C42" t="str">
            <v xml:space="preserve">סוכנים </v>
          </cell>
          <cell r="D42"/>
          <cell r="E42"/>
          <cell r="F42"/>
          <cell r="G42"/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A43" t="str">
            <v xml:space="preserve">אבו חיט ניזאם </v>
          </cell>
          <cell r="B43" t="str">
            <v>לא מפוקחים</v>
          </cell>
          <cell r="C43" t="str">
            <v xml:space="preserve">סוכנים </v>
          </cell>
          <cell r="D43"/>
          <cell r="E43"/>
          <cell r="F43"/>
          <cell r="G43"/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A44" t="str">
            <v>מטאנס זוהיר</v>
          </cell>
          <cell r="B44" t="str">
            <v>לא מפוקחים</v>
          </cell>
          <cell r="C44" t="str">
            <v xml:space="preserve">סוכנים </v>
          </cell>
          <cell r="D44"/>
          <cell r="E44">
            <v>30</v>
          </cell>
          <cell r="F44"/>
          <cell r="G44"/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דאי דניאל</v>
          </cell>
          <cell r="B45" t="str">
            <v xml:space="preserve">ערן גירוני </v>
          </cell>
          <cell r="C45" t="str">
            <v xml:space="preserve">סוכנים </v>
          </cell>
          <cell r="D45">
            <v>1738.939312</v>
          </cell>
          <cell r="E45">
            <v>19168.230329999999</v>
          </cell>
          <cell r="F45"/>
          <cell r="G45"/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דני פחימה</v>
          </cell>
          <cell r="B46" t="str">
            <v>לא מפוקחים</v>
          </cell>
          <cell r="C46" t="str">
            <v xml:space="preserve">סוכנים </v>
          </cell>
          <cell r="D46"/>
          <cell r="E46">
            <v>2168.76341</v>
          </cell>
          <cell r="F46"/>
          <cell r="G46"/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עאטף עדווי</v>
          </cell>
          <cell r="B47" t="str">
            <v>לא מפוקחים</v>
          </cell>
          <cell r="C47" t="str">
            <v xml:space="preserve">סוכנים </v>
          </cell>
          <cell r="D47"/>
          <cell r="E47"/>
          <cell r="F47"/>
          <cell r="G47"/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אביב מור יוסף</v>
          </cell>
          <cell r="B48" t="str">
            <v>לא מפוקחים</v>
          </cell>
          <cell r="C48" t="str">
            <v xml:space="preserve">סוכנים </v>
          </cell>
          <cell r="D48"/>
          <cell r="E48"/>
          <cell r="F48">
            <v>236026.47020000001</v>
          </cell>
          <cell r="G48">
            <v>1066</v>
          </cell>
          <cell r="H48">
            <v>276280.72372599994</v>
          </cell>
          <cell r="I48">
            <v>0</v>
          </cell>
          <cell r="J48">
            <v>0</v>
          </cell>
          <cell r="K48">
            <v>470282</v>
          </cell>
        </row>
        <row r="49">
          <cell r="A49" t="str">
            <v>אחמד עלי אחמד</v>
          </cell>
          <cell r="B49" t="str">
            <v xml:space="preserve">ערן גירוני </v>
          </cell>
          <cell r="C49" t="str">
            <v xml:space="preserve">סוכנים </v>
          </cell>
          <cell r="D49"/>
          <cell r="E49"/>
          <cell r="F49">
            <v>30000</v>
          </cell>
          <cell r="G49"/>
          <cell r="H49">
            <v>0</v>
          </cell>
          <cell r="I49">
            <v>0</v>
          </cell>
          <cell r="J49">
            <v>154509.73000000001</v>
          </cell>
          <cell r="K49">
            <v>0</v>
          </cell>
        </row>
        <row r="50">
          <cell r="A50" t="str">
            <v>לילי שרון</v>
          </cell>
          <cell r="B50" t="str">
            <v xml:space="preserve">ערן גירוני </v>
          </cell>
          <cell r="C50" t="str">
            <v xml:space="preserve">סוכנים </v>
          </cell>
          <cell r="D50"/>
          <cell r="E50">
            <v>1248.8556980000001</v>
          </cell>
          <cell r="F50">
            <v>118725.02</v>
          </cell>
          <cell r="G50">
            <v>43</v>
          </cell>
          <cell r="H50">
            <v>30782.593884000002</v>
          </cell>
          <cell r="I50">
            <v>0</v>
          </cell>
          <cell r="J50">
            <v>0</v>
          </cell>
          <cell r="K50">
            <v>60669</v>
          </cell>
        </row>
        <row r="51">
          <cell r="A51" t="str">
            <v>אילנית כהן</v>
          </cell>
          <cell r="B51" t="str">
            <v xml:space="preserve">ערן גירוני </v>
          </cell>
          <cell r="C51" t="str">
            <v xml:space="preserve">סוכנים </v>
          </cell>
          <cell r="D51"/>
          <cell r="E51">
            <v>210.421222</v>
          </cell>
          <cell r="F51">
            <v>60520</v>
          </cell>
          <cell r="G51"/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A52" t="str">
            <v>מכלול סוכנות לביטוח</v>
          </cell>
          <cell r="B52" t="str">
            <v>לא מפוקחים</v>
          </cell>
          <cell r="C52" t="str">
            <v xml:space="preserve">סוכנים </v>
          </cell>
          <cell r="D52"/>
          <cell r="E52"/>
          <cell r="F52"/>
          <cell r="G52"/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דורון ענק הביטוח</v>
          </cell>
          <cell r="B53" t="str">
            <v>לא מפוקחים</v>
          </cell>
          <cell r="C53" t="str">
            <v xml:space="preserve">סוכנים </v>
          </cell>
          <cell r="D53">
            <v>182.721858</v>
          </cell>
          <cell r="E53">
            <v>2170.2295119999999</v>
          </cell>
          <cell r="F53"/>
          <cell r="G53"/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גול זאב</v>
          </cell>
          <cell r="B54" t="str">
            <v>לא מפוקחים</v>
          </cell>
          <cell r="C54" t="str">
            <v xml:space="preserve">סוכנים </v>
          </cell>
          <cell r="D54"/>
          <cell r="E54"/>
          <cell r="F54"/>
          <cell r="G54"/>
          <cell r="H54">
            <v>0</v>
          </cell>
          <cell r="I54">
            <v>0</v>
          </cell>
          <cell r="J54">
            <v>0</v>
          </cell>
          <cell r="K54">
            <v>0</v>
          </cell>
        </row>
        <row r="55">
          <cell r="A55" t="str">
            <v>עבוד כיתי</v>
          </cell>
          <cell r="B55" t="str">
            <v xml:space="preserve">ערן גירוני </v>
          </cell>
          <cell r="C55" t="str">
            <v xml:space="preserve">סוכנים </v>
          </cell>
          <cell r="D55"/>
          <cell r="E55"/>
          <cell r="F55"/>
          <cell r="G55"/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6">
          <cell r="A56" t="str">
            <v>יעקב ישראל שטרן</v>
          </cell>
          <cell r="B56" t="str">
            <v xml:space="preserve">ערן גירוני </v>
          </cell>
          <cell r="C56" t="str">
            <v xml:space="preserve">סוכנים </v>
          </cell>
          <cell r="D56"/>
          <cell r="E56"/>
          <cell r="F56">
            <v>79000</v>
          </cell>
          <cell r="G56"/>
          <cell r="H56">
            <v>26838.267064</v>
          </cell>
          <cell r="I56">
            <v>0</v>
          </cell>
          <cell r="J56">
            <v>0</v>
          </cell>
          <cell r="K56">
            <v>0</v>
          </cell>
        </row>
        <row r="57">
          <cell r="A57" t="str">
            <v xml:space="preserve">ניר יבלונקה </v>
          </cell>
          <cell r="B57" t="str">
            <v xml:space="preserve">ערן גירוני </v>
          </cell>
          <cell r="C57" t="str">
            <v xml:space="preserve">סוכנים </v>
          </cell>
          <cell r="D57">
            <v>104570.3941</v>
          </cell>
          <cell r="E57"/>
          <cell r="F57">
            <v>209920.22</v>
          </cell>
          <cell r="G57">
            <v>955015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A58" t="str">
            <v>גלידר אנה</v>
          </cell>
          <cell r="B58" t="str">
            <v>יוסי אביב</v>
          </cell>
          <cell r="C58" t="str">
            <v xml:space="preserve">סוכנים </v>
          </cell>
          <cell r="D58"/>
          <cell r="E58"/>
          <cell r="F58"/>
          <cell r="G58">
            <v>10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יונתן מנחם</v>
          </cell>
          <cell r="B59" t="str">
            <v xml:space="preserve">ערן גירוני </v>
          </cell>
          <cell r="C59" t="str">
            <v xml:space="preserve">סוכנים </v>
          </cell>
          <cell r="D59"/>
          <cell r="E59"/>
          <cell r="F59"/>
          <cell r="G59"/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ינאי חיים בוני</v>
          </cell>
          <cell r="B60" t="str">
            <v xml:space="preserve">ערן גירוני </v>
          </cell>
          <cell r="C60" t="str">
            <v xml:space="preserve">סוכנים </v>
          </cell>
          <cell r="D60">
            <v>9306.0183919999999</v>
          </cell>
          <cell r="E60">
            <v>4246.3580499999998</v>
          </cell>
          <cell r="F60"/>
          <cell r="G60">
            <v>55089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יהונתן שיוביץ</v>
          </cell>
          <cell r="B61" t="str">
            <v xml:space="preserve">ערן גירוני </v>
          </cell>
          <cell r="C61" t="str">
            <v xml:space="preserve">סוכנים </v>
          </cell>
          <cell r="D61"/>
          <cell r="E61"/>
          <cell r="F61"/>
          <cell r="G61"/>
          <cell r="H61">
            <v>0</v>
          </cell>
          <cell r="I61">
            <v>506.001216</v>
          </cell>
          <cell r="J61">
            <v>0</v>
          </cell>
          <cell r="K61">
            <v>0</v>
          </cell>
        </row>
        <row r="62">
          <cell r="A62" t="str">
            <v>שירלי בוכריס</v>
          </cell>
          <cell r="B62" t="str">
            <v xml:space="preserve">ערן גירוני </v>
          </cell>
          <cell r="C62" t="str">
            <v xml:space="preserve">סוכנים </v>
          </cell>
          <cell r="D62"/>
          <cell r="E62">
            <v>332.492006</v>
          </cell>
          <cell r="F62"/>
          <cell r="G62">
            <v>571902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A63" t="str">
            <v>סיון פיינרו</v>
          </cell>
          <cell r="B63" t="str">
            <v xml:space="preserve">ערן גירוני </v>
          </cell>
          <cell r="C63" t="str">
            <v xml:space="preserve">סוכנים </v>
          </cell>
          <cell r="D63"/>
          <cell r="E63"/>
          <cell r="F63"/>
          <cell r="G63"/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A64" t="str">
            <v>יתר הסוכנים</v>
          </cell>
          <cell r="B64"/>
          <cell r="C64"/>
          <cell r="D64">
            <v>1495700.592772</v>
          </cell>
          <cell r="E64">
            <v>73911.945860000007</v>
          </cell>
          <cell r="F64">
            <v>830373.82019999996</v>
          </cell>
          <cell r="G64">
            <v>2749447</v>
          </cell>
          <cell r="H64">
            <v>2264527.6730300002</v>
          </cell>
          <cell r="I64">
            <v>456774.4587319998</v>
          </cell>
          <cell r="J64">
            <v>154509.73000000001</v>
          </cell>
          <cell r="K64">
            <v>955336</v>
          </cell>
        </row>
        <row r="65">
          <cell r="A65" t="str">
            <v>אריאל בר-חיים</v>
          </cell>
          <cell r="B65" t="str">
            <v>יוסי אביב</v>
          </cell>
          <cell r="C65" t="str">
            <v>פרמיום</v>
          </cell>
          <cell r="D65">
            <v>37831</v>
          </cell>
          <cell r="E65">
            <v>2710</v>
          </cell>
          <cell r="F65">
            <v>1876659</v>
          </cell>
          <cell r="G65">
            <v>262685</v>
          </cell>
          <cell r="H65">
            <v>61512.396736000002</v>
          </cell>
          <cell r="I65">
            <v>0</v>
          </cell>
          <cell r="J65">
            <v>454833.29999999993</v>
          </cell>
          <cell r="K65">
            <v>707622</v>
          </cell>
        </row>
        <row r="66">
          <cell r="A66" t="str">
            <v>שלי מזרחי</v>
          </cell>
          <cell r="B66" t="str">
            <v xml:space="preserve">ערן גירוני </v>
          </cell>
          <cell r="C66" t="str">
            <v xml:space="preserve">פרמיום </v>
          </cell>
          <cell r="D66">
            <v>23323.533490000002</v>
          </cell>
          <cell r="E66">
            <v>2280.1586940000002</v>
          </cell>
          <cell r="F66">
            <v>34850</v>
          </cell>
          <cell r="G66"/>
          <cell r="H66">
            <v>13127.970898000001</v>
          </cell>
          <cell r="I66">
            <v>0</v>
          </cell>
          <cell r="J66">
            <v>0</v>
          </cell>
          <cell r="K66">
            <v>1517</v>
          </cell>
        </row>
        <row r="67">
          <cell r="A67" t="str">
            <v>חנה כצנלסון</v>
          </cell>
          <cell r="B67" t="str">
            <v>יוסי אביב</v>
          </cell>
          <cell r="C67" t="str">
            <v xml:space="preserve">פרמיום </v>
          </cell>
          <cell r="D67"/>
          <cell r="E67"/>
          <cell r="F67">
            <v>237632.82320000001</v>
          </cell>
          <cell r="G67"/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 xml:space="preserve">מיכאל וקסלר </v>
          </cell>
          <cell r="B68" t="str">
            <v xml:space="preserve">ערן גירוני </v>
          </cell>
          <cell r="C68" t="str">
            <v xml:space="preserve">פרמיום </v>
          </cell>
          <cell r="D68"/>
          <cell r="E68"/>
          <cell r="F68"/>
          <cell r="G68"/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 xml:space="preserve">שני לוי </v>
          </cell>
          <cell r="B69" t="str">
            <v xml:space="preserve">ערן גירוני </v>
          </cell>
          <cell r="C69" t="str">
            <v xml:space="preserve">פרמיום </v>
          </cell>
          <cell r="D69"/>
          <cell r="E69"/>
          <cell r="F69"/>
          <cell r="G69">
            <v>90372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 t="str">
            <v>נעם הלשטוק</v>
          </cell>
          <cell r="B70" t="str">
            <v xml:space="preserve">ערן גירוני </v>
          </cell>
          <cell r="C70" t="str">
            <v xml:space="preserve">פרמיום </v>
          </cell>
          <cell r="D70">
            <v>17712.547620000001</v>
          </cell>
          <cell r="E70">
            <v>4202.0903099999996</v>
          </cell>
          <cell r="F70">
            <v>67347</v>
          </cell>
          <cell r="G70"/>
          <cell r="H70">
            <v>3227.0376179999998</v>
          </cell>
          <cell r="I70">
            <v>3716.3455279999998</v>
          </cell>
          <cell r="J70">
            <v>200000</v>
          </cell>
          <cell r="K70">
            <v>0</v>
          </cell>
        </row>
        <row r="71">
          <cell r="A71" t="str">
            <v>אורטל / לנג ביג סוכנות לביטוח פנסיוני</v>
          </cell>
          <cell r="B71" t="str">
            <v xml:space="preserve">ערן גירוני </v>
          </cell>
          <cell r="C71" t="str">
            <v xml:space="preserve">פרמיום </v>
          </cell>
          <cell r="D71">
            <v>39808.540950000002</v>
          </cell>
          <cell r="E71">
            <v>6306.7010819999996</v>
          </cell>
          <cell r="F71">
            <v>1559895.0390000001</v>
          </cell>
          <cell r="G71">
            <v>22444</v>
          </cell>
          <cell r="H71">
            <v>7952.33968</v>
          </cell>
          <cell r="I71">
            <v>0</v>
          </cell>
          <cell r="J71">
            <v>1427798.1</v>
          </cell>
          <cell r="K71">
            <v>3023</v>
          </cell>
        </row>
        <row r="72">
          <cell r="A72" t="str">
            <v>סטולרז אסף</v>
          </cell>
          <cell r="B72" t="str">
            <v>לא מפוקחים</v>
          </cell>
          <cell r="C72" t="str">
            <v>פרמיום</v>
          </cell>
          <cell r="D72"/>
          <cell r="E72"/>
          <cell r="F72"/>
          <cell r="G72"/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נור אבו ראס</v>
          </cell>
          <cell r="B73" t="str">
            <v xml:space="preserve">ערן גירוני </v>
          </cell>
          <cell r="C73" t="str">
            <v xml:space="preserve">פרמיום </v>
          </cell>
          <cell r="D73"/>
          <cell r="E73"/>
          <cell r="F73"/>
          <cell r="G73"/>
          <cell r="H73">
            <v>0</v>
          </cell>
          <cell r="I73">
            <v>20958.56266</v>
          </cell>
          <cell r="J73">
            <v>0</v>
          </cell>
          <cell r="K73">
            <v>0</v>
          </cell>
        </row>
        <row r="74">
          <cell r="A74" t="str">
            <v>סה"כ פרימיום</v>
          </cell>
          <cell r="B74"/>
          <cell r="C74"/>
          <cell r="D74">
            <v>118675.62205999999</v>
          </cell>
          <cell r="E74">
            <v>15498.950085999999</v>
          </cell>
          <cell r="F74">
            <v>3776383.8622000003</v>
          </cell>
          <cell r="G74">
            <v>375501</v>
          </cell>
          <cell r="H74">
            <v>85819.744932000016</v>
          </cell>
          <cell r="I74">
            <v>24674.908188000001</v>
          </cell>
          <cell r="J74">
            <v>2082631.4</v>
          </cell>
          <cell r="K74">
            <v>712162</v>
          </cell>
        </row>
        <row r="75">
          <cell r="A75" t="str">
            <v>סה"כ כולל</v>
          </cell>
          <cell r="B75"/>
          <cell r="C75"/>
          <cell r="D75">
            <v>2798604.1631859997</v>
          </cell>
          <cell r="E75">
            <v>338041.76789999998</v>
          </cell>
          <cell r="F75">
            <v>14764205.719699999</v>
          </cell>
          <cell r="G75">
            <v>10578291</v>
          </cell>
          <cell r="H75">
            <v>2795582.352922</v>
          </cell>
          <cell r="I75">
            <v>1193274.5532599997</v>
          </cell>
          <cell r="J75">
            <v>26451302.966984</v>
          </cell>
          <cell r="K75">
            <v>2640759</v>
          </cell>
        </row>
        <row r="76">
          <cell r="H76"/>
          <cell r="I76"/>
          <cell r="J76"/>
        </row>
      </sheetData>
      <sheetData sheetId="11"/>
      <sheetData sheetId="12">
        <row r="1">
          <cell r="A1"/>
          <cell r="B1"/>
          <cell r="C1"/>
          <cell r="D1">
            <v>2024</v>
          </cell>
          <cell r="E1"/>
          <cell r="F1"/>
          <cell r="G1"/>
          <cell r="H1">
            <v>2023</v>
          </cell>
          <cell r="I1"/>
          <cell r="J1"/>
          <cell r="K1"/>
        </row>
        <row r="2">
          <cell r="A2" t="str">
            <v>שם סוכן</v>
          </cell>
          <cell r="B2" t="str">
            <v xml:space="preserve">מפקח </v>
          </cell>
          <cell r="C2" t="str">
            <v>מחלקה</v>
          </cell>
          <cell r="D2" t="str">
            <v>פנסיוני</v>
          </cell>
          <cell r="E2" t="str">
            <v xml:space="preserve">סיכונים </v>
          </cell>
          <cell r="F2" t="str">
            <v>פיננסים</v>
          </cell>
          <cell r="G2" t="str">
            <v>ניודי פנסיה</v>
          </cell>
          <cell r="H2" t="str">
            <v>פנסיוני</v>
          </cell>
          <cell r="I2" t="str">
            <v xml:space="preserve">סיכונים </v>
          </cell>
          <cell r="J2" t="str">
            <v>פיננסים</v>
          </cell>
          <cell r="K2" t="str">
            <v xml:space="preserve">ניודי פנסיה </v>
          </cell>
        </row>
        <row r="3">
          <cell r="A3" t="str">
            <v>גל אלמגור סוכ</v>
          </cell>
          <cell r="B3" t="str">
            <v>יוסי אביב</v>
          </cell>
          <cell r="C3" t="str">
            <v xml:space="preserve">ישירים </v>
          </cell>
          <cell r="D3"/>
          <cell r="E3"/>
          <cell r="F3">
            <v>840757.6</v>
          </cell>
          <cell r="G3"/>
          <cell r="H3"/>
          <cell r="I3"/>
          <cell r="J3">
            <v>1994154.1800000002</v>
          </cell>
          <cell r="K3"/>
        </row>
        <row r="4">
          <cell r="A4" t="str">
            <v>דניאלה אביב</v>
          </cell>
          <cell r="B4" t="str">
            <v>יוסי אביב</v>
          </cell>
          <cell r="C4" t="str">
            <v xml:space="preserve">ישירים </v>
          </cell>
          <cell r="D4"/>
          <cell r="E4"/>
          <cell r="F4">
            <v>189399.24</v>
          </cell>
          <cell r="G4"/>
          <cell r="H4"/>
          <cell r="I4"/>
          <cell r="J4">
            <v>0</v>
          </cell>
          <cell r="K4"/>
        </row>
        <row r="5">
          <cell r="A5" t="str">
            <v xml:space="preserve">רותי </v>
          </cell>
          <cell r="B5" t="str">
            <v>יוסי אביב</v>
          </cell>
          <cell r="C5" t="str">
            <v xml:space="preserve">ישירים </v>
          </cell>
          <cell r="D5"/>
          <cell r="E5"/>
          <cell r="F5"/>
          <cell r="G5"/>
          <cell r="H5"/>
          <cell r="I5"/>
          <cell r="J5">
            <v>0</v>
          </cell>
          <cell r="K5"/>
        </row>
        <row r="6">
          <cell r="A6" t="str">
            <v xml:space="preserve">אילנית </v>
          </cell>
          <cell r="B6" t="str">
            <v>יוסי אביב</v>
          </cell>
          <cell r="C6" t="str">
            <v xml:space="preserve">ישירים </v>
          </cell>
          <cell r="D6"/>
          <cell r="E6"/>
          <cell r="F6"/>
          <cell r="G6"/>
          <cell r="H6"/>
          <cell r="I6"/>
          <cell r="J6">
            <v>0</v>
          </cell>
          <cell r="K6"/>
        </row>
        <row r="7">
          <cell r="A7" t="str">
            <v>סה"כ ישיר</v>
          </cell>
          <cell r="B7"/>
          <cell r="C7"/>
          <cell r="D7">
            <v>0</v>
          </cell>
          <cell r="E7">
            <v>0</v>
          </cell>
          <cell r="F7">
            <v>1030156.84</v>
          </cell>
          <cell r="G7">
            <v>0</v>
          </cell>
          <cell r="H7">
            <v>0</v>
          </cell>
          <cell r="I7">
            <v>0</v>
          </cell>
          <cell r="J7">
            <v>1994154.1800000002</v>
          </cell>
          <cell r="K7">
            <v>0</v>
          </cell>
        </row>
        <row r="8">
          <cell r="A8" t="str">
            <v>בראשית סוכנות לביטוח</v>
          </cell>
          <cell r="B8" t="str">
            <v>יוסי אביב</v>
          </cell>
          <cell r="C8" t="str">
            <v xml:space="preserve">שותפים </v>
          </cell>
          <cell r="D8"/>
          <cell r="E8"/>
          <cell r="F8"/>
          <cell r="G8"/>
          <cell r="H8"/>
          <cell r="I8"/>
          <cell r="J8">
            <v>0</v>
          </cell>
          <cell r="K8"/>
        </row>
        <row r="9">
          <cell r="A9" t="str">
            <v>גל אלמגור דאוד סוכ' לב</v>
          </cell>
          <cell r="B9" t="str">
            <v>יוסי אביב</v>
          </cell>
          <cell r="C9" t="str">
            <v xml:space="preserve">שותפים </v>
          </cell>
          <cell r="D9"/>
          <cell r="E9"/>
          <cell r="F9"/>
          <cell r="G9"/>
          <cell r="H9"/>
          <cell r="I9"/>
          <cell r="J9">
            <v>0</v>
          </cell>
          <cell r="K9"/>
        </row>
        <row r="10">
          <cell r="A10" t="str">
            <v>גל אלמגור -וייס סוכנות</v>
          </cell>
          <cell r="B10" t="str">
            <v>יוסי אביב</v>
          </cell>
          <cell r="C10" t="str">
            <v xml:space="preserve">שותפים </v>
          </cell>
          <cell r="D10"/>
          <cell r="E10"/>
          <cell r="F10">
            <v>363690.87</v>
          </cell>
          <cell r="G10"/>
          <cell r="H10"/>
          <cell r="I10"/>
          <cell r="J10">
            <v>62300</v>
          </cell>
          <cell r="K10"/>
        </row>
        <row r="11">
          <cell r="A11" t="str">
            <v>גל אלמגור דרום סוכ ל</v>
          </cell>
          <cell r="B11" t="str">
            <v>יוסי אביב</v>
          </cell>
          <cell r="C11" t="str">
            <v xml:space="preserve">שותפים </v>
          </cell>
          <cell r="D11"/>
          <cell r="E11"/>
          <cell r="F11"/>
          <cell r="G11"/>
          <cell r="H11"/>
          <cell r="I11"/>
          <cell r="J11">
            <v>0</v>
          </cell>
          <cell r="K11"/>
        </row>
        <row r="12">
          <cell r="A12" t="str">
            <v>משה שטרן גל אלמגור</v>
          </cell>
          <cell r="B12" t="str">
            <v>יוסי אביב</v>
          </cell>
          <cell r="C12" t="str">
            <v xml:space="preserve">שותפים </v>
          </cell>
          <cell r="D12"/>
          <cell r="E12"/>
          <cell r="F12"/>
          <cell r="G12"/>
          <cell r="H12"/>
          <cell r="I12"/>
          <cell r="J12">
            <v>0</v>
          </cell>
          <cell r="K12"/>
        </row>
        <row r="13">
          <cell r="A13" t="str">
            <v>מקסימום סוכנות לבטוח פ</v>
          </cell>
          <cell r="B13" t="str">
            <v>יוסי אביב</v>
          </cell>
          <cell r="C13" t="str">
            <v xml:space="preserve">שותפים </v>
          </cell>
          <cell r="D13"/>
          <cell r="E13"/>
          <cell r="F13"/>
          <cell r="G13"/>
          <cell r="H13"/>
          <cell r="I13"/>
          <cell r="J13">
            <v>38920</v>
          </cell>
          <cell r="K13"/>
        </row>
        <row r="14">
          <cell r="A14" t="str">
            <v>א.ד. אבידן ביטוחים בע"מ</v>
          </cell>
          <cell r="B14" t="str">
            <v>לא מפוקחים</v>
          </cell>
          <cell r="C14" t="str">
            <v xml:space="preserve">שותפים </v>
          </cell>
          <cell r="D14"/>
          <cell r="E14"/>
          <cell r="F14"/>
          <cell r="G14"/>
          <cell r="H14"/>
          <cell r="I14"/>
          <cell r="J14">
            <v>0</v>
          </cell>
          <cell r="K14"/>
        </row>
        <row r="15">
          <cell r="A15" t="str">
            <v xml:space="preserve">גל אלמגור -ראם </v>
          </cell>
          <cell r="B15" t="str">
            <v>יוסי אביב</v>
          </cell>
          <cell r="C15" t="str">
            <v xml:space="preserve">שותפים </v>
          </cell>
          <cell r="D15"/>
          <cell r="E15"/>
          <cell r="F15"/>
          <cell r="G15"/>
          <cell r="H15"/>
          <cell r="I15"/>
          <cell r="J15">
            <v>0</v>
          </cell>
          <cell r="K15"/>
        </row>
        <row r="16">
          <cell r="A16" t="str">
            <v>אלרם סוכנות לביטוח</v>
          </cell>
          <cell r="B16" t="str">
            <v>יוסי אביב</v>
          </cell>
          <cell r="C16" t="str">
            <v xml:space="preserve">שותפים </v>
          </cell>
          <cell r="D16"/>
          <cell r="E16"/>
          <cell r="F16">
            <v>6697946.6799999997</v>
          </cell>
          <cell r="G16"/>
          <cell r="H16"/>
          <cell r="I16"/>
          <cell r="J16">
            <v>1269345.4900000002</v>
          </cell>
          <cell r="K16"/>
        </row>
        <row r="17">
          <cell r="A17" t="str">
            <v>רכס אורן</v>
          </cell>
          <cell r="B17" t="str">
            <v>יוסי אביב</v>
          </cell>
          <cell r="C17" t="str">
            <v xml:space="preserve">שותפים </v>
          </cell>
          <cell r="D17"/>
          <cell r="E17"/>
          <cell r="F17">
            <v>360852.25</v>
          </cell>
          <cell r="G17"/>
          <cell r="H17"/>
          <cell r="I17"/>
          <cell r="J17">
            <v>992902.2</v>
          </cell>
          <cell r="K17"/>
        </row>
        <row r="18">
          <cell r="A18" t="str">
            <v>גולדר אבי</v>
          </cell>
          <cell r="B18" t="str">
            <v>יוסי אביב</v>
          </cell>
          <cell r="C18" t="str">
            <v xml:space="preserve">שותפים </v>
          </cell>
          <cell r="D18"/>
          <cell r="E18"/>
          <cell r="F18"/>
          <cell r="G18"/>
          <cell r="H18"/>
          <cell r="I18"/>
          <cell r="J18">
            <v>0</v>
          </cell>
          <cell r="K18"/>
        </row>
        <row r="19">
          <cell r="A19" t="str">
            <v>בדר צבי</v>
          </cell>
          <cell r="B19" t="str">
            <v>יוסי אביב</v>
          </cell>
          <cell r="C19" t="str">
            <v xml:space="preserve">שותפים </v>
          </cell>
          <cell r="D19"/>
          <cell r="E19"/>
          <cell r="F19"/>
          <cell r="G19"/>
          <cell r="H19"/>
          <cell r="I19"/>
          <cell r="J19">
            <v>0</v>
          </cell>
          <cell r="K19"/>
        </row>
        <row r="20">
          <cell r="A20" t="str">
            <v>סה"כ חברות בנות</v>
          </cell>
          <cell r="B20"/>
          <cell r="C20"/>
          <cell r="D20">
            <v>0</v>
          </cell>
          <cell r="E20">
            <v>0</v>
          </cell>
          <cell r="F20">
            <v>7422489.7999999998</v>
          </cell>
          <cell r="G20">
            <v>0</v>
          </cell>
          <cell r="H20">
            <v>0</v>
          </cell>
          <cell r="I20">
            <v>0</v>
          </cell>
          <cell r="J20">
            <v>2363467.6900000004</v>
          </cell>
          <cell r="K20">
            <v>0</v>
          </cell>
        </row>
        <row r="21">
          <cell r="A21" t="str">
            <v>מועלם אלפרד</v>
          </cell>
          <cell r="B21" t="str">
            <v xml:space="preserve">ערן גירוני </v>
          </cell>
          <cell r="C21" t="str">
            <v xml:space="preserve">סוכנים </v>
          </cell>
          <cell r="D21"/>
          <cell r="E21"/>
          <cell r="F21"/>
          <cell r="G21"/>
          <cell r="H21"/>
          <cell r="I21"/>
          <cell r="J21">
            <v>0</v>
          </cell>
          <cell r="K21"/>
        </row>
        <row r="22">
          <cell r="A22" t="str">
            <v>גרניק בנימין</v>
          </cell>
          <cell r="B22" t="str">
            <v xml:space="preserve">ערן גירוני </v>
          </cell>
          <cell r="C22" t="str">
            <v xml:space="preserve">סוכנים </v>
          </cell>
          <cell r="D22"/>
          <cell r="E22"/>
          <cell r="F22"/>
          <cell r="G22"/>
          <cell r="H22"/>
          <cell r="I22"/>
          <cell r="J22">
            <v>0</v>
          </cell>
          <cell r="K22"/>
        </row>
        <row r="23">
          <cell r="A23" t="str">
            <v>סאוסן שלבי</v>
          </cell>
          <cell r="B23" t="str">
            <v xml:space="preserve">ערן גירוני </v>
          </cell>
          <cell r="C23" t="str">
            <v xml:space="preserve">סוכנים </v>
          </cell>
          <cell r="D23"/>
          <cell r="E23"/>
          <cell r="F23"/>
          <cell r="G23"/>
          <cell r="H23"/>
          <cell r="I23"/>
          <cell r="J23">
            <v>0</v>
          </cell>
          <cell r="K23"/>
        </row>
        <row r="24">
          <cell r="A24" t="str">
            <v>יוספוביץ טלי</v>
          </cell>
          <cell r="B24" t="str">
            <v xml:space="preserve">ערן גירוני </v>
          </cell>
          <cell r="C24" t="str">
            <v xml:space="preserve">סוכנים </v>
          </cell>
          <cell r="D24"/>
          <cell r="E24"/>
          <cell r="F24"/>
          <cell r="G24"/>
          <cell r="H24"/>
          <cell r="I24"/>
          <cell r="J24">
            <v>0</v>
          </cell>
          <cell r="K24"/>
        </row>
        <row r="25">
          <cell r="A25" t="str">
            <v>דורי כדורי דאי</v>
          </cell>
          <cell r="B25" t="str">
            <v>לא מפוקחים</v>
          </cell>
          <cell r="C25" t="str">
            <v xml:space="preserve">סוכנים </v>
          </cell>
          <cell r="D25"/>
          <cell r="E25"/>
          <cell r="F25"/>
          <cell r="G25"/>
          <cell r="H25"/>
          <cell r="I25"/>
          <cell r="J25">
            <v>0</v>
          </cell>
          <cell r="K25"/>
        </row>
        <row r="26">
          <cell r="A26" t="str">
            <v>סברא סמיר</v>
          </cell>
          <cell r="B26" t="str">
            <v xml:space="preserve">ערן גירוני </v>
          </cell>
          <cell r="C26" t="str">
            <v xml:space="preserve">סוכנים </v>
          </cell>
          <cell r="D26"/>
          <cell r="E26"/>
          <cell r="F26"/>
          <cell r="G26"/>
          <cell r="H26"/>
          <cell r="I26"/>
          <cell r="J26">
            <v>0</v>
          </cell>
          <cell r="K26"/>
        </row>
        <row r="27">
          <cell r="A27" t="str">
            <v>מחמוד פארס</v>
          </cell>
          <cell r="B27" t="str">
            <v xml:space="preserve">ערן גירוני </v>
          </cell>
          <cell r="C27" t="str">
            <v xml:space="preserve">סוכנים </v>
          </cell>
          <cell r="D27"/>
          <cell r="E27"/>
          <cell r="F27"/>
          <cell r="G27"/>
          <cell r="H27"/>
          <cell r="I27"/>
          <cell r="J27">
            <v>0</v>
          </cell>
          <cell r="K27"/>
        </row>
        <row r="28">
          <cell r="A28" t="str">
            <v>ריזק חלבי</v>
          </cell>
          <cell r="B28" t="str">
            <v xml:space="preserve">ערן גירוני </v>
          </cell>
          <cell r="C28" t="str">
            <v xml:space="preserve">סוכנים </v>
          </cell>
          <cell r="D28"/>
          <cell r="E28"/>
          <cell r="F28"/>
          <cell r="G28"/>
          <cell r="H28"/>
          <cell r="I28"/>
          <cell r="J28">
            <v>0</v>
          </cell>
          <cell r="K28"/>
        </row>
        <row r="29">
          <cell r="A29" t="str">
            <v>שלבי מיסון</v>
          </cell>
          <cell r="B29" t="str">
            <v xml:space="preserve">ערן גירוני </v>
          </cell>
          <cell r="C29" t="str">
            <v xml:space="preserve">סוכנים </v>
          </cell>
          <cell r="D29"/>
          <cell r="E29"/>
          <cell r="F29"/>
          <cell r="G29"/>
          <cell r="H29"/>
          <cell r="I29"/>
          <cell r="J29">
            <v>0</v>
          </cell>
          <cell r="K29"/>
        </row>
        <row r="30">
          <cell r="A30" t="str">
            <v>בחוס יוסף</v>
          </cell>
          <cell r="B30" t="str">
            <v xml:space="preserve">ערן גירוני </v>
          </cell>
          <cell r="C30" t="str">
            <v xml:space="preserve">סוכנים </v>
          </cell>
          <cell r="D30"/>
          <cell r="E30"/>
          <cell r="F30"/>
          <cell r="G30"/>
          <cell r="H30"/>
          <cell r="I30"/>
          <cell r="J30">
            <v>0</v>
          </cell>
          <cell r="K30"/>
        </row>
        <row r="31">
          <cell r="A31" t="str">
            <v>קליין סיון</v>
          </cell>
          <cell r="B31" t="str">
            <v xml:space="preserve">ערן גירוני </v>
          </cell>
          <cell r="C31" t="str">
            <v xml:space="preserve">סוכנים </v>
          </cell>
          <cell r="D31"/>
          <cell r="E31"/>
          <cell r="F31"/>
          <cell r="G31"/>
          <cell r="H31"/>
          <cell r="I31"/>
          <cell r="J31">
            <v>0</v>
          </cell>
          <cell r="K31"/>
        </row>
        <row r="32">
          <cell r="A32" t="str">
            <v>צקותאי אורי</v>
          </cell>
          <cell r="B32" t="str">
            <v xml:space="preserve">ערן גירוני </v>
          </cell>
          <cell r="C32" t="str">
            <v xml:space="preserve">סוכנים </v>
          </cell>
          <cell r="D32"/>
          <cell r="E32"/>
          <cell r="F32"/>
          <cell r="G32"/>
          <cell r="H32"/>
          <cell r="I32"/>
          <cell r="J32">
            <v>0</v>
          </cell>
          <cell r="K32"/>
        </row>
        <row r="33">
          <cell r="A33" t="str">
            <v>סמיר בלאן</v>
          </cell>
          <cell r="B33" t="str">
            <v xml:space="preserve">ערן גירוני </v>
          </cell>
          <cell r="C33" t="str">
            <v xml:space="preserve">סוכנים </v>
          </cell>
          <cell r="D33"/>
          <cell r="E33"/>
          <cell r="F33"/>
          <cell r="G33"/>
          <cell r="H33"/>
          <cell r="I33"/>
          <cell r="J33">
            <v>0</v>
          </cell>
          <cell r="K33"/>
        </row>
        <row r="34">
          <cell r="A34" t="str">
            <v>רפלוביץ מרינה</v>
          </cell>
          <cell r="B34" t="str">
            <v xml:space="preserve">ערן גירוני </v>
          </cell>
          <cell r="C34" t="str">
            <v xml:space="preserve">סוכנים </v>
          </cell>
          <cell r="D34"/>
          <cell r="E34"/>
          <cell r="F34">
            <v>72500</v>
          </cell>
          <cell r="G34"/>
          <cell r="H34"/>
          <cell r="I34"/>
          <cell r="J34">
            <v>55000</v>
          </cell>
          <cell r="K34"/>
        </row>
        <row r="35">
          <cell r="A35" t="str">
            <v>רן בסין</v>
          </cell>
          <cell r="B35" t="str">
            <v xml:space="preserve">ערן גירוני </v>
          </cell>
          <cell r="C35" t="str">
            <v xml:space="preserve">סוכנים </v>
          </cell>
          <cell r="D35"/>
          <cell r="E35"/>
          <cell r="F35"/>
          <cell r="G35"/>
          <cell r="H35"/>
          <cell r="I35"/>
          <cell r="J35">
            <v>0</v>
          </cell>
          <cell r="K35"/>
        </row>
        <row r="36">
          <cell r="A36" t="str">
            <v>אלקרינאוי ראוף</v>
          </cell>
          <cell r="B36" t="str">
            <v xml:space="preserve">ערן גירוני </v>
          </cell>
          <cell r="C36" t="str">
            <v xml:space="preserve">סוכנים </v>
          </cell>
          <cell r="D36"/>
          <cell r="E36"/>
          <cell r="F36"/>
          <cell r="G36"/>
          <cell r="H36"/>
          <cell r="I36"/>
          <cell r="J36">
            <v>0</v>
          </cell>
          <cell r="K36"/>
        </row>
        <row r="37">
          <cell r="A37" t="str">
            <v>דאי גדי</v>
          </cell>
          <cell r="B37" t="str">
            <v xml:space="preserve">ערן גירוני </v>
          </cell>
          <cell r="C37" t="str">
            <v xml:space="preserve">סוכנים </v>
          </cell>
          <cell r="D37"/>
          <cell r="E37"/>
          <cell r="F37"/>
          <cell r="G37"/>
          <cell r="H37"/>
          <cell r="I37"/>
          <cell r="J37">
            <v>0</v>
          </cell>
          <cell r="K37"/>
        </row>
        <row r="38">
          <cell r="A38" t="str">
            <v>מילאד אבו שקארה</v>
          </cell>
          <cell r="B38" t="str">
            <v xml:space="preserve">ערן גירוני </v>
          </cell>
          <cell r="C38" t="str">
            <v xml:space="preserve">סוכנים </v>
          </cell>
          <cell r="D38"/>
          <cell r="E38"/>
          <cell r="F38"/>
          <cell r="G38"/>
          <cell r="H38"/>
          <cell r="I38"/>
          <cell r="J38">
            <v>0</v>
          </cell>
          <cell r="K38"/>
        </row>
        <row r="39">
          <cell r="A39" t="str">
            <v>דראושה אדהם</v>
          </cell>
          <cell r="B39" t="str">
            <v xml:space="preserve">ערן גירוני </v>
          </cell>
          <cell r="C39" t="str">
            <v xml:space="preserve">סוכנים </v>
          </cell>
          <cell r="D39"/>
          <cell r="E39"/>
          <cell r="F39"/>
          <cell r="G39"/>
          <cell r="H39"/>
          <cell r="I39"/>
          <cell r="J39">
            <v>0</v>
          </cell>
          <cell r="K39"/>
        </row>
        <row r="40">
          <cell r="A40" t="str">
            <v>בדארנה עומר</v>
          </cell>
          <cell r="B40" t="str">
            <v xml:space="preserve">ערן גירוני </v>
          </cell>
          <cell r="C40" t="str">
            <v xml:space="preserve">סוכנים </v>
          </cell>
          <cell r="D40"/>
          <cell r="E40"/>
          <cell r="F40"/>
          <cell r="G40"/>
          <cell r="H40"/>
          <cell r="I40"/>
          <cell r="J40">
            <v>0</v>
          </cell>
          <cell r="K40"/>
        </row>
        <row r="41">
          <cell r="A41" t="str">
            <v>ערן שמילוביץ</v>
          </cell>
          <cell r="B41" t="str">
            <v>לא מפוקחים</v>
          </cell>
          <cell r="C41" t="str">
            <v xml:space="preserve">סוכנים </v>
          </cell>
          <cell r="D41"/>
          <cell r="E41"/>
          <cell r="F41"/>
          <cell r="G41"/>
          <cell r="H41"/>
          <cell r="I41"/>
          <cell r="J41">
            <v>0</v>
          </cell>
          <cell r="K41"/>
        </row>
        <row r="42">
          <cell r="A42" t="str">
            <v>לוי חיים</v>
          </cell>
          <cell r="B42" t="str">
            <v xml:space="preserve">ערן גירוני </v>
          </cell>
          <cell r="C42" t="str">
            <v xml:space="preserve">סוכנים </v>
          </cell>
          <cell r="D42"/>
          <cell r="E42"/>
          <cell r="F42"/>
          <cell r="G42"/>
          <cell r="H42"/>
          <cell r="I42"/>
          <cell r="J42">
            <v>0</v>
          </cell>
          <cell r="K42"/>
        </row>
        <row r="43">
          <cell r="A43" t="str">
            <v xml:space="preserve">אבו חיט ניזאם </v>
          </cell>
          <cell r="B43" t="str">
            <v>לא מפוקחים</v>
          </cell>
          <cell r="C43" t="str">
            <v xml:space="preserve">סוכנים </v>
          </cell>
          <cell r="D43"/>
          <cell r="E43"/>
          <cell r="F43"/>
          <cell r="G43"/>
          <cell r="H43"/>
          <cell r="I43"/>
          <cell r="J43">
            <v>0</v>
          </cell>
          <cell r="K43"/>
        </row>
        <row r="44">
          <cell r="A44" t="str">
            <v>מטאנס זוהיר</v>
          </cell>
          <cell r="B44" t="str">
            <v>לא מפוקחים</v>
          </cell>
          <cell r="C44" t="str">
            <v xml:space="preserve">סוכנים </v>
          </cell>
          <cell r="D44"/>
          <cell r="E44"/>
          <cell r="F44"/>
          <cell r="G44"/>
          <cell r="H44"/>
          <cell r="I44"/>
          <cell r="J44">
            <v>0</v>
          </cell>
          <cell r="K44"/>
        </row>
        <row r="45">
          <cell r="A45" t="str">
            <v>דאי דניאל</v>
          </cell>
          <cell r="B45" t="str">
            <v xml:space="preserve">ערן גירוני </v>
          </cell>
          <cell r="C45" t="str">
            <v xml:space="preserve">סוכנים </v>
          </cell>
          <cell r="D45"/>
          <cell r="E45"/>
          <cell r="F45"/>
          <cell r="G45"/>
          <cell r="H45"/>
          <cell r="I45"/>
          <cell r="J45">
            <v>0</v>
          </cell>
          <cell r="K45"/>
        </row>
        <row r="46">
          <cell r="A46" t="str">
            <v>דני פחימה</v>
          </cell>
          <cell r="B46" t="str">
            <v>לא מפוקחים</v>
          </cell>
          <cell r="C46" t="str">
            <v xml:space="preserve">סוכנים </v>
          </cell>
          <cell r="D46"/>
          <cell r="E46"/>
          <cell r="F46"/>
          <cell r="G46"/>
          <cell r="H46"/>
          <cell r="I46"/>
          <cell r="J46">
            <v>0</v>
          </cell>
          <cell r="K46"/>
        </row>
        <row r="47">
          <cell r="A47" t="str">
            <v>עאטף עדווי</v>
          </cell>
          <cell r="B47" t="str">
            <v>לא מפוקחים</v>
          </cell>
          <cell r="C47" t="str">
            <v xml:space="preserve">סוכנים </v>
          </cell>
          <cell r="D47"/>
          <cell r="E47"/>
          <cell r="F47"/>
          <cell r="G47"/>
          <cell r="H47"/>
          <cell r="I47"/>
          <cell r="J47">
            <v>0</v>
          </cell>
          <cell r="K47"/>
        </row>
        <row r="48">
          <cell r="A48" t="str">
            <v>אביב מור יוסף</v>
          </cell>
          <cell r="B48" t="str">
            <v>לא מפוקחים</v>
          </cell>
          <cell r="C48" t="str">
            <v xml:space="preserve">סוכנים </v>
          </cell>
          <cell r="D48"/>
          <cell r="E48"/>
          <cell r="F48">
            <v>591461.71</v>
          </cell>
          <cell r="G48"/>
          <cell r="H48"/>
          <cell r="I48"/>
          <cell r="J48">
            <v>0</v>
          </cell>
          <cell r="K48"/>
        </row>
        <row r="49">
          <cell r="A49" t="str">
            <v>אחמד עלי אחמד</v>
          </cell>
          <cell r="B49" t="str">
            <v xml:space="preserve">ערן גירוני </v>
          </cell>
          <cell r="C49" t="str">
            <v xml:space="preserve">סוכנים </v>
          </cell>
          <cell r="D49"/>
          <cell r="E49"/>
          <cell r="F49"/>
          <cell r="G49"/>
          <cell r="H49"/>
          <cell r="I49"/>
          <cell r="J49">
            <v>0</v>
          </cell>
          <cell r="K49"/>
        </row>
        <row r="50">
          <cell r="A50" t="str">
            <v>לילי שרון</v>
          </cell>
          <cell r="B50" t="str">
            <v xml:space="preserve">ערן גירוני </v>
          </cell>
          <cell r="C50" t="str">
            <v xml:space="preserve">סוכנים </v>
          </cell>
          <cell r="D50"/>
          <cell r="E50"/>
          <cell r="F50"/>
          <cell r="G50"/>
          <cell r="H50"/>
          <cell r="I50"/>
          <cell r="J50">
            <v>0</v>
          </cell>
          <cell r="K50"/>
        </row>
        <row r="51">
          <cell r="A51" t="str">
            <v>אילנית כהן</v>
          </cell>
          <cell r="B51" t="str">
            <v xml:space="preserve">ערן גירוני </v>
          </cell>
          <cell r="C51" t="str">
            <v xml:space="preserve">סוכנים </v>
          </cell>
          <cell r="D51"/>
          <cell r="E51"/>
          <cell r="F51"/>
          <cell r="G51"/>
          <cell r="H51"/>
          <cell r="I51"/>
          <cell r="J51">
            <v>0</v>
          </cell>
          <cell r="K51"/>
        </row>
        <row r="52">
          <cell r="A52" t="str">
            <v>מכלול סוכנות לביטוח</v>
          </cell>
          <cell r="B52" t="str">
            <v>לא מפוקחים</v>
          </cell>
          <cell r="C52" t="str">
            <v xml:space="preserve">סוכנים </v>
          </cell>
          <cell r="D52"/>
          <cell r="E52"/>
          <cell r="F52"/>
          <cell r="G52"/>
          <cell r="H52"/>
          <cell r="I52"/>
          <cell r="J52">
            <v>0</v>
          </cell>
          <cell r="K52"/>
        </row>
        <row r="53">
          <cell r="A53" t="str">
            <v>דורון ענק הביטוח</v>
          </cell>
          <cell r="B53" t="str">
            <v>לא מפוקחים</v>
          </cell>
          <cell r="C53" t="str">
            <v xml:space="preserve">סוכנים </v>
          </cell>
          <cell r="D53"/>
          <cell r="E53"/>
          <cell r="F53"/>
          <cell r="G53"/>
          <cell r="H53"/>
          <cell r="I53"/>
          <cell r="J53">
            <v>0</v>
          </cell>
          <cell r="K53"/>
        </row>
        <row r="54">
          <cell r="A54" t="str">
            <v>גול זאב</v>
          </cell>
          <cell r="B54" t="str">
            <v>לא מפוקחים</v>
          </cell>
          <cell r="C54" t="str">
            <v xml:space="preserve">סוכנים </v>
          </cell>
          <cell r="D54"/>
          <cell r="E54"/>
          <cell r="F54">
            <v>30000</v>
          </cell>
          <cell r="G54"/>
          <cell r="H54"/>
          <cell r="I54"/>
          <cell r="J54">
            <v>0</v>
          </cell>
          <cell r="K54"/>
        </row>
        <row r="55">
          <cell r="A55" t="str">
            <v>עבוד כיתי</v>
          </cell>
          <cell r="B55" t="str">
            <v xml:space="preserve">ערן גירוני </v>
          </cell>
          <cell r="C55" t="str">
            <v xml:space="preserve">סוכנים </v>
          </cell>
          <cell r="D55"/>
          <cell r="E55"/>
          <cell r="F55"/>
          <cell r="G55"/>
          <cell r="H55"/>
          <cell r="I55"/>
          <cell r="J55">
            <v>0</v>
          </cell>
          <cell r="K55"/>
        </row>
        <row r="56">
          <cell r="A56" t="str">
            <v>יעקב ישראל שטרן</v>
          </cell>
          <cell r="B56" t="str">
            <v xml:space="preserve">ערן גירוני </v>
          </cell>
          <cell r="C56" t="str">
            <v xml:space="preserve">סוכנים </v>
          </cell>
          <cell r="D56"/>
          <cell r="E56"/>
          <cell r="F56"/>
          <cell r="G56"/>
          <cell r="H56"/>
          <cell r="I56"/>
          <cell r="J56">
            <v>0</v>
          </cell>
          <cell r="K56"/>
        </row>
        <row r="57">
          <cell r="A57" t="str">
            <v xml:space="preserve">ניר יבלונקה </v>
          </cell>
          <cell r="B57" t="str">
            <v xml:space="preserve">ערן גירוני </v>
          </cell>
          <cell r="C57" t="str">
            <v xml:space="preserve">סוכנים </v>
          </cell>
          <cell r="D57"/>
          <cell r="E57"/>
          <cell r="F57"/>
          <cell r="G57"/>
          <cell r="H57"/>
          <cell r="I57"/>
          <cell r="J57">
            <v>0</v>
          </cell>
          <cell r="K57"/>
          <cell r="O57"/>
        </row>
        <row r="58">
          <cell r="A58" t="str">
            <v>גלידר אנה</v>
          </cell>
          <cell r="B58" t="str">
            <v>יוסי אביב</v>
          </cell>
          <cell r="C58" t="str">
            <v xml:space="preserve">סוכנים </v>
          </cell>
          <cell r="D58"/>
          <cell r="E58"/>
          <cell r="F58">
            <v>1135989.81</v>
          </cell>
          <cell r="G58"/>
          <cell r="H58"/>
          <cell r="I58"/>
          <cell r="J58">
            <v>1177733.8399999999</v>
          </cell>
          <cell r="K58"/>
        </row>
        <row r="59">
          <cell r="A59" t="str">
            <v>יונתן מנחם</v>
          </cell>
          <cell r="B59" t="str">
            <v xml:space="preserve">ערן גירוני </v>
          </cell>
          <cell r="C59" t="str">
            <v xml:space="preserve">סוכנים </v>
          </cell>
          <cell r="D59"/>
          <cell r="E59"/>
          <cell r="F59"/>
          <cell r="G59"/>
          <cell r="H59"/>
          <cell r="I59"/>
          <cell r="J59">
            <v>0</v>
          </cell>
          <cell r="K59"/>
        </row>
        <row r="60">
          <cell r="A60" t="str">
            <v>ינאי חיים בוני</v>
          </cell>
          <cell r="B60" t="str">
            <v xml:space="preserve">ערן גירוני </v>
          </cell>
          <cell r="C60" t="str">
            <v xml:space="preserve">סוכנים </v>
          </cell>
          <cell r="D60"/>
          <cell r="E60"/>
          <cell r="F60"/>
          <cell r="G60"/>
          <cell r="H60"/>
          <cell r="I60"/>
          <cell r="J60">
            <v>0</v>
          </cell>
          <cell r="K60"/>
        </row>
        <row r="61">
          <cell r="A61" t="str">
            <v>יהונתן שיוביץ</v>
          </cell>
          <cell r="B61" t="str">
            <v xml:space="preserve">ערן גירוני </v>
          </cell>
          <cell r="C61" t="str">
            <v xml:space="preserve">סוכנים </v>
          </cell>
          <cell r="D61"/>
          <cell r="E61"/>
          <cell r="F61"/>
          <cell r="G61"/>
          <cell r="H61"/>
          <cell r="I61"/>
          <cell r="J61">
            <v>0</v>
          </cell>
          <cell r="K61"/>
        </row>
        <row r="62">
          <cell r="A62" t="str">
            <v>שירלי בוכריס</v>
          </cell>
          <cell r="B62" t="str">
            <v xml:space="preserve">ערן גירוני </v>
          </cell>
          <cell r="C62" t="str">
            <v xml:space="preserve">סוכנים </v>
          </cell>
          <cell r="D62"/>
          <cell r="E62"/>
          <cell r="F62">
            <v>120104.22</v>
          </cell>
          <cell r="G62"/>
          <cell r="H62"/>
          <cell r="I62"/>
          <cell r="J62">
            <v>95175.1</v>
          </cell>
          <cell r="K62"/>
          <cell r="N62"/>
        </row>
        <row r="63">
          <cell r="A63" t="str">
            <v>סיון פיינרו</v>
          </cell>
          <cell r="B63" t="str">
            <v xml:space="preserve">ערן גירוני </v>
          </cell>
          <cell r="C63" t="str">
            <v xml:space="preserve">סוכנים </v>
          </cell>
          <cell r="D63"/>
          <cell r="E63"/>
          <cell r="F63"/>
          <cell r="G63"/>
          <cell r="H63"/>
          <cell r="I63"/>
          <cell r="J63">
            <v>0</v>
          </cell>
          <cell r="K63"/>
        </row>
        <row r="64">
          <cell r="A64" t="str">
            <v>יתר הסוכנים</v>
          </cell>
          <cell r="B64"/>
          <cell r="C64"/>
          <cell r="D64">
            <v>0</v>
          </cell>
          <cell r="E64">
            <v>0</v>
          </cell>
          <cell r="F64">
            <v>1950055.74</v>
          </cell>
          <cell r="G64">
            <v>0</v>
          </cell>
          <cell r="H64">
            <v>0</v>
          </cell>
          <cell r="I64">
            <v>0</v>
          </cell>
          <cell r="J64">
            <v>1327908.94</v>
          </cell>
          <cell r="K64">
            <v>0</v>
          </cell>
        </row>
        <row r="65">
          <cell r="A65" t="str">
            <v>אריאל בר-חיים</v>
          </cell>
          <cell r="B65" t="str">
            <v>יוסי אביב</v>
          </cell>
          <cell r="C65" t="str">
            <v>פרמיום</v>
          </cell>
          <cell r="D65"/>
          <cell r="E65"/>
          <cell r="F65"/>
          <cell r="G65"/>
          <cell r="H65"/>
          <cell r="I65"/>
          <cell r="J65">
            <v>15787.51</v>
          </cell>
          <cell r="K65"/>
        </row>
        <row r="66">
          <cell r="A66" t="str">
            <v>שלי מזרחי</v>
          </cell>
          <cell r="B66" t="str">
            <v xml:space="preserve">ערן גירוני </v>
          </cell>
          <cell r="C66" t="str">
            <v xml:space="preserve">פרמיום </v>
          </cell>
          <cell r="D66"/>
          <cell r="E66"/>
          <cell r="F66">
            <v>488859.09</v>
          </cell>
          <cell r="G66"/>
          <cell r="H66"/>
          <cell r="I66"/>
          <cell r="J66">
            <v>0</v>
          </cell>
          <cell r="K66"/>
        </row>
        <row r="67">
          <cell r="A67" t="str">
            <v>חנה כצנלסון</v>
          </cell>
          <cell r="B67" t="str">
            <v>יוסי אביב</v>
          </cell>
          <cell r="C67" t="str">
            <v xml:space="preserve">פרמיום </v>
          </cell>
          <cell r="D67"/>
          <cell r="E67"/>
          <cell r="F67"/>
          <cell r="G67"/>
          <cell r="H67"/>
          <cell r="I67"/>
          <cell r="J67">
            <v>0</v>
          </cell>
          <cell r="K67"/>
        </row>
        <row r="68">
          <cell r="A68" t="str">
            <v xml:space="preserve">מיכאל וקסלר </v>
          </cell>
          <cell r="B68" t="str">
            <v xml:space="preserve">ערן גירוני </v>
          </cell>
          <cell r="C68" t="str">
            <v xml:space="preserve">פרמיום </v>
          </cell>
          <cell r="D68"/>
          <cell r="E68"/>
          <cell r="F68"/>
          <cell r="G68"/>
          <cell r="H68"/>
          <cell r="I68"/>
          <cell r="J68">
            <v>0</v>
          </cell>
          <cell r="K68"/>
        </row>
        <row r="69">
          <cell r="A69" t="str">
            <v xml:space="preserve">שני לוי </v>
          </cell>
          <cell r="B69" t="str">
            <v xml:space="preserve">ערן גירוני </v>
          </cell>
          <cell r="C69" t="str">
            <v xml:space="preserve">פרמיום </v>
          </cell>
          <cell r="D69"/>
          <cell r="E69"/>
          <cell r="F69"/>
          <cell r="G69"/>
          <cell r="H69"/>
          <cell r="I69"/>
          <cell r="J69">
            <v>0</v>
          </cell>
          <cell r="K69"/>
        </row>
        <row r="70">
          <cell r="A70" t="str">
            <v>נעם הלשטוק</v>
          </cell>
          <cell r="B70" t="str">
            <v xml:space="preserve">ערן גירוני </v>
          </cell>
          <cell r="C70" t="str">
            <v xml:space="preserve">פרמיום </v>
          </cell>
          <cell r="D70"/>
          <cell r="E70"/>
          <cell r="F70"/>
          <cell r="G70"/>
          <cell r="H70"/>
          <cell r="I70"/>
          <cell r="J70">
            <v>0</v>
          </cell>
          <cell r="K70"/>
        </row>
        <row r="71">
          <cell r="A71" t="str">
            <v>אורטל / לנג ביג סוכנות לביטוח פנסיוני</v>
          </cell>
          <cell r="B71" t="str">
            <v xml:space="preserve">ערן גירוני </v>
          </cell>
          <cell r="C71" t="str">
            <v xml:space="preserve">פרמיום </v>
          </cell>
          <cell r="D71"/>
          <cell r="E71"/>
          <cell r="F71">
            <v>629203.72</v>
          </cell>
          <cell r="G71"/>
          <cell r="H71"/>
          <cell r="I71"/>
          <cell r="J71">
            <v>1106486.74</v>
          </cell>
          <cell r="K71"/>
        </row>
        <row r="72">
          <cell r="A72" t="str">
            <v>סטולרז אסף</v>
          </cell>
          <cell r="B72" t="str">
            <v>לא מפוקחים</v>
          </cell>
          <cell r="C72" t="str">
            <v>פרמיום</v>
          </cell>
          <cell r="D72"/>
          <cell r="E72"/>
          <cell r="F72"/>
          <cell r="G72"/>
          <cell r="H72"/>
          <cell r="I72"/>
          <cell r="J72">
            <v>59070.9</v>
          </cell>
          <cell r="K72"/>
        </row>
        <row r="73">
          <cell r="A73" t="str">
            <v>נור אבו ראס</v>
          </cell>
          <cell r="B73" t="str">
            <v xml:space="preserve">ערן גירוני </v>
          </cell>
          <cell r="C73" t="str">
            <v xml:space="preserve">פרמיום </v>
          </cell>
          <cell r="D73"/>
          <cell r="E73"/>
          <cell r="F73"/>
          <cell r="G73"/>
          <cell r="H73"/>
          <cell r="I73"/>
          <cell r="J73">
            <v>0</v>
          </cell>
          <cell r="K73"/>
        </row>
        <row r="74">
          <cell r="A74" t="str">
            <v>סה"כ פרימיום</v>
          </cell>
          <cell r="B74"/>
          <cell r="C74"/>
          <cell r="D74">
            <v>0</v>
          </cell>
          <cell r="E74">
            <v>0</v>
          </cell>
          <cell r="F74">
            <v>1118062.81</v>
          </cell>
          <cell r="G74">
            <v>0</v>
          </cell>
          <cell r="H74">
            <v>0</v>
          </cell>
          <cell r="I74">
            <v>0</v>
          </cell>
          <cell r="J74">
            <v>1181345.1499999999</v>
          </cell>
          <cell r="K74">
            <v>0</v>
          </cell>
        </row>
        <row r="75">
          <cell r="A75" t="str">
            <v>סה"כ כולל</v>
          </cell>
          <cell r="B75"/>
          <cell r="C75"/>
          <cell r="D75">
            <v>0</v>
          </cell>
          <cell r="E75">
            <v>0</v>
          </cell>
          <cell r="F75">
            <v>11520765.189999999</v>
          </cell>
          <cell r="G75">
            <v>0</v>
          </cell>
          <cell r="H75">
            <v>0</v>
          </cell>
          <cell r="I75">
            <v>0</v>
          </cell>
          <cell r="J75">
            <v>6866875.9600000009</v>
          </cell>
          <cell r="K75">
            <v>0</v>
          </cell>
        </row>
        <row r="76">
          <cell r="H76"/>
          <cell r="I76"/>
          <cell r="J76"/>
        </row>
        <row r="78">
          <cell r="F78"/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/>
          <cell r="B1">
            <v>2024</v>
          </cell>
          <cell r="C1"/>
          <cell r="D1"/>
          <cell r="E1"/>
          <cell r="F1">
            <v>2023</v>
          </cell>
          <cell r="G1"/>
          <cell r="H1"/>
          <cell r="I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  <cell r="F2" t="str">
            <v>פנסיוני</v>
          </cell>
          <cell r="G2" t="str">
            <v xml:space="preserve">סיכונים </v>
          </cell>
          <cell r="H2" t="str">
            <v>פיננסים</v>
          </cell>
          <cell r="I2" t="str">
            <v xml:space="preserve">ניודי פנסיה </v>
          </cell>
        </row>
        <row r="3">
          <cell r="A3" t="str">
            <v>גל אלמגור סוכ</v>
          </cell>
          <cell r="B3">
            <v>23014.892350747839</v>
          </cell>
          <cell r="C3">
            <v>-7353.9631351374337</v>
          </cell>
          <cell r="D3">
            <v>43415.010143874439</v>
          </cell>
          <cell r="E3">
            <v>771397.34000000008</v>
          </cell>
          <cell r="F3">
            <v>52207.071878050599</v>
          </cell>
          <cell r="G3">
            <v>37209.70395758126</v>
          </cell>
          <cell r="H3">
            <v>0</v>
          </cell>
          <cell r="I3">
            <v>215672</v>
          </cell>
        </row>
        <row r="4">
          <cell r="A4" t="str">
            <v>דניאלה אביב</v>
          </cell>
          <cell r="B4"/>
          <cell r="C4"/>
          <cell r="D4"/>
          <cell r="E4"/>
          <cell r="F4">
            <v>39384</v>
          </cell>
          <cell r="G4">
            <v>0</v>
          </cell>
          <cell r="H4">
            <v>0</v>
          </cell>
          <cell r="I4">
            <v>528495</v>
          </cell>
        </row>
        <row r="5">
          <cell r="A5" t="str">
            <v>סה"כ ישיר</v>
          </cell>
          <cell r="B5">
            <v>23014.892350747839</v>
          </cell>
          <cell r="C5">
            <v>-7353.9631351374337</v>
          </cell>
          <cell r="D5">
            <v>43415.010143874439</v>
          </cell>
          <cell r="E5">
            <v>771397.34000000008</v>
          </cell>
          <cell r="F5">
            <v>91591.071878050599</v>
          </cell>
          <cell r="G5">
            <v>37209.70395758126</v>
          </cell>
          <cell r="H5">
            <v>0</v>
          </cell>
          <cell r="I5">
            <v>744167</v>
          </cell>
        </row>
        <row r="6">
          <cell r="A6" t="str">
            <v>בראשית סוכנות לביטוח</v>
          </cell>
          <cell r="B6"/>
          <cell r="C6"/>
          <cell r="D6"/>
          <cell r="E6"/>
          <cell r="F6">
            <v>-13389.85815826884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גל אלמגור דאוד סוכ' לב</v>
          </cell>
          <cell r="B7">
            <v>-52919.882268814203</v>
          </cell>
          <cell r="C7">
            <v>6763.1364045923547</v>
          </cell>
          <cell r="D7">
            <v>0</v>
          </cell>
          <cell r="E7">
            <v>-539.03</v>
          </cell>
          <cell r="F7">
            <v>6466.8111412089611</v>
          </cell>
          <cell r="G7">
            <v>1252.5299999999993</v>
          </cell>
          <cell r="H7">
            <v>0</v>
          </cell>
          <cell r="I7">
            <v>0</v>
          </cell>
        </row>
        <row r="8">
          <cell r="A8" t="str">
            <v>גל אלמגור -וייס סוכנות</v>
          </cell>
          <cell r="B8"/>
          <cell r="C8"/>
          <cell r="D8"/>
          <cell r="E8">
            <v>-914042.04</v>
          </cell>
          <cell r="F8">
            <v>14478.65588683346</v>
          </cell>
          <cell r="G8">
            <v>-680.18835183953945</v>
          </cell>
          <cell r="H8">
            <v>-4203.2857571495551</v>
          </cell>
          <cell r="I8">
            <v>0</v>
          </cell>
        </row>
        <row r="9">
          <cell r="A9" t="str">
            <v>גל אלמגור דרום סוכ ל</v>
          </cell>
          <cell r="B9"/>
          <cell r="C9"/>
          <cell r="D9"/>
          <cell r="E9"/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משה שטרן גל אלמגור</v>
          </cell>
          <cell r="B10">
            <v>4679.7647434965857</v>
          </cell>
          <cell r="C10">
            <v>0</v>
          </cell>
          <cell r="D10">
            <v>0</v>
          </cell>
          <cell r="E10"/>
          <cell r="F10">
            <v>1283.9647210704541</v>
          </cell>
          <cell r="G10">
            <v>1137.859901913361</v>
          </cell>
          <cell r="H10">
            <v>0</v>
          </cell>
          <cell r="I10">
            <v>0</v>
          </cell>
        </row>
        <row r="11">
          <cell r="A11" t="str">
            <v>מקסימום סוכנות לבטוח פ</v>
          </cell>
          <cell r="B11"/>
          <cell r="C11"/>
          <cell r="D11"/>
          <cell r="E11">
            <v>-16765.080000000002</v>
          </cell>
          <cell r="F11">
            <v>0</v>
          </cell>
          <cell r="G11">
            <v>2367.8592947478442</v>
          </cell>
          <cell r="H11">
            <v>0</v>
          </cell>
          <cell r="I11">
            <v>0</v>
          </cell>
        </row>
        <row r="12">
          <cell r="A12" t="str">
            <v>סה"כ חברות בנות</v>
          </cell>
          <cell r="B12">
            <v>-48240.117525317619</v>
          </cell>
          <cell r="C12">
            <v>6763.1364045923547</v>
          </cell>
          <cell r="D12">
            <v>0</v>
          </cell>
          <cell r="E12">
            <v>-931346.15</v>
          </cell>
          <cell r="F12">
            <v>8839.5735908440347</v>
          </cell>
          <cell r="G12">
            <v>4078.0608448216649</v>
          </cell>
          <cell r="H12">
            <v>-4203.2857571495551</v>
          </cell>
          <cell r="I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יעקובסון רומן</v>
          </cell>
          <cell r="B14"/>
          <cell r="C14"/>
          <cell r="D14"/>
          <cell r="E14"/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רוקח מזל מלי</v>
          </cell>
          <cell r="B15"/>
          <cell r="C15"/>
          <cell r="D15"/>
          <cell r="E15"/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גרניק בנימין</v>
          </cell>
          <cell r="B16"/>
          <cell r="C16"/>
          <cell r="D16"/>
          <cell r="E16">
            <v>-125703.22</v>
          </cell>
          <cell r="F16">
            <v>87735.088082901551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סאוסן שלבי</v>
          </cell>
          <cell r="B17">
            <v>0</v>
          </cell>
          <cell r="C17">
            <v>-1253.126478563576</v>
          </cell>
          <cell r="D17">
            <v>0</v>
          </cell>
          <cell r="E17"/>
          <cell r="F17">
            <v>18061.081858888771</v>
          </cell>
          <cell r="G17">
            <v>3641.78</v>
          </cell>
          <cell r="H17">
            <v>0</v>
          </cell>
          <cell r="I17">
            <v>0</v>
          </cell>
        </row>
        <row r="18">
          <cell r="A18" t="str">
            <v>יוספוביץ טלי</v>
          </cell>
          <cell r="B18"/>
          <cell r="C18"/>
          <cell r="D18"/>
          <cell r="E18"/>
          <cell r="F18">
            <v>3498.3328497409329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דורי כדורי דאי</v>
          </cell>
          <cell r="B19"/>
          <cell r="C19"/>
          <cell r="D19"/>
          <cell r="E19"/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סברא סמיר</v>
          </cell>
          <cell r="B20">
            <v>36203.448775539779</v>
          </cell>
          <cell r="C20">
            <v>0</v>
          </cell>
          <cell r="D20">
            <v>42787.245709379829</v>
          </cell>
          <cell r="E20"/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מחמוד פארס</v>
          </cell>
          <cell r="B21"/>
          <cell r="C21"/>
          <cell r="D21"/>
          <cell r="E21"/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ריזק חלבי</v>
          </cell>
          <cell r="B22">
            <v>0</v>
          </cell>
          <cell r="C22">
            <v>6423.847469038792</v>
          </cell>
          <cell r="D22">
            <v>0</v>
          </cell>
          <cell r="E22"/>
          <cell r="F22">
            <v>0</v>
          </cell>
          <cell r="G22">
            <v>21844.81728098026</v>
          </cell>
          <cell r="H22">
            <v>0</v>
          </cell>
          <cell r="I22">
            <v>0</v>
          </cell>
        </row>
        <row r="23">
          <cell r="A23" t="str">
            <v>שלבי מיסון</v>
          </cell>
          <cell r="B23"/>
          <cell r="C23"/>
          <cell r="D23"/>
          <cell r="E23"/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בחוס יוסף</v>
          </cell>
          <cell r="B24"/>
          <cell r="C24"/>
          <cell r="D24"/>
          <cell r="E24">
            <v>-384475.39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חוסאם עוז אלדין</v>
          </cell>
          <cell r="B25"/>
          <cell r="C25"/>
          <cell r="D25"/>
          <cell r="E25"/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קליין סיון</v>
          </cell>
          <cell r="B26">
            <v>-4806.1356224332658</v>
          </cell>
          <cell r="C26">
            <v>0</v>
          </cell>
          <cell r="D26">
            <v>0</v>
          </cell>
          <cell r="E26">
            <v>-145443.79999999999</v>
          </cell>
          <cell r="F26">
            <v>24757.471230684991</v>
          </cell>
          <cell r="G26">
            <v>513.92000000000007</v>
          </cell>
          <cell r="H26">
            <v>0</v>
          </cell>
          <cell r="I26">
            <v>0</v>
          </cell>
        </row>
        <row r="27">
          <cell r="A27" t="str">
            <v>צקותאי אורי</v>
          </cell>
          <cell r="B27"/>
          <cell r="C27"/>
          <cell r="D27"/>
          <cell r="E27"/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סמיר בלאן</v>
          </cell>
          <cell r="B28"/>
          <cell r="C28"/>
          <cell r="D28"/>
          <cell r="E28"/>
          <cell r="F28">
            <v>0</v>
          </cell>
          <cell r="G28">
            <v>0</v>
          </cell>
          <cell r="H28">
            <v>13549.718151071031</v>
          </cell>
          <cell r="I28">
            <v>0</v>
          </cell>
        </row>
        <row r="29">
          <cell r="A29" t="str">
            <v>רפלוביץ מרינה</v>
          </cell>
          <cell r="B29"/>
          <cell r="C29"/>
          <cell r="D29"/>
          <cell r="E29"/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רן בסין</v>
          </cell>
          <cell r="B30"/>
          <cell r="C30"/>
          <cell r="D30"/>
          <cell r="E30"/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אלקרינאוי ראוף</v>
          </cell>
          <cell r="B31"/>
          <cell r="C31"/>
          <cell r="D31"/>
          <cell r="E31"/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דאי גדי</v>
          </cell>
          <cell r="B32">
            <v>485094.57035249844</v>
          </cell>
          <cell r="C32">
            <v>23372.564464637762</v>
          </cell>
          <cell r="D32">
            <v>2496347.3221667712</v>
          </cell>
          <cell r="E32">
            <v>4417544.9400000023</v>
          </cell>
          <cell r="F32">
            <v>21814.85690456114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מילאד אבו שקארה</v>
          </cell>
          <cell r="B33"/>
          <cell r="C33"/>
          <cell r="D33"/>
          <cell r="E33"/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דראושה אדהם</v>
          </cell>
          <cell r="B34"/>
          <cell r="C34"/>
          <cell r="D34"/>
          <cell r="E34"/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בדארנה עומר</v>
          </cell>
          <cell r="B35">
            <v>-17187.722184039711</v>
          </cell>
          <cell r="C35">
            <v>0</v>
          </cell>
          <cell r="D35">
            <v>0</v>
          </cell>
          <cell r="E35"/>
          <cell r="F35">
            <v>19812.895697229109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וסים חאטר</v>
          </cell>
          <cell r="B36"/>
          <cell r="C36"/>
          <cell r="D36"/>
          <cell r="E36"/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ערן שמילוביץ</v>
          </cell>
          <cell r="B37"/>
          <cell r="C37"/>
          <cell r="D37"/>
          <cell r="E37"/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לוי חיים</v>
          </cell>
          <cell r="B38"/>
          <cell r="C38"/>
          <cell r="D38"/>
          <cell r="E38"/>
          <cell r="F38">
            <v>-24708.65777503662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סה"כ סוכנים ערן</v>
          </cell>
          <cell r="B39">
            <v>499304.16132156522</v>
          </cell>
          <cell r="C39">
            <v>28543.285455112979</v>
          </cell>
          <cell r="D39">
            <v>2539134.5678761508</v>
          </cell>
          <cell r="E39">
            <v>3761922.5300000021</v>
          </cell>
          <cell r="F39">
            <v>150971.06884896988</v>
          </cell>
          <cell r="G39">
            <v>26000.517280980261</v>
          </cell>
          <cell r="H39">
            <v>13549.718151071031</v>
          </cell>
          <cell r="I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גולדר אבי</v>
          </cell>
          <cell r="B41"/>
          <cell r="C41"/>
          <cell r="D41"/>
          <cell r="E41"/>
          <cell r="F41">
            <v>162.04</v>
          </cell>
          <cell r="G41">
            <v>-1213.5498379904909</v>
          </cell>
          <cell r="H41">
            <v>0</v>
          </cell>
          <cell r="I41">
            <v>0</v>
          </cell>
        </row>
        <row r="42">
          <cell r="A42" t="str">
            <v>א.ד. אבידן ביטוחים בע"מ</v>
          </cell>
          <cell r="B42"/>
          <cell r="C42"/>
          <cell r="D42"/>
          <cell r="E42"/>
          <cell r="F42">
            <v>472.96043403168881</v>
          </cell>
          <cell r="G42">
            <v>1345.2873950589474</v>
          </cell>
          <cell r="H42">
            <v>0</v>
          </cell>
          <cell r="I42">
            <v>0</v>
          </cell>
        </row>
        <row r="43">
          <cell r="A43" t="str">
            <v>אטיאס סיון</v>
          </cell>
          <cell r="B43"/>
          <cell r="C43"/>
          <cell r="D43"/>
          <cell r="E43"/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מטאנס זוהיר</v>
          </cell>
          <cell r="B44"/>
          <cell r="C44"/>
          <cell r="D44"/>
          <cell r="E44"/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סטולרז אסף</v>
          </cell>
          <cell r="B45">
            <v>-8275.6618113491168</v>
          </cell>
          <cell r="C45">
            <v>0</v>
          </cell>
          <cell r="D45">
            <v>4538.5845080656882</v>
          </cell>
          <cell r="E45"/>
          <cell r="F45">
            <v>19044.56606538895</v>
          </cell>
          <cell r="G45">
            <v>0</v>
          </cell>
          <cell r="H45">
            <v>2807.779529924157</v>
          </cell>
          <cell r="I45">
            <v>0</v>
          </cell>
        </row>
        <row r="46">
          <cell r="A46" t="str">
            <v>גולן זכריה</v>
          </cell>
          <cell r="B46"/>
          <cell r="C46"/>
          <cell r="D46"/>
          <cell r="E46"/>
          <cell r="F46">
            <v>-8036.988082852401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חיים דנינו</v>
          </cell>
          <cell r="B47"/>
          <cell r="C47"/>
          <cell r="D47"/>
          <cell r="E47"/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לירון דדון</v>
          </cell>
          <cell r="B48"/>
          <cell r="C48"/>
          <cell r="D48"/>
          <cell r="E48"/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דני פחימה</v>
          </cell>
          <cell r="B49"/>
          <cell r="C49"/>
          <cell r="D49"/>
          <cell r="E49"/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עאטף עדווי</v>
          </cell>
          <cell r="B50"/>
          <cell r="C50"/>
          <cell r="D50"/>
          <cell r="E50"/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דר סוכנות לביטוח</v>
          </cell>
          <cell r="B51"/>
          <cell r="C51"/>
          <cell r="D51"/>
          <cell r="E51"/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מכלול סוכנות לביטוח</v>
          </cell>
          <cell r="B52"/>
          <cell r="C52"/>
          <cell r="D52"/>
          <cell r="E52"/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גול זאב</v>
          </cell>
          <cell r="B53"/>
          <cell r="C53"/>
          <cell r="D53"/>
          <cell r="E53"/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עבוד כיתי</v>
          </cell>
          <cell r="B54"/>
          <cell r="C54"/>
          <cell r="D54"/>
          <cell r="E54"/>
          <cell r="F54"/>
          <cell r="G54"/>
          <cell r="H54"/>
          <cell r="I54"/>
        </row>
        <row r="55">
          <cell r="A55" t="str">
            <v>יעקב ישראל שטרן</v>
          </cell>
          <cell r="B55"/>
          <cell r="C55"/>
          <cell r="D55"/>
          <cell r="E55"/>
          <cell r="F55"/>
          <cell r="G55"/>
          <cell r="H55"/>
          <cell r="I55"/>
        </row>
        <row r="56">
          <cell r="A56" t="str">
            <v>בדר צבי</v>
          </cell>
          <cell r="B56"/>
          <cell r="C56"/>
          <cell r="D56"/>
          <cell r="E56"/>
          <cell r="F56">
            <v>0</v>
          </cell>
          <cell r="G56">
            <v>1699.6063870725291</v>
          </cell>
          <cell r="H56">
            <v>0</v>
          </cell>
          <cell r="I56">
            <v>0</v>
          </cell>
        </row>
        <row r="57">
          <cell r="A57" t="str">
            <v>סוכנים לא מפוקחים</v>
          </cell>
          <cell r="B57">
            <v>-8275.6618113491168</v>
          </cell>
          <cell r="C57">
            <v>0</v>
          </cell>
          <cell r="D57">
            <v>4538.5845080656882</v>
          </cell>
          <cell r="E57">
            <v>0</v>
          </cell>
          <cell r="F57">
            <v>11642.578416568238</v>
          </cell>
          <cell r="G57">
            <v>1831.3439441409855</v>
          </cell>
          <cell r="H57">
            <v>2807.779529924157</v>
          </cell>
          <cell r="I57">
            <v>0</v>
          </cell>
        </row>
        <row r="58">
          <cell r="A58" t="str">
            <v>גלידר אנה</v>
          </cell>
          <cell r="B58">
            <v>0</v>
          </cell>
          <cell r="C58">
            <v>67389.538102767154</v>
          </cell>
          <cell r="D58">
            <v>205.34573463159421</v>
          </cell>
          <cell r="E58">
            <v>-11955.66</v>
          </cell>
          <cell r="F58">
            <v>-534.74065459720134</v>
          </cell>
          <cell r="G58">
            <v>1529.846605035701</v>
          </cell>
          <cell r="H58">
            <v>0</v>
          </cell>
          <cell r="I58">
            <v>0</v>
          </cell>
        </row>
        <row r="59">
          <cell r="A59" t="str">
            <v>אביב מור יוסף</v>
          </cell>
          <cell r="B59">
            <v>30526.14461672222</v>
          </cell>
          <cell r="C59">
            <v>30890.444322949468</v>
          </cell>
          <cell r="D59">
            <v>1186143.198132616</v>
          </cell>
          <cell r="E59">
            <v>1674481.3800000004</v>
          </cell>
          <cell r="F59"/>
          <cell r="G59"/>
          <cell r="H59"/>
          <cell r="I59"/>
        </row>
        <row r="60">
          <cell r="A60" t="str">
            <v>אריאל בר-חיים</v>
          </cell>
          <cell r="B60">
            <v>0</v>
          </cell>
          <cell r="C60">
            <v>8413.1931187279843</v>
          </cell>
          <cell r="D60">
            <v>0</v>
          </cell>
          <cell r="E60"/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יונתן מנחם</v>
          </cell>
          <cell r="B61"/>
          <cell r="C61"/>
          <cell r="D61"/>
          <cell r="E61"/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שלי מזרחי</v>
          </cell>
          <cell r="B62"/>
          <cell r="C62"/>
          <cell r="D62"/>
          <cell r="E62">
            <v>-177565.77999999997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 xml:space="preserve">אריאל דוברושין </v>
          </cell>
          <cell r="B63"/>
          <cell r="C63"/>
          <cell r="D63"/>
          <cell r="E63"/>
          <cell r="F63"/>
          <cell r="G63"/>
          <cell r="H63"/>
          <cell r="I63"/>
        </row>
        <row r="64">
          <cell r="A64" t="str">
            <v>חנה כצנלסון</v>
          </cell>
          <cell r="B64"/>
          <cell r="C64"/>
          <cell r="D64"/>
          <cell r="E64"/>
          <cell r="F64"/>
          <cell r="G64"/>
          <cell r="H64"/>
          <cell r="I64"/>
        </row>
        <row r="65">
          <cell r="A65" t="str">
            <v>ינאי חיים בוני</v>
          </cell>
          <cell r="B65"/>
          <cell r="C65"/>
          <cell r="D65"/>
          <cell r="E65"/>
          <cell r="F65"/>
          <cell r="G65"/>
          <cell r="H65"/>
          <cell r="I65"/>
        </row>
        <row r="66">
          <cell r="A66" t="str">
            <v xml:space="preserve">מיכאל וקסלר </v>
          </cell>
          <cell r="B66"/>
          <cell r="C66"/>
          <cell r="D66"/>
          <cell r="E66"/>
          <cell r="F66"/>
          <cell r="G66"/>
          <cell r="H66"/>
          <cell r="I66"/>
        </row>
        <row r="67">
          <cell r="A67" t="str">
            <v xml:space="preserve">שני לוי </v>
          </cell>
          <cell r="B67"/>
          <cell r="C67"/>
          <cell r="D67"/>
          <cell r="E67"/>
          <cell r="F67"/>
          <cell r="G67"/>
          <cell r="H67"/>
          <cell r="I67"/>
        </row>
        <row r="68">
          <cell r="A68" t="str">
            <v>אורטל לנג</v>
          </cell>
          <cell r="B68">
            <v>1768.814139210124</v>
          </cell>
          <cell r="C68">
            <v>-2511.40898125273</v>
          </cell>
          <cell r="D68">
            <v>0</v>
          </cell>
          <cell r="E68"/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נעם זילברמן</v>
          </cell>
          <cell r="B69"/>
          <cell r="C69"/>
          <cell r="D69"/>
          <cell r="E69"/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נור אבו ראס</v>
          </cell>
          <cell r="B70"/>
          <cell r="C70"/>
          <cell r="D70"/>
          <cell r="E70"/>
          <cell r="F70"/>
          <cell r="G70"/>
          <cell r="H70"/>
          <cell r="I70"/>
        </row>
        <row r="71">
          <cell r="A71" t="str">
            <v>יהונתן שיוביץ</v>
          </cell>
          <cell r="B71">
            <v>0</v>
          </cell>
          <cell r="C71">
            <v>-12759.834664712351</v>
          </cell>
          <cell r="D71">
            <v>0</v>
          </cell>
          <cell r="E71"/>
          <cell r="F71">
            <v>0</v>
          </cell>
          <cell r="G71">
            <v>-14555.41837955656</v>
          </cell>
          <cell r="H71">
            <v>0</v>
          </cell>
          <cell r="I71">
            <v>0</v>
          </cell>
        </row>
        <row r="72">
          <cell r="A72" t="str">
            <v>רפאל גלעד</v>
          </cell>
          <cell r="B72"/>
          <cell r="C72"/>
          <cell r="D72"/>
          <cell r="E72"/>
          <cell r="F72"/>
          <cell r="G72"/>
          <cell r="H72"/>
          <cell r="I72"/>
        </row>
        <row r="73">
          <cell r="A73" t="str">
            <v>אחמד עלי אחמד</v>
          </cell>
          <cell r="B73"/>
          <cell r="C73"/>
          <cell r="D73"/>
          <cell r="E73"/>
          <cell r="F73"/>
          <cell r="G73"/>
          <cell r="H73"/>
          <cell r="I73"/>
        </row>
        <row r="74">
          <cell r="A74" t="str">
            <v>סיון פיינרו</v>
          </cell>
          <cell r="B74"/>
          <cell r="C74"/>
          <cell r="D74"/>
          <cell r="E74"/>
          <cell r="F74"/>
          <cell r="G74"/>
          <cell r="H74"/>
          <cell r="I74"/>
        </row>
        <row r="75">
          <cell r="A75" t="str">
            <v>לילי שרון</v>
          </cell>
          <cell r="B75"/>
          <cell r="C75"/>
          <cell r="D75"/>
          <cell r="E75"/>
          <cell r="F75"/>
          <cell r="G75"/>
          <cell r="H75"/>
          <cell r="I75"/>
        </row>
        <row r="76">
          <cell r="A76" t="str">
            <v>שירלי בוכריס</v>
          </cell>
          <cell r="B76">
            <v>846.59729690451979</v>
          </cell>
          <cell r="C76">
            <v>346.60665600930122</v>
          </cell>
          <cell r="D76">
            <v>0</v>
          </cell>
          <cell r="E76">
            <v>-11013.78</v>
          </cell>
          <cell r="F76"/>
          <cell r="G76"/>
          <cell r="H76"/>
          <cell r="I76"/>
        </row>
        <row r="77">
          <cell r="A77" t="str">
            <v>אלרם סוכנות לביטוח</v>
          </cell>
          <cell r="B77">
            <v>19143.056252717</v>
          </cell>
          <cell r="C77">
            <v>-3378.0220152138768</v>
          </cell>
          <cell r="D77">
            <v>0</v>
          </cell>
          <cell r="E77">
            <v>354232.24999999994</v>
          </cell>
          <cell r="F77">
            <v>-28167.744542651599</v>
          </cell>
          <cell r="G77">
            <v>12716.36752797177</v>
          </cell>
          <cell r="H77">
            <v>1805.0011263798151</v>
          </cell>
          <cell r="I77">
            <v>0</v>
          </cell>
        </row>
        <row r="78">
          <cell r="A78" t="str">
            <v>רכס אורן</v>
          </cell>
          <cell r="B78">
            <v>114689.32378896324</v>
          </cell>
          <cell r="C78">
            <v>-4477.182461268636</v>
          </cell>
          <cell r="D78">
            <v>2914.7630187381792</v>
          </cell>
          <cell r="E78">
            <v>-156647.75</v>
          </cell>
          <cell r="F78">
            <v>42251.948579429751</v>
          </cell>
          <cell r="G78">
            <v>3617.1576972385292</v>
          </cell>
          <cell r="H78">
            <v>7220.0045055192613</v>
          </cell>
          <cell r="I78">
            <v>0</v>
          </cell>
        </row>
        <row r="79">
          <cell r="A79" t="str">
            <v>סה"כ פרימיום</v>
          </cell>
          <cell r="B79">
            <v>166973.93609451712</v>
          </cell>
          <cell r="C79">
            <v>83913.334078006315</v>
          </cell>
          <cell r="D79">
            <v>1189263.3068859859</v>
          </cell>
          <cell r="E79">
            <v>1671530.6600000004</v>
          </cell>
          <cell r="F79">
            <v>13549.463382180951</v>
          </cell>
          <cell r="G79">
            <v>3307.9534506894388</v>
          </cell>
          <cell r="H79">
            <v>9025.0056318990755</v>
          </cell>
          <cell r="I79">
            <v>0</v>
          </cell>
        </row>
        <row r="80">
          <cell r="A80" t="str">
            <v>סה"כ כולל</v>
          </cell>
          <cell r="B80">
            <v>632777.21043016342</v>
          </cell>
          <cell r="C80">
            <v>111865.7928025742</v>
          </cell>
          <cell r="D80">
            <v>3776351.4694140768</v>
          </cell>
          <cell r="E80">
            <v>5273504.3800000018</v>
          </cell>
          <cell r="F80">
            <v>276593.75611661369</v>
          </cell>
          <cell r="G80">
            <v>72427.579478213607</v>
          </cell>
          <cell r="H80">
            <v>21179.217555744708</v>
          </cell>
          <cell r="I80">
            <v>744167</v>
          </cell>
        </row>
        <row r="82">
          <cell r="B82"/>
          <cell r="C82"/>
          <cell r="D82"/>
          <cell r="E82"/>
          <cell r="F82"/>
          <cell r="G82"/>
          <cell r="H82"/>
        </row>
      </sheetData>
      <sheetData sheetId="8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/>
          <cell r="C3">
            <v>23925.17</v>
          </cell>
          <cell r="D3"/>
          <cell r="E3"/>
        </row>
        <row r="4">
          <cell r="A4" t="str">
            <v>דניאלה אביב</v>
          </cell>
          <cell r="B4"/>
          <cell r="C4"/>
          <cell r="D4"/>
          <cell r="E4"/>
        </row>
        <row r="5">
          <cell r="A5" t="str">
            <v>סה"כ ישיר</v>
          </cell>
          <cell r="B5">
            <v>0</v>
          </cell>
          <cell r="C5">
            <v>23925.17</v>
          </cell>
          <cell r="D5">
            <v>0</v>
          </cell>
          <cell r="E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/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/>
          <cell r="C10">
            <v>4856.829999999999</v>
          </cell>
          <cell r="D10"/>
          <cell r="E10"/>
        </row>
        <row r="11">
          <cell r="A11" t="str">
            <v>מקסימום סוכנות לבטוח פ</v>
          </cell>
          <cell r="B11"/>
          <cell r="C11">
            <v>1281.3899999999999</v>
          </cell>
          <cell r="D11"/>
          <cell r="E11"/>
        </row>
        <row r="12">
          <cell r="A12" t="str">
            <v>סה"כ חברות בנות</v>
          </cell>
          <cell r="B12">
            <v>0</v>
          </cell>
          <cell r="C12">
            <v>6138.2199999999993</v>
          </cell>
          <cell r="D12">
            <v>0</v>
          </cell>
          <cell r="E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/>
          <cell r="C20">
            <v>9695.5499999999975</v>
          </cell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/>
          <cell r="D22"/>
          <cell r="E22"/>
        </row>
        <row r="23">
          <cell r="A23" t="str">
            <v>שלבי מיסון</v>
          </cell>
          <cell r="B23"/>
          <cell r="C23"/>
          <cell r="D23"/>
          <cell r="E23"/>
        </row>
        <row r="24">
          <cell r="A24" t="str">
            <v>בחוס יוסף</v>
          </cell>
          <cell r="B24"/>
          <cell r="C24"/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/>
          <cell r="C26"/>
          <cell r="D26"/>
          <cell r="E26"/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/>
          <cell r="C29"/>
          <cell r="D29"/>
          <cell r="E29"/>
        </row>
        <row r="30">
          <cell r="A30" t="str">
            <v>רן בסין</v>
          </cell>
          <cell r="B30"/>
          <cell r="C30"/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/>
          <cell r="C32"/>
          <cell r="D32"/>
          <cell r="E32"/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0</v>
          </cell>
          <cell r="C39">
            <v>9695.5499999999975</v>
          </cell>
          <cell r="D39">
            <v>0</v>
          </cell>
          <cell r="E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/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/>
          <cell r="C45"/>
          <cell r="D45"/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עאטף עדווי</v>
          </cell>
          <cell r="B50"/>
          <cell r="C50"/>
          <cell r="D50"/>
          <cell r="E50"/>
        </row>
        <row r="51">
          <cell r="A51" t="str">
            <v>דר סוכנות לביטוח</v>
          </cell>
          <cell r="B51"/>
          <cell r="C51"/>
          <cell r="D51"/>
          <cell r="E51"/>
        </row>
        <row r="52">
          <cell r="A52" t="str">
            <v>מכלול סוכנות לביטוח</v>
          </cell>
          <cell r="B52"/>
          <cell r="C52"/>
          <cell r="D52"/>
          <cell r="E52"/>
        </row>
        <row r="53">
          <cell r="A53" t="str">
            <v>גול זאב</v>
          </cell>
          <cell r="B53"/>
          <cell r="C53"/>
          <cell r="D53"/>
          <cell r="E53"/>
        </row>
        <row r="54">
          <cell r="A54" t="str">
            <v>עבוד כיתי</v>
          </cell>
          <cell r="B54"/>
          <cell r="C54"/>
          <cell r="D54"/>
          <cell r="E54"/>
        </row>
        <row r="55">
          <cell r="A55" t="str">
            <v>יעקב ישראל שטרן</v>
          </cell>
          <cell r="B55"/>
          <cell r="C55"/>
          <cell r="D55"/>
          <cell r="E55"/>
        </row>
        <row r="56">
          <cell r="A56" t="str">
            <v>בדר צבי</v>
          </cell>
          <cell r="B56"/>
          <cell r="C56"/>
          <cell r="D56"/>
          <cell r="E56"/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גלידר אנה</v>
          </cell>
          <cell r="B58"/>
          <cell r="C58"/>
          <cell r="D58"/>
          <cell r="E58"/>
        </row>
        <row r="59">
          <cell r="A59" t="str">
            <v>אביב מור יוסף</v>
          </cell>
          <cell r="B59"/>
          <cell r="C59"/>
          <cell r="D59"/>
          <cell r="E59"/>
        </row>
        <row r="60">
          <cell r="A60" t="str">
            <v>אריאל בר-חיים</v>
          </cell>
          <cell r="B60"/>
          <cell r="C60">
            <v>1566.4699999999998</v>
          </cell>
          <cell r="D60"/>
          <cell r="E60"/>
        </row>
        <row r="61">
          <cell r="A61" t="str">
            <v>יונתן מנחם</v>
          </cell>
          <cell r="B61"/>
          <cell r="C61"/>
          <cell r="D61"/>
          <cell r="E61"/>
        </row>
        <row r="62">
          <cell r="A62" t="str">
            <v>שלי מזרחי</v>
          </cell>
          <cell r="B62"/>
          <cell r="C62"/>
          <cell r="D62"/>
          <cell r="E62"/>
        </row>
        <row r="63">
          <cell r="A63" t="str">
            <v xml:space="preserve">אריאל דוברושין </v>
          </cell>
          <cell r="B63"/>
          <cell r="C63">
            <v>2517</v>
          </cell>
          <cell r="D63"/>
          <cell r="E63"/>
        </row>
        <row r="64">
          <cell r="A64" t="str">
            <v>חנה כצנלסון</v>
          </cell>
          <cell r="B64"/>
          <cell r="C64"/>
          <cell r="D64"/>
          <cell r="E64"/>
        </row>
        <row r="65">
          <cell r="A65" t="str">
            <v>ינאי חיים בוני</v>
          </cell>
          <cell r="B65"/>
          <cell r="C65"/>
          <cell r="D65"/>
          <cell r="E65"/>
        </row>
        <row r="66">
          <cell r="A66" t="str">
            <v xml:space="preserve">מיכאל וקסלר </v>
          </cell>
          <cell r="B66"/>
          <cell r="C66"/>
          <cell r="D66"/>
          <cell r="E66"/>
        </row>
        <row r="67">
          <cell r="A67" t="str">
            <v xml:space="preserve">שני לוי </v>
          </cell>
          <cell r="B67"/>
          <cell r="C67">
            <v>16011.65</v>
          </cell>
          <cell r="D67"/>
          <cell r="E67"/>
        </row>
        <row r="68">
          <cell r="A68" t="str">
            <v>אורטל לנג</v>
          </cell>
          <cell r="B68"/>
          <cell r="C68"/>
          <cell r="D68"/>
          <cell r="E68"/>
        </row>
        <row r="69">
          <cell r="A69" t="str">
            <v>נעם זילברמן</v>
          </cell>
          <cell r="B69"/>
          <cell r="C69">
            <v>2624.7599999999998</v>
          </cell>
          <cell r="D69"/>
          <cell r="E69"/>
        </row>
        <row r="70">
          <cell r="A70" t="str">
            <v>נור אבו ראס</v>
          </cell>
          <cell r="B70"/>
          <cell r="C70"/>
          <cell r="D70"/>
          <cell r="E70"/>
        </row>
        <row r="71">
          <cell r="A71" t="str">
            <v>יהונתן שיוביץ</v>
          </cell>
          <cell r="B71"/>
          <cell r="C71"/>
          <cell r="D71"/>
          <cell r="E71"/>
        </row>
        <row r="72">
          <cell r="A72" t="str">
            <v>רפאל גלעד</v>
          </cell>
          <cell r="B72"/>
          <cell r="C72"/>
          <cell r="D72"/>
          <cell r="E72"/>
        </row>
        <row r="73">
          <cell r="A73" t="str">
            <v>אחמד עלי אחמד</v>
          </cell>
          <cell r="B73"/>
          <cell r="C73"/>
          <cell r="D73"/>
          <cell r="E73"/>
        </row>
        <row r="74">
          <cell r="A74" t="str">
            <v>סיון פיינרו</v>
          </cell>
          <cell r="B74"/>
          <cell r="C74"/>
          <cell r="D74"/>
          <cell r="E74"/>
        </row>
        <row r="75">
          <cell r="A75" t="str">
            <v>לילי שרון</v>
          </cell>
          <cell r="B75"/>
          <cell r="C75"/>
          <cell r="D75"/>
          <cell r="E75"/>
        </row>
        <row r="76">
          <cell r="A76" t="str">
            <v>שירלי בוכריס</v>
          </cell>
          <cell r="B76"/>
          <cell r="C76">
            <v>2268.2200000000003</v>
          </cell>
          <cell r="D76"/>
          <cell r="E76"/>
        </row>
        <row r="77">
          <cell r="A77" t="str">
            <v>אלרם סוכנות לביטוח</v>
          </cell>
          <cell r="B77"/>
          <cell r="C77">
            <v>1769.38</v>
          </cell>
          <cell r="D77"/>
          <cell r="E77"/>
        </row>
        <row r="78">
          <cell r="A78" t="str">
            <v>רכס אורן</v>
          </cell>
          <cell r="B78"/>
          <cell r="C78">
            <v>1162.51</v>
          </cell>
          <cell r="D78"/>
          <cell r="E78"/>
        </row>
        <row r="79">
          <cell r="A79" t="str">
            <v>סה"כ פרימיום</v>
          </cell>
          <cell r="B79">
            <v>0</v>
          </cell>
          <cell r="C79">
            <v>27919.989999999998</v>
          </cell>
          <cell r="D79">
            <v>0</v>
          </cell>
          <cell r="E79">
            <v>0</v>
          </cell>
        </row>
        <row r="80">
          <cell r="A80" t="str">
            <v>סה"כ כולל</v>
          </cell>
          <cell r="B80">
            <v>0</v>
          </cell>
          <cell r="C80">
            <v>67678.929999999993</v>
          </cell>
          <cell r="D80">
            <v>0</v>
          </cell>
          <cell r="E80">
            <v>0</v>
          </cell>
        </row>
        <row r="82">
          <cell r="C82"/>
        </row>
      </sheetData>
      <sheetData sheetId="9"/>
      <sheetData sheetId="10"/>
      <sheetData sheetId="11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186713.63999999998</v>
          </cell>
          <cell r="C3">
            <v>11057.055</v>
          </cell>
          <cell r="D3">
            <v>529072.55000000005</v>
          </cell>
          <cell r="E3"/>
        </row>
        <row r="4">
          <cell r="A4" t="str">
            <v>דניאלה אביב</v>
          </cell>
          <cell r="B4">
            <v>179750.39999999999</v>
          </cell>
          <cell r="C4">
            <v>0</v>
          </cell>
          <cell r="D4">
            <v>520226.54</v>
          </cell>
          <cell r="E4"/>
        </row>
        <row r="5">
          <cell r="A5" t="str">
            <v>סה"כ ישיר</v>
          </cell>
          <cell r="B5">
            <v>366464.04</v>
          </cell>
          <cell r="C5">
            <v>11057.055</v>
          </cell>
          <cell r="D5">
            <v>1049299.0900000001</v>
          </cell>
          <cell r="E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>
            <v>58536.36</v>
          </cell>
          <cell r="C7">
            <v>50554.811999999998</v>
          </cell>
          <cell r="D7">
            <v>23316.04</v>
          </cell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>
            <v>0</v>
          </cell>
          <cell r="C10">
            <v>15655.915000000001</v>
          </cell>
          <cell r="D10">
            <v>1200</v>
          </cell>
          <cell r="E10"/>
        </row>
        <row r="11">
          <cell r="A11" t="str">
            <v>מקסימום סוכנות לבטוח פ</v>
          </cell>
          <cell r="B11">
            <v>54234.48</v>
          </cell>
          <cell r="C11">
            <v>0</v>
          </cell>
          <cell r="D11">
            <v>17912</v>
          </cell>
          <cell r="E11"/>
        </row>
        <row r="12">
          <cell r="A12" t="str">
            <v>סה"כ חברות בנות</v>
          </cell>
          <cell r="B12">
            <v>112770.84</v>
          </cell>
          <cell r="C12">
            <v>66210.726999999999</v>
          </cell>
          <cell r="D12">
            <v>42428.04</v>
          </cell>
          <cell r="E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>
            <v>0</v>
          </cell>
          <cell r="C18">
            <v>2419.8240000000001</v>
          </cell>
          <cell r="D18">
            <v>3000</v>
          </cell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>
            <v>11248.2</v>
          </cell>
          <cell r="C20">
            <v>0</v>
          </cell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/>
          <cell r="D22"/>
          <cell r="E22"/>
        </row>
        <row r="23">
          <cell r="A23" t="str">
            <v>שלבי מיסון</v>
          </cell>
          <cell r="B23">
            <v>0</v>
          </cell>
          <cell r="C23">
            <v>4922.1419999999998</v>
          </cell>
          <cell r="D23">
            <v>80412.53</v>
          </cell>
          <cell r="E23"/>
        </row>
        <row r="24">
          <cell r="A24" t="str">
            <v>בחוס יוסף</v>
          </cell>
          <cell r="B24"/>
          <cell r="C24"/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>
            <v>23976</v>
          </cell>
          <cell r="C26">
            <v>9708.1890000000003</v>
          </cell>
          <cell r="D26">
            <v>3254.44</v>
          </cell>
          <cell r="E26"/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>
            <v>0</v>
          </cell>
          <cell r="C29">
            <v>-82.494</v>
          </cell>
          <cell r="D29">
            <v>70071.05</v>
          </cell>
          <cell r="E29"/>
        </row>
        <row r="30">
          <cell r="A30" t="str">
            <v>רן בסין</v>
          </cell>
          <cell r="B30"/>
          <cell r="C30"/>
          <cell r="D30"/>
          <cell r="E30"/>
        </row>
        <row r="31">
          <cell r="A31" t="str">
            <v>אלקרינאוי ראוף</v>
          </cell>
          <cell r="B31">
            <v>0</v>
          </cell>
          <cell r="C31">
            <v>-522.04600000000005</v>
          </cell>
          <cell r="D31"/>
          <cell r="E31"/>
        </row>
        <row r="32">
          <cell r="A32" t="str">
            <v>דאי גדי</v>
          </cell>
          <cell r="B32"/>
          <cell r="C32"/>
          <cell r="D32"/>
          <cell r="E32"/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35224.199999999997</v>
          </cell>
          <cell r="C39">
            <v>16445.615000000002</v>
          </cell>
          <cell r="D39">
            <v>156738.02000000002</v>
          </cell>
          <cell r="E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/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/>
          <cell r="C45"/>
          <cell r="D45"/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עאטף עדווי</v>
          </cell>
          <cell r="B50"/>
          <cell r="C50"/>
          <cell r="D50"/>
          <cell r="E50"/>
        </row>
        <row r="51">
          <cell r="A51" t="str">
            <v>דר סוכנות לביטוח</v>
          </cell>
          <cell r="B51"/>
          <cell r="C51"/>
          <cell r="D51"/>
          <cell r="E51"/>
        </row>
        <row r="52">
          <cell r="A52" t="str">
            <v>מכלול סוכנות לביטוח</v>
          </cell>
          <cell r="B52"/>
          <cell r="C52"/>
          <cell r="D52"/>
          <cell r="E52"/>
        </row>
        <row r="53">
          <cell r="A53" t="str">
            <v>גול זאב</v>
          </cell>
          <cell r="B53">
            <v>189605.88</v>
          </cell>
          <cell r="C53">
            <v>20703.103999999999</v>
          </cell>
          <cell r="D53">
            <v>146405.03</v>
          </cell>
          <cell r="E53"/>
        </row>
        <row r="54">
          <cell r="A54" t="str">
            <v>עבוד כיתי</v>
          </cell>
          <cell r="B54"/>
          <cell r="C54"/>
          <cell r="D54"/>
          <cell r="E54"/>
        </row>
        <row r="55">
          <cell r="A55" t="str">
            <v>יעקב ישראל שטרן</v>
          </cell>
          <cell r="B55"/>
          <cell r="C55"/>
          <cell r="D55">
            <v>8820</v>
          </cell>
          <cell r="E55"/>
        </row>
        <row r="56">
          <cell r="A56" t="str">
            <v>בדר צבי</v>
          </cell>
          <cell r="B56"/>
          <cell r="C56"/>
          <cell r="D56"/>
          <cell r="E56"/>
        </row>
        <row r="57">
          <cell r="A57" t="str">
            <v>סוכנים לא מפוקחים</v>
          </cell>
          <cell r="B57">
            <v>189605.88</v>
          </cell>
          <cell r="C57">
            <v>20703.103999999999</v>
          </cell>
          <cell r="D57">
            <v>155225.03</v>
          </cell>
          <cell r="E57">
            <v>0</v>
          </cell>
        </row>
        <row r="58">
          <cell r="A58" t="str">
            <v>גלידר אנה</v>
          </cell>
          <cell r="B58">
            <v>38685.599999999999</v>
          </cell>
          <cell r="C58">
            <v>2117.346</v>
          </cell>
          <cell r="D58"/>
          <cell r="E58"/>
        </row>
        <row r="59">
          <cell r="A59" t="str">
            <v>אביב מור יוסף</v>
          </cell>
          <cell r="B59"/>
          <cell r="C59"/>
          <cell r="D59"/>
          <cell r="E59"/>
        </row>
        <row r="60">
          <cell r="A60" t="str">
            <v>אריאל בר-חיים</v>
          </cell>
          <cell r="B60">
            <v>0</v>
          </cell>
          <cell r="C60">
            <v>-4260.72</v>
          </cell>
          <cell r="D60">
            <v>1395</v>
          </cell>
          <cell r="E60"/>
        </row>
        <row r="61">
          <cell r="A61" t="str">
            <v>יונתן מנחם</v>
          </cell>
          <cell r="B61"/>
          <cell r="C61"/>
          <cell r="D61"/>
          <cell r="E61"/>
        </row>
        <row r="62">
          <cell r="A62" t="str">
            <v>שלי מזרחי</v>
          </cell>
          <cell r="B62">
            <v>43530.12</v>
          </cell>
          <cell r="C62">
            <v>17335.508000000002</v>
          </cell>
          <cell r="D62">
            <v>72550.38</v>
          </cell>
          <cell r="E62"/>
        </row>
        <row r="63">
          <cell r="A63" t="str">
            <v xml:space="preserve">אריאל דוברושין </v>
          </cell>
          <cell r="B63">
            <v>0</v>
          </cell>
          <cell r="C63">
            <v>21394.673999999999</v>
          </cell>
          <cell r="D63"/>
          <cell r="E63"/>
        </row>
        <row r="64">
          <cell r="A64" t="str">
            <v>חנה כצנלסון</v>
          </cell>
          <cell r="B64">
            <v>0</v>
          </cell>
          <cell r="C64">
            <v>12494.282999999999</v>
          </cell>
          <cell r="D64"/>
          <cell r="E64"/>
        </row>
        <row r="65">
          <cell r="A65" t="str">
            <v>ינאי חיים בוני</v>
          </cell>
          <cell r="B65"/>
          <cell r="C65"/>
          <cell r="D65"/>
          <cell r="E65"/>
        </row>
        <row r="66">
          <cell r="A66" t="str">
            <v xml:space="preserve">מיכאל וקסלר </v>
          </cell>
          <cell r="B66"/>
          <cell r="C66"/>
          <cell r="D66"/>
          <cell r="E66"/>
        </row>
        <row r="67">
          <cell r="A67" t="str">
            <v xml:space="preserve">שני לוי </v>
          </cell>
          <cell r="B67">
            <v>0</v>
          </cell>
          <cell r="C67">
            <v>4933.0240000000003</v>
          </cell>
          <cell r="D67"/>
          <cell r="E67"/>
        </row>
        <row r="68">
          <cell r="A68" t="str">
            <v>אורטל לנג</v>
          </cell>
          <cell r="B68">
            <v>65082.6</v>
          </cell>
          <cell r="C68">
            <v>14603.85</v>
          </cell>
          <cell r="D68">
            <v>119720.12000000001</v>
          </cell>
          <cell r="E68"/>
        </row>
        <row r="69">
          <cell r="A69" t="str">
            <v>נעם זילברמן</v>
          </cell>
          <cell r="B69">
            <v>109849.56</v>
          </cell>
          <cell r="C69">
            <v>7537.9759999999997</v>
          </cell>
          <cell r="D69">
            <v>42060</v>
          </cell>
          <cell r="E69"/>
        </row>
        <row r="70">
          <cell r="A70" t="str">
            <v>נור אבו ראס</v>
          </cell>
          <cell r="B70">
            <v>0</v>
          </cell>
          <cell r="C70">
            <v>9046.3919999999998</v>
          </cell>
          <cell r="D70"/>
          <cell r="E70"/>
        </row>
        <row r="71">
          <cell r="A71" t="str">
            <v>יהונתן שיוביץ</v>
          </cell>
          <cell r="B71"/>
          <cell r="C71"/>
          <cell r="D71"/>
          <cell r="E71"/>
        </row>
        <row r="72">
          <cell r="A72" t="str">
            <v>רפאל גלעד</v>
          </cell>
          <cell r="B72"/>
          <cell r="C72"/>
          <cell r="D72"/>
          <cell r="E72"/>
        </row>
        <row r="73">
          <cell r="A73" t="str">
            <v>אחמד עלי אחמד</v>
          </cell>
          <cell r="B73">
            <v>0</v>
          </cell>
          <cell r="C73">
            <v>4976.0439999999999</v>
          </cell>
          <cell r="D73">
            <v>1600</v>
          </cell>
          <cell r="E73"/>
        </row>
        <row r="74">
          <cell r="A74" t="str">
            <v>סיון פיינרו</v>
          </cell>
          <cell r="B74"/>
          <cell r="C74"/>
          <cell r="D74"/>
          <cell r="E74"/>
        </row>
        <row r="75">
          <cell r="A75" t="str">
            <v>לילי שרון</v>
          </cell>
          <cell r="B75">
            <v>0</v>
          </cell>
          <cell r="C75">
            <v>-824.94</v>
          </cell>
          <cell r="D75"/>
          <cell r="E75"/>
        </row>
        <row r="76">
          <cell r="A76" t="str">
            <v>שירלי בוכריס</v>
          </cell>
          <cell r="B76">
            <v>17635.2</v>
          </cell>
          <cell r="C76">
            <v>2011.827</v>
          </cell>
          <cell r="D76">
            <v>43860</v>
          </cell>
          <cell r="E76"/>
        </row>
        <row r="77">
          <cell r="A77" t="str">
            <v>אלרם סוכנות לביטוח</v>
          </cell>
          <cell r="B77">
            <v>0</v>
          </cell>
          <cell r="C77">
            <v>7109.4</v>
          </cell>
          <cell r="D77">
            <v>12600</v>
          </cell>
          <cell r="E77"/>
        </row>
        <row r="78">
          <cell r="A78" t="str">
            <v>רכס אורן</v>
          </cell>
          <cell r="B78">
            <v>42331.199999999997</v>
          </cell>
          <cell r="C78">
            <v>-190.77800000000002</v>
          </cell>
          <cell r="D78">
            <v>210277.97</v>
          </cell>
          <cell r="E78"/>
        </row>
        <row r="79">
          <cell r="A79" t="str">
            <v>סה"כ פרימיום</v>
          </cell>
          <cell r="B79">
            <v>317114.28000000003</v>
          </cell>
          <cell r="C79">
            <v>98283.885999999969</v>
          </cell>
          <cell r="D79">
            <v>504063.47</v>
          </cell>
          <cell r="E79">
            <v>0</v>
          </cell>
        </row>
        <row r="80">
          <cell r="A80" t="str">
            <v>סה"כ כולל</v>
          </cell>
          <cell r="B80">
            <v>1021179.24</v>
          </cell>
          <cell r="C80">
            <v>212700.38699999993</v>
          </cell>
          <cell r="D80">
            <v>1907753.6500000001</v>
          </cell>
          <cell r="E80">
            <v>0</v>
          </cell>
        </row>
        <row r="82">
          <cell r="B82"/>
          <cell r="C82"/>
          <cell r="D82"/>
        </row>
      </sheetData>
      <sheetData sheetId="12"/>
      <sheetData sheetId="13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/>
          <cell r="C3"/>
          <cell r="D3">
            <v>1600</v>
          </cell>
          <cell r="E3"/>
        </row>
        <row r="4">
          <cell r="A4" t="str">
            <v>דניאלה אביב</v>
          </cell>
          <cell r="B4"/>
          <cell r="C4"/>
          <cell r="D4"/>
          <cell r="E4"/>
        </row>
        <row r="5">
          <cell r="A5" t="str">
            <v>סה"כ ישיר</v>
          </cell>
          <cell r="B5">
            <v>0</v>
          </cell>
          <cell r="C5">
            <v>0</v>
          </cell>
          <cell r="D5">
            <v>1600</v>
          </cell>
          <cell r="E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/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/>
          <cell r="C10"/>
          <cell r="D10"/>
          <cell r="E10"/>
        </row>
        <row r="11">
          <cell r="A11" t="str">
            <v>מקסימום סוכנות לבטוח פ</v>
          </cell>
          <cell r="B11"/>
          <cell r="C11"/>
          <cell r="D11"/>
          <cell r="E11"/>
        </row>
        <row r="12">
          <cell r="A12" t="str">
            <v>סה"כ חברות בנות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</row>
        <row r="14">
          <cell r="A14" t="str">
            <v>יעקובסון רומן</v>
          </cell>
          <cell r="B14"/>
          <cell r="C14"/>
          <cell r="D14">
            <v>500</v>
          </cell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/>
          <cell r="C20"/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/>
          <cell r="D22"/>
          <cell r="E22"/>
        </row>
        <row r="23">
          <cell r="A23" t="str">
            <v>שלבי מיסון</v>
          </cell>
          <cell r="B23"/>
          <cell r="C23"/>
          <cell r="D23"/>
          <cell r="E23"/>
        </row>
        <row r="24">
          <cell r="A24" t="str">
            <v>בחוס יוסף</v>
          </cell>
          <cell r="B24"/>
          <cell r="C24"/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/>
          <cell r="C26"/>
          <cell r="D26">
            <v>200</v>
          </cell>
          <cell r="E26"/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/>
          <cell r="C29"/>
          <cell r="D29"/>
          <cell r="E29"/>
        </row>
        <row r="30">
          <cell r="A30" t="str">
            <v>רן בסין</v>
          </cell>
          <cell r="B30"/>
          <cell r="C30"/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/>
          <cell r="C32"/>
          <cell r="D32"/>
          <cell r="E32"/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0</v>
          </cell>
          <cell r="C39">
            <v>0</v>
          </cell>
          <cell r="D39">
            <v>700</v>
          </cell>
          <cell r="E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/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/>
          <cell r="C45"/>
          <cell r="D45"/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עאטף עדווי</v>
          </cell>
          <cell r="B50"/>
          <cell r="C50"/>
          <cell r="D50"/>
          <cell r="E50"/>
        </row>
        <row r="51">
          <cell r="A51" t="str">
            <v>דר סוכנות לביטוח</v>
          </cell>
          <cell r="B51"/>
          <cell r="C51"/>
          <cell r="D51"/>
          <cell r="E51"/>
        </row>
        <row r="52">
          <cell r="A52" t="str">
            <v>מכלול סוכנות לביטוח</v>
          </cell>
          <cell r="B52"/>
          <cell r="C52"/>
          <cell r="D52"/>
          <cell r="E52"/>
        </row>
        <row r="53">
          <cell r="A53" t="str">
            <v>גול זאב</v>
          </cell>
          <cell r="B53"/>
          <cell r="C53"/>
          <cell r="D53">
            <v>250</v>
          </cell>
          <cell r="E53"/>
        </row>
        <row r="54">
          <cell r="A54" t="str">
            <v>עבוד כיתי</v>
          </cell>
          <cell r="B54"/>
          <cell r="C54"/>
          <cell r="D54"/>
          <cell r="E54"/>
        </row>
        <row r="55">
          <cell r="A55" t="str">
            <v>יעקב ישראל שטרן</v>
          </cell>
          <cell r="B55"/>
          <cell r="C55"/>
          <cell r="D55"/>
          <cell r="E55"/>
        </row>
        <row r="56">
          <cell r="A56" t="str">
            <v>בדר צבי</v>
          </cell>
          <cell r="B56"/>
          <cell r="C56"/>
          <cell r="D56"/>
          <cell r="E56"/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250</v>
          </cell>
          <cell r="E57">
            <v>0</v>
          </cell>
        </row>
        <row r="58">
          <cell r="A58" t="str">
            <v>גלידר אנה</v>
          </cell>
          <cell r="B58"/>
          <cell r="C58"/>
          <cell r="D58"/>
          <cell r="E58"/>
        </row>
        <row r="59">
          <cell r="A59" t="str">
            <v>אביב מור יוסף</v>
          </cell>
          <cell r="B59"/>
          <cell r="C59"/>
          <cell r="D59"/>
          <cell r="E59"/>
        </row>
        <row r="60">
          <cell r="A60" t="str">
            <v>אריאל בר-חיים</v>
          </cell>
          <cell r="B60"/>
          <cell r="C60"/>
          <cell r="D60"/>
          <cell r="E60"/>
        </row>
        <row r="61">
          <cell r="A61" t="str">
            <v>יונתן מנחם</v>
          </cell>
          <cell r="B61"/>
          <cell r="C61"/>
          <cell r="D61"/>
          <cell r="E61"/>
        </row>
        <row r="62">
          <cell r="A62" t="str">
            <v>שלי מזרחי</v>
          </cell>
          <cell r="B62"/>
          <cell r="C62"/>
          <cell r="D62"/>
          <cell r="E62"/>
        </row>
        <row r="63">
          <cell r="A63" t="str">
            <v xml:space="preserve">אריאל דוברושין </v>
          </cell>
          <cell r="B63"/>
          <cell r="C63"/>
          <cell r="D63"/>
          <cell r="E63"/>
        </row>
        <row r="64">
          <cell r="A64" t="str">
            <v>חנה כצנלסון</v>
          </cell>
          <cell r="B64"/>
          <cell r="C64"/>
          <cell r="D64"/>
          <cell r="E64"/>
        </row>
        <row r="65">
          <cell r="A65" t="str">
            <v>ינאי חיים בוני</v>
          </cell>
          <cell r="B65"/>
          <cell r="C65"/>
          <cell r="D65"/>
          <cell r="E65"/>
        </row>
        <row r="66">
          <cell r="A66" t="str">
            <v xml:space="preserve">מיכאל וקסלר </v>
          </cell>
          <cell r="B66"/>
          <cell r="C66"/>
          <cell r="D66"/>
          <cell r="E66"/>
        </row>
        <row r="67">
          <cell r="A67" t="str">
            <v xml:space="preserve">שני לוי </v>
          </cell>
          <cell r="B67"/>
          <cell r="C67"/>
          <cell r="D67"/>
          <cell r="E67"/>
        </row>
        <row r="68">
          <cell r="A68" t="str">
            <v>אורטל לנג</v>
          </cell>
          <cell r="B68"/>
          <cell r="C68"/>
          <cell r="D68"/>
          <cell r="E68"/>
        </row>
        <row r="69">
          <cell r="A69" t="str">
            <v>נעם זילברמן</v>
          </cell>
          <cell r="B69"/>
          <cell r="C69"/>
          <cell r="D69"/>
          <cell r="E69"/>
        </row>
        <row r="70">
          <cell r="A70" t="str">
            <v>נור אבו ראס</v>
          </cell>
          <cell r="B70"/>
          <cell r="C70"/>
          <cell r="D70"/>
          <cell r="E70"/>
        </row>
        <row r="71">
          <cell r="A71" t="str">
            <v>יהונתן שיוביץ</v>
          </cell>
          <cell r="B71"/>
          <cell r="C71"/>
          <cell r="D71"/>
          <cell r="E71"/>
        </row>
        <row r="72">
          <cell r="A72" t="str">
            <v>רפאל גלעד</v>
          </cell>
          <cell r="B72"/>
          <cell r="C72"/>
          <cell r="D72"/>
          <cell r="E72"/>
        </row>
        <row r="73">
          <cell r="A73" t="str">
            <v>אחמד עלי אחמד</v>
          </cell>
          <cell r="B73"/>
          <cell r="C73"/>
          <cell r="D73"/>
          <cell r="E73"/>
        </row>
        <row r="74">
          <cell r="A74" t="str">
            <v>סיון פיינרו</v>
          </cell>
          <cell r="B74"/>
          <cell r="C74"/>
          <cell r="D74"/>
          <cell r="E74"/>
        </row>
        <row r="75">
          <cell r="A75" t="str">
            <v>לילי שרון</v>
          </cell>
          <cell r="B75"/>
          <cell r="C75"/>
          <cell r="D75"/>
          <cell r="E75"/>
        </row>
        <row r="76">
          <cell r="A76" t="str">
            <v>שירלי בוכריס</v>
          </cell>
          <cell r="B76"/>
          <cell r="C76"/>
          <cell r="D76"/>
          <cell r="E76"/>
        </row>
        <row r="77">
          <cell r="A77" t="str">
            <v>אלרם סוכנות לביטוח</v>
          </cell>
          <cell r="B77"/>
          <cell r="C77"/>
          <cell r="D77">
            <v>2100</v>
          </cell>
          <cell r="E77"/>
        </row>
        <row r="78">
          <cell r="A78" t="str">
            <v>רכס אורן</v>
          </cell>
          <cell r="B78"/>
          <cell r="C78"/>
          <cell r="D78"/>
          <cell r="E78"/>
        </row>
        <row r="79">
          <cell r="A79" t="str">
            <v>סה"כ פרימיום</v>
          </cell>
          <cell r="B79">
            <v>0</v>
          </cell>
          <cell r="C79">
            <v>0</v>
          </cell>
          <cell r="D79">
            <v>2100</v>
          </cell>
          <cell r="E79">
            <v>0</v>
          </cell>
        </row>
        <row r="80">
          <cell r="A80" t="str">
            <v>סה"כ כולל</v>
          </cell>
          <cell r="B80">
            <v>0</v>
          </cell>
          <cell r="C80">
            <v>0</v>
          </cell>
          <cell r="D80">
            <v>4650</v>
          </cell>
          <cell r="E8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1F58-CA45-44F1-9046-68576443EBCE}">
  <sheetPr>
    <tabColor theme="4" tint="0.39997558519241921"/>
  </sheetPr>
  <dimension ref="A1:Z52"/>
  <sheetViews>
    <sheetView showGridLines="0" rightToLeft="1" tabSelected="1" topLeftCell="A16" workbookViewId="0">
      <selection activeCell="O33" sqref="O33"/>
    </sheetView>
  </sheetViews>
  <sheetFormatPr defaultColWidth="23.5703125" defaultRowHeight="15" x14ac:dyDescent="0.25"/>
  <cols>
    <col min="1" max="1" width="14.140625" style="50" bestFit="1" customWidth="1"/>
    <col min="2" max="3" width="14" style="50" bestFit="1" customWidth="1"/>
    <col min="4" max="5" width="15.42578125" style="50" bestFit="1" customWidth="1"/>
    <col min="6" max="6" width="7.7109375" style="50" bestFit="1" customWidth="1"/>
    <col min="7" max="8" width="10" style="50" bestFit="1" customWidth="1"/>
    <col min="9" max="10" width="12" style="50" bestFit="1" customWidth="1"/>
    <col min="11" max="12" width="11.42578125" style="50" bestFit="1" customWidth="1"/>
    <col min="13" max="13" width="12.140625" style="50" bestFit="1" customWidth="1"/>
    <col min="14" max="14" width="16.85546875" style="32" bestFit="1" customWidth="1"/>
    <col min="15" max="15" width="15.28515625" style="32" bestFit="1" customWidth="1"/>
    <col min="16" max="16" width="18.28515625" style="32" bestFit="1" customWidth="1"/>
    <col min="17" max="17" width="15.85546875" style="32" bestFit="1" customWidth="1"/>
    <col min="18" max="18" width="14.7109375" style="32" bestFit="1" customWidth="1"/>
    <col min="19" max="21" width="12" style="32" bestFit="1" customWidth="1"/>
    <col min="22" max="22" width="3.42578125" style="32" customWidth="1"/>
    <col min="23" max="23" width="14" style="32" bestFit="1" customWidth="1"/>
    <col min="24" max="24" width="18.28515625" style="32" bestFit="1" customWidth="1"/>
    <col min="25" max="25" width="15.85546875" style="32" bestFit="1" customWidth="1"/>
    <col min="26" max="26" width="14.7109375" style="33" bestFit="1" customWidth="1"/>
  </cols>
  <sheetData>
    <row r="1" spans="1:21" ht="15.75" thickBot="1" x14ac:dyDescent="0.3"/>
    <row r="2" spans="1:21" ht="48" thickBot="1" x14ac:dyDescent="0.3">
      <c r="A2" s="60" t="s">
        <v>86</v>
      </c>
      <c r="J2" s="132"/>
      <c r="O2" s="53" t="s">
        <v>75</v>
      </c>
      <c r="P2" s="54"/>
      <c r="Q2" s="54"/>
      <c r="R2" s="55"/>
    </row>
    <row r="3" spans="1:21" ht="48" thickBot="1" x14ac:dyDescent="0.3">
      <c r="A3" s="238" t="s">
        <v>57</v>
      </c>
      <c r="B3" s="240" t="s">
        <v>123</v>
      </c>
      <c r="C3" s="241"/>
      <c r="D3" s="241"/>
      <c r="E3" s="241"/>
      <c r="F3" s="248" t="s">
        <v>63</v>
      </c>
      <c r="G3" s="249"/>
      <c r="H3" s="249"/>
      <c r="I3" s="250"/>
      <c r="J3" s="133"/>
      <c r="O3" s="113" t="s">
        <v>76</v>
      </c>
      <c r="P3" s="114" t="s">
        <v>77</v>
      </c>
      <c r="Q3" s="114" t="s">
        <v>78</v>
      </c>
      <c r="R3" s="114" t="s">
        <v>132</v>
      </c>
    </row>
    <row r="4" spans="1:21" ht="32.25" thickBot="1" x14ac:dyDescent="0.3">
      <c r="A4" s="239"/>
      <c r="B4" s="199" t="s">
        <v>46</v>
      </c>
      <c r="C4" s="197" t="s">
        <v>47</v>
      </c>
      <c r="D4" s="197" t="s">
        <v>48</v>
      </c>
      <c r="E4" s="192" t="s">
        <v>49</v>
      </c>
      <c r="F4" s="93" t="s">
        <v>46</v>
      </c>
      <c r="G4" s="41" t="s">
        <v>50</v>
      </c>
      <c r="H4" s="87" t="s">
        <v>51</v>
      </c>
      <c r="I4" s="81" t="s">
        <v>49</v>
      </c>
      <c r="J4" s="134"/>
      <c r="O4" s="115"/>
      <c r="P4" s="20"/>
      <c r="Q4" s="21"/>
      <c r="R4" s="22"/>
    </row>
    <row r="5" spans="1:21" x14ac:dyDescent="0.25">
      <c r="A5" s="64" t="s">
        <v>58</v>
      </c>
      <c r="B5" s="193">
        <f>'תפוקה מול יעד חודשי'!L8</f>
        <v>1129325.5119951663</v>
      </c>
      <c r="C5" s="193">
        <f>'תפוקה מול יעד חודשי'!M8</f>
        <v>430756.29016033781</v>
      </c>
      <c r="D5" s="193">
        <f>'תפוקה מול יעד חודשי'!N8</f>
        <v>3418785.9801152172</v>
      </c>
      <c r="E5" s="193">
        <f>'תפוקה מול יעד חודשי'!O8</f>
        <v>7238176.0000000009</v>
      </c>
      <c r="F5" s="90">
        <f>'תפוקה מול יעד חודשי'!D5</f>
        <v>0</v>
      </c>
      <c r="G5" s="47">
        <f>'תפוקה מול יעד חודשי'!E5</f>
        <v>0.37003157894736849</v>
      </c>
      <c r="H5" s="88">
        <f>'תפוקה מול יעד חודשי'!F5</f>
        <v>0</v>
      </c>
      <c r="I5" s="49">
        <f>'תפוקה מול יעד חודשי'!G5</f>
        <v>0</v>
      </c>
      <c r="J5" s="135"/>
      <c r="O5" s="85"/>
      <c r="P5" s="20"/>
      <c r="Q5" s="21"/>
      <c r="R5" s="22"/>
    </row>
    <row r="6" spans="1:21" x14ac:dyDescent="0.25">
      <c r="A6" s="65" t="s">
        <v>59</v>
      </c>
      <c r="B6" s="194">
        <f>'תפוקה מול יעד חודשי'!L8</f>
        <v>1129325.5119951663</v>
      </c>
      <c r="C6" s="194">
        <f>'תפוקה מול יעד חודשי'!M21</f>
        <v>276135.67093202623</v>
      </c>
      <c r="D6" s="194">
        <f>'תפוקה מול יעד חודשי'!N21</f>
        <v>1343239.037</v>
      </c>
      <c r="E6" s="194">
        <f>'תפוקה מול יעד חודשי'!O21</f>
        <v>399567.57</v>
      </c>
      <c r="F6" s="90">
        <f>'תפוקה מול יעד חודשי'!D13</f>
        <v>0</v>
      </c>
      <c r="G6" s="47">
        <f>'תפוקה מול יעד חודשי'!E13</f>
        <v>-0.74851415327596926</v>
      </c>
      <c r="H6" s="88">
        <f>'תפוקה מול יעד חודשי'!F13</f>
        <v>0</v>
      </c>
      <c r="I6" s="49">
        <f>'תפוקה מול יעד חודשי'!G13</f>
        <v>0</v>
      </c>
      <c r="J6" s="135"/>
      <c r="O6" s="19"/>
      <c r="P6" s="20"/>
      <c r="Q6" s="21"/>
      <c r="R6" s="22"/>
    </row>
    <row r="7" spans="1:21" x14ac:dyDescent="0.25">
      <c r="A7" s="66" t="s">
        <v>60</v>
      </c>
      <c r="B7" s="195">
        <f>'תפוקה מול יעד חודשי'!L71</f>
        <v>579517.98245146789</v>
      </c>
      <c r="C7" s="195">
        <f>'תפוקה מול יעד חודשי'!M71</f>
        <v>838553.69520821003</v>
      </c>
      <c r="D7" s="195">
        <f>'תפוקה מול יעד חודשי'!N71</f>
        <v>3159084.186365</v>
      </c>
      <c r="E7" s="195">
        <f>'תפוקה מול יעד חודשי'!O71</f>
        <v>5778612.3499999996</v>
      </c>
      <c r="F7" s="91">
        <f>'תפוקה מול יעד חודשי'!D70</f>
        <v>-0.67589100000000002</v>
      </c>
      <c r="G7" s="45">
        <f>'תפוקה מול יעד חודשי'!E70</f>
        <v>48.372038581754389</v>
      </c>
      <c r="H7" s="89">
        <f>'תפוקה מול יעד חודשי'!F70</f>
        <v>9.9075362318838955E-3</v>
      </c>
      <c r="I7" s="83">
        <f>'תפוקה מול יעד חודשי'!G70</f>
        <v>0</v>
      </c>
      <c r="J7" s="135"/>
      <c r="O7" s="85"/>
      <c r="P7" s="20"/>
      <c r="Q7" s="21"/>
      <c r="R7" s="22"/>
    </row>
    <row r="8" spans="1:21" x14ac:dyDescent="0.25">
      <c r="A8" s="198" t="s">
        <v>130</v>
      </c>
      <c r="B8" s="194">
        <f>'תפוקה מול יעד חודשי'!L54</f>
        <v>613484.08655697154</v>
      </c>
      <c r="C8" s="194">
        <f>'תפוקה מול יעד חודשי'!M54</f>
        <v>309510.89560572489</v>
      </c>
      <c r="D8" s="194">
        <f>'תפוקה מול יעד חודשי'!N54</f>
        <v>1910393.6743805583</v>
      </c>
      <c r="E8" s="194">
        <f>'תפוקה מול יעד חודשי'!O54</f>
        <v>2348418.4699999997</v>
      </c>
      <c r="F8" s="90">
        <f>'תפוקה מול יעד חודשי'!D71</f>
        <v>-0.43184511524365898</v>
      </c>
      <c r="G8" s="47">
        <f>'תפוקה מול יעד חודשי'!E71</f>
        <v>5.7899084632243731</v>
      </c>
      <c r="H8" s="47">
        <f>'תפוקה מול יעד חודשי'!F71</f>
        <v>-0.53281807359287192</v>
      </c>
      <c r="I8" s="49">
        <f>'תפוקה מול יעד חודשי'!G71</f>
        <v>0.67496010144927521</v>
      </c>
      <c r="J8" s="135"/>
      <c r="O8" s="19"/>
      <c r="P8" s="20"/>
      <c r="Q8" s="21"/>
      <c r="R8" s="22"/>
    </row>
    <row r="9" spans="1:21" x14ac:dyDescent="0.25">
      <c r="A9" s="198" t="s">
        <v>131</v>
      </c>
      <c r="B9" s="194">
        <f>'תפוקה מול יעד חודשי'!L62</f>
        <v>570943.95165559067</v>
      </c>
      <c r="C9" s="194">
        <f>'תפוקה מול יעד חודשי'!M62</f>
        <v>33882.160678968969</v>
      </c>
      <c r="D9" s="194">
        <f>'תפוקה מול יעד חודשי'!N62</f>
        <v>1619801.206645</v>
      </c>
      <c r="E9" s="194">
        <f>'תפוקה מול יעד חודשי'!O62</f>
        <v>618203.73</v>
      </c>
      <c r="F9" s="90">
        <f>'תפוקה מול יעד חודשי'!D72</f>
        <v>-0.60697748827967224</v>
      </c>
      <c r="G9" s="47">
        <f>'תפוקה מול יעד חודשי'!E72</f>
        <v>1.2517001997797794</v>
      </c>
      <c r="H9" s="47">
        <f>'תפוקה מול יעד חודשי'!F72</f>
        <v>-0.6202267076408392</v>
      </c>
      <c r="I9" s="49">
        <f>'תפוקה מול יעד חודשי'!G72</f>
        <v>-0.44987380559025392</v>
      </c>
      <c r="J9" s="135"/>
      <c r="O9" s="183"/>
      <c r="P9" s="184"/>
      <c r="Q9" s="185"/>
      <c r="R9" s="186"/>
    </row>
    <row r="10" spans="1:21" ht="42.75" thickBot="1" x14ac:dyDescent="0.3">
      <c r="A10" s="160" t="s">
        <v>61</v>
      </c>
      <c r="B10" s="196">
        <f>SUM(B5:B8)</f>
        <v>3451653.0929987719</v>
      </c>
      <c r="C10" s="196">
        <f t="shared" ref="C10:E10" si="0">SUM(C5:C8)</f>
        <v>1854956.5519062988</v>
      </c>
      <c r="D10" s="196">
        <f t="shared" si="0"/>
        <v>9831502.8778607752</v>
      </c>
      <c r="E10" s="196">
        <f t="shared" si="0"/>
        <v>15764774.390000001</v>
      </c>
      <c r="F10" s="187">
        <f>'תפוקה מול יעד חודשי'!D71</f>
        <v>-0.43184511524365898</v>
      </c>
      <c r="G10" s="130">
        <f>'תפוקה מול יעד חודשי'!E71</f>
        <v>5.7899084632243731</v>
      </c>
      <c r="H10" s="131">
        <f>'תפוקה מול יעד חודשי'!F71</f>
        <v>-0.53281807359287192</v>
      </c>
      <c r="I10" s="157">
        <f>'תפוקה מול יעד חודשי'!G71</f>
        <v>0.67496010144927521</v>
      </c>
      <c r="J10" s="136"/>
      <c r="O10"/>
      <c r="P10"/>
      <c r="Q10"/>
      <c r="R10"/>
    </row>
    <row r="11" spans="1:21" x14ac:dyDescent="0.25">
      <c r="J11" s="132"/>
      <c r="R11" s="33"/>
    </row>
    <row r="12" spans="1:21" x14ac:dyDescent="0.25">
      <c r="J12" s="132"/>
      <c r="R12" s="33"/>
    </row>
    <row r="13" spans="1:21" ht="15.75" thickBot="1" x14ac:dyDescent="0.3">
      <c r="K13" s="126"/>
      <c r="L13" s="126"/>
      <c r="M13" s="126"/>
      <c r="R13" s="33"/>
    </row>
    <row r="14" spans="1:21" ht="46.5" thickBot="1" x14ac:dyDescent="0.3">
      <c r="A14" s="60" t="s">
        <v>85</v>
      </c>
      <c r="K14" s="126"/>
      <c r="L14" s="127"/>
      <c r="M14" s="126"/>
      <c r="O14" s="56" t="s">
        <v>79</v>
      </c>
      <c r="P14" s="54"/>
      <c r="Q14" s="54"/>
      <c r="R14" s="55"/>
    </row>
    <row r="15" spans="1:21" ht="31.9" customHeight="1" thickBot="1" x14ac:dyDescent="0.4">
      <c r="A15" s="238" t="s">
        <v>57</v>
      </c>
      <c r="B15" s="240" t="s">
        <v>124</v>
      </c>
      <c r="C15" s="241"/>
      <c r="D15" s="241"/>
      <c r="E15" s="242"/>
      <c r="F15" s="245" t="s">
        <v>52</v>
      </c>
      <c r="G15" s="246"/>
      <c r="H15" s="246"/>
      <c r="I15" s="247"/>
      <c r="J15" s="254" t="s">
        <v>74</v>
      </c>
      <c r="K15" s="255"/>
      <c r="L15" s="255"/>
      <c r="M15" s="256"/>
      <c r="N15" s="34"/>
      <c r="O15" s="57" t="s">
        <v>76</v>
      </c>
      <c r="P15" s="58" t="s">
        <v>77</v>
      </c>
      <c r="Q15" s="58" t="s">
        <v>80</v>
      </c>
      <c r="R15" s="58" t="s">
        <v>132</v>
      </c>
      <c r="S15" s="34"/>
      <c r="T15" s="34"/>
      <c r="U15" s="34"/>
    </row>
    <row r="16" spans="1:21" ht="32.25" thickBot="1" x14ac:dyDescent="0.3">
      <c r="A16" s="239"/>
      <c r="B16" s="80" t="s">
        <v>46</v>
      </c>
      <c r="C16" s="40" t="s">
        <v>47</v>
      </c>
      <c r="D16" s="40" t="s">
        <v>48</v>
      </c>
      <c r="E16" s="200" t="s">
        <v>49</v>
      </c>
      <c r="F16" s="93" t="s">
        <v>46</v>
      </c>
      <c r="G16" s="41" t="s">
        <v>50</v>
      </c>
      <c r="H16" s="87" t="s">
        <v>51</v>
      </c>
      <c r="I16" s="81" t="s">
        <v>97</v>
      </c>
      <c r="J16" s="98" t="s">
        <v>46</v>
      </c>
      <c r="K16" s="99" t="s">
        <v>50</v>
      </c>
      <c r="L16" s="99" t="s">
        <v>51</v>
      </c>
      <c r="M16" s="100" t="s">
        <v>49</v>
      </c>
      <c r="N16" s="35"/>
      <c r="O16" s="85"/>
      <c r="P16" s="20"/>
      <c r="Q16" s="21"/>
      <c r="R16" s="22"/>
      <c r="S16" s="35"/>
      <c r="T16" s="35"/>
      <c r="U16" s="35"/>
    </row>
    <row r="17" spans="1:26" x14ac:dyDescent="0.25">
      <c r="A17" s="64" t="s">
        <v>58</v>
      </c>
      <c r="B17" s="52">
        <f>'תפוקה מצטברת מול אשתקד'!H8</f>
        <v>1129325.5119951665</v>
      </c>
      <c r="C17" s="48">
        <f>'תפוקה מצטברת מול אשתקד'!I8</f>
        <v>430756.29016033781</v>
      </c>
      <c r="D17" s="48">
        <f>'תפוקה מצטברת מול אשתקד'!J8</f>
        <v>3418785.9801152172</v>
      </c>
      <c r="E17" s="201">
        <f>'תפוקה מצטברת מול אשתקד'!K8</f>
        <v>7238176.0000000009</v>
      </c>
      <c r="F17" s="90">
        <f>'תפוקה מצטברת מול אשתקד'!D8</f>
        <v>-0.85736406610376648</v>
      </c>
      <c r="G17" s="47">
        <f>'תפוקה מצטברת מול אשתקד'!E8</f>
        <v>-0.25834772742094114</v>
      </c>
      <c r="H17" s="47">
        <f>'תפוקה מצטברת מול אשתקד'!F8</f>
        <v>-0.84705929350053655</v>
      </c>
      <c r="I17" s="49">
        <f>'תפוקה מצטברת מול אשתקד'!G8</f>
        <v>-0.85003467022424761</v>
      </c>
      <c r="J17" s="90">
        <f>'תפוקה מצטברת מול יעד מצטבר'!D8</f>
        <v>-0.94208587117973508</v>
      </c>
      <c r="K17" s="47">
        <f>'תפוקה מצטברת מול יעד מצטבר'!E8</f>
        <v>-0.66864900756897083</v>
      </c>
      <c r="L17" s="47">
        <f>'תפוקה מצטברת מול יעד מצטבר'!F8</f>
        <v>1.6298353693193977</v>
      </c>
      <c r="M17" s="49">
        <f>'תפוקה מצטברת מול יעד מצטבר'!G8</f>
        <v>4.5678276923076933</v>
      </c>
      <c r="N17" s="36"/>
      <c r="O17" s="19"/>
      <c r="P17" s="20"/>
      <c r="Q17" s="21"/>
      <c r="R17" s="22"/>
      <c r="S17" s="36"/>
      <c r="T17" s="36"/>
      <c r="U17" s="36"/>
    </row>
    <row r="18" spans="1:26" x14ac:dyDescent="0.25">
      <c r="A18" s="65" t="s">
        <v>59</v>
      </c>
      <c r="B18" s="52">
        <f>'תפוקה מצטברת מול אשתקד'!H21</f>
        <v>358596.72931479575</v>
      </c>
      <c r="C18" s="48">
        <f>'תפוקה מצטברת מול אשתקד'!I21</f>
        <v>276135.67093202623</v>
      </c>
      <c r="D18" s="48">
        <f>'תפוקה מצטברת מול אשתקד'!J21</f>
        <v>1343239.037</v>
      </c>
      <c r="E18" s="201">
        <f>'תפוקה מצטברת מול אשתקד'!K21</f>
        <v>399567.57</v>
      </c>
      <c r="F18" s="90">
        <f>'תפוקה מצטברת מול אשתקד'!D21</f>
        <v>-0.84720074323944605</v>
      </c>
      <c r="G18" s="47">
        <f>'תפוקה מצטברת מול אשתקד'!E21</f>
        <v>-0.56793628925443407</v>
      </c>
      <c r="H18" s="47">
        <f>'תפוקה מצטברת מול אשתקד'!F21</f>
        <v>-0.94158332148217261</v>
      </c>
      <c r="I18" s="49">
        <f>'תפוקה מצטברת מול אשתקד'!G21</f>
        <v>-0.97041888965969536</v>
      </c>
      <c r="J18" s="90">
        <f>'תפוקה מצטברת מול יעד מצטבר'!D21</f>
        <v>-0.95402606034425697</v>
      </c>
      <c r="K18" s="47">
        <f>'תפוקה מצטברת מול יעד מצטבר'!E21</f>
        <v>-0.89579786002565043</v>
      </c>
      <c r="L18" s="47">
        <f>'תפוקה מצטברת מול יעד מצטבר'!F21</f>
        <v>-0.97742455399999995</v>
      </c>
      <c r="M18" s="49">
        <f>'תפוקה מצטברת מול יעד מצטבר'!G21</f>
        <v>-0.86221807931034489</v>
      </c>
      <c r="N18" s="36"/>
      <c r="O18" s="85"/>
      <c r="P18" s="20"/>
      <c r="Q18" s="21"/>
      <c r="R18" s="22"/>
      <c r="S18" s="36"/>
      <c r="T18" s="36"/>
      <c r="U18" s="36"/>
    </row>
    <row r="19" spans="1:26" x14ac:dyDescent="0.25">
      <c r="A19" s="65" t="s">
        <v>60</v>
      </c>
      <c r="B19" s="52">
        <f>'תפוקה מצטברת מול אשתקד'!H71</f>
        <v>2258651.0239903331</v>
      </c>
      <c r="C19" s="48">
        <f>'תפוקה מצטברת מול אשתקד'!I71</f>
        <v>838553.69520821003</v>
      </c>
      <c r="D19" s="48">
        <f>'תפוקה מצטברת מול אשתקד'!J71</f>
        <v>6837571.9602304343</v>
      </c>
      <c r="E19" s="201">
        <f>'תפוקה מצטברת מול אשתקד'!K71</f>
        <v>14476352.000000002</v>
      </c>
      <c r="F19" s="90">
        <f>'תפוקה מצטברת מול אשתקד'!D71</f>
        <v>-0.85736406610376648</v>
      </c>
      <c r="G19" s="47">
        <f>'תפוקה מצטברת מול אשתקד'!E71</f>
        <v>-0.27811239448268454</v>
      </c>
      <c r="H19" s="47">
        <f>'תפוקה מצטברת מול אשתקד'!F71</f>
        <v>-0.84705929350053655</v>
      </c>
      <c r="I19" s="49">
        <f>'תפוקה מצטברת מול אשתקד'!G62</f>
        <v>-0.93504145339141898</v>
      </c>
      <c r="J19" s="90">
        <f>'תפוקה מצטברת מול יעד מצטבר'!D62</f>
        <v>-0.99979051772091154</v>
      </c>
      <c r="K19" s="47">
        <f>'תפוקה מצטברת מול יעד מצטבר'!E62</f>
        <v>-0.96506993744436187</v>
      </c>
      <c r="L19" s="47">
        <f>'תפוקה מצטברת מול יעד מצטבר'!F62</f>
        <v>-0.94214995690553571</v>
      </c>
      <c r="M19" s="49">
        <f>'תפוקה מצטברת מול יעד מצטבר'!G62</f>
        <v>-0.36267656701030926</v>
      </c>
      <c r="N19" s="36"/>
      <c r="O19" s="19"/>
      <c r="P19" s="20"/>
      <c r="Q19" s="21"/>
      <c r="R19" s="22"/>
      <c r="S19" s="36"/>
      <c r="T19" s="36"/>
      <c r="U19" s="36"/>
    </row>
    <row r="20" spans="1:26" x14ac:dyDescent="0.25">
      <c r="A20" s="198" t="s">
        <v>130</v>
      </c>
      <c r="B20" s="52">
        <f>'תפוקה מצטברת מול אשתקד'!H54</f>
        <v>613484.08655697154</v>
      </c>
      <c r="C20" s="48">
        <f>'תפוקה מצטברת מול אשתקד'!I54</f>
        <v>309510.89560572489</v>
      </c>
      <c r="D20" s="48">
        <f>'תפוקה מצטברת מול אשתקד'!J54</f>
        <v>1910393.6743805583</v>
      </c>
      <c r="E20" s="201">
        <f>'תפוקה מצטברת מול אשתקד'!K54</f>
        <v>2348418.4699999997</v>
      </c>
      <c r="F20" s="90">
        <f>'תפוקה מצטברת מול אשתקד'!D72</f>
        <v>-0.86443093113943759</v>
      </c>
      <c r="G20" s="47">
        <f>'תפוקה מצטברת מול אשתקד'!E72</f>
        <v>-0.45917205907403413</v>
      </c>
      <c r="H20" s="47">
        <f>'תפוקה מצטברת מול אשתקד'!F72</f>
        <v>-0.86026621035718298</v>
      </c>
      <c r="I20" s="49">
        <f>'תפוקה מצטברת מול אשתקד'!G71</f>
        <v>-0.85003467022424761</v>
      </c>
      <c r="J20" s="90">
        <f>'תפוקה מצטברת מול יעד מצטבר'!D71</f>
        <v>-0.93182141382923911</v>
      </c>
      <c r="K20" s="47">
        <f>'תפוקה מצטברת מול יעד מצטבר'!E71</f>
        <v>-0.35495869599368457</v>
      </c>
      <c r="L20" s="47">
        <f>'תפוקה מצטברת מול יעד מצטבר'!F71</f>
        <v>-0.93744387749772273</v>
      </c>
      <c r="M20" s="49">
        <f>'תפוקה מצטברת מול יעד מצטבר'!G71</f>
        <v>3.4450864230769227</v>
      </c>
      <c r="N20" s="36"/>
      <c r="O20" s="19"/>
      <c r="P20" s="20"/>
      <c r="Q20" s="21"/>
      <c r="R20" s="22"/>
      <c r="S20" s="36"/>
      <c r="T20" s="36"/>
      <c r="U20" s="36"/>
    </row>
    <row r="21" spans="1:26" ht="15.75" thickBot="1" x14ac:dyDescent="0.3">
      <c r="A21" s="205" t="s">
        <v>131</v>
      </c>
      <c r="B21" s="182">
        <f>'תפוקה מצטברת מול אשתקד'!H62</f>
        <v>570943.95165559067</v>
      </c>
      <c r="C21" s="181">
        <f>'תפוקה מצטברת מול אשתקד'!I62</f>
        <v>33882.160678968969</v>
      </c>
      <c r="D21" s="181">
        <f>'תפוקה מצטברת מול אשתקד'!J62</f>
        <v>1619801.206645</v>
      </c>
      <c r="E21" s="202">
        <f>'תפוקה מצטברת מול אשתקד'!K62</f>
        <v>618203.73</v>
      </c>
      <c r="F21" s="91">
        <f>'תפוקה מצטברת מול אשתקד'!D73</f>
        <v>0</v>
      </c>
      <c r="G21" s="45">
        <f>'תפוקה מצטברת מול אשתקד'!E73</f>
        <v>0</v>
      </c>
      <c r="H21" s="45">
        <f>'תפוקה מצטברת מול אשתקד'!F73</f>
        <v>0</v>
      </c>
      <c r="I21" s="83">
        <f>'תפוקה מצטברת מול אשתקד'!G72</f>
        <v>-0.87410193071946907</v>
      </c>
      <c r="J21" s="91">
        <f>'תפוקה מצטברת מול יעד מצטבר'!D72</f>
        <v>-0.99825124622383055</v>
      </c>
      <c r="K21" s="45">
        <f>'תפוקה מצטברת מול יעד מצטבר'!E72</f>
        <v>-0.72326072592968038</v>
      </c>
      <c r="L21" s="45">
        <f>'תפוקה מצטברת מול יעד מצטבר'!F72</f>
        <v>-0.90402295710310199</v>
      </c>
      <c r="M21" s="83">
        <f>'תפוקה מצטברת מול יעד מצטבר'!G72</f>
        <v>2.4022567601431986</v>
      </c>
      <c r="N21" s="36"/>
      <c r="O21" s="183"/>
      <c r="P21" s="184"/>
      <c r="Q21" s="191"/>
      <c r="R21" s="191"/>
      <c r="S21" s="36"/>
      <c r="T21" s="36"/>
      <c r="U21" s="36"/>
    </row>
    <row r="22" spans="1:26" ht="42.75" thickBot="1" x14ac:dyDescent="0.3">
      <c r="A22" s="79" t="s">
        <v>61</v>
      </c>
      <c r="B22" s="82">
        <f>SUM(B17:B21)</f>
        <v>4931001.3035128582</v>
      </c>
      <c r="C22" s="42">
        <f>SUM(C17:C21)</f>
        <v>1888838.7125852678</v>
      </c>
      <c r="D22" s="42">
        <f t="shared" ref="D22:E22" si="1">SUM(D17:D20)</f>
        <v>13509990.651726209</v>
      </c>
      <c r="E22" s="203">
        <f t="shared" si="1"/>
        <v>24462514.040000003</v>
      </c>
      <c r="F22" s="94">
        <f>'תפוקה מצטברת מול אשתקד'!D72</f>
        <v>-0.86443093113943759</v>
      </c>
      <c r="G22" s="43">
        <f>'תפוקה מצטברת מול אשתקד'!E72</f>
        <v>-0.45917205907403413</v>
      </c>
      <c r="H22" s="44">
        <f>'תפוקה מצטברת מול אשתקד'!F72</f>
        <v>-0.86026621035718298</v>
      </c>
      <c r="I22" s="206">
        <f>'תפוקה מצטברת מול יעד מצטבר'!D71</f>
        <v>-0.93182141382923911</v>
      </c>
      <c r="J22" s="207">
        <f>'תפוקה מצטברת מול יעד מצטבר'!D72</f>
        <v>-0.99825124622383055</v>
      </c>
      <c r="K22" s="207">
        <f>'תפוקה מצטברת מול יעד מצטבר'!E72</f>
        <v>-0.72326072592968038</v>
      </c>
      <c r="L22" s="207">
        <f>'תפוקה מצטברת מול יעד מצטבר'!F72</f>
        <v>-0.90402295710310199</v>
      </c>
      <c r="M22" s="206">
        <f>'תפוקה מצטברת מול יעד מצטבר'!G72</f>
        <v>2.4022567601431986</v>
      </c>
      <c r="N22" s="37"/>
      <c r="O22" s="37"/>
      <c r="P22" s="37"/>
      <c r="Q22" s="37"/>
      <c r="R22" s="37"/>
      <c r="S22" s="37"/>
      <c r="T22" s="37"/>
      <c r="U22" s="37"/>
    </row>
    <row r="23" spans="1:26" ht="18.75" x14ac:dyDescent="0.25">
      <c r="A23" s="38"/>
      <c r="B23" s="38"/>
      <c r="C23" s="38"/>
      <c r="D23" s="38"/>
      <c r="E23" s="38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</row>
    <row r="24" spans="1:26" ht="19.5" thickBot="1" x14ac:dyDescent="0.3">
      <c r="A24" s="38"/>
      <c r="B24" s="38"/>
      <c r="C24" s="38"/>
      <c r="D24" s="38"/>
      <c r="E24" s="38"/>
      <c r="F24" s="37"/>
      <c r="G24" s="37"/>
      <c r="H24" s="37"/>
      <c r="I24" s="37"/>
      <c r="J24" s="37"/>
      <c r="K24" s="37"/>
      <c r="L24" s="37"/>
      <c r="M24" s="37"/>
      <c r="N24" s="74"/>
      <c r="O24" s="74"/>
      <c r="P24" s="74"/>
      <c r="Q24" s="74"/>
      <c r="R24" s="74"/>
      <c r="S24" s="74"/>
      <c r="T24" s="74"/>
      <c r="U24" s="74"/>
    </row>
    <row r="25" spans="1:26" ht="48" thickBot="1" x14ac:dyDescent="0.3">
      <c r="A25" s="59" t="s">
        <v>87</v>
      </c>
      <c r="B25" s="61"/>
      <c r="C25" s="61"/>
      <c r="D25"/>
      <c r="E25"/>
      <c r="F25"/>
      <c r="G25"/>
      <c r="H25" s="62"/>
      <c r="I25" s="62"/>
      <c r="J25" s="62"/>
      <c r="K25" s="63"/>
      <c r="L25" s="63"/>
      <c r="M25" s="54"/>
      <c r="N25" s="75"/>
      <c r="O25" s="61"/>
      <c r="P25"/>
      <c r="Q25"/>
      <c r="R25"/>
      <c r="S25"/>
      <c r="T25"/>
      <c r="U25"/>
      <c r="V25"/>
      <c r="W25"/>
      <c r="X25"/>
      <c r="Y25"/>
      <c r="Z25"/>
    </row>
    <row r="26" spans="1:26" ht="24" customHeight="1" thickBot="1" x14ac:dyDescent="0.3">
      <c r="A26" s="243" t="s">
        <v>54</v>
      </c>
      <c r="B26" s="240" t="s">
        <v>124</v>
      </c>
      <c r="C26" s="241"/>
      <c r="D26" s="241"/>
      <c r="E26" s="242"/>
      <c r="F26" s="245" t="s">
        <v>52</v>
      </c>
      <c r="G26" s="246"/>
      <c r="H26" s="246"/>
      <c r="I26" s="247"/>
      <c r="J26" s="254" t="s">
        <v>74</v>
      </c>
      <c r="K26" s="255"/>
      <c r="L26" s="255"/>
      <c r="M26" s="255"/>
      <c r="N26" s="257" t="s">
        <v>125</v>
      </c>
      <c r="O26" s="258"/>
      <c r="P26" s="258"/>
      <c r="Q26" s="259"/>
      <c r="R26" s="251" t="s">
        <v>83</v>
      </c>
      <c r="S26" s="252"/>
      <c r="T26" s="252"/>
      <c r="U26" s="253"/>
    </row>
    <row r="27" spans="1:26" ht="32.25" thickBot="1" x14ac:dyDescent="0.3">
      <c r="A27" s="244"/>
      <c r="B27" s="80" t="s">
        <v>46</v>
      </c>
      <c r="C27" s="40" t="s">
        <v>47</v>
      </c>
      <c r="D27" s="40" t="s">
        <v>48</v>
      </c>
      <c r="E27" s="200" t="s">
        <v>49</v>
      </c>
      <c r="F27" s="93" t="s">
        <v>46</v>
      </c>
      <c r="G27" s="41" t="s">
        <v>50</v>
      </c>
      <c r="H27" s="87" t="s">
        <v>51</v>
      </c>
      <c r="I27" s="81" t="s">
        <v>97</v>
      </c>
      <c r="J27" s="128" t="s">
        <v>46</v>
      </c>
      <c r="K27" s="129" t="s">
        <v>50</v>
      </c>
      <c r="L27" s="129" t="s">
        <v>51</v>
      </c>
      <c r="M27" s="211" t="s">
        <v>49</v>
      </c>
      <c r="N27" s="215" t="s">
        <v>46</v>
      </c>
      <c r="O27" s="216" t="s">
        <v>50</v>
      </c>
      <c r="P27" s="216" t="s">
        <v>48</v>
      </c>
      <c r="Q27" s="217" t="s">
        <v>97</v>
      </c>
      <c r="R27" s="78" t="s">
        <v>46</v>
      </c>
      <c r="S27" s="78" t="s">
        <v>50</v>
      </c>
      <c r="T27" s="155" t="s">
        <v>48</v>
      </c>
      <c r="U27" s="156" t="s">
        <v>97</v>
      </c>
    </row>
    <row r="28" spans="1:26" ht="21.75" customHeight="1" x14ac:dyDescent="0.25">
      <c r="A28" s="209" t="s">
        <v>56</v>
      </c>
      <c r="B28" s="52">
        <f>SUMIF('תפוקה מצטברת מול אשתקד'!$B:$B,'דוח הנהלה'!A28,'תפוקה מצטברת מול אשתקד'!$H:$H)</f>
        <v>1177504.6493684396</v>
      </c>
      <c r="C28" s="52">
        <f>SUMIF('תפוקה מצטברת מול אשתקד'!$B:$B,'דוח הנהלה'!B28,'תפוקה מצטברת מול אשתקד'!$H:$H)</f>
        <v>0</v>
      </c>
      <c r="D28" s="52">
        <f>SUMIF('תפוקה מצטברת מול אשתקד'!$B:$B,'דוח הנהלה'!C28,'תפוקה מצטברת מול אשתקד'!$H:$H)</f>
        <v>0</v>
      </c>
      <c r="E28" s="52">
        <f>SUMIF('תפוקה מצטברת מול אשתקד'!$B:$B,'דוח הנהלה'!D28,'תפוקה מצטברת מול אשתקד'!$H:$H)</f>
        <v>0</v>
      </c>
      <c r="F28" s="90">
        <f t="shared" ref="F28:G30" si="2">(B28-N28)/N28</f>
        <v>-0.91029111700011012</v>
      </c>
      <c r="G28" s="47">
        <f>(C28-O28)/O28</f>
        <v>-1</v>
      </c>
      <c r="H28" s="47" t="e">
        <f t="shared" ref="H28:I30" si="3">(D28-P28)/P28</f>
        <v>#DIV/0!</v>
      </c>
      <c r="I28" s="49" t="e">
        <f t="shared" si="3"/>
        <v>#DIV/0!</v>
      </c>
      <c r="J28" s="90" t="e">
        <f t="shared" ref="J28:M32" si="4">(B28-R28)/R28</f>
        <v>#VALUE!</v>
      </c>
      <c r="K28" s="47" t="e">
        <f>(C28-S28)/S28</f>
        <v>#VALUE!</v>
      </c>
      <c r="L28" s="47" t="e">
        <f t="shared" si="4"/>
        <v>#VALUE!</v>
      </c>
      <c r="M28" s="88" t="e">
        <f t="shared" si="4"/>
        <v>#VALUE!</v>
      </c>
      <c r="N28" s="76">
        <f>SUMIF('תפוקה מצטברת מול אשתקד'!$B:$B,'דוח הנהלה'!A28,'תפוקה מצטברת מול אשתקד'!$L:$L)</f>
        <v>13125842.279965565</v>
      </c>
      <c r="O28" s="76">
        <f>SUMIF('תפוקה מצטברת מול אשתקד'!$B:$B,'דוח הנהלה'!A28,'תפוקה מצטברת מול אשתקד'!$I:$I)</f>
        <v>1146188.7408139349</v>
      </c>
      <c r="P28" s="76"/>
      <c r="Q28" s="76"/>
      <c r="R28" s="76" t="e">
        <f>SUMIF([1]גיליון1!$B:$B,A28,[1]גיליון1!$I:$I)</f>
        <v>#VALUE!</v>
      </c>
      <c r="S28" s="76" t="e">
        <f>SUMIF([1]גיליון1!$B:$B,A28,[1]גיליון1!$J:$J)</f>
        <v>#VALUE!</v>
      </c>
      <c r="T28" s="76" t="e">
        <f>SUMIF([1]גיליון1!$B:$B,A28,[1]גיליון1!$K:$K)</f>
        <v>#VALUE!</v>
      </c>
      <c r="U28" s="76" t="e">
        <f>SUMIF([1]גיליון1!$B:$B,A28,[1]גיליון1!$L:$L)</f>
        <v>#VALUE!</v>
      </c>
    </row>
    <row r="29" spans="1:26" ht="15.75" x14ac:dyDescent="0.25">
      <c r="A29" s="209" t="s">
        <v>55</v>
      </c>
      <c r="B29" s="52">
        <f>SUMIF('תפוקה מצטברת מול אשתקד'!B:B,'דוח הנהלה'!A29,'תפוקה מצטברת מול אשתקד'!H:H)</f>
        <v>15497.41964</v>
      </c>
      <c r="C29" s="52">
        <f>SUMIF('תפוקה מצטברת מול אשתקד'!C:C,'דוח הנהלה'!B29,'תפוקה מצטברת מול אשתקד'!I:I)</f>
        <v>0</v>
      </c>
      <c r="D29" s="52"/>
      <c r="E29" s="52"/>
      <c r="F29" s="90">
        <f t="shared" si="2"/>
        <v>-0.67532249435021108</v>
      </c>
      <c r="G29" s="47" t="e">
        <f>(C29-O29)/O29</f>
        <v>#DIV/0!</v>
      </c>
      <c r="H29" s="47" t="e">
        <f t="shared" si="3"/>
        <v>#DIV/0!</v>
      </c>
      <c r="I29" s="49" t="e">
        <f t="shared" si="3"/>
        <v>#DIV/0!</v>
      </c>
      <c r="J29" s="90" t="e">
        <f t="shared" si="4"/>
        <v>#VALUE!</v>
      </c>
      <c r="K29" s="47" t="e">
        <f>(C29-S29)/S29</f>
        <v>#VALUE!</v>
      </c>
      <c r="L29" s="47" t="e">
        <f t="shared" si="4"/>
        <v>#VALUE!</v>
      </c>
      <c r="M29" s="88" t="e">
        <f t="shared" si="4"/>
        <v>#VALUE!</v>
      </c>
      <c r="N29" s="76">
        <f>SUMIF('תפוקה מצטברת מול אשתקד'!$B:$B,'דוח הנהלה'!A29,'תפוקה מצטברת מול אשתקד'!$L:$L)</f>
        <v>47731.731857999992</v>
      </c>
      <c r="O29" s="76">
        <f>SUMIF('תפוקה מצטברת מול אשתקד'!$B:$B,'דוח הנהלה'!A29,'תפוקה מצטברת מול אשתקד'!$I:$I)</f>
        <v>0</v>
      </c>
      <c r="P29" s="76">
        <f>SUMIF('תפוקה מצטברת מול אשתקד'!$B:$B,'דוח הנהלה'!C29,'תפוקה מצטברת מול אשתקד'!$L:$L)</f>
        <v>0</v>
      </c>
      <c r="Q29" s="76">
        <f>SUMIF('תפוקה מצטברת מול אשתקד'!$B:$B,'דוח הנהלה'!D29,'תפוקה מצטברת מול אשתקד'!$L:$L)</f>
        <v>0</v>
      </c>
      <c r="R29" s="76" t="e">
        <f>SUMIF([1]גיליון1!$B:$B,A29,[1]גיליון1!$I:$I)</f>
        <v>#VALUE!</v>
      </c>
      <c r="S29" s="76" t="e">
        <f>SUMIF([1]גיליון1!$B:$B,A29,[1]גיליון1!$J:$J)</f>
        <v>#VALUE!</v>
      </c>
      <c r="T29" s="76" t="e">
        <f>SUMIF([1]גיליון1!$B:$B,A29,[1]גיליון1!$K:$K)</f>
        <v>#VALUE!</v>
      </c>
      <c r="U29" s="76" t="e">
        <f>SUMIF([1]גיליון1!$B:$B,A29,[1]גיליון1!$L:$L)</f>
        <v>#VALUE!</v>
      </c>
    </row>
    <row r="30" spans="1:26" ht="15.75" x14ac:dyDescent="0.25">
      <c r="A30" s="209" t="s">
        <v>116</v>
      </c>
      <c r="B30" s="52">
        <f>SUMIF('תפוקה מצטברת מול אשתקד'!B:B,'דוח הנהלה'!A30,'תפוקה מצטברת מול אשתקד'!H:H)</f>
        <v>1487922.241309962</v>
      </c>
      <c r="C30" s="52">
        <f>SUMIF('תפוקה מצטברת מול אשתקד'!C:C,'דוח הנהלה'!B30,'תפוקה מצטברת מול אשתקד'!I:I)</f>
        <v>0</v>
      </c>
      <c r="D30" s="52"/>
      <c r="E30" s="52"/>
      <c r="F30" s="90">
        <f t="shared" si="2"/>
        <v>-0.86484558025536784</v>
      </c>
      <c r="G30" s="47">
        <f t="shared" si="2"/>
        <v>-1</v>
      </c>
      <c r="H30" s="47" t="e">
        <f t="shared" si="3"/>
        <v>#DIV/0!</v>
      </c>
      <c r="I30" s="49" t="e">
        <f t="shared" si="3"/>
        <v>#DIV/0!</v>
      </c>
      <c r="J30" s="90" t="e">
        <f t="shared" si="4"/>
        <v>#VALUE!</v>
      </c>
      <c r="K30" s="47" t="e">
        <f t="shared" si="4"/>
        <v>#VALUE!</v>
      </c>
      <c r="L30" s="47" t="e">
        <f t="shared" si="4"/>
        <v>#VALUE!</v>
      </c>
      <c r="M30" s="88" t="e">
        <f t="shared" si="4"/>
        <v>#VALUE!</v>
      </c>
      <c r="N30" s="76">
        <f>SUMIF('תפוקה מצטברת מול אשתקד'!$B:$B,'דוח הנהלה'!A30,'תפוקה מצטברת מול אשתקד'!$L:$L)</f>
        <v>11009053.52648711</v>
      </c>
      <c r="O30" s="76">
        <f>SUMIF('תפוקה מצטברת מול אשתקד'!$B:$B,'דוח הנהלה'!A30,'תפוקה מצטברת מול אשתקד'!$I:$I)</f>
        <v>708767.81109236414</v>
      </c>
      <c r="P30" s="76">
        <f>SUMIF('תפוקה מצטברת מול אשתקד'!$B:$B,'דוח הנהלה'!C30,'תפוקה מצטברת מול אשתקד'!$L:$L)</f>
        <v>0</v>
      </c>
      <c r="Q30" s="76">
        <f>SUMIF('תפוקה מצטברת מול אשתקד'!$B:$B,'דוח הנהלה'!D30,'תפוקה מצטברת מול אשתקד'!$L:$L)</f>
        <v>0</v>
      </c>
      <c r="R30" s="76" t="e">
        <f>SUMIF([1]גיליון1!$B:$B,A30,[1]גיליון1!$I:$I)</f>
        <v>#VALUE!</v>
      </c>
      <c r="S30" s="76" t="e">
        <f>SUMIF([1]גיליון1!$B:$B,A30,[1]גיליון1!$J:$J)</f>
        <v>#VALUE!</v>
      </c>
      <c r="T30" s="76" t="e">
        <f>SUMIF([1]גיליון1!$B:$B,A30,[1]גיליון1!$K:$K)</f>
        <v>#VALUE!</v>
      </c>
      <c r="U30" s="76" t="e">
        <f>SUMIF([1]גיליון1!$B:$B,A30,[1]גיליון1!$L:$L)</f>
        <v>#VALUE!</v>
      </c>
    </row>
    <row r="31" spans="1:26" ht="16.5" thickBot="1" x14ac:dyDescent="0.3">
      <c r="A31" s="209" t="s">
        <v>129</v>
      </c>
      <c r="B31" s="52">
        <f>SUMIF('תפוקה מצטברת מול אשתקד'!B:B,'דוח הנהלה'!A31,'תפוקה מצטברת מול אשתקד'!H:H)</f>
        <v>570943.95165559067</v>
      </c>
      <c r="C31" s="52">
        <f>SUMIF('תפוקה מצטברת מול אשתקד'!C:C,'דוח הנהלה'!B31,'תפוקה מצטברת מול אשתקד'!I:I)</f>
        <v>0</v>
      </c>
      <c r="D31" s="52"/>
      <c r="E31" s="52"/>
      <c r="F31" s="90">
        <f t="shared" ref="F31" si="5">(B31-N31)/N31</f>
        <v>-0.77015314610817687</v>
      </c>
      <c r="G31" s="47">
        <f t="shared" ref="G31" si="6">(C31-O31)/O31</f>
        <v>-1</v>
      </c>
      <c r="H31" s="47" t="e">
        <f t="shared" ref="H31" si="7">(D31-P31)/P31</f>
        <v>#DIV/0!</v>
      </c>
      <c r="I31" s="49" t="e">
        <f t="shared" ref="I31" si="8">(E31-Q31)/Q31</f>
        <v>#DIV/0!</v>
      </c>
      <c r="J31" s="90" t="e">
        <f t="shared" ref="J31" si="9">(B31-R31)/R31</f>
        <v>#VALUE!</v>
      </c>
      <c r="K31" s="47" t="e">
        <f t="shared" ref="K31" si="10">(C31-S31)/S31</f>
        <v>#VALUE!</v>
      </c>
      <c r="L31" s="47" t="e">
        <f t="shared" ref="L31" si="11">(D31-T31)/T31</f>
        <v>#VALUE!</v>
      </c>
      <c r="M31" s="88" t="e">
        <f t="shared" ref="M31" si="12">(E31-U31)/U31</f>
        <v>#VALUE!</v>
      </c>
      <c r="N31" s="76">
        <f>SUMIF('תפוקה מצטברת מול אשתקד'!$B:$B,'דוח הנהלה'!A31,'תפוקה מצטברת מול אשתקד'!$L:$L)</f>
        <v>2484018.9978162772</v>
      </c>
      <c r="O31" s="76">
        <f>SUMIF('תפוקה מצטברת מול אשתקד'!$B:$B,'דוח הנהלה'!A31,'תפוקה מצטברת מול אשתקד'!$I:$I)</f>
        <v>33882.160678968969</v>
      </c>
      <c r="P31" s="76">
        <f>SUMIF('תפוקה מצטברת מול אשתקד'!$B:$B,'דוח הנהלה'!C31,'תפוקה מצטברת מול אשתקד'!$L:$L)</f>
        <v>0</v>
      </c>
      <c r="Q31" s="76">
        <f>SUMIF('תפוקה מצטברת מול אשתקד'!$B:$B,'דוח הנהלה'!D31,'תפוקה מצטברת מול אשתקד'!$L:$L)</f>
        <v>0</v>
      </c>
      <c r="R31" s="76" t="e">
        <f>SUMIF([1]גיליון1!$B:$B,A31,[1]גיליון1!$I:$I)</f>
        <v>#VALUE!</v>
      </c>
      <c r="S31" s="76" t="e">
        <f>SUMIF([1]גיליון1!$B:$B,A31,[1]גיליון1!$J:$J)</f>
        <v>#VALUE!</v>
      </c>
      <c r="T31" s="76" t="e">
        <f>SUMIF([1]גיליון1!$B:$B,A31,[1]גיליון1!$K:$K)</f>
        <v>#VALUE!</v>
      </c>
      <c r="U31" s="76" t="e">
        <f>SUMIF([1]גיליון1!$B:$B,A31,[1]גיליון1!$L:$L)</f>
        <v>#VALUE!</v>
      </c>
    </row>
    <row r="32" spans="1:26" ht="21.75" thickBot="1" x14ac:dyDescent="0.3">
      <c r="A32" s="210"/>
      <c r="B32" s="82">
        <f>SUM(B28:B30)</f>
        <v>2680924.3103184015</v>
      </c>
      <c r="C32" s="42">
        <f>SUM(C28:C30)</f>
        <v>0</v>
      </c>
      <c r="D32" s="42">
        <f t="shared" ref="D32:E32" si="13">SUM(D28:D30)</f>
        <v>0</v>
      </c>
      <c r="E32" s="203">
        <f t="shared" si="13"/>
        <v>0</v>
      </c>
      <c r="F32" s="187">
        <f>(B32-N32)/N32</f>
        <v>-0.88913841946780925</v>
      </c>
      <c r="G32" s="130">
        <f>(C32-O32)/O32</f>
        <v>-1</v>
      </c>
      <c r="H32" s="131" t="e">
        <f>(D32-P32)/P32</f>
        <v>#DIV/0!</v>
      </c>
      <c r="I32" s="204" t="e">
        <f>(B32-R32)/R32</f>
        <v>#VALUE!</v>
      </c>
      <c r="J32" s="95" t="e">
        <f t="shared" si="4"/>
        <v>#VALUE!</v>
      </c>
      <c r="K32" s="96" t="e">
        <f t="shared" si="4"/>
        <v>#VALUE!</v>
      </c>
      <c r="L32" s="97" t="e">
        <f t="shared" si="4"/>
        <v>#VALUE!</v>
      </c>
      <c r="M32" s="131" t="e">
        <f t="shared" si="4"/>
        <v>#VALUE!</v>
      </c>
      <c r="N32" s="212">
        <f>SUM(N28:N30)</f>
        <v>24182627.538310677</v>
      </c>
      <c r="O32" s="213">
        <f>SUM(O28:O31)</f>
        <v>1888838.7125852681</v>
      </c>
      <c r="P32" s="213">
        <f t="shared" ref="P32:U32" si="14">SUM(P28:P30)</f>
        <v>0</v>
      </c>
      <c r="Q32" s="214">
        <f t="shared" si="14"/>
        <v>0</v>
      </c>
      <c r="R32" s="190" t="e">
        <f t="shared" si="14"/>
        <v>#VALUE!</v>
      </c>
      <c r="S32" s="188" t="e">
        <f t="shared" si="14"/>
        <v>#VALUE!</v>
      </c>
      <c r="T32" s="189" t="e">
        <f t="shared" si="14"/>
        <v>#VALUE!</v>
      </c>
      <c r="U32" s="190" t="e">
        <f t="shared" si="14"/>
        <v>#VALUE!</v>
      </c>
    </row>
    <row r="33" spans="1:26" x14ac:dyDescent="0.25">
      <c r="N33" s="77"/>
      <c r="O33" s="77"/>
      <c r="P33" s="77"/>
      <c r="Q33" s="77"/>
      <c r="R33" s="77"/>
      <c r="S33" s="77"/>
      <c r="T33" s="77"/>
      <c r="U33" s="77"/>
    </row>
    <row r="34" spans="1:26" x14ac:dyDescent="0.25">
      <c r="N34" s="77"/>
      <c r="O34" s="77"/>
      <c r="P34" s="77"/>
      <c r="Q34" s="77"/>
      <c r="R34" s="77"/>
      <c r="S34" s="77"/>
      <c r="T34" s="77"/>
      <c r="U34" s="77"/>
    </row>
    <row r="35" spans="1:26" ht="15.75" thickBot="1" x14ac:dyDescent="0.3">
      <c r="N35" s="77"/>
      <c r="O35" s="77"/>
      <c r="P35" s="77"/>
      <c r="Q35" s="77"/>
      <c r="R35" s="77"/>
      <c r="S35" s="77"/>
      <c r="T35" s="77"/>
      <c r="U35" s="77"/>
    </row>
    <row r="36" spans="1:26" ht="48" thickBot="1" x14ac:dyDescent="0.3">
      <c r="A36" s="146" t="s">
        <v>88</v>
      </c>
      <c r="B36" s="61"/>
      <c r="C36" s="61"/>
      <c r="D36"/>
      <c r="E36"/>
      <c r="F36"/>
      <c r="G36"/>
      <c r="H36" s="62"/>
      <c r="I36" s="62"/>
      <c r="J36" s="62"/>
      <c r="K36" s="63"/>
      <c r="L36" s="63"/>
      <c r="M36" s="54"/>
      <c r="N36" s="54"/>
      <c r="O36" s="55"/>
      <c r="P36"/>
      <c r="Q36"/>
      <c r="R36"/>
      <c r="S36"/>
      <c r="T36"/>
      <c r="U36"/>
      <c r="V36"/>
      <c r="W36"/>
      <c r="X36"/>
      <c r="Y36"/>
      <c r="Z36"/>
    </row>
    <row r="37" spans="1:26" ht="21.6" customHeight="1" thickBot="1" x14ac:dyDescent="0.3">
      <c r="A37" s="238" t="s">
        <v>57</v>
      </c>
      <c r="B37" s="240" t="s">
        <v>124</v>
      </c>
      <c r="C37" s="241"/>
      <c r="D37" s="241"/>
      <c r="E37" s="242"/>
      <c r="F37" s="245" t="s">
        <v>52</v>
      </c>
      <c r="G37" s="246"/>
      <c r="H37" s="246"/>
      <c r="I37" s="247"/>
    </row>
    <row r="38" spans="1:26" ht="32.25" thickBot="1" x14ac:dyDescent="0.3">
      <c r="A38" s="239"/>
      <c r="B38" s="80" t="s">
        <v>46</v>
      </c>
      <c r="C38" s="40" t="s">
        <v>47</v>
      </c>
      <c r="D38" s="40" t="s">
        <v>48</v>
      </c>
      <c r="E38" s="92" t="s">
        <v>49</v>
      </c>
      <c r="F38" s="84" t="s">
        <v>46</v>
      </c>
      <c r="G38" s="84" t="s">
        <v>50</v>
      </c>
      <c r="H38" s="84" t="s">
        <v>51</v>
      </c>
      <c r="I38" s="84" t="s">
        <v>49</v>
      </c>
    </row>
    <row r="39" spans="1:26" x14ac:dyDescent="0.25">
      <c r="A39" s="64" t="s">
        <v>64</v>
      </c>
      <c r="B39" s="51">
        <f>מנורה!D72</f>
        <v>715891.55010899249</v>
      </c>
      <c r="C39" s="51">
        <f>מנורה!E72</f>
        <v>73695.034525267867</v>
      </c>
      <c r="D39" s="51">
        <f>מנורה!F72</f>
        <v>759970.82927077555</v>
      </c>
      <c r="E39" s="51">
        <f>מנורה!G72</f>
        <v>0</v>
      </c>
      <c r="F39" s="46">
        <f>מנורה!D72/מנורה!H72-1</f>
        <v>0.13451984841561471</v>
      </c>
      <c r="G39" s="46">
        <f>מנורה!E72/מנורה!I72-1</f>
        <v>0.56839112124175517</v>
      </c>
      <c r="H39" s="46">
        <f>מנורה!F72/מנורה!J72-1</f>
        <v>-0.79874432705208287</v>
      </c>
      <c r="I39" s="46">
        <f>מנורה!G72/מנורה!K72-1</f>
        <v>-1</v>
      </c>
    </row>
    <row r="40" spans="1:26" x14ac:dyDescent="0.25">
      <c r="A40" s="65" t="s">
        <v>65</v>
      </c>
      <c r="B40" s="52">
        <f>מגדל!D72</f>
        <v>1315337.75</v>
      </c>
      <c r="C40" s="52">
        <f>מגדל!E72</f>
        <v>118705.90999999999</v>
      </c>
      <c r="D40" s="52">
        <f>מגדל!F72</f>
        <v>4124762.59</v>
      </c>
      <c r="E40" s="52">
        <f>מגדל!G72</f>
        <v>9525266.9600000009</v>
      </c>
      <c r="F40" s="47">
        <f>מגדל!D72/מגדל!H72-1</f>
        <v>-0.92899604338905939</v>
      </c>
      <c r="G40" s="47">
        <f>מגדל!E72/מגדל!I72-1</f>
        <v>-0.88424931156634456</v>
      </c>
      <c r="H40" s="47">
        <f>מגדל!F72/מגדל!J72-1</f>
        <v>-0.92876154018810209</v>
      </c>
      <c r="I40" s="46">
        <f>מגדל!G72/מגדל!K72-1</f>
        <v>-0.91654563304363568</v>
      </c>
    </row>
    <row r="41" spans="1:26" x14ac:dyDescent="0.25">
      <c r="A41" s="65" t="s">
        <v>66</v>
      </c>
      <c r="B41" s="52">
        <f>כלל!D72</f>
        <v>614276.76</v>
      </c>
      <c r="C41" s="52">
        <f>כלל!E72</f>
        <v>158927.32600000003</v>
      </c>
      <c r="D41" s="52">
        <f>כלל!F72</f>
        <v>2474449.64</v>
      </c>
      <c r="E41" s="52">
        <f>כלל!G72</f>
        <v>4995148.83</v>
      </c>
      <c r="F41" s="47">
        <f>כלל!D72/כלל!H72-1</f>
        <v>-0.23934365963071935</v>
      </c>
      <c r="G41" s="47">
        <f>כלל!E72/כלל!I72-1</f>
        <v>-3.5103592354649549E-2</v>
      </c>
      <c r="H41" s="47">
        <f>כלל!F72/כלל!J72-1</f>
        <v>0.47913561584295117</v>
      </c>
      <c r="I41" s="46" t="e">
        <f>מגדל!G73/מגדל!K73-1</f>
        <v>#DIV/0!</v>
      </c>
    </row>
    <row r="42" spans="1:26" x14ac:dyDescent="0.25">
      <c r="A42" s="65" t="s">
        <v>67</v>
      </c>
      <c r="B42" s="52">
        <f>'אלטשולר שחם'!D72</f>
        <v>0</v>
      </c>
      <c r="C42" s="52">
        <f>'אלטשולר שחם'!E72</f>
        <v>0</v>
      </c>
      <c r="D42" s="52">
        <f>'אלטשולר שחם'!F72</f>
        <v>0</v>
      </c>
      <c r="E42" s="52">
        <f>'אלטשולר שחם'!G72</f>
        <v>0</v>
      </c>
      <c r="F42" s="47" t="e">
        <f>'אלטשולר שחם'!D72/'אלטשולר שחם'!H72-1</f>
        <v>#DIV/0!</v>
      </c>
      <c r="G42" s="47">
        <v>0</v>
      </c>
      <c r="H42" s="47">
        <f>'אלטשולר שחם'!F72/'אלטשולר שחם'!J72-1</f>
        <v>-1</v>
      </c>
      <c r="I42" s="46">
        <v>0</v>
      </c>
    </row>
    <row r="43" spans="1:26" x14ac:dyDescent="0.25">
      <c r="A43" s="65" t="s">
        <v>68</v>
      </c>
      <c r="B43" s="52">
        <f>מור!D72</f>
        <v>0</v>
      </c>
      <c r="C43" s="52">
        <f>מור!E72</f>
        <v>0</v>
      </c>
      <c r="D43" s="52">
        <f>מור!F72</f>
        <v>344469</v>
      </c>
      <c r="E43" s="52">
        <f>מור!G72</f>
        <v>0</v>
      </c>
      <c r="F43" s="47">
        <v>0</v>
      </c>
      <c r="G43" s="47">
        <v>0</v>
      </c>
      <c r="H43" s="47">
        <f>מור!F72/מור!J72-1</f>
        <v>-0.96659621787563244</v>
      </c>
      <c r="I43" s="46">
        <v>0</v>
      </c>
    </row>
    <row r="44" spans="1:26" x14ac:dyDescent="0.25">
      <c r="A44" s="65" t="s">
        <v>69</v>
      </c>
      <c r="B44" s="52">
        <f>הראל!D72</f>
        <v>410818.21894499997</v>
      </c>
      <c r="C44" s="52">
        <f>הראל!E72</f>
        <v>107147.87718499998</v>
      </c>
      <c r="D44" s="52">
        <f>הראל!F72</f>
        <v>630744.50523499993</v>
      </c>
      <c r="E44" s="52">
        <f>הראל!G72</f>
        <v>0</v>
      </c>
      <c r="F44" s="47">
        <f>הראל!D72/הראל!H72-1</f>
        <v>-0.89478666018006248</v>
      </c>
      <c r="G44" s="47">
        <f>הראל!E72/הראל!I72-1</f>
        <v>-0.92976682050952475</v>
      </c>
      <c r="H44" s="47">
        <f>הראל!F72/הראל!J72-1</f>
        <v>-0.70629892146599682</v>
      </c>
      <c r="I44" s="46">
        <f>הראל!G72/הראל!K72-1</f>
        <v>-1</v>
      </c>
    </row>
    <row r="45" spans="1:26" x14ac:dyDescent="0.25">
      <c r="A45" s="65" t="s">
        <v>70</v>
      </c>
      <c r="B45" s="52">
        <f>הפניקס!D72</f>
        <v>189287.03292</v>
      </c>
      <c r="C45" s="52">
        <f>הפניקס!E72</f>
        <v>1314115.3248749999</v>
      </c>
      <c r="D45" s="52">
        <f>הפניקס!F72</f>
        <v>1039952.49</v>
      </c>
      <c r="E45" s="52">
        <f>הפניקס!G72</f>
        <v>101779</v>
      </c>
      <c r="F45" s="47">
        <f>הפניקס!D72/הפניקס!H72-1</f>
        <v>-0.93236377069327625</v>
      </c>
      <c r="G45" s="47">
        <f>הפניקס!E72/הפניקס!I72-1</f>
        <v>2.8874347777749865</v>
      </c>
      <c r="H45" s="47">
        <f>הפניקס!F72/הפניקס!J72-1</f>
        <v>-0.92922703616393687</v>
      </c>
      <c r="I45" s="46">
        <f>הפניקס!G72/הפניקס!K72-1</f>
        <v>-0.99037849344331086</v>
      </c>
    </row>
    <row r="46" spans="1:26" x14ac:dyDescent="0.25">
      <c r="A46" s="65" t="s">
        <v>71</v>
      </c>
      <c r="B46" s="52">
        <f>איילון!D72</f>
        <v>0</v>
      </c>
      <c r="C46" s="52">
        <f>איילון!E72</f>
        <v>64133.56</v>
      </c>
      <c r="D46" s="52">
        <f>איילון!F72</f>
        <v>0</v>
      </c>
      <c r="E46" s="52">
        <f>איילון!G72</f>
        <v>0</v>
      </c>
      <c r="F46" s="47">
        <v>1</v>
      </c>
      <c r="G46" s="47">
        <f>איילון!E72/איילון!I72-1</f>
        <v>0.19949666205697492</v>
      </c>
      <c r="H46" s="47">
        <v>0</v>
      </c>
      <c r="I46" s="46">
        <v>0</v>
      </c>
    </row>
    <row r="47" spans="1:26" x14ac:dyDescent="0.25">
      <c r="A47" s="165" t="s">
        <v>72</v>
      </c>
      <c r="B47" s="48">
        <f>הכשרה!D72</f>
        <v>6186.95</v>
      </c>
      <c r="C47" s="48">
        <f>הכשרה!E72</f>
        <v>20332.21</v>
      </c>
      <c r="D47" s="48">
        <f>הכשרה!F72</f>
        <v>0</v>
      </c>
      <c r="E47" s="48">
        <f>הכשרה!G72</f>
        <v>1760783.33</v>
      </c>
      <c r="F47" s="47">
        <v>0</v>
      </c>
      <c r="G47" s="47">
        <f>הכשרה!E72/הכשרה!I72-1</f>
        <v>0.88069651281102579</v>
      </c>
      <c r="H47" s="47">
        <v>1</v>
      </c>
      <c r="I47" s="47">
        <v>0</v>
      </c>
    </row>
    <row r="48" spans="1:26" x14ac:dyDescent="0.25">
      <c r="A48" s="165" t="s">
        <v>118</v>
      </c>
      <c r="B48" s="48">
        <f>'מדיהו '!D72</f>
        <v>0</v>
      </c>
      <c r="C48" s="48">
        <f>'מדיהו '!E72</f>
        <v>2157</v>
      </c>
      <c r="D48" s="48">
        <f>'מדיהו '!F72</f>
        <v>0</v>
      </c>
      <c r="E48" s="50">
        <f>'מדיהו '!G72</f>
        <v>0</v>
      </c>
      <c r="F48" s="47">
        <v>0</v>
      </c>
      <c r="G48" s="47" t="e">
        <f>'מדיהו '!E72/'מדיהו '!I72-1</f>
        <v>#DIV/0!</v>
      </c>
      <c r="H48" s="47" t="s">
        <v>122</v>
      </c>
      <c r="I48" s="47">
        <v>0</v>
      </c>
    </row>
    <row r="49" spans="1:9" x14ac:dyDescent="0.25">
      <c r="A49" s="165" t="s">
        <v>119</v>
      </c>
      <c r="B49" s="48">
        <f>'אנליסט '!D72</f>
        <v>0</v>
      </c>
      <c r="C49" s="48">
        <f>'אנליסט '!E72</f>
        <v>0</v>
      </c>
      <c r="D49" s="48">
        <f>'אנליסט '!F72</f>
        <v>2076955.03</v>
      </c>
      <c r="E49" s="48">
        <f>'אנליסט '!G72</f>
        <v>0</v>
      </c>
      <c r="F49" s="47">
        <v>0</v>
      </c>
      <c r="G49" s="47">
        <v>0</v>
      </c>
      <c r="H49" s="47">
        <v>0</v>
      </c>
      <c r="I49" s="47">
        <v>0</v>
      </c>
    </row>
    <row r="50" spans="1:9" x14ac:dyDescent="0.25">
      <c r="A50" s="165" t="s">
        <v>120</v>
      </c>
      <c r="B50" s="48">
        <f>'מיטב דש'!D72</f>
        <v>70</v>
      </c>
      <c r="C50" s="48">
        <f>'מיטב דש'!E72</f>
        <v>0</v>
      </c>
      <c r="D50" s="48">
        <f>'מיטב דש'!F72</f>
        <v>0</v>
      </c>
      <c r="E50" s="48">
        <f>'מיטב דש'!G72</f>
        <v>0</v>
      </c>
      <c r="F50" s="47">
        <v>0</v>
      </c>
      <c r="G50" s="47">
        <v>0</v>
      </c>
      <c r="H50" s="47">
        <v>0</v>
      </c>
      <c r="I50" s="47">
        <v>0</v>
      </c>
    </row>
    <row r="51" spans="1:9" x14ac:dyDescent="0.25">
      <c r="A51" s="165" t="s">
        <v>121</v>
      </c>
      <c r="B51" s="48">
        <f>אינפניטי!D72</f>
        <v>0</v>
      </c>
      <c r="C51" s="48">
        <f>אינפניטי!E72</f>
        <v>0</v>
      </c>
      <c r="D51" s="48">
        <f>אינפניטי!F72</f>
        <v>0</v>
      </c>
      <c r="E51" s="48">
        <f>אינפניטי!G72</f>
        <v>0</v>
      </c>
      <c r="F51" s="47">
        <v>0</v>
      </c>
      <c r="G51" s="47">
        <v>0</v>
      </c>
      <c r="H51" s="47">
        <v>0</v>
      </c>
      <c r="I51" s="47">
        <v>0</v>
      </c>
    </row>
    <row r="52" spans="1:9" ht="21.75" thickBot="1" x14ac:dyDescent="0.3">
      <c r="A52" s="160" t="s">
        <v>73</v>
      </c>
      <c r="B52" s="161">
        <f>SUM(B39:B47)</f>
        <v>3251798.2619739925</v>
      </c>
      <c r="C52" s="162">
        <f t="shared" ref="C52:D52" si="15">SUM(C39:C47)</f>
        <v>1857057.2425852679</v>
      </c>
      <c r="D52" s="162">
        <f t="shared" si="15"/>
        <v>9374349.0545057748</v>
      </c>
      <c r="E52" s="163">
        <f>SUM(E39:E47)</f>
        <v>16382978.120000001</v>
      </c>
      <c r="F52" s="164">
        <f>('תפוקה מצטברת מול אשתקד'!H72-'תפוקה מצטברת מול אשתקד'!L72)/'תפוקה מצטברת מול אשתקד'!L72</f>
        <v>-0.8644309311394377</v>
      </c>
      <c r="G52" s="164">
        <f>('תפוקה מצטברת מול אשתקד'!I72-'תפוקה מצטברת מול אשתקד'!M72)/'תפוקה מצטברת מול אשתקד'!M72</f>
        <v>-0.45917205907403419</v>
      </c>
      <c r="H52" s="164">
        <f>('תפוקה מצטברת מול אשתקד'!J72-'תפוקה מצטברת מול אשתקד'!N72)/'תפוקה מצטברת מול אשתקד'!N72</f>
        <v>-0.86026621035718298</v>
      </c>
      <c r="I52" s="164">
        <f>('תפוקה מצטברת מול אשתקד'!K72-'תפוקה מצטברת מול אשתקד'!O72)/'תפוקה מצטברת מול אשתקד'!O72</f>
        <v>-0.87410193071946907</v>
      </c>
    </row>
  </sheetData>
  <mergeCells count="16">
    <mergeCell ref="R26:U26"/>
    <mergeCell ref="J15:M15"/>
    <mergeCell ref="F15:I15"/>
    <mergeCell ref="J26:M26"/>
    <mergeCell ref="N26:Q26"/>
    <mergeCell ref="A3:A4"/>
    <mergeCell ref="B3:E3"/>
    <mergeCell ref="A15:A16"/>
    <mergeCell ref="B15:E15"/>
    <mergeCell ref="F3:I3"/>
    <mergeCell ref="A37:A38"/>
    <mergeCell ref="B37:E37"/>
    <mergeCell ref="A26:A27"/>
    <mergeCell ref="B26:E26"/>
    <mergeCell ref="F26:I26"/>
    <mergeCell ref="F37:I37"/>
  </mergeCells>
  <conditionalFormatting sqref="F39:I51">
    <cfRule type="cellIs" dxfId="299" priority="3" operator="lessThan">
      <formula>-0.0001</formula>
    </cfRule>
    <cfRule type="cellIs" dxfId="298" priority="4" operator="greaterThan">
      <formula>0.1</formula>
    </cfRule>
  </conditionalFormatting>
  <conditionalFormatting sqref="F5:J9">
    <cfRule type="cellIs" dxfId="297" priority="25" operator="lessThan">
      <formula>-0.0001</formula>
    </cfRule>
    <cfRule type="cellIs" dxfId="296" priority="26" operator="greaterThan">
      <formula>0.1</formula>
    </cfRule>
  </conditionalFormatting>
  <conditionalFormatting sqref="F17:M21">
    <cfRule type="cellIs" dxfId="295" priority="29" operator="lessThan">
      <formula>-0.0001</formula>
    </cfRule>
    <cfRule type="cellIs" dxfId="294" priority="30" operator="greaterThan">
      <formula>0.1</formula>
    </cfRule>
  </conditionalFormatting>
  <conditionalFormatting sqref="F28:M31">
    <cfRule type="cellIs" dxfId="293" priority="1" operator="lessThan">
      <formula>-0.0001</formula>
    </cfRule>
    <cfRule type="cellIs" dxfId="292" priority="2" operator="greaterThan">
      <formula>0.1</formula>
    </cfRule>
  </conditionalFormatting>
  <conditionalFormatting sqref="P4:P9">
    <cfRule type="cellIs" dxfId="291" priority="5" operator="lessThan">
      <formula>-0.0001</formula>
    </cfRule>
    <cfRule type="cellIs" dxfId="290" priority="6" operator="greaterThan">
      <formula>0.1</formula>
    </cfRule>
  </conditionalFormatting>
  <conditionalFormatting sqref="P16:P21">
    <cfRule type="cellIs" dxfId="289" priority="13" operator="lessThan">
      <formula>-0.0001</formula>
    </cfRule>
    <cfRule type="cellIs" dxfId="288" priority="14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721E-4C57-46C7-85BA-332EA5413B68}">
  <sheetPr>
    <tabColor theme="4" tint="0.39997558519241921"/>
  </sheetPr>
  <dimension ref="A1:R78"/>
  <sheetViews>
    <sheetView rightToLeft="1" workbookViewId="0">
      <selection activeCell="I8" activeCellId="4" sqref="I71 I62 I54 I21 I8"/>
    </sheetView>
  </sheetViews>
  <sheetFormatPr defaultColWidth="27.7109375" defaultRowHeight="15.75" customHeight="1" x14ac:dyDescent="0.25"/>
  <cols>
    <col min="1" max="1" width="30" style="108" bestFit="1" customWidth="1"/>
    <col min="2" max="2" width="11.42578125" style="4" bestFit="1" customWidth="1"/>
    <col min="3" max="3" width="11.7109375" style="4" bestFit="1" customWidth="1"/>
    <col min="4" max="4" width="12.28515625" style="3" bestFit="1" customWidth="1"/>
    <col min="5" max="5" width="12.5703125" style="3" bestFit="1" customWidth="1"/>
    <col min="6" max="6" width="13.42578125" style="3" bestFit="1" customWidth="1"/>
    <col min="7" max="7" width="15.5703125" style="3" bestFit="1" customWidth="1"/>
    <col min="8" max="9" width="15.28515625" style="3" bestFit="1" customWidth="1"/>
    <col min="10" max="12" width="16.85546875" style="3" bestFit="1" customWidth="1"/>
    <col min="13" max="13" width="15.28515625" style="3" bestFit="1" customWidth="1"/>
    <col min="14" max="15" width="18.5703125" style="3" bestFit="1" customWidth="1"/>
    <col min="16" max="16384" width="27.7109375" style="3"/>
  </cols>
  <sheetData>
    <row r="1" spans="1:16" ht="15.75" customHeight="1" x14ac:dyDescent="0.25">
      <c r="A1" s="27"/>
      <c r="B1" s="27"/>
      <c r="C1" s="27"/>
      <c r="D1" s="263" t="s">
        <v>52</v>
      </c>
      <c r="E1" s="263"/>
      <c r="F1" s="263"/>
      <c r="G1" s="117"/>
      <c r="H1" s="260" t="s">
        <v>126</v>
      </c>
      <c r="I1" s="261"/>
      <c r="J1" s="261"/>
      <c r="K1" s="262"/>
      <c r="L1" s="264" t="s">
        <v>125</v>
      </c>
      <c r="M1" s="265"/>
      <c r="N1" s="265"/>
      <c r="O1" s="265"/>
    </row>
    <row r="2" spans="1:16" ht="15.75" customHeight="1" x14ac:dyDescent="0.25">
      <c r="A2" s="11" t="s">
        <v>0</v>
      </c>
      <c r="B2" s="24" t="s">
        <v>53</v>
      </c>
      <c r="C2" s="24" t="s">
        <v>117</v>
      </c>
      <c r="D2" s="25" t="s">
        <v>46</v>
      </c>
      <c r="E2" s="25" t="s">
        <v>50</v>
      </c>
      <c r="F2" s="25" t="s">
        <v>51</v>
      </c>
      <c r="G2" s="25" t="s">
        <v>49</v>
      </c>
      <c r="H2" s="26" t="s">
        <v>46</v>
      </c>
      <c r="I2" s="26" t="s">
        <v>50</v>
      </c>
      <c r="J2" s="26" t="s">
        <v>48</v>
      </c>
      <c r="K2" s="26" t="s">
        <v>49</v>
      </c>
      <c r="L2" s="30" t="s">
        <v>46</v>
      </c>
      <c r="M2" s="30" t="s">
        <v>47</v>
      </c>
      <c r="N2" s="30" t="s">
        <v>48</v>
      </c>
      <c r="O2" s="30" t="s">
        <v>97</v>
      </c>
      <c r="P2" s="5"/>
    </row>
    <row r="3" spans="1:16" ht="15.75" customHeight="1" x14ac:dyDescent="0.25">
      <c r="A3" s="27" t="s">
        <v>1</v>
      </c>
      <c r="B3" s="27" t="s">
        <v>116</v>
      </c>
      <c r="C3" s="27" t="s">
        <v>58</v>
      </c>
      <c r="D3" s="20">
        <f>IF(H3=0,0%,IF(L3=0,100%,H3/L3-1))</f>
        <v>-0.81703052488231953</v>
      </c>
      <c r="E3" s="20">
        <f>IF(I3=0,0%,IF(M3=0,100%,I3/M3-1))</f>
        <v>-0.71514745042009487</v>
      </c>
      <c r="F3" s="20">
        <f>IF(J3=0,0%,IF(N3=G28,100%,J3/N3-1))</f>
        <v>-0.66415457263048439</v>
      </c>
      <c r="G3" s="20">
        <f>IF(K3=0,0%,IF(O3=H28,100%,K3/O3-1))</f>
        <v>-0.81135803610677881</v>
      </c>
      <c r="H3" s="68">
        <f>VLOOKUP(A3,הכשרה!A:G,4,0)+VLOOKUP('תפוקה מצטברת מול אשתקד'!A3,מגדל!A:G,4,0)+VLOOKUP('תפוקה מצטברת מול אשתקד'!A3,מנורה!A:G,4,0)+VLOOKUP('תפוקה מצטברת מול אשתקד'!A3,איילון!A:G,4,0)+VLOOKUP('תפוקה מצטברת מול אשתקד'!A3,הראל!A:G,4,0)+VLOOKUP('תפוקה מצטברת מול אשתקד'!A3,הפניקס!A:G,4,0)+VLOOKUP('תפוקה מצטברת מול אשתקד'!A3,כלל!A:G,4,0)+VLOOKUP('תפוקה מצטברת מול אשתקד'!A3,מור!A:G,4,0)+VLOOKUP('תפוקה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אשתקד'!A3,אינפניטי!A:G,4,0)</f>
        <v>1072519.2490751664</v>
      </c>
      <c r="I3" s="68">
        <f>VLOOKUP(A3,הכשרה!A:G,5,0)+VLOOKUP('תפוקה מצטברת מול אשתקד'!A3,מגדל!A:G,5,0)+VLOOKUP('תפוקה מצטברת מול אשתקד'!A3,מנורה!A:G,5,0)+VLOOKUP('תפוקה מצטברת מול אשתקד'!A3,איילון!A:G,5,0)+VLOOKUP('תפוקה מצטברת מול אשתקד'!A3,הראל!A:G,5,0)+VLOOKUP('תפוקה מצטברת מול אשתקד'!A3,הפניקס!A:G,5,0)+VLOOKUP('תפוקה מצטברת מול אשתקד'!A3,כלל!A:G,5,0)+VLOOKUP('תפוקה מצטברת מול אשתקד'!A3,מור!A:G,5,0)+VLOOKUP('תפוקה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אשתקד'!A3,אינפניטי!A:G,5,0)</f>
        <v>133701.0901603378</v>
      </c>
      <c r="J3" s="68">
        <f>VLOOKUP(A3,הכשרה!A:G,6,0)+VLOOKUP('תפוקה מצטברת מול אשתקד'!A3,מגדל!A:G,6,0)+VLOOKUP('תפוקה מצטברת מול אשתקד'!A3,מנורה!A:G,6,0)+VLOOKUP('תפוקה מצטברת מול אשתקד'!A3,איילון!A:G,6,0)+VLOOKUP(A3,הראל!A:G,6,0)+VLOOKUP('תפוקה מצטברת מול אשתקד'!A3,הפניקס!A:G,6,0)+VLOOKUP('תפוקה מצטברת מול אשתקד'!A3,כלל!A:G,6,0)+VLOOKUP('תפוקה מצטברת מול אשתקד'!A3,מור!A:G,6,0)+VLOOKUP('תפוקה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אשתקד'!A3,אינפניטי!A:G,6,0)</f>
        <v>3139560.4601152171</v>
      </c>
      <c r="K3" s="68">
        <f>VLOOKUP(A3,הכשרה!A:G,7,0)+VLOOKUP('תפוקה מצטברת מול אשתקד'!A3,מגדל!A:G,7,0)+VLOOKUP('תפוקה מצטברת מול אשתקד'!A3,מנורה!A:G,7,0)+VLOOKUP('תפוקה מצטברת מול אשתקד'!A3,איילון!A:G,7,0)+VLOOKUP('תפוקה מצטברת מול אשתקד'!A3,הראל!A:G,7,0)+VLOOKUP('תפוקה מצטברת מול אשתקד'!A3,הפניקס!A:G,7,0)+VLOOKUP('תפוקה מצטברת מול אשתקד'!A3,כלל!A:G,7,0)+VLOOKUP('תפוקה מצטברת מול אשתקד'!A3,מור!A:G,7,0)+VLOOKUP('תפוקה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אשתקד'!A3,אינפניטי!A:G,7,0)</f>
        <v>7043528.8000000007</v>
      </c>
      <c r="L3" s="12">
        <f>VLOOKUP(A3,הכשרה!A:K,8,0)+VLOOKUP('תפוקה מצטברת מול אשתקד'!A3,מגדל!A:K,8,0)+VLOOKUP('תפוקה מצטברת מול אשתקד'!A3,מנורה!A:K,8,0)+VLOOKUP('תפוקה מצטברת מול אשתקד'!A3,איילון!A:K,8,0)+VLOOKUP('תפוקה מצטברת מול אשתקד'!A3,הראל!A:K,8,0)+VLOOKUP('תפוקה מצטברת מול אשתקד'!A3,הפניקס!A:K,8,0)+VLOOKUP('תפוקה מצטברת מול אשתקד'!A3,כלל!A:K,8,0)+VLOOKUP('תפוקה מצטברת מול אשתקד'!A3,מור!A:K,8,0)+VLOOKUP('תפוקה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אשתקד'!A3,אינפניטי!A:K,8,0)</f>
        <v>5861738.677368748</v>
      </c>
      <c r="M3" s="12">
        <f>VLOOKUP(A3,הכשרה!A:K,9,0)+VLOOKUP('תפוקה מצטברת מול אשתקד'!A3,מגדל!A:K,9,0)+VLOOKUP('תפוקה מצטברת מול אשתקד'!A3,מנורה!A:K,9,0)+VLOOKUP('תפוקה מצטברת מול אשתקד'!A3,איילון!A:K,9,0)+VLOOKUP('תפוקה מצטברת מול אשתקד'!A3,הראל!A:K,9,0)+VLOOKUP('תפוקה מצטברת מול אשתקד'!A3,הפניקס!A:K,9,0)+VLOOKUP('תפוקה מצטברת מול אשתקד'!A3,כלל!A:K,9,0)+VLOOKUP('תפוקה מצטברת מול אשתקד'!A3,מור!A:K,9,0)+VLOOKUP('תפוקה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אשתקד'!A3,אינפניטי!A:K,9,0)</f>
        <v>469369.46977486246</v>
      </c>
      <c r="N3" s="12">
        <f>VLOOKUP(A3,הכשרה!A:K,10,0)+VLOOKUP('תפוקה מצטברת מול אשתקד'!A3,מגדל!A:K,10,0)+VLOOKUP('תפוקה מצטברת מול אשתקד'!A3,מנורה!A:K,10,0)+VLOOKUP('תפוקה מצטברת מול אשתקד'!A3,איילון!A:K,10,0)+VLOOKUP('תפוקה מצטברת מול אשתקד'!A3,הראל!A:K,10,0)+VLOOKUP('תפוקה מצטברת מול אשתקד'!A3,הפניקס!A:K,10,0)+VLOOKUP('תפוקה מצטברת מול אשתקד'!A3,כלל!A:K,10,0)+VLOOKUP('תפוקה מצטברת מול אשתקד'!A3,מור!A:K,10,0)+VLOOKUP('תפוקה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אשתקד'!A3,אינפניטי!A:K,10,0)</f>
        <v>9348230.4782458749</v>
      </c>
      <c r="O3" s="12">
        <f>VLOOKUP(A3,הכשרה!A:K,11,0)+VLOOKUP('תפוקה מצטברת מול אשתקד'!A3,מגדל!A:K,11,0)+VLOOKUP('תפוקה מצטברת מול אשתקד'!A3,מנורה!A:K,11,0)+VLOOKUP('תפוקה מצטברת מול אשתקד'!A3,איילון!A:K,11,0)+VLOOKUP('תפוקה מצטברת מול אשתקד'!A3,הראל!A:K,11,0)+VLOOKUP('תפוקה מצטברת מול אשתקד'!A3,הפניקס!A:K,11,0)+VLOOKUP('תפוקה מצטברת מול אשתקד'!A3,כלל!A:K,11,0)+VLOOKUP('תפוקה מצטברת מול אשתקד'!A3,מור!A:K,11,0)+VLOOKUP('תפוקה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אשתקד'!A3,אינפניטי!A:K,11,0)</f>
        <v>37338080.322292</v>
      </c>
      <c r="P3" s="103"/>
    </row>
    <row r="4" spans="1:16" ht="15.75" customHeight="1" x14ac:dyDescent="0.25">
      <c r="A4" s="27" t="s">
        <v>2</v>
      </c>
      <c r="B4" s="27" t="s">
        <v>116</v>
      </c>
      <c r="C4" s="27" t="s">
        <v>58</v>
      </c>
      <c r="D4" s="20">
        <f t="shared" ref="D4:F65" si="0">IF(H4=0,0%,IF(L4=0,100%,H4/L4-1))</f>
        <v>-0.9912988196003848</v>
      </c>
      <c r="E4" s="20">
        <f t="shared" ref="E4:E25" si="1">IF(I4=0,0%,IF(M4=0,100%,I4/M4-1))</f>
        <v>25.109473131573569</v>
      </c>
      <c r="F4" s="20">
        <f t="shared" ref="F4:F25" si="2">IF(J4=0,0%,IF(N4=0,100%,J4/N4-1))</f>
        <v>-0.9775675068717834</v>
      </c>
      <c r="G4" s="20">
        <f>IF(K4=0,0%,IF(O4=H29,100%,K4/O4-1))</f>
        <v>-1.0006861126224476</v>
      </c>
      <c r="H4" s="68">
        <f>VLOOKUP(A4,הכשרה!A:G,4,0)+VLOOKUP('תפוקה מצטברת מול אשתקד'!A4,מגדל!A:G,4,0)+VLOOKUP('תפוקה מצטברת מול אשתקד'!A4,מנורה!A:G,4,0)+VLOOKUP('תפוקה מצטברת מול אשתקד'!A4,איילון!A:G,4,0)+VLOOKUP('תפוקה מצטברת מול אשתקד'!A4,הראל!A:G,4,0)+VLOOKUP('תפוקה מצטברת מול אשתקד'!A4,הפניקס!A:G,4,0)+VLOOKUP('תפוקה מצטברת מול אשתקד'!A4,כלל!A:G,4,0)+VLOOKUP('תפוקה מצטברת מול אשתקד'!A4,מור!A:G,4,0)+VLOOKUP('תפוקה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אשתקד'!A4,אינפניטי!A:G,4,0)</f>
        <v>17268.48</v>
      </c>
      <c r="I4" s="68">
        <f>VLOOKUP(A4,הכשרה!A:G,5,0)+VLOOKUP('תפוקה מצטברת מול אשתקד'!A4,מגדל!A:G,5,0)+VLOOKUP('תפוקה מצטברת מול אשתקד'!A4,מנורה!A:G,5,0)+VLOOKUP('תפוקה מצטברת מול אשתקד'!A4,איילון!A:G,5,0)+VLOOKUP('תפוקה מצטברת מול אשתקד'!A4,הראל!A:G,5,0)+VLOOKUP('תפוקה מצטברת מול אשתקד'!A4,הפניקס!A:G,5,0)+VLOOKUP('תפוקה מצטברת מול אשתקד'!A4,כלל!A:G,5,0)+VLOOKUP('תפוקה מצטברת מול אשתקד'!A4,מור!A:G,5,0)+VLOOKUP('תפוקה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אשתקד'!A4,אינפניטי!A:G,5,0)</f>
        <v>250000</v>
      </c>
      <c r="J4" s="68">
        <f>VLOOKUP(A4,הכשרה!A:G,6,0)+VLOOKUP('תפוקה מצטברת מול אשתקד'!A4,מגדל!A:G,6,0)+VLOOKUP('תפוקה מצטברת מול אשתקד'!A4,מנורה!A:G,6,0)+VLOOKUP('תפוקה מצטברת מול אשתקד'!A4,איילון!A:G,6,0)+VLOOKUP(A4,הראל!A:G,6,0)+VLOOKUP('תפוקה מצטברת מול אשתקד'!A4,הפניקס!A:G,6,0)+VLOOKUP('תפוקה מצטברת מול אשתקד'!A4,כלל!A:G,6,0)+VLOOKUP('תפוקה מצטברת מול אשתקד'!A4,מור!A:G,6,0)+VLOOKUP('תפוקה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אשתקד'!A4,אינפניטי!A:G,6,0)</f>
        <v>272225.52</v>
      </c>
      <c r="K4" s="68">
        <f>VLOOKUP(A4,הכשרה!A:G,7,0)+VLOOKUP('תפוקה מצטברת מול אשתקד'!A4,מגדל!A:G,7,0)+VLOOKUP('תפוקה מצטברת מול אשתקד'!A4,מנורה!A:G,7,0)+VLOOKUP('תפוקה מצטברת מול אשתקד'!A4,איילון!A:G,7,0)+VLOOKUP('תפוקה מצטברת מול אשתקד'!A4,הראל!A:G,7,0)+VLOOKUP('תפוקה מצטברת מול אשתקד'!A4,הפניקס!A:G,7,0)+VLOOKUP('תפוקה מצטברת מול אשתקד'!A4,כלל!A:G,7,0)+VLOOKUP('תפוקה מצטברת מול אשתקד'!A4,מור!A:G,7,0)+VLOOKUP('תפוקה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אשתקד'!A4,אינפניטי!A:G,7,0)</f>
        <v>-7407.0199999999968</v>
      </c>
      <c r="L4" s="12">
        <f>VLOOKUP(A4,הכשרה!A:K,8,0)+VLOOKUP('תפוקה מצטברת מול אשתקד'!A4,מגדל!A:K,8,0)+VLOOKUP('תפוקה מצטברת מול אשתקד'!A4,מנורה!A:K,8,0)+VLOOKUP('תפוקה מצטברת מול אשתקד'!A4,איילון!A:K,8,0)+VLOOKUP('תפוקה מצטברת מול אשתקד'!A4,הראל!A:K,8,0)+VLOOKUP('תפוקה מצטברת מול אשתקד'!A4,הפניקס!A:K,8,0)+VLOOKUP('תפוקה מצטברת מול אשתקד'!A4,כלל!A:K,8,0)+VLOOKUP('תפוקה מצטברת מול אשתקד'!A4,מור!A:K,8,0)+VLOOKUP('תפוקה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אשתקד'!A4,אינפניטי!A:K,8,0)</f>
        <v>1984613.49</v>
      </c>
      <c r="M4" s="12">
        <f>VLOOKUP(A4,הכשרה!A:K,9,0)+VLOOKUP('תפוקה מצטברת מול אשתקד'!A4,מגדל!A:K,9,0)+VLOOKUP('תפוקה מצטברת מול אשתקד'!A4,מנורה!A:K,9,0)+VLOOKUP('תפוקה מצטברת מול אשתקד'!A4,איילון!A:K,9,0)+VLOOKUP('תפוקה מצטברת מול אשתקד'!A4,הראל!A:K,9,0)+VLOOKUP('תפוקה מצטברת מול אשתקד'!A4,הפניקס!A:K,9,0)+VLOOKUP('תפוקה מצטברת מול אשתקד'!A4,כלל!A:K,9,0)+VLOOKUP('תפוקה מצטברת מול אשתקד'!A4,מור!A:K,9,0)+VLOOKUP('תפוקה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אשתקד'!A4,אינפניטי!A:K,9,0)</f>
        <v>9575.0687400000006</v>
      </c>
      <c r="N4" s="12">
        <f>VLOOKUP(A4,הכשרה!A:K,10,0)+VLOOKUP('תפוקה מצטברת מול אשתקד'!A4,מגדל!A:K,10,0)+VLOOKUP('תפוקה מצטברת מול אשתקד'!A4,מנורה!A:K,10,0)+VLOOKUP('תפוקה מצטברת מול אשתקד'!A4,איילון!A:K,10,0)+VLOOKUP('תפוקה מצטברת מול אשתקד'!A4,הראל!A:K,10,0)+VLOOKUP('תפוקה מצטברת מול אשתקד'!A4,הפניקס!A:K,10,0)+VLOOKUP('תפוקה מצטברת מול אשתקד'!A4,כלל!A:K,10,0)+VLOOKUP('תפוקה מצטברת מול אשתקד'!A4,מור!A:K,10,0)+VLOOKUP('תפוקה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אשתקד'!A4,אינפניטי!A:K,10,0)</f>
        <v>12135321.671294</v>
      </c>
      <c r="O4" s="12">
        <f>VLOOKUP(A4,הכשרה!A:K,11,0)+VLOOKUP('תפוקה מצטברת מול אשתקד'!A4,מגדל!A:K,11,0)+VLOOKUP('תפוקה מצטברת מול אשתקד'!A4,מנורה!A:K,11,0)+VLOOKUP('תפוקה מצטברת מול אשתקד'!A4,איילון!A:K,11,0)+VLOOKUP('תפוקה מצטברת מול אשתקד'!A4,הראל!A:K,11,0)+VLOOKUP('תפוקה מצטברת מול אשתקד'!A4,הפניקס!A:K,11,0)+VLOOKUP('תפוקה מצטברת מול אשתקד'!A4,כלל!A:K,11,0)+VLOOKUP('תפוקה מצטברת מול אשתקד'!A4,מור!A:K,11,0)+VLOOKUP('תפוקה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אשתקד'!A4,אינפניטי!A:K,11,0)</f>
        <v>10795632.9</v>
      </c>
      <c r="P4" s="103"/>
    </row>
    <row r="5" spans="1:16" ht="15.75" customHeight="1" x14ac:dyDescent="0.25">
      <c r="A5" s="27" t="s">
        <v>112</v>
      </c>
      <c r="B5" s="27" t="s">
        <v>116</v>
      </c>
      <c r="C5" s="27" t="s">
        <v>58</v>
      </c>
      <c r="D5" s="20">
        <f t="shared" si="0"/>
        <v>0</v>
      </c>
      <c r="E5" s="20">
        <f t="shared" si="1"/>
        <v>-0.45965967024292809</v>
      </c>
      <c r="F5" s="20">
        <f t="shared" si="2"/>
        <v>0</v>
      </c>
      <c r="G5" s="20">
        <f>IF(K5=0,0%,IF(O5=H30,100%,K5/O5-1))</f>
        <v>0</v>
      </c>
      <c r="H5" s="68">
        <f>VLOOKUP(A5,הכשרה!A:G,4,0)+VLOOKUP('תפוקה מצטברת מול אשתקד'!A5,מגדל!A:G,4,0)+VLOOKUP('תפוקה מצטברת מול אשתקד'!A5,מנורה!A:G,4,0)+VLOOKUP('תפוקה מצטברת מול אשתקד'!A5,איילון!A:G,4,0)+VLOOKUP('תפוקה מצטברת מול אשתקד'!A5,הראל!A:G,4,0)+VLOOKUP('תפוקה מצטברת מול אשתקד'!A5,הפניקס!A:G,4,0)+VLOOKUP('תפוקה מצטברת מול אשתקד'!A5,כלל!A:G,4,0)+VLOOKUP('תפוקה מצטברת מול אשתקד'!A5,מור!A:G,4,0)+VLOOKUP('תפוקה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אשתקד'!A5,אינפניטי!A:G,4,0)</f>
        <v>0</v>
      </c>
      <c r="I5" s="68">
        <f>VLOOKUP(A5,הכשרה!A:G,5,0)+VLOOKUP('תפוקה מצטברת מול אשתקד'!A5,מגדל!A:G,5,0)+VLOOKUP('תפוקה מצטברת מול אשתקד'!A5,מנורה!A:G,5,0)+VLOOKUP('תפוקה מצטברת מול אשתקד'!A5,איילון!A:G,5,0)+VLOOKUP('תפוקה מצטברת מול אשתקד'!A5,הראל!A:G,5,0)+VLOOKUP('תפוקה מצטברת מול אשתקד'!A5,הפניקס!A:G,5,0)+VLOOKUP('תפוקה מצטברת מול אשתקד'!A5,כלל!A:G,5,0)+VLOOKUP('תפוקה מצטברת מול אשתקד'!A5,מור!A:G,5,0)+VLOOKUP('תפוקה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אשתקד'!A5,אינפניטי!A:G,5,0)</f>
        <v>39045.9</v>
      </c>
      <c r="J5" s="68">
        <f>VLOOKUP(A5,הכשרה!A:G,6,0)+VLOOKUP('תפוקה מצטברת מול אשתקד'!A5,מגדל!A:G,6,0)+VLOOKUP('תפוקה מצטברת מול אשתקד'!A5,מנורה!A:G,6,0)+VLOOKUP('תפוקה מצטברת מול אשתקד'!A5,איילון!A:G,6,0)+VLOOKUP(A5,הראל!A:G,6,0)+VLOOKUP('תפוקה מצטברת מול אשתקד'!A5,הפניקס!A:G,6,0)+VLOOKUP('תפוקה מצטברת מול אשתקד'!A5,כלל!A:G,6,0)+VLOOKUP('תפוקה מצטברת מול אשתקד'!A5,מור!A:G,6,0)+VLOOKUP('תפוקה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אשתקד'!A5,אינפניטי!A:G,6,0)</f>
        <v>0</v>
      </c>
      <c r="K5" s="68">
        <f>VLOOKUP(A5,הכשרה!A:G,7,0)+VLOOKUP('תפוקה מצטברת מול אשתקד'!A5,מגדל!A:G,7,0)+VLOOKUP('תפוקה מצטברת מול אשתקד'!A5,מנורה!A:G,7,0)+VLOOKUP('תפוקה מצטברת מול אשתקד'!A5,איילון!A:G,7,0)+VLOOKUP('תפוקה מצטברת מול אשתקד'!A5,הראל!A:G,7,0)+VLOOKUP('תפוקה מצטברת מול אשתקד'!A5,הפניקס!A:G,7,0)+VLOOKUP('תפוקה מצטברת מול אשתקד'!A5,כלל!A:G,7,0)+VLOOKUP('תפוקה מצטברת מול אשתקד'!A5,מור!A:G,7,0)+VLOOKUP('תפוקה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אשתקד'!A5,אינפניטי!A:G,7,0)</f>
        <v>0</v>
      </c>
      <c r="L5" s="12">
        <f>VLOOKUP(A5,הכשרה!A:K,8,0)+VLOOKUP('תפוקה מצטברת מול אשתקד'!A5,מגדל!A:K,8,0)+VLOOKUP('תפוקה מצטברת מול אשתקד'!A5,מנורה!A:K,8,0)+VLOOKUP('תפוקה מצטברת מול אשתקד'!A5,איילון!A:K,8,0)+VLOOKUP('תפוקה מצטברת מול אשתקד'!A5,הראל!A:K,8,0)+VLOOKUP('תפוקה מצטברת מול אשתקד'!A5,הפניקס!A:K,8,0)+VLOOKUP('תפוקה מצטברת מול אשתקד'!A5,כלל!A:K,8,0)+VLOOKUP('תפוקה מצטברת מול אשתקד'!A5,מור!A:K,8,0)+VLOOKUP('תפוקה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אשתקד'!A5,אינפניטי!A:K,8,0)</f>
        <v>0</v>
      </c>
      <c r="M5" s="12">
        <f>VLOOKUP(A5,הכשרה!A:K,9,0)+VLOOKUP('תפוקה מצטברת מול אשתקד'!A5,מגדל!A:K,9,0)+VLOOKUP('תפוקה מצטברת מול אשתקד'!A5,מנורה!A:K,9,0)+VLOOKUP('תפוקה מצטברת מול אשתקד'!A5,איילון!A:K,9,0)+VLOOKUP('תפוקה מצטברת מול אשתקד'!A5,הראל!A:K,9,0)+VLOOKUP('תפוקה מצטברת מול אשתקד'!A5,הפניקס!A:K,9,0)+VLOOKUP('תפוקה מצטברת מול אשתקד'!A5,כלל!A:K,9,0)+VLOOKUP('תפוקה מצטברת מול אשתקד'!A5,מור!A:K,9,0)+VLOOKUP('תפוקה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אשתקד'!A5,אינפניטי!A:K,9,0)</f>
        <v>72261.679999999993</v>
      </c>
      <c r="N5" s="12">
        <f>VLOOKUP(A5,הכשרה!A:K,10,0)+VLOOKUP('תפוקה מצטברת מול אשתקד'!A5,מגדל!A:K,10,0)+VLOOKUP('תפוקה מצטברת מול אשתקד'!A5,מנורה!A:K,10,0)+VLOOKUP('תפוקה מצטברת מול אשתקד'!A5,איילון!A:K,10,0)+VLOOKUP('תפוקה מצטברת מול אשתקד'!A5,הראל!A:K,10,0)+VLOOKUP('תפוקה מצטברת מול אשתקד'!A5,הפניקס!A:K,10,0)+VLOOKUP('תפוקה מצטברת מול אשתקד'!A5,כלל!A:K,10,0)+VLOOKUP('תפוקה מצטברת מול אשתקד'!A5,מור!A:K,10,0)+VLOOKUP('תפוקה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אשתקד'!A5,אינפניטי!A:K,10,0)</f>
        <v>0</v>
      </c>
      <c r="O5" s="12">
        <f>VLOOKUP(A5,הכשרה!A:K,11,0)+VLOOKUP('תפוקה מצטברת מול אשתקד'!A5,מגדל!A:K,11,0)+VLOOKUP('תפוקה מצטברת מול אשתקד'!A5,מנורה!A:K,11,0)+VLOOKUP('תפוקה מצטברת מול אשתקד'!A5,איילון!A:K,11,0)+VLOOKUP('תפוקה מצטברת מול אשתקד'!A5,הראל!A:K,11,0)+VLOOKUP('תפוקה מצטברת מול אשתקד'!A5,הפניקס!A:K,11,0)+VLOOKUP('תפוקה מצטברת מול אשתקד'!A5,כלל!A:K,11,0)+VLOOKUP('תפוקה מצטברת מול אשתקד'!A5,מור!A:K,11,0)+VLOOKUP('תפוקה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אשתקד'!A5,אינפניטי!A:K,11,0)</f>
        <v>0</v>
      </c>
      <c r="P5" s="103"/>
    </row>
    <row r="6" spans="1:16" ht="15.75" customHeight="1" x14ac:dyDescent="0.25">
      <c r="A6" s="29" t="s">
        <v>113</v>
      </c>
      <c r="B6" s="27" t="s">
        <v>116</v>
      </c>
      <c r="C6" s="29" t="s">
        <v>58</v>
      </c>
      <c r="D6" s="118">
        <f t="shared" si="0"/>
        <v>0.32486174858718719</v>
      </c>
      <c r="E6" s="118">
        <f t="shared" si="1"/>
        <v>-0.70802319074698739</v>
      </c>
      <c r="F6" s="118">
        <f t="shared" si="2"/>
        <v>-0.99154363838365245</v>
      </c>
      <c r="G6" s="20">
        <f>IF(K6=0,0%,IF(O6=H31,100%,K6/O6-1))</f>
        <v>1</v>
      </c>
      <c r="H6" s="68">
        <f>VLOOKUP(A6,הכשרה!A:G,4,0)+VLOOKUP('תפוקה מצטברת מול אשתקד'!A6,מגדל!A:G,4,0)+VLOOKUP('תפוקה מצטברת מול אשתקד'!A6,מנורה!A:G,4,0)+VLOOKUP('תפוקה מצטברת מול אשתקד'!A6,איילון!A:G,4,0)+VLOOKUP('תפוקה מצטברת מול אשתקד'!A6,הראל!A:G,4,0)+VLOOKUP('תפוקה מצטברת מול אשתקד'!A6,הפניקס!A:G,4,0)+VLOOKUP('תפוקה מצטברת מול אשתקד'!A6,כלל!A:G,4,0)+VLOOKUP('תפוקה מצטברת מול אשתקד'!A6,מור!A:G,4,0)+VLOOKUP('תפוקה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אשתקד'!A6,אינפניטי!A:G,4,0)</f>
        <v>39537.782919999998</v>
      </c>
      <c r="I6" s="68">
        <f>VLOOKUP(A6,הכשרה!A:G,5,0)+VLOOKUP('תפוקה מצטברת מול אשתקד'!A6,מגדל!A:G,5,0)+VLOOKUP('תפוקה מצטברת מול אשתקד'!A6,מנורה!A:G,5,0)+VLOOKUP('תפוקה מצטברת מול אשתקד'!A6,איילון!A:G,5,0)+VLOOKUP('תפוקה מצטברת מול אשתקד'!A6,הראל!A:G,5,0)+VLOOKUP('תפוקה מצטברת מול אשתקד'!A6,הפניקס!A:G,5,0)+VLOOKUP('תפוקה מצטברת מול אשתקד'!A6,כלל!A:G,5,0)+VLOOKUP('תפוקה מצטברת מול אשתקד'!A6,מור!A:G,5,0)+VLOOKUP('תפוקה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אשתקד'!A6,אינפניטי!A:G,5,0)</f>
        <v>8009.2999999999993</v>
      </c>
      <c r="J6" s="68">
        <f>VLOOKUP(A6,הכשרה!A:G,6,0)+VLOOKUP('תפוקה מצטברת מול אשתקד'!A6,מגדל!A:G,6,0)+VLOOKUP('תפוקה מצטברת מול אשתקד'!A6,מנורה!A:G,6,0)+VLOOKUP('תפוקה מצטברת מול אשתקד'!A6,איילון!A:G,6,0)+VLOOKUP(A6,הראל!A:G,6,0)+VLOOKUP('תפוקה מצטברת מול אשתקד'!A6,הפניקס!A:G,6,0)+VLOOKUP('תפוקה מצטברת מול אשתקד'!A6,כלל!A:G,6,0)+VLOOKUP('תפוקה מצטברת מול אשתקד'!A6,מור!A:G,6,0)+VLOOKUP('תפוקה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אשתקד'!A6,אינפניטי!A:G,6,0)</f>
        <v>7000</v>
      </c>
      <c r="K6" s="68">
        <f>VLOOKUP(A6,הכשרה!A:G,7,0)+VLOOKUP('תפוקה מצטברת מול אשתקד'!A6,מגדל!A:G,7,0)+VLOOKUP('תפוקה מצטברת מול אשתקד'!A6,מנורה!A:G,7,0)+VLOOKUP('תפוקה מצטברת מול אשתקד'!A6,איילון!A:G,7,0)+VLOOKUP('תפוקה מצטברת מול אשתקד'!A6,הראל!A:G,7,0)+VLOOKUP('תפוקה מצטברת מול אשתקד'!A6,הפניקס!A:G,7,0)+VLOOKUP('תפוקה מצטברת מול אשתקד'!A6,כלל!A:G,7,0)+VLOOKUP('תפוקה מצטברת מול אשתקד'!A6,מור!A:G,7,0)+VLOOKUP('תפוקה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אשתקד'!A6,אינפניטי!A:G,7,0)</f>
        <v>202054.22</v>
      </c>
      <c r="L6" s="12">
        <f>VLOOKUP(A6,הכשרה!A:K,8,0)+VLOOKUP('תפוקה מצטברת מול אשתקד'!A6,מגדל!A:K,8,0)+VLOOKUP('תפוקה מצטברת מול אשתקד'!A6,מנורה!A:K,8,0)+VLOOKUP('תפוקה מצטברת מול אשתקד'!A6,איילון!A:K,8,0)+VLOOKUP('תפוקה מצטברת מול אשתקד'!A6,הראל!A:K,8,0)+VLOOKUP('תפוקה מצטברת מול אשתקד'!A6,הפניקס!A:K,8,0)+VLOOKUP('תפוקה מצטברת מול אשתקד'!A6,כלל!A:K,8,0)+VLOOKUP('תפוקה מצטברת מול אשתקד'!A6,מור!A:K,8,0)+VLOOKUP('תפוקה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אשתקד'!A6,אינפניטי!A:K,8,0)</f>
        <v>29842.95</v>
      </c>
      <c r="M6" s="12">
        <f>VLOOKUP(A6,הכשרה!A:K,9,0)+VLOOKUP('תפוקה מצטברת מול אשתקד'!A6,מגדל!A:K,9,0)+VLOOKUP('תפוקה מצטברת מול אשתקד'!A6,מנורה!A:K,9,0)+VLOOKUP('תפוקה מצטברת מול אשתקד'!A6,איילון!A:K,9,0)+VLOOKUP('תפוקה מצטברת מול אשתקד'!A6,הראל!A:K,9,0)+VLOOKUP('תפוקה מצטברת מול אשתקד'!A6,הפניקס!A:K,9,0)+VLOOKUP('תפוקה מצטברת מול אשתקד'!A6,כלל!A:K,9,0)+VLOOKUP('תפוקה מצטברת מול אשתקד'!A6,מור!A:K,9,0)+VLOOKUP('תפוקה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אשתקד'!A6,אינפניטי!A:K,9,0)</f>
        <v>27431.288192</v>
      </c>
      <c r="N6" s="12">
        <f>VLOOKUP(A6,הכשרה!A:K,10,0)+VLOOKUP('תפוקה מצטברת מול אשתקד'!A6,מגדל!A:K,10,0)+VLOOKUP('תפוקה מצטברת מול אשתקד'!A6,מנורה!A:K,10,0)+VLOOKUP('תפוקה מצטברת מול אשתקד'!A6,איילון!A:K,10,0)+VLOOKUP('תפוקה מצטברת מול אשתקד'!A6,הראל!A:K,10,0)+VLOOKUP('תפוקה מצטברת מול אשתקד'!A6,הפניקס!A:K,10,0)+VLOOKUP('תפוקה מצטברת מול אשתקד'!A6,כלל!A:K,10,0)+VLOOKUP('תפוקה מצטברת מול אשתקד'!A6,מור!A:K,10,0)+VLOOKUP('תפוקה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אשתקד'!A6,אינפניטי!A:K,10,0)</f>
        <v>827779.17</v>
      </c>
      <c r="O6" s="12">
        <f>VLOOKUP(A6,הכשרה!A:K,11,0)+VLOOKUP('תפוקה מצטברת מול אשתקד'!A6,מגדל!A:K,11,0)+VLOOKUP('תפוקה מצטברת מול אשתקד'!A6,מנורה!A:K,11,0)+VLOOKUP('תפוקה מצטברת מול אשתקד'!A6,איילון!A:K,11,0)+VLOOKUP('תפוקה מצטברת מול אשתקד'!A6,הראל!A:K,11,0)+VLOOKUP('תפוקה מצטברת מול אשתקד'!A6,הפניקס!A:K,11,0)+VLOOKUP('תפוקה מצטברת מול אשתקד'!A6,כלל!A:K,11,0)+VLOOKUP('תפוקה מצטברת מול אשתקד'!A6,מור!A:K,11,0)+VLOOKUP('תפוקה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אשתקד'!A6,אינפניטי!A:K,11,0)</f>
        <v>0</v>
      </c>
      <c r="P6" s="103"/>
    </row>
    <row r="7" spans="1:16" ht="15.75" customHeight="1" thickBot="1" x14ac:dyDescent="0.3">
      <c r="A7" s="27" t="s">
        <v>34</v>
      </c>
      <c r="B7" s="27" t="s">
        <v>116</v>
      </c>
      <c r="C7" s="28" t="s">
        <v>58</v>
      </c>
      <c r="D7" s="20">
        <f>IF(H7=0,0%,IF(L7=0,100%,H7/L7-1))</f>
        <v>0</v>
      </c>
      <c r="E7" s="20">
        <f>IF(I7=0,0%,IF(M7=0,100%,I7/M7-1))</f>
        <v>0</v>
      </c>
      <c r="F7" s="20">
        <f>IF(J7=0,0%,IF(N7=0,100%,J7/N7-1))</f>
        <v>0</v>
      </c>
      <c r="G7" s="20">
        <f>IF(K7=0,0%,IF(O7=H70,100%,K7/O7-1))</f>
        <v>0</v>
      </c>
      <c r="H7" s="68">
        <f>VLOOKUP(A7,הכשרה!A:G,4,0)+VLOOKUP('תפוקה מצטברת מול אשתקד'!A7,מגדל!A:G,4,0)+VLOOKUP('תפוקה מצטברת מול אשתקד'!A7,מנורה!A:G,4,0)+VLOOKUP('תפוקה מצטברת מול אשתקד'!A7,איילון!A:G,4,0)+VLOOKUP('תפוקה מצטברת מול אשתקד'!A7,הראל!A:G,4,0)+VLOOKUP('תפוקה מצטברת מול אשתקד'!A7,הפניקס!A:G,4,0)+VLOOKUP('תפוקה מצטברת מול אשתקד'!A7,כלל!A:G,4,0)+VLOOKUP('תפוקה מצטברת מול אשתקד'!A7,מור!A:G,4,0)+VLOOKUP('תפוקה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אשתקד'!A7,אינפניטי!A:G,4,0)</f>
        <v>0</v>
      </c>
      <c r="I7" s="68">
        <f>VLOOKUP(A7,הכשרה!A:G,5,0)+VLOOKUP('תפוקה מצטברת מול אשתקד'!A7,מגדל!A:G,5,0)+VLOOKUP('תפוקה מצטברת מול אשתקד'!A7,מנורה!A:G,5,0)+VLOOKUP('תפוקה מצטברת מול אשתקד'!A7,איילון!A:G,5,0)+VLOOKUP('תפוקה מצטברת מול אשתקד'!A7,הראל!A:G,5,0)+VLOOKUP('תפוקה מצטברת מול אשתקד'!A7,הפניקס!A:G,5,0)+VLOOKUP('תפוקה מצטברת מול אשתקד'!A7,כלל!A:G,5,0)+VLOOKUP('תפוקה מצטברת מול אשתקד'!A7,מור!A:G,5,0)+VLOOKUP('תפוקה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אשתקד'!A7,אינפניטי!A:G,5,0)</f>
        <v>0</v>
      </c>
      <c r="J7" s="68">
        <f>VLOOKUP(A7,הכשרה!A:G,6,0)+VLOOKUP('תפוקה מצטברת מול אשתקד'!A7,מגדל!A:G,6,0)+VLOOKUP('תפוקה מצטברת מול אשתקד'!A7,מנורה!A:G,6,0)+VLOOKUP('תפוקה מצטברת מול אשתקד'!A7,איילון!A:G,6,0)+VLOOKUP(A7,הראל!A:G,6,0)+VLOOKUP('תפוקה מצטברת מול אשתקד'!A7,הפניקס!A:G,6,0)+VLOOKUP('תפוקה מצטברת מול אשתקד'!A7,כלל!A:G,6,0)+VLOOKUP('תפוקה מצטברת מול אשתקד'!A7,מור!A:G,6,0)+VLOOKUP('תפוקה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אשתקד'!A7,אינפניטי!A:G,6,0)</f>
        <v>0</v>
      </c>
      <c r="K7" s="68">
        <f>VLOOKUP(A7,הכשרה!A:G,7,0)+VLOOKUP('תפוקה מצטברת מול אשתקד'!A7,מגדל!A:G,7,0)+VLOOKUP('תפוקה מצטברת מול אשתקד'!A7,מנורה!A:G,7,0)+VLOOKUP('תפוקה מצטברת מול אשתקד'!A7,איילון!A:G,7,0)+VLOOKUP('תפוקה מצטברת מול אשתקד'!A7,הראל!A:G,7,0)+VLOOKUP('תפוקה מצטברת מול אשתקד'!A7,הפניקס!A:G,7,0)+VLOOKUP('תפוקה מצטברת מול אשתקד'!A7,כלל!A:G,7,0)+VLOOKUP('תפוקה מצטברת מול אשתקד'!A7,מור!A:G,7,0)+VLOOKUP('תפוקה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אשתקד'!A7,אינפניטי!A:G,7,0)</f>
        <v>0</v>
      </c>
      <c r="L7" s="12">
        <f>VLOOKUP(A7,הכשרה!A:K,8,0)+VLOOKUP('תפוקה מצטברת מול אשתקד'!A7,מגדל!A:K,8,0)+VLOOKUP('תפוקה מצטברת מול אשתקד'!A7,מנורה!A:K,8,0)+VLOOKUP('תפוקה מצטברת מול אשתקד'!A7,איילון!A:K,8,0)+VLOOKUP('תפוקה מצטברת מול אשתקד'!A7,הראל!A:K,8,0)+VLOOKUP('תפוקה מצטברת מול אשתקד'!A7,הפניקס!A:K,8,0)+VLOOKUP('תפוקה מצטברת מול אשתקד'!A7,כלל!A:K,8,0)+VLOOKUP('תפוקה מצטברת מול אשתקד'!A7,מור!A:K,8,0)+VLOOKUP('תפוקה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אשתקד'!A7,אינפניטי!A:K,8,0)</f>
        <v>41343.480000000003</v>
      </c>
      <c r="M7" s="12">
        <f>VLOOKUP(A7,הכשרה!A:K,9,0)+VLOOKUP('תפוקה מצטברת מול אשתקד'!A7,מגדל!A:K,9,0)+VLOOKUP('תפוקה מצטברת מול אשתקד'!A7,מנורה!A:K,9,0)+VLOOKUP('תפוקה מצטברת מול אשתקד'!A7,איילון!A:K,9,0)+VLOOKUP('תפוקה מצטברת מול אשתקד'!A7,הראל!A:K,9,0)+VLOOKUP('תפוקה מצטברת מול אשתקד'!A7,הפניקס!A:K,9,0)+VLOOKUP('תפוקה מצטברת מול אשתקד'!A7,כלל!A:K,9,0)+VLOOKUP('תפוקה מצטברת מול אשתקד'!A7,מור!A:K,9,0)+VLOOKUP('תפוקה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אשתקד'!A7,אינפניטי!A:K,9,0)</f>
        <v>2168.76341</v>
      </c>
      <c r="N7" s="12">
        <f>VLOOKUP(A7,הכשרה!A:K,10,0)+VLOOKUP('תפוקה מצטברת מול אשתקד'!A7,מגדל!A:K,10,0)+VLOOKUP('תפוקה מצטברת מול אשתקד'!A7,מנורה!A:K,10,0)+VLOOKUP('תפוקה מצטברת מול אשתקד'!A7,איילון!A:K,10,0)+VLOOKUP('תפוקה מצטברת מול אשתקד'!A7,הראל!A:K,10,0)+VLOOKUP('תפוקה מצטברת מול אשתקד'!A7,הפניקס!A:K,10,0)+VLOOKUP('תפוקה מצטברת מול אשתקד'!A7,כלל!A:K,10,0)+VLOOKUP('תפוקה מצטברת מול אשתקד'!A7,מור!A:K,10,0)+VLOOKUP('תפוקה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אשתקד'!A7,אינפניטי!A:K,10,0)</f>
        <v>42338.01</v>
      </c>
      <c r="O7" s="12">
        <f>VLOOKUP(A7,הכשרה!A:K,11,0)+VLOOKUP('תפוקה מצטברת מול אשתקד'!A7,מגדל!A:K,11,0)+VLOOKUP('תפוקה מצטברת מול אשתקד'!A7,מנורה!A:K,11,0)+VLOOKUP('תפוקה מצטברת מול אשתקד'!A7,איילון!A:K,11,0)+VLOOKUP('תפוקה מצטברת מול אשתקד'!A7,הראל!A:K,11,0)+VLOOKUP('תפוקה מצטברת מול אשתקד'!A7,הפניקס!A:K,11,0)+VLOOKUP('תפוקה מצטברת מול אשתקד'!A7,כלל!A:K,11,0)+VLOOKUP('תפוקה מצטברת מול אשתקד'!A7,מור!A:K,11,0)+VLOOKUP('תפוקה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אשתקד'!A7,אינפניטי!A:K,11,0)</f>
        <v>131949.32</v>
      </c>
    </row>
    <row r="8" spans="1:16" ht="26.45" customHeight="1" thickBot="1" x14ac:dyDescent="0.3">
      <c r="A8" s="143" t="s">
        <v>3</v>
      </c>
      <c r="B8" s="142"/>
      <c r="C8" s="142"/>
      <c r="D8" s="147">
        <f t="shared" si="0"/>
        <v>-0.85736406610376648</v>
      </c>
      <c r="E8" s="147">
        <f t="shared" si="1"/>
        <v>-0.25834772742094114</v>
      </c>
      <c r="F8" s="147">
        <f t="shared" si="2"/>
        <v>-0.84705929350053655</v>
      </c>
      <c r="G8" s="20">
        <f>IF(K8=0,0%,IF(O8=H71,100%,K8/O8-1))</f>
        <v>-0.85003467022424761</v>
      </c>
      <c r="H8" s="145">
        <f>VLOOKUP(A8,הכשרה!A:G,4,0)+VLOOKUP('תפוקה מצטברת מול אשתקד'!A8,מגדל!A:G,4,0)+VLOOKUP('תפוקה מצטברת מול אשתקד'!A8,מנורה!A:G,4,0)+VLOOKUP('תפוקה מצטברת מול אשתקד'!A8,איילון!A:G,4,0)+VLOOKUP('תפוקה מצטברת מול אשתקד'!A8,הראל!A:G,4,0)+VLOOKUP('תפוקה מצטברת מול אשתקד'!A8,הפניקס!A:G,4,0)+VLOOKUP('תפוקה מצטברת מול אשתקד'!A8,כלל!A:G,4,0)+VLOOKUP('תפוקה מצטברת מול אשתקד'!A8,מור!A:G,4,0)+VLOOKUP('תפוקה מצטברת מול אשתקד'!A8,'אלטשולר שחם'!A:G,4,0)+VLOOKUP('תפוקה מצטברת מול אשתקד'!A8,'מדיהו '!A:G,4,0)+VLOOKUP('תפוקה מצטברת מול אשתקד'!A8,'אנליסט '!A:G,4,0)+VLOOKUP('תפוקה מצטברת מול אשתקד'!A8,'מיטב דש'!A:G,4,0)+VLOOKUP('תפוקה מצטברת מול אשתקד'!A8,אינפניטי!A:G,4,0)</f>
        <v>1129325.5119951665</v>
      </c>
      <c r="I8" s="230">
        <f>SUM(I3:I7)</f>
        <v>430756.29016033781</v>
      </c>
      <c r="J8" s="230">
        <f>SUM(J3:J7)</f>
        <v>3418785.9801152172</v>
      </c>
      <c r="K8" s="230">
        <f t="shared" ref="K8:O8" si="3">SUM(K3:K7)</f>
        <v>7238176.0000000009</v>
      </c>
      <c r="L8" s="230">
        <f t="shared" si="3"/>
        <v>7917538.5973687489</v>
      </c>
      <c r="M8" s="230">
        <f t="shared" si="3"/>
        <v>580806.27011686249</v>
      </c>
      <c r="N8" s="230">
        <f t="shared" si="3"/>
        <v>22353669.329539876</v>
      </c>
      <c r="O8" s="230">
        <f t="shared" si="3"/>
        <v>48265662.542291999</v>
      </c>
    </row>
    <row r="9" spans="1:16" ht="15.75" customHeight="1" x14ac:dyDescent="0.25">
      <c r="A9" s="28" t="s">
        <v>4</v>
      </c>
      <c r="B9" s="27" t="s">
        <v>116</v>
      </c>
      <c r="C9" s="28" t="s">
        <v>114</v>
      </c>
      <c r="D9" s="120">
        <f t="shared" si="0"/>
        <v>1</v>
      </c>
      <c r="E9" s="120">
        <f t="shared" si="1"/>
        <v>0</v>
      </c>
      <c r="F9" s="120">
        <f t="shared" si="2"/>
        <v>0</v>
      </c>
      <c r="G9" s="120">
        <f t="shared" ref="G9:G14" si="4">IF(K9=0,0%,IF(O9=H32,100%,K9/O9-1))</f>
        <v>1</v>
      </c>
      <c r="H9" s="68">
        <f>VLOOKUP(A9,הכשרה!A:G,4,0)+VLOOKUP('תפוקה מצטברת מול אשתקד'!A9,מגדל!A:G,4,0)+VLOOKUP('תפוקה מצטברת מול אשתקד'!A9,מנורה!A:G,4,0)+VLOOKUP('תפוקה מצטברת מול אשתקד'!A9,איילון!A:G,4,0)+VLOOKUP('תפוקה מצטברת מול אשתקד'!A9,הראל!A:G,4,0)+VLOOKUP('תפוקה מצטברת מול אשתקד'!A9,הפניקס!A:G,4,0)+VLOOKUP('תפוקה מצטברת מול אשתקד'!A9,כלל!A:G,4,0)+VLOOKUP('תפוקה מצטברת מול אשתקד'!A9,מור!A:G,4,0)+VLOOKUP('תפוקה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אשתקד'!A9,אינפניטי!A:G,4,0)</f>
        <v>3973.8196160619941</v>
      </c>
      <c r="I9" s="68">
        <f>VLOOKUP(A9,הכשרה!A:G,5,0)+VLOOKUP('תפוקה מצטברת מול אשתקד'!A9,מגדל!A:G,5,0)+VLOOKUP('תפוקה מצטברת מול אשתקד'!A9,מנורה!A:G,5,0)+VLOOKUP('תפוקה מצטברת מול אשתקד'!A9,איילון!A:G,5,0)+VLOOKUP('תפוקה מצטברת מול אשתקד'!A9,הראל!A:G,5,0)+VLOOKUP('תפוקה מצטברת מול אשתקד'!A9,הפניקס!A:G,5,0)+VLOOKUP('תפוקה מצטברת מול אשתקד'!A9,כלל!A:G,5,0)+VLOOKUP('תפוקה מצטברת מול אשתקד'!A9,מור!A:G,5,0)+VLOOKUP('תפוקה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אשתקד'!A9,אינפניטי!A:G,5,0)</f>
        <v>0</v>
      </c>
      <c r="J9" s="68">
        <f>VLOOKUP(A9,הכשרה!A:G,6,0)+VLOOKUP('תפוקה מצטברת מול אשתקד'!A9,מגדל!A:G,6,0)+VLOOKUP('תפוקה מצטברת מול אשתקד'!A9,מנורה!A:G,6,0)+VLOOKUP('תפוקה מצטברת מול אשתקד'!A9,איילון!A:G,6,0)+VLOOKUP(A9,הראל!A:G,6,0)+VLOOKUP('תפוקה מצטברת מול אשתקד'!A9,הפניקס!A:G,6,0)+VLOOKUP('תפוקה מצטברת מול אשתקד'!A9,כלל!A:G,6,0)+VLOOKUP('תפוקה מצטברת מול אשתקד'!A9,מור!A:G,6,0)+VLOOKUP('תפוקה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אשתקד'!A9,אינפניטי!A:G,6,0)</f>
        <v>0</v>
      </c>
      <c r="K9" s="68">
        <f>VLOOKUP(A9,הכשרה!A:G,7,0)+VLOOKUP('תפוקה מצטברת מול אשתקד'!A9,מגדל!A:G,7,0)+VLOOKUP('תפוקה מצטברת מול אשתקד'!A9,מנורה!A:G,7,0)+VLOOKUP('תפוקה מצטברת מול אשתקד'!A9,איילון!A:G,7,0)+VLOOKUP('תפוקה מצטברת מול אשתקד'!A9,הראל!A:G,7,0)+VLOOKUP('תפוקה מצטברת מול אשתקד'!A9,הפניקס!A:G,7,0)+VLOOKUP('תפוקה מצטברת מול אשתקד'!A9,כלל!A:G,7,0)+VLOOKUP('תפוקה מצטברת מול אשתקד'!A9,מור!A:G,7,0)+VLOOKUP('תפוקה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אשתקד'!A9,אינפניטי!A:G,7,0)</f>
        <v>-133113.14000000001</v>
      </c>
      <c r="L9" s="12">
        <f>VLOOKUP(A9,הכשרה!A:K,8,0)+VLOOKUP('תפוקה מצטברת מול אשתקד'!A9,מגדל!A:K,8,0)+VLOOKUP('תפוקה מצטברת מול אשתקד'!A9,מנורה!A:K,8,0)+VLOOKUP('תפוקה מצטברת מול אשתקד'!A9,איילון!A:K,8,0)+VLOOKUP('תפוקה מצטברת מול אשתקד'!A9,הראל!A:K,8,0)+VLOOKUP('תפוקה מצטברת מול אשתקד'!A9,הפניקס!A:K,8,0)+VLOOKUP('תפוקה מצטברת מול אשתקד'!A9,כלל!A:K,8,0)+VLOOKUP('תפוקה מצטברת מול אשתקד'!A9,מור!A:K,8,0)+VLOOKUP('תפוקה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אשתקד'!A9,אינפניטי!A:K,8,0)</f>
        <v>0</v>
      </c>
      <c r="M9" s="12">
        <f>VLOOKUP(A9,הכשרה!A:K,9,0)+VLOOKUP('תפוקה מצטברת מול אשתקד'!A9,מגדל!A:K,9,0)+VLOOKUP('תפוקה מצטברת מול אשתקד'!A9,מנורה!A:K,9,0)+VLOOKUP('תפוקה מצטברת מול אשתקד'!A9,איילון!A:K,9,0)+VLOOKUP('תפוקה מצטברת מול אשתקד'!A9,הראל!A:K,9,0)+VLOOKUP('תפוקה מצטברת מול אשתקד'!A9,הפניקס!A:K,9,0)+VLOOKUP('תפוקה מצטברת מול אשתקד'!A9,כלל!A:K,9,0)+VLOOKUP('תפוקה מצטברת מול אשתקד'!A9,מור!A:K,9,0)+VLOOKUP('תפוקה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אשתקד'!A9,אינפניטי!A:K,9,0)</f>
        <v>83.03</v>
      </c>
      <c r="N9" s="12">
        <f>VLOOKUP(A9,הכשרה!A:K,10,0)+VLOOKUP('תפוקה מצטברת מול אשתקד'!A9,מגדל!A:K,10,0)+VLOOKUP('תפוקה מצטברת מול אשתקד'!A9,מנורה!A:K,10,0)+VLOOKUP('תפוקה מצטברת מול אשתקד'!A9,איילון!A:K,10,0)+VLOOKUP('תפוקה מצטברת מול אשתקד'!A9,הראל!A:K,10,0)+VLOOKUP('תפוקה מצטברת מול אשתקד'!A9,הפניקס!A:K,10,0)+VLOOKUP('תפוקה מצטברת מול אשתקד'!A9,כלל!A:K,10,0)+VLOOKUP('תפוקה מצטברת מול אשתקד'!A9,מור!A:K,10,0)+VLOOKUP('תפוקה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אשתקד'!A9,אינפניטי!A:K,10,0)</f>
        <v>0</v>
      </c>
      <c r="O9" s="12">
        <f>VLOOKUP(A9,הכשרה!A:K,11,0)+VLOOKUP('תפוקה מצטברת מול אשתקד'!A9,מגדל!A:K,11,0)+VLOOKUP('תפוקה מצטברת מול אשתקד'!A9,מנורה!A:K,11,0)+VLOOKUP('תפוקה מצטברת מול אשתקד'!A9,איילון!A:K,11,0)+VLOOKUP('תפוקה מצטברת מול אשתקד'!A9,הראל!A:K,11,0)+VLOOKUP('תפוקה מצטברת מול אשתקד'!A9,הפניקס!A:K,11,0)+VLOOKUP('תפוקה מצטברת מול אשתקד'!A9,כלל!A:K,11,0)+VLOOKUP('תפוקה מצטברת מול אשתקד'!A9,מור!A:K,11,0)+VLOOKUP('תפוקה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אשתקד'!A9,אינפניטי!A:K,11,0)</f>
        <v>0</v>
      </c>
    </row>
    <row r="10" spans="1:16" ht="15.75" customHeight="1" x14ac:dyDescent="0.25">
      <c r="A10" s="27" t="s">
        <v>5</v>
      </c>
      <c r="B10" s="27" t="s">
        <v>116</v>
      </c>
      <c r="C10" s="27" t="s">
        <v>114</v>
      </c>
      <c r="D10" s="20">
        <f t="shared" si="0"/>
        <v>-0.52114265322841402</v>
      </c>
      <c r="E10" s="20">
        <f t="shared" si="1"/>
        <v>-0.73012604354008237</v>
      </c>
      <c r="F10" s="20">
        <f t="shared" si="2"/>
        <v>-0.20141580205526255</v>
      </c>
      <c r="G10" s="20">
        <f t="shared" si="4"/>
        <v>-0.31092524106538411</v>
      </c>
      <c r="H10" s="68">
        <f>VLOOKUP(A10,הכשרה!A:G,4,0)+VLOOKUP('תפוקה מצטברת מול אשתקד'!A10,מגדל!A:G,4,0)+VLOOKUP('תפוקה מצטברת מול אשתקד'!A10,מנורה!A:G,4,0)+VLOOKUP('תפוקה מצטברת מול אשתקד'!A10,איילון!A:G,4,0)+VLOOKUP('תפוקה מצטברת מול אשתקד'!A10,הראל!A:G,4,0)+VLOOKUP('תפוקה מצטברת מול אשתקד'!A10,הפניקס!A:G,4,0)+VLOOKUP('תפוקה מצטברת מול אשתקד'!A10,כלל!A:G,4,0)+VLOOKUP('תפוקה מצטברת מול אשתקד'!A10,מור!A:G,4,0)+VLOOKUP('תפוקה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אשתקד'!A10,אינפניטי!A:G,4,0)</f>
        <v>40911.521041410881</v>
      </c>
      <c r="I10" s="68">
        <f>VLOOKUP(A10,הכשרה!A:G,5,0)+VLOOKUP('תפוקה מצטברת מול אשתקד'!A10,מגדל!A:G,5,0)+VLOOKUP('תפוקה מצטברת מול אשתקד'!A10,מנורה!A:G,5,0)+VLOOKUP('תפוקה מצטברת מול אשתקד'!A10,איילון!A:G,5,0)+VLOOKUP('תפוקה מצטברת מול אשתקד'!A10,הראל!A:G,5,0)+VLOOKUP('תפוקה מצטברת מול אשתקד'!A10,הפניקס!A:G,5,0)+VLOOKUP('תפוקה מצטברת מול אשתקד'!A10,כלל!A:G,5,0)+VLOOKUP('תפוקה מצטברת מול אשתקד'!A10,מור!A:G,5,0)+VLOOKUP('תפוקה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אשתקד'!A10,אינפניטי!A:G,5,0)</f>
        <v>87907.634910524765</v>
      </c>
      <c r="J10" s="68">
        <f>VLOOKUP(A10,הכשרה!A:G,6,0)+VLOOKUP('תפוקה מצטברת מול אשתקד'!A10,מגדל!A:G,6,0)+VLOOKUP('תפוקה מצטברת מול אשתקד'!A10,מנורה!A:G,6,0)+VLOOKUP('תפוקה מצטברת מול אשתקד'!A10,איילון!A:G,6,0)+VLOOKUP(A10,הראל!A:G,6,0)+VLOOKUP('תפוקה מצטברת מול אשתקד'!A10,הפניקס!A:G,6,0)+VLOOKUP('תפוקה מצטברת מול אשתקד'!A10,כלל!A:G,6,0)+VLOOKUP('תפוקה מצטברת מול אשתקד'!A10,מור!A:G,6,0)+VLOOKUP('תפוקה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אשתקד'!A10,אינפניטי!A:G,6,0)</f>
        <v>65973</v>
      </c>
      <c r="K10" s="68">
        <f>VLOOKUP(A10,הכשרה!A:G,7,0)+VLOOKUP('תפוקה מצטברת מול אשתקד'!A10,מגדל!A:G,7,0)+VLOOKUP('תפוקה מצטברת מול אשתקד'!A10,מנורה!A:G,7,0)+VLOOKUP('תפוקה מצטברת מול אשתקד'!A10,איילון!A:G,7,0)+VLOOKUP('תפוקה מצטברת מול אשתקד'!A10,הראל!A:G,7,0)+VLOOKUP('תפוקה מצטברת מול אשתקד'!A10,הפניקס!A:G,7,0)+VLOOKUP('תפוקה מצטברת מול אשתקד'!A10,כלל!A:G,7,0)+VLOOKUP('תפוקה מצטברת מול אשתקד'!A10,מור!A:G,7,0)+VLOOKUP('תפוקה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אשתקד'!A10,אינפניטי!A:G,7,0)</f>
        <v>231357.75</v>
      </c>
      <c r="L10" s="12">
        <f>VLOOKUP(A10,הכשרה!A:K,8,0)+VLOOKUP('תפוקה מצטברת מול אשתקד'!A10,מגדל!A:K,8,0)+VLOOKUP('תפוקה מצטברת מול אשתקד'!A10,מנורה!A:K,8,0)+VLOOKUP('תפוקה מצטברת מול אשתקד'!A10,איילון!A:K,8,0)+VLOOKUP('תפוקה מצטברת מול אשתקד'!A10,הראל!A:K,8,0)+VLOOKUP('תפוקה מצטברת מול אשתקד'!A10,הפניקס!A:K,8,0)+VLOOKUP('תפוקה מצטברת מול אשתקד'!A10,כלל!A:K,8,0)+VLOOKUP('תפוקה מצטברת מול אשתקד'!A10,מור!A:K,8,0)+VLOOKUP('תפוקה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אשתקד'!A10,אינפניטי!A:K,8,0)</f>
        <v>85435.717583185789</v>
      </c>
      <c r="M10" s="12">
        <f>VLOOKUP(A10,הכשרה!A:K,9,0)+VLOOKUP('תפוקה מצטברת מול אשתקד'!A10,מגדל!A:K,9,0)+VLOOKUP('תפוקה מצטברת מול אשתקד'!A10,מנורה!A:K,9,0)+VLOOKUP('תפוקה מצטברת מול אשתקד'!A10,איילון!A:K,9,0)+VLOOKUP('תפוקה מצטברת מול אשתקד'!A10,הראל!A:K,9,0)+VLOOKUP('תפוקה מצטברת מול אשתקד'!A10,הפניקס!A:K,9,0)+VLOOKUP('תפוקה מצטברת מול אשתקד'!A10,כלל!A:K,9,0)+VLOOKUP('תפוקה מצטברת מול אשתקד'!A10,מור!A:K,9,0)+VLOOKUP('תפוקה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אשתקד'!A10,אינפניטי!A:K,9,0)</f>
        <v>325735.8956145923</v>
      </c>
      <c r="N10" s="12">
        <f>VLOOKUP(A10,הכשרה!A:K,10,0)+VLOOKUP('תפוקה מצטברת מול אשתקד'!A10,מגדל!A:K,10,0)+VLOOKUP('תפוקה מצטברת מול אשתקד'!A10,מנורה!A:K,10,0)+VLOOKUP('תפוקה מצטברת מול אשתקד'!A10,איילון!A:K,10,0)+VLOOKUP('תפוקה מצטברת מול אשתקד'!A10,הראל!A:K,10,0)+VLOOKUP('תפוקה מצטברת מול אשתקד'!A10,הפניקס!A:K,10,0)+VLOOKUP('תפוקה מצטברת מול אשתקד'!A10,כלל!A:K,10,0)+VLOOKUP('תפוקה מצטברת מול אשתקד'!A10,מור!A:K,10,0)+VLOOKUP('תפוקה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אשתקד'!A10,אינפניטי!A:K,10,0)</f>
        <v>82612.453601999994</v>
      </c>
      <c r="O10" s="12">
        <f>VLOOKUP(A10,הכשרה!A:K,11,0)+VLOOKUP('תפוקה מצטברת מול אשתקד'!A10,מגדל!A:K,11,0)+VLOOKUP('תפוקה מצטברת מול אשתקד'!A10,מנורה!A:K,11,0)+VLOOKUP('תפוקה מצטברת מול אשתקד'!A10,איילון!A:K,11,0)+VLOOKUP('תפוקה מצטברת מול אשתקד'!A10,הראל!A:K,11,0)+VLOOKUP('תפוקה מצטברת מול אשתקד'!A10,הפניקס!A:K,11,0)+VLOOKUP('תפוקה מצטברת מול אשתקד'!A10,כלל!A:K,11,0)+VLOOKUP('תפוקה מצטברת מול אשתקד'!A10,מור!A:K,11,0)+VLOOKUP('תפוקה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אשתקד'!A10,אינפניטי!A:K,11,0)</f>
        <v>335751.30564600002</v>
      </c>
    </row>
    <row r="11" spans="1:16" ht="15.75" customHeight="1" x14ac:dyDescent="0.25">
      <c r="A11" s="27" t="s">
        <v>6</v>
      </c>
      <c r="B11" s="27" t="s">
        <v>116</v>
      </c>
      <c r="C11" s="27" t="s">
        <v>114</v>
      </c>
      <c r="D11" s="20">
        <f t="shared" si="0"/>
        <v>-0.93463780618978964</v>
      </c>
      <c r="E11" s="20">
        <f t="shared" si="1"/>
        <v>-0.91184423819823435</v>
      </c>
      <c r="F11" s="20">
        <f t="shared" si="2"/>
        <v>-0.82975676050268321</v>
      </c>
      <c r="G11" s="20">
        <f t="shared" si="4"/>
        <v>0</v>
      </c>
      <c r="H11" s="68">
        <f>VLOOKUP(A11,הכשרה!A:G,4,0)+VLOOKUP('תפוקה מצטברת מול אשתקד'!A11,מגדל!A:G,4,0)+VLOOKUP('תפוקה מצטברת מול אשתקד'!A11,מנורה!A:G,4,0)+VLOOKUP('תפוקה מצטברת מול אשתקד'!A11,איילון!A:G,4,0)+VLOOKUP('תפוקה מצטברת מול אשתקד'!A11,הראל!A:G,4,0)+VLOOKUP('תפוקה מצטברת מול אשתקד'!A11,הפניקס!A:G,4,0)+VLOOKUP('תפוקה מצטברת מול אשתקד'!A11,כלל!A:G,4,0)+VLOOKUP('תפוקה מצטברת מול אשתקד'!A11,מור!A:G,4,0)+VLOOKUP('תפוקה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אשתקד'!A11,אינפניטי!A:G,4,0)</f>
        <v>9178.7900000000009</v>
      </c>
      <c r="I11" s="68">
        <f>VLOOKUP(A11,הכשרה!A:G,5,0)+VLOOKUP('תפוקה מצטברת מול אשתקד'!A11,מגדל!A:G,5,0)+VLOOKUP('תפוקה מצטברת מול אשתקד'!A11,מנורה!A:G,5,0)+VLOOKUP('תפוקה מצטברת מול אשתקד'!A11,איילון!A:G,5,0)+VLOOKUP('תפוקה מצטברת מול אשתקד'!A11,הראל!A:G,5,0)+VLOOKUP('תפוקה מצטברת מול אשתקד'!A11,הפניקס!A:G,5,0)+VLOOKUP('תפוקה מצטברת מול אשתקד'!A11,כלל!A:G,5,0)+VLOOKUP('תפוקה מצטברת מול אשתקד'!A11,מור!A:G,5,0)+VLOOKUP('תפוקה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אשתקד'!A11,אינפניטי!A:G,5,0)</f>
        <v>1004.087108136668</v>
      </c>
      <c r="J11" s="68">
        <f>VLOOKUP(A11,הכשרה!A:G,6,0)+VLOOKUP('תפוקה מצטברת מול אשתקד'!A11,מגדל!A:G,6,0)+VLOOKUP('תפוקה מצטברת מול אשתקד'!A11,מנורה!A:G,6,0)+VLOOKUP('תפוקה מצטברת מול אשתקד'!A11,איילון!A:G,6,0)+VLOOKUP(A11,הראל!A:G,6,0)+VLOOKUP('תפוקה מצטברת מול אשתקד'!A11,הפניקס!A:G,6,0)+VLOOKUP('תפוקה מצטברת מול אשתקד'!A11,כלל!A:G,6,0)+VLOOKUP('תפוקה מצטברת מול אשתקד'!A11,מור!A:G,6,0)+VLOOKUP('תפוקה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אשתקד'!A11,אינפניטי!A:G,6,0)</f>
        <v>80000</v>
      </c>
      <c r="K11" s="68">
        <f>VLOOKUP(A11,הכשרה!A:G,7,0)+VLOOKUP('תפוקה מצטברת מול אשתקד'!A11,מגדל!A:G,7,0)+VLOOKUP('תפוקה מצטברת מול אשתקד'!A11,מנורה!A:G,7,0)+VLOOKUP('תפוקה מצטברת מול אשתקד'!A11,איילון!A:G,7,0)+VLOOKUP('תפוקה מצטברת מול אשתקד'!A11,הראל!A:G,7,0)+VLOOKUP('תפוקה מצטברת מול אשתקד'!A11,הפניקס!A:G,7,0)+VLOOKUP('תפוקה מצטברת מול אשתקד'!A11,כלל!A:G,7,0)+VLOOKUP('תפוקה מצטברת מול אשתקד'!A11,מור!A:G,7,0)+VLOOKUP('תפוקה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אשתקד'!A11,אינפניטי!A:G,7,0)</f>
        <v>0</v>
      </c>
      <c r="L11" s="12">
        <f>VLOOKUP(A11,הכשרה!A:K,8,0)+VLOOKUP('תפוקה מצטברת מול אשתקד'!A11,מגדל!A:K,8,0)+VLOOKUP('תפוקה מצטברת מול אשתקד'!A11,מנורה!A:K,8,0)+VLOOKUP('תפוקה מצטברת מול אשתקד'!A11,איילון!A:K,8,0)+VLOOKUP('תפוקה מצטברת מול אשתקד'!A11,הראל!A:K,8,0)+VLOOKUP('תפוקה מצטברת מול אשתקד'!A11,הפניקס!A:K,8,0)+VLOOKUP('תפוקה מצטברת מול אשתקד'!A11,כלל!A:K,8,0)+VLOOKUP('תפוקה מצטברת מול אשתקד'!A11,מור!A:K,8,0)+VLOOKUP('תפוקה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אשתקד'!A11,אינפניטי!A:K,8,0)</f>
        <v>140429.65</v>
      </c>
      <c r="M11" s="12">
        <f>VLOOKUP(A11,הכשרה!A:K,9,0)+VLOOKUP('תפוקה מצטברת מול אשתקד'!A11,מגדל!A:K,9,0)+VLOOKUP('תפוקה מצטברת מול אשתקד'!A11,מנורה!A:K,9,0)+VLOOKUP('תפוקה מצטברת מול אשתקד'!A11,איילון!A:K,9,0)+VLOOKUP('תפוקה מצטברת מול אשתקד'!A11,הראל!A:K,9,0)+VLOOKUP('תפוקה מצטברת מול אשתקד'!A11,הפניקס!A:K,9,0)+VLOOKUP('תפוקה מצטברת מול אשתקד'!A11,כלל!A:K,9,0)+VLOOKUP('תפוקה מצטברת מול אשתקד'!A11,מור!A:K,9,0)+VLOOKUP('תפוקה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אשתקד'!A11,אינפניטי!A:K,9,0)</f>
        <v>11389.920382</v>
      </c>
      <c r="N11" s="12">
        <f>VLOOKUP(A11,הכשרה!A:K,10,0)+VLOOKUP('תפוקה מצטברת מול אשתקד'!A11,מגדל!A:K,10,0)+VLOOKUP('תפוקה מצטברת מול אשתקד'!A11,מנורה!A:K,10,0)+VLOOKUP('תפוקה מצטברת מול אשתקד'!A11,איילון!A:K,10,0)+VLOOKUP('תפוקה מצטברת מול אשתקד'!A11,הראל!A:K,10,0)+VLOOKUP('תפוקה מצטברת מול אשתקד'!A11,הפניקס!A:K,10,0)+VLOOKUP('תפוקה מצטברת מול אשתקד'!A11,כלל!A:K,10,0)+VLOOKUP('תפוקה מצטברת מול אשתקד'!A11,מור!A:K,10,0)+VLOOKUP('תפוקה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אשתקד'!A11,אינפניטי!A:K,10,0)</f>
        <v>469915.87</v>
      </c>
      <c r="O11" s="12">
        <f>VLOOKUP(A11,הכשרה!A:K,11,0)+VLOOKUP('תפוקה מצטברת מול אשתקד'!A11,מגדל!A:K,11,0)+VLOOKUP('תפוקה מצטברת מול אשתקד'!A11,מנורה!A:K,11,0)+VLOOKUP('תפוקה מצטברת מול אשתקד'!A11,איילון!A:K,11,0)+VLOOKUP('תפוקה מצטברת מול אשתקד'!A11,הראל!A:K,11,0)+VLOOKUP('תפוקה מצטברת מול אשתקד'!A11,הפניקס!A:K,11,0)+VLOOKUP('תפוקה מצטברת מול אשתקד'!A11,כלל!A:K,11,0)+VLOOKUP('תפוקה מצטברת מול אשתקד'!A11,מור!A:K,11,0)+VLOOKUP('תפוקה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אשתקד'!A11,אינפניטי!A:K,11,0)</f>
        <v>-591566.81000000006</v>
      </c>
    </row>
    <row r="12" spans="1:16" ht="15.75" customHeight="1" x14ac:dyDescent="0.25">
      <c r="A12" s="27" t="s">
        <v>7</v>
      </c>
      <c r="B12" s="27" t="s">
        <v>116</v>
      </c>
      <c r="C12" s="27" t="s">
        <v>114</v>
      </c>
      <c r="D12" s="20">
        <f t="shared" si="0"/>
        <v>0</v>
      </c>
      <c r="E12" s="20">
        <f t="shared" si="1"/>
        <v>-0.93675866853172307</v>
      </c>
      <c r="F12" s="20">
        <f t="shared" si="2"/>
        <v>0</v>
      </c>
      <c r="G12" s="20">
        <f t="shared" si="4"/>
        <v>0</v>
      </c>
      <c r="H12" s="68">
        <f>VLOOKUP(A12,הכשרה!A:G,4,0)+VLOOKUP('תפוקה מצטברת מול אשתקד'!A12,מגדל!A:G,4,0)+VLOOKUP('תפוקה מצטברת מול אשתקד'!A12,מנורה!A:G,4,0)+VLOOKUP('תפוקה מצטברת מול אשתקד'!A12,איילון!A:G,4,0)+VLOOKUP('תפוקה מצטברת מול אשתקד'!A12,הראל!A:G,4,0)+VLOOKUP('תפוקה מצטברת מול אשתקד'!A12,הפניקס!A:G,4,0)+VLOOKUP('תפוקה מצטברת מול אשתקד'!A12,כלל!A:G,4,0)+VLOOKUP('תפוקה מצטברת מול אשתקד'!A12,מור!A:G,4,0)+VLOOKUP('תפוקה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אשתקד'!A12,אינפניטי!A:G,4,0)</f>
        <v>0</v>
      </c>
      <c r="I12" s="68">
        <f>VLOOKUP(A12,הכשרה!A:G,5,0)+VLOOKUP('תפוקה מצטברת מול אשתקד'!A12,מגדל!A:G,5,0)+VLOOKUP('תפוקה מצטברת מול אשתקד'!A12,מנורה!A:G,5,0)+VLOOKUP('תפוקה מצטברת מול אשתקד'!A12,איילון!A:G,5,0)+VLOOKUP('תפוקה מצטברת מול אשתקד'!A12,הראל!A:G,5,0)+VLOOKUP('תפוקה מצטברת מול אשתקד'!A12,הפניקס!A:G,5,0)+VLOOKUP('תפוקה מצטברת מול אשתקד'!A12,כלל!A:G,5,0)+VLOOKUP('תפוקה מצטברת מול אשתקד'!A12,מור!A:G,5,0)+VLOOKUP('תפוקה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אשתקד'!A12,אינפניטי!A:G,5,0)</f>
        <v>55.61</v>
      </c>
      <c r="J12" s="68">
        <f>VLOOKUP(A12,הכשרה!A:G,6,0)+VLOOKUP('תפוקה מצטברת מול אשתקד'!A12,מגדל!A:G,6,0)+VLOOKUP('תפוקה מצטברת מול אשתקד'!A12,מנורה!A:G,6,0)+VLOOKUP('תפוקה מצטברת מול אשתקד'!A12,איילון!A:G,6,0)+VLOOKUP(A12,הראל!A:G,6,0)+VLOOKUP('תפוקה מצטברת מול אשתקד'!A12,הפניקס!A:G,6,0)+VLOOKUP('תפוקה מצטברת מול אשתקד'!A12,כלל!A:G,6,0)+VLOOKUP('תפוקה מצטברת מול אשתקד'!A12,מור!A:G,6,0)+VLOOKUP('תפוקה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אשתקד'!A12,אינפניטי!A:G,6,0)</f>
        <v>0</v>
      </c>
      <c r="K12" s="68">
        <f>VLOOKUP(A12,הכשרה!A:G,7,0)+VLOOKUP('תפוקה מצטברת מול אשתקד'!A12,מגדל!A:G,7,0)+VLOOKUP('תפוקה מצטברת מול אשתקד'!A12,מנורה!A:G,7,0)+VLOOKUP('תפוקה מצטברת מול אשתקד'!A12,איילון!A:G,7,0)+VLOOKUP('תפוקה מצטברת מול אשתקד'!A12,הראל!A:G,7,0)+VLOOKUP('תפוקה מצטברת מול אשתקד'!A12,הפניקס!A:G,7,0)+VLOOKUP('תפוקה מצטברת מול אשתקד'!A12,כלל!A:G,7,0)+VLOOKUP('תפוקה מצטברת מול אשתקד'!A12,מור!A:G,7,0)+VLOOKUP('תפוקה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אשתקד'!A12,אינפניטי!A:G,7,0)</f>
        <v>0</v>
      </c>
      <c r="L12" s="12">
        <f>VLOOKUP(A12,הכשרה!A:K,8,0)+VLOOKUP('תפוקה מצטברת מול אשתקד'!A12,מגדל!A:K,8,0)+VLOOKUP('תפוקה מצטברת מול אשתקד'!A12,מנורה!A:K,8,0)+VLOOKUP('תפוקה מצטברת מול אשתקד'!A12,איילון!A:K,8,0)+VLOOKUP('תפוקה מצטברת מול אשתקד'!A12,הראל!A:K,8,0)+VLOOKUP('תפוקה מצטברת מול אשתקד'!A12,הפניקס!A:K,8,0)+VLOOKUP('תפוקה מצטברת מול אשתקד'!A12,כלל!A:K,8,0)+VLOOKUP('תפוקה מצטברת מול אשתקד'!A12,מור!A:K,8,0)+VLOOKUP('תפוקה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אשתקד'!A12,אינפניטי!A:K,8,0)</f>
        <v>140.38</v>
      </c>
      <c r="M12" s="12">
        <f>VLOOKUP(A12,הכשרה!A:K,9,0)+VLOOKUP('תפוקה מצטברת מול אשתקד'!A12,מגדל!A:K,9,0)+VLOOKUP('תפוקה מצטברת מול אשתקד'!A12,מנורה!A:K,9,0)+VLOOKUP('תפוקה מצטברת מול אשתקד'!A12,איילון!A:K,9,0)+VLOOKUP('תפוקה מצטברת מול אשתקד'!A12,הראל!A:K,9,0)+VLOOKUP('תפוקה מצטברת מול אשתקד'!A12,הפניקס!A:K,9,0)+VLOOKUP('תפוקה מצטברת מול אשתקד'!A12,כלל!A:K,9,0)+VLOOKUP('תפוקה מצטברת מול אשתקד'!A12,מור!A:K,9,0)+VLOOKUP('תפוקה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אשתקד'!A12,אינפניטי!A:K,9,0)</f>
        <v>879.33</v>
      </c>
      <c r="N12" s="12">
        <f>VLOOKUP(A12,הכשרה!A:K,10,0)+VLOOKUP('תפוקה מצטברת מול אשתקד'!A12,מגדל!A:K,10,0)+VLOOKUP('תפוקה מצטברת מול אשתקד'!A12,מנורה!A:K,10,0)+VLOOKUP('תפוקה מצטברת מול אשתקד'!A12,איילון!A:K,10,0)+VLOOKUP('תפוקה מצטברת מול אשתקד'!A12,הראל!A:K,10,0)+VLOOKUP('תפוקה מצטברת מול אשתקד'!A12,הפניקס!A:K,10,0)+VLOOKUP('תפוקה מצטברת מול אשתקד'!A12,כלל!A:K,10,0)+VLOOKUP('תפוקה מצטברת מול אשתקד'!A12,מור!A:K,10,0)+VLOOKUP('תפוקה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אשתקד'!A12,אינפניטי!A:K,10,0)</f>
        <v>0</v>
      </c>
      <c r="O12" s="12">
        <f>VLOOKUP(A12,הכשרה!A:K,11,0)+VLOOKUP('תפוקה מצטברת מול אשתקד'!A12,מגדל!A:K,11,0)+VLOOKUP('תפוקה מצטברת מול אשתקד'!A12,מנורה!A:K,11,0)+VLOOKUP('תפוקה מצטברת מול אשתקד'!A12,איילון!A:K,11,0)+VLOOKUP('תפוקה מצטברת מול אשתקד'!A12,הראל!A:K,11,0)+VLOOKUP('תפוקה מצטברת מול אשתקד'!A12,הפניקס!A:K,11,0)+VLOOKUP('תפוקה מצטברת מול אשתקד'!A12,כלל!A:K,11,0)+VLOOKUP('תפוקה מצטברת מול אשתקד'!A12,מור!A:K,11,0)+VLOOKUP('תפוקה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אשתקד'!A12,אינפניטי!A:K,11,0)</f>
        <v>0</v>
      </c>
    </row>
    <row r="13" spans="1:16" ht="15.75" customHeight="1" x14ac:dyDescent="0.25">
      <c r="A13" s="27" t="s">
        <v>8</v>
      </c>
      <c r="B13" s="27" t="s">
        <v>116</v>
      </c>
      <c r="C13" s="27" t="s">
        <v>114</v>
      </c>
      <c r="D13" s="20">
        <f t="shared" si="0"/>
        <v>0</v>
      </c>
      <c r="E13" s="20">
        <f t="shared" si="1"/>
        <v>-0.91876122137335869</v>
      </c>
      <c r="F13" s="20">
        <f t="shared" si="2"/>
        <v>0</v>
      </c>
      <c r="G13" s="20">
        <f t="shared" si="4"/>
        <v>0</v>
      </c>
      <c r="H13" s="68">
        <f>VLOOKUP(A13,הכשרה!A:G,4,0)+VLOOKUP('תפוקה מצטברת מול אשתקד'!A13,מגדל!A:G,4,0)+VLOOKUP('תפוקה מצטברת מול אשתקד'!A13,מנורה!A:G,4,0)+VLOOKUP('תפוקה מצטברת מול אשתקד'!A13,איילון!A:G,4,0)+VLOOKUP('תפוקה מצטברת מול אשתקד'!A13,הראל!A:G,4,0)+VLOOKUP('תפוקה מצטברת מול אשתקד'!A13,הפניקס!A:G,4,0)+VLOOKUP('תפוקה מצטברת מול אשתקד'!A13,כלל!A:G,4,0)+VLOOKUP('תפוקה מצטברת מול אשתקד'!A13,מור!A:G,4,0)+VLOOKUP('תפוקה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אשתקד'!A13,אינפניטי!A:G,4,0)</f>
        <v>0</v>
      </c>
      <c r="I13" s="68">
        <f>VLOOKUP(A13,הכשרה!A:G,5,0)+VLOOKUP('תפוקה מצטברת מול אשתקד'!A13,מגדל!A:G,5,0)+VLOOKUP('תפוקה מצטברת מול אשתקד'!A13,מנורה!A:G,5,0)+VLOOKUP('תפוקה מצטברת מול אשתקד'!A13,איילון!A:G,5,0)+VLOOKUP('תפוקה מצטברת מול אשתקד'!A13,הראל!A:G,5,0)+VLOOKUP('תפוקה מצטברת מול אשתקד'!A13,הפניקס!A:G,5,0)+VLOOKUP('תפוקה מצטברת מול אשתקד'!A13,כלל!A:G,5,0)+VLOOKUP('תפוקה מצטברת מול אשתקד'!A13,מור!A:G,5,0)+VLOOKUP('תפוקה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אשתקד'!A13,אינפניטי!A:G,5,0)</f>
        <v>14334.693263269754</v>
      </c>
      <c r="J13" s="68">
        <f>VLOOKUP(A13,הכשרה!A:G,6,0)+VLOOKUP('תפוקה מצטברת מול אשתקד'!A13,מגדל!A:G,6,0)+VLOOKUP('תפוקה מצטברת מול אשתקד'!A13,מנורה!A:G,6,0)+VLOOKUP('תפוקה מצטברת מול אשתקד'!A13,איילון!A:G,6,0)+VLOOKUP(A13,הראל!A:G,6,0)+VLOOKUP('תפוקה מצטברת מול אשתקד'!A13,הפניקס!A:G,6,0)+VLOOKUP('תפוקה מצטברת מול אשתקד'!A13,כלל!A:G,6,0)+VLOOKUP('תפוקה מצטברת מול אשתקד'!A13,מור!A:G,6,0)+VLOOKUP('תפוקה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אשתקד'!A13,אינפניטי!A:G,6,0)</f>
        <v>0</v>
      </c>
      <c r="K13" s="68">
        <f>VLOOKUP(A13,הכשרה!A:G,7,0)+VLOOKUP('תפוקה מצטברת מול אשתקד'!A13,מגדל!A:G,7,0)+VLOOKUP('תפוקה מצטברת מול אשתקד'!A13,מנורה!A:G,7,0)+VLOOKUP('תפוקה מצטברת מול אשתקד'!A13,איילון!A:G,7,0)+VLOOKUP('תפוקה מצטברת מול אשתקד'!A13,הראל!A:G,7,0)+VLOOKUP('תפוקה מצטברת מול אשתקד'!A13,הפניקס!A:G,7,0)+VLOOKUP('תפוקה מצטברת מול אשתקד'!A13,כלל!A:G,7,0)+VLOOKUP('תפוקה מצטברת מול אשתקד'!A13,מור!A:G,7,0)+VLOOKUP('תפוקה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אשתקד'!A13,אינפניטי!A:G,7,0)</f>
        <v>0</v>
      </c>
      <c r="L13" s="12">
        <f>VLOOKUP(A13,הכשרה!A:K,8,0)+VLOOKUP('תפוקה מצטברת מול אשתקד'!A13,מגדל!A:K,8,0)+VLOOKUP('תפוקה מצטברת מול אשתקד'!A13,מנורה!A:K,8,0)+VLOOKUP('תפוקה מצטברת מול אשתקד'!A13,איילון!A:K,8,0)+VLOOKUP('תפוקה מצטברת מול אשתקד'!A13,הראל!A:K,8,0)+VLOOKUP('תפוקה מצטברת מול אשתקד'!A13,הפניקס!A:K,8,0)+VLOOKUP('תפוקה מצטברת מול אשתקד'!A13,כלל!A:K,8,0)+VLOOKUP('תפוקה מצטברת מול אשתקד'!A13,מור!A:K,8,0)+VLOOKUP('תפוקה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אשתקד'!A13,אינפניטי!A:K,8,0)</f>
        <v>4679.7647434965857</v>
      </c>
      <c r="M13" s="12">
        <f>VLOOKUP(A13,הכשרה!A:K,9,0)+VLOOKUP('תפוקה מצטברת מול אשתקד'!A13,מגדל!A:K,9,0)+VLOOKUP('תפוקה מצטברת מול אשתקד'!A13,מנורה!A:K,9,0)+VLOOKUP('תפוקה מצטברת מול אשתקד'!A13,איילון!A:K,9,0)+VLOOKUP('תפוקה מצטברת מול אשתקד'!A13,הראל!A:K,9,0)+VLOOKUP('תפוקה מצטברת מול אשתקד'!A13,הפניקס!A:K,9,0)+VLOOKUP('תפוקה מצטברת מול אשתקד'!A13,כלל!A:K,9,0)+VLOOKUP('תפוקה מצטברת מול אשתקד'!A13,מור!A:K,9,0)+VLOOKUP('תפוקה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אשתקד'!A13,אינפניטי!A:K,9,0)</f>
        <v>176451.363568</v>
      </c>
      <c r="N13" s="12">
        <f>VLOOKUP(A13,הכשרה!A:K,10,0)+VLOOKUP('תפוקה מצטברת מול אשתקד'!A13,מגדל!A:K,10,0)+VLOOKUP('תפוקה מצטברת מול אשתקד'!A13,מנורה!A:K,10,0)+VLOOKUP('תפוקה מצטברת מול אשתקד'!A13,איילון!A:K,10,0)+VLOOKUP('תפוקה מצטברת מול אשתקד'!A13,הראל!A:K,10,0)+VLOOKUP('תפוקה מצטברת מול אשתקד'!A13,הפניקס!A:K,10,0)+VLOOKUP('תפוקה מצטברת מול אשתקד'!A13,כלל!A:K,10,0)+VLOOKUP('תפוקה מצטברת מול אשתקד'!A13,מור!A:K,10,0)+VLOOKUP('תפוקה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אשתקד'!A13,אינפניטי!A:K,10,0)</f>
        <v>1044752.12</v>
      </c>
      <c r="O13" s="12">
        <f>VLOOKUP(A13,הכשרה!A:K,11,0)+VLOOKUP('תפוקה מצטברת מול אשתקד'!A13,מגדל!A:K,11,0)+VLOOKUP('תפוקה מצטברת מול אשתקד'!A13,מנורה!A:K,11,0)+VLOOKUP('תפוקה מצטברת מול אשתקד'!A13,איילון!A:K,11,0)+VLOOKUP('תפוקה מצטברת מול אשתקד'!A13,הראל!A:K,11,0)+VLOOKUP('תפוקה מצטברת מול אשתקד'!A13,הפניקס!A:K,11,0)+VLOOKUP('תפוקה מצטברת מול אשתקד'!A13,כלל!A:K,11,0)+VLOOKUP('תפוקה מצטברת מול אשתקד'!A13,מור!A:K,11,0)+VLOOKUP('תפוקה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אשתקד'!A13,אינפניטי!A:K,11,0)</f>
        <v>111191.62</v>
      </c>
    </row>
    <row r="14" spans="1:16" ht="15.75" customHeight="1" x14ac:dyDescent="0.25">
      <c r="A14" s="27" t="s">
        <v>9</v>
      </c>
      <c r="B14" s="27" t="s">
        <v>116</v>
      </c>
      <c r="C14" s="27" t="s">
        <v>114</v>
      </c>
      <c r="D14" s="20">
        <f t="shared" si="0"/>
        <v>0</v>
      </c>
      <c r="E14" s="20">
        <f t="shared" si="1"/>
        <v>-0.97765705931029534</v>
      </c>
      <c r="F14" s="20">
        <f t="shared" si="2"/>
        <v>-0.88573851454529162</v>
      </c>
      <c r="G14" s="20">
        <f t="shared" si="4"/>
        <v>-0.94730542314479294</v>
      </c>
      <c r="H14" s="68">
        <f>VLOOKUP(A14,הכשרה!A:G,4,0)+VLOOKUP('תפוקה מצטברת מול אשתקד'!A14,מגדל!A:G,4,0)+VLOOKUP('תפוקה מצטברת מול אשתקד'!A14,מנורה!A:G,4,0)+VLOOKUP('תפוקה מצטברת מול אשתקד'!A14,איילון!A:G,4,0)+VLOOKUP('תפוקה מצטברת מול אשתקד'!A14,הראל!A:G,4,0)+VLOOKUP('תפוקה מצטברת מול אשתקד'!A14,הפניקס!A:G,4,0)+VLOOKUP('תפוקה מצטברת מול אשתקד'!A14,כלל!A:G,4,0)+VLOOKUP('תפוקה מצטברת מול אשתקד'!A14,מור!A:G,4,0)+VLOOKUP('תפוקה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אשתקד'!A14,אינפניטי!A:G,4,0)</f>
        <v>0</v>
      </c>
      <c r="I14" s="68">
        <f>VLOOKUP(A14,הכשרה!A:G,5,0)+VLOOKUP('תפוקה מצטברת מול אשתקד'!A14,מגדל!A:G,5,0)+VLOOKUP('תפוקה מצטברת מול אשתקד'!A14,מנורה!A:G,5,0)+VLOOKUP('תפוקה מצטברת מול אשתקד'!A14,איילון!A:G,5,0)+VLOOKUP('תפוקה מצטברת מול אשתקד'!A14,הראל!A:G,5,0)+VLOOKUP('תפוקה מצטברת מול אשתקד'!A14,הפניקס!A:G,5,0)+VLOOKUP('תפוקה מצטברת מול אשתקד'!A14,כלל!A:G,5,0)+VLOOKUP('תפוקה מצטברת מול אשתקד'!A14,מור!A:G,5,0)+VLOOKUP('תפוקה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אשתקד'!A14,אינפניטי!A:G,5,0)</f>
        <v>244.11</v>
      </c>
      <c r="J14" s="68">
        <f>VLOOKUP(A14,הכשרה!A:G,6,0)+VLOOKUP('תפוקה מצטברת מול אשתקד'!A14,מגדל!A:G,6,0)+VLOOKUP('תפוקה מצטברת מול אשתקד'!A14,מנורה!A:G,6,0)+VLOOKUP('תפוקה מצטברת מול אשתקד'!A14,איילון!A:G,6,0)+VLOOKUP(A14,הראל!A:G,6,0)+VLOOKUP('תפוקה מצטברת מול אשתקד'!A14,הפניקס!A:G,6,0)+VLOOKUP('תפוקה מצטברת מול אשתקד'!A14,כלל!A:G,6,0)+VLOOKUP('תפוקה מצטברת מול אשתקד'!A14,מור!A:G,6,0)+VLOOKUP('תפוקה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אשתקד'!A14,אינפניטי!A:G,6,0)</f>
        <v>91480.811470000001</v>
      </c>
      <c r="K14" s="68">
        <f>VLOOKUP(A14,הכשרה!A:G,7,0)+VLOOKUP('תפוקה מצטברת מול אשתקד'!A14,מגדל!A:G,7,0)+VLOOKUP('תפוקה מצטברת מול אשתקד'!A14,מנורה!A:G,7,0)+VLOOKUP('תפוקה מצטברת מול אשתקד'!A14,איילון!A:G,7,0)+VLOOKUP('תפוקה מצטברת מול אשתקד'!A14,הראל!A:G,7,0)+VLOOKUP('תפוקה מצטברת מול אשתקד'!A14,הפניקס!A:G,7,0)+VLOOKUP('תפוקה מצטברת מול אשתקד'!A14,כלל!A:G,7,0)+VLOOKUP('תפוקה מצטברת מול אשתקד'!A14,מור!A:G,7,0)+VLOOKUP('תפוקה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אשתקד'!A14,אינפניטי!A:G,7,0)</f>
        <v>296066.19</v>
      </c>
      <c r="L14" s="12">
        <f>VLOOKUP(A14,הכשרה!A:K,8,0)+VLOOKUP('תפוקה מצטברת מול אשתקד'!A14,מגדל!A:K,8,0)+VLOOKUP('תפוקה מצטברת מול אשתקד'!A14,מנורה!A:K,8,0)+VLOOKUP('תפוקה מצטברת מול אשתקד'!A14,איילון!A:K,8,0)+VLOOKUP('תפוקה מצטברת מול אשתקד'!A14,הראל!A:K,8,0)+VLOOKUP('תפוקה מצטברת מול אשתקד'!A14,הפניקס!A:K,8,0)+VLOOKUP('תפוקה מצטברת מול אשתקד'!A14,כלל!A:K,8,0)+VLOOKUP('תפוקה מצטברת מול אשתקד'!A14,מור!A:K,8,0)+VLOOKUP('תפוקה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אשתקד'!A14,אינפניטי!A:K,8,0)</f>
        <v>730965.41</v>
      </c>
      <c r="M14" s="12">
        <f>VLOOKUP(A14,הכשרה!A:K,9,0)+VLOOKUP('תפוקה מצטברת מול אשתקד'!A14,מגדל!A:K,9,0)+VLOOKUP('תפוקה מצטברת מול אשתקד'!A14,מנורה!A:K,9,0)+VLOOKUP('תפוקה מצטברת מול אשתקד'!A14,איילון!A:K,9,0)+VLOOKUP('תפוקה מצטברת מול אשתקד'!A14,הראל!A:K,9,0)+VLOOKUP('תפוקה מצטברת מול אשתקד'!A14,הפניקס!A:K,9,0)+VLOOKUP('תפוקה מצטברת מול אשתקד'!A14,כלל!A:K,9,0)+VLOOKUP('תפוקה מצטברת מול אשתקד'!A14,מור!A:K,9,0)+VLOOKUP('תפוקה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אשתקד'!A14,אינפניטי!A:K,9,0)</f>
        <v>10925.598532</v>
      </c>
      <c r="N14" s="12">
        <f>VLOOKUP(A14,הכשרה!A:K,10,0)+VLOOKUP('תפוקה מצטברת מול אשתקד'!A14,מגדל!A:K,10,0)+VLOOKUP('תפוקה מצטברת מול אשתקד'!A14,מנורה!A:K,10,0)+VLOOKUP('תפוקה מצטברת מול אשתקד'!A14,איילון!A:K,10,0)+VLOOKUP('תפוקה מצטברת מול אשתקד'!A14,הראל!A:K,10,0)+VLOOKUP('תפוקה מצטברת מול אשתקד'!A14,הפניקס!A:K,10,0)+VLOOKUP('תפוקה מצטברת מול אשתקד'!A14,כלל!A:K,10,0)+VLOOKUP('תפוקה מצטברת מול אשתקד'!A14,מור!A:K,10,0)+VLOOKUP('תפוקה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אשתקד'!A14,אינפניטי!A:K,10,0)</f>
        <v>800626.83507000003</v>
      </c>
      <c r="O14" s="12">
        <f>VLOOKUP(A14,הכשרה!A:K,11,0)+VLOOKUP('תפוקה מצטברת מול אשתקד'!A14,מגדל!A:K,11,0)+VLOOKUP('תפוקה מצטברת מול אשתקד'!A14,מנורה!A:K,11,0)+VLOOKUP('תפוקה מצטברת מול אשתקד'!A14,איילון!A:K,11,0)+VLOOKUP('תפוקה מצטברת מול אשתקד'!A14,הראל!A:K,11,0)+VLOOKUP('תפוקה מצטברת מול אשתקד'!A14,הפניקס!A:K,11,0)+VLOOKUP('תפוקה מצטברת מול אשתקד'!A14,כלל!A:K,11,0)+VLOOKUP('תפוקה מצטברת מול אשתקד'!A14,מור!A:K,11,0)+VLOOKUP('תפוקה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אשתקד'!A14,אינפניטי!A:K,11,0)</f>
        <v>5618532.4500000002</v>
      </c>
    </row>
    <row r="15" spans="1:16" ht="15.75" customHeight="1" x14ac:dyDescent="0.25">
      <c r="A15" s="27" t="s">
        <v>31</v>
      </c>
      <c r="B15" s="27" t="s">
        <v>116</v>
      </c>
      <c r="C15" s="27" t="s">
        <v>114</v>
      </c>
      <c r="D15" s="20">
        <f t="shared" si="0"/>
        <v>0</v>
      </c>
      <c r="E15" s="20">
        <f t="shared" si="1"/>
        <v>0</v>
      </c>
      <c r="F15" s="20">
        <f t="shared" si="2"/>
        <v>1</v>
      </c>
      <c r="G15" s="20">
        <f>IF(K15=0,0%,IF(O15=#REF!,100%,K15/O15-1))</f>
        <v>0</v>
      </c>
      <c r="H15" s="68">
        <f>VLOOKUP(A15,הכשרה!A:G,4,0)+VLOOKUP('תפוקה מצטברת מול אשתקד'!A15,מגדל!A:G,4,0)+VLOOKUP('תפוקה מצטברת מול אשתקד'!A15,מנורה!A:G,4,0)+VLOOKUP('תפוקה מצטברת מול אשתקד'!A15,איילון!A:G,4,0)+VLOOKUP('תפוקה מצטברת מול אשתקד'!A15,הראל!A:G,4,0)+VLOOKUP('תפוקה מצטברת מול אשתקד'!A15,הפניקס!A:G,4,0)+VLOOKUP('תפוקה מצטברת מול אשתקד'!A15,כלל!A:G,4,0)+VLOOKUP('תפוקה מצטברת מול אשתקד'!A15,מור!A:G,4,0)+VLOOKUP('תפוקה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אשתקד'!A15,אינפניטי!A:G,4,0)</f>
        <v>0</v>
      </c>
      <c r="I15" s="68">
        <f>VLOOKUP(A15,הכשרה!A:G,5,0)+VLOOKUP('תפוקה מצטברת מול אשתקד'!A15,מגדל!A:G,5,0)+VLOOKUP('תפוקה מצטברת מול אשתקד'!A15,מנורה!A:G,5,0)+VLOOKUP('תפוקה מצטברת מול אשתקד'!A15,איילון!A:G,5,0)+VLOOKUP('תפוקה מצטברת מול אשתקד'!A15,הראל!A:G,5,0)+VLOOKUP('תפוקה מצטברת מול אשתקד'!A15,הפניקס!A:G,5,0)+VLOOKUP('תפוקה מצטברת מול אשתקד'!A15,כלל!A:G,5,0)+VLOOKUP('תפוקה מצטברת מול אשתקד'!A15,מור!A:G,5,0)+VLOOKUP('תפוקה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אשתקד'!A15,אינפניטי!A:G,5,0)</f>
        <v>0</v>
      </c>
      <c r="J15" s="68">
        <f>VLOOKUP(A15,הכשרה!A:G,6,0)+VLOOKUP('תפוקה מצטברת מול אשתקד'!A15,מגדל!A:G,6,0)+VLOOKUP('תפוקה מצטברת מול אשתקד'!A15,מנורה!A:G,6,0)+VLOOKUP('תפוקה מצטברת מול אשתקד'!A15,איילון!A:G,6,0)+VLOOKUP(A15,הראל!A:G,6,0)+VLOOKUP('תפוקה מצטברת מול אשתקד'!A15,הפניקס!A:G,6,0)+VLOOKUP('תפוקה מצטברת מול אשתקד'!A15,כלל!A:G,6,0)+VLOOKUP('תפוקה מצטברת מול אשתקד'!A15,מור!A:G,6,0)+VLOOKUP('תפוקה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אשתקד'!A15,אינפניטי!A:G,6,0)</f>
        <v>214091.17</v>
      </c>
      <c r="K15" s="68">
        <f>VLOOKUP(A15,הכשרה!A:G,7,0)+VLOOKUP('תפוקה מצטברת מול אשתקד'!A15,מגדל!A:G,7,0)+VLOOKUP('תפוקה מצטברת מול אשתקד'!A15,מנורה!A:G,7,0)+VLOOKUP('תפוקה מצטברת מול אשתקד'!A15,איילון!A:G,7,0)+VLOOKUP('תפוקה מצטברת מול אשתקד'!A15,הראל!A:G,7,0)+VLOOKUP('תפוקה מצטברת מול אשתקד'!A15,הפניקס!A:G,7,0)+VLOOKUP('תפוקה מצטברת מול אשתקד'!A15,כלל!A:G,7,0)+VLOOKUP('תפוקה מצטברת מול אשתקד'!A15,מור!A:G,7,0)+VLOOKUP('תפוקה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אשתקד'!A15,אינפניטי!A:G,7,0)</f>
        <v>0</v>
      </c>
      <c r="L15" s="12">
        <f>VLOOKUP(A15,הכשרה!A:K,8,0)+VLOOKUP('תפוקה מצטברת מול אשתקד'!A15,מגדל!A:K,8,0)+VLOOKUP('תפוקה מצטברת מול אשתקד'!A15,מנורה!A:K,8,0)+VLOOKUP('תפוקה מצטברת מול אשתקד'!A15,איילון!A:K,8,0)+VLOOKUP('תפוקה מצטברת מול אשתקד'!A15,הראל!A:K,8,0)+VLOOKUP('תפוקה מצטברת מול אשתקד'!A15,הפניקס!A:K,8,0)+VLOOKUP('תפוקה מצטברת מול אשתקד'!A15,כלל!A:K,8,0)+VLOOKUP('תפוקה מצטברת מול אשתקד'!A15,מור!A:K,8,0)+VLOOKUP('תפוקה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אשתקד'!A15,אינפניטי!A:K,8,0)</f>
        <v>137.84</v>
      </c>
      <c r="M15" s="12">
        <f>VLOOKUP(A15,הכשרה!A:K,9,0)+VLOOKUP('תפוקה מצטברת מול אשתקד'!A15,מגדל!A:K,9,0)+VLOOKUP('תפוקה מצטברת מול אשתקד'!A15,מנורה!A:K,9,0)+VLOOKUP('תפוקה מצטברת מול אשתקד'!A15,איילון!A:K,9,0)+VLOOKUP('תפוקה מצטברת מול אשתקד'!A15,הראל!A:K,9,0)+VLOOKUP('תפוקה מצטברת מול אשתקד'!A15,הפניקס!A:K,9,0)+VLOOKUP('תפוקה מצטברת מול אשתקד'!A15,כלל!A:K,9,0)+VLOOKUP('תפוקה מצטברת מול אשתקד'!A15,מור!A:K,9,0)+VLOOKUP('תפוקה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אשתקד'!A15,אינפניטי!A:K,9,0)</f>
        <v>0</v>
      </c>
      <c r="N15" s="12">
        <f>VLOOKUP(A15,הכשרה!A:K,10,0)+VLOOKUP('תפוקה מצטברת מול אשתקד'!A15,מגדל!A:K,10,0)+VLOOKUP('תפוקה מצטברת מול אשתקד'!A15,מנורה!A:K,10,0)+VLOOKUP('תפוקה מצטברת מול אשתקד'!A15,איילון!A:K,10,0)+VLOOKUP('תפוקה מצטברת מול אשתקד'!A15,הראל!A:K,10,0)+VLOOKUP('תפוקה מצטברת מול אשתקד'!A15,הפניקס!A:K,10,0)+VLOOKUP('תפוקה מצטברת מול אשתקד'!A15,כלל!A:K,10,0)+VLOOKUP('תפוקה מצטברת מול אשתקד'!A15,מור!A:K,10,0)+VLOOKUP('תפוקה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אשתקד'!A15,אינפניטי!A:K,10,0)</f>
        <v>0</v>
      </c>
      <c r="O15" s="12">
        <f>VLOOKUP(A15,הכשרה!A:K,11,0)+VLOOKUP('תפוקה מצטברת מול אשתקד'!A15,מגדל!A:K,11,0)+VLOOKUP('תפוקה מצטברת מול אשתקד'!A15,מנורה!A:K,11,0)+VLOOKUP('תפוקה מצטברת מול אשתקד'!A15,איילון!A:K,11,0)+VLOOKUP('תפוקה מצטברת מול אשתקד'!A15,הראל!A:K,11,0)+VLOOKUP('תפוקה מצטברת מול אשתקד'!A15,הפניקס!A:K,11,0)+VLOOKUP('תפוקה מצטברת מול אשתקד'!A15,כלל!A:K,11,0)+VLOOKUP('תפוקה מצטברת מול אשתקד'!A15,מור!A:K,11,0)+VLOOKUP('תפוקה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אשתקד'!A15,אינפניטי!A:K,11,0)</f>
        <v>0</v>
      </c>
    </row>
    <row r="16" spans="1:16" ht="15.75" customHeight="1" x14ac:dyDescent="0.25">
      <c r="A16" s="27" t="s">
        <v>104</v>
      </c>
      <c r="B16" s="27" t="s">
        <v>116</v>
      </c>
      <c r="C16" s="27" t="s">
        <v>114</v>
      </c>
      <c r="D16" s="20">
        <f t="shared" si="0"/>
        <v>0</v>
      </c>
      <c r="E16" s="20">
        <f t="shared" si="1"/>
        <v>-0.73455328886209914</v>
      </c>
      <c r="F16" s="20">
        <f t="shared" si="2"/>
        <v>0.196712</v>
      </c>
      <c r="G16" s="20">
        <f>IF(K16=0,0%,IF(O16=#REF!,100%,K16/O16-1))</f>
        <v>0</v>
      </c>
      <c r="H16" s="68">
        <f>VLOOKUP(A16,הכשרה!A:G,4,0)+VLOOKUP('תפוקה מצטברת מול אשתקד'!A16,מגדל!A:G,4,0)+VLOOKUP('תפוקה מצטברת מול אשתקד'!A16,מנורה!A:G,4,0)+VLOOKUP('תפוקה מצטברת מול אשתקד'!A16,איילון!A:G,4,0)+VLOOKUP('תפוקה מצטברת מול אשתקד'!A16,הראל!A:G,4,0)+VLOOKUP('תפוקה מצטברת מול אשתקד'!A16,הפניקס!A:G,4,0)+VLOOKUP('תפוקה מצטברת מול אשתקד'!A16,כלל!A:G,4,0)+VLOOKUP('תפוקה מצטברת מול אשתקד'!A16,מור!A:G,4,0)+VLOOKUP('תפוקה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אשתקד'!A16,אינפניטי!A:G,4,0)</f>
        <v>0</v>
      </c>
      <c r="I16" s="68">
        <f>VLOOKUP(A16,הכשרה!A:G,5,0)+VLOOKUP('תפוקה מצטברת מול אשתקד'!A16,מגדל!A:G,5,0)+VLOOKUP('תפוקה מצטברת מול אשתקד'!A16,מנורה!A:G,5,0)+VLOOKUP('תפוקה מצטברת מול אשתקד'!A16,איילון!A:G,5,0)+VLOOKUP('תפוקה מצטברת מול אשתקד'!A16,הראל!A:G,5,0)+VLOOKUP('תפוקה מצטברת מול אשתקד'!A16,הפניקס!A:G,5,0)+VLOOKUP('תפוקה מצטברת מול אשתקד'!A16,כלל!A:G,5,0)+VLOOKUP('תפוקה מצטברת מול אשתקד'!A16,מור!A:G,5,0)+VLOOKUP('תפוקה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אשתקד'!A16,אינפניטי!A:G,5,0)</f>
        <v>10168.31055</v>
      </c>
      <c r="J16" s="68">
        <f>VLOOKUP(A16,הכשרה!A:G,6,0)+VLOOKUP('תפוקה מצטברת מול אשתקד'!A16,מגדל!A:G,6,0)+VLOOKUP('תפוקה מצטברת מול אשתקד'!A16,מנורה!A:G,6,0)+VLOOKUP('תפוקה מצטברת מול אשתקד'!A16,איילון!A:G,6,0)+VLOOKUP(A16,הראל!A:G,6,0)+VLOOKUP('תפוקה מצטברת מול אשתקד'!A16,הפניקס!A:G,6,0)+VLOOKUP('תפוקה מצטברת מול אשתקד'!A16,כלל!A:G,6,0)+VLOOKUP('תפוקה מצטברת מול אשתקד'!A16,מור!A:G,6,0)+VLOOKUP('תפוקה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אשתקד'!A16,אינפניטי!A:G,6,0)</f>
        <v>5983.56</v>
      </c>
      <c r="K16" s="68">
        <f>VLOOKUP(A16,הכשרה!A:G,7,0)+VLOOKUP('תפוקה מצטברת מול אשתקד'!A16,מגדל!A:G,7,0)+VLOOKUP('תפוקה מצטברת מול אשתקד'!A16,מנורה!A:G,7,0)+VLOOKUP('תפוקה מצטברת מול אשתקד'!A16,איילון!A:G,7,0)+VLOOKUP('תפוקה מצטברת מול אשתקד'!A16,הראל!A:G,7,0)+VLOOKUP('תפוקה מצטברת מול אשתקד'!A16,הפניקס!A:G,7,0)+VLOOKUP('תפוקה מצטברת מול אשתקד'!A16,כלל!A:G,7,0)+VLOOKUP('תפוקה מצטברת מול אשתקד'!A16,מור!A:G,7,0)+VLOOKUP('תפוקה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אשתקד'!A16,אינפניטי!A:G,7,0)</f>
        <v>0</v>
      </c>
      <c r="L16" s="12">
        <f>VLOOKUP(A16,הכשרה!A:K,8,0)+VLOOKUP('תפוקה מצטברת מול אשתקד'!A16,מגדל!A:K,8,0)+VLOOKUP('תפוקה מצטברת מול אשתקד'!A16,מנורה!A:K,8,0)+VLOOKUP('תפוקה מצטברת מול אשתקד'!A16,איילון!A:K,8,0)+VLOOKUP('תפוקה מצטברת מול אשתקד'!A16,הראל!A:K,8,0)+VLOOKUP('תפוקה מצטברת מול אשתקד'!A16,הפניקס!A:K,8,0)+VLOOKUP('תפוקה מצטברת מול אשתקד'!A16,כלל!A:K,8,0)+VLOOKUP('תפוקה מצטברת מול אשתקד'!A16,מור!A:K,8,0)+VLOOKUP('תפוקה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אשתקד'!A16,אינפניטי!A:K,8,0)</f>
        <v>60488.111149999997</v>
      </c>
      <c r="M16" s="12">
        <f>VLOOKUP(A16,הכשרה!A:K,9,0)+VLOOKUP('תפוקה מצטברת מול אשתקד'!A16,מגדל!A:K,9,0)+VLOOKUP('תפוקה מצטברת מול אשתקד'!A16,מנורה!A:K,9,0)+VLOOKUP('תפוקה מצטברת מול אשתקד'!A16,איילון!A:K,9,0)+VLOOKUP('תפוקה מצטברת מול אשתקד'!A16,הראל!A:K,9,0)+VLOOKUP('תפוקה מצטברת מול אשתקד'!A16,הפניקס!A:K,9,0)+VLOOKUP('תפוקה מצטברת מול אשתקד'!A16,כלל!A:K,9,0)+VLOOKUP('תפוקה מצטברת מול אשתקד'!A16,מור!A:K,9,0)+VLOOKUP('תפוקה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אשתקד'!A16,אינפניטי!A:K,9,0)</f>
        <v>38306.410000000003</v>
      </c>
      <c r="N16" s="12">
        <f>VLOOKUP(A16,הכשרה!A:K,10,0)+VLOOKUP('תפוקה מצטברת מול אשתקד'!A16,מגדל!A:K,10,0)+VLOOKUP('תפוקה מצטברת מול אשתקד'!A16,מנורה!A:K,10,0)+VLOOKUP('תפוקה מצטברת מול אשתקד'!A16,איילון!A:K,10,0)+VLOOKUP('תפוקה מצטברת מול אשתקד'!A16,הראל!A:K,10,0)+VLOOKUP('תפוקה מצטברת מול אשתקד'!A16,הפניקס!A:K,10,0)+VLOOKUP('תפוקה מצטברת מול אשתקד'!A16,כלל!A:K,10,0)+VLOOKUP('תפוקה מצטברת מול אשתקד'!A16,מור!A:K,10,0)+VLOOKUP('תפוקה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אשתקד'!A16,אינפניטי!A:K,10,0)</f>
        <v>5000</v>
      </c>
      <c r="O16" s="12">
        <f>VLOOKUP(A16,הכשרה!A:K,11,0)+VLOOKUP('תפוקה מצטברת מול אשתקד'!A16,מגדל!A:K,11,0)+VLOOKUP('תפוקה מצטברת מול אשתקד'!A16,מנורה!A:K,11,0)+VLOOKUP('תפוקה מצטברת מול אשתקד'!A16,איילון!A:K,11,0)+VLOOKUP('תפוקה מצטברת מול אשתקד'!A16,הראל!A:K,11,0)+VLOOKUP('תפוקה מצטברת מול אשתקד'!A16,הפניקס!A:K,11,0)+VLOOKUP('תפוקה מצטברת מול אשתקד'!A16,כלל!A:K,11,0)+VLOOKUP('תפוקה מצטברת מול אשתקד'!A16,מור!A:K,11,0)+VLOOKUP('תפוקה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אשתקד'!A16,אינפניטי!A:K,11,0)</f>
        <v>0</v>
      </c>
    </row>
    <row r="17" spans="1:18" ht="15.75" customHeight="1" x14ac:dyDescent="0.25">
      <c r="A17" s="27" t="s">
        <v>42</v>
      </c>
      <c r="B17" s="27" t="s">
        <v>116</v>
      </c>
      <c r="C17" s="27" t="s">
        <v>114</v>
      </c>
      <c r="D17" s="20">
        <f t="shared" si="0"/>
        <v>-0.8093893053807294</v>
      </c>
      <c r="E17" s="20">
        <f t="shared" si="1"/>
        <v>1.431505321081465</v>
      </c>
      <c r="F17" s="20">
        <f t="shared" si="2"/>
        <v>-0.96787462129390001</v>
      </c>
      <c r="G17" s="20">
        <f>IF(K17=0,0%,IF(O17=#REF!,100%,K17/O17-1))</f>
        <v>0</v>
      </c>
      <c r="H17" s="68">
        <f>VLOOKUP(A17,הכשרה!A:G,4,0)+VLOOKUP('תפוקה מצטברת מול אשתקד'!A17,מגדל!A:G,4,0)+VLOOKUP('תפוקה מצטברת מול אשתקד'!A17,מנורה!A:G,4,0)+VLOOKUP('תפוקה מצטברת מול אשתקד'!A17,איילון!A:G,4,0)+VLOOKUP('תפוקה מצטברת מול אשתקד'!A17,הראל!A:G,4,0)+VLOOKUP('תפוקה מצטברת מול אשתקד'!A17,הפניקס!A:G,4,0)+VLOOKUP('תפוקה מצטברת מול אשתקד'!A17,כלל!A:G,4,0)+VLOOKUP('תפוקה מצטברת מול אשתקד'!A17,מור!A:G,4,0)+VLOOKUP('תפוקה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אשתקד'!A17,אינפניטי!A:G,4,0)</f>
        <v>135417.43773355137</v>
      </c>
      <c r="I17" s="68">
        <f>VLOOKUP(A17,הכשרה!A:G,5,0)+VLOOKUP('תפוקה מצטברת מול אשתקד'!A17,מגדל!A:G,5,0)+VLOOKUP('תפוקה מצטברת מול אשתקד'!A17,מנורה!A:G,5,0)+VLOOKUP('תפוקה מצטברת מול אשתקד'!A17,איילון!A:G,5,0)+VLOOKUP('תפוקה מצטברת מול אשתקד'!A17,הראל!A:G,5,0)+VLOOKUP('תפוקה מצטברת מול אשתקד'!A17,הפניקס!A:G,5,0)+VLOOKUP('תפוקה מצטברת מול אשתקד'!A17,כלל!A:G,5,0)+VLOOKUP('תפוקה מצטברת מול אשתקד'!A17,מור!A:G,5,0)+VLOOKUP('תפוקה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אשתקד'!A17,אינפניטי!A:G,5,0)</f>
        <v>56928.856410473643</v>
      </c>
      <c r="J17" s="68">
        <f>VLOOKUP(A17,הכשרה!A:G,6,0)+VLOOKUP('תפוקה מצטברת מול אשתקד'!A17,מגדל!A:G,6,0)+VLOOKUP('תפוקה מצטברת מול אשתקד'!A17,מנורה!A:G,6,0)+VLOOKUP('תפוקה מצטברת מול אשתקד'!A17,איילון!A:G,6,0)+VLOOKUP(A17,הראל!A:G,6,0)+VLOOKUP('תפוקה מצטברת מול אשתקד'!A17,הפניקס!A:G,6,0)+VLOOKUP('תפוקה מצטברת מול אשתקד'!A17,כלל!A:G,6,0)+VLOOKUP('תפוקה מצטברת מול אשתקד'!A17,מור!A:G,6,0)+VLOOKUP('תפוקה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אשתקד'!A17,אינפניטי!A:G,6,0)</f>
        <v>250192.47</v>
      </c>
      <c r="K17" s="68">
        <f>VLOOKUP(A17,הכשרה!A:G,7,0)+VLOOKUP('תפוקה מצטברת מול אשתקד'!A17,מגדל!A:G,7,0)+VLOOKUP('תפוקה מצטברת מול אשתקד'!A17,מנורה!A:G,7,0)+VLOOKUP('תפוקה מצטברת מול אשתקד'!A17,איילון!A:G,7,0)+VLOOKUP('תפוקה מצטברת מול אשתקד'!A17,הראל!A:G,7,0)+VLOOKUP('תפוקה מצטברת מול אשתקד'!A17,הפניקס!A:G,7,0)+VLOOKUP('תפוקה מצטברת מול אשתקד'!A17,כלל!A:G,7,0)+VLOOKUP('תפוקה מצטברת מול אשתקד'!A17,מור!A:G,7,0)+VLOOKUP('תפוקה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אשתקד'!A17,אינפניטי!A:G,7,0)</f>
        <v>0</v>
      </c>
      <c r="L17" s="12">
        <f>VLOOKUP(A17,הכשרה!A:K,8,0)+VLOOKUP('תפוקה מצטברת מול אשתקד'!A17,מגדל!A:K,8,0)+VLOOKUP('תפוקה מצטברת מול אשתקד'!A17,מנורה!A:K,8,0)+VLOOKUP('תפוקה מצטברת מול אשתקד'!A17,איילון!A:K,8,0)+VLOOKUP('תפוקה מצטברת מול אשתקד'!A17,הראל!A:K,8,0)+VLOOKUP('תפוקה מצטברת מול אשתקד'!A17,הפניקס!A:K,8,0)+VLOOKUP('תפוקה מצטברת מול אשתקד'!A17,כלל!A:K,8,0)+VLOOKUP('תפוקה מצטברת מול אשתקד'!A17,מור!A:K,8,0)+VLOOKUP('תפוקה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אשתקד'!A17,אינפניטי!A:K,8,0)</f>
        <v>710439.87329271703</v>
      </c>
      <c r="M17" s="12">
        <f>VLOOKUP(A17,הכשרה!A:K,9,0)+VLOOKUP('תפוקה מצטברת מול אשתקד'!A17,מגדל!A:K,9,0)+VLOOKUP('תפוקה מצטברת מול אשתקד'!A17,מנורה!A:K,9,0)+VLOOKUP('תפוקה מצטברת מול אשתקד'!A17,איילון!A:K,9,0)+VLOOKUP('תפוקה מצטברת מול אשתקד'!A17,הראל!A:K,9,0)+VLOOKUP('תפוקה מצטברת מול אשתקד'!A17,הפניקס!A:K,9,0)+VLOOKUP('תפוקה מצטברת מול אשתקד'!A17,כלל!A:K,9,0)+VLOOKUP('תפוקה מצטברת מול אשתקד'!A17,מור!A:K,9,0)+VLOOKUP('תפוקה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אשתקד'!A17,אינפניטי!A:K,9,0)</f>
        <v>23413.009182786118</v>
      </c>
      <c r="N17" s="12">
        <f>VLOOKUP(A17,הכשרה!A:K,10,0)+VLOOKUP('תפוקה מצטברת מול אשתקד'!A17,מגדל!A:K,10,0)+VLOOKUP('תפוקה מצטברת מול אשתקד'!A17,מנורה!A:K,10,0)+VLOOKUP('תפוקה מצטברת מול אשתקד'!A17,איילון!A:K,10,0)+VLOOKUP('תפוקה מצטברת מול אשתקד'!A17,הראל!A:K,10,0)+VLOOKUP('תפוקה מצטברת מול אשתקד'!A17,הפניקס!A:K,10,0)+VLOOKUP('תפוקה מצטברת מול אשתקד'!A17,כלל!A:K,10,0)+VLOOKUP('תפוקה מצטברת מול אשתקד'!A17,מור!A:K,10,0)+VLOOKUP('תפוקה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אשתקד'!A17,אינפניטי!A:K,10,0)</f>
        <v>7788000.6423859997</v>
      </c>
      <c r="O17" s="12">
        <f>VLOOKUP(A17,הכשרה!A:K,11,0)+VLOOKUP('תפוקה מצטברת מול אשתקד'!A17,מגדל!A:K,11,0)+VLOOKUP('תפוקה מצטברת מול אשתקד'!A17,מנורה!A:K,11,0)+VLOOKUP('תפוקה מצטברת מול אשתקד'!A17,איילון!A:K,11,0)+VLOOKUP('תפוקה מצטברת מול אשתקד'!A17,הראל!A:K,11,0)+VLOOKUP('תפוקה מצטברת מול אשתקד'!A17,הפניקס!A:K,11,0)+VLOOKUP('תפוקה מצטברת מול אשתקד'!A17,כלל!A:K,11,0)+VLOOKUP('תפוקה מצטברת מול אשתקד'!A17,מור!A:K,11,0)+VLOOKUP('תפוקה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אשתקד'!A17,אינפניטי!A:K,11,0)</f>
        <v>3428360.65</v>
      </c>
    </row>
    <row r="18" spans="1:18" ht="15.75" customHeight="1" x14ac:dyDescent="0.25">
      <c r="A18" s="27" t="s">
        <v>43</v>
      </c>
      <c r="B18" s="27" t="s">
        <v>116</v>
      </c>
      <c r="C18" s="27" t="s">
        <v>114</v>
      </c>
      <c r="D18" s="20">
        <f t="shared" si="0"/>
        <v>-0.67560022254288854</v>
      </c>
      <c r="E18" s="20">
        <f t="shared" si="1"/>
        <v>1.1135078091676398</v>
      </c>
      <c r="F18" s="20">
        <f t="shared" si="2"/>
        <v>-0.95022181087676072</v>
      </c>
      <c r="G18" s="20" t="e">
        <f>IF(K18=0,0%,IF(O18=#REF!,100%,K18/O18-1))</f>
        <v>#REF!</v>
      </c>
      <c r="H18" s="68">
        <f>VLOOKUP(A18,הכשרה!A:G,4,0)+VLOOKUP('תפוקה מצטברת מול אשתקד'!A18,מגדל!A:G,4,0)+VLOOKUP('תפוקה מצטברת מול אשתקד'!A18,מנורה!A:G,4,0)+VLOOKUP('תפוקה מצטברת מול אשתקד'!A18,איילון!A:G,4,0)+VLOOKUP('תפוקה מצטברת מול אשתקד'!A18,הראל!A:G,4,0)+VLOOKUP('תפוקה מצטברת מול אשתקד'!A18,הפניקס!A:G,4,0)+VLOOKUP('תפוקה מצטברת מול אשתקד'!A18,כלל!A:G,4,0)+VLOOKUP('תפוקה מצטברת מול אשתקד'!A18,מור!A:G,4,0)+VLOOKUP('תפוקה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אשתקד'!A18,אינפניטי!A:G,4,0)</f>
        <v>168654.23092377151</v>
      </c>
      <c r="I18" s="68">
        <f>VLOOKUP(A18,הכשרה!A:G,5,0)+VLOOKUP('תפוקה מצטברת מול אשתקד'!A18,מגדל!A:G,5,0)+VLOOKUP('תפוקה מצטברת מול אשתקד'!A18,מנורה!A:G,5,0)+VLOOKUP('תפוקה מצטברת מול אשתקד'!A18,איילון!A:G,5,0)+VLOOKUP('תפוקה מצטברת מול אשתקד'!A18,הראל!A:G,5,0)+VLOOKUP('תפוקה מצטברת מול אשתקד'!A18,הפניקס!A:G,5,0)+VLOOKUP('תפוקה מצטברת מול אשתקד'!A18,כלל!A:G,5,0)+VLOOKUP('תפוקה מצטברת מול אשתקד'!A18,מור!A:G,5,0)+VLOOKUP('תפוקה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אשתקד'!A18,אינפניטי!A:G,5,0)</f>
        <v>105492.36868962141</v>
      </c>
      <c r="J18" s="68">
        <f>VLOOKUP(A18,הכשרה!A:G,6,0)+VLOOKUP('תפוקה מצטברת מול אשתקד'!A18,מגדל!A:G,6,0)+VLOOKUP('תפוקה מצטברת מול אשתקד'!A18,מנורה!A:G,6,0)+VLOOKUP('תפוקה מצטברת מול אשתקד'!A18,איילון!A:G,6,0)+VLOOKUP(A18,הראל!A:G,6,0)+VLOOKUP('תפוקה מצטברת מול אשתקד'!A18,הפניקס!A:G,6,0)+VLOOKUP('תפוקה מצטברת מול אשתקד'!A18,כלל!A:G,6,0)+VLOOKUP('תפוקה מצטברת מול אשתקד'!A18,מור!A:G,6,0)+VLOOKUP('תפוקה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אשתקד'!A18,אינפניטי!A:G,6,0)</f>
        <v>635518.02552999998</v>
      </c>
      <c r="K18" s="68">
        <f>VLOOKUP(A18,הכשרה!A:G,7,0)+VLOOKUP('תפוקה מצטברת מול אשתקד'!A18,מגדל!A:G,7,0)+VLOOKUP('תפוקה מצטברת מול אשתקד'!A18,מנורה!A:G,7,0)+VLOOKUP('תפוקה מצטברת מול אשתקד'!A18,איילון!A:G,7,0)+VLOOKUP('תפוקה מצטברת מול אשתקד'!A18,הראל!A:G,7,0)+VLOOKUP('תפוקה מצטברת מול אשתקד'!A18,הפניקס!A:G,7,0)+VLOOKUP('תפוקה מצטברת מול אשתקד'!A18,כלל!A:G,7,0)+VLOOKUP('תפוקה מצטברת מול אשתקד'!A18,מור!A:G,7,0)+VLOOKUP('תפוקה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אשתקד'!A18,אינפניטי!A:G,7,0)</f>
        <v>5256.77</v>
      </c>
      <c r="L18" s="12">
        <f>VLOOKUP(A18,הכשרה!A:K,8,0)+VLOOKUP('תפוקה מצטברת מול אשתקד'!A18,מגדל!A:K,8,0)+VLOOKUP('תפוקה מצטברת מול אשתקד'!A18,מנורה!A:K,8,0)+VLOOKUP('תפוקה מצטברת מול אשתקד'!A18,איילון!A:K,8,0)+VLOOKUP('תפוקה מצטברת מול אשתקד'!A18,הראל!A:K,8,0)+VLOOKUP('תפוקה מצטברת מול אשתקד'!A18,הפניקס!A:K,8,0)+VLOOKUP('תפוקה מצטברת מול אשתקד'!A18,כלל!A:K,8,0)+VLOOKUP('תפוקה מצטברת מול אשתקד'!A18,מור!A:K,8,0)+VLOOKUP('תפוקה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אשתקד'!A18,אינפניטי!A:K,8,0)</f>
        <v>519896.25962696329</v>
      </c>
      <c r="M18" s="12">
        <f>VLOOKUP(A18,הכשרה!A:K,9,0)+VLOOKUP('תפוקה מצטברת מול אשתקד'!A18,מגדל!A:K,9,0)+VLOOKUP('תפוקה מצטברת מול אשתקד'!A18,מנורה!A:K,9,0)+VLOOKUP('תפוקה מצטברת מול אשתקד'!A18,איילון!A:K,9,0)+VLOOKUP('תפוקה מצטברת מול אשתקד'!A18,הראל!A:K,9,0)+VLOOKUP('תפוקה מצטברת מול אשתקד'!A18,הפניקס!A:K,9,0)+VLOOKUP('תפוקה מצטברת מול אשתקד'!A18,כלל!A:K,9,0)+VLOOKUP('תפוקה מצטברת מול אשתקד'!A18,מור!A:K,9,0)+VLOOKUP('תפוקה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אשתקד'!A18,אינפניטי!A:K,9,0)</f>
        <v>49913.403788731368</v>
      </c>
      <c r="N18" s="12">
        <f>VLOOKUP(A18,הכשרה!A:K,10,0)+VLOOKUP('תפוקה מצטברת מול אשתקד'!A18,מגדל!A:K,10,0)+VLOOKUP('תפוקה מצטברת מול אשתקד'!A18,מנורה!A:K,10,0)+VLOOKUP('תפוקה מצטברת מול אשתקד'!A18,איילון!A:K,10,0)+VLOOKUP('תפוקה מצטברת מול אשתקד'!A18,הראל!A:K,10,0)+VLOOKUP('תפוקה מצטברת מול אשתקד'!A18,הפניקס!A:K,10,0)+VLOOKUP('תפוקה מצטברת מול אשתקד'!A18,כלל!A:K,10,0)+VLOOKUP('תפוקה מצטברת מול אשתקד'!A18,מור!A:K,10,0)+VLOOKUP('תפוקה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אשתקד'!A18,אינפניטי!A:K,10,0)</f>
        <v>12766997.689622739</v>
      </c>
      <c r="O18" s="12">
        <f>VLOOKUP(A18,הכשרה!A:K,11,0)+VLOOKUP('תפוקה מצטברת מול אשתקד'!A18,מגדל!A:K,11,0)+VLOOKUP('תפוקה מצטברת מול אשתקד'!A18,מנורה!A:K,11,0)+VLOOKUP('תפוקה מצטברת מול אשתקד'!A18,איילון!A:K,11,0)+VLOOKUP('תפוקה מצטברת מול אשתקד'!A18,הראל!A:K,11,0)+VLOOKUP('תפוקה מצטברת מול אשתקד'!A18,הפניקס!A:K,11,0)+VLOOKUP('תפוקה מצטברת מול אשתקד'!A18,כלל!A:K,11,0)+VLOOKUP('תפוקה מצטברת מול אשתקד'!A18,מור!A:K,11,0)+VLOOKUP('תפוקה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אשתקד'!A18,אינפניטי!A:K,11,0)</f>
        <v>4580078.51</v>
      </c>
    </row>
    <row r="19" spans="1:18" ht="15.75" customHeight="1" x14ac:dyDescent="0.25">
      <c r="A19" s="27" t="s">
        <v>30</v>
      </c>
      <c r="B19" s="27" t="s">
        <v>116</v>
      </c>
      <c r="C19" s="27" t="s">
        <v>114</v>
      </c>
      <c r="D19" s="20">
        <f t="shared" si="0"/>
        <v>-0.97632003302634152</v>
      </c>
      <c r="E19" s="20">
        <f t="shared" si="1"/>
        <v>0</v>
      </c>
      <c r="F19" s="20">
        <f t="shared" si="2"/>
        <v>0</v>
      </c>
      <c r="G19" s="20">
        <f>IF(K19=0,0%,IF(O19=#REF!,100%,K19/O19-1))</f>
        <v>0</v>
      </c>
      <c r="H19" s="68">
        <f>VLOOKUP(A19,הכשרה!A:G,4,0)+VLOOKUP('תפוקה מצטברת מול אשתקד'!A19,מגדל!A:G,4,0)+VLOOKUP('תפוקה מצטברת מול אשתקד'!A19,מנורה!A:G,4,0)+VLOOKUP('תפוקה מצטברת מול אשתקד'!A19,איילון!A:G,4,0)+VLOOKUP('תפוקה מצטברת מול אשתקד'!A19,הראל!A:G,4,0)+VLOOKUP('תפוקה מצטברת מול אשתקד'!A19,הפניקס!A:G,4,0)+VLOOKUP('תפוקה מצטברת מול אשתקד'!A19,כלל!A:G,4,0)+VLOOKUP('תפוקה מצטברת מול אשתקד'!A19,מור!A:G,4,0)+VLOOKUP('תפוקה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אשתקד'!A19,אינפניטי!A:G,4,0)</f>
        <v>460.93</v>
      </c>
      <c r="I19" s="68">
        <f>VLOOKUP(A19,הכשרה!A:G,5,0)+VLOOKUP('תפוקה מצטברת מול אשתקד'!A19,מגדל!A:G,5,0)+VLOOKUP('תפוקה מצטברת מול אשתקד'!A19,מנורה!A:G,5,0)+VLOOKUP('תפוקה מצטברת מול אשתקד'!A19,איילון!A:G,5,0)+VLOOKUP('תפוקה מצטברת מול אשתקד'!A19,הראל!A:G,5,0)+VLOOKUP('תפוקה מצטברת מול אשתקד'!A19,הפניקס!A:G,5,0)+VLOOKUP('תפוקה מצטברת מול אשתקד'!A19,כלל!A:G,5,0)+VLOOKUP('תפוקה מצטברת מול אשתקד'!A19,מור!A:G,5,0)+VLOOKUP('תפוקה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אשתקד'!A19,אינפניטי!A:G,5,0)</f>
        <v>0</v>
      </c>
      <c r="J19" s="68">
        <f>VLOOKUP(A19,הכשרה!A:G,6,0)+VLOOKUP('תפוקה מצטברת מול אשתקד'!A19,מגדל!A:G,6,0)+VLOOKUP('תפוקה מצטברת מול אשתקד'!A19,מנורה!A:G,6,0)+VLOOKUP('תפוקה מצטברת מול אשתקד'!A19,איילון!A:G,6,0)+VLOOKUP(A19,הראל!A:G,6,0)+VLOOKUP('תפוקה מצטברת מול אשתקד'!A19,הפניקס!A:G,6,0)+VLOOKUP('תפוקה מצטברת מול אשתקד'!A19,כלל!A:G,6,0)+VLOOKUP('תפוקה מצטברת מול אשתקד'!A19,מור!A:G,6,0)+VLOOKUP('תפוקה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אשתקד'!A19,אינפניטי!A:G,6,0)</f>
        <v>0</v>
      </c>
      <c r="K19" s="68">
        <f>VLOOKUP(A19,הכשרה!A:G,7,0)+VLOOKUP('תפוקה מצטברת מול אשתקד'!A19,מגדל!A:G,7,0)+VLOOKUP('תפוקה מצטברת מול אשתקד'!A19,מנורה!A:G,7,0)+VLOOKUP('תפוקה מצטברת מול אשתקד'!A19,איילון!A:G,7,0)+VLOOKUP('תפוקה מצטברת מול אשתקד'!A19,הראל!A:G,7,0)+VLOOKUP('תפוקה מצטברת מול אשתקד'!A19,הפניקס!A:G,7,0)+VLOOKUP('תפוקה מצטברת מול אשתקד'!A19,כלל!A:G,7,0)+VLOOKUP('תפוקה מצטברת מול אשתקד'!A19,מור!A:G,7,0)+VLOOKUP('תפוקה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אשתקד'!A19,אינפניטי!A:G,7,0)</f>
        <v>0</v>
      </c>
      <c r="L19" s="12">
        <f>VLOOKUP(A19,הכשרה!A:K,8,0)+VLOOKUP('תפוקה מצטברת מול אשתקד'!A19,מגדל!A:K,8,0)+VLOOKUP('תפוקה מצטברת מול אשתקד'!A19,מנורה!A:K,8,0)+VLOOKUP('תפוקה מצטברת מול אשתקד'!A19,איילון!A:K,8,0)+VLOOKUP('תפוקה מצטברת מול אשתקד'!A19,הראל!A:K,8,0)+VLOOKUP('תפוקה מצטברת מול אשתקד'!A19,הפניקס!A:K,8,0)+VLOOKUP('תפוקה מצטברת מול אשתקד'!A19,כלל!A:K,8,0)+VLOOKUP('תפוקה מצטברת מול אשתקד'!A19,מור!A:K,8,0)+VLOOKUP('תפוקה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אשתקד'!A19,אינפניטי!A:K,8,0)</f>
        <v>19464.976471999998</v>
      </c>
      <c r="M19" s="12">
        <f>VLOOKUP(A19,הכשרה!A:K,9,0)+VLOOKUP('תפוקה מצטברת מול אשתקד'!A19,מגדל!A:K,9,0)+VLOOKUP('תפוקה מצטברת מול אשתקד'!A19,מנורה!A:K,9,0)+VLOOKUP('תפוקה מצטברת מול אשתקד'!A19,איילון!A:K,9,0)+VLOOKUP('תפוקה מצטברת מול אשתקד'!A19,הראל!A:K,9,0)+VLOOKUP('תפוקה מצטברת מול אשתקד'!A19,הפניקס!A:K,9,0)+VLOOKUP('תפוקה מצטברת מול אשתקד'!A19,כלל!A:K,9,0)+VLOOKUP('תפוקה מצטברת מול אשתקד'!A19,מור!A:K,9,0)+VLOOKUP('תפוקה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אשתקד'!A19,אינפניטי!A:K,9,0)</f>
        <v>891.41106400000001</v>
      </c>
      <c r="N19" s="12">
        <f>VLOOKUP(A19,הכשרה!A:K,10,0)+VLOOKUP('תפוקה מצטברת מול אשתקד'!A19,מגדל!A:K,10,0)+VLOOKUP('תפוקה מצטברת מול אשתקד'!A19,מנורה!A:K,10,0)+VLOOKUP('תפוקה מצטברת מול אשתקד'!A19,איילון!A:K,10,0)+VLOOKUP('תפוקה מצטברת מול אשתקד'!A19,הראל!A:K,10,0)+VLOOKUP('תפוקה מצטברת מול אשתקד'!A19,הפניקס!A:K,10,0)+VLOOKUP('תפוקה מצטברת מול אשתקד'!A19,כלל!A:K,10,0)+VLOOKUP('תפוקה מצטברת מול אשתקד'!A19,מור!A:K,10,0)+VLOOKUP('תפוקה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אשתקד'!A19,אינפניטי!A:K,10,0)</f>
        <v>24205.737514</v>
      </c>
      <c r="O19" s="12">
        <f>VLOOKUP(A19,הכשרה!A:K,11,0)+VLOOKUP('תפוקה מצטברת מול אשתקד'!A19,מגדל!A:K,11,0)+VLOOKUP('תפוקה מצטברת מול אשתקד'!A19,מנורה!A:K,11,0)+VLOOKUP('תפוקה מצטברת מול אשתקד'!A19,איילון!A:K,11,0)+VLOOKUP('תפוקה מצטברת מול אשתקד'!A19,הראל!A:K,11,0)+VLOOKUP('תפוקה מצטברת מול אשתקד'!A19,הפניקס!A:K,11,0)+VLOOKUP('תפוקה מצטברת מול אשתקד'!A19,כלל!A:K,11,0)+VLOOKUP('תפוקה מצטברת מול אשתקד'!A19,מור!A:K,11,0)+VLOOKUP('תפוקה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אשתקד'!A19,אינפניטי!A:K,11,0)</f>
        <v>25176.68447</v>
      </c>
    </row>
    <row r="20" spans="1:18" ht="15.75" customHeight="1" thickBot="1" x14ac:dyDescent="0.3">
      <c r="A20" s="29" t="s">
        <v>38</v>
      </c>
      <c r="B20" s="27" t="s">
        <v>116</v>
      </c>
      <c r="C20" s="29" t="s">
        <v>114</v>
      </c>
      <c r="D20" s="118">
        <f t="shared" si="0"/>
        <v>0</v>
      </c>
      <c r="E20" s="118">
        <f t="shared" si="1"/>
        <v>0</v>
      </c>
      <c r="F20" s="118">
        <f t="shared" si="2"/>
        <v>0</v>
      </c>
      <c r="G20" s="20">
        <f>IF(K20=0,0%,IF(O20=#REF!,100%,K20/O20-1))</f>
        <v>0</v>
      </c>
      <c r="H20" s="68">
        <f>VLOOKUP(A20,הכשרה!A:G,4,0)+VLOOKUP('תפוקה מצטברת מול אשתקד'!A20,מגדל!A:G,4,0)+VLOOKUP('תפוקה מצטברת מול אשתקד'!A20,מנורה!A:G,4,0)+VLOOKUP('תפוקה מצטברת מול אשתקד'!A20,איילון!A:G,4,0)+VLOOKUP('תפוקה מצטברת מול אשתקד'!A20,הראל!A:G,4,0)+VLOOKUP('תפוקה מצטברת מול אשתקד'!A20,הפניקס!A:G,4,0)+VLOOKUP('תפוקה מצטברת מול אשתקד'!A20,כלל!A:G,4,0)+VLOOKUP('תפוקה מצטברת מול אשתקד'!A20,מור!A:G,4,0)+VLOOKUP('תפוקה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אשתקד'!A20,אינפניטי!A:G,4,0)</f>
        <v>0</v>
      </c>
      <c r="I20" s="68">
        <f>VLOOKUP(A20,הכשרה!A:G,5,0)+VLOOKUP('תפוקה מצטברת מול אשתקד'!A20,מגדל!A:G,5,0)+VLOOKUP('תפוקה מצטברת מול אשתקד'!A20,מנורה!A:G,5,0)+VLOOKUP('תפוקה מצטברת מול אשתקד'!A20,איילון!A:G,5,0)+VLOOKUP('תפוקה מצטברת מול אשתקד'!A20,הראל!A:G,5,0)+VLOOKUP('תפוקה מצטברת מול אשתקד'!A20,הפניקס!A:G,5,0)+VLOOKUP('תפוקה מצטברת מול אשתקד'!A20,כלל!A:G,5,0)+VLOOKUP('תפוקה מצטברת מול אשתקד'!A20,מור!A:G,5,0)+VLOOKUP('תפוקה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אשתקד'!A20,אינפניטי!A:G,5,0)</f>
        <v>0</v>
      </c>
      <c r="J20" s="68">
        <f>VLOOKUP(A20,הכשרה!A:G,6,0)+VLOOKUP('תפוקה מצטברת מול אשתקד'!A20,מגדל!A:G,6,0)+VLOOKUP('תפוקה מצטברת מול אשתקד'!A20,מנורה!A:G,6,0)+VLOOKUP('תפוקה מצטברת מול אשתקד'!A20,איילון!A:G,6,0)+VLOOKUP(A20,הראל!A:G,6,0)+VLOOKUP('תפוקה מצטברת מול אשתקד'!A20,הפניקס!A:G,6,0)+VLOOKUP('תפוקה מצטברת מול אשתקד'!A20,כלל!A:G,6,0)+VLOOKUP('תפוקה מצטברת מול אשתקד'!A20,מור!A:G,6,0)+VLOOKUP('תפוקה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אשתקד'!A20,אינפניטי!A:G,6,0)</f>
        <v>0</v>
      </c>
      <c r="K20" s="68">
        <f>VLOOKUP(A20,הכשרה!A:G,7,0)+VLOOKUP('תפוקה מצטברת מול אשתקד'!A20,מגדל!A:G,7,0)+VLOOKUP('תפוקה מצטברת מול אשתקד'!A20,מנורה!A:G,7,0)+VLOOKUP('תפוקה מצטברת מול אשתקד'!A20,איילון!A:G,7,0)+VLOOKUP('תפוקה מצטברת מול אשתקד'!A20,הראל!A:G,7,0)+VLOOKUP('תפוקה מצטברת מול אשתקד'!A20,הפניקס!A:G,7,0)+VLOOKUP('תפוקה מצטברת מול אשתקד'!A20,כלל!A:G,7,0)+VLOOKUP('תפוקה מצטברת מול אשתקד'!A20,מור!A:G,7,0)+VLOOKUP('תפוקה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אשתקד'!A20,אינפניטי!A:G,7,0)</f>
        <v>0</v>
      </c>
      <c r="L20" s="12">
        <f>VLOOKUP(A20,הכשרה!A:K,8,0)+VLOOKUP('תפוקה מצטברת מול אשתקד'!A20,מגדל!A:K,8,0)+VLOOKUP('תפוקה מצטברת מול אשתקד'!A20,מנורה!A:K,8,0)+VLOOKUP('תפוקה מצטברת מול אשתקד'!A20,איילון!A:K,8,0)+VLOOKUP('תפוקה מצטברת מול אשתקד'!A20,הראל!A:K,8,0)+VLOOKUP('תפוקה מצטברת מול אשתקד'!A20,הפניקס!A:K,8,0)+VLOOKUP('תפוקה מצטברת מול אשתקד'!A20,כלל!A:K,8,0)+VLOOKUP('תפוקה מצטברת מול אשתקד'!A20,מור!A:K,8,0)+VLOOKUP('תפוקה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אשתקד'!A20,אינפניטי!A:K,8,0)</f>
        <v>74770.666249999995</v>
      </c>
      <c r="M20" s="12">
        <f>VLOOKUP(A20,הכשרה!A:K,9,0)+VLOOKUP('תפוקה מצטברת מול אשתקד'!A20,מגדל!A:K,9,0)+VLOOKUP('תפוקה מצטברת מול אשתקד'!A20,מנורה!A:K,9,0)+VLOOKUP('תפוקה מצטברת מול אשתקד'!A20,איילון!A:K,9,0)+VLOOKUP('תפוקה מצטברת מול אשתקד'!A20,הראל!A:K,9,0)+VLOOKUP('תפוקה מצטברת מול אשתקד'!A20,הפניקס!A:K,9,0)+VLOOKUP('תפוקה מצטברת מול אשתקד'!A20,כלל!A:K,9,0)+VLOOKUP('תפוקה מצטברת מול אשתקד'!A20,מור!A:K,9,0)+VLOOKUP('תפוקה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אשתקד'!A20,אינפניטי!A:K,9,0)</f>
        <v>1119.3150000000001</v>
      </c>
      <c r="N20" s="12">
        <f>VLOOKUP(A20,הכשרה!A:K,10,0)+VLOOKUP('תפוקה מצטברת מול אשתקד'!A20,מגדל!A:K,10,0)+VLOOKUP('תפוקה מצטברת מול אשתקד'!A20,מנורה!A:K,10,0)+VLOOKUP('תפוקה מצטברת מול אשתקד'!A20,איילון!A:K,10,0)+VLOOKUP('תפוקה מצטברת מול אשתקד'!A20,הראל!A:K,10,0)+VLOOKUP('תפוקה מצטברת מול אשתקד'!A20,הפניקס!A:K,10,0)+VLOOKUP('תפוקה מצטברת מול אשתקד'!A20,כלל!A:K,10,0)+VLOOKUP('תפוקה מצטברת מול אשתקד'!A20,מור!A:K,10,0)+VLOOKUP('תפוקה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אשתקד'!A20,אינפניטי!A:K,10,0)</f>
        <v>11990.183786</v>
      </c>
      <c r="O20" s="12">
        <f>VLOOKUP(A20,הכשרה!A:K,11,0)+VLOOKUP('תפוקה מצטברת מול אשתקד'!A20,מגדל!A:K,11,0)+VLOOKUP('תפוקה מצטברת מול אשתקד'!A20,מנורה!A:K,11,0)+VLOOKUP('תפוקה מצטברת מול אשתקד'!A20,איילון!A:K,11,0)+VLOOKUP('תפוקה מצטברת מול אשתקד'!A20,הראל!A:K,11,0)+VLOOKUP('תפוקה מצטברת מול אשתקד'!A20,הפניקס!A:K,11,0)+VLOOKUP('תפוקה מצטברת מול אשתקד'!A20,כלל!A:K,11,0)+VLOOKUP('תפוקה מצטברת מול אשתקד'!A20,מור!A:K,11,0)+VLOOKUP('תפוקה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אשתקד'!A20,אינפניטי!A:K,11,0)</f>
        <v>0</v>
      </c>
    </row>
    <row r="21" spans="1:18" ht="18" customHeight="1" thickBot="1" x14ac:dyDescent="0.3">
      <c r="A21" s="143" t="s">
        <v>10</v>
      </c>
      <c r="B21" s="142"/>
      <c r="C21" s="142"/>
      <c r="D21" s="147">
        <f t="shared" si="0"/>
        <v>-0.84720074323944605</v>
      </c>
      <c r="E21" s="147">
        <f t="shared" si="1"/>
        <v>-0.56793628925443407</v>
      </c>
      <c r="F21" s="147">
        <f t="shared" si="2"/>
        <v>-0.94158332148217261</v>
      </c>
      <c r="G21" s="147">
        <f>IF(K21=0,0%,IF(O21=H55,100%,K21/O21-1))</f>
        <v>-0.97041888965969536</v>
      </c>
      <c r="H21" s="145">
        <f>SUM(H9:H20)</f>
        <v>358596.72931479575</v>
      </c>
      <c r="I21" s="145">
        <f>SUM(I9:I20)</f>
        <v>276135.67093202623</v>
      </c>
      <c r="J21" s="145">
        <f t="shared" ref="I21:O21" si="5">SUM(J9:J20)</f>
        <v>1343239.037</v>
      </c>
      <c r="K21" s="145">
        <f t="shared" si="5"/>
        <v>399567.57</v>
      </c>
      <c r="L21" s="145">
        <f t="shared" si="5"/>
        <v>2346848.6491183625</v>
      </c>
      <c r="M21" s="145">
        <f t="shared" si="5"/>
        <v>639108.68713210966</v>
      </c>
      <c r="N21" s="145">
        <f t="shared" si="5"/>
        <v>22994101.531980738</v>
      </c>
      <c r="O21" s="145">
        <f t="shared" si="5"/>
        <v>13507524.410116</v>
      </c>
      <c r="P21" s="39"/>
      <c r="Q21" s="39"/>
      <c r="R21" s="39"/>
    </row>
    <row r="22" spans="1:18" ht="15.75" customHeight="1" x14ac:dyDescent="0.25">
      <c r="A22" s="28" t="s">
        <v>11</v>
      </c>
      <c r="B22" s="28" t="s">
        <v>56</v>
      </c>
      <c r="C22" s="28" t="s">
        <v>115</v>
      </c>
      <c r="D22" s="120">
        <f t="shared" si="0"/>
        <v>-0.933385744688906</v>
      </c>
      <c r="E22" s="120">
        <f t="shared" si="1"/>
        <v>-0.98777304880441785</v>
      </c>
      <c r="F22" s="120">
        <f t="shared" si="2"/>
        <v>-0.9652881325430599</v>
      </c>
      <c r="G22" s="120">
        <f>IF(K22=0,0%,IF(O22=H56,100%,K22/O22-1))</f>
        <v>0</v>
      </c>
      <c r="H22" s="68">
        <f>VLOOKUP(A22,הכשרה!A:G,4,0)+VLOOKUP('תפוקה מצטברת מול אשתקד'!A22,מגדל!A:G,4,0)+VLOOKUP('תפוקה מצטברת מול אשתקד'!A22,מנורה!A:G,4,0)+VLOOKUP('תפוקה מצטברת מול אשתקד'!A22,איילון!A:G,4,0)+VLOOKUP('תפוקה מצטברת מול אשתקד'!A22,הראל!A:G,4,0)+VLOOKUP('תפוקה מצטברת מול אשתקד'!A22,הפניקס!A:G,4,0)+VLOOKUP('תפוקה מצטברת מול אשתקד'!A22,כלל!A:G,4,0)+VLOOKUP('תפוקה מצטברת מול אשתקד'!A22,מור!A:G,4,0)+VLOOKUP('תפוקה מצטברת מול אשתקד'!A22,'אלטשולר שחם'!A:G,4,0)+VLOOKUP('תפוקה מצטברת מול אשתקד'!A22,'מדיהו '!A:G,4,0)+VLOOKUP('תפוקה מצטברת מול אשתקד'!A22,'אנליסט '!A:G,4,0)+VLOOKUP('תפוקה מצטברת מול אשתקד'!A22,'מיטב דש'!A:G,4,0)+VLOOKUP('תפוקה מצטברת מול אשתקד'!A22,אינפניטי!A:G,4,0)</f>
        <v>101088.542705</v>
      </c>
      <c r="I22" s="68">
        <f>VLOOKUP(A22,הכשרה!A:G,5,0)+VLOOKUP('תפוקה מצטברת מול אשתקד'!A22,מגדל!A:G,5,0)+VLOOKUP('תפוקה מצטברת מול אשתקד'!A22,מנורה!A:G,5,0)+VLOOKUP('תפוקה מצטברת מול אשתקד'!A22,איילון!A:G,5,0)+VLOOKUP('תפוקה מצטברת מול אשתקד'!A22,הראל!A:G,5,0)+VLOOKUP('תפוקה מצטברת מול אשתקד'!A22,הפניקס!A:G,5,0)+VLOOKUP('תפוקה מצטברת מול אשתקד'!A22,כלל!A:G,5,0)+VLOOKUP('תפוקה מצטברת מול אשתקד'!A22,מור!A:G,5,0)+VLOOKUP('תפוקה מצטברת מול אשתקד'!A22,'אלטשולר שחם'!A:G,5,0)+VLOOKUP('תפוקה מצטברת מול אשתקד'!A22,'מדיהו '!A:G,5,0)+VLOOKUP('תפוקה מצטברת מול אשתקד'!A22,'אנליסט '!A:G,5,0)+VLOOKUP('תפוקה מצטברת מול אשתקד'!A22,'מיטב דש'!A:G,5,0)+VLOOKUP('תפוקה מצטברת מול אשתקד'!A22,אינפניטי!A:G,5,0)</f>
        <v>1861.9500200000002</v>
      </c>
      <c r="J22" s="68">
        <f>VLOOKUP(A22,הכשרה!A:G,6,0)+VLOOKUP('תפוקה מצטברת מול אשתקד'!A22,מגדל!A:G,6,0)+VLOOKUP('תפוקה מצטברת מול אשתקד'!A22,מנורה!A:G,6,0)+VLOOKUP('תפוקה מצטברת מול אשתקד'!A22,איילון!A:G,6,0)+VLOOKUP(A22,הראל!A:G,6,0)+VLOOKUP('תפוקה מצטברת מול אשתקד'!A22,הפניקס!A:G,6,0)+VLOOKUP('תפוקה מצטברת מול אשתקד'!A22,כלל!A:G,6,0)+VLOOKUP('תפוקה מצטברת מול אשתקד'!A22,מור!A:G,6,0)+VLOOKUP('תפוקה מצטברת מול אשתקד'!A22,'אלטשולר שחם'!A:G,6,0)+VLOOKUP('תפוקה מצטברת מול אשתקד'!A22,'מדיהו '!A:G,6,0)+VLOOKUP('תפוקה מצטברת מול אשתקד'!A22,'אנליסט '!A:G,6,0)+VLOOKUP('תפוקה מצטברת מול אשתקד'!A22,'מיטב דש'!A:G,6,0)+VLOOKUP('תפוקה מצטברת מול אשתקד'!A22,אינפניטי!A:G,6,0)</f>
        <v>27061.149270000002</v>
      </c>
      <c r="K22" s="68">
        <f>VLOOKUP(A22,הכשרה!A:G,7,0)+VLOOKUP('תפוקה מצטברת מול אשתקד'!A22,מגדל!A:G,7,0)+VLOOKUP('תפוקה מצטברת מול אשתקד'!A22,מנורה!A:G,7,0)+VLOOKUP('תפוקה מצטברת מול אשתקד'!A22,איילון!A:G,7,0)+VLOOKUP('תפוקה מצטברת מול אשתקד'!A22,הראל!A:G,7,0)+VLOOKUP('תפוקה מצטברת מול אשתקד'!A22,הפניקס!A:G,7,0)+VLOOKUP('תפוקה מצטברת מול אשתקד'!A22,כלל!A:G,7,0)+VLOOKUP('תפוקה מצטברת מול אשתקד'!A22,מור!A:G,7,0)+VLOOKUP('תפוקה מצטברת מול אשתקד'!A22,'אלטשולר שחם'!A:G,7,0)+VLOOKUP('תפוקה מצטברת מול אשתקד'!A22,'מדיהו '!A:K,7,0)+VLOOKUP(A22,'אנליסט '!A:G,7,0)+VLOOKUP('תפוקה מצטברת מול אשתקד'!A22,'מיטב דש'!A:G,7,0)+VLOOKUP('תפוקה מצטברת מול אשתקד'!A22,אינפניטי!A:G,7,0)</f>
        <v>0</v>
      </c>
      <c r="L22" s="12">
        <f>VLOOKUP(A22,הכשרה!A:K,8,0)+VLOOKUP('תפוקה מצטברת מול אשתקד'!A22,מגדל!A:K,8,0)+VLOOKUP('תפוקה מצטברת מול אשתקד'!A22,מנורה!A:K,8,0)+VLOOKUP('תפוקה מצטברת מול אשתקד'!A22,איילון!A:K,8,0)+VLOOKUP('תפוקה מצטברת מול אשתקד'!A22,הראל!A:K,8,0)+VLOOKUP('תפוקה מצטברת מול אשתקד'!A22,הפניקס!A:K,8,0)+VLOOKUP('תפוקה מצטברת מול אשתקד'!A22,כלל!A:K,8,0)+VLOOKUP('תפוקה מצטברת מול אשתקד'!A22,מור!A:K,8,0)+VLOOKUP('תפוקה מצטברת מול אשתקד'!A22,'אלטשולר שחם'!A:K,8,0)+VLOOKUP('תפוקה מצטברת מול אשתקד'!A22,'מדיהו '!A:K,8,0)+VLOOKUP('תפוקה מצטברת מול אשתקד'!A22,'אנליסט '!A:K,8,0)+VLOOKUP('תפוקה מצטברת מול אשתקד'!A22,'מיטב דש'!A:K,8,0)+VLOOKUP('תפוקה מצטברת מול אשתקד'!A22,אינפניטי!A:K,8,0)</f>
        <v>1517521.1707000001</v>
      </c>
      <c r="M22" s="12">
        <f>VLOOKUP(A22,הכשרה!A:K,9,0)+VLOOKUP('תפוקה מצטברת מול אשתקד'!A22,מגדל!A:K,9,0)+VLOOKUP('תפוקה מצטברת מול אשתקד'!A22,מנורה!A:K,9,0)+VLOOKUP('תפוקה מצטברת מול אשתקד'!A22,איילון!A:K,9,0)+VLOOKUP('תפוקה מצטברת מול אשתקד'!A22,הראל!A:K,9,0)+VLOOKUP('תפוקה מצטברת מול אשתקד'!A22,הפניקס!A:K,9,0)+VLOOKUP('תפוקה מצטברת מול אשתקד'!A22,כלל!A:K,9,0)+VLOOKUP('תפוקה מצטברת מול אשתקד'!A22,מור!A:K,9,0)+VLOOKUP('תפוקה מצטברת מול אשתקד'!A22,'אלטשולר שחם'!A:K,9,0)+VLOOKUP('תפוקה מצטברת מול אשתקד'!A22,'מדיהו '!A:K,9,0)+VLOOKUP('תפוקה מצטברת מול אשתקד'!A22,'אנליסט '!A:K,9,0)+VLOOKUP('תפוקה מצטברת מול אשתקד'!A22,'מיטב דש'!A:K,9,0)+VLOOKUP('תפוקה מצטברת מול אשתקד'!A22,אינפניטי!A:K,9,0)</f>
        <v>152282.44475800003</v>
      </c>
      <c r="N22" s="12">
        <f>VLOOKUP(A22,הכשרה!A:K,10,0)+VLOOKUP('תפוקה מצטברת מול אשתקד'!A22,מגדל!A:K,10,0)+VLOOKUP('תפוקה מצטברת מול אשתקד'!A22,מנורה!A:K,10,0)+VLOOKUP('תפוקה מצטברת מול אשתקד'!A22,איילון!A:K,10,0)+VLOOKUP('תפוקה מצטברת מול אשתקד'!A22,הראל!A:K,10,0)+VLOOKUP('תפוקה מצטברת מול אשתקד'!A22,הפניקס!A:K,10,0)+VLOOKUP('תפוקה מצטברת מול אשתקד'!A22,כלל!A:K,10,0)+VLOOKUP('תפוקה מצטברת מול אשתקד'!A22,מור!A:K,10,0)+VLOOKUP('תפוקה מצטברת מול אשתקד'!A22,'אלטשולר שחם'!A:K,10,0)+VLOOKUP('תפוקה מצטברת מול אשתקד'!A22,'מדיהו '!A:K,10,0)+VLOOKUP('תפוקה מצטברת מול אשתקד'!A22,'אנליסט '!A:K,10,0)+VLOOKUP('תפוקה מצטברת מול אשתקד'!A22,'מיטב דש'!A:K,10,0)+VLOOKUP('תפוקה מצטברת מול אשתקד'!A22,אינפניטי!A:K,10,0)</f>
        <v>779593.58722400002</v>
      </c>
      <c r="O22" s="12">
        <f>VLOOKUP(A22,הכשרה!A:K,11,0)+VLOOKUP('תפוקה מצטברת מול אשתקד'!A22,מגדל!A:K,11,0)+VLOOKUP('תפוקה מצטברת מול אשתקד'!A22,מנורה!A:K,11,0)+VLOOKUP('תפוקה מצטברת מול אשתקד'!A22,איילון!A:K,11,0)+VLOOKUP('תפוקה מצטברת מול אשתקד'!A22,הראל!A:K,11,0)+VLOOKUP('תפוקה מצטברת מול אשתקד'!A22,הפניקס!A:K,11,0)+VLOOKUP('תפוקה מצטברת מול אשתקד'!A22,כלל!A:K,11,0)+VLOOKUP('תפוקה מצטברת מול אשתקד'!A22,מור!A:K,11,0)+VLOOKUP('תפוקה מצטברת מול אשתקד'!A22,'אלטשולר שחם'!A:K,11,0)+VLOOKUP('תפוקה מצטברת מול אשתקד'!A22,'מדיהו '!A:K,11,0)+VLOOKUP('תפוקה מצטברת מול אשתקד'!A22,'אנליסט '!A:K,11,0)+VLOOKUP('תפוקה מצטברת מול אשתקד'!A22,'מיטב דש'!A:K,11,0)+VLOOKUP('תפוקה מצטברת מול אשתקד'!A22,אינפניטי!A:K,11,0)</f>
        <v>6164780.0192820001</v>
      </c>
    </row>
    <row r="23" spans="1:18" customFormat="1" ht="15.75" customHeight="1" x14ac:dyDescent="0.25">
      <c r="A23" s="31" t="s">
        <v>12</v>
      </c>
      <c r="B23" s="27" t="s">
        <v>56</v>
      </c>
      <c r="C23" s="28" t="s">
        <v>115</v>
      </c>
      <c r="D23" s="20">
        <f t="shared" si="0"/>
        <v>0</v>
      </c>
      <c r="E23" s="20">
        <f t="shared" si="1"/>
        <v>-0.74261360014793443</v>
      </c>
      <c r="F23" s="20">
        <f t="shared" si="2"/>
        <v>-0.87633358970637931</v>
      </c>
      <c r="G23" s="20">
        <f>IF(K23=0,0%,IF(O23=H40,100%,K23/O23-1))</f>
        <v>0</v>
      </c>
      <c r="H23" s="68">
        <f>VLOOKUP(A23,הכשרה!A:G,4,0)+VLOOKUP('תפוקה מצטברת מול אשתקד'!A23,מגדל!A:G,4,0)+VLOOKUP('תפוקה מצטברת מול אשתקד'!A23,מנורה!A:G,4,0)+VLOOKUP('תפוקה מצטברת מול אשתקד'!A23,איילון!A:G,4,0)+VLOOKUP('תפוקה מצטברת מול אשתקד'!A23,הראל!A:G,4,0)+VLOOKUP('תפוקה מצטברת מול אשתקד'!A23,הפניקס!A:G,4,0)+VLOOKUP('תפוקה מצטברת מול אשתקד'!A23,כלל!A:G,4,0)+VLOOKUP('תפוקה מצטברת מול אשתקד'!A23,מור!A:G,4,0)+VLOOKUP('תפוקה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אשתקד'!A23,אינפניטי!A:G,4,0)</f>
        <v>0</v>
      </c>
      <c r="I23" s="68">
        <f>VLOOKUP(A23,הכשרה!A:G,5,0)+VLOOKUP('תפוקה מצטברת מול אשתקד'!A23,מגדל!A:G,5,0)+VLOOKUP('תפוקה מצטברת מול אשתקד'!A23,מנורה!A:G,5,0)+VLOOKUP('תפוקה מצטברת מול אשתקד'!A23,איילון!A:G,5,0)+VLOOKUP('תפוקה מצטברת מול אשתקד'!A23,הראל!A:G,5,0)+VLOOKUP('תפוקה מצטברת מול אשתקד'!A23,הפניקס!A:G,5,0)+VLOOKUP('תפוקה מצטברת מול אשתקד'!A23,כלל!A:G,5,0)+VLOOKUP('תפוקה מצטברת מול אשתקד'!A23,מור!A:G,5,0)+VLOOKUP('תפוקה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אשתקד'!A23,אינפניטי!A:G,5,0)</f>
        <v>4736.2215772980189</v>
      </c>
      <c r="J23" s="68">
        <f>VLOOKUP(A23,הכשרה!A:G,6,0)+VLOOKUP('תפוקה מצטברת מול אשתקד'!A23,מגדל!A:G,6,0)+VLOOKUP('תפוקה מצטברת מול אשתקד'!A23,מנורה!A:G,6,0)+VLOOKUP('תפוקה מצטברת מול אשתקד'!A23,איילון!A:G,6,0)+VLOOKUP(A23,הראל!A:G,6,0)+VLOOKUP('תפוקה מצטברת מול אשתקד'!A23,הפניקס!A:G,6,0)+VLOOKUP('תפוקה מצטברת מול אשתקד'!A23,כלל!A:G,6,0)+VLOOKUP('תפוקה מצטברת מול אשתקד'!A23,מור!A:G,6,0)+VLOOKUP('תפוקה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אשתקד'!A23,אינפניטי!A:G,6,0)</f>
        <v>34106.283915</v>
      </c>
      <c r="K23" s="68">
        <f>VLOOKUP(A23,הכשרה!A:G,7,0)+VLOOKUP('תפוקה מצטברת מול אשתקד'!A23,מגדל!A:G,7,0)+VLOOKUP('תפוקה מצטברת מול אשתקד'!A23,מנורה!A:G,7,0)+VLOOKUP('תפוקה מצטברת מול אשתקד'!A23,איילון!A:G,7,0)+VLOOKUP('תפוקה מצטברת מול אשתקד'!A23,הראל!A:G,7,0)+VLOOKUP('תפוקה מצטברת מול אשתקד'!A23,הפניקס!A:G,7,0)+VLOOKUP('תפוקה מצטברת מול אשתקד'!A23,כלל!A:G,7,0)+VLOOKUP('תפוקה מצטברת מול אשתקד'!A23,מור!A:G,7,0)+VLOOKUP('תפוקה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אשתקד'!A23,אינפניטי!A:G,7,0)</f>
        <v>0</v>
      </c>
      <c r="L23" s="12">
        <f>VLOOKUP(A23,הכשרה!A:K,8,0)+VLOOKUP('תפוקה מצטברת מול אשתקד'!A23,מגדל!A:K,8,0)+VLOOKUP('תפוקה מצטברת מול אשתקד'!A23,מנורה!A:K,8,0)+VLOOKUP('תפוקה מצטברת מול אשתקד'!A23,איילון!A:K,8,0)+VLOOKUP('תפוקה מצטברת מול אשתקד'!A23,הראל!A:K,8,0)+VLOOKUP('תפוקה מצטברת מול אשתקד'!A23,הפניקס!A:K,8,0)+VLOOKUP('תפוקה מצטברת מול אשתקד'!A23,כלל!A:K,8,0)+VLOOKUP('תפוקה מצטברת מול אשתקד'!A23,מור!A:K,8,0)+VLOOKUP('תפוקה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אשתקד'!A23,אינפניטי!A:K,8,0)</f>
        <v>221666.44691800003</v>
      </c>
      <c r="M23" s="12">
        <f>VLOOKUP(A23,הכשרה!A:K,9,0)+VLOOKUP('תפוקה מצטברת מול אשתקד'!A23,מגדל!A:K,9,0)+VLOOKUP('תפוקה מצטברת מול אשתקד'!A23,מנורה!A:K,9,0)+VLOOKUP('תפוקה מצטברת מול אשתקד'!A23,איילון!A:K,9,0)+VLOOKUP('תפוקה מצטברת מול אשתקד'!A23,הראל!A:K,9,0)+VLOOKUP('תפוקה מצטברת מול אשתקד'!A23,הפניקס!A:K,9,0)+VLOOKUP('תפוקה מצטברת מול אשתקד'!A23,כלל!A:K,9,0)+VLOOKUP('תפוקה מצטברת מול אשתקד'!A23,מור!A:K,9,0)+VLOOKUP('תפוקה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אשתקד'!A23,אינפניטי!A:K,9,0)</f>
        <v>18401.211486000004</v>
      </c>
      <c r="N23" s="12">
        <f>VLOOKUP(A23,הכשרה!A:K,10,0)+VLOOKUP('תפוקה מצטברת מול אשתקד'!A23,מגדל!A:K,10,0)+VLOOKUP('תפוקה מצטברת מול אשתקד'!A23,מנורה!A:K,10,0)+VLOOKUP('תפוקה מצטברת מול אשתקד'!A23,איילון!A:K,10,0)+VLOOKUP('תפוקה מצטברת מול אשתקד'!A23,הראל!A:K,10,0)+VLOOKUP('תפוקה מצטברת מול אשתקד'!A23,הפניקס!A:K,10,0)+VLOOKUP('תפוקה מצטברת מול אשתקד'!A23,כלל!A:K,10,0)+VLOOKUP('תפוקה מצטברת מול אשתקד'!A23,מור!A:K,10,0)+VLOOKUP('תפוקה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אשתקד'!A23,אינפניטי!A:K,10,0)</f>
        <v>275792.62496600003</v>
      </c>
      <c r="O23" s="12">
        <f>VLOOKUP(A23,הכשרה!A:K,11,0)+VLOOKUP('תפוקה מצטברת מול אשתקד'!A23,מגדל!A:K,11,0)+VLOOKUP('תפוקה מצטברת מול אשתקד'!A23,מנורה!A:K,11,0)+VLOOKUP('תפוקה מצטברת מול אשתקד'!A23,איילון!A:K,11,0)+VLOOKUP('תפוקה מצטברת מול אשתקד'!A23,הראל!A:K,11,0)+VLOOKUP('תפוקה מצטברת מול אשתקד'!A23,הפניקס!A:K,11,0)+VLOOKUP('תפוקה מצטברת מול אשתקד'!A23,כלל!A:K,11,0)+VLOOKUP('תפוקה מצטברת מול אשתקד'!A23,מור!A:K,11,0)+VLOOKUP('תפוקה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אשתקד'!A23,אינפניטי!A:K,11,0)</f>
        <v>193190.53209999998</v>
      </c>
    </row>
    <row r="24" spans="1:18" ht="15.75" customHeight="1" x14ac:dyDescent="0.25">
      <c r="A24" s="31" t="s">
        <v>13</v>
      </c>
      <c r="B24" s="27" t="s">
        <v>56</v>
      </c>
      <c r="C24" s="28" t="s">
        <v>115</v>
      </c>
      <c r="D24" s="20">
        <f t="shared" si="0"/>
        <v>-1.2977980962094504</v>
      </c>
      <c r="E24" s="20">
        <f t="shared" si="1"/>
        <v>0</v>
      </c>
      <c r="F24" s="20">
        <f t="shared" si="2"/>
        <v>0</v>
      </c>
      <c r="G24" s="20">
        <f>IF(K24=0,0%,IF(O24=H41,100%,K24/O24-1))</f>
        <v>0</v>
      </c>
      <c r="H24" s="68">
        <f>VLOOKUP(A24,הכשרה!A:G,4,0)+VLOOKUP('תפוקה מצטברת מול אשתקד'!A24,מגדל!A:G,4,0)+VLOOKUP('תפוקה מצטברת מול אשתקד'!A24,מנורה!A:G,4,0)+VLOOKUP('תפוקה מצטברת מול אשתקד'!A24,איילון!A:G,4,0)+VLOOKUP('תפוקה מצטברת מול אשתקד'!A24,הראל!A:G,4,0)+VLOOKUP('תפוקה מצטברת מול אשתקד'!A24,הפניקס!A:G,4,0)+VLOOKUP('תפוקה מצטברת מול אשתקד'!A24,כלל!A:G,4,0)+VLOOKUP('תפוקה מצטברת מול אשתקד'!A24,מור!A:G,4,0)+VLOOKUP('תפוקה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אשתקד'!A24,אינפניטי!A:G,4,0)</f>
        <v>-12200.034119864669</v>
      </c>
      <c r="I24" s="68">
        <f>VLOOKUP(A24,הכשרה!A:G,5,0)+VLOOKUP('תפוקה מצטברת מול אשתקד'!A24,מגדל!A:G,5,0)+VLOOKUP('תפוקה מצטברת מול אשתקד'!A24,מנורה!A:G,5,0)+VLOOKUP('תפוקה מצטברת מול אשתקד'!A24,איילון!A:G,5,0)+VLOOKUP('תפוקה מצטברת מול אשתקד'!A24,הראל!A:G,5,0)+VLOOKUP('תפוקה מצטברת מול אשתקד'!A24,הפניקס!A:G,5,0)+VLOOKUP('תפוקה מצטברת מול אשתקד'!A24,כלל!A:G,5,0)+VLOOKUP('תפוקה מצטברת מול אשתקד'!A24,מור!A:G,5,0)+VLOOKUP('תפוקה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אשתקד'!A24,אינפניטי!A:G,5,0)</f>
        <v>0</v>
      </c>
      <c r="J24" s="68">
        <f>VLOOKUP(A24,הכשרה!A:G,6,0)+VLOOKUP('תפוקה מצטברת מול אשתקד'!A24,מגדל!A:G,6,0)+VLOOKUP('תפוקה מצטברת מול אשתקד'!A24,מנורה!A:G,6,0)+VLOOKUP('תפוקה מצטברת מול אשתקד'!A24,איילון!A:G,6,0)+VLOOKUP(A24,הראל!A:G,6,0)+VLOOKUP('תפוקה מצטברת מול אשתקד'!A24,הפניקס!A:G,6,0)+VLOOKUP('תפוקה מצטברת מול אשתקד'!A24,כלל!A:G,6,0)+VLOOKUP('תפוקה מצטברת מול אשתקד'!A24,מור!A:G,6,0)+VLOOKUP('תפוקה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אשתקד'!A24,אינפניטי!A:G,6,0)</f>
        <v>0</v>
      </c>
      <c r="K24" s="68">
        <f>VLOOKUP(A24,הכשרה!A:G,7,0)+VLOOKUP('תפוקה מצטברת מול אשתקד'!A24,מגדל!A:G,7,0)+VLOOKUP('תפוקה מצטברת מול אשתקד'!A24,מנורה!A:G,7,0)+VLOOKUP('תפוקה מצטברת מול אשתקד'!A24,איילון!A:G,7,0)+VLOOKUP('תפוקה מצטברת מול אשתקד'!A24,הראל!A:G,7,0)+VLOOKUP('תפוקה מצטברת מול אשתקד'!A24,הפניקס!A:G,7,0)+VLOOKUP('תפוקה מצטברת מול אשתקד'!A24,כלל!A:G,7,0)+VLOOKUP('תפוקה מצטברת מול אשתקד'!A24,מור!A:G,7,0)+VLOOKUP('תפוקה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אשתקד'!A24,אינפניטי!A:G,7,0)</f>
        <v>0</v>
      </c>
      <c r="L24" s="12">
        <f>VLOOKUP(A24,הכשרה!A:K,8,0)+VLOOKUP('תפוקה מצטברת מול אשתקד'!A24,מגדל!A:K,8,0)+VLOOKUP('תפוקה מצטברת מול אשתקד'!A24,מנורה!A:K,8,0)+VLOOKUP('תפוקה מצטברת מול אשתקד'!A24,איילון!A:K,8,0)+VLOOKUP('תפוקה מצטברת מול אשתקד'!A24,הראל!A:K,8,0)+VLOOKUP('תפוקה מצטברת מול אשתקד'!A24,הפניקס!A:K,8,0)+VLOOKUP('תפוקה מצטברת מול אשתקד'!A24,כלל!A:K,8,0)+VLOOKUP('תפוקה מצטברת מול אשתקד'!A24,מור!A:K,8,0)+VLOOKUP('תפוקה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אשתקד'!A24,אינפניטי!A:K,8,0)</f>
        <v>40967.468480000003</v>
      </c>
      <c r="M24" s="12">
        <f>VLOOKUP(A24,הכשרה!A:K,9,0)+VLOOKUP('תפוקה מצטברת מול אשתקד'!A24,מגדל!A:K,9,0)+VLOOKUP('תפוקה מצטברת מול אשתקד'!A24,מנורה!A:K,9,0)+VLOOKUP('תפוקה מצטברת מול אשתקד'!A24,איילון!A:K,9,0)+VLOOKUP('תפוקה מצטברת מול אשתקד'!A24,הראל!A:K,9,0)+VLOOKUP('תפוקה מצטברת מול אשתקד'!A24,הפניקס!A:K,9,0)+VLOOKUP('תפוקה מצטברת מול אשתקד'!A24,כלל!A:K,9,0)+VLOOKUP('תפוקה מצטברת מול אשתקד'!A24,מור!A:K,9,0)+VLOOKUP('תפוקה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אשתקד'!A24,אינפניטי!A:K,9,0)</f>
        <v>31298.708321436425</v>
      </c>
      <c r="N24" s="12">
        <f>VLOOKUP(A24,הכשרה!A:K,10,0)+VLOOKUP('תפוקה מצטברת מול אשתקד'!A24,מגדל!A:K,10,0)+VLOOKUP('תפוקה מצטברת מול אשתקד'!A24,מנורה!A:K,10,0)+VLOOKUP('תפוקה מצטברת מול אשתקד'!A24,איילון!A:K,10,0)+VLOOKUP('תפוקה מצטברת מול אשתקד'!A24,הראל!A:K,10,0)+VLOOKUP('תפוקה מצטברת מול אשתקד'!A24,הפניקס!A:K,10,0)+VLOOKUP('תפוקה מצטברת מול אשתקד'!A24,כלל!A:K,10,0)+VLOOKUP('תפוקה מצטברת מול אשתקד'!A24,מור!A:K,10,0)+VLOOKUP('תפוקה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אשתקד'!A24,אינפניטי!A:K,10,0)</f>
        <v>54423.810728000011</v>
      </c>
      <c r="O24" s="12">
        <f>VLOOKUP(A24,הכשרה!A:K,11,0)+VLOOKUP('תפוקה מצטברת מול אשתקד'!A24,מגדל!A:K,11,0)+VLOOKUP('תפוקה מצטברת מול אשתקד'!A24,מנורה!A:K,11,0)+VLOOKUP('תפוקה מצטברת מול אשתקד'!A24,איילון!A:K,11,0)+VLOOKUP('תפוקה מצטברת מול אשתקד'!A24,הראל!A:K,11,0)+VLOOKUP('תפוקה מצטברת מול אשתקד'!A24,הפניקס!A:K,11,0)+VLOOKUP('תפוקה מצטברת מול אשתקד'!A24,כלל!A:K,11,0)+VLOOKUP('תפוקה מצטברת מול אשתקד'!A24,מור!A:K,11,0)+VLOOKUP('תפוקה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אשתקד'!A24,אינפניטי!A:K,11,0)</f>
        <v>24488.653279999999</v>
      </c>
    </row>
    <row r="25" spans="1:18" ht="15.75" customHeight="1" x14ac:dyDescent="0.25">
      <c r="A25" s="31" t="s">
        <v>15</v>
      </c>
      <c r="B25" s="27" t="s">
        <v>56</v>
      </c>
      <c r="C25" s="28" t="s">
        <v>115</v>
      </c>
      <c r="D25" s="20">
        <f t="shared" si="0"/>
        <v>-0.99943127882875615</v>
      </c>
      <c r="E25" s="20">
        <f t="shared" si="1"/>
        <v>-0.97000540506302046</v>
      </c>
      <c r="F25" s="20">
        <f t="shared" si="2"/>
        <v>-0.97996685876112888</v>
      </c>
      <c r="G25" s="20">
        <f>IF(K25=0,0%,IF(O25=H51,100%,K25/O25-1))</f>
        <v>0</v>
      </c>
      <c r="H25" s="68">
        <f>VLOOKUP(A25,הכשרה!A:G,4,0)+VLOOKUP('תפוקה מצטברת מול אשתקד'!A25,מגדל!A:G,4,0)+VLOOKUP('תפוקה מצטברת מול אשתקד'!A25,מנורה!A:G,4,0)+VLOOKUP('תפוקה מצטברת מול אשתקד'!A25,איילון!A:G,4,0)+VLOOKUP('תפוקה מצטברת מול אשתקד'!A25,הראל!A:G,4,0)+VLOOKUP('תפוקה מצטברת מול אשתקד'!A25,הפניקס!A:G,4,0)+VLOOKUP('תפוקה מצטברת מול אשתקד'!A25,כלל!A:G,4,0)+VLOOKUP('תפוקה מצטברת מול אשתקד'!A25,מור!A:G,4,0)+VLOOKUP('תפוקה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אשתקד'!A25,אינפניטי!A:G,4,0)</f>
        <v>1106.96</v>
      </c>
      <c r="I25" s="68">
        <f>VLOOKUP(A25,הכשרה!A:G,5,0)+VLOOKUP('תפוקה מצטברת מול אשתקד'!A25,מגדל!A:G,5,0)+VLOOKUP('תפוקה מצטברת מול אשתקד'!A25,מנורה!A:G,5,0)+VLOOKUP('תפוקה מצטברת מול אשתקד'!A25,איילון!A:G,5,0)+VLOOKUP('תפוקה מצטברת מול אשתקד'!A25,הראל!A:G,5,0)+VLOOKUP('תפוקה מצטברת מול אשתקד'!A25,הפניקס!A:G,5,0)+VLOOKUP('תפוקה מצטברת מול אשתקד'!A25,כלל!A:G,5,0)+VLOOKUP('תפוקה מצטברת מול אשתקד'!A25,מור!A:G,5,0)+VLOOKUP('תפוקה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אשתקד'!A25,אינפניטי!A:G,5,0)</f>
        <v>4361.49</v>
      </c>
      <c r="J25" s="68">
        <f>VLOOKUP(A25,הכשרה!A:G,6,0)+VLOOKUP('תפוקה מצטברת מול אשתקד'!A25,מגדל!A:G,6,0)+VLOOKUP('תפוקה מצטברת מול אשתקד'!A25,מנורה!A:G,6,0)+VLOOKUP('תפוקה מצטברת מול אשתקד'!A25,איילון!A:G,6,0)+VLOOKUP(A25,הראל!A:G,6,0)+VLOOKUP('תפוקה מצטברת מול אשתקד'!A25,הפניקס!A:G,6,0)+VLOOKUP('תפוקה מצטברת מול אשתקד'!A25,כלל!A:G,6,0)+VLOOKUP('תפוקה מצטברת מול אשתקד'!A25,מור!A:G,6,0)+VLOOKUP('תפוקה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אשתקד'!A25,אינפניטי!A:G,6,0)</f>
        <v>44725.36</v>
      </c>
      <c r="K25" s="68">
        <f>VLOOKUP(A25,הכשרה!A:G,7,0)+VLOOKUP('תפוקה מצטברת מול אשתקד'!A25,מגדל!A:G,7,0)+VLOOKUP('תפוקה מצטברת מול אשתקד'!A25,מנורה!A:G,7,0)+VLOOKUP('תפוקה מצטברת מול אשתקד'!A25,איילון!A:G,7,0)+VLOOKUP('תפוקה מצטברת מול אשתקד'!A25,הראל!A:G,7,0)+VLOOKUP('תפוקה מצטברת מול אשתקד'!A25,הפניקס!A:G,7,0)+VLOOKUP('תפוקה מצטברת מול אשתקד'!A25,כלל!A:G,7,0)+VLOOKUP('תפוקה מצטברת מול אשתקד'!A25,מור!A:G,7,0)+VLOOKUP('תפוקה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אשתקד'!A25,אינפניטי!A:G,7,0)</f>
        <v>0</v>
      </c>
      <c r="L25" s="12">
        <f>VLOOKUP(A25,הכשרה!A:K,8,0)+VLOOKUP('תפוקה מצטברת מול אשתקד'!A25,מגדל!A:K,8,0)+VLOOKUP('תפוקה מצטברת מול אשתקד'!A25,מנורה!A:K,8,0)+VLOOKUP('תפוקה מצטברת מול אשתקד'!A25,איילון!A:K,8,0)+VLOOKUP('תפוקה מצטברת מול אשתקד'!A25,הראל!A:K,8,0)+VLOOKUP('תפוקה מצטברת מול אשתקד'!A25,הפניקס!A:K,8,0)+VLOOKUP('תפוקה מצטברת מול אשתקד'!A25,כלל!A:K,8,0)+VLOOKUP('תפוקה מצטברת מול אשתקד'!A25,מור!A:K,8,0)+VLOOKUP('תפוקה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אשתקד'!A25,אינפניטי!A:K,8,0)</f>
        <v>1946401.9557755399</v>
      </c>
      <c r="M25" s="12">
        <f>VLOOKUP(A25,הכשרה!A:K,9,0)+VLOOKUP('תפוקה מצטברת מול אשתקד'!A25,מגדל!A:K,9,0)+VLOOKUP('תפוקה מצטברת מול אשתקד'!A25,מנורה!A:K,9,0)+VLOOKUP('תפוקה מצטברת מול אשתקד'!A25,איילון!A:K,9,0)+VLOOKUP('תפוקה מצטברת מול אשתקד'!A25,הראל!A:K,9,0)+VLOOKUP('תפוקה מצטברת מול אשתקד'!A25,הפניקס!A:K,9,0)+VLOOKUP('תפוקה מצטברת מול אשתקד'!A25,כלל!A:K,9,0)+VLOOKUP('תפוקה מצטברת מול אשתקד'!A25,מור!A:K,9,0)+VLOOKUP('תפוקה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אשתקד'!A25,אינפניטי!A:K,9,0)</f>
        <v>145409.19819600001</v>
      </c>
      <c r="N25" s="12">
        <f>VLOOKUP(A25,הכשרה!A:K,10,0)+VLOOKUP('תפוקה מצטברת מול אשתקד'!A25,מגדל!A:K,10,0)+VLOOKUP('תפוקה מצטברת מול אשתקד'!A25,מנורה!A:K,10,0)+VLOOKUP('תפוקה מצטברת מול אשתקד'!A25,איילון!A:K,10,0)+VLOOKUP('תפוקה מצטברת מול אשתקד'!A25,הראל!A:K,10,0)+VLOOKUP('תפוקה מצטברת מול אשתקד'!A25,הפניקס!A:K,10,0)+VLOOKUP('תפוקה מצטברת מול אשתקד'!A25,כלל!A:K,10,0)+VLOOKUP('תפוקה מצטברת מול אשתקד'!A25,מור!A:K,10,0)+VLOOKUP('תפוקה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אשתקד'!A25,אינפניטי!A:K,10,0)</f>
        <v>2232568.4957093797</v>
      </c>
      <c r="O25" s="12">
        <f>VLOOKUP(A25,הכשרה!A:K,11,0)+VLOOKUP('תפוקה מצטברת מול אשתקד'!A25,מגדל!A:K,11,0)+VLOOKUP('תפוקה מצטברת מול אשתקד'!A25,מנורה!A:K,11,0)+VLOOKUP('תפוקה מצטברת מול אשתקד'!A25,איילון!A:K,11,0)+VLOOKUP('תפוקה מצטברת מול אשתקד'!A25,הראל!A:K,11,0)+VLOOKUP('תפוקה מצטברת מול אשתקד'!A25,הפניקס!A:K,11,0)+VLOOKUP('תפוקה מצטברת מול אשתקד'!A25,כלל!A:K,11,0)+VLOOKUP('תפוקה מצטברת מול אשתקד'!A25,מור!A:K,11,0)+VLOOKUP('תפוקה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אשתקד'!A25,אינפניטי!A:K,11,0)</f>
        <v>4274674.37</v>
      </c>
    </row>
    <row r="26" spans="1:18" ht="15.75" customHeight="1" x14ac:dyDescent="0.25">
      <c r="A26" s="31" t="s">
        <v>17</v>
      </c>
      <c r="B26" s="27" t="s">
        <v>56</v>
      </c>
      <c r="C26" s="28" t="s">
        <v>115</v>
      </c>
      <c r="D26" s="20">
        <f t="shared" si="0"/>
        <v>-0.96755359432623711</v>
      </c>
      <c r="E26" s="20">
        <f t="shared" si="0"/>
        <v>-0.90381119886076755</v>
      </c>
      <c r="F26" s="20">
        <f t="shared" si="0"/>
        <v>-0.8557303741728709</v>
      </c>
      <c r="G26" s="20">
        <f>IF(K26=0,0%,IF(O26=H42,100%,K26/O26-1))</f>
        <v>0</v>
      </c>
      <c r="H26" s="68">
        <f>VLOOKUP(A26,הכשרה!A:G,4,0)+VLOOKUP('תפוקה מצטברת מול אשתקד'!A26,מגדל!A:G,4,0)+VLOOKUP('תפוקה מצטברת מול אשתקד'!A26,מנורה!A:G,4,0)+VLOOKUP('תפוקה מצטברת מול אשתקד'!A26,איילון!A:G,4,0)+VLOOKUP('תפוקה מצטברת מול אשתקד'!A26,הראל!A:G,4,0)+VLOOKUP('תפוקה מצטברת מול אשתקד'!A26,הפניקס!A:G,4,0)+VLOOKUP('תפוקה מצטברת מול אשתקד'!A26,כלל!A:G,4,0)+VLOOKUP('תפוקה מצטברת מול אשתקד'!A26,מור!A:G,4,0)+VLOOKUP('תפוקה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אשתקד'!A26,אינפניטי!A:G,4,0)</f>
        <v>14218.47765912604</v>
      </c>
      <c r="I26" s="68">
        <f>VLOOKUP(A26,הכשרה!A:G,5,0)+VLOOKUP('תפוקה מצטברת מול אשתקד'!A26,מגדל!A:G,5,0)+VLOOKUP('תפוקה מצטברת מול אשתקד'!A26,מנורה!A:G,5,0)+VLOOKUP('תפוקה מצטברת מול אשתקד'!A26,איילון!A:G,5,0)+VLOOKUP('תפוקה מצטברת מול אשתקד'!A26,הראל!A:G,5,0)+VLOOKUP('תפוקה מצטברת מול אשתקד'!A26,הפניקס!A:G,5,0)+VLOOKUP('תפוקה מצטברת מול אשתקד'!A26,כלל!A:G,5,0)+VLOOKUP('תפוקה מצטברת מול אשתקד'!A26,מור!A:G,5,0)+VLOOKUP('תפוקה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אשתקד'!A26,אינפניטי!A:G,5,0)</f>
        <v>17125.091220153859</v>
      </c>
      <c r="J26" s="68">
        <f>VLOOKUP(A26,הכשרה!A:G,6,0)+VLOOKUP('תפוקה מצטברת מול אשתקד'!A26,מגדל!A:G,6,0)+VLOOKUP('תפוקה מצטברת מול אשתקד'!A26,מנורה!A:G,6,0)+VLOOKUP('תפוקה מצטברת מול אשתקד'!A26,איילון!A:G,6,0)+VLOOKUP(A26,הראל!A:G,6,0)+VLOOKUP('תפוקה מצטברת מול אשתקד'!A26,הפניקס!A:G,6,0)+VLOOKUP('תפוקה מצטברת מול אשתקד'!A26,כלל!A:G,6,0)+VLOOKUP('תפוקה מצטברת מול אשתקד'!A26,מור!A:G,6,0)+VLOOKUP('תפוקה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אשתקד'!A26,אינפניטי!A:G,6,0)</f>
        <v>17950.684710000001</v>
      </c>
      <c r="K26" s="68">
        <f>VLOOKUP(A26,הכשרה!A:G,7,0)+VLOOKUP('תפוקה מצטברת מול אשתקד'!A26,מגדל!A:G,7,0)+VLOOKUP('תפוקה מצטברת מול אשתקד'!A26,מנורה!A:G,7,0)+VLOOKUP('תפוקה מצטברת מול אשתקד'!A26,איילון!A:G,7,0)+VLOOKUP('תפוקה מצטברת מול אשתקד'!A26,הראל!A:G,7,0)+VLOOKUP('תפוקה מצטברת מול אשתקד'!A26,הפניקס!A:G,7,0)+VLOOKUP('תפוקה מצטברת מול אשתקד'!A26,כלל!A:G,7,0)+VLOOKUP('תפוקה מצטברת מול אשתקד'!A26,מור!A:G,7,0)+VLOOKUP('תפוקה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אשתקד'!A26,אינפניטי!A:G,7,0)</f>
        <v>0</v>
      </c>
      <c r="L26" s="12">
        <f>VLOOKUP(A26,הכשרה!A:K,8,0)+VLOOKUP('תפוקה מצטברת מול אשתקד'!A26,מגדל!A:K,8,0)+VLOOKUP('תפוקה מצטברת מול אשתקד'!A26,מנורה!A:K,8,0)+VLOOKUP('תפוקה מצטברת מול אשתקד'!A26,איילון!A:K,8,0)+VLOOKUP('תפוקה מצטברת מול אשתקד'!A26,הראל!A:K,8,0)+VLOOKUP('תפוקה מצטברת מול אשתקד'!A26,הפניקס!A:K,8,0)+VLOOKUP('תפוקה מצטברת מול אשתקד'!A26,כלל!A:K,8,0)+VLOOKUP('תפוקה מצטברת מול אשתקד'!A26,מור!A:K,8,0)+VLOOKUP('תפוקה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אשתקד'!A26,אינפניטי!A:K,8,0)</f>
        <v>438214.26022000005</v>
      </c>
      <c r="M26" s="12">
        <f>VLOOKUP(A26,הכשרה!A:K,9,0)+VLOOKUP('תפוקה מצטברת מול אשתקד'!A26,מגדל!A:K,9,0)+VLOOKUP('תפוקה מצטברת מול אשתקד'!A26,מנורה!A:K,9,0)+VLOOKUP('תפוקה מצטברת מול אשתקד'!A26,איילון!A:K,9,0)+VLOOKUP('תפוקה מצטברת מול אשתקד'!A26,הראל!A:K,9,0)+VLOOKUP('תפוקה מצטברת מול אשתקד'!A26,הפניקס!A:K,9,0)+VLOOKUP('תפוקה מצטברת מול אשתקד'!A26,כלל!A:K,9,0)+VLOOKUP('תפוקה מצטברת מול אשתקד'!A26,מור!A:K,9,0)+VLOOKUP('תפוקה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אשתקד'!A26,אינפניטי!A:K,9,0)</f>
        <v>178036.22685103881</v>
      </c>
      <c r="N26" s="12">
        <f>VLOOKUP(A26,הכשרה!A:K,10,0)+VLOOKUP('תפוקה מצטברת מול אשתקד'!A26,מגדל!A:K,10,0)+VLOOKUP('תפוקה מצטברת מול אשתקד'!A26,מנורה!A:K,10,0)+VLOOKUP('תפוקה מצטברת מול אשתקד'!A26,איילון!A:K,10,0)+VLOOKUP('תפוקה מצטברת מול אשתקד'!A26,הראל!A:K,10,0)+VLOOKUP('תפוקה מצטברת מול אשתקד'!A26,הפניקס!A:K,10,0)+VLOOKUP('תפוקה מצטברת מול אשתקד'!A26,כלל!A:K,10,0)+VLOOKUP('תפוקה מצטברת מול אשתקד'!A26,מור!A:K,10,0)+VLOOKUP('תפוקה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אשתקד'!A26,אינפניטי!A:K,10,0)</f>
        <v>124424.55996599999</v>
      </c>
      <c r="O26" s="12">
        <f>VLOOKUP(A26,הכשרה!A:K,11,0)+VLOOKUP('תפוקה מצטברת מול אשתקד'!A26,מגדל!A:K,11,0)+VLOOKUP('תפוקה מצטברת מול אשתקד'!A26,מנורה!A:K,11,0)+VLOOKUP('תפוקה מצטברת מול אשתקד'!A26,איילון!A:K,11,0)+VLOOKUP('תפוקה מצטברת מול אשתקד'!A26,הראל!A:K,11,0)+VLOOKUP('תפוקה מצטברת מול אשתקד'!A26,הפניקס!A:K,11,0)+VLOOKUP('תפוקה מצטברת מול אשתקד'!A26,כלל!A:K,11,0)+VLOOKUP('תפוקה מצטברת מול אשתקד'!A26,מור!A:K,11,0)+VLOOKUP('תפוקה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אשתקד'!A26,אינפניטי!A:K,11,0)</f>
        <v>1122341.7166360002</v>
      </c>
    </row>
    <row r="27" spans="1:18" ht="15.75" customHeight="1" x14ac:dyDescent="0.25">
      <c r="A27" s="31" t="s">
        <v>18</v>
      </c>
      <c r="B27" s="27" t="s">
        <v>56</v>
      </c>
      <c r="C27" s="28" t="s">
        <v>115</v>
      </c>
      <c r="D27" s="20">
        <f t="shared" si="0"/>
        <v>0</v>
      </c>
      <c r="E27" s="20">
        <f t="shared" si="0"/>
        <v>-0.91150335698564444</v>
      </c>
      <c r="F27" s="20">
        <f t="shared" si="0"/>
        <v>-0.72796604924236685</v>
      </c>
      <c r="G27" s="20">
        <f>IF(K27=0,0%,IF(O27=H43,100%,K27/O27-1))</f>
        <v>0</v>
      </c>
      <c r="H27" s="68">
        <f>VLOOKUP(A27,הכשרה!A:G,4,0)+VLOOKUP('תפוקה מצטברת מול אשתקד'!A27,מגדל!A:G,4,0)+VLOOKUP('תפוקה מצטברת מול אשתקד'!A27,מנורה!A:G,4,0)+VLOOKUP('תפוקה מצטברת מול אשתקד'!A27,איילון!A:G,4,0)+VLOOKUP('תפוקה מצטברת מול אשתקד'!A27,הראל!A:G,4,0)+VLOOKUP('תפוקה מצטברת מול אשתקד'!A27,הפניקס!A:G,4,0)+VLOOKUP('תפוקה מצטברת מול אשתקד'!A27,כלל!A:G,4,0)+VLOOKUP('תפוקה מצטברת מול אשתקד'!A27,מור!A:G,4,0)+VLOOKUP('תפוקה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אשתקד'!A27,אינפניטי!A:G,4,0)</f>
        <v>0</v>
      </c>
      <c r="I27" s="68">
        <f>VLOOKUP(A27,הכשרה!A:G,5,0)+VLOOKUP('תפוקה מצטברת מול אשתקד'!A27,מגדל!A:G,5,0)+VLOOKUP('תפוקה מצטברת מול אשתקד'!A27,מנורה!A:G,5,0)+VLOOKUP('תפוקה מצטברת מול אשתקד'!A27,איילון!A:G,5,0)+VLOOKUP('תפוקה מצטברת מול אשתקד'!A27,הראל!A:G,5,0)+VLOOKUP('תפוקה מצטברת מול אשתקד'!A27,הפניקס!A:G,5,0)+VLOOKUP('תפוקה מצטברת מול אשתקד'!A27,כלל!A:G,5,0)+VLOOKUP('תפוקה מצטברת מול אשתקד'!A27,מור!A:G,5,0)+VLOOKUP('תפוקה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אשתקד'!A27,אינפניטי!A:G,5,0)</f>
        <v>6905.0642199999993</v>
      </c>
      <c r="J27" s="68">
        <f>VLOOKUP(A27,הכשרה!A:G,6,0)+VLOOKUP('תפוקה מצטברת מול אשתקד'!A27,מגדל!A:G,6,0)+VLOOKUP('תפוקה מצטברת מול אשתקד'!A27,מנורה!A:G,6,0)+VLOOKUP('תפוקה מצטברת מול אשתקד'!A27,איילון!A:G,6,0)+VLOOKUP(A27,הראל!A:G,6,0)+VLOOKUP('תפוקה מצטברת מול אשתקד'!A27,הפניקס!A:G,6,0)+VLOOKUP('תפוקה מצטברת מול אשתקד'!A27,כלל!A:G,6,0)+VLOOKUP('תפוקה מצטברת מול אשתקד'!A27,מור!A:G,6,0)+VLOOKUP('תפוקה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אשתקד'!A27,אינפניטי!A:G,6,0)</f>
        <v>25843.53</v>
      </c>
      <c r="K27" s="68">
        <f>VLOOKUP(A27,הכשרה!A:G,7,0)+VLOOKUP('תפוקה מצטברת מול אשתקד'!A27,מגדל!A:G,7,0)+VLOOKUP('תפוקה מצטברת מול אשתקד'!A27,מנורה!A:G,7,0)+VLOOKUP('תפוקה מצטברת מול אשתקד'!A27,איילון!A:G,7,0)+VLOOKUP('תפוקה מצטברת מול אשתקד'!A27,הראל!A:G,7,0)+VLOOKUP('תפוקה מצטברת מול אשתקד'!A27,הפניקס!A:G,7,0)+VLOOKUP('תפוקה מצטברת מול אשתקד'!A27,כלל!A:G,7,0)+VLOOKUP('תפוקה מצטברת מול אשתקד'!A27,מור!A:G,7,0)+VLOOKUP('תפוקה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אשתקד'!A27,אינפניטי!A:G,7,0)</f>
        <v>0</v>
      </c>
      <c r="L27" s="12">
        <f>VLOOKUP(A27,הכשרה!A:K,8,0)+VLOOKUP('תפוקה מצטברת מול אשתקד'!A27,מגדל!A:K,8,0)+VLOOKUP('תפוקה מצטברת מול אשתקד'!A27,מנורה!A:K,8,0)+VLOOKUP('תפוקה מצטברת מול אשתקד'!A27,איילון!A:K,8,0)+VLOOKUP('תפוקה מצטברת מול אשתקד'!A27,הראל!A:K,8,0)+VLOOKUP('תפוקה מצטברת מול אשתקד'!A27,הפניקס!A:K,8,0)+VLOOKUP('תפוקה מצטברת מול אשתקד'!A27,כלל!A:K,8,0)+VLOOKUP('תפוקה מצטברת מול אשתקד'!A27,מור!A:K,8,0)+VLOOKUP('תפוקה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אשתקד'!A27,אינפניטי!A:K,8,0)</f>
        <v>100290.03</v>
      </c>
      <c r="M27" s="12">
        <f>VLOOKUP(A27,הכשרה!A:K,9,0)+VLOOKUP('תפוקה מצטברת מול אשתקד'!A27,מגדל!A:K,9,0)+VLOOKUP('תפוקה מצטברת מול אשתקד'!A27,מנורה!A:K,9,0)+VLOOKUP('תפוקה מצטברת מול אשתקד'!A27,איילון!A:K,9,0)+VLOOKUP('תפוקה מצטברת מול אשתקד'!A27,הראל!A:K,9,0)+VLOOKUP('תפוקה מצטברת מול אשתקד'!A27,הפניקס!A:K,9,0)+VLOOKUP('תפוקה מצטברת מול אשתקד'!A27,כלל!A:K,9,0)+VLOOKUP('תפוקה מצטברת מול אשתקד'!A27,מור!A:K,9,0)+VLOOKUP('תפוקה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אשתקד'!A27,אינפניטי!A:K,9,0)</f>
        <v>78026.284216</v>
      </c>
      <c r="N27" s="12">
        <f>VLOOKUP(A27,הכשרה!A:K,10,0)+VLOOKUP('תפוקה מצטברת מול אשתקד'!A27,מגדל!A:K,10,0)+VLOOKUP('תפוקה מצטברת מול אשתקד'!A27,מנורה!A:K,10,0)+VLOOKUP('תפוקה מצטברת מול אשתקד'!A27,איילון!A:K,10,0)+VLOOKUP('תפוקה מצטברת מול אשתקד'!A27,הראל!A:K,10,0)+VLOOKUP('תפוקה מצטברת מול אשתקד'!A27,הפניקס!A:K,10,0)+VLOOKUP('תפוקה מצטברת מול אשתקד'!A27,כלל!A:K,10,0)+VLOOKUP('תפוקה מצטברת מול אשתקד'!A27,מור!A:K,10,0)+VLOOKUP('תפוקה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אשתקד'!A27,אינפניטי!A:K,10,0)</f>
        <v>95001.12</v>
      </c>
      <c r="O27" s="12">
        <f>VLOOKUP(A27,הכשרה!A:K,11,0)+VLOOKUP('תפוקה מצטברת מול אשתקד'!A27,מגדל!A:K,11,0)+VLOOKUP('תפוקה מצטברת מול אשתקד'!A27,מנורה!A:K,11,0)+VLOOKUP('תפוקה מצטברת מול אשתקד'!A27,איילון!A:K,11,0)+VLOOKUP('תפוקה מצטברת מול אשתקד'!A27,הראל!A:K,11,0)+VLOOKUP('תפוקה מצטברת מול אשתקד'!A27,הפניקס!A:K,11,0)+VLOOKUP('תפוקה מצטברת מול אשתקד'!A27,כלל!A:K,11,0)+VLOOKUP('תפוקה מצטברת מול אשתקד'!A27,מור!A:K,11,0)+VLOOKUP('תפוקה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אשתקד'!A27,אינפניטי!A:K,11,0)</f>
        <v>310614.69</v>
      </c>
    </row>
    <row r="28" spans="1:18" ht="15.75" customHeight="1" x14ac:dyDescent="0.25">
      <c r="A28" s="27" t="s">
        <v>19</v>
      </c>
      <c r="B28" s="27" t="s">
        <v>56</v>
      </c>
      <c r="C28" s="28" t="s">
        <v>115</v>
      </c>
      <c r="D28" s="20">
        <f t="shared" si="0"/>
        <v>-0.95944884864609237</v>
      </c>
      <c r="E28" s="20">
        <f t="shared" si="0"/>
        <v>-0.81649796352434645</v>
      </c>
      <c r="F28" s="20">
        <f t="shared" si="0"/>
        <v>-0.91458792564600766</v>
      </c>
      <c r="G28" s="20">
        <f>IF(K28=0,0%,IF(O28=H44,100%,K28/O28-1))</f>
        <v>-0.97382956250462493</v>
      </c>
      <c r="H28" s="68">
        <f>VLOOKUP(A28,הכשרה!A:G,4,0)+VLOOKUP('תפוקה מצטברת מול אשתקד'!A28,מגדל!A:G,4,0)+VLOOKUP('תפוקה מצטברת מול אשתקד'!A28,מנורה!A:G,4,0)+VLOOKUP('תפוקה מצטברת מול אשתקד'!A28,איילון!A:G,4,0)+VLOOKUP('תפוקה מצטברת מול אשתקד'!A28,הראל!A:G,4,0)+VLOOKUP('תפוקה מצטברת מול אשתקד'!A28,הפניקס!A:G,4,0)+VLOOKUP('תפוקה מצטברת מול אשתקד'!A28,כלל!A:G,4,0)+VLOOKUP('תפוקה מצטברת מול אשתקד'!A28,מור!A:G,4,0)+VLOOKUP('תפוקה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אשתקד'!A28,אינפניטי!A:G,4,0)</f>
        <v>62408.65343262611</v>
      </c>
      <c r="I28" s="68">
        <f>VLOOKUP(A28,הכשרה!A:G,5,0)+VLOOKUP('תפוקה מצטברת מול אשתקד'!A28,מגדל!A:G,5,0)+VLOOKUP('תפוקה מצטברת מול אשתקד'!A28,מנורה!A:G,5,0)+VLOOKUP('תפוקה מצטברת מול אשתקד'!A28,איילון!A:G,5,0)+VLOOKUP('תפוקה מצטברת מול אשתקד'!A28,הראל!A:G,5,0)+VLOOKUP('תפוקה מצטברת מול אשתקד'!A28,הפניקס!A:G,5,0)+VLOOKUP('תפוקה מצטברת מול אשתקד'!A28,כלל!A:G,5,0)+VLOOKUP('תפוקה מצטברת מול אשתקד'!A28,מור!A:G,5,0)+VLOOKUP('תפוקה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אשתקד'!A28,אינפניטי!A:G,5,0)</f>
        <v>19038.466394999999</v>
      </c>
      <c r="J28" s="68">
        <f>VLOOKUP(A28,הכשרה!A:G,6,0)+VLOOKUP('תפוקה מצטברת מול אשתקד'!A28,מגדל!A:G,6,0)+VLOOKUP('תפוקה מצטברת מול אשתקד'!A28,מנורה!A:G,6,0)+VLOOKUP('תפוקה מצטברת מול אשתקד'!A28,איילון!A:G,6,0)+VLOOKUP(A28,הראל!A:G,6,0)+VLOOKUP('תפוקה מצטברת מול אשתקד'!A28,הפניקס!A:G,6,0)+VLOOKUP('תפוקה מצטברת מול אשתקד'!A28,כלל!A:G,6,0)+VLOOKUP('תפוקה מצטברת מול אשתקד'!A28,מור!A:G,6,0)+VLOOKUP('תפוקה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אשתקד'!A28,אינפניטי!A:G,6,0)</f>
        <v>204001.92577</v>
      </c>
      <c r="K28" s="68">
        <f>VLOOKUP(A28,הכשרה!A:G,7,0)+VLOOKUP('תפוקה מצטברת מול אשתקד'!A28,מגדל!A:G,7,0)+VLOOKUP('תפוקה מצטברת מול אשתקד'!A28,מנורה!A:G,7,0)+VLOOKUP('תפוקה מצטברת מול אשתקד'!A28,איילון!A:G,7,0)+VLOOKUP('תפוקה מצטברת מול אשתקד'!A28,הראל!A:G,7,0)+VLOOKUP('תפוקה מצטברת מול אשתקד'!A28,הפניקס!A:G,7,0)+VLOOKUP('תפוקה מצטברת מול אשתקד'!A28,כלל!A:G,7,0)+VLOOKUP('תפוקה מצטברת מול אשתקד'!A28,מור!A:G,7,0)+VLOOKUP('תפוקה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אשתקד'!A28,אינפניטי!A:G,7,0)</f>
        <v>191596.57</v>
      </c>
      <c r="L28" s="12">
        <f>VLOOKUP(A28,הכשרה!A:K,8,0)+VLOOKUP('תפוקה מצטברת מול אשתקד'!A28,מגדל!A:K,8,0)+VLOOKUP('תפוקה מצטברת מול אשתקד'!A28,מנורה!A:K,8,0)+VLOOKUP('תפוקה מצטברת מול אשתקד'!A28,איילון!A:K,8,0)+VLOOKUP('תפוקה מצטברת מול אשתקד'!A28,הראל!A:K,8,0)+VLOOKUP('תפוקה מצטברת מול אשתקד'!A28,הפניקס!A:K,8,0)+VLOOKUP('תפוקה מצטברת מול אשתקד'!A28,כלל!A:K,8,0)+VLOOKUP('תפוקה מצטברת מול אשתקד'!A28,מור!A:K,8,0)+VLOOKUP('תפוקה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אשתקד'!A28,אינפניטי!A:K,8,0)</f>
        <v>1539010.6408560001</v>
      </c>
      <c r="M28" s="12">
        <f>VLOOKUP(A28,הכשרה!A:K,9,0)+VLOOKUP('תפוקה מצטברת מול אשתקד'!A28,מגדל!A:K,9,0)+VLOOKUP('תפוקה מצטברת מול אשתקד'!A28,מנורה!A:K,9,0)+VLOOKUP('תפוקה מצטברת מול אשתקד'!A28,איילון!A:K,9,0)+VLOOKUP('תפוקה מצטברת מול אשתקד'!A28,הראל!A:K,9,0)+VLOOKUP('תפוקה מצטברת מול אשתקד'!A28,הפניקס!A:K,9,0)+VLOOKUP('תפוקה מצטברת מול אשתקד'!A28,כלל!A:K,9,0)+VLOOKUP('תפוקה מצטברת מול אשתקד'!A28,מור!A:K,9,0)+VLOOKUP('תפוקה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אשתקד'!A28,אינפניטי!A:K,9,0)</f>
        <v>103750.709042</v>
      </c>
      <c r="N28" s="12">
        <f>VLOOKUP(A28,הכשרה!A:K,10,0)+VLOOKUP('תפוקה מצטברת מול אשתקד'!A28,מגדל!A:K,10,0)+VLOOKUP('תפוקה מצטברת מול אשתקד'!A28,מנורה!A:K,10,0)+VLOOKUP('תפוקה מצטברת מול אשתקד'!A28,איילון!A:K,10,0)+VLOOKUP('תפוקה מצטברת מול אשתקד'!A28,הראל!A:K,10,0)+VLOOKUP('תפוקה מצטברת מול אשתקד'!A28,הפניקס!A:K,10,0)+VLOOKUP('תפוקה מצטברת מול אשתקד'!A28,כלל!A:K,10,0)+VLOOKUP('תפוקה מצטברת מול אשתקד'!A28,מור!A:K,10,0)+VLOOKUP('תפוקה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אשתקד'!A28,אינפניטי!A:K,10,0)</f>
        <v>2388443.64</v>
      </c>
      <c r="O28" s="12">
        <f>VLOOKUP(A28,הכשרה!A:K,11,0)+VLOOKUP('תפוקה מצטברת מול אשתקד'!A28,מגדל!A:K,11,0)+VLOOKUP('תפוקה מצטברת מול אשתקד'!A28,מנורה!A:K,11,0)+VLOOKUP('תפוקה מצטברת מול אשתקד'!A28,איילון!A:K,11,0)+VLOOKUP('תפוקה מצטברת מול אשתקד'!A28,הראל!A:K,11,0)+VLOOKUP('תפוקה מצטברת מול אשתקד'!A28,הפניקס!A:K,11,0)+VLOOKUP('תפוקה מצטברת מול אשתקד'!A28,כלל!A:K,11,0)+VLOOKUP('תפוקה מצטברת מול אשתקד'!A28,מור!A:K,11,0)+VLOOKUP('תפוקה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אשתקד'!A28,אינפניטי!A:K,11,0)</f>
        <v>7321106.8799999999</v>
      </c>
    </row>
    <row r="29" spans="1:18" ht="15.75" customHeight="1" x14ac:dyDescent="0.25">
      <c r="A29" s="27" t="s">
        <v>20</v>
      </c>
      <c r="B29" s="27" t="s">
        <v>56</v>
      </c>
      <c r="C29" s="28" t="s">
        <v>115</v>
      </c>
      <c r="D29" s="20">
        <f t="shared" si="0"/>
        <v>-0.91771493123395409</v>
      </c>
      <c r="E29" s="20">
        <f t="shared" si="0"/>
        <v>-0.83342557406143358</v>
      </c>
      <c r="F29" s="20">
        <f t="shared" si="0"/>
        <v>-0.78452515889441854</v>
      </c>
      <c r="G29" s="20" t="e">
        <f>IF(K29=0,0%,IF(O29=#REF!,100%,K29/O29-1))</f>
        <v>#REF!</v>
      </c>
      <c r="H29" s="68">
        <f>VLOOKUP(A29,הכשרה!A:G,4,0)+VLOOKUP('תפוקה מצטברת מול אשתקד'!A29,מגדל!A:G,4,0)+VLOOKUP('תפוקה מצטברת מול אשתקד'!A29,מנורה!A:G,4,0)+VLOOKUP('תפוקה מצטברת מול אשתקד'!A29,איילון!A:G,4,0)+VLOOKUP('תפוקה מצטברת מול אשתקד'!A29,הראל!A:G,4,0)+VLOOKUP('תפוקה מצטברת מול אשתקד'!A29,הפניקס!A:G,4,0)+VLOOKUP('תפוקה מצטברת מול אשתקד'!A29,כלל!A:G,4,0)+VLOOKUP('תפוקה מצטברת מול אשתקד'!A29,מור!A:G,4,0)+VLOOKUP('תפוקה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אשתקד'!A29,אינפניטי!A:G,4,0)</f>
        <v>59137.557849999997</v>
      </c>
      <c r="I29" s="68">
        <f>VLOOKUP(A29,הכשרה!A:G,5,0)+VLOOKUP('תפוקה מצטברת מול אשתקד'!A29,מגדל!A:G,5,0)+VLOOKUP('תפוקה מצטברת מול אשתקד'!A29,מנורה!A:G,5,0)+VLOOKUP('תפוקה מצטברת מול אשתקד'!A29,איילון!A:G,5,0)+VLOOKUP('תפוקה מצטברת מול אשתקד'!A29,הראל!A:G,5,0)+VLOOKUP('תפוקה מצטברת מול אשתקד'!A29,הפניקס!A:G,5,0)+VLOOKUP('תפוקה מצטברת מול אשתקד'!A29,כלל!A:G,5,0)+VLOOKUP('תפוקה מצטברת מול אשתקד'!A29,מור!A:G,5,0)+VLOOKUP('תפוקה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אשתקד'!A29,אינפניטי!A:G,5,0)</f>
        <v>24372.950931642165</v>
      </c>
      <c r="J29" s="68">
        <f>VLOOKUP(A29,הכשרה!A:G,6,0)+VLOOKUP('תפוקה מצטברת מול אשתקד'!A29,מגדל!A:G,6,0)+VLOOKUP('תפוקה מצטברת מול אשתקד'!A29,מנורה!A:G,6,0)+VLOOKUP('תפוקה מצטברת מול אשתקד'!A29,איילון!A:G,6,0)+VLOOKUP(A29,הראל!A:G,6,0)+VLOOKUP('תפוקה מצטברת מול אשתקד'!A29,הפניקס!A:G,6,0)+VLOOKUP('תפוקה מצטברת מול אשתקד'!A29,כלל!A:G,6,0)+VLOOKUP('תפוקה מצטברת מול אשתקד'!A29,מור!A:G,6,0)+VLOOKUP('תפוקה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אשתקד'!A29,אינפניטי!A:G,6,0)</f>
        <v>137032.51131999996</v>
      </c>
      <c r="K29" s="68">
        <f>VLOOKUP(A29,הכשרה!A:G,7,0)+VLOOKUP('תפוקה מצטברת מול אשתקד'!A29,מגדל!A:G,7,0)+VLOOKUP('תפוקה מצטברת מול אשתקד'!A29,מנורה!A:G,7,0)+VLOOKUP('תפוקה מצטברת מול אשתקד'!A29,איילון!A:G,7,0)+VLOOKUP('תפוקה מצטברת מול אשתקד'!A29,הראל!A:G,7,0)+VLOOKUP('תפוקה מצטברת מול אשתקד'!A29,הפניקס!A:G,7,0)+VLOOKUP('תפוקה מצטברת מול אשתקד'!A29,כלל!A:G,7,0)+VLOOKUP('תפוקה מצטברת מול אשתקד'!A29,מור!A:G,7,0)+VLOOKUP('תפוקה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אשתקד'!A29,אינפניטי!A:G,7,0)</f>
        <v>665289.79999999993</v>
      </c>
      <c r="L29" s="12">
        <f>VLOOKUP(A29,הכשרה!A:K,8,0)+VLOOKUP('תפוקה מצטברת מול אשתקד'!A29,מגדל!A:K,8,0)+VLOOKUP('תפוקה מצטברת מול אשתקד'!A29,מנורה!A:K,8,0)+VLOOKUP('תפוקה מצטברת מול אשתקד'!A29,איילון!A:K,8,0)+VLOOKUP('תפוקה מצטברת מול אשתקד'!A29,הראל!A:K,8,0)+VLOOKUP('תפוקה מצטברת מול אשתקד'!A29,הפניקס!A:K,8,0)+VLOOKUP('תפוקה מצטברת מול אשתקד'!A29,כלל!A:K,8,0)+VLOOKUP('תפוקה מצטברת מול אשתקד'!A29,מור!A:K,8,0)+VLOOKUP('תפוקה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אשתקד'!A29,אינפניטי!A:K,8,0)</f>
        <v>718691.23690156662</v>
      </c>
      <c r="M29" s="12">
        <f>VLOOKUP(A29,הכשרה!A:K,9,0)+VLOOKUP('תפוקה מצטברת מול אשתקד'!A29,מגדל!A:K,9,0)+VLOOKUP('תפוקה מצטברת מול אשתקד'!A29,מנורה!A:K,9,0)+VLOOKUP('תפוקה מצטברת מול אשתקד'!A29,איילון!A:K,9,0)+VLOOKUP('תפוקה מצטברת מול אשתקד'!A29,הראל!A:K,9,0)+VLOOKUP('תפוקה מצטברת מול אשתקד'!A29,הפניקס!A:K,9,0)+VLOOKUP('תפוקה מצטברת מול אשתקד'!A29,כלל!A:K,9,0)+VLOOKUP('תפוקה מצטברת מול אשתקד'!A29,מור!A:K,9,0)+VLOOKUP('תפוקה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אשתקד'!A29,אינפניטי!A:K,9,0)</f>
        <v>146318.68484200002</v>
      </c>
      <c r="N29" s="12">
        <f>VLOOKUP(A29,הכשרה!A:K,10,0)+VLOOKUP('תפוקה מצטברת מול אשתקד'!A29,מגדל!A:K,10,0)+VLOOKUP('תפוקה מצטברת מול אשתקד'!A29,מנורה!A:K,10,0)+VLOOKUP('תפוקה מצטברת מול אשתקד'!A29,איילון!A:K,10,0)+VLOOKUP('תפוקה מצטברת מול אשתקד'!A29,הראל!A:K,10,0)+VLOOKUP('תפוקה מצטברת מול אשתקד'!A29,הפניקס!A:K,10,0)+VLOOKUP('תפוקה מצטברת מול אשתקד'!A29,כלל!A:K,10,0)+VLOOKUP('תפוקה מצטברת מול אשתקד'!A29,מור!A:K,10,0)+VLOOKUP('תפוקה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אשתקד'!A29,אינפניטי!A:K,10,0)</f>
        <v>635955.96876599989</v>
      </c>
      <c r="O29" s="12">
        <f>VLOOKUP(A29,הכשרה!A:K,11,0)+VLOOKUP('תפוקה מצטברת מול אשתקד'!A29,מגדל!A:K,11,0)+VLOOKUP('תפוקה מצטברת מול אשתקד'!A29,מנורה!A:K,11,0)+VLOOKUP('תפוקה מצטברת מול אשתקד'!A29,איילון!A:K,11,0)+VLOOKUP('תפוקה מצטברת מול אשתקד'!A29,הראל!A:K,11,0)+VLOOKUP('תפוקה מצטברת מול אשתקד'!A29,הפניקס!A:K,11,0)+VLOOKUP('תפוקה מצטברת מול אשתקד'!A29,כלל!A:K,11,0)+VLOOKUP('תפוקה מצטברת מול אשתקד'!A29,מור!A:K,11,0)+VLOOKUP('תפוקה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אשתקד'!A29,אינפניטי!A:K,11,0)</f>
        <v>2108457.23135</v>
      </c>
    </row>
    <row r="30" spans="1:18" ht="15.75" customHeight="1" x14ac:dyDescent="0.25">
      <c r="A30" s="27" t="s">
        <v>21</v>
      </c>
      <c r="B30" s="27" t="s">
        <v>56</v>
      </c>
      <c r="C30" s="28" t="s">
        <v>115</v>
      </c>
      <c r="D30" s="20">
        <f t="shared" si="0"/>
        <v>1</v>
      </c>
      <c r="E30" s="20">
        <f t="shared" si="0"/>
        <v>0.18024691358024714</v>
      </c>
      <c r="F30" s="20">
        <f t="shared" si="0"/>
        <v>0</v>
      </c>
      <c r="G30" s="20">
        <f>IF(K30=0,0%,IF(O30=H45,100%,K30/O30-1))</f>
        <v>0</v>
      </c>
      <c r="H30" s="68">
        <f>VLOOKUP(A30,הכשרה!A:G,4,0)+VLOOKUP('תפוקה מצטברת מול אשתקד'!A30,מגדל!A:G,4,0)+VLOOKUP('תפוקה מצטברת מול אשתקד'!A30,מנורה!A:G,4,0)+VLOOKUP('תפוקה מצטברת מול אשתקד'!A30,איילון!A:G,4,0)+VLOOKUP('תפוקה מצטברת מול אשתקד'!A30,הראל!A:G,4,0)+VLOOKUP('תפוקה מצטברת מול אשתקד'!A30,הפניקס!A:G,4,0)+VLOOKUP('תפוקה מצטברת מול אשתקד'!A30,כלל!A:G,4,0)+VLOOKUP('תפוקה מצטברת מול אשתקד'!A30,מור!A:G,4,0)+VLOOKUP('תפוקה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אשתקד'!A30,אינפניטי!A:G,4,0)</f>
        <v>4487.67</v>
      </c>
      <c r="I30" s="68">
        <f>VLOOKUP(A30,הכשרה!A:G,5,0)+VLOOKUP('תפוקה מצטברת מול אשתקד'!A30,מגדל!A:G,5,0)+VLOOKUP('תפוקה מצטברת מול אשתקד'!A30,מנורה!A:G,5,0)+VLOOKUP('תפוקה מצטברת מול אשתקד'!A30,איילון!A:G,5,0)+VLOOKUP('תפוקה מצטברת מול אשתקד'!A30,הראל!A:G,5,0)+VLOOKUP('תפוקה מצטברת מול אשתקד'!A30,הפניקס!A:G,5,0)+VLOOKUP('תפוקה מצטברת מול אשתקד'!A30,כלל!A:G,5,0)+VLOOKUP('תפוקה מצטברת מול אשתקד'!A30,מור!A:G,5,0)+VLOOKUP('תפוקה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אשתקד'!A30,אינפניטי!A:G,5,0)</f>
        <v>9.56</v>
      </c>
      <c r="J30" s="68">
        <f>VLOOKUP(A30,הכשרה!A:G,6,0)+VLOOKUP('תפוקה מצטברת מול אשתקד'!A30,מגדל!A:G,6,0)+VLOOKUP('תפוקה מצטברת מול אשתקד'!A30,מנורה!A:G,6,0)+VLOOKUP('תפוקה מצטברת מול אשתקד'!A30,איילון!A:G,6,0)+VLOOKUP(A30,הראל!A:G,6,0)+VLOOKUP('תפוקה מצטברת מול אשתקד'!A30,הפניקס!A:G,6,0)+VLOOKUP('תפוקה מצטברת מול אשתקד'!A30,כלל!A:G,6,0)+VLOOKUP('תפוקה מצטברת מול אשתקד'!A30,מור!A:G,6,0)+VLOOKUP('תפוקה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אשתקד'!A30,אינפניטי!A:G,6,0)</f>
        <v>0</v>
      </c>
      <c r="K30" s="68">
        <f>VLOOKUP(A30,הכשרה!A:G,7,0)+VLOOKUP('תפוקה מצטברת מול אשתקד'!A30,מגדל!A:G,7,0)+VLOOKUP('תפוקה מצטברת מול אשתקד'!A30,מנורה!A:G,7,0)+VLOOKUP('תפוקה מצטברת מול אשתקד'!A30,איילון!A:G,7,0)+VLOOKUP('תפוקה מצטברת מול אשתקד'!A30,הראל!A:G,7,0)+VLOOKUP('תפוקה מצטברת מול אשתקד'!A30,הפניקס!A:G,7,0)+VLOOKUP('תפוקה מצטברת מול אשתקד'!A30,כלל!A:G,7,0)+VLOOKUP('תפוקה מצטברת מול אשתקד'!A30,מור!A:G,7,0)+VLOOKUP('תפוקה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אשתקד'!A30,אינפניטי!A:G,7,0)</f>
        <v>0</v>
      </c>
      <c r="L30" s="12">
        <f>VLOOKUP(A30,הכשרה!A:K,8,0)+VLOOKUP('תפוקה מצטברת מול אשתקד'!A30,מגדל!A:K,8,0)+VLOOKUP('תפוקה מצטברת מול אשתקד'!A30,מנורה!A:K,8,0)+VLOOKUP('תפוקה מצטברת מול אשתקד'!A30,איילון!A:K,8,0)+VLOOKUP('תפוקה מצטברת מול אשתקד'!A30,הראל!A:K,8,0)+VLOOKUP('תפוקה מצטברת מול אשתקד'!A30,הפניקס!A:K,8,0)+VLOOKUP('תפוקה מצטברת מול אשתקד'!A30,כלל!A:K,8,0)+VLOOKUP('תפוקה מצטברת מול אשתקד'!A30,מור!A:K,8,0)+VLOOKUP('תפוקה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אשתקד'!A30,אינפניטי!A:K,8,0)</f>
        <v>0</v>
      </c>
      <c r="M30" s="12">
        <f>VLOOKUP(A30,הכשרה!A:K,9,0)+VLOOKUP('תפוקה מצטברת מול אשתקד'!A30,מגדל!A:K,9,0)+VLOOKUP('תפוקה מצטברת מול אשתקד'!A30,מנורה!A:K,9,0)+VLOOKUP('תפוקה מצטברת מול אשתקד'!A30,איילון!A:K,9,0)+VLOOKUP('תפוקה מצטברת מול אשתקד'!A30,הראל!A:K,9,0)+VLOOKUP('תפוקה מצטברת מול אשתקד'!A30,הפניקס!A:K,9,0)+VLOOKUP('תפוקה מצטברת מול אשתקד'!A30,כלל!A:K,9,0)+VLOOKUP('תפוקה מצטברת מול אשתקד'!A30,מור!A:K,9,0)+VLOOKUP('תפוקה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אשתקד'!A30,אינפניטי!A:K,9,0)</f>
        <v>8.1</v>
      </c>
      <c r="N30" s="12">
        <f>VLOOKUP(A30,הכשרה!A:K,10,0)+VLOOKUP('תפוקה מצטברת מול אשתקד'!A30,מגדל!A:K,10,0)+VLOOKUP('תפוקה מצטברת מול אשתקד'!A30,מנורה!A:K,10,0)+VLOOKUP('תפוקה מצטברת מול אשתקד'!A30,איילון!A:K,10,0)+VLOOKUP('תפוקה מצטברת מול אשתקד'!A30,הראל!A:K,10,0)+VLOOKUP('תפוקה מצטברת מול אשתקד'!A30,הפניקס!A:K,10,0)+VLOOKUP('תפוקה מצטברת מול אשתקד'!A30,כלל!A:K,10,0)+VLOOKUP('תפוקה מצטברת מול אשתקד'!A30,מור!A:K,10,0)+VLOOKUP('תפוקה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אשתקד'!A30,אינפניטי!A:K,10,0)</f>
        <v>14500.7</v>
      </c>
      <c r="O30" s="12">
        <f>VLOOKUP(A30,הכשרה!A:K,11,0)+VLOOKUP('תפוקה מצטברת מול אשתקד'!A30,מגדל!A:K,11,0)+VLOOKUP('תפוקה מצטברת מול אשתקד'!A30,מנורה!A:K,11,0)+VLOOKUP('תפוקה מצטברת מול אשתקד'!A30,איילון!A:K,11,0)+VLOOKUP('תפוקה מצטברת מול אשתקד'!A30,הראל!A:K,11,0)+VLOOKUP('תפוקה מצטברת מול אשתקד'!A30,הפניקס!A:K,11,0)+VLOOKUP('תפוקה מצטברת מול אשתקד'!A30,כלל!A:K,11,0)+VLOOKUP('תפוקה מצטברת מול אשתקד'!A30,מור!A:K,11,0)+VLOOKUP('תפוקה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אשתקד'!A30,אינפניטי!A:K,11,0)</f>
        <v>0</v>
      </c>
    </row>
    <row r="31" spans="1:18" ht="15.75" customHeight="1" x14ac:dyDescent="0.25">
      <c r="A31" s="27" t="s">
        <v>22</v>
      </c>
      <c r="B31" s="27" t="s">
        <v>56</v>
      </c>
      <c r="C31" s="28" t="s">
        <v>115</v>
      </c>
      <c r="D31" s="20">
        <f t="shared" si="0"/>
        <v>0</v>
      </c>
      <c r="E31" s="20">
        <f t="shared" si="0"/>
        <v>0</v>
      </c>
      <c r="F31" s="20">
        <f t="shared" si="0"/>
        <v>0</v>
      </c>
      <c r="G31" s="20">
        <f>IF(K31=0,0%,IF(O31=H46,100%,K31/O31-1))</f>
        <v>0</v>
      </c>
      <c r="H31" s="68">
        <f>VLOOKUP(A31,הכשרה!A:G,4,0)+VLOOKUP('תפוקה מצטברת מול אשתקד'!A31,מגדל!A:G,4,0)+VLOOKUP('תפוקה מצטברת מול אשתקד'!A31,מנורה!A:G,4,0)+VLOOKUP('תפוקה מצטברת מול אשתקד'!A31,איילון!A:G,4,0)+VLOOKUP('תפוקה מצטברת מול אשתקד'!A31,הראל!A:G,4,0)+VLOOKUP('תפוקה מצטברת מול אשתקד'!A31,הפניקס!A:G,4,0)+VLOOKUP('תפוקה מצטברת מול אשתקד'!A31,כלל!A:G,4,0)+VLOOKUP('תפוקה מצטברת מול אשתקד'!A31,מור!A:G,4,0)+VLOOKUP('תפוקה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אשתקד'!A31,אינפניטי!A:G,4,0)</f>
        <v>0</v>
      </c>
      <c r="I31" s="68">
        <f>VLOOKUP(A31,הכשרה!A:G,5,0)+VLOOKUP('תפוקה מצטברת מול אשתקד'!A31,מגדל!A:G,5,0)+VLOOKUP('תפוקה מצטברת מול אשתקד'!A31,מנורה!A:G,5,0)+VLOOKUP('תפוקה מצטברת מול אשתקד'!A31,איילון!A:G,5,0)+VLOOKUP('תפוקה מצטברת מול אשתקד'!A31,הראל!A:G,5,0)+VLOOKUP('תפוקה מצטברת מול אשתקד'!A31,הפניקס!A:G,5,0)+VLOOKUP('תפוקה מצטברת מול אשתקד'!A31,כלל!A:G,5,0)+VLOOKUP('תפוקה מצטברת מול אשתקד'!A31,מור!A:G,5,0)+VLOOKUP('תפוקה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אשתקד'!A31,אינפניטי!A:G,5,0)</f>
        <v>0</v>
      </c>
      <c r="J31" s="68">
        <f>VLOOKUP(A31,הכשרה!A:G,6,0)+VLOOKUP('תפוקה מצטברת מול אשתקד'!A31,מגדל!A:G,6,0)+VLOOKUP('תפוקה מצטברת מול אשתקד'!A31,מנורה!A:G,6,0)+VLOOKUP('תפוקה מצטברת מול אשתקד'!A31,איילון!A:G,6,0)+VLOOKUP(A31,הראל!A:G,6,0)+VLOOKUP('תפוקה מצטברת מול אשתקד'!A31,הפניקס!A:G,6,0)+VLOOKUP('תפוקה מצטברת מול אשתקד'!A31,כלל!A:G,6,0)+VLOOKUP('תפוקה מצטברת מול אשתקד'!A31,מור!A:G,6,0)+VLOOKUP('תפוקה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אשתקד'!A31,אינפניטי!A:G,6,0)</f>
        <v>0</v>
      </c>
      <c r="K31" s="68">
        <f>VLOOKUP(A31,הכשרה!A:G,7,0)+VLOOKUP('תפוקה מצטברת מול אשתקד'!A31,מגדל!A:G,7,0)+VLOOKUP('תפוקה מצטברת מול אשתקד'!A31,מנורה!A:G,7,0)+VLOOKUP('תפוקה מצטברת מול אשתקד'!A31,איילון!A:G,7,0)+VLOOKUP('תפוקה מצטברת מול אשתקד'!A31,הראל!A:G,7,0)+VLOOKUP('תפוקה מצטברת מול אשתקד'!A31,הפניקס!A:G,7,0)+VLOOKUP('תפוקה מצטברת מול אשתקד'!A31,כלל!A:G,7,0)+VLOOKUP('תפוקה מצטברת מול אשתקד'!A31,מור!A:G,7,0)+VLOOKUP('תפוקה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אשתקד'!A31,אינפניטי!A:G,7,0)</f>
        <v>0</v>
      </c>
      <c r="L31" s="12">
        <f>VLOOKUP(A31,הכשרה!A:K,8,0)+VLOOKUP('תפוקה מצטברת מול אשתקד'!A31,מגדל!A:K,8,0)+VLOOKUP('תפוקה מצטברת מול אשתקד'!A31,מנורה!A:K,8,0)+VLOOKUP('תפוקה מצטברת מול אשתקד'!A31,איילון!A:K,8,0)+VLOOKUP('תפוקה מצטברת מול אשתקד'!A31,הראל!A:K,8,0)+VLOOKUP('תפוקה מצטברת מול אשתקד'!A31,הפניקס!A:K,8,0)+VLOOKUP('תפוקה מצטברת מול אשתקד'!A31,כלל!A:K,8,0)+VLOOKUP('תפוקה מצטברת מול אשתקד'!A31,מור!A:K,8,0)+VLOOKUP('תפוקה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אשתקד'!A31,אינפניטי!A:K,8,0)</f>
        <v>1040.8900000000001</v>
      </c>
      <c r="M31" s="12">
        <f>VLOOKUP(A31,הכשרה!A:K,9,0)+VLOOKUP('תפוקה מצטברת מול אשתקד'!A31,מגדל!A:K,9,0)+VLOOKUP('תפוקה מצטברת מול אשתקד'!A31,מנורה!A:K,9,0)+VLOOKUP('תפוקה מצטברת מול אשתקד'!A31,איילון!A:K,9,0)+VLOOKUP('תפוקה מצטברת מול אשתקד'!A31,הראל!A:K,9,0)+VLOOKUP('תפוקה מצטברת מול אשתקד'!A31,הפניקס!A:K,9,0)+VLOOKUP('תפוקה מצטברת מול אשתקד'!A31,כלל!A:K,9,0)+VLOOKUP('תפוקה מצטברת מול אשתקד'!A31,מור!A:K,9,0)+VLOOKUP('תפוקה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אשתקד'!A31,אינפניטי!A:K,9,0)</f>
        <v>3674.18</v>
      </c>
      <c r="N31" s="12">
        <f>VLOOKUP(A31,הכשרה!A:K,10,0)+VLOOKUP('תפוקה מצטברת מול אשתקד'!A31,מגדל!A:K,10,0)+VLOOKUP('תפוקה מצטברת מול אשתקד'!A31,מנורה!A:K,10,0)+VLOOKUP('תפוקה מצטברת מול אשתקד'!A31,איילון!A:K,10,0)+VLOOKUP('תפוקה מצטברת מול אשתקד'!A31,הראל!A:K,10,0)+VLOOKUP('תפוקה מצטברת מול אשתקד'!A31,הפניקס!A:K,10,0)+VLOOKUP('תפוקה מצטברת מול אשתקד'!A31,כלל!A:K,10,0)+VLOOKUP('תפוקה מצטברת מול אשתקד'!A31,מור!A:K,10,0)+VLOOKUP('תפוקה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אשתקד'!A31,אינפניטי!A:K,10,0)</f>
        <v>31086.42</v>
      </c>
      <c r="O31" s="12">
        <f>VLOOKUP(A31,הכשרה!A:K,11,0)+VLOOKUP('תפוקה מצטברת מול אשתקד'!A31,מגדל!A:K,11,0)+VLOOKUP('תפוקה מצטברת מול אשתקד'!A31,מנורה!A:K,11,0)+VLOOKUP('תפוקה מצטברת מול אשתקד'!A31,איילון!A:K,11,0)+VLOOKUP('תפוקה מצטברת מול אשתקד'!A31,הראל!A:K,11,0)+VLOOKUP('תפוקה מצטברת מול אשתקד'!A31,הפניקס!A:K,11,0)+VLOOKUP('תפוקה מצטברת מול אשתקד'!A31,כלל!A:K,11,0)+VLOOKUP('תפוקה מצטברת מול אשתקד'!A31,מור!A:K,11,0)+VLOOKUP('תפוקה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אשתקד'!A31,אינפניטי!A:K,11,0)</f>
        <v>0</v>
      </c>
      <c r="P31" s="10"/>
      <c r="Q31" s="123"/>
    </row>
    <row r="32" spans="1:18" ht="15.75" customHeight="1" x14ac:dyDescent="0.25">
      <c r="A32" s="27" t="s">
        <v>23</v>
      </c>
      <c r="B32" s="27" t="s">
        <v>56</v>
      </c>
      <c r="C32" s="28" t="s">
        <v>115</v>
      </c>
      <c r="D32" s="20">
        <f t="shared" si="0"/>
        <v>0</v>
      </c>
      <c r="E32" s="20">
        <f t="shared" si="0"/>
        <v>0</v>
      </c>
      <c r="F32" s="20">
        <f t="shared" si="0"/>
        <v>0</v>
      </c>
      <c r="G32" s="20">
        <f>IF(K32=0,0%,IF(O32=H59,100%,K32/O32-1))</f>
        <v>0</v>
      </c>
      <c r="H32" s="68">
        <f>VLOOKUP(A32,הכשרה!A:G,4,0)+VLOOKUP('תפוקה מצטברת מול אשתקד'!A32,מגדל!A:G,4,0)+VLOOKUP('תפוקה מצטברת מול אשתקד'!A32,מנורה!A:G,4,0)+VLOOKUP('תפוקה מצטברת מול אשתקד'!A32,איילון!A:G,4,0)+VLOOKUP('תפוקה מצטברת מול אשתקד'!A32,הראל!A:G,4,0)+VLOOKUP('תפוקה מצטברת מול אשתקד'!A32,הפניקס!A:G,4,0)+VLOOKUP('תפוקה מצטברת מול אשתקד'!A32,כלל!A:G,4,0)+VLOOKUP('תפוקה מצטברת מול אשתקד'!A32,מור!A:G,4,0)+VLOOKUP('תפוקה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אשתקד'!A32,אינפניטי!A:G,4,0)</f>
        <v>0</v>
      </c>
      <c r="I32" s="68">
        <f>VLOOKUP(A32,הכשרה!A:G,5,0)+VLOOKUP('תפוקה מצטברת מול אשתקד'!A32,מגדל!A:G,5,0)+VLOOKUP('תפוקה מצטברת מול אשתקד'!A32,מנורה!A:G,5,0)+VLOOKUP('תפוקה מצטברת מול אשתקד'!A32,איילון!A:G,5,0)+VLOOKUP('תפוקה מצטברת מול אשתקד'!A32,הראל!A:G,5,0)+VLOOKUP('תפוקה מצטברת מול אשתקד'!A32,הפניקס!A:G,5,0)+VLOOKUP('תפוקה מצטברת מול אשתקד'!A32,כלל!A:G,5,0)+VLOOKUP('תפוקה מצטברת מול אשתקד'!A32,מור!A:G,5,0)+VLOOKUP('תפוקה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אשתקד'!A32,אינפניטי!A:G,5,0)</f>
        <v>0</v>
      </c>
      <c r="J32" s="68">
        <f>VLOOKUP(A32,הכשרה!A:G,6,0)+VLOOKUP('תפוקה מצטברת מול אשתקד'!A32,מגדל!A:G,6,0)+VLOOKUP('תפוקה מצטברת מול אשתקד'!A32,מנורה!A:G,6,0)+VLOOKUP('תפוקה מצטברת מול אשתקד'!A32,איילון!A:G,6,0)+VLOOKUP(A32,הראל!A:G,6,0)+VLOOKUP('תפוקה מצטברת מול אשתקד'!A32,הפניקס!A:G,6,0)+VLOOKUP('תפוקה מצטברת מול אשתקד'!A32,כלל!A:G,6,0)+VLOOKUP('תפוקה מצטברת מול אשתקד'!A32,מור!A:G,6,0)+VLOOKUP('תפוקה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אשתקד'!A32,אינפניטי!A:G,6,0)</f>
        <v>0</v>
      </c>
      <c r="K32" s="68">
        <f>VLOOKUP(A32,הכשרה!A:G,7,0)+VLOOKUP('תפוקה מצטברת מול אשתקד'!A32,מגדל!A:G,7,0)+VLOOKUP('תפוקה מצטברת מול אשתקד'!A32,מנורה!A:G,7,0)+VLOOKUP('תפוקה מצטברת מול אשתקד'!A32,איילון!A:G,7,0)+VLOOKUP('תפוקה מצטברת מול אשתקד'!A32,הראל!A:G,7,0)+VLOOKUP('תפוקה מצטברת מול אשתקד'!A32,הפניקס!A:G,7,0)+VLOOKUP('תפוקה מצטברת מול אשתקד'!A32,כלל!A:G,7,0)+VLOOKUP('תפוקה מצטברת מול אשתקד'!A32,מור!A:G,7,0)+VLOOKUP('תפוקה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אשתקד'!A32,אינפניטי!A:G,7,0)</f>
        <v>0</v>
      </c>
      <c r="L32" s="12">
        <f>VLOOKUP(A32,הכשרה!A:K,8,0)+VLOOKUP('תפוקה מצטברת מול אשתקד'!A32,מגדל!A:K,8,0)+VLOOKUP('תפוקה מצטברת מול אשתקד'!A32,מנורה!A:K,8,0)+VLOOKUP('תפוקה מצטברת מול אשתקד'!A32,איילון!A:K,8,0)+VLOOKUP('תפוקה מצטברת מול אשתקד'!A32,הראל!A:K,8,0)+VLOOKUP('תפוקה מצטברת מול אשתקד'!A32,הפניקס!A:K,8,0)+VLOOKUP('תפוקה מצטברת מול אשתקד'!A32,כלל!A:K,8,0)+VLOOKUP('תפוקה מצטברת מול אשתקד'!A32,מור!A:K,8,0)+VLOOKUP('תפוקה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אשתקד'!A32,אינפניטי!A:K,8,0)</f>
        <v>0</v>
      </c>
      <c r="M32" s="12">
        <f>VLOOKUP(A32,הכשרה!A:K,9,0)+VLOOKUP('תפוקה מצטברת מול אשתקד'!A32,מגדל!A:K,9,0)+VLOOKUP('תפוקה מצטברת מול אשתקד'!A32,מנורה!A:K,9,0)+VLOOKUP('תפוקה מצטברת מול אשתקד'!A32,איילון!A:K,9,0)+VLOOKUP('תפוקה מצטברת מול אשתקד'!A32,הראל!A:K,9,0)+VLOOKUP('תפוקה מצטברת מול אשתקד'!A32,הפניקס!A:K,9,0)+VLOOKUP('תפוקה מצטברת מול אשתקד'!A32,כלל!A:K,9,0)+VLOOKUP('תפוקה מצטברת מול אשתקד'!A32,מור!A:K,9,0)+VLOOKUP('תפוקה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אשתקד'!A32,אינפניטי!A:K,9,0)</f>
        <v>876.88</v>
      </c>
      <c r="N32" s="12">
        <f>VLOOKUP(A32,הכשרה!A:K,10,0)+VLOOKUP('תפוקה מצטברת מול אשתקד'!A32,מגדל!A:K,10,0)+VLOOKUP('תפוקה מצטברת מול אשתקד'!A32,מנורה!A:K,10,0)+VLOOKUP('תפוקה מצטברת מול אשתקד'!A32,איילון!A:K,10,0)+VLOOKUP('תפוקה מצטברת מול אשתקד'!A32,הראל!A:K,10,0)+VLOOKUP('תפוקה מצטברת מול אשתקד'!A32,הפניקס!A:K,10,0)+VLOOKUP('תפוקה מצטברת מול אשתקד'!A32,כלל!A:K,10,0)+VLOOKUP('תפוקה מצטברת מול אשתקד'!A32,מור!A:K,10,0)+VLOOKUP('תפוקה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אשתקד'!A32,אינפניטי!A:K,10,0)</f>
        <v>0</v>
      </c>
      <c r="O32" s="12">
        <f>VLOOKUP(A32,הכשרה!A:K,11,0)+VLOOKUP('תפוקה מצטברת מול אשתקד'!A32,מגדל!A:K,11,0)+VLOOKUP('תפוקה מצטברת מול אשתקד'!A32,מנורה!A:K,11,0)+VLOOKUP('תפוקה מצטברת מול אשתקד'!A32,איילון!A:K,11,0)+VLOOKUP('תפוקה מצטברת מול אשתקד'!A32,הראל!A:K,11,0)+VLOOKUP('תפוקה מצטברת מול אשתקד'!A32,הפניקס!A:K,11,0)+VLOOKUP('תפוקה מצטברת מול אשתקד'!A32,כלל!A:K,11,0)+VLOOKUP('תפוקה מצטברת מול אשתקד'!A32,מור!A:K,11,0)+VLOOKUP('תפוקה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אשתקד'!A32,אינפניטי!A:K,11,0)</f>
        <v>0</v>
      </c>
    </row>
    <row r="33" spans="1:15" ht="15.75" customHeight="1" x14ac:dyDescent="0.25">
      <c r="A33" s="27" t="s">
        <v>24</v>
      </c>
      <c r="B33" s="27" t="s">
        <v>56</v>
      </c>
      <c r="C33" s="28" t="s">
        <v>115</v>
      </c>
      <c r="D33" s="20">
        <f t="shared" si="0"/>
        <v>0</v>
      </c>
      <c r="E33" s="20">
        <f t="shared" si="0"/>
        <v>-0.82091126943876391</v>
      </c>
      <c r="F33" s="20">
        <f t="shared" si="0"/>
        <v>0</v>
      </c>
      <c r="G33" s="20">
        <f>IF(K33=0,0%,IF(O33=H48,100%,K33/O33-1))</f>
        <v>0</v>
      </c>
      <c r="H33" s="68">
        <f>VLOOKUP(A33,הכשרה!A:G,4,0)+VLOOKUP('תפוקה מצטברת מול אשתקד'!A33,מגדל!A:G,4,0)+VLOOKUP('תפוקה מצטברת מול אשתקד'!A33,מנורה!A:G,4,0)+VLOOKUP('תפוקה מצטברת מול אשתקד'!A33,איילון!A:G,4,0)+VLOOKUP('תפוקה מצטברת מול אשתקד'!A33,הראל!A:G,4,0)+VLOOKUP('תפוקה מצטברת מול אשתקד'!A33,הפניקס!A:G,4,0)+VLOOKUP('תפוקה מצטברת מול אשתקד'!A33,כלל!A:G,4,0)+VLOOKUP('תפוקה מצטברת מול אשתקד'!A33,מור!A:G,4,0)+VLOOKUP('תפוקה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אשתקד'!A33,אינפניטי!A:G,4,0)</f>
        <v>0</v>
      </c>
      <c r="I33" s="68">
        <f>VLOOKUP(A33,הכשרה!A:G,5,0)+VLOOKUP('תפוקה מצטברת מול אשתקד'!A33,מגדל!A:G,5,0)+VLOOKUP('תפוקה מצטברת מול אשתקד'!A33,מנורה!A:G,5,0)+VLOOKUP('תפוקה מצטברת מול אשתקד'!A33,איילון!A:G,5,0)+VLOOKUP('תפוקה מצטברת מול אשתקד'!A33,הראל!A:G,5,0)+VLOOKUP('תפוקה מצטברת מול אשתקד'!A33,הפניקס!A:G,5,0)+VLOOKUP('תפוקה מצטברת מול אשתקד'!A33,כלל!A:G,5,0)+VLOOKUP('תפוקה מצטברת מול אשתקד'!A33,מור!A:G,5,0)+VLOOKUP('תפוקה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אשתקד'!A33,אינפניטי!A:G,5,0)</f>
        <v>3036.31</v>
      </c>
      <c r="J33" s="68">
        <f>VLOOKUP(A33,הכשרה!A:G,6,0)+VLOOKUP('תפוקה מצטברת מול אשתקד'!A33,מגדל!A:G,6,0)+VLOOKUP('תפוקה מצטברת מול אשתקד'!A33,מנורה!A:G,6,0)+VLOOKUP('תפוקה מצטברת מול אשתקד'!A33,איילון!A:G,6,0)+VLOOKUP(A33,הראל!A:G,6,0)+VLOOKUP('תפוקה מצטברת מול אשתקד'!A33,הפניקס!A:G,6,0)+VLOOKUP('תפוקה מצטברת מול אשתקד'!A33,כלל!A:G,6,0)+VLOOKUP('תפוקה מצטברת מול אשתקד'!A33,מור!A:G,6,0)+VLOOKUP('תפוקה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אשתקד'!A33,אינפניטי!A:G,6,0)</f>
        <v>0</v>
      </c>
      <c r="K33" s="68">
        <f>VLOOKUP(A33,הכשרה!A:G,7,0)+VLOOKUP('תפוקה מצטברת מול אשתקד'!A33,מגדל!A:G,7,0)+VLOOKUP('תפוקה מצטברת מול אשתקד'!A33,מנורה!A:G,7,0)+VLOOKUP('תפוקה מצטברת מול אשתקד'!A33,איילון!A:G,7,0)+VLOOKUP('תפוקה מצטברת מול אשתקד'!A33,הראל!A:G,7,0)+VLOOKUP('תפוקה מצטברת מול אשתקד'!A33,הפניקס!A:G,7,0)+VLOOKUP('תפוקה מצטברת מול אשתקד'!A33,כלל!A:G,7,0)+VLOOKUP('תפוקה מצטברת מול אשתקד'!A33,מור!A:G,7,0)+VLOOKUP('תפוקה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אשתקד'!A33,אינפניטי!A:G,7,0)</f>
        <v>0</v>
      </c>
      <c r="L33" s="12">
        <f>VLOOKUP(A33,הכשרה!A:K,8,0)+VLOOKUP('תפוקה מצטברת מול אשתקד'!A33,מגדל!A:K,8,0)+VLOOKUP('תפוקה מצטברת מול אשתקד'!A33,מנורה!A:K,8,0)+VLOOKUP('תפוקה מצטברת מול אשתקד'!A33,איילון!A:K,8,0)+VLOOKUP('תפוקה מצטברת מול אשתקד'!A33,הראל!A:K,8,0)+VLOOKUP('תפוקה מצטברת מול אשתקד'!A33,הפניקס!A:K,8,0)+VLOOKUP('תפוקה מצטברת מול אשתקד'!A33,כלל!A:K,8,0)+VLOOKUP('תפוקה מצטברת מול אשתקד'!A33,מור!A:K,8,0)+VLOOKUP('תפוקה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אשתקד'!A33,אינפניטי!A:K,8,0)</f>
        <v>0</v>
      </c>
      <c r="M33" s="12">
        <f>VLOOKUP(A33,הכשרה!A:K,9,0)+VLOOKUP('תפוקה מצטברת מול אשתקד'!A33,מגדל!A:K,9,0)+VLOOKUP('תפוקה מצטברת מול אשתקד'!A33,מנורה!A:K,9,0)+VLOOKUP('תפוקה מצטברת מול אשתקד'!A33,איילון!A:K,9,0)+VLOOKUP('תפוקה מצטברת מול אשתקד'!A33,הראל!A:K,9,0)+VLOOKUP('תפוקה מצטברת מול אשתקד'!A33,הפניקס!A:K,9,0)+VLOOKUP('תפוקה מצטברת מול אשתקד'!A33,כלל!A:K,9,0)+VLOOKUP('תפוקה מצטברת מול אשתקד'!A33,מור!A:K,9,0)+VLOOKUP('תפוקה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אשתקד'!A33,אינפניטי!A:K,9,0)</f>
        <v>16954.221466000003</v>
      </c>
      <c r="N33" s="12">
        <f>VLOOKUP(A33,הכשרה!A:K,10,0)+VLOOKUP('תפוקה מצטברת מול אשתקד'!A33,מגדל!A:K,10,0)+VLOOKUP('תפוקה מצטברת מול אשתקד'!A33,מנורה!A:K,10,0)+VLOOKUP('תפוקה מצטברת מול אשתקד'!A33,איילון!A:K,10,0)+VLOOKUP('תפוקה מצטברת מול אשתקד'!A33,הראל!A:K,10,0)+VLOOKUP('תפוקה מצטברת מול אשתקד'!A33,הפניקס!A:K,10,0)+VLOOKUP('תפוקה מצטברת מול אשתקד'!A33,כלל!A:K,10,0)+VLOOKUP('תפוקה מצטברת מול אשתקד'!A33,מור!A:K,10,0)+VLOOKUP('תפוקה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אשתקד'!A33,אינפניטי!A:K,10,0)</f>
        <v>0</v>
      </c>
      <c r="O33" s="12">
        <f>VLOOKUP(A33,הכשרה!A:K,11,0)+VLOOKUP('תפוקה מצטברת מול אשתקד'!A33,מגדל!A:K,11,0)+VLOOKUP('תפוקה מצטברת מול אשתקד'!A33,מנורה!A:K,11,0)+VLOOKUP('תפוקה מצטברת מול אשתקד'!A33,איילון!A:K,11,0)+VLOOKUP('תפוקה מצטברת מול אשתקד'!A33,הראל!A:K,11,0)+VLOOKUP('תפוקה מצטברת מול אשתקד'!A33,הפניקס!A:K,11,0)+VLOOKUP('תפוקה מצטברת מול אשתקד'!A33,כלל!A:K,11,0)+VLOOKUP('תפוקה מצטברת מול אשתקד'!A33,מור!A:K,11,0)+VLOOKUP('תפוקה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אשתקד'!A33,אינפניטי!A:K,11,0)</f>
        <v>0</v>
      </c>
    </row>
    <row r="34" spans="1:15" ht="15.75" customHeight="1" x14ac:dyDescent="0.25">
      <c r="A34" s="31" t="s">
        <v>25</v>
      </c>
      <c r="B34" s="27" t="s">
        <v>56</v>
      </c>
      <c r="C34" s="28" t="s">
        <v>115</v>
      </c>
      <c r="D34" s="20">
        <f t="shared" si="0"/>
        <v>-0.55934770752924778</v>
      </c>
      <c r="E34" s="20">
        <f t="shared" si="0"/>
        <v>-0.57417024561840035</v>
      </c>
      <c r="F34" s="20">
        <f t="shared" si="0"/>
        <v>-0.70340391962217574</v>
      </c>
      <c r="G34" s="20">
        <f t="shared" ref="G34:G43" si="6">IF(K34=0,0%,IF(O34=H49,100%,K34/O34-1))</f>
        <v>0</v>
      </c>
      <c r="H34" s="68">
        <f>VLOOKUP(A34,הכשרה!A:G,4,0)+VLOOKUP('תפוקה מצטברת מול אשתקד'!A34,מגדל!A:G,4,0)+VLOOKUP('תפוקה מצטברת מול אשתקד'!A34,מנורה!A:G,4,0)+VLOOKUP('תפוקה מצטברת מול אשתקד'!A34,איילון!A:G,4,0)+VLOOKUP('תפוקה מצטברת מול אשתקד'!A34,הראל!A:G,4,0)+VLOOKUP('תפוקה מצטברת מול אשתקד'!A34,הפניקס!A:G,4,0)+VLOOKUP('תפוקה מצטברת מול אשתקד'!A34,כלל!A:G,4,0)+VLOOKUP('תפוקה מצטברת מול אשתקד'!A34,מור!A:G,4,0)+VLOOKUP('תפוקה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אשתקד'!A34,אינפניטי!A:G,4,0)</f>
        <v>215049.87278416491</v>
      </c>
      <c r="I34" s="68">
        <f>VLOOKUP(A34,הכשרה!A:G,5,0)+VLOOKUP('תפוקה מצטברת מול אשתקד'!A34,מגדל!A:G,5,0)+VLOOKUP('תפוקה מצטברת מול אשתקד'!A34,מנורה!A:G,5,0)+VLOOKUP('תפוקה מצטברת מול אשתקד'!A34,איילון!A:G,5,0)+VLOOKUP('תפוקה מצטברת מול אשתקד'!A34,הראל!A:G,5,0)+VLOOKUP('תפוקה מצטברת מול אשתקד'!A34,הפניקס!A:G,5,0)+VLOOKUP('תפוקה מצטברת מול אשתקד'!A34,כלל!A:G,5,0)+VLOOKUP('תפוקה מצטברת מול אשתקד'!A34,מור!A:G,5,0)+VLOOKUP('תפוקה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אשתקד'!A34,אינפניטי!A:G,5,0)</f>
        <v>10267.085168226842</v>
      </c>
      <c r="J34" s="68">
        <f>VLOOKUP(A34,הכשרה!A:G,6,0)+VLOOKUP('תפוקה מצטברת מול אשתקד'!A34,מגדל!A:G,6,0)+VLOOKUP('תפוקה מצטברת מול אשתקד'!A34,מנורה!A:G,6,0)+VLOOKUP('תפוקה מצטברת מול אשתקד'!A34,איילון!A:G,6,0)+VLOOKUP(A34,הראל!A:G,6,0)+VLOOKUP('תפוקה מצטברת מול אשתקד'!A34,הפניקס!A:G,6,0)+VLOOKUP('תפוקה מצטברת מול אשתקד'!A34,כלל!A:G,6,0)+VLOOKUP('תפוקה מצטברת מול אשתקד'!A34,מור!A:G,6,0)+VLOOKUP('תפוקה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אשתקד'!A34,אינפניטי!A:G,6,0)</f>
        <v>751975.2645353988</v>
      </c>
      <c r="K34" s="68">
        <f>VLOOKUP(A34,הכשרה!A:G,7,0)+VLOOKUP('תפוקה מצטברת מול אשתקד'!A34,מגדל!A:G,7,0)+VLOOKUP('תפוקה מצטברת מול אשתקד'!A34,מנורה!A:G,7,0)+VLOOKUP('תפוקה מצטברת מול אשתקד'!A34,איילון!A:G,7,0)+VLOOKUP('תפוקה מצטברת מול אשתקד'!A34,הראל!A:G,7,0)+VLOOKUP('תפוקה מצטברת מול אשתקד'!A34,הפניקס!A:G,7,0)+VLOOKUP('תפוקה מצטברת מול אשתקד'!A34,כלל!A:G,7,0)+VLOOKUP('תפוקה מצטברת מול אשתקד'!A34,מור!A:G,7,0)+VLOOKUP('תפוקה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אשתקד'!A34,אינפניטי!A:G,7,0)</f>
        <v>0</v>
      </c>
      <c r="L34" s="12">
        <f>VLOOKUP(A34,הכשרה!A:K,8,0)+VLOOKUP('תפוקה מצטברת מול אשתקד'!A34,מגדל!A:K,8,0)+VLOOKUP('תפוקה מצטברת מול אשתקד'!A34,מנורה!A:K,8,0)+VLOOKUP('תפוקה מצטברת מול אשתקד'!A34,איילון!A:K,8,0)+VLOOKUP('תפוקה מצטברת מול אשתקד'!A34,הראל!A:K,8,0)+VLOOKUP('תפוקה מצטברת מול אשתקד'!A34,הפניקס!A:K,8,0)+VLOOKUP('תפוקה מצטברת מול אשתקד'!A34,כלל!A:K,8,0)+VLOOKUP('תפוקה מצטברת מול אשתקד'!A34,מור!A:K,8,0)+VLOOKUP('תפוקה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אשתקד'!A34,אינפניטי!A:K,8,0)</f>
        <v>488026.22035249847</v>
      </c>
      <c r="M34" s="12">
        <f>VLOOKUP(A34,הכשרה!A:K,9,0)+VLOOKUP('תפוקה מצטברת מול אשתקד'!A34,מגדל!A:K,9,0)+VLOOKUP('תפוקה מצטברת מול אשתקד'!A34,מנורה!A:K,9,0)+VLOOKUP('תפוקה מצטברת מול אשתקד'!A34,איילון!A:K,9,0)+VLOOKUP('תפוקה מצטברת מול אשתקד'!A34,הראל!A:K,9,0)+VLOOKUP('תפוקה מצטברת מול אשתקד'!A34,הפניקס!A:K,9,0)+VLOOKUP('תפוקה מצטברת מול אשתקד'!A34,כלל!A:K,9,0)+VLOOKUP('תפוקה מצטברת מול אשתקד'!A34,מור!A:K,9,0)+VLOOKUP('תפוקה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אשתקד'!A34,אינפניטי!A:K,9,0)</f>
        <v>24110.774464637761</v>
      </c>
      <c r="N34" s="12">
        <f>VLOOKUP(A34,הכשרה!A:K,10,0)+VLOOKUP('תפוקה מצטברת מול אשתקד'!A34,מגדל!A:K,10,0)+VLOOKUP('תפוקה מצטברת מול אשתקד'!A34,מנורה!A:K,10,0)+VLOOKUP('תפוקה מצטברת מול אשתקד'!A34,איילון!A:K,10,0)+VLOOKUP('תפוקה מצטברת מול אשתקד'!A34,הראל!A:K,10,0)+VLOOKUP('תפוקה מצטברת מול אשתקד'!A34,הפניקס!A:K,10,0)+VLOOKUP('תפוקה מצטברת מול אשתקד'!A34,כלל!A:K,10,0)+VLOOKUP('תפוקה מצטברת מול אשתקד'!A34,מור!A:K,10,0)+VLOOKUP('תפוקה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אשתקד'!A34,אינפניטי!A:K,10,0)</f>
        <v>2535351.3221667712</v>
      </c>
      <c r="O34" s="12">
        <f>VLOOKUP(A34,הכשרה!A:K,11,0)+VLOOKUP('תפוקה מצטברת מול אשתקד'!A34,מגדל!A:K,11,0)+VLOOKUP('תפוקה מצטברת מול אשתקד'!A34,מנורה!A:K,11,0)+VLOOKUP('תפוקה מצטברת מול אשתקד'!A34,איילון!A:K,11,0)+VLOOKUP('תפוקה מצטברת מול אשתקד'!A34,הראל!A:K,11,0)+VLOOKUP('תפוקה מצטברת מול אשתקד'!A34,הפניקס!A:K,11,0)+VLOOKUP('תפוקה מצטברת מול אשתקד'!A34,כלל!A:K,11,0)+VLOOKUP('תפוקה מצטברת מול אשתקד'!A34,מור!A:K,11,0)+VLOOKUP('תפוקה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אשתקד'!A34,אינפניטי!A:K,11,0)</f>
        <v>4417544.9400000023</v>
      </c>
    </row>
    <row r="35" spans="1:15" ht="15.75" customHeight="1" x14ac:dyDescent="0.25">
      <c r="A35" s="27" t="s">
        <v>26</v>
      </c>
      <c r="B35" s="27" t="s">
        <v>56</v>
      </c>
      <c r="C35" s="28" t="s">
        <v>115</v>
      </c>
      <c r="D35" s="20">
        <f t="shared" si="0"/>
        <v>0</v>
      </c>
      <c r="E35" s="20">
        <f t="shared" si="0"/>
        <v>0</v>
      </c>
      <c r="F35" s="20">
        <f t="shared" si="0"/>
        <v>0</v>
      </c>
      <c r="G35" s="20">
        <f t="shared" si="6"/>
        <v>0</v>
      </c>
      <c r="H35" s="68">
        <f>VLOOKUP(A35,הכשרה!A:G,4,0)+VLOOKUP('תפוקה מצטברת מול אשתקד'!A35,מגדל!A:G,4,0)+VLOOKUP('תפוקה מצטברת מול אשתקד'!A35,מנורה!A:G,4,0)+VLOOKUP('תפוקה מצטברת מול אשתקד'!A35,איילון!A:G,4,0)+VLOOKUP('תפוקה מצטברת מול אשתקד'!A35,הראל!A:G,4,0)+VLOOKUP('תפוקה מצטברת מול אשתקד'!A35,הפניקס!A:G,4,0)+VLOOKUP('תפוקה מצטברת מול אשתקד'!A35,כלל!A:G,4,0)+VLOOKUP('תפוקה מצטברת מול אשתקד'!A35,מור!A:G,4,0)+VLOOKUP('תפוקה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אשתקד'!A35,אינפניטי!A:G,4,0)</f>
        <v>0</v>
      </c>
      <c r="I35" s="68">
        <f>VLOOKUP(A35,הכשרה!A:G,5,0)+VLOOKUP('תפוקה מצטברת מול אשתקד'!A35,מגדל!A:G,5,0)+VLOOKUP('תפוקה מצטברת מול אשתקד'!A35,מנורה!A:G,5,0)+VLOOKUP('תפוקה מצטברת מול אשתקד'!A35,איילון!A:G,5,0)+VLOOKUP('תפוקה מצטברת מול אשתקד'!A35,הראל!A:G,5,0)+VLOOKUP('תפוקה מצטברת מול אשתקד'!A35,הפניקס!A:G,5,0)+VLOOKUP('תפוקה מצטברת מול אשתקד'!A35,כלל!A:G,5,0)+VLOOKUP('תפוקה מצטברת מול אשתקד'!A35,מור!A:G,5,0)+VLOOKUP('תפוקה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אשתקד'!A35,אינפניטי!A:G,5,0)</f>
        <v>0</v>
      </c>
      <c r="J35" s="68">
        <f>VLOOKUP(A35,הכשרה!A:G,6,0)+VLOOKUP('תפוקה מצטברת מול אשתקד'!A35,מגדל!A:G,6,0)+VLOOKUP('תפוקה מצטברת מול אשתקד'!A35,מנורה!A:G,6,0)+VLOOKUP('תפוקה מצטברת מול אשתקד'!A35,איילון!A:G,6,0)+VLOOKUP(A35,הראל!A:G,6,0)+VLOOKUP('תפוקה מצטברת מול אשתקד'!A35,הפניקס!A:G,6,0)+VLOOKUP('תפוקה מצטברת מול אשתקד'!A35,כלל!A:G,6,0)+VLOOKUP('תפוקה מצטברת מול אשתקד'!A35,מור!A:G,6,0)+VLOOKUP('תפוקה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אשתקד'!A35,אינפניטי!A:G,6,0)</f>
        <v>0</v>
      </c>
      <c r="K35" s="68">
        <f>VLOOKUP(A35,הכשרה!A:G,7,0)+VLOOKUP('תפוקה מצטברת מול אשתקד'!A35,מגדל!A:G,7,0)+VLOOKUP('תפוקה מצטברת מול אשתקד'!A35,מנורה!A:G,7,0)+VLOOKUP('תפוקה מצטברת מול אשתקד'!A35,איילון!A:G,7,0)+VLOOKUP('תפוקה מצטברת מול אשתקד'!A35,הראל!A:G,7,0)+VLOOKUP('תפוקה מצטברת מול אשתקד'!A35,הפניקס!A:G,7,0)+VLOOKUP('תפוקה מצטברת מול אשתקד'!A35,כלל!A:G,7,0)+VLOOKUP('תפוקה מצטברת מול אשתקד'!A35,מור!A:G,7,0)+VLOOKUP('תפוקה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אשתקד'!A35,אינפניטי!A:G,7,0)</f>
        <v>0</v>
      </c>
      <c r="L35" s="12">
        <f>VLOOKUP(A35,הכשרה!A:K,8,0)+VLOOKUP('תפוקה מצטברת מול אשתקד'!A35,מגדל!A:K,8,0)+VLOOKUP('תפוקה מצטברת מול אשתקד'!A35,מנורה!A:K,8,0)+VLOOKUP('תפוקה מצטברת מול אשתקד'!A35,איילון!A:K,8,0)+VLOOKUP('תפוקה מצטברת מול אשתקד'!A35,הראל!A:K,8,0)+VLOOKUP('תפוקה מצטברת מול אשתקד'!A35,הפניקס!A:K,8,0)+VLOOKUP('תפוקה מצטברת מול אשתקד'!A35,כלל!A:K,8,0)+VLOOKUP('תפוקה מצטברת מול אשתקד'!A35,מור!A:K,8,0)+VLOOKUP('תפוקה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אשתקד'!A35,אינפניטי!A:K,8,0)</f>
        <v>4623.51</v>
      </c>
      <c r="M35" s="12">
        <f>VLOOKUP(A35,הכשרה!A:K,9,0)+VLOOKUP('תפוקה מצטברת מול אשתקד'!A35,מגדל!A:K,9,0)+VLOOKUP('תפוקה מצטברת מול אשתקד'!A35,מנורה!A:K,9,0)+VLOOKUP('תפוקה מצטברת מול אשתקד'!A35,איילון!A:K,9,0)+VLOOKUP('תפוקה מצטברת מול אשתקד'!A35,הראל!A:K,9,0)+VLOOKUP('תפוקה מצטברת מול אשתקד'!A35,הפניקס!A:K,9,0)+VLOOKUP('תפוקה מצטברת מול אשתקד'!A35,כלל!A:K,9,0)+VLOOKUP('תפוקה מצטברת מול אשתקד'!A35,מור!A:K,9,0)+VLOOKUP('תפוקה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אשתקד'!A35,אינפניטי!A:K,9,0)</f>
        <v>2433.31</v>
      </c>
      <c r="N35" s="12">
        <f>VLOOKUP(A35,הכשרה!A:K,10,0)+VLOOKUP('תפוקה מצטברת מול אשתקד'!A35,מגדל!A:K,10,0)+VLOOKUP('תפוקה מצטברת מול אשתקד'!A35,מנורה!A:K,10,0)+VLOOKUP('תפוקה מצטברת מול אשתקד'!A35,איילון!A:K,10,0)+VLOOKUP('תפוקה מצטברת מול אשתקד'!A35,הראל!A:K,10,0)+VLOOKUP('תפוקה מצטברת מול אשתקד'!A35,הפניקס!A:K,10,0)+VLOOKUP('תפוקה מצטברת מול אשתקד'!A35,כלל!A:K,10,0)+VLOOKUP('תפוקה מצטברת מול אשתקד'!A35,מור!A:K,10,0)+VLOOKUP('תפוקה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אשתקד'!A35,אינפניטי!A:K,10,0)</f>
        <v>0</v>
      </c>
      <c r="O35" s="12">
        <f>VLOOKUP(A35,הכשרה!A:K,11,0)+VLOOKUP('תפוקה מצטברת מול אשתקד'!A35,מגדל!A:K,11,0)+VLOOKUP('תפוקה מצטברת מול אשתקד'!A35,מנורה!A:K,11,0)+VLOOKUP('תפוקה מצטברת מול אשתקד'!A35,איילון!A:K,11,0)+VLOOKUP('תפוקה מצטברת מול אשתקד'!A35,הראל!A:K,11,0)+VLOOKUP('תפוקה מצטברת מול אשתקד'!A35,הפניקס!A:K,11,0)+VLOOKUP('תפוקה מצטברת מול אשתקד'!A35,כלל!A:K,11,0)+VLOOKUP('תפוקה מצטברת מול אשתקד'!A35,מור!A:K,11,0)+VLOOKUP('תפוקה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אשתקד'!A35,אינפניטי!A:K,11,0)</f>
        <v>0</v>
      </c>
    </row>
    <row r="36" spans="1:15" ht="15.75" customHeight="1" x14ac:dyDescent="0.25">
      <c r="A36" s="27" t="s">
        <v>27</v>
      </c>
      <c r="B36" s="27" t="s">
        <v>56</v>
      </c>
      <c r="C36" s="28" t="s">
        <v>115</v>
      </c>
      <c r="D36" s="20">
        <f t="shared" si="0"/>
        <v>0</v>
      </c>
      <c r="E36" s="20">
        <f t="shared" si="0"/>
        <v>-592.45833333333337</v>
      </c>
      <c r="F36" s="20">
        <f t="shared" si="0"/>
        <v>-0.71843760399236734</v>
      </c>
      <c r="G36" s="20">
        <f t="shared" si="6"/>
        <v>-2.1524156947147546</v>
      </c>
      <c r="H36" s="68">
        <f>VLOOKUP(A36,הכשרה!A:G,4,0)+VLOOKUP('תפוקה מצטברת מול אשתקד'!A36,מגדל!A:G,4,0)+VLOOKUP('תפוקה מצטברת מול אשתקד'!A36,מנורה!A:G,4,0)+VLOOKUP('תפוקה מצטברת מול אשתקד'!A36,איילון!A:G,4,0)+VLOOKUP('תפוקה מצטברת מול אשתקד'!A36,הראל!A:G,4,0)+VLOOKUP('תפוקה מצטברת מול אשתקד'!A36,הפניקס!A:G,4,0)+VLOOKUP('תפוקה מצטברת מול אשתקד'!A36,כלל!A:G,4,0)+VLOOKUP('תפוקה מצטברת מול אשתקד'!A36,מור!A:G,4,0)+VLOOKUP('תפוקה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אשתקד'!A36,אינפניטי!A:G,4,0)</f>
        <v>0</v>
      </c>
      <c r="I36" s="68">
        <f>VLOOKUP(A36,הכשרה!A:G,5,0)+VLOOKUP('תפוקה מצטברת מול אשתקד'!A36,מגדל!A:G,5,0)+VLOOKUP('תפוקה מצטברת מול אשתקד'!A36,מנורה!A:G,5,0)+VLOOKUP('תפוקה מצטברת מול אשתקד'!A36,איילון!A:G,5,0)+VLOOKUP('תפוקה מצטברת מול אשתקד'!A36,הראל!A:G,5,0)+VLOOKUP('תפוקה מצטברת מול אשתקד'!A36,הפניקס!A:G,5,0)+VLOOKUP('תפוקה מצטברת מול אשתקד'!A36,כלל!A:G,5,0)+VLOOKUP('תפוקה מצטברת מול אשתקד'!A36,מור!A:G,5,0)+VLOOKUP('תפוקה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אשתקד'!A36,אינפניטי!A:G,5,0)</f>
        <v>-851.7</v>
      </c>
      <c r="J36" s="68">
        <f>VLOOKUP(A36,הכשרה!A:G,6,0)+VLOOKUP('תפוקה מצטברת מול אשתקד'!A36,מגדל!A:G,6,0)+VLOOKUP('תפוקה מצטברת מול אשתקד'!A36,מנורה!A:G,6,0)+VLOOKUP('תפוקה מצטברת מול אשתקד'!A36,איילון!A:G,6,0)+VLOOKUP(A36,הראל!A:G,6,0)+VLOOKUP('תפוקה מצטברת מול אשתקד'!A36,הפניקס!A:G,6,0)+VLOOKUP('תפוקה מצטברת מול אשתקד'!A36,כלל!A:G,6,0)+VLOOKUP('תפוקה מצטברת מול אשתקד'!A36,מור!A:G,6,0)+VLOOKUP('תפוקה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אשתקד'!A36,אינפניטי!A:G,6,0)</f>
        <v>11000</v>
      </c>
      <c r="K36" s="68">
        <f>VLOOKUP(A36,הכשרה!A:G,7,0)+VLOOKUP('תפוקה מצטברת מול אשתקד'!A36,מגדל!A:G,7,0)+VLOOKUP('תפוקה מצטברת מול אשתקד'!A36,מנורה!A:G,7,0)+VLOOKUP('תפוקה מצטברת מול אשתקד'!A36,איילון!A:G,7,0)+VLOOKUP('תפוקה מצטברת מול אשתקד'!A36,הראל!A:G,7,0)+VLOOKUP('תפוקה מצטברת מול אשתקד'!A36,הפניקס!A:G,7,0)+VLOOKUP('תפוקה מצטברת מול אשתקד'!A36,כלל!A:G,7,0)+VLOOKUP('תפוקה מצטברת מול אשתקד'!A36,מור!A:G,7,0)+VLOOKUP('תפוקה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אשתקד'!A36,אינפניטי!A:G,7,0)</f>
        <v>-224014.96</v>
      </c>
      <c r="L36" s="12">
        <f>VLOOKUP(A36,הכשרה!A:K,8,0)+VLOOKUP('תפוקה מצטברת מול אשתקד'!A36,מגדל!A:K,8,0)+VLOOKUP('תפוקה מצטברת מול אשתקד'!A36,מנורה!A:K,8,0)+VLOOKUP('תפוקה מצטברת מול אשתקד'!A36,איילון!A:K,8,0)+VLOOKUP('תפוקה מצטברת מול אשתקד'!A36,הראל!A:K,8,0)+VLOOKUP('תפוקה מצטברת מול אשתקד'!A36,הפניקס!A:K,8,0)+VLOOKUP('תפוקה מצטברת מול אשתקד'!A36,כלל!A:K,8,0)+VLOOKUP('תפוקה מצטברת מול אשתקד'!A36,מור!A:K,8,0)+VLOOKUP('תפוקה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אשתקד'!A36,אינפניטי!A:K,8,0)</f>
        <v>47864.658072000006</v>
      </c>
      <c r="M36" s="12">
        <f>VLOOKUP(A36,הכשרה!A:K,9,0)+VLOOKUP('תפוקה מצטברת מול אשתקד'!A36,מגדל!A:K,9,0)+VLOOKUP('תפוקה מצטברת מול אשתקד'!A36,מנורה!A:K,9,0)+VLOOKUP('תפוקה מצטברת מול אשתקד'!A36,איילון!A:K,9,0)+VLOOKUP('תפוקה מצטברת מול אשתקד'!A36,הראל!A:K,9,0)+VLOOKUP('תפוקה מצטברת מול אשתקד'!A36,הפניקס!A:K,9,0)+VLOOKUP('תפוקה מצטברת מול אשתקד'!A36,כלל!A:K,9,0)+VLOOKUP('תפוקה מצטברת מול אשתקד'!A36,מור!A:K,9,0)+VLOOKUP('תפוקה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אשתקד'!A36,אינפניטי!A:K,9,0)</f>
        <v>1.44</v>
      </c>
      <c r="N36" s="12">
        <f>VLOOKUP(A36,הכשרה!A:K,10,0)+VLOOKUP('תפוקה מצטברת מול אשתקד'!A36,מגדל!A:K,10,0)+VLOOKUP('תפוקה מצטברת מול אשתקד'!A36,מנורה!A:K,10,0)+VLOOKUP('תפוקה מצטברת מול אשתקד'!A36,איילון!A:K,10,0)+VLOOKUP('תפוקה מצטברת מול אשתקד'!A36,הראל!A:K,10,0)+VLOOKUP('תפוקה מצטברת מול אשתקד'!A36,הפניקס!A:K,10,0)+VLOOKUP('תפוקה מצטברת מול אשתקד'!A36,כלל!A:K,10,0)+VLOOKUP('תפוקה מצטברת מול אשתקד'!A36,מור!A:K,10,0)+VLOOKUP('תפוקה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אשתקד'!A36,אינפניטי!A:K,10,0)</f>
        <v>39067.716981999998</v>
      </c>
      <c r="O36" s="12">
        <f>VLOOKUP(A36,הכשרה!A:K,11,0)+VLOOKUP('תפוקה מצטברת מול אשתקד'!A36,מגדל!A:K,11,0)+VLOOKUP('תפוקה מצטברת מול אשתקד'!A36,מנורה!A:K,11,0)+VLOOKUP('תפוקה מצטברת מול אשתקד'!A36,איילון!A:K,11,0)+VLOOKUP('תפוקה מצטברת מול אשתקד'!A36,הראל!A:K,11,0)+VLOOKUP('תפוקה מצטברת מול אשתקד'!A36,הפניקס!A:K,11,0)+VLOOKUP('תפוקה מצטברת מול אשתקד'!A36,כלל!A:K,11,0)+VLOOKUP('תפוקה מצטברת מול אשתקד'!A36,מור!A:K,11,0)+VLOOKUP('תפוקה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אשתקד'!A36,אינפניטי!A:K,11,0)</f>
        <v>194387.28665999998</v>
      </c>
    </row>
    <row r="37" spans="1:15" ht="15.75" customHeight="1" x14ac:dyDescent="0.25">
      <c r="A37" s="27" t="s">
        <v>28</v>
      </c>
      <c r="B37" s="27" t="s">
        <v>56</v>
      </c>
      <c r="C37" s="28" t="s">
        <v>115</v>
      </c>
      <c r="D37" s="20">
        <f t="shared" si="0"/>
        <v>0</v>
      </c>
      <c r="E37" s="20">
        <f t="shared" si="0"/>
        <v>0</v>
      </c>
      <c r="F37" s="20">
        <f t="shared" si="0"/>
        <v>0</v>
      </c>
      <c r="G37" s="20">
        <f t="shared" si="6"/>
        <v>0</v>
      </c>
      <c r="H37" s="68">
        <f>VLOOKUP(A37,הכשרה!A:G,4,0)+VLOOKUP('תפוקה מצטברת מול אשתקד'!A37,מגדל!A:G,4,0)+VLOOKUP('תפוקה מצטברת מול אשתקד'!A37,מנורה!A:G,4,0)+VLOOKUP('תפוקה מצטברת מול אשתקד'!A37,איילון!A:G,4,0)+VLOOKUP('תפוקה מצטברת מול אשתקד'!A37,הראל!A:G,4,0)+VLOOKUP('תפוקה מצטברת מול אשתקד'!A37,הפניקס!A:G,4,0)+VLOOKUP('תפוקה מצטברת מול אשתקד'!A37,כלל!A:G,4,0)+VLOOKUP('תפוקה מצטברת מול אשתקד'!A37,מור!A:G,4,0)+VLOOKUP('תפוקה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אשתקד'!A37,אינפניטי!A:G,4,0)</f>
        <v>0</v>
      </c>
      <c r="I37" s="68">
        <f>VLOOKUP(A37,הכשרה!A:G,5,0)+VLOOKUP('תפוקה מצטברת מול אשתקד'!A37,מגדל!A:G,5,0)+VLOOKUP('תפוקה מצטברת מול אשתקד'!A37,מנורה!A:G,5,0)+VLOOKUP('תפוקה מצטברת מול אשתקד'!A37,איילון!A:G,5,0)+VLOOKUP('תפוקה מצטברת מול אשתקד'!A37,הראל!A:G,5,0)+VLOOKUP('תפוקה מצטברת מול אשתקד'!A37,הפניקס!A:G,5,0)+VLOOKUP('תפוקה מצטברת מול אשתקד'!A37,כלל!A:G,5,0)+VLOOKUP('תפוקה מצטברת מול אשתקד'!A37,מור!A:G,5,0)+VLOOKUP('תפוקה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אשתקד'!A37,אינפניטי!A:G,5,0)</f>
        <v>0</v>
      </c>
      <c r="J37" s="68">
        <f>VLOOKUP(A37,הכשרה!A:G,6,0)+VLOOKUP('תפוקה מצטברת מול אשתקד'!A37,מגדל!A:G,6,0)+VLOOKUP('תפוקה מצטברת מול אשתקד'!A37,מנורה!A:G,6,0)+VLOOKUP('תפוקה מצטברת מול אשתקד'!A37,איילון!A:G,6,0)+VLOOKUP(A37,הראל!A:G,6,0)+VLOOKUP('תפוקה מצטברת מול אשתקד'!A37,הפניקס!A:G,6,0)+VLOOKUP('תפוקה מצטברת מול אשתקד'!A37,כלל!A:G,6,0)+VLOOKUP('תפוקה מצטברת מול אשתקד'!A37,מור!A:G,6,0)+VLOOKUP('תפוקה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אשתקד'!A37,אינפניטי!A:G,6,0)</f>
        <v>0</v>
      </c>
      <c r="K37" s="68">
        <f>VLOOKUP(A37,הכשרה!A:G,7,0)+VLOOKUP('תפוקה מצטברת מול אשתקד'!A37,מגדל!A:G,7,0)+VLOOKUP('תפוקה מצטברת מול אשתקד'!A37,מנורה!A:G,7,0)+VLOOKUP('תפוקה מצטברת מול אשתקד'!A37,איילון!A:G,7,0)+VLOOKUP('תפוקה מצטברת מול אשתקד'!A37,הראל!A:G,7,0)+VLOOKUP('תפוקה מצטברת מול אשתקד'!A37,הפניקס!A:G,7,0)+VLOOKUP('תפוקה מצטברת מול אשתקד'!A37,כלל!A:G,7,0)+VLOOKUP('תפוקה מצטברת מול אשתקד'!A37,מור!A:G,7,0)+VLOOKUP('תפוקה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אשתקד'!A37,אינפניטי!A:G,7,0)</f>
        <v>0</v>
      </c>
      <c r="L37" s="12">
        <f>VLOOKUP(A37,הכשרה!A:K,8,0)+VLOOKUP('תפוקה מצטברת מול אשתקד'!A37,מגדל!A:K,8,0)+VLOOKUP('תפוקה מצטברת מול אשתקד'!A37,מנורה!A:K,8,0)+VLOOKUP('תפוקה מצטברת מול אשתקד'!A37,איילון!A:K,8,0)+VLOOKUP('תפוקה מצטברת מול אשתקד'!A37,הראל!A:K,8,0)+VLOOKUP('תפוקה מצטברת מול אשתקד'!A37,הפניקס!A:K,8,0)+VLOOKUP('תפוקה מצטברת מול אשתקד'!A37,כלל!A:K,8,0)+VLOOKUP('תפוקה מצטברת מול אשתקד'!A37,מור!A:K,8,0)+VLOOKUP('תפוקה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אשתקד'!A37,אינפניטי!A:K,8,0)</f>
        <v>-17187.722184039711</v>
      </c>
      <c r="M37" s="12">
        <f>VLOOKUP(A37,הכשרה!A:K,9,0)+VLOOKUP('תפוקה מצטברת מול אשתקד'!A37,מגדל!A:K,9,0)+VLOOKUP('תפוקה מצטברת מול אשתקד'!A37,מנורה!A:K,9,0)+VLOOKUP('תפוקה מצטברת מול אשתקד'!A37,איילון!A:K,9,0)+VLOOKUP('תפוקה מצטברת מול אשתקד'!A37,הראל!A:K,9,0)+VLOOKUP('תפוקה מצטברת מול אשתקד'!A37,הפניקס!A:K,9,0)+VLOOKUP('תפוקה מצטברת מול אשתקד'!A37,כלל!A:K,9,0)+VLOOKUP('תפוקה מצטברת מול אשתקד'!A37,מור!A:K,9,0)+VLOOKUP('תפוקה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אשתקד'!A37,אינפניטי!A:K,9,0)</f>
        <v>0</v>
      </c>
      <c r="N37" s="12">
        <f>VLOOKUP(A37,הכשרה!A:K,10,0)+VLOOKUP('תפוקה מצטברת מול אשתקד'!A37,מגדל!A:K,10,0)+VLOOKUP('תפוקה מצטברת מול אשתקד'!A37,מנורה!A:K,10,0)+VLOOKUP('תפוקה מצטברת מול אשתקד'!A37,איילון!A:K,10,0)+VLOOKUP('תפוקה מצטברת מול אשתקד'!A37,הראל!A:K,10,0)+VLOOKUP('תפוקה מצטברת מול אשתקד'!A37,הפניקס!A:K,10,0)+VLOOKUP('תפוקה מצטברת מול אשתקד'!A37,כלל!A:K,10,0)+VLOOKUP('תפוקה מצטברת מול אשתקד'!A37,מור!A:K,10,0)+VLOOKUP('תפוקה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אשתקד'!A37,אינפניטי!A:K,10,0)</f>
        <v>0</v>
      </c>
      <c r="O37" s="12">
        <f>VLOOKUP(A37,הכשרה!A:K,11,0)+VLOOKUP('תפוקה מצטברת מול אשתקד'!A37,מגדל!A:K,11,0)+VLOOKUP('תפוקה מצטברת מול אשתקד'!A37,מנורה!A:K,11,0)+VLOOKUP('תפוקה מצטברת מול אשתקד'!A37,איילון!A:K,11,0)+VLOOKUP('תפוקה מצטברת מול אשתקד'!A37,הראל!A:K,11,0)+VLOOKUP('תפוקה מצטברת מול אשתקד'!A37,הפניקס!A:K,11,0)+VLOOKUP('תפוקה מצטברת מול אשתקד'!A37,כלל!A:K,11,0)+VLOOKUP('תפוקה מצטברת מול אשתקד'!A37,מור!A:K,11,0)+VLOOKUP('תפוקה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אשתקד'!A37,אינפניטי!A:K,11,0)</f>
        <v>0</v>
      </c>
    </row>
    <row r="38" spans="1:15" ht="15.75" customHeight="1" x14ac:dyDescent="0.25">
      <c r="A38" s="27" t="s">
        <v>29</v>
      </c>
      <c r="B38" s="27" t="s">
        <v>56</v>
      </c>
      <c r="C38" s="28" t="s">
        <v>115</v>
      </c>
      <c r="D38" s="20">
        <f t="shared" si="0"/>
        <v>-0.60170331129236199</v>
      </c>
      <c r="E38" s="20">
        <f t="shared" si="0"/>
        <v>0</v>
      </c>
      <c r="F38" s="20">
        <f t="shared" si="0"/>
        <v>296.20938558762043</v>
      </c>
      <c r="G38" s="20">
        <f t="shared" si="6"/>
        <v>0</v>
      </c>
      <c r="H38" s="68">
        <f>VLOOKUP(A38,הכשרה!A:G,4,0)+VLOOKUP('תפוקה מצטברת מול אשתקד'!A38,מגדל!A:G,4,0)+VLOOKUP('תפוקה מצטברת מול אשתקד'!A38,מנורה!A:G,4,0)+VLOOKUP('תפוקה מצטברת מול אשתקד'!A38,איילון!A:G,4,0)+VLOOKUP('תפוקה מצטברת מול אשתקד'!A38,הראל!A:G,4,0)+VLOOKUP('תפוקה מצטברת מול אשתקד'!A38,הפניקס!A:G,4,0)+VLOOKUP('תפוקה מצטברת מול אשתקד'!A38,כלל!A:G,4,0)+VLOOKUP('תפוקה מצטברת מול אשתקד'!A38,מור!A:G,4,0)+VLOOKUP('תפוקה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אשתקד'!A38,אינפניטי!A:G,4,0)</f>
        <v>6810.26</v>
      </c>
      <c r="I38" s="68">
        <f>VLOOKUP(A38,הכשרה!A:G,5,0)+VLOOKUP('תפוקה מצטברת מול אשתקד'!A38,מגדל!A:G,5,0)+VLOOKUP('תפוקה מצטברת מול אשתקד'!A38,מנורה!A:G,5,0)+VLOOKUP('תפוקה מצטברת מול אשתקד'!A38,איילון!A:G,5,0)+VLOOKUP('תפוקה מצטברת מול אשתקד'!A38,הראל!A:G,5,0)+VLOOKUP('תפוקה מצטברת מול אשתקד'!A38,הפניקס!A:G,5,0)+VLOOKUP('תפוקה מצטברת מול אשתקד'!A38,כלל!A:G,5,0)+VLOOKUP('תפוקה מצטברת מול אשתקד'!A38,מור!A:G,5,0)+VLOOKUP('תפוקה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אשתקד'!A38,אינפניטי!A:G,5,0)</f>
        <v>0</v>
      </c>
      <c r="J38" s="68">
        <f>VLOOKUP(A38,הכשרה!A:G,6,0)+VLOOKUP('תפוקה מצטברת מול אשתקד'!A38,מגדל!A:G,6,0)+VLOOKUP('תפוקה מצטברת מול אשתקד'!A38,מנורה!A:G,6,0)+VLOOKUP('תפוקה מצטברת מול אשתקד'!A38,איילון!A:G,6,0)+VLOOKUP(A38,הראל!A:G,6,0)+VLOOKUP('תפוקה מצטברת מול אשתקד'!A38,הפניקס!A:G,6,0)+VLOOKUP('תפוקה מצטברת מול אשתקד'!A38,כלל!A:G,6,0)+VLOOKUP('תפוקה מצטברת מול אשתקד'!A38,מור!A:G,6,0)+VLOOKUP('תפוקה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אשתקד'!A38,אינפניטי!A:G,6,0)</f>
        <v>247379.26</v>
      </c>
      <c r="K38" s="68">
        <f>VLOOKUP(A38,הכשרה!A:G,7,0)+VLOOKUP('תפוקה מצטברת מול אשתקד'!A38,מגדל!A:G,7,0)+VLOOKUP('תפוקה מצטברת מול אשתקד'!A38,מנורה!A:G,7,0)+VLOOKUP('תפוקה מצטברת מול אשתקד'!A38,איילון!A:G,7,0)+VLOOKUP('תפוקה מצטברת מול אשתקד'!A38,הראל!A:G,7,0)+VLOOKUP('תפוקה מצטברת מול אשתקד'!A38,הפניקס!A:G,7,0)+VLOOKUP('תפוקה מצטברת מול אשתקד'!A38,כלל!A:G,7,0)+VLOOKUP('תפוקה מצטברת מול אשתקד'!A38,מור!A:G,7,0)+VLOOKUP('תפוקה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אשתקד'!A38,אינפניטי!A:G,7,0)</f>
        <v>0</v>
      </c>
      <c r="L38" s="12">
        <f>VLOOKUP(A38,הכשרה!A:K,8,0)+VLOOKUP('תפוקה מצטברת מול אשתקד'!A38,מגדל!A:K,8,0)+VLOOKUP('תפוקה מצטברת מול אשתקד'!A38,מנורה!A:K,8,0)+VLOOKUP('תפוקה מצטברת מול אשתקד'!A38,איילון!A:K,8,0)+VLOOKUP('תפוקה מצטברת מול אשתקד'!A38,הראל!A:K,8,0)+VLOOKUP('תפוקה מצטברת מול אשתקד'!A38,הפניקס!A:K,8,0)+VLOOKUP('תפוקה מצטברת מול אשתקד'!A38,כלל!A:K,8,0)+VLOOKUP('תפוקה מצטברת מול אשתקד'!A38,מור!A:K,8,0)+VLOOKUP('תפוקה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אשתקד'!A38,אינפניטי!A:K,8,0)</f>
        <v>17098.46</v>
      </c>
      <c r="M38" s="12">
        <f>VLOOKUP(A38,הכשרה!A:K,9,0)+VLOOKUP('תפוקה מצטברת מול אשתקד'!A38,מגדל!A:K,9,0)+VLOOKUP('תפוקה מצטברת מול אשתקד'!A38,מנורה!A:K,9,0)+VLOOKUP('תפוקה מצטברת מול אשתקד'!A38,איילון!A:K,9,0)+VLOOKUP('תפוקה מצטברת מול אשתקד'!A38,הראל!A:K,9,0)+VLOOKUP('תפוקה מצטברת מול אשתקד'!A38,הפניקס!A:K,9,0)+VLOOKUP('תפוקה מצטברת מול אשתקד'!A38,כלל!A:K,9,0)+VLOOKUP('תפוקה מצטברת מול אשתקד'!A38,מור!A:K,9,0)+VLOOKUP('תפוקה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אשתקד'!A38,אינפניטי!A:K,9,0)</f>
        <v>3788.13</v>
      </c>
      <c r="N38" s="12">
        <f>VLOOKUP(A38,הכשרה!A:K,10,0)+VLOOKUP('תפוקה מצטברת מול אשתקד'!A38,מגדל!A:K,10,0)+VLOOKUP('תפוקה מצטברת מול אשתקד'!A38,מנורה!A:K,10,0)+VLOOKUP('תפוקה מצטברת מול אשתקד'!A38,איילון!A:K,10,0)+VLOOKUP('תפוקה מצטברת מול אשתקד'!A38,הראל!A:K,10,0)+VLOOKUP('תפוקה מצטברת מול אשתקד'!A38,הפניקס!A:K,10,0)+VLOOKUP('תפוקה מצטברת מול אשתקד'!A38,כלל!A:K,10,0)+VLOOKUP('תפוקה מצטברת מול אשתקד'!A38,מור!A:K,10,0)+VLOOKUP('תפוקה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אשתקד'!A38,אינפניטי!A:K,10,0)</f>
        <v>832.34</v>
      </c>
      <c r="O38" s="12">
        <f>VLOOKUP(A38,הכשרה!A:K,11,0)+VLOOKUP('תפוקה מצטברת מול אשתקד'!A38,מגדל!A:K,11,0)+VLOOKUP('תפוקה מצטברת מול אשתקד'!A38,מנורה!A:K,11,0)+VLOOKUP('תפוקה מצטברת מול אשתקד'!A38,איילון!A:K,11,0)+VLOOKUP('תפוקה מצטברת מול אשתקד'!A38,הראל!A:K,11,0)+VLOOKUP('תפוקה מצטברת מול אשתקד'!A38,הפניקס!A:K,11,0)+VLOOKUP('תפוקה מצטברת מול אשתקד'!A38,כלל!A:K,11,0)+VLOOKUP('תפוקה מצטברת מול אשתקד'!A38,מור!A:K,11,0)+VLOOKUP('תפוקה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אשתקד'!A38,אינפניטי!A:K,11,0)</f>
        <v>0</v>
      </c>
    </row>
    <row r="39" spans="1:15" ht="15.75" customHeight="1" x14ac:dyDescent="0.25">
      <c r="A39" s="31" t="s">
        <v>103</v>
      </c>
      <c r="B39" s="27" t="s">
        <v>56</v>
      </c>
      <c r="C39" s="28" t="s">
        <v>115</v>
      </c>
      <c r="D39" s="20">
        <f t="shared" si="0"/>
        <v>-0.26306662287914961</v>
      </c>
      <c r="E39" s="20">
        <f t="shared" si="0"/>
        <v>-0.56786067723529698</v>
      </c>
      <c r="F39" s="20">
        <f t="shared" si="0"/>
        <v>1</v>
      </c>
      <c r="G39" s="20">
        <f t="shared" si="6"/>
        <v>0</v>
      </c>
      <c r="H39" s="68">
        <f>VLOOKUP(A39,הכשרה!A:G,4,0)+VLOOKUP('תפוקה מצטברת מול אשתקד'!A39,מגדל!A:G,4,0)+VLOOKUP('תפוקה מצטברת מול אשתקד'!A39,מנורה!A:G,4,0)+VLOOKUP('תפוקה מצטברת מול אשתקד'!A39,איילון!A:G,4,0)+VLOOKUP('תפוקה מצטברת מול אשתקד'!A39,הראל!A:G,4,0)+VLOOKUP('תפוקה מצטברת מול אשתקד'!A39,הפניקס!A:G,4,0)+VLOOKUP('תפוקה מצטברת מול אשתקד'!A39,כלל!A:G,4,0)+VLOOKUP('תפוקה מצטברת מול אשתקד'!A39,מור!A:G,4,0)+VLOOKUP('תפוקה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אשתקד'!A39,אינפניטי!A:G,4,0)</f>
        <v>72900.522169966949</v>
      </c>
      <c r="I39" s="68">
        <f>VLOOKUP(A39,הכשרה!A:G,5,0)+VLOOKUP('תפוקה מצטברת מול אשתקד'!A39,מגדל!A:G,5,0)+VLOOKUP('תפוקה מצטברת מול אשתקד'!A39,מנורה!A:G,5,0)+VLOOKUP('תפוקה מצטברת מול אשתקד'!A39,איילון!A:G,5,0)+VLOOKUP('תפוקה מצטברת מול אשתקד'!A39,הראל!A:G,5,0)+VLOOKUP('תפוקה מצטברת מול אשתקד'!A39,הפניקס!A:G,5,0)+VLOOKUP('תפוקה מצטברת מול אשתקד'!A39,כלל!A:G,5,0)+VLOOKUP('תפוקה מצטברת מול אשתקד'!A39,מור!A:G,5,0)+VLOOKUP('תפוקה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אשתקד'!A39,אינפניטי!A:G,5,0)</f>
        <v>8283.3460734040382</v>
      </c>
      <c r="J39" s="68">
        <f>VLOOKUP(A39,הכשרה!A:G,6,0)+VLOOKUP('תפוקה מצטברת מול אשתקד'!A39,מגדל!A:G,6,0)+VLOOKUP('תפוקה מצטברת מול אשתקד'!A39,מנורה!A:G,6,0)+VLOOKUP('תפוקה מצטברת מול אשתקד'!A39,איילון!A:G,6,0)+VLOOKUP(A39,הראל!A:G,6,0)+VLOOKUP('תפוקה מצטברת מול אשתקד'!A39,הפניקס!A:G,6,0)+VLOOKUP('תפוקה מצטברת מול אשתקד'!A39,כלל!A:G,6,0)+VLOOKUP('תפוקה מצטברת מול אשתקד'!A39,מור!A:G,6,0)+VLOOKUP('תפוקה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אשתקד'!A39,אינפניטי!A:G,6,0)</f>
        <v>29805.934860159578</v>
      </c>
      <c r="K39" s="68">
        <f>VLOOKUP(A39,הכשרה!A:G,7,0)+VLOOKUP('תפוקה מצטברת מול אשתקד'!A39,מגדל!A:G,7,0)+VLOOKUP('תפוקה מצטברת מול אשתקד'!A39,מנורה!A:G,7,0)+VLOOKUP('תפוקה מצטברת מול אשתקד'!A39,איילון!A:G,7,0)+VLOOKUP('תפוקה מצטברת מול אשתקד'!A39,הראל!A:G,7,0)+VLOOKUP('תפוקה מצטברת מול אשתקד'!A39,הפניקס!A:G,7,0)+VLOOKUP('תפוקה מצטברת מול אשתקד'!A39,כלל!A:G,7,0)+VLOOKUP('תפוקה מצטברת מול אשתקד'!A39,מור!A:G,7,0)+VLOOKUP('תפוקה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אשתקד'!A39,אינפניטי!A:G,7,0)</f>
        <v>0</v>
      </c>
      <c r="L39" s="12">
        <f>VLOOKUP(A39,הכשרה!A:K,8,0)+VLOOKUP('תפוקה מצטברת מול אשתקד'!A39,מגדל!A:K,8,0)+VLOOKUP('תפוקה מצטברת מול אשתקד'!A39,מנורה!A:K,8,0)+VLOOKUP('תפוקה מצטברת מול אשתקד'!A39,איילון!A:K,8,0)+VLOOKUP('תפוקה מצטברת מול אשתקד'!A39,הראל!A:K,8,0)+VLOOKUP('תפוקה מצטברת מול אשתקד'!A39,הפניקס!A:K,8,0)+VLOOKUP('תפוקה מצטברת מול אשתקד'!A39,כלל!A:K,8,0)+VLOOKUP('תפוקה מצטברת מול אשתקד'!A39,מור!A:K,8,0)+VLOOKUP('תפוקה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אשתקד'!A39,אינפניטי!A:K,8,0)</f>
        <v>98924.169311999998</v>
      </c>
      <c r="M39" s="12">
        <f>VLOOKUP(A39,הכשרה!A:K,9,0)+VLOOKUP('תפוקה מצטברת מול אשתקד'!A39,מגדל!A:K,9,0)+VLOOKUP('תפוקה מצטברת מול אשתקד'!A39,מנורה!A:K,9,0)+VLOOKUP('תפוקה מצטברת מול אשתקד'!A39,איילון!A:K,9,0)+VLOOKUP('תפוקה מצטברת מול אשתקד'!A39,הראל!A:K,9,0)+VLOOKUP('תפוקה מצטברת מול אשתקד'!A39,הפניקס!A:K,9,0)+VLOOKUP('תפוקה מצטברת מול אשתקד'!A39,כלל!A:K,9,0)+VLOOKUP('תפוקה מצטברת מול אשתקד'!A39,מור!A:K,9,0)+VLOOKUP('תפוקה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אשתקד'!A39,אינפניטי!A:K,9,0)</f>
        <v>19168.230329999999</v>
      </c>
      <c r="N39" s="12">
        <f>VLOOKUP(A39,הכשרה!A:K,10,0)+VLOOKUP('תפוקה מצטברת מול אשתקד'!A39,מגדל!A:K,10,0)+VLOOKUP('תפוקה מצטברת מול אשתקד'!A39,מנורה!A:K,10,0)+VLOOKUP('תפוקה מצטברת מול אשתקד'!A39,איילון!A:K,10,0)+VLOOKUP('תפוקה מצטברת מול אשתקד'!A39,הראל!A:K,10,0)+VLOOKUP('תפוקה מצטברת מול אשתקד'!A39,הפניקס!A:K,10,0)+VLOOKUP('תפוקה מצטברת מול אשתקד'!A39,כלל!A:K,10,0)+VLOOKUP('תפוקה מצטברת מול אשתקד'!A39,מור!A:K,10,0)+VLOOKUP('תפוקה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אשתקד'!A39,אינפניטי!A:K,10,0)</f>
        <v>0</v>
      </c>
      <c r="O39" s="12">
        <f>VLOOKUP(A39,הכשרה!A:K,11,0)+VLOOKUP('תפוקה מצטברת מול אשתקד'!A39,מגדל!A:K,11,0)+VLOOKUP('תפוקה מצטברת מול אשתקד'!A39,מנורה!A:K,11,0)+VLOOKUP('תפוקה מצטברת מול אשתקד'!A39,איילון!A:K,11,0)+VLOOKUP('תפוקה מצטברת מול אשתקד'!A39,הראל!A:K,11,0)+VLOOKUP('תפוקה מצטברת מול אשתקד'!A39,הפניקס!A:K,11,0)+VLOOKUP('תפוקה מצטברת מול אשתקד'!A39,כלל!A:K,11,0)+VLOOKUP('תפוקה מצטברת מול אשתקד'!A39,מור!A:K,11,0)+VLOOKUP('תפוקה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אשתקד'!A39,אינפניטי!A:K,11,0)</f>
        <v>651397.26</v>
      </c>
    </row>
    <row r="40" spans="1:15" ht="15.75" customHeight="1" x14ac:dyDescent="0.25">
      <c r="A40" s="27" t="s">
        <v>91</v>
      </c>
      <c r="B40" s="27" t="s">
        <v>56</v>
      </c>
      <c r="C40" s="28" t="s">
        <v>115</v>
      </c>
      <c r="D40" s="20">
        <f t="shared" si="0"/>
        <v>-1.0051133802809107</v>
      </c>
      <c r="E40" s="20">
        <f t="shared" si="0"/>
        <v>-0.34649074735138297</v>
      </c>
      <c r="F40" s="20">
        <f t="shared" si="0"/>
        <v>-0.7033677215189873</v>
      </c>
      <c r="G40" s="20">
        <f t="shared" si="6"/>
        <v>0</v>
      </c>
      <c r="H40" s="68">
        <f>VLOOKUP(A40,הכשרה!A:G,4,0)+VLOOKUP('תפוקה מצטברת מול אשתקד'!A40,מגדל!A:G,4,0)+VLOOKUP('תפוקה מצטברת מול אשתקד'!A40,מנורה!A:G,4,0)+VLOOKUP('תפוקה מצטברת מול אשתקד'!A40,איילון!A:G,4,0)+VLOOKUP('תפוקה מצטברת מול אשתקד'!A40,הראל!A:G,4,0)+VLOOKUP('תפוקה מצטברת מול אשתקד'!A40,הפניקס!A:G,4,0)+VLOOKUP('תפוקה מצטברת מול אשתקד'!A40,כלל!A:G,4,0)+VLOOKUP('תפוקה מצטברת מול אשתקד'!A40,מור!A:G,4,0)+VLOOKUP('תפוקה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אשתקד'!A40,אינפניטי!A:G,4,0)</f>
        <v>-79.231654047757715</v>
      </c>
      <c r="I40" s="68">
        <f>VLOOKUP(A40,הכשרה!A:G,5,0)+VLOOKUP('תפוקה מצטברת מול אשתקד'!A40,מגדל!A:G,5,0)+VLOOKUP('תפוקה מצטברת מול אשתקד'!A40,מנורה!A:G,5,0)+VLOOKUP('תפוקה מצטברת מול אשתקד'!A40,איילון!A:G,5,0)+VLOOKUP('תפוקה מצטברת מול אשתקד'!A40,הראל!A:G,5,0)+VLOOKUP('תפוקה מצטברת מול אשתקד'!A40,הפניקס!A:G,5,0)+VLOOKUP('תפוקה מצטברת מול אשתקד'!A40,כלל!A:G,5,0)+VLOOKUP('תפוקה מצטברת מול אשתקד'!A40,מור!A:G,5,0)+VLOOKUP('תפוקה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אשתקד'!A40,אינפניטי!A:G,5,0)</f>
        <v>8612.0999999999985</v>
      </c>
      <c r="J40" s="68">
        <f>VLOOKUP(A40,הכשרה!A:G,6,0)+VLOOKUP('תפוקה מצטברת מול אשתקד'!A40,מגדל!A:G,6,0)+VLOOKUP('תפוקה מצטברת מול אשתקד'!A40,מנורה!A:G,6,0)+VLOOKUP('תפוקה מצטברת מול אשתקד'!A40,איילון!A:G,6,0)+VLOOKUP(A40,הראל!A:G,6,0)+VLOOKUP('תפוקה מצטברת מול אשתקד'!A40,הפניקס!A:G,6,0)+VLOOKUP('תפוקה מצטברת מול אשתקד'!A40,כלל!A:G,6,0)+VLOOKUP('תפוקה מצטברת מול אשתקד'!A40,מור!A:G,6,0)+VLOOKUP('תפוקה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אשתקד'!A40,אינפניטי!A:G,6,0)</f>
        <v>9373.58</v>
      </c>
      <c r="K40" s="68">
        <f>VLOOKUP(A40,הכשרה!A:G,7,0)+VLOOKUP('תפוקה מצטברת מול אשתקד'!A40,מגדל!A:G,7,0)+VLOOKUP('תפוקה מצטברת מול אשתקד'!A40,מנורה!A:G,7,0)+VLOOKUP('תפוקה מצטברת מול אשתקד'!A40,איילון!A:G,7,0)+VLOOKUP('תפוקה מצטברת מול אשתקד'!A40,הראל!A:G,7,0)+VLOOKUP('תפוקה מצטברת מול אשתקד'!A40,הפניקס!A:G,7,0)+VLOOKUP('תפוקה מצטברת מול אשתקד'!A40,כלל!A:G,7,0)+VLOOKUP('תפוקה מצטברת מול אשתקד'!A40,מור!A:G,7,0)+VLOOKUP('תפוקה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אשתקד'!A40,אינפניטי!A:G,7,0)</f>
        <v>0</v>
      </c>
      <c r="L40" s="12">
        <f>VLOOKUP(A40,הכשרה!A:K,8,0)+VLOOKUP('תפוקה מצטברת מול אשתקד'!A40,מגדל!A:K,8,0)+VLOOKUP('תפוקה מצטברת מול אשתקד'!A40,מנורה!A:K,8,0)+VLOOKUP('תפוקה מצטברת מול אשתקד'!A40,איילון!A:K,8,0)+VLOOKUP('תפוקה מצטברת מול אשתקד'!A40,הראל!A:K,8,0)+VLOOKUP('תפוקה מצטברת מול אשתקד'!A40,הפניקס!A:K,8,0)+VLOOKUP('תפוקה מצטברת מול אשתקד'!A40,כלל!A:K,8,0)+VLOOKUP('תפוקה מצטברת מול אשתקד'!A40,מור!A:K,8,0)+VLOOKUP('תפוקה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אשתקד'!A40,אינפניטי!A:K,8,0)</f>
        <v>15494.966087999999</v>
      </c>
      <c r="M40" s="12">
        <f>VLOOKUP(A40,הכשרה!A:K,9,0)+VLOOKUP('תפוקה מצטברת מול אשתקד'!A40,מגדל!A:K,9,0)+VLOOKUP('תפוקה מצטברת מול אשתקד'!A40,מנורה!A:K,9,0)+VLOOKUP('תפוקה מצטברת מול אשתקד'!A40,איילון!A:K,9,0)+VLOOKUP('תפוקה מצטברת מול אשתקד'!A40,הראל!A:K,9,0)+VLOOKUP('תפוקה מצטברת מול אשתקד'!A40,הפניקס!A:K,9,0)+VLOOKUP('תפוקה מצטברת מול אשתקד'!A40,כלל!A:K,9,0)+VLOOKUP('תפוקה מצטברת מול אשתקד'!A40,מור!A:K,9,0)+VLOOKUP('תפוקה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אשתקד'!A40,אינפניטי!A:K,9,0)</f>
        <v>13178.237286</v>
      </c>
      <c r="N40" s="12">
        <f>VLOOKUP(A40,הכשרה!A:K,10,0)+VLOOKUP('תפוקה מצטברת מול אשתקד'!A40,מגדל!A:K,10,0)+VLOOKUP('תפוקה מצטברת מול אשתקד'!A40,מנורה!A:K,10,0)+VLOOKUP('תפוקה מצטברת מול אשתקד'!A40,איילון!A:K,10,0)+VLOOKUP('תפוקה מצטברת מול אשתקד'!A40,הראל!A:K,10,0)+VLOOKUP('תפוקה מצטברת מול אשתקד'!A40,הפניקס!A:K,10,0)+VLOOKUP('תפוקה מצטברת מול אשתקד'!A40,כלל!A:K,10,0)+VLOOKUP('תפוקה מצטברת מול אשתקד'!A40,מור!A:K,10,0)+VLOOKUP('תפוקה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אשתקד'!A40,אינפניטי!A:K,10,0)</f>
        <v>31600</v>
      </c>
      <c r="O40" s="12">
        <f>VLOOKUP(A40,הכשרה!A:K,11,0)+VLOOKUP('תפוקה מצטברת מול אשתקד'!A40,מגדל!A:K,11,0)+VLOOKUP('תפוקה מצטברת מול אשתקד'!A40,מנורה!A:K,11,0)+VLOOKUP('תפוקה מצטברת מול אשתקד'!A40,איילון!A:K,11,0)+VLOOKUP('תפוקה מצטברת מול אשתקד'!A40,הראל!A:K,11,0)+VLOOKUP('תפוקה מצטברת מול אשתקד'!A40,הפניקס!A:K,11,0)+VLOOKUP('תפוקה מצטברת מול אשתקד'!A40,כלל!A:K,11,0)+VLOOKUP('תפוקה מצטברת מול אשתקד'!A40,מור!A:K,11,0)+VLOOKUP('תפוקה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אשתקד'!A40,אינפניטי!A:K,11,0)</f>
        <v>0</v>
      </c>
    </row>
    <row r="41" spans="1:15" ht="15.75" customHeight="1" x14ac:dyDescent="0.25">
      <c r="A41" s="27" t="s">
        <v>90</v>
      </c>
      <c r="B41" s="27" t="s">
        <v>56</v>
      </c>
      <c r="C41" s="28" t="s">
        <v>115</v>
      </c>
      <c r="D41" s="20">
        <f t="shared" si="0"/>
        <v>0</v>
      </c>
      <c r="E41" s="20">
        <f t="shared" si="0"/>
        <v>0</v>
      </c>
      <c r="F41" s="20">
        <f t="shared" si="0"/>
        <v>-0.99494630533648254</v>
      </c>
      <c r="G41" s="20">
        <f t="shared" si="6"/>
        <v>17040.502325581394</v>
      </c>
      <c r="H41" s="68">
        <f>VLOOKUP(A41,הכשרה!A:G,4,0)+VLOOKUP('תפוקה מצטברת מול אשתקד'!A41,מגדל!A:G,4,0)+VLOOKUP('תפוקה מצטברת מול אשתקד'!A41,מנורה!A:G,4,0)+VLOOKUP('תפוקה מצטברת מול אשתקד'!A41,איילון!A:G,4,0)+VLOOKUP('תפוקה מצטברת מול אשתקד'!A41,הראל!A:G,4,0)+VLOOKUP('תפוקה מצטברת מול אשתקד'!A41,הפניקס!A:G,4,0)+VLOOKUP('תפוקה מצטברת מול אשתקד'!A41,כלל!A:G,4,0)+VLOOKUP('תפוקה מצטברת מול אשתקד'!A41,מור!A:G,4,0)+VLOOKUP('תפוקה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אשתקד'!A41,אינפניטי!A:G,4,0)</f>
        <v>0</v>
      </c>
      <c r="I41" s="68">
        <f>VLOOKUP(A41,הכשרה!A:G,5,0)+VLOOKUP('תפוקה מצטברת מול אשתקד'!A41,מגדל!A:G,5,0)+VLOOKUP('תפוקה מצטברת מול אשתקד'!A41,מנורה!A:G,5,0)+VLOOKUP('תפוקה מצטברת מול אשתקד'!A41,איילון!A:G,5,0)+VLOOKUP('תפוקה מצטברת מול אשתקד'!A41,הראל!A:G,5,0)+VLOOKUP('תפוקה מצטברת מול אשתקד'!A41,הפניקס!A:G,5,0)+VLOOKUP('תפוקה מצטברת מול אשתקד'!A41,כלל!A:G,5,0)+VLOOKUP('תפוקה מצטברת מול אשתקד'!A41,מור!A:G,5,0)+VLOOKUP('תפוקה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אשתקד'!A41,אינפניטי!A:G,5,0)</f>
        <v>0</v>
      </c>
      <c r="J41" s="68">
        <f>VLOOKUP(A41,הכשרה!A:G,6,0)+VLOOKUP('תפוקה מצטברת מול אשתקד'!A41,מגדל!A:G,6,0)+VLOOKUP('תפוקה מצטברת מול אשתקד'!A41,מנורה!A:G,6,0)+VLOOKUP('תפוקה מצטברת מול אשתקד'!A41,איילון!A:G,6,0)+VLOOKUP(A41,הראל!A:G,6,0)+VLOOKUP('תפוקה מצטברת מול אשתקד'!A41,הפניקס!A:G,6,0)+VLOOKUP('תפוקה מצטברת מול אשתקד'!A41,כלל!A:G,6,0)+VLOOKUP('תפוקה מצטברת מול אשתקד'!A41,מור!A:G,6,0)+VLOOKUP('תפוקה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אשתקד'!A41,אינפניטי!A:G,6,0)</f>
        <v>600</v>
      </c>
      <c r="K41" s="68">
        <f>VLOOKUP(A41,הכשרה!A:G,7,0)+VLOOKUP('תפוקה מצטברת מול אשתקד'!A41,מגדל!A:G,7,0)+VLOOKUP('תפוקה מצטברת מול אשתקד'!A41,מנורה!A:G,7,0)+VLOOKUP('תפוקה מצטברת מול אשתקד'!A41,איילון!A:G,7,0)+VLOOKUP('תפוקה מצטברת מול אשתקד'!A41,הראל!A:G,7,0)+VLOOKUP('תפוקה מצטברת מול אשתקד'!A41,הפניקס!A:G,7,0)+VLOOKUP('תפוקה מצטברת מול אשתקד'!A41,כלל!A:G,7,0)+VLOOKUP('תפוקה מצטברת מול אשתקד'!A41,מור!A:G,7,0)+VLOOKUP('תפוקה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אשתקד'!A41,אינפניטי!A:G,7,0)</f>
        <v>732784.6</v>
      </c>
      <c r="L41" s="12">
        <f>VLOOKUP(A41,הכשרה!A:K,8,0)+VLOOKUP('תפוקה מצטברת מול אשתקד'!A41,מגדל!A:K,8,0)+VLOOKUP('תפוקה מצטברת מול אשתקד'!A41,מנורה!A:K,8,0)+VLOOKUP('תפוקה מצטברת מול אשתקד'!A41,איילון!A:K,8,0)+VLOOKUP('תפוקה מצטברת מול אשתקד'!A41,הראל!A:K,8,0)+VLOOKUP('תפוקה מצטברת מול אשתקד'!A41,הפניקס!A:K,8,0)+VLOOKUP('תפוקה מצטברת מול אשתקד'!A41,כלל!A:K,8,0)+VLOOKUP('תפוקה מצטברת מול אשתקד'!A41,מור!A:K,8,0)+VLOOKUP('תפוקה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אשתקד'!A41,אינפניטי!A:K,8,0)</f>
        <v>0</v>
      </c>
      <c r="M41" s="12">
        <f>VLOOKUP(A41,הכשרה!A:K,9,0)+VLOOKUP('תפוקה מצטברת מול אשתקד'!A41,מגדל!A:K,9,0)+VLOOKUP('תפוקה מצטברת מול אשתקד'!A41,מנורה!A:K,9,0)+VLOOKUP('תפוקה מצטברת מול אשתקד'!A41,איילון!A:K,9,0)+VLOOKUP('תפוקה מצטברת מול אשתקד'!A41,הראל!A:K,9,0)+VLOOKUP('תפוקה מצטברת מול אשתקד'!A41,הפניקס!A:K,9,0)+VLOOKUP('תפוקה מצטברת מול אשתקד'!A41,כלל!A:K,9,0)+VLOOKUP('תפוקה מצטברת מול אשתקד'!A41,מור!A:K,9,0)+VLOOKUP('תפוקה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אשתקד'!A41,אינפניטי!A:K,9,0)</f>
        <v>609.14569800000004</v>
      </c>
      <c r="N41" s="12">
        <f>VLOOKUP(A41,הכשרה!A:K,10,0)+VLOOKUP('תפוקה מצטברת מול אשתקד'!A41,מגדל!A:K,10,0)+VLOOKUP('תפוקה מצטברת מול אשתקד'!A41,מנורה!A:K,10,0)+VLOOKUP('תפוקה מצטברת מול אשתקד'!A41,איילון!A:K,10,0)+VLOOKUP('תפוקה מצטברת מול אשתקד'!A41,הראל!A:K,10,0)+VLOOKUP('תפוקה מצטברת מול אשתקד'!A41,הפניקס!A:K,10,0)+VLOOKUP('תפוקה מצטברת מול אשתקד'!A41,כלל!A:K,10,0)+VLOOKUP('תפוקה מצטברת מול אשתקד'!A41,מור!A:K,10,0)+VLOOKUP('תפוקה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אשתקד'!A41,אינפניטי!A:K,10,0)</f>
        <v>118725.02</v>
      </c>
      <c r="O41" s="12">
        <f>VLOOKUP(A41,הכשרה!A:K,11,0)+VLOOKUP('תפוקה מצטברת מול אשתקד'!A41,מגדל!A:K,11,0)+VLOOKUP('תפוקה מצטברת מול אשתקד'!A41,מנורה!A:K,11,0)+VLOOKUP('תפוקה מצטברת מול אשתקד'!A41,איילון!A:K,11,0)+VLOOKUP('תפוקה מצטברת מול אשתקד'!A41,הראל!A:K,11,0)+VLOOKUP('תפוקה מצטברת מול אשתקד'!A41,הפניקס!A:K,11,0)+VLOOKUP('תפוקה מצטברת מול אשתקד'!A41,כלל!A:K,11,0)+VLOOKUP('תפוקה מצטברת מול אשתקד'!A41,מור!A:K,11,0)+VLOOKUP('תפוקה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אשתקד'!A41,אינפניטי!A:K,11,0)</f>
        <v>43</v>
      </c>
    </row>
    <row r="42" spans="1:15" ht="15.75" customHeight="1" x14ac:dyDescent="0.25">
      <c r="A42" s="29" t="s">
        <v>93</v>
      </c>
      <c r="B42" s="27" t="s">
        <v>56</v>
      </c>
      <c r="C42" s="28" t="s">
        <v>115</v>
      </c>
      <c r="D42" s="20">
        <f t="shared" si="0"/>
        <v>0</v>
      </c>
      <c r="E42" s="20">
        <f t="shared" si="0"/>
        <v>0</v>
      </c>
      <c r="F42" s="20">
        <f t="shared" si="0"/>
        <v>0</v>
      </c>
      <c r="G42" s="20">
        <f t="shared" si="6"/>
        <v>0</v>
      </c>
      <c r="H42" s="68">
        <f>VLOOKUP(A42,הכשרה!A:G,4,0)+VLOOKUP('תפוקה מצטברת מול אשתקד'!A42,מגדל!A:G,4,0)+VLOOKUP('תפוקה מצטברת מול אשתקד'!A42,מנורה!A:G,4,0)+VLOOKUP('תפוקה מצטברת מול אשתקד'!A42,איילון!A:G,4,0)+VLOOKUP('תפוקה מצטברת מול אשתקד'!A42,הראל!A:G,4,0)+VLOOKUP('תפוקה מצטברת מול אשתקד'!A42,הפניקס!A:G,4,0)+VLOOKUP('תפוקה מצטברת מול אשתקד'!A42,כלל!A:G,4,0)+VLOOKUP('תפוקה מצטברת מול אשתקד'!A42,מור!A:G,4,0)+VLOOKUP('תפוקה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אשתקד'!A42,אינפניטי!A:G,4,0)</f>
        <v>0</v>
      </c>
      <c r="I42" s="68">
        <f>VLOOKUP(A42,הכשרה!A:G,5,0)+VLOOKUP('תפוקה מצטברת מול אשתקד'!A42,מגדל!A:G,5,0)+VLOOKUP('תפוקה מצטברת מול אשתקד'!A42,מנורה!A:G,5,0)+VLOOKUP('תפוקה מצטברת מול אשתקד'!A42,איילון!A:G,5,0)+VLOOKUP('תפוקה מצטברת מול אשתקד'!A42,הראל!A:G,5,0)+VLOOKUP('תפוקה מצטברת מול אשתקד'!A42,הפניקס!A:G,5,0)+VLOOKUP('תפוקה מצטברת מול אשתקד'!A42,כלל!A:G,5,0)+VLOOKUP('תפוקה מצטברת מול אשתקד'!A42,מור!A:G,5,0)+VLOOKUP('תפוקה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אשתקד'!A42,אינפניטי!A:G,5,0)</f>
        <v>0</v>
      </c>
      <c r="J42" s="68">
        <f>VLOOKUP(A42,הכשרה!A:G,6,0)+VLOOKUP('תפוקה מצטברת מול אשתקד'!A42,מגדל!A:G,6,0)+VLOOKUP('תפוקה מצטברת מול אשתקד'!A42,מנורה!A:G,6,0)+VLOOKUP('תפוקה מצטברת מול אשתקד'!A42,איילון!A:G,6,0)+VLOOKUP(A42,הראל!A:G,6,0)+VLOOKUP('תפוקה מצטברת מול אשתקד'!A42,הפניקס!A:G,6,0)+VLOOKUP('תפוקה מצטברת מול אשתקד'!A42,כלל!A:G,6,0)+VLOOKUP('תפוקה מצטברת מול אשתקד'!A42,מור!A:G,6,0)+VLOOKUP('תפוקה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אשתקד'!A42,אינפניטי!A:G,6,0)</f>
        <v>0</v>
      </c>
      <c r="K42" s="68">
        <f>VLOOKUP(A42,הכשרה!A:G,7,0)+VLOOKUP('תפוקה מצטברת מול אשתקד'!A42,מגדל!A:G,7,0)+VLOOKUP('תפוקה מצטברת מול אשתקד'!A42,מנורה!A:G,7,0)+VLOOKUP('תפוקה מצטברת מול אשתקד'!A42,איילון!A:G,7,0)+VLOOKUP('תפוקה מצטברת מול אשתקד'!A42,הראל!A:G,7,0)+VLOOKUP('תפוקה מצטברת מול אשתקד'!A42,הפניקס!A:G,7,0)+VLOOKUP('תפוקה מצטברת מול אשתקד'!A42,כלל!A:G,7,0)+VLOOKUP('תפוקה מצטברת מול אשתקד'!A42,מור!A:G,7,0)+VLOOKUP('תפוקה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אשתקד'!A42,אינפניטי!A:G,7,0)</f>
        <v>0</v>
      </c>
      <c r="L42" s="12">
        <f>VLOOKUP(A42,הכשרה!A:K,8,0)+VLOOKUP('תפוקה מצטברת מול אשתקד'!A42,מגדל!A:K,8,0)+VLOOKUP('תפוקה מצטברת מול אשתקד'!A42,מנורה!A:K,8,0)+VLOOKUP('תפוקה מצטברת מול אשתקד'!A42,איילון!A:K,8,0)+VLOOKUP('תפוקה מצטברת מול אשתקד'!A42,הראל!A:K,8,0)+VLOOKUP('תפוקה מצטברת מול אשתקד'!A42,הפניקס!A:K,8,0)+VLOOKUP('תפוקה מצטברת מול אשתקד'!A42,כלל!A:K,8,0)+VLOOKUP('תפוקה מצטברת מול אשתקד'!A42,מור!A:K,8,0)+VLOOKUP('תפוקה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אשתקד'!A42,אינפניטי!A:K,8,0)</f>
        <v>0</v>
      </c>
      <c r="M42" s="12">
        <f>VLOOKUP(A42,הכשרה!A:K,9,0)+VLOOKUP('תפוקה מצטברת מול אשתקד'!A42,מגדל!A:K,9,0)+VLOOKUP('תפוקה מצטברת מול אשתקד'!A42,מנורה!A:K,9,0)+VLOOKUP('תפוקה מצטברת מול אשתקד'!A42,איילון!A:K,9,0)+VLOOKUP('תפוקה מצטברת מול אשתקד'!A42,הראל!A:K,9,0)+VLOOKUP('תפוקה מצטברת מול אשתקד'!A42,הפניקס!A:K,9,0)+VLOOKUP('תפוקה מצטברת מול אשתקד'!A42,כלל!A:K,9,0)+VLOOKUP('תפוקה מצטברת מול אשתקד'!A42,מור!A:K,9,0)+VLOOKUP('תפוקה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אשתקד'!A42,אינפניטי!A:K,9,0)</f>
        <v>7347.69</v>
      </c>
      <c r="N42" s="12">
        <f>VLOOKUP(A42,הכשרה!A:K,10,0)+VLOOKUP('תפוקה מצטברת מול אשתקד'!A42,מגדל!A:K,10,0)+VLOOKUP('תפוקה מצטברת מול אשתקד'!A42,מנורה!A:K,10,0)+VLOOKUP('תפוקה מצטברת מול אשתקד'!A42,איילון!A:K,10,0)+VLOOKUP('תפוקה מצטברת מול אשתקד'!A42,הראל!A:K,10,0)+VLOOKUP('תפוקה מצטברת מול אשתקד'!A42,הפניקס!A:K,10,0)+VLOOKUP('תפוקה מצטברת מול אשתקד'!A42,כלל!A:K,10,0)+VLOOKUP('תפוקה מצטברת מול אשתקד'!A42,מור!A:K,10,0)+VLOOKUP('תפוקה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אשתקד'!A42,אינפניטי!A:K,10,0)</f>
        <v>17994.53</v>
      </c>
      <c r="O42" s="12">
        <f>VLOOKUP(A42,הכשרה!A:K,11,0)+VLOOKUP('תפוקה מצטברת מול אשתקד'!A42,מגדל!A:K,11,0)+VLOOKUP('תפוקה מצטברת מול אשתקד'!A42,מנורה!A:K,11,0)+VLOOKUP('תפוקה מצטברת מול אשתקד'!A42,איילון!A:K,11,0)+VLOOKUP('תפוקה מצטברת מול אשתקד'!A42,הראל!A:K,11,0)+VLOOKUP('תפוקה מצטברת מול אשתקד'!A42,הפניקס!A:K,11,0)+VLOOKUP('תפוקה מצטברת מול אשתקד'!A42,כלל!A:K,11,0)+VLOOKUP('תפוקה מצטברת מול אשתקד'!A42,מור!A:K,11,0)+VLOOKUP('תפוקה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אשתקד'!A42,אינפניטי!A:K,11,0)</f>
        <v>0</v>
      </c>
    </row>
    <row r="43" spans="1:15" ht="15.75" customHeight="1" x14ac:dyDescent="0.25">
      <c r="A43" s="29" t="s">
        <v>95</v>
      </c>
      <c r="B43" s="27" t="s">
        <v>56</v>
      </c>
      <c r="C43" s="28" t="s">
        <v>115</v>
      </c>
      <c r="D43" s="20">
        <f t="shared" si="0"/>
        <v>0</v>
      </c>
      <c r="E43" s="20">
        <f t="shared" si="0"/>
        <v>0</v>
      </c>
      <c r="F43" s="20">
        <f t="shared" si="0"/>
        <v>-0.69749869669728726</v>
      </c>
      <c r="G43" s="20">
        <f t="shared" si="6"/>
        <v>1</v>
      </c>
      <c r="H43" s="68">
        <f>VLOOKUP(A43,הכשרה!A:G,4,0)+VLOOKUP('תפוקה מצטברת מול אשתקד'!A43,מגדל!A:G,4,0)+VLOOKUP('תפוקה מצטברת מול אשתקד'!A43,מנורה!A:G,4,0)+VLOOKUP('תפוקה מצטברת מול אשתקד'!A43,איילון!A:G,4,0)+VLOOKUP('תפוקה מצטברת מול אשתקד'!A43,הראל!A:G,4,0)+VLOOKUP('תפוקה מצטברת מול אשתקד'!A43,הפניקס!A:G,4,0)+VLOOKUP('תפוקה מצטברת מול אשתקד'!A43,כלל!A:G,4,0)+VLOOKUP('תפוקה מצטברת מול אשתקד'!A43,מור!A:G,4,0)+VLOOKUP('תפוקה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אשתקד'!A43,אינפניטי!A:G,4,0)</f>
        <v>0</v>
      </c>
      <c r="I43" s="68">
        <f>VLOOKUP(A43,הכשרה!A:G,5,0)+VLOOKUP('תפוקה מצטברת מול אשתקד'!A43,מגדל!A:G,5,0)+VLOOKUP('תפוקה מצטברת מול אשתקד'!A43,מנורה!A:G,5,0)+VLOOKUP('תפוקה מצטברת מול אשתקד'!A43,איילון!A:G,5,0)+VLOOKUP('תפוקה מצטברת מול אשתקד'!A43,הראל!A:G,5,0)+VLOOKUP('תפוקה מצטברת מול אשתקד'!A43,הפניקס!A:G,5,0)+VLOOKUP('תפוקה מצטברת מול אשתקד'!A43,כלל!A:G,5,0)+VLOOKUP('תפוקה מצטברת מול אשתקד'!A43,מור!A:G,5,0)+VLOOKUP('תפוקה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אשתקד'!A43,אינפניטי!A:G,5,0)</f>
        <v>0</v>
      </c>
      <c r="J43" s="68">
        <f>VLOOKUP(A43,הכשרה!A:G,6,0)+VLOOKUP('תפוקה מצטברת מול אשתקד'!A43,מגדל!A:G,6,0)+VLOOKUP('תפוקה מצטברת מול אשתקד'!A43,מנורה!A:G,6,0)+VLOOKUP('תפוקה מצטברת מול אשתקד'!A43,איילון!A:G,6,0)+VLOOKUP(A43,הראל!A:G,6,0)+VLOOKUP('תפוקה מצטברת מול אשתקד'!A43,הפניקס!A:G,6,0)+VLOOKUP('תפוקה מצטברת מול אשתקד'!A43,כלל!A:G,6,0)+VLOOKUP('תפוקה מצטברת מול אשתקד'!A43,מור!A:G,6,0)+VLOOKUP('תפוקה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אשתקד'!A43,אינפניטי!A:G,6,0)</f>
        <v>103466</v>
      </c>
      <c r="K43" s="68">
        <f>VLOOKUP(A43,הכשרה!A:G,7,0)+VLOOKUP('תפוקה מצטברת מול אשתקד'!A43,מגדל!A:G,7,0)+VLOOKUP('תפוקה מצטברת מול אשתקד'!A43,מנורה!A:G,7,0)+VLOOKUP('תפוקה מצטברת מול אשתקד'!A43,איילון!A:G,7,0)+VLOOKUP('תפוקה מצטברת מול אשתקד'!A43,הראל!A:G,7,0)+VLOOKUP('תפוקה מצטברת מול אשתקד'!A43,הפניקס!A:G,7,0)+VLOOKUP('תפוקה מצטברת מול אשתקד'!A43,כלל!A:G,7,0)+VLOOKUP('תפוקה מצטברת מול אשתקד'!A43,מור!A:G,7,0)+VLOOKUP('תפוקה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אשתקד'!A43,אינפניטי!A:G,7,0)</f>
        <v>658338.96</v>
      </c>
      <c r="L43" s="12">
        <f>VLOOKUP(A43,הכשרה!A:K,8,0)+VLOOKUP('תפוקה מצטברת מול אשתקד'!A43,מגדל!A:K,8,0)+VLOOKUP('תפוקה מצטברת מול אשתקד'!A43,מנורה!A:K,8,0)+VLOOKUP('תפוקה מצטברת מול אשתקד'!A43,איילון!A:K,8,0)+VLOOKUP('תפוקה מצטברת מול אשתקד'!A43,הראל!A:K,8,0)+VLOOKUP('תפוקה מצטברת מול אשתקד'!A43,הפניקס!A:K,8,0)+VLOOKUP('תפוקה מצטברת מול אשתקד'!A43,כלל!A:K,8,0)+VLOOKUP('תפוקה מצטברת מול אשתקד'!A43,מור!A:K,8,0)+VLOOKUP('תפוקה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אשתקד'!A43,אינפניטי!A:K,8,0)</f>
        <v>14017.31</v>
      </c>
      <c r="M43" s="12">
        <f>VLOOKUP(A43,הכשרה!A:K,9,0)+VLOOKUP('תפוקה מצטברת מול אשתקד'!A43,מגדל!A:K,9,0)+VLOOKUP('תפוקה מצטברת מול אשתקד'!A43,מנורה!A:K,9,0)+VLOOKUP('תפוקה מצטברת מול אשתקד'!A43,איילון!A:K,9,0)+VLOOKUP('תפוקה מצטברת מול אשתקד'!A43,הראל!A:K,9,0)+VLOOKUP('תפוקה מצטברת מול אשתקד'!A43,הפניקס!A:K,9,0)+VLOOKUP('תפוקה מצטברת מול אשתקד'!A43,כלל!A:K,9,0)+VLOOKUP('תפוקה מצטברת מול אשתקד'!A43,מור!A:K,9,0)+VLOOKUP('תפוקה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אשתקד'!A43,אינפניטי!A:K,9,0)</f>
        <v>714.32</v>
      </c>
      <c r="N43" s="12">
        <f>VLOOKUP(A43,הכשרה!A:K,10,0)+VLOOKUP('תפוקה מצטברת מול אשתקד'!A43,מגדל!A:K,10,0)+VLOOKUP('תפוקה מצטברת מול אשתקד'!A43,מנורה!A:K,10,0)+VLOOKUP('תפוקה מצטברת מול אשתקד'!A43,איילון!A:K,10,0)+VLOOKUP('תפוקה מצטברת מול אשתקד'!A43,הראל!A:K,10,0)+VLOOKUP('תפוקה מצטברת מול אשתקד'!A43,הפניקס!A:K,10,0)+VLOOKUP('תפוקה מצטברת מול אשתקד'!A43,כלל!A:K,10,0)+VLOOKUP('תפוקה מצטברת מול אשתקד'!A43,מור!A:K,10,0)+VLOOKUP('תפוקה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אשתקד'!A43,אינפניטי!A:K,10,0)</f>
        <v>342034.89</v>
      </c>
      <c r="O43" s="12">
        <f>VLOOKUP(A43,הכשרה!A:K,11,0)+VLOOKUP('תפוקה מצטברת מול אשתקד'!A43,מגדל!A:K,11,0)+VLOOKUP('תפוקה מצטברת מול אשתקד'!A43,מנורה!A:K,11,0)+VLOOKUP('תפוקה מצטברת מול אשתקד'!A43,איילון!A:K,11,0)+VLOOKUP('תפוקה מצטברת מול אשתקד'!A43,הראל!A:K,11,0)+VLOOKUP('תפוקה מצטברת מול אשתקד'!A43,הפניקס!A:K,11,0)+VLOOKUP('תפוקה מצטברת מול אשתקד'!A43,כלל!A:K,11,0)+VLOOKUP('תפוקה מצטברת מול אשתקד'!A43,מור!A:K,11,0)+VLOOKUP('תפוקה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אשתקד'!A43,אינפניטי!A:K,11,0)</f>
        <v>0</v>
      </c>
    </row>
    <row r="44" spans="1:15" ht="15.75" customHeight="1" x14ac:dyDescent="0.25">
      <c r="A44" s="27" t="s">
        <v>105</v>
      </c>
      <c r="B44" s="27" t="s">
        <v>56</v>
      </c>
      <c r="C44" s="27" t="s">
        <v>115</v>
      </c>
      <c r="D44" s="20">
        <f t="shared" si="0"/>
        <v>0</v>
      </c>
      <c r="E44" s="20">
        <f t="shared" si="0"/>
        <v>81.363485630066322</v>
      </c>
      <c r="F44" s="20">
        <f t="shared" si="0"/>
        <v>-0.50892690265617979</v>
      </c>
      <c r="G44" s="20">
        <f>IF(K44=0,0%,IF(O44=H81,100%,K44/O44-1))</f>
        <v>0</v>
      </c>
      <c r="H44" s="68">
        <f>VLOOKUP(A44,הכשרה!A:G,4,0)+VLOOKUP('תפוקה מצטברת מול אשתקד'!A44,מגדל!A:G,4,0)+VLOOKUP('תפוקה מצטברת מול אשתקד'!A44,מנורה!A:G,4,0)+VLOOKUP('תפוקה מצטברת מול אשתקד'!A44,איילון!A:G,4,0)+VLOOKUP('תפוקה מצטברת מול אשתקד'!A44,הראל!A:G,4,0)+VLOOKUP('תפוקה מצטברת מול אשתקד'!A44,הפניקס!A:G,4,0)+VLOOKUP('תפוקה מצטברת מול אשתקד'!A44,כלל!A:G,4,0)+VLOOKUP('תפוקה מצטברת מול אשתקד'!A44,מור!A:G,4,0)+VLOOKUP('תפוקה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אשתקד'!A44,אינפניטי!A:G,4,0)</f>
        <v>0</v>
      </c>
      <c r="I44" s="68">
        <f>VLOOKUP(A44,הכשרה!A:G,5,0)+VLOOKUP('תפוקה מצטברת מול אשתקד'!A44,מגדל!A:G,5,0)+VLOOKUP('תפוקה מצטברת מול אשתקד'!A44,מנורה!A:G,5,0)+VLOOKUP('תפוקה מצטברת מול אשתקד'!A44,איילון!A:G,5,0)+VLOOKUP('תפוקה מצטברת מול אשתקד'!A44,הראל!A:G,5,0)+VLOOKUP('תפוקה מצטברת מול אשתקד'!A44,הפניקס!A:G,5,0)+VLOOKUP('תפוקה מצטברת מול אשתקד'!A44,כלל!A:G,5,0)+VLOOKUP('תפוקה מצטברת מול אשתקד'!A44,מור!A:G,5,0)+VLOOKUP('תפוקה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אשתקד'!A44,אינפניטי!A:G,5,0)</f>
        <v>201181.05</v>
      </c>
      <c r="J44" s="68">
        <f>VLOOKUP(A44,הכשרה!A:G,6,0)+VLOOKUP('תפוקה מצטברת מול אשתקד'!A44,מגדל!A:G,6,0)+VLOOKUP('תפוקה מצטברת מול אשתקד'!A44,מנורה!A:G,6,0)+VLOOKUP('תפוקה מצטברת מול אשתקד'!A44,איילון!A:G,6,0)+VLOOKUP(A44,הראל!A:G,6,0)+VLOOKUP('תפוקה מצטברת מול אשתקד'!A44,הפניקס!A:G,6,0)+VLOOKUP('תפוקה מצטברת מול אשתקד'!A44,כלל!A:G,6,0)+VLOOKUP('תפוקה מצטברת מול אשתקד'!A44,מור!A:G,6,0)+VLOOKUP('תפוקה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אשתקד'!A44,אינפניטי!A:G,6,0)</f>
        <v>259590</v>
      </c>
      <c r="K44" s="68">
        <f>VLOOKUP(A44,הכשרה!A:G,7,0)+VLOOKUP('תפוקה מצטברת מול אשתקד'!A44,מגדל!A:G,7,0)+VLOOKUP('תפוקה מצטברת מול אשתקד'!A44,מנורה!A:G,7,0)+VLOOKUP('תפוקה מצטברת מול אשתקד'!A44,איילון!A:G,7,0)+VLOOKUP('תפוקה מצטברת מול אשתקד'!A44,הראל!A:G,7,0)+VLOOKUP('תפוקה מצטברת מול אשתקד'!A44,הפניקס!A:G,7,0)+VLOOKUP('תפוקה מצטברת מול אשתקד'!A44,כלל!A:G,7,0)+VLOOKUP('תפוקה מצטברת מול אשתקד'!A44,מור!A:G,7,0)+VLOOKUP('תפוקה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אשתקד'!A44,אינפניטי!A:G,7,0)</f>
        <v>0</v>
      </c>
      <c r="L44" s="12">
        <f>VLOOKUP(A44,הכשרה!A:K,8,0)+VLOOKUP('תפוקה מצטברת מול אשתקד'!A44,מגדל!A:K,8,0)+VLOOKUP('תפוקה מצטברת מול אשתקד'!A44,מנורה!A:K,8,0)+VLOOKUP('תפוקה מצטברת מול אשתקד'!A44,איילון!A:K,8,0)+VLOOKUP('תפוקה מצטברת מול אשתקד'!A44,הראל!A:K,8,0)+VLOOKUP('תפוקה מצטברת מול אשתקד'!A44,הפניקס!A:K,8,0)+VLOOKUP('תפוקה מצטברת מול אשתקד'!A44,כלל!A:K,8,0)+VLOOKUP('תפוקה מצטברת מול אשתקד'!A44,מור!A:K,8,0)+VLOOKUP('תפוקה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אשתקד'!A44,אינפניטי!A:K,8,0)</f>
        <v>251308.02410000001</v>
      </c>
      <c r="M44" s="12">
        <f>VLOOKUP(A44,הכשרה!A:K,9,0)+VLOOKUP('תפוקה מצטברת מול אשתקד'!A44,מגדל!A:K,9,0)+VLOOKUP('תפוקה מצטברת מול אשתקד'!A44,מנורה!A:K,9,0)+VLOOKUP('תפוקה מצטברת מול אשתקד'!A44,איילון!A:K,9,0)+VLOOKUP('תפוקה מצטברת מול אשתקד'!A44,הראל!A:K,9,0)+VLOOKUP('תפוקה מצטברת מול אשתקד'!A44,הפניקס!A:K,9,0)+VLOOKUP('תפוקה מצטברת מול אשתקד'!A44,כלל!A:K,9,0)+VLOOKUP('תפוקה מצטברת מול אשתקד'!A44,מור!A:K,9,0)+VLOOKUP('תפוקה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אשתקד'!A44,אינפניטי!A:K,9,0)</f>
        <v>2442.6</v>
      </c>
      <c r="N44" s="12">
        <f>VLOOKUP(A44,הכשרה!A:K,10,0)+VLOOKUP('תפוקה מצטברת מול אשתקד'!A44,מגדל!A:K,10,0)+VLOOKUP('תפוקה מצטברת מול אשתקד'!A44,מנורה!A:K,10,0)+VLOOKUP('תפוקה מצטברת מול אשתקד'!A44,איילון!A:K,10,0)+VLOOKUP('תפוקה מצטברת מול אשתקד'!A44,הראל!A:K,10,0)+VLOOKUP('תפוקה מצטברת מול אשתקד'!A44,הפניקס!A:K,10,0)+VLOOKUP('תפוקה מצטברת מול אשתקד'!A44,כלל!A:K,10,0)+VLOOKUP('תפוקה מצטברת מול אשתקד'!A44,מור!A:K,10,0)+VLOOKUP('תפוקה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אשתקד'!A44,אינפניטי!A:K,10,0)</f>
        <v>528617.84</v>
      </c>
      <c r="O44" s="12">
        <f>VLOOKUP(A44,הכשרה!A:K,11,0)+VLOOKUP('תפוקה מצטברת מול אשתקד'!A44,מגדל!A:K,11,0)+VLOOKUP('תפוקה מצטברת מול אשתקד'!A44,מנורה!A:K,11,0)+VLOOKUP('תפוקה מצטברת מול אשתקד'!A44,איילון!A:K,11,0)+VLOOKUP('תפוקה מצטברת מול אשתקד'!A44,הראל!A:K,11,0)+VLOOKUP('תפוקה מצטברת מול אשתקד'!A44,הפניקס!A:K,11,0)+VLOOKUP('תפוקה מצטברת מול אשתקד'!A44,כלל!A:K,11,0)+VLOOKUP('תפוקה מצטברת מול אשתקד'!A44,מור!A:K,11,0)+VLOOKUP('תפוקה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אשתקד'!A44,אינפניטי!A:K,11,0)</f>
        <v>1893908.53</v>
      </c>
    </row>
    <row r="45" spans="1:15" ht="15.75" customHeight="1" x14ac:dyDescent="0.25">
      <c r="A45" s="27" t="s">
        <v>39</v>
      </c>
      <c r="B45" s="27" t="s">
        <v>56</v>
      </c>
      <c r="C45" s="27" t="s">
        <v>115</v>
      </c>
      <c r="D45" s="20">
        <f t="shared" si="0"/>
        <v>-0.91369199509241761</v>
      </c>
      <c r="E45" s="20">
        <f t="shared" si="0"/>
        <v>-0.84443326170334299</v>
      </c>
      <c r="F45" s="20">
        <f t="shared" si="0"/>
        <v>0</v>
      </c>
      <c r="G45" s="20">
        <f>IF(K45=0,0%,IF(O45=H83,100%,K45/O45-1))</f>
        <v>0</v>
      </c>
      <c r="H45" s="68">
        <f>VLOOKUP(A45,הכשרה!A:G,4,0)+VLOOKUP('תפוקה מצטברת מול אשתקד'!A45,מגדל!A:G,4,0)+VLOOKUP('תפוקה מצטברת מול אשתקד'!A45,מנורה!A:G,4,0)+VLOOKUP('תפוקה מצטברת מול אשתקד'!A45,איילון!A:G,4,0)+VLOOKUP('תפוקה מצטברת מול אשתקד'!A45,הראל!A:G,4,0)+VLOOKUP('תפוקה מצטברת מול אשתקד'!A45,הפניקס!A:G,4,0)+VLOOKUP('תפוקה מצטברת מול אשתקד'!A45,כלל!A:G,4,0)+VLOOKUP('תפוקה מצטברת מול אשתקד'!A45,מור!A:G,4,0)+VLOOKUP('תפוקה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אשתקד'!A45,אינפניטי!A:G,4,0)</f>
        <v>6810.26</v>
      </c>
      <c r="I45" s="68">
        <f>VLOOKUP(A45,הכשרה!A:G,5,0)+VLOOKUP('תפוקה מצטברת מול אשתקד'!A45,מגדל!A:G,5,0)+VLOOKUP('תפוקה מצטברת מול אשתקד'!A45,מנורה!A:G,5,0)+VLOOKUP('תפוקה מצטברת מול אשתקד'!A45,איילון!A:G,5,0)+VLOOKUP('תפוקה מצטברת מול אשתקד'!A45,הראל!A:G,5,0)+VLOOKUP('תפוקה מצטברת מול אשתקד'!A45,הפניקס!A:G,5,0)+VLOOKUP('תפוקה מצטברת מול אשתקד'!A45,כלל!A:G,5,0)+VLOOKUP('תפוקה מצטברת מול אשתקד'!A45,מור!A:G,5,0)+VLOOKUP('תפוקה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אשתקד'!A45,אינפניטי!A:G,5,0)</f>
        <v>571.91</v>
      </c>
      <c r="J45" s="68">
        <f>VLOOKUP(A45,הכשרה!A:G,6,0)+VLOOKUP('תפוקה מצטברת מול אשתקד'!A45,מגדל!A:G,6,0)+VLOOKUP('תפוקה מצטברת מול אשתקד'!A45,מנורה!A:G,6,0)+VLOOKUP('תפוקה מצטברת מול אשתקד'!A45,איילון!A:G,6,0)+VLOOKUP(A45,הראל!A:G,6,0)+VLOOKUP('תפוקה מצטברת מול אשתקד'!A45,הפניקס!A:G,6,0)+VLOOKUP('תפוקה מצטברת מול אשתקד'!A45,כלל!A:G,6,0)+VLOOKUP('תפוקה מצטברת מול אשתקד'!A45,מור!A:G,6,0)+VLOOKUP('תפוקה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אשתקד'!A45,אינפניטי!A:G,6,0)</f>
        <v>0</v>
      </c>
      <c r="K45" s="68">
        <f>VLOOKUP(A45,הכשרה!A:G,7,0)+VLOOKUP('תפוקה מצטברת מול אשתקד'!A45,מגדל!A:G,7,0)+VLOOKUP('תפוקה מצטברת מול אשתקד'!A45,מנורה!A:G,7,0)+VLOOKUP('תפוקה מצטברת מול אשתקד'!A45,איילון!A:G,7,0)+VLOOKUP('תפוקה מצטברת מול אשתקד'!A45,הראל!A:G,7,0)+VLOOKUP('תפוקה מצטברת מול אשתקד'!A45,הפניקס!A:G,7,0)+VLOOKUP('תפוקה מצטברת מול אשתקד'!A45,כלל!A:G,7,0)+VLOOKUP('תפוקה מצטברת מול אשתקד'!A45,מור!A:G,7,0)+VLOOKUP('תפוקה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אשתקד'!A45,אינפניטי!A:G,7,0)</f>
        <v>0</v>
      </c>
      <c r="L45" s="12">
        <f>VLOOKUP(A45,הכשרה!A:K,8,0)+VLOOKUP('תפוקה מצטברת מול אשתקד'!A45,מגדל!A:K,8,0)+VLOOKUP('תפוקה מצטברת מול אשתקד'!A45,מנורה!A:K,8,0)+VLOOKUP('תפוקה מצטברת מול אשתקד'!A45,איילון!A:K,8,0)+VLOOKUP('תפוקה מצטברת מול אשתקד'!A45,הראל!A:K,8,0)+VLOOKUP('תפוקה מצטברת מול אשתקד'!A45,הפניקס!A:K,8,0)+VLOOKUP('תפוקה מצטברת מול אשתקד'!A45,כלל!A:K,8,0)+VLOOKUP('תפוקה מצטברת מול אשתקד'!A45,מור!A:K,8,0)+VLOOKUP('תפוקה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אשתקד'!A45,אינפניטי!A:K,8,0)</f>
        <v>78906.47</v>
      </c>
      <c r="M45" s="12">
        <f>VLOOKUP(A45,הכשרה!A:K,9,0)+VLOOKUP('תפוקה מצטברת מול אשתקד'!A45,מגדל!A:K,9,0)+VLOOKUP('תפוקה מצטברת מול אשתקד'!A45,מנורה!A:K,9,0)+VLOOKUP('תפוקה מצטברת מול אשתקד'!A45,איילון!A:K,9,0)+VLOOKUP('תפוקה מצטברת מול אשתקד'!A45,הראל!A:K,9,0)+VLOOKUP('תפוקה מצטברת מול אשתקד'!A45,הפניקס!A:K,9,0)+VLOOKUP('תפוקה מצטברת מול אשתקד'!A45,כלל!A:K,9,0)+VLOOKUP('תפוקה מצטברת מול אשתקד'!A45,מור!A:K,9,0)+VLOOKUP('תפוקה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אשתקד'!A45,אינפניטי!A:K,9,0)</f>
        <v>3676.3</v>
      </c>
      <c r="N45" s="12">
        <f>VLOOKUP(A45,הכשרה!A:K,10,0)+VLOOKUP('תפוקה מצטברת מול אשתקד'!A45,מגדל!A:K,10,0)+VLOOKUP('תפוקה מצטברת מול אשתקד'!A45,מנורה!A:K,10,0)+VLOOKUP('תפוקה מצטברת מול אשתקד'!A45,איילון!A:K,10,0)+VLOOKUP('תפוקה מצטברת מול אשתקד'!A45,הראל!A:K,10,0)+VLOOKUP('תפוקה מצטברת מול אשתקד'!A45,הפניקס!A:K,10,0)+VLOOKUP('תפוקה מצטברת מול אשתקד'!A45,כלל!A:K,10,0)+VLOOKUP('תפוקה מצטברת מול אשתקד'!A45,מור!A:K,10,0)+VLOOKUP('תפוקה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אשתקד'!A45,אינפניטי!A:K,10,0)</f>
        <v>20329</v>
      </c>
      <c r="O45" s="12">
        <f>VLOOKUP(A45,הכשרה!A:K,11,0)+VLOOKUP('תפוקה מצטברת מול אשתקד'!A45,מגדל!A:K,11,0)+VLOOKUP('תפוקה מצטברת מול אשתקד'!A45,מנורה!A:K,11,0)+VLOOKUP('תפוקה מצטברת מול אשתקד'!A45,איילון!A:K,11,0)+VLOOKUP('תפוקה מצטברת מול אשתקד'!A45,הראל!A:K,11,0)+VLOOKUP('תפוקה מצטברת מול אשתקד'!A45,הפניקס!A:K,11,0)+VLOOKUP('תפוקה מצטברת מול אשתקד'!A45,כלל!A:K,11,0)+VLOOKUP('תפוקה מצטברת מול אשתקד'!A45,מור!A:K,11,0)+VLOOKUP('תפוקה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אשתקד'!A45,אינפניטי!A:K,11,0)</f>
        <v>0</v>
      </c>
    </row>
    <row r="46" spans="1:15" ht="15.75" customHeight="1" x14ac:dyDescent="0.25">
      <c r="A46" s="27" t="s">
        <v>99</v>
      </c>
      <c r="B46" s="27" t="s">
        <v>56</v>
      </c>
      <c r="C46" s="27" t="s">
        <v>115</v>
      </c>
      <c r="D46" s="20">
        <f t="shared" si="0"/>
        <v>-0.57976651798917267</v>
      </c>
      <c r="E46" s="20">
        <f t="shared" si="0"/>
        <v>0</v>
      </c>
      <c r="F46" s="20">
        <f t="shared" si="0"/>
        <v>-0.99337567178958919</v>
      </c>
      <c r="G46" s="20">
        <f>IF(K46=0,0%,IF(O46=H84,100%,K46/O46-1))</f>
        <v>-0.87718934637969515</v>
      </c>
      <c r="H46" s="68">
        <f>VLOOKUP(A46,הכשרה!A:G,4,0)+VLOOKUP('תפוקה מצטברת מול אשתקד'!A46,מגדל!A:G,4,0)+VLOOKUP('תפוקה מצטברת מול אשתקד'!A46,מנורה!A:G,4,0)+VLOOKUP('תפוקה מצטברת מול אשתקד'!A46,איילון!A:G,4,0)+VLOOKUP('תפוקה מצטברת מול אשתקד'!A46,הראל!A:G,4,0)+VLOOKUP('תפוקה מצטברת מול אשתקד'!A46,הפניקס!A:G,4,0)+VLOOKUP('תפוקה מצטברת מול אשתקד'!A46,כלל!A:G,4,0)+VLOOKUP('תפוקה מצטברת מול אשתקד'!A46,מור!A:G,4,0)+VLOOKUP('תפוקה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אשתקד'!A46,אינפניטי!A:G,4,0)</f>
        <v>66247.156090000004</v>
      </c>
      <c r="I46" s="68">
        <f>VLOOKUP(A46,הכשרה!A:G,5,0)+VLOOKUP('תפוקה מצטברת מול אשתקד'!A46,מגדל!A:G,5,0)+VLOOKUP('תפוקה מצטברת מול אשתקד'!A46,מנורה!A:G,5,0)+VLOOKUP('תפוקה מצטברת מול אשתקד'!A46,איילון!A:G,5,0)+VLOOKUP('תפוקה מצטברת מול אשתקד'!A46,הראל!A:G,5,0)+VLOOKUP('תפוקה מצטברת מול אשתקד'!A46,הפניקס!A:G,5,0)+VLOOKUP('תפוקה מצטברת מול אשתקד'!A46,כלל!A:G,5,0)+VLOOKUP('תפוקה מצטברת מול אשתקד'!A46,מור!A:G,5,0)+VLOOKUP('תפוקה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אשתקד'!A46,אינפניטי!A:G,5,0)</f>
        <v>0</v>
      </c>
      <c r="J46" s="68">
        <f>VLOOKUP(A46,הכשרה!A:G,6,0)+VLOOKUP('תפוקה מצטברת מול אשתקד'!A46,מגדל!A:G,6,0)+VLOOKUP('תפוקה מצטברת מול אשתקד'!A46,מנורה!A:G,6,0)+VLOOKUP('תפוקה מצטברת מול אשתקד'!A46,איילון!A:G,6,0)+VLOOKUP(A46,הראל!A:G,6,0)+VLOOKUP('תפוקה מצטברת מול אשתקד'!A46,הפניקס!A:G,6,0)+VLOOKUP('תפוקה מצטברת מול אשתקד'!A46,כלל!A:G,6,0)+VLOOKUP('תפוקה מצטברת מול אשתקד'!A46,מור!A:G,6,0)+VLOOKUP('תפוקה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אשתקד'!A46,אינפניטי!A:G,6,0)</f>
        <v>6482.19</v>
      </c>
      <c r="K46" s="68">
        <f>VLOOKUP(A46,הכשרה!A:G,7,0)+VLOOKUP('תפוקה מצטברת מול אשתקד'!A46,מגדל!A:G,7,0)+VLOOKUP('תפוקה מצטברת מול אשתקד'!A46,מנורה!A:G,7,0)+VLOOKUP('תפוקה מצטברת מול אשתקד'!A46,איילון!A:G,7,0)+VLOOKUP('תפוקה מצטברת מול אשתקד'!A46,הראל!A:G,7,0)+VLOOKUP('תפוקה מצטברת מול אשתקד'!A46,הפניקס!A:G,7,0)+VLOOKUP('תפוקה מצטברת מול אשתקד'!A46,כלל!A:G,7,0)+VLOOKUP('תפוקה מצטברת מול אשתקד'!A46,מור!A:G,7,0)+VLOOKUP('תפוקה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אשתקד'!A46,אינפניטי!A:G,7,0)</f>
        <v>324423.5</v>
      </c>
      <c r="L46" s="12">
        <f>VLOOKUP(A46,הכשרה!A:K,8,0)+VLOOKUP('תפוקה מצטברת מול אשתקד'!A46,מגדל!A:K,8,0)+VLOOKUP('תפוקה מצטברת מול אשתקד'!A46,מנורה!A:K,8,0)+VLOOKUP('תפוקה מצטברת מול אשתקד'!A46,איילון!A:K,8,0)+VLOOKUP('תפוקה מצטברת מול אשתקד'!A46,הראל!A:K,8,0)+VLOOKUP('תפוקה מצטברת מול אשתקד'!A46,הפניקס!A:K,8,0)+VLOOKUP('תפוקה מצטברת מול אשתקד'!A46,כלל!A:K,8,0)+VLOOKUP('תפוקה מצטברת מול אשתקד'!A46,מור!A:K,8,0)+VLOOKUP('תפוקה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אשתקד'!A46,אינפניטי!A:K,8,0)</f>
        <v>157643.68839200001</v>
      </c>
      <c r="M46" s="12">
        <f>VLOOKUP(A46,הכשרה!A:K,9,0)+VLOOKUP('תפוקה מצטברת מול אשתקד'!A46,מגדל!A:K,9,0)+VLOOKUP('תפוקה מצטברת מול אשתקד'!A46,מנורה!A:K,9,0)+VLOOKUP('תפוקה מצטברת מול אשתקד'!A46,איילון!A:K,9,0)+VLOOKUP('תפוקה מצטברת מול אשתקד'!A46,הראל!A:K,9,0)+VLOOKUP('תפוקה מצטברת מול אשתקד'!A46,הפניקס!A:K,9,0)+VLOOKUP('תפוקה מצטברת מול אשתקד'!A46,כלל!A:K,9,0)+VLOOKUP('תפוקה מצטברת מול אשתקד'!A46,מור!A:K,9,0)+VLOOKUP('תפוקה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אשתקד'!A46,אינפניטי!A:K,9,0)</f>
        <v>12621.658049999998</v>
      </c>
      <c r="N46" s="12">
        <f>VLOOKUP(A46,הכשרה!A:K,10,0)+VLOOKUP('תפוקה מצטברת מול אשתקד'!A46,מגדל!A:K,10,0)+VLOOKUP('תפוקה מצטברת מול אשתקד'!A46,מנורה!A:K,10,0)+VLOOKUP('תפוקה מצטברת מול אשתקד'!A46,איילון!A:K,10,0)+VLOOKUP('תפוקה מצטברת מול אשתקד'!A46,הראל!A:K,10,0)+VLOOKUP('תפוקה מצטברת מול אשתקד'!A46,הפניקס!A:K,10,0)+VLOOKUP('תפוקה מצטברת מול אשתקד'!A46,כלל!A:K,10,0)+VLOOKUP('תפוקה מצטברת מול אשתקד'!A46,מור!A:K,10,0)+VLOOKUP('תפוקה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אשתקד'!A46,אינפניטי!A:K,10,0)</f>
        <v>978543</v>
      </c>
      <c r="O46" s="12">
        <f>VLOOKUP(A46,הכשרה!A:K,11,0)+VLOOKUP('תפוקה מצטברת מול אשתקד'!A46,מגדל!A:K,11,0)+VLOOKUP('תפוקה מצטברת מול אשתקד'!A46,מנורה!A:K,11,0)+VLOOKUP('תפוקה מצטברת מול אשתקד'!A46,איילון!A:K,11,0)+VLOOKUP('תפוקה מצטברת מול אשתקד'!A46,הראל!A:K,11,0)+VLOOKUP('תפוקה מצטברת מול אשתקד'!A46,הפניקס!A:K,11,0)+VLOOKUP('תפוקה מצטברת מול אשתקד'!A46,כלל!A:K,11,0)+VLOOKUP('תפוקה מצטברת מול אשתקד'!A46,מור!A:K,11,0)+VLOOKUP('תפוקה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אשתקד'!A46,אינפניטי!A:K,11,0)</f>
        <v>2641656</v>
      </c>
    </row>
    <row r="47" spans="1:15" ht="15.75" customHeight="1" x14ac:dyDescent="0.25">
      <c r="A47" s="27" t="s">
        <v>41</v>
      </c>
      <c r="B47" s="27" t="s">
        <v>56</v>
      </c>
      <c r="C47" s="27" t="s">
        <v>115</v>
      </c>
      <c r="D47" s="20">
        <f t="shared" si="0"/>
        <v>0</v>
      </c>
      <c r="E47" s="20">
        <f t="shared" si="0"/>
        <v>0</v>
      </c>
      <c r="F47" s="20">
        <f t="shared" si="0"/>
        <v>0</v>
      </c>
      <c r="G47" s="20">
        <f>IF(K47=0,0%,IF(O47=H85,100%,K47/O47-1))</f>
        <v>0</v>
      </c>
      <c r="H47" s="68">
        <f>VLOOKUP(A47,הכשרה!A:G,4,0)+VLOOKUP('תפוקה מצטברת מול אשתקד'!A47,מגדל!A:G,4,0)+VLOOKUP('תפוקה מצטברת מול אשתקד'!A47,מנורה!A:G,4,0)+VLOOKUP('תפוקה מצטברת מול אשתקד'!A47,איילון!A:G,4,0)+VLOOKUP('תפוקה מצטברת מול אשתקד'!A47,הראל!A:G,4,0)+VLOOKUP('תפוקה מצטברת מול אשתקד'!A47,הפניקס!A:G,4,0)+VLOOKUP('תפוקה מצטברת מול אשתקד'!A47,כלל!A:G,4,0)+VLOOKUP('תפוקה מצטברת מול אשתקד'!A47,מור!A:G,4,0)+VLOOKUP('תפוקה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אשתקד'!A47,אינפניטי!A:G,4,0)</f>
        <v>0</v>
      </c>
      <c r="I47" s="68">
        <f>VLOOKUP(A47,הכשרה!A:G,5,0)+VLOOKUP('תפוקה מצטברת מול אשתקד'!A47,מגדל!A:G,5,0)+VLOOKUP('תפוקה מצטברת מול אשתקד'!A47,מנורה!A:G,5,0)+VLOOKUP('תפוקה מצטברת מול אשתקד'!A47,איילון!A:G,5,0)+VLOOKUP('תפוקה מצטברת מול אשתקד'!A47,הראל!A:G,5,0)+VLOOKUP('תפוקה מצטברת מול אשתקד'!A47,הפניקס!A:G,5,0)+VLOOKUP('תפוקה מצטברת מול אשתקד'!A47,כלל!A:G,5,0)+VLOOKUP('תפוקה מצטברת מול אשתקד'!A47,מור!A:G,5,0)+VLOOKUP('תפוקה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אשתקד'!A47,אינפניטי!A:G,5,0)</f>
        <v>0</v>
      </c>
      <c r="J47" s="68">
        <f>VLOOKUP(A47,הכשרה!A:G,6,0)+VLOOKUP('תפוקה מצטברת מול אשתקד'!A47,מגדל!A:G,6,0)+VLOOKUP('תפוקה מצטברת מול אשתקד'!A47,מנורה!A:G,6,0)+VLOOKUP('תפוקה מצטברת מול אשתקד'!A47,איילון!A:G,6,0)+VLOOKUP(A47,הראל!A:G,6,0)+VLOOKUP('תפוקה מצטברת מול אשתקד'!A47,הפניקס!A:G,6,0)+VLOOKUP('תפוקה מצטברת מול אשתקד'!A47,כלל!A:G,6,0)+VLOOKUP('תפוקה מצטברת מול אשתקד'!A47,מור!A:G,6,0)+VLOOKUP('תפוקה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אשתקד'!A47,אינפניטי!A:G,6,0)</f>
        <v>0</v>
      </c>
      <c r="K47" s="68">
        <f>VLOOKUP(A47,הכשרה!A:G,7,0)+VLOOKUP('תפוקה מצטברת מול אשתקד'!A47,מגדל!A:G,7,0)+VLOOKUP('תפוקה מצטברת מול אשתקד'!A47,מנורה!A:G,7,0)+VLOOKUP('תפוקה מצטברת מול אשתקד'!A47,איילון!A:G,7,0)+VLOOKUP('תפוקה מצטברת מול אשתקד'!A47,הראל!A:G,7,0)+VLOOKUP('תפוקה מצטברת מול אשתקד'!A47,הפניקס!A:G,7,0)+VLOOKUP('תפוקה מצטברת מול אשתקד'!A47,כלל!A:G,7,0)+VLOOKUP('תפוקה מצטברת מול אשתקד'!A47,מור!A:G,7,0)+VLOOKUP('תפוקה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אשתקד'!A47,אינפניטי!A:G,7,0)</f>
        <v>0</v>
      </c>
      <c r="L47" s="12">
        <f>VLOOKUP(A47,הכשרה!A:K,8,0)+VLOOKUP('תפוקה מצטברת מול אשתקד'!A47,מגדל!A:K,8,0)+VLOOKUP('תפוקה מצטברת מול אשתקד'!A47,מנורה!A:K,8,0)+VLOOKUP('תפוקה מצטברת מול אשתקד'!A47,איילון!A:K,8,0)+VLOOKUP('תפוקה מצטברת מול אשתקד'!A47,הראל!A:K,8,0)+VLOOKUP('תפוקה מצטברת מול אשתקד'!A47,הפניקס!A:K,8,0)+VLOOKUP('תפוקה מצטברת מול אשתקד'!A47,כלל!A:K,8,0)+VLOOKUP('תפוקה מצטברת מול אשתקד'!A47,מור!A:K,8,0)+VLOOKUP('תפוקה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אשתקד'!A47,אינפניטי!A:K,8,0)</f>
        <v>27563.964847999996</v>
      </c>
      <c r="M47" s="12">
        <f>VLOOKUP(A47,הכשרה!A:K,9,0)+VLOOKUP('תפוקה מצטברת מול אשתקד'!A47,מגדל!A:K,9,0)+VLOOKUP('תפוקה מצטברת מול אשתקד'!A47,מנורה!A:K,9,0)+VLOOKUP('תפוקה מצטברת מול אשתקד'!A47,איילון!A:K,9,0)+VLOOKUP('תפוקה מצטברת מול אשתקד'!A47,הראל!A:K,9,0)+VLOOKUP('תפוקה מצטברת מול אשתקד'!A47,הפניקס!A:K,9,0)+VLOOKUP('תפוקה מצטברת מול אשתקד'!A47,כלל!A:K,9,0)+VLOOKUP('תפוקה מצטברת מול אשתקד'!A47,מור!A:K,9,0)+VLOOKUP('תפוקה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אשתקד'!A47,אינפניטי!A:K,9,0)</f>
        <v>-11702.194664712351</v>
      </c>
      <c r="N47" s="12">
        <f>VLOOKUP(A47,הכשרה!A:K,10,0)+VLOOKUP('תפוקה מצטברת מול אשתקד'!A47,מגדל!A:K,10,0)+VLOOKUP('תפוקה מצטברת מול אשתקד'!A47,מנורה!A:K,10,0)+VLOOKUP('תפוקה מצטברת מול אשתקד'!A47,איילון!A:K,10,0)+VLOOKUP('תפוקה מצטברת מול אשתקד'!A47,הראל!A:K,10,0)+VLOOKUP('תפוקה מצטברת מול אשתקד'!A47,הפניקס!A:K,10,0)+VLOOKUP('תפוקה מצטברת מול אשתקד'!A47,כלל!A:K,10,0)+VLOOKUP('תפוקה מצטברת מול אשתקד'!A47,מור!A:K,10,0)+VLOOKUP('תפוקה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אשתקד'!A47,אינפניטי!A:K,10,0)</f>
        <v>0</v>
      </c>
      <c r="O47" s="12">
        <f>VLOOKUP(A47,הכשרה!A:K,11,0)+VLOOKUP('תפוקה מצטברת מול אשתקד'!A47,מגדל!A:K,11,0)+VLOOKUP('תפוקה מצטברת מול אשתקד'!A47,מנורה!A:K,11,0)+VLOOKUP('תפוקה מצטברת מול אשתקד'!A47,איילון!A:K,11,0)+VLOOKUP('תפוקה מצטברת מול אשתקד'!A47,הראל!A:K,11,0)+VLOOKUP('תפוקה מצטברת מול אשתקד'!A47,הפניקס!A:K,11,0)+VLOOKUP('תפוקה מצטברת מול אשתקד'!A47,כלל!A:K,11,0)+VLOOKUP('תפוקה מצטברת מול אשתקד'!A47,מור!A:K,11,0)+VLOOKUP('תפוקה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אשתקד'!A47,אינפניטי!A:K,11,0)</f>
        <v>28656.598838000002</v>
      </c>
    </row>
    <row r="48" spans="1:15" ht="15.75" customHeight="1" x14ac:dyDescent="0.25">
      <c r="A48" s="29" t="s">
        <v>96</v>
      </c>
      <c r="B48" s="29" t="s">
        <v>56</v>
      </c>
      <c r="C48" s="27" t="s">
        <v>115</v>
      </c>
      <c r="D48" s="118">
        <f t="shared" si="0"/>
        <v>0</v>
      </c>
      <c r="E48" s="118">
        <f t="shared" si="0"/>
        <v>0</v>
      </c>
      <c r="F48" s="118">
        <f t="shared" si="0"/>
        <v>0</v>
      </c>
      <c r="G48" s="118">
        <f>IF(K48=0,0%,IF(O48=H87,100%,K48/O48-1))</f>
        <v>0</v>
      </c>
      <c r="H48" s="68">
        <f>VLOOKUP(A48,הכשרה!A:G,4,0)+VLOOKUP('תפוקה מצטברת מול אשתקד'!A48,מגדל!A:G,4,0)+VLOOKUP('תפוקה מצטברת מול אשתקד'!A48,מנורה!A:G,4,0)+VLOOKUP('תפוקה מצטברת מול אשתקד'!A48,איילון!A:G,4,0)+VLOOKUP('תפוקה מצטברת מול אשתקד'!A48,הראל!A:G,4,0)+VLOOKUP('תפוקה מצטברת מול אשתקד'!A48,הפניקס!A:G,4,0)+VLOOKUP('תפוקה מצטברת מול אשתקד'!A48,כלל!A:G,4,0)+VLOOKUP('תפוקה מצטברת מול אשתקד'!A48,מור!A:G,4,0)+VLOOKUP('תפוקה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אשתקד'!A48,אינפניטי!A:G,4,0)</f>
        <v>0</v>
      </c>
      <c r="I48" s="68">
        <f>VLOOKUP(A48,הכשרה!A:G,5,0)+VLOOKUP('תפוקה מצטברת מול אשתקד'!A48,מגדל!A:G,5,0)+VLOOKUP('תפוקה מצטברת מול אשתקד'!A48,מנורה!A:G,5,0)+VLOOKUP('תפוקה מצטברת מול אשתקד'!A48,איילון!A:G,5,0)+VLOOKUP('תפוקה מצטברת מול אשתקד'!A48,הראל!A:G,5,0)+VLOOKUP('תפוקה מצטברת מול אשתקד'!A48,הפניקס!A:G,5,0)+VLOOKUP('תפוקה מצטברת מול אשתקד'!A48,כלל!A:G,5,0)+VLOOKUP('תפוקה מצטברת מול אשתקד'!A48,מור!A:G,5,0)+VLOOKUP('תפוקה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אשתקד'!A48,אינפניטי!A:G,5,0)</f>
        <v>0</v>
      </c>
      <c r="J48" s="68">
        <f>VLOOKUP(A48,הכשרה!A:G,6,0)+VLOOKUP('תפוקה מצטברת מול אשתקד'!A48,מגדל!A:G,6,0)+VLOOKUP('תפוקה מצטברת מול אשתקד'!A48,מנורה!A:G,6,0)+VLOOKUP('תפוקה מצטברת מול אשתקד'!A48,איילון!A:G,6,0)+VLOOKUP(A48,הראל!A:G,6,0)+VLOOKUP('תפוקה מצטברת מול אשתקד'!A48,הפניקס!A:G,6,0)+VLOOKUP('תפוקה מצטברת מול אשתקד'!A48,כלל!A:G,6,0)+VLOOKUP('תפוקה מצטברת מול אשתקד'!A48,מור!A:G,6,0)+VLOOKUP('תפוקה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אשתקד'!A48,אינפניטי!A:G,6,0)</f>
        <v>0</v>
      </c>
      <c r="K48" s="68">
        <f>VLOOKUP(A48,הכשרה!A:G,7,0)+VLOOKUP('תפוקה מצטברת מול אשתקד'!A48,מגדל!A:G,7,0)+VLOOKUP('תפוקה מצטברת מול אשתקד'!A48,מנורה!A:G,7,0)+VLOOKUP('תפוקה מצטברת מול אשתקד'!A48,איילון!A:G,7,0)+VLOOKUP('תפוקה מצטברת מול אשתקד'!A48,הראל!A:G,7,0)+VLOOKUP('תפוקה מצטברת מול אשתקד'!A48,הפניקס!A:G,7,0)+VLOOKUP('תפוקה מצטברת מול אשתקד'!A48,כלל!A:G,7,0)+VLOOKUP('תפוקה מצטברת מול אשתקד'!A48,מור!A:G,7,0)+VLOOKUP('תפוקה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אשתקד'!A48,אינפניטי!A:G,7,0)</f>
        <v>0</v>
      </c>
      <c r="L48" s="12">
        <f>VLOOKUP(A48,הכשרה!A:K,8,0)+VLOOKUP('תפוקה מצטברת מול אשתקד'!A48,מגדל!A:K,8,0)+VLOOKUP('תפוקה מצטברת מול אשתקד'!A48,מנורה!A:K,8,0)+VLOOKUP('תפוקה מצטברת מול אשתקד'!A48,איילון!A:K,8,0)+VLOOKUP('תפוקה מצטברת מול אשתקד'!A48,הראל!A:K,8,0)+VLOOKUP('תפוקה מצטברת מול אשתקד'!A48,הפניקס!A:K,8,0)+VLOOKUP('תפוקה מצטברת מול אשתקד'!A48,כלל!A:K,8,0)+VLOOKUP('תפוקה מצטברת מול אשתקד'!A48,מור!A:K,8,0)+VLOOKUP('תפוקה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אשתקד'!A48,אינפניטי!A:K,8,0)</f>
        <v>33310.21</v>
      </c>
      <c r="M48" s="12">
        <f>VLOOKUP(A48,הכשרה!A:K,9,0)+VLOOKUP('תפוקה מצטברת מול אשתקד'!A48,מגדל!A:K,9,0)+VLOOKUP('תפוקה מצטברת מול אשתקד'!A48,מנורה!A:K,9,0)+VLOOKUP('תפוקה מצטברת מול אשתקד'!A48,איילון!A:K,9,0)+VLOOKUP('תפוקה מצטברת מול אשתקד'!A48,הראל!A:K,9,0)+VLOOKUP('תפוקה מצטברת מול אשתקד'!A48,הפניקס!A:K,9,0)+VLOOKUP('תפוקה מצטברת מול אשתקד'!A48,כלל!A:K,9,0)+VLOOKUP('תפוקה מצטברת מול אשתקד'!A48,מור!A:K,9,0)+VLOOKUP('תפוקה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אשתקד'!A48,אינפניטי!A:K,9,0)</f>
        <v>4456.9888439999995</v>
      </c>
      <c r="N48" s="12">
        <f>VLOOKUP(A48,הכשרה!A:K,10,0)+VLOOKUP('תפוקה מצטברת מול אשתקד'!A48,מגדל!A:K,10,0)+VLOOKUP('תפוקה מצטברת מול אשתקד'!A48,מנורה!A:K,10,0)+VLOOKUP('תפוקה מצטברת מול אשתקד'!A48,איילון!A:K,10,0)+VLOOKUP('תפוקה מצטברת מול אשתקד'!A48,הראל!A:K,10,0)+VLOOKUP('תפוקה מצטברת מול אשתקד'!A48,הפניקס!A:K,10,0)+VLOOKUP('תפוקה מצטברת מול אשתקד'!A48,כלל!A:K,10,0)+VLOOKUP('תפוקה מצטברת מול אשתקד'!A48,מור!A:K,10,0)+VLOOKUP('תפוקה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אשתקד'!A48,אינפניטי!A:K,10,0)</f>
        <v>0</v>
      </c>
      <c r="O48" s="12">
        <f>VLOOKUP(A48,הכשרה!A:K,11,0)+VLOOKUP('תפוקה מצטברת מול אשתקד'!A48,מגדל!A:K,11,0)+VLOOKUP('תפוקה מצטברת מול אשתקד'!A48,מנורה!A:K,11,0)+VLOOKUP('תפוקה מצטברת מול אשתקד'!A48,איילון!A:K,11,0)+VLOOKUP('תפוקה מצטברת מול אשתקד'!A48,הראל!A:K,11,0)+VLOOKUP('תפוקה מצטברת מול אשתקד'!A48,הפניקס!A:K,11,0)+VLOOKUP('תפוקה מצטברת מול אשתקד'!A48,כלל!A:K,11,0)+VLOOKUP('תפוקה מצטברת מול אשתקד'!A48,מור!A:K,11,0)+VLOOKUP('תפוקה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אשתקד'!A48,אינפניטי!A:K,11,0)</f>
        <v>45819.25</v>
      </c>
    </row>
    <row r="49" spans="1:15" ht="15.75" customHeight="1" x14ac:dyDescent="0.25">
      <c r="A49" s="27" t="s">
        <v>14</v>
      </c>
      <c r="B49" s="27" t="s">
        <v>55</v>
      </c>
      <c r="C49" s="27" t="s">
        <v>115</v>
      </c>
      <c r="D49" s="20">
        <f t="shared" ref="D49:F53" si="7">IF(H49=0,0%,IF(L49=0,100%,H49/L49-1))</f>
        <v>0</v>
      </c>
      <c r="E49" s="20">
        <f t="shared" si="7"/>
        <v>0</v>
      </c>
      <c r="F49" s="20">
        <f t="shared" si="7"/>
        <v>0</v>
      </c>
      <c r="G49" s="20">
        <f>IF(K49=0,0%,IF(O49=H50,100%,K49/O49-1))</f>
        <v>0</v>
      </c>
      <c r="H49" s="68">
        <f>VLOOKUP(A49,הכשרה!A:G,4,0)+VLOOKUP('תפוקה מצטברת מול אשתקד'!A49,מגדל!A:G,4,0)+VLOOKUP('תפוקה מצטברת מול אשתקד'!A49,מנורה!A:G,4,0)+VLOOKUP('תפוקה מצטברת מול אשתקד'!A49,איילון!A:G,4,0)+VLOOKUP('תפוקה מצטברת מול אשתקד'!A49,הראל!A:G,4,0)+VLOOKUP('תפוקה מצטברת מול אשתקד'!A49,הפניקס!A:G,4,0)+VLOOKUP('תפוקה מצטברת מול אשתקד'!A49,כלל!A:G,4,0)+VLOOKUP('תפוקה מצטברת מול אשתקד'!A49,מור!A:G,4,0)+VLOOKUP('תפוקה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אשתקד'!A49,אינפניטי!A:G,4,0)</f>
        <v>0</v>
      </c>
      <c r="I49" s="68">
        <f>VLOOKUP(A49,הכשרה!A:G,5,0)+VLOOKUP('תפוקה מצטברת מול אשתקד'!A49,מגדל!A:G,5,0)+VLOOKUP('תפוקה מצטברת מול אשתקד'!A49,מנורה!A:G,5,0)+VLOOKUP('תפוקה מצטברת מול אשתקד'!A49,איילון!A:G,5,0)+VLOOKUP('תפוקה מצטברת מול אשתקד'!A49,הראל!A:G,5,0)+VLOOKUP('תפוקה מצטברת מול אשתקד'!A49,הפניקס!A:G,5,0)+VLOOKUP('תפוקה מצטברת מול אשתקד'!A49,כלל!A:G,5,0)+VLOOKUP('תפוקה מצטברת מול אשתקד'!A49,מור!A:G,5,0)+VLOOKUP('תפוקה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אשתקד'!A49,אינפניטי!A:G,5,0)</f>
        <v>0</v>
      </c>
      <c r="J49" s="68">
        <f>VLOOKUP(A49,הכשרה!A:G,6,0)+VLOOKUP('תפוקה מצטברת מול אשתקד'!A49,מגדל!A:G,6,0)+VLOOKUP('תפוקה מצטברת מול אשתקד'!A49,מנורה!A:G,6,0)+VLOOKUP('תפוקה מצטברת מול אשתקד'!A49,איילון!A:G,6,0)+VLOOKUP(A49,הראל!A:G,6,0)+VLOOKUP('תפוקה מצטברת מול אשתקד'!A49,הפניקס!A:G,6,0)+VLOOKUP('תפוקה מצטברת מול אשתקד'!A49,כלל!A:G,6,0)+VLOOKUP('תפוקה מצטברת מול אשתקד'!A49,מור!A:G,6,0)+VLOOKUP('תפוקה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אשתקד'!A49,אינפניטי!A:G,6,0)</f>
        <v>0</v>
      </c>
      <c r="K49" s="68">
        <f>VLOOKUP(A49,הכשרה!A:G,7,0)+VLOOKUP('תפוקה מצטברת מול אשתקד'!A49,מגדל!A:G,7,0)+VLOOKUP('תפוקה מצטברת מול אשתקד'!A49,מנורה!A:G,7,0)+VLOOKUP('תפוקה מצטברת מול אשתקד'!A49,איילון!A:G,7,0)+VLOOKUP('תפוקה מצטברת מול אשתקד'!A49,הראל!A:G,7,0)+VLOOKUP('תפוקה מצטברת מול אשתקד'!A49,הפניקס!A:G,7,0)+VLOOKUP('תפוקה מצטברת מול אשתקד'!A49,כלל!A:G,7,0)+VLOOKUP('תפוקה מצטברת מול אשתקד'!A49,מור!A:G,7,0)+VLOOKUP('תפוקה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אשתקד'!A49,אינפניטי!A:G,7,0)</f>
        <v>0</v>
      </c>
      <c r="L49" s="12">
        <f>VLOOKUP(A49,הכשרה!A:K,8,0)+VLOOKUP('תפוקה מצטברת מול אשתקד'!A49,מגדל!A:K,8,0)+VLOOKUP('תפוקה מצטברת מול אשתקד'!A49,מנורה!A:K,8,0)+VLOOKUP('תפוקה מצטברת מול אשתקד'!A49,איילון!A:K,8,0)+VLOOKUP('תפוקה מצטברת מול אשתקד'!A49,הראל!A:K,8,0)+VLOOKUP('תפוקה מצטברת מול אשתקד'!A49,הפניקס!A:K,8,0)+VLOOKUP('תפוקה מצטברת מול אשתקד'!A49,כלל!A:K,8,0)+VLOOKUP('תפוקה מצטברת מול אשתקד'!A49,מור!A:K,8,0)+VLOOKUP('תפוקה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אשתקד'!A49,אינפניטי!A:K,8,0)</f>
        <v>0</v>
      </c>
      <c r="M49" s="12">
        <f>VLOOKUP(A49,הכשרה!A:K,9,0)+VLOOKUP('תפוקה מצטברת מול אשתקד'!A49,מגדל!A:K,9,0)+VLOOKUP('תפוקה מצטברת מול אשתקד'!A49,מנורה!A:K,9,0)+VLOOKUP('תפוקה מצטברת מול אשתקד'!A49,איילון!A:K,9,0)+VLOOKUP('תפוקה מצטברת מול אשתקד'!A49,הראל!A:K,9,0)+VLOOKUP('תפוקה מצטברת מול אשתקד'!A49,הפניקס!A:K,9,0)+VLOOKUP('תפוקה מצטברת מול אשתקד'!A49,כלל!A:K,9,0)+VLOOKUP('תפוקה מצטברת מול אשתקד'!A49,מור!A:K,9,0)+VLOOKUP('תפוקה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אשתקד'!A49,אינפניטי!A:K,9,0)</f>
        <v>0</v>
      </c>
      <c r="N49" s="12">
        <f>VLOOKUP(A49,הכשרה!A:K,10,0)+VLOOKUP('תפוקה מצטברת מול אשתקד'!A49,מגדל!A:K,10,0)+VLOOKUP('תפוקה מצטברת מול אשתקד'!A49,מנורה!A:K,10,0)+VLOOKUP('תפוקה מצטברת מול אשתקד'!A49,איילון!A:K,10,0)+VLOOKUP('תפוקה מצטברת מול אשתקד'!A49,הראל!A:K,10,0)+VLOOKUP('תפוקה מצטברת מול אשתקד'!A49,הפניקס!A:K,10,0)+VLOOKUP('תפוקה מצטברת מול אשתקד'!A49,כלל!A:K,10,0)+VLOOKUP('תפוקה מצטברת מול אשתקד'!A49,מור!A:K,10,0)+VLOOKUP('תפוקה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אשתקד'!A49,אינפניטי!A:K,10,0)</f>
        <v>0</v>
      </c>
      <c r="O49" s="12">
        <f>VLOOKUP(A49,הכשרה!A:K,11,0)+VLOOKUP('תפוקה מצטברת מול אשתקד'!A49,מגדל!A:K,11,0)+VLOOKUP('תפוקה מצטברת מול אשתקד'!A49,מנורה!A:K,11,0)+VLOOKUP('תפוקה מצטברת מול אשתקד'!A49,איילון!A:K,11,0)+VLOOKUP('תפוקה מצטברת מול אשתקד'!A49,הראל!A:K,11,0)+VLOOKUP('תפוקה מצטברת מול אשתקד'!A49,הפניקס!A:K,11,0)+VLOOKUP('תפוקה מצטברת מול אשתקד'!A49,כלל!A:K,11,0)+VLOOKUP('תפוקה מצטברת מול אשתקד'!A49,מור!A:K,11,0)+VLOOKUP('תפוקה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אשתקד'!A49,אינפניטי!A:K,11,0)</f>
        <v>0</v>
      </c>
    </row>
    <row r="50" spans="1:15" ht="15.75" customHeight="1" x14ac:dyDescent="0.25">
      <c r="A50" s="27" t="s">
        <v>36</v>
      </c>
      <c r="B50" s="27" t="s">
        <v>55</v>
      </c>
      <c r="C50" s="27" t="s">
        <v>115</v>
      </c>
      <c r="D50" s="20">
        <f t="shared" si="7"/>
        <v>1</v>
      </c>
      <c r="E50" s="20">
        <f t="shared" si="7"/>
        <v>0</v>
      </c>
      <c r="F50" s="20">
        <f t="shared" si="7"/>
        <v>0</v>
      </c>
      <c r="G50" s="20">
        <f>IF(K50=0,0%,IF(O50=H76,100%,K50/O50-1))</f>
        <v>0</v>
      </c>
      <c r="H50" s="68">
        <f>VLOOKUP(A50,הכשרה!A:G,4,0)+VLOOKUP('תפוקה מצטברת מול אשתקד'!A50,מגדל!A:G,4,0)+VLOOKUP('תפוקה מצטברת מול אשתקד'!A50,מנורה!A:G,4,0)+VLOOKUP('תפוקה מצטברת מול אשתקד'!A50,איילון!A:G,4,0)+VLOOKUP('תפוקה מצטברת מול אשתקד'!A50,הראל!A:G,4,0)+VLOOKUP('תפוקה מצטברת מול אשתקד'!A50,הפניקס!A:G,4,0)+VLOOKUP('תפוקה מצטברת מול אשתקד'!A50,כלל!A:G,4,0)+VLOOKUP('תפוקה מצטברת מול אשתקד'!A50,מור!A:G,4,0)+VLOOKUP('תפוקה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אשתקד'!A50,אינפניטי!A:G,4,0)</f>
        <v>15497.41964</v>
      </c>
      <c r="I50" s="68">
        <f>VLOOKUP(A50,הכשרה!A:G,5,0)+VLOOKUP('תפוקה מצטברת מול אשתקד'!A50,מגדל!A:G,5,0)+VLOOKUP('תפוקה מצטברת מול אשתקד'!A50,מנורה!A:G,5,0)+VLOOKUP('תפוקה מצטברת מול אשתקד'!A50,איילון!A:G,5,0)+VLOOKUP('תפוקה מצטברת מול אשתקד'!A50,הראל!A:G,5,0)+VLOOKUP('תפוקה מצטברת מול אשתקד'!A50,הפניקס!A:G,5,0)+VLOOKUP('תפוקה מצטברת מול אשתקד'!A50,כלל!A:G,5,0)+VLOOKUP('תפוקה מצטברת מול אשתקד'!A50,מור!A:G,5,0)+VLOOKUP('תפוקה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אשתקד'!A50,אינפניטי!A:G,5,0)</f>
        <v>0</v>
      </c>
      <c r="J50" s="68">
        <f>VLOOKUP(A50,הכשרה!A:G,6,0)+VLOOKUP('תפוקה מצטברת מול אשתקד'!A50,מגדל!A:G,6,0)+VLOOKUP('תפוקה מצטברת מול אשתקד'!A50,מנורה!A:G,6,0)+VLOOKUP('תפוקה מצטברת מול אשתקד'!A50,איילון!A:G,6,0)+VLOOKUP(A50,הראל!A:G,6,0)+VLOOKUP('תפוקה מצטברת מול אשתקד'!A50,הפניקס!A:G,6,0)+VLOOKUP('תפוקה מצטברת מול אשתקד'!A50,כלל!A:G,6,0)+VLOOKUP('תפוקה מצטברת מול אשתקד'!A50,מור!A:G,6,0)+VLOOKUP('תפוקה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אשתקד'!A50,אינפניטי!A:G,6,0)</f>
        <v>0</v>
      </c>
      <c r="K50" s="68">
        <f>VLOOKUP(A50,הכשרה!A:G,7,0)+VLOOKUP('תפוקה מצטברת מול אשתקד'!A50,מגדל!A:G,7,0)+VLOOKUP('תפוקה מצטברת מול אשתקד'!A50,מנורה!A:G,7,0)+VLOOKUP('תפוקה מצטברת מול אשתקד'!A50,איילון!A:G,7,0)+VLOOKUP('תפוקה מצטברת מול אשתקד'!A50,הראל!A:G,7,0)+VLOOKUP('תפוקה מצטברת מול אשתקד'!A50,הפניקס!A:G,7,0)+VLOOKUP('תפוקה מצטברת מול אשתקד'!A50,כלל!A:G,7,0)+VLOOKUP('תפוקה מצטברת מול אשתקד'!A50,מור!A:G,7,0)+VLOOKUP('תפוקה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אשתקד'!A50,אינפניטי!A:G,7,0)</f>
        <v>0</v>
      </c>
      <c r="L50" s="12">
        <f>VLOOKUP(A50,הכשרה!A:K,8,0)+VLOOKUP('תפוקה מצטברת מול אשתקד'!A50,מגדל!A:K,8,0)+VLOOKUP('תפוקה מצטברת מול אשתקד'!A50,מנורה!A:K,8,0)+VLOOKUP('תפוקה מצטברת מול אשתקד'!A50,איילון!A:K,8,0)+VLOOKUP('תפוקה מצטברת מול אשתקד'!A50,הראל!A:K,8,0)+VLOOKUP('תפוקה מצטברת מול אשתקד'!A50,הפניקס!A:K,8,0)+VLOOKUP('תפוקה מצטברת מול אשתקד'!A50,כלל!A:K,8,0)+VLOOKUP('תפוקה מצטברת מול אשתקד'!A50,מור!A:K,8,0)+VLOOKUP('תפוקה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אשתקד'!A50,אינפניטי!A:K,8,0)</f>
        <v>0</v>
      </c>
      <c r="M50" s="12">
        <f>VLOOKUP(A50,הכשרה!A:K,9,0)+VLOOKUP('תפוקה מצטברת מול אשתקד'!A50,מגדל!A:K,9,0)+VLOOKUP('תפוקה מצטברת מול אשתקד'!A50,מנורה!A:K,9,0)+VLOOKUP('תפוקה מצטברת מול אשתקד'!A50,איילון!A:K,9,0)+VLOOKUP('תפוקה מצטברת מול אשתקד'!A50,הראל!A:K,9,0)+VLOOKUP('תפוקה מצטברת מול אשתקד'!A50,הפניקס!A:K,9,0)+VLOOKUP('תפוקה מצטברת מול אשתקד'!A50,כלל!A:K,9,0)+VLOOKUP('תפוקה מצטברת מול אשתקד'!A50,מור!A:K,9,0)+VLOOKUP('תפוקה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אשתקד'!A50,אינפניטי!A:K,9,0)</f>
        <v>0</v>
      </c>
      <c r="N50" s="12">
        <f>VLOOKUP(A50,הכשרה!A:K,10,0)+VLOOKUP('תפוקה מצטברת מול אשתקד'!A50,מגדל!A:K,10,0)+VLOOKUP('תפוקה מצטברת מול אשתקד'!A50,מנורה!A:K,10,0)+VLOOKUP('תפוקה מצטברת מול אשתקד'!A50,איילון!A:K,10,0)+VLOOKUP('תפוקה מצטברת מול אשתקד'!A50,הראל!A:K,10,0)+VLOOKUP('תפוקה מצטברת מול אשתקד'!A50,הפניקס!A:K,10,0)+VLOOKUP('תפוקה מצטברת מול אשתקד'!A50,כלל!A:K,10,0)+VLOOKUP('תפוקה מצטברת מול אשתקד'!A50,מור!A:K,10,0)+VLOOKUP('תפוקה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אשתקד'!A50,אינפניטי!A:K,10,0)</f>
        <v>0</v>
      </c>
      <c r="O50" s="12">
        <f>VLOOKUP(A50,הכשרה!A:K,11,0)+VLOOKUP('תפוקה מצטברת מול אשתקד'!A50,מגדל!A:K,11,0)+VLOOKUP('תפוקה מצטברת מול אשתקד'!A50,מנורה!A:K,11,0)+VLOOKUP('תפוקה מצטברת מול אשתקד'!A50,איילון!A:K,11,0)+VLOOKUP('תפוקה מצטברת מול אשתקד'!A50,הראל!A:K,11,0)+VLOOKUP('תפוקה מצטברת מול אשתקד'!A50,הפניקס!A:K,11,0)+VLOOKUP('תפוקה מצטברת מול אשתקד'!A50,כלל!A:K,11,0)+VLOOKUP('תפוקה מצטברת מול אשתקד'!A50,מור!A:K,11,0)+VLOOKUP('תפוקה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אשתקד'!A50,אינפניטי!A:K,11,0)</f>
        <v>0</v>
      </c>
    </row>
    <row r="51" spans="1:15" ht="15.75" customHeight="1" x14ac:dyDescent="0.25">
      <c r="A51" s="27" t="s">
        <v>102</v>
      </c>
      <c r="B51" s="27" t="s">
        <v>55</v>
      </c>
      <c r="C51" s="27" t="s">
        <v>115</v>
      </c>
      <c r="D51" s="20">
        <f t="shared" si="7"/>
        <v>0</v>
      </c>
      <c r="E51" s="20">
        <f t="shared" si="7"/>
        <v>0</v>
      </c>
      <c r="F51" s="20">
        <f t="shared" si="7"/>
        <v>0</v>
      </c>
      <c r="G51" s="20">
        <f>IF(K51=0,0%,IF(O51=H77,100%,K51/O51-1))</f>
        <v>0</v>
      </c>
      <c r="H51" s="68">
        <f>VLOOKUP(A51,הכשרה!A:G,4,0)+VLOOKUP('תפוקה מצטברת מול אשתקד'!A51,מגדל!A:G,4,0)+VLOOKUP('תפוקה מצטברת מול אשתקד'!A51,מנורה!A:G,4,0)+VLOOKUP('תפוקה מצטברת מול אשתקד'!A51,איילון!A:G,4,0)+VLOOKUP('תפוקה מצטברת מול אשתקד'!A51,הראל!A:G,4,0)+VLOOKUP('תפוקה מצטברת מול אשתקד'!A51,הפניקס!A:G,4,0)+VLOOKUP('תפוקה מצטברת מול אשתקד'!A51,כלל!A:G,4,0)+VLOOKUP('תפוקה מצטברת מול אשתקד'!A51,מור!A:G,4,0)+VLOOKUP('תפוקה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אשתקד'!A51,אינפניטי!A:G,4,0)</f>
        <v>0</v>
      </c>
      <c r="I51" s="68">
        <f>VLOOKUP(A51,הכשרה!A:G,5,0)+VLOOKUP('תפוקה מצטברת מול אשתקד'!A51,מגדל!A:G,5,0)+VLOOKUP('תפוקה מצטברת מול אשתקד'!A51,מנורה!A:G,5,0)+VLOOKUP('תפוקה מצטברת מול אשתקד'!A51,איילון!A:G,5,0)+VLOOKUP('תפוקה מצטברת מול אשתקד'!A51,הראל!A:G,5,0)+VLOOKUP('תפוקה מצטברת מול אשתקד'!A51,הפניקס!A:G,5,0)+VLOOKUP('תפוקה מצטברת מול אשתקד'!A51,כלל!A:G,5,0)+VLOOKUP('תפוקה מצטברת מול אשתקד'!A51,מור!A:G,5,0)+VLOOKUP('תפוקה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אשתקד'!A51,אינפניטי!A:G,5,0)</f>
        <v>0</v>
      </c>
      <c r="J51" s="68">
        <f>VLOOKUP(A51,הכשרה!A:G,6,0)+VLOOKUP('תפוקה מצטברת מול אשתקד'!A51,מגדל!A:G,6,0)+VLOOKUP('תפוקה מצטברת מול אשתקד'!A51,מנורה!A:G,6,0)+VLOOKUP('תפוקה מצטברת מול אשתקד'!A51,איילון!A:G,6,0)+VLOOKUP(A51,הראל!A:G,6,0)+VLOOKUP('תפוקה מצטברת מול אשתקד'!A51,הפניקס!A:G,6,0)+VLOOKUP('תפוקה מצטברת מול אשתקד'!A51,כלל!A:G,6,0)+VLOOKUP('תפוקה מצטברת מול אשתקד'!A51,מור!A:G,6,0)+VLOOKUP('תפוקה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אשתקד'!A51,אינפניטי!A:G,6,0)</f>
        <v>0</v>
      </c>
      <c r="K51" s="68">
        <f>VLOOKUP(A51,הכשרה!A:G,7,0)+VLOOKUP('תפוקה מצטברת מול אשתקד'!A51,מגדל!A:G,7,0)+VLOOKUP('תפוקה מצטברת מול אשתקד'!A51,מנורה!A:G,7,0)+VLOOKUP('תפוקה מצטברת מול אשתקד'!A51,איילון!A:G,7,0)+VLOOKUP('תפוקה מצטברת מול אשתקד'!A51,הראל!A:G,7,0)+VLOOKUP('תפוקה מצטברת מול אשתקד'!A51,הפניקס!A:G,7,0)+VLOOKUP('תפוקה מצטברת מול אשתקד'!A51,כלל!A:G,7,0)+VLOOKUP('תפוקה מצטברת מול אשתקד'!A51,מור!A:G,7,0)+VLOOKUP('תפוקה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אשתקד'!A51,אינפניטי!A:G,7,0)</f>
        <v>0</v>
      </c>
      <c r="L51" s="12">
        <f>VLOOKUP(A51,הכשרה!A:K,8,0)+VLOOKUP('תפוקה מצטברת מול אשתקד'!A51,מגדל!A:K,8,0)+VLOOKUP('תפוקה מצטברת מול אשתקד'!A51,מנורה!A:K,8,0)+VLOOKUP('תפוקה מצטברת מול אשתקד'!A51,איילון!A:K,8,0)+VLOOKUP('תפוקה מצטברת מול אשתקד'!A51,הראל!A:K,8,0)+VLOOKUP('תפוקה מצטברת מול אשתקד'!A51,הפניקס!A:K,8,0)+VLOOKUP('תפוקה מצטברת מול אשתקד'!A51,כלל!A:K,8,0)+VLOOKUP('תפוקה מצטברת מול אשתקד'!A51,מור!A:K,8,0)+VLOOKUP('תפוקה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אשתקד'!A51,אינפניטי!A:K,8,0)</f>
        <v>656.11185799999998</v>
      </c>
      <c r="M51" s="12">
        <f>VLOOKUP(A51,הכשרה!A:K,9,0)+VLOOKUP('תפוקה מצטברת מול אשתקד'!A51,מגדל!A:K,9,0)+VLOOKUP('תפוקה מצטברת מול אשתקד'!A51,מנורה!A:K,9,0)+VLOOKUP('תפוקה מצטברת מול אשתקד'!A51,איילון!A:K,9,0)+VLOOKUP('תפוקה מצטברת מול אשתקד'!A51,הראל!A:K,9,0)+VLOOKUP('תפוקה מצטברת מול אשתקד'!A51,הפניקס!A:K,9,0)+VLOOKUP('תפוקה מצטברת מול אשתקד'!A51,כלל!A:K,9,0)+VLOOKUP('תפוקה מצטברת מול אשתקד'!A51,מור!A:K,9,0)+VLOOKUP('תפוקה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אשתקד'!A51,אינפניטי!A:K,9,0)</f>
        <v>5944.7195119999997</v>
      </c>
      <c r="N51" s="12">
        <f>VLOOKUP(A51,הכשרה!A:K,10,0)+VLOOKUP('תפוקה מצטברת מול אשתקד'!A51,מגדל!A:K,10,0)+VLOOKUP('תפוקה מצטברת מול אשתקד'!A51,מנורה!A:K,10,0)+VLOOKUP('תפוקה מצטברת מול אשתקד'!A51,איילון!A:K,10,0)+VLOOKUP('תפוקה מצטברת מול אשתקד'!A51,הראל!A:K,10,0)+VLOOKUP('תפוקה מצטברת מול אשתקד'!A51,הפניקס!A:K,10,0)+VLOOKUP('תפוקה מצטברת מול אשתקד'!A51,כלל!A:K,10,0)+VLOOKUP('תפוקה מצטברת מול אשתקד'!A51,מור!A:K,10,0)+VLOOKUP('תפוקה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אשתקד'!A51,אינפניטי!A:K,10,0)</f>
        <v>0</v>
      </c>
      <c r="O51" s="12">
        <f>VLOOKUP(A51,הכשרה!A:K,11,0)+VLOOKUP('תפוקה מצטברת מול אשתקד'!A51,מגדל!A:K,11,0)+VLOOKUP('תפוקה מצטברת מול אשתקד'!A51,מנורה!A:K,11,0)+VLOOKUP('תפוקה מצטברת מול אשתקד'!A51,איילון!A:K,11,0)+VLOOKUP('תפוקה מצטברת מול אשתקד'!A51,הראל!A:K,11,0)+VLOOKUP('תפוקה מצטברת מול אשתקד'!A51,הפניקס!A:K,11,0)+VLOOKUP('תפוקה מצטברת מול אשתקד'!A51,כלל!A:K,11,0)+VLOOKUP('תפוקה מצטברת מול אשתקד'!A51,מור!A:K,11,0)+VLOOKUP('תפוקה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אשתקד'!A51,אינפניטי!A:K,11,0)</f>
        <v>0</v>
      </c>
    </row>
    <row r="52" spans="1:15" ht="15.75" customHeight="1" x14ac:dyDescent="0.25">
      <c r="A52" s="27" t="s">
        <v>106</v>
      </c>
      <c r="B52" s="27" t="s">
        <v>55</v>
      </c>
      <c r="C52" s="28" t="s">
        <v>115</v>
      </c>
      <c r="D52" s="20">
        <f t="shared" si="7"/>
        <v>0</v>
      </c>
      <c r="E52" s="20">
        <f t="shared" si="7"/>
        <v>0</v>
      </c>
      <c r="F52" s="20">
        <f t="shared" si="7"/>
        <v>0</v>
      </c>
      <c r="G52" s="20">
        <f t="shared" ref="G52:G53" si="8">IF(K52=0,0%,IF(O52=H78,100%,K52/O52-1))</f>
        <v>0</v>
      </c>
      <c r="H52" s="68">
        <f>VLOOKUP(A52,הכשרה!A:G,4,0)+VLOOKUP('תפוקה מצטברת מול אשתקד'!A52,מגדל!A:G,4,0)+VLOOKUP('תפוקה מצטברת מול אשתקד'!A52,מנורה!A:G,4,0)+VLOOKUP('תפוקה מצטברת מול אשתקד'!A52,איילון!A:G,4,0)+VLOOKUP('תפוקה מצטברת מול אשתקד'!A52,הראל!A:G,4,0)+VLOOKUP('תפוקה מצטברת מול אשתקד'!A52,הפניקס!A:G,4,0)+VLOOKUP('תפוקה מצטברת מול אשתקד'!A52,כלל!A:G,4,0)+VLOOKUP('תפוקה מצטברת מול אשתקד'!A52,מור!A:G,4,0)+VLOOKUP('תפוקה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אשתקד'!A52,אינפניטי!A:G,4,0)</f>
        <v>0</v>
      </c>
      <c r="I52" s="68">
        <f>VLOOKUP(A52,הכשרה!A:G,5,0)+VLOOKUP('תפוקה מצטברת מול אשתקד'!A52,מגדל!A:G,5,0)+VLOOKUP('תפוקה מצטברת מול אשתקד'!A52,מנורה!A:G,5,0)+VLOOKUP('תפוקה מצטברת מול אשתקד'!A52,איילון!A:G,5,0)+VLOOKUP('תפוקה מצטברת מול אשתקד'!A52,הראל!A:G,5,0)+VLOOKUP('תפוקה מצטברת מול אשתקד'!A52,הפניקס!A:G,5,0)+VLOOKUP('תפוקה מצטברת מול אשתקד'!A52,כלל!A:G,5,0)+VLOOKUP('תפוקה מצטברת מול אשתקד'!A52,מור!A:G,5,0)+VLOOKUP('תפוקה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אשתקד'!A52,אינפניטי!A:G,5,0)</f>
        <v>0</v>
      </c>
      <c r="J52" s="68">
        <f>VLOOKUP(A52,הכשרה!A:G,6,0)+VLOOKUP('תפוקה מצטברת מול אשתקד'!A52,מגדל!A:G,6,0)+VLOOKUP('תפוקה מצטברת מול אשתקד'!A52,מנורה!A:G,6,0)+VLOOKUP('תפוקה מצטברת מול אשתקד'!A52,איילון!A:G,6,0)+VLOOKUP(A52,הראל!A:G,6,0)+VLOOKUP('תפוקה מצטברת מול אשתקד'!A52,הפניקס!A:G,6,0)+VLOOKUP('תפוקה מצטברת מול אשתקד'!A52,כלל!A:G,6,0)+VLOOKUP('תפוקה מצטברת מול אשתקד'!A52,מור!A:G,6,0)+VLOOKUP('תפוקה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אשתקד'!A52,אינפניטי!A:G,6,0)</f>
        <v>0</v>
      </c>
      <c r="K52" s="68">
        <f>VLOOKUP(A52,הכשרה!A:G,7,0)+VLOOKUP('תפוקה מצטברת מול אשתקד'!A52,מגדל!A:G,7,0)+VLOOKUP('תפוקה מצטברת מול אשתקד'!A52,מנורה!A:G,7,0)+VLOOKUP('תפוקה מצטברת מול אשתקד'!A52,איילון!A:G,7,0)+VLOOKUP('תפוקה מצטברת מול אשתקד'!A52,הראל!A:G,7,0)+VLOOKUP('תפוקה מצטברת מול אשתקד'!A52,הפניקס!A:G,7,0)+VLOOKUP('תפוקה מצטברת מול אשתקד'!A52,כלל!A:G,7,0)+VLOOKUP('תפוקה מצטברת מול אשתקד'!A52,מור!A:G,7,0)+VLOOKUP('תפוקה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אשתקד'!A52,אינפניטי!A:G,7,0)</f>
        <v>0</v>
      </c>
      <c r="L52" s="12">
        <f>VLOOKUP(A52,הכשרה!A:K,8,0)+VLOOKUP('תפוקה מצטברת מול אשתקד'!A52,מגדל!A:K,8,0)+VLOOKUP('תפוקה מצטברת מול אשתקד'!A52,מנורה!A:K,8,0)+VLOOKUP('תפוקה מצטברת מול אשתקד'!A52,איילון!A:K,8,0)+VLOOKUP('תפוקה מצטברת מול אשתקד'!A52,הראל!A:K,8,0)+VLOOKUP('תפוקה מצטברת מול אשתקד'!A52,הפניקס!A:K,8,0)+VLOOKUP('תפוקה מצטברת מול אשתקד'!A52,כלל!A:K,8,0)+VLOOKUP('תפוקה מצטברת מול אשתקד'!A52,מור!A:K,8,0)+VLOOKUP('תפוקה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אשתקד'!A52,אינפניטי!A:K,8,0)</f>
        <v>46947.519999999997</v>
      </c>
      <c r="M52" s="12">
        <f>VLOOKUP(A52,הכשרה!A:K,9,0)+VLOOKUP('תפוקה מצטברת מול אשתקד'!A52,מגדל!A:K,9,0)+VLOOKUP('תפוקה מצטברת מול אשתקד'!A52,מנורה!A:K,9,0)+VLOOKUP('תפוקה מצטברת מול אשתקד'!A52,איילון!A:K,9,0)+VLOOKUP('תפוקה מצטברת מול אשתקד'!A52,הראל!A:K,9,0)+VLOOKUP('תפוקה מצטברת מול אשתקד'!A52,הפניקס!A:K,9,0)+VLOOKUP('תפוקה מצטברת מול אשתקד'!A52,כלל!A:K,9,0)+VLOOKUP('תפוקה מצטברת מול אשתקד'!A52,מור!A:K,9,0)+VLOOKUP('תפוקה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אשתקד'!A52,אינפניטי!A:K,9,0)</f>
        <v>12917.18</v>
      </c>
      <c r="N52" s="12">
        <f>VLOOKUP(A52,הכשרה!A:K,10,0)+VLOOKUP('תפוקה מצטברת מול אשתקד'!A52,מגדל!A:K,10,0)+VLOOKUP('תפוקה מצטברת מול אשתקד'!A52,מנורה!A:K,10,0)+VLOOKUP('תפוקה מצטברת מול אשתקד'!A52,איילון!A:K,10,0)+VLOOKUP('תפוקה מצטברת מול אשתקד'!A52,הראל!A:K,10,0)+VLOOKUP('תפוקה מצטברת מול אשתקד'!A52,הפניקס!A:K,10,0)+VLOOKUP('תפוקה מצטברת מול אשתקד'!A52,כלל!A:K,10,0)+VLOOKUP('תפוקה מצטברת מול אשתקד'!A52,מור!A:K,10,0)+VLOOKUP('תפוקה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אשתקד'!A52,אינפניטי!A:K,10,0)</f>
        <v>17522.52</v>
      </c>
      <c r="O52" s="12">
        <f>VLOOKUP(A52,הכשרה!A:K,11,0)+VLOOKUP('תפוקה מצטברת מול אשתקד'!A52,מגדל!A:K,11,0)+VLOOKUP('תפוקה מצטברת מול אשתקד'!A52,מנורה!A:K,11,0)+VLOOKUP('תפוקה מצטברת מול אשתקד'!A52,איילון!A:K,11,0)+VLOOKUP('תפוקה מצטברת מול אשתקד'!A52,הראל!A:K,11,0)+VLOOKUP('תפוקה מצטברת מול אשתקד'!A52,הפניקס!A:K,11,0)+VLOOKUP('תפוקה מצטברת מול אשתקד'!A52,כלל!A:K,11,0)+VLOOKUP('תפוקה מצטברת מול אשתקד'!A52,מור!A:K,11,0)+VLOOKUP('תפוקה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אשתקד'!A52,אינפניטי!A:K,11,0)</f>
        <v>0</v>
      </c>
    </row>
    <row r="53" spans="1:15" ht="15.75" customHeight="1" thickBot="1" x14ac:dyDescent="0.3">
      <c r="A53" s="27" t="s">
        <v>32</v>
      </c>
      <c r="B53" s="27" t="s">
        <v>55</v>
      </c>
      <c r="C53" s="28" t="s">
        <v>115</v>
      </c>
      <c r="D53" s="20">
        <f t="shared" si="7"/>
        <v>0</v>
      </c>
      <c r="E53" s="20">
        <f t="shared" si="7"/>
        <v>0</v>
      </c>
      <c r="F53" s="20">
        <f t="shared" si="7"/>
        <v>0</v>
      </c>
      <c r="G53" s="20">
        <f t="shared" si="8"/>
        <v>0</v>
      </c>
      <c r="H53" s="68">
        <f>VLOOKUP(A53,הכשרה!A:G,4,0)+VLOOKUP('תפוקה מצטברת מול אשתקד'!A53,מגדל!A:G,4,0)+VLOOKUP('תפוקה מצטברת מול אשתקד'!A53,מנורה!A:G,4,0)+VLOOKUP('תפוקה מצטברת מול אשתקד'!A53,איילון!A:G,4,0)+VLOOKUP('תפוקה מצטברת מול אשתקד'!A53,הראל!A:G,4,0)+VLOOKUP('תפוקה מצטברת מול אשתקד'!A53,הפניקס!A:G,4,0)+VLOOKUP('תפוקה מצטברת מול אשתקד'!A53,כלל!A:G,4,0)+VLOOKUP('תפוקה מצטברת מול אשתקד'!A53,מור!A:G,4,0)+VLOOKUP('תפוקה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אשתקד'!A53,אינפניטי!A:G,4,0)</f>
        <v>0</v>
      </c>
      <c r="I53" s="68">
        <f>VLOOKUP(A53,הכשרה!A:G,5,0)+VLOOKUP('תפוקה מצטברת מול אשתקד'!A53,מגדל!A:G,5,0)+VLOOKUP('תפוקה מצטברת מול אשתקד'!A53,מנורה!A:G,5,0)+VLOOKUP('תפוקה מצטברת מול אשתקד'!A53,איילון!A:G,5,0)+VLOOKUP('תפוקה מצטברת מול אשתקד'!A53,הראל!A:G,5,0)+VLOOKUP('תפוקה מצטברת מול אשתקד'!A53,הפניקס!A:G,5,0)+VLOOKUP('תפוקה מצטברת מול אשתקד'!A53,כלל!A:G,5,0)+VLOOKUP('תפוקה מצטברת מול אשתקד'!A53,מור!A:G,5,0)+VLOOKUP('תפוקה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אשתקד'!A53,אינפניטי!A:G,5,0)</f>
        <v>0</v>
      </c>
      <c r="J53" s="68">
        <f>VLOOKUP(A53,הכשרה!A:G,6,0)+VLOOKUP('תפוקה מצטברת מול אשתקד'!A53,מגדל!A:G,6,0)+VLOOKUP('תפוקה מצטברת מול אשתקד'!A53,מנורה!A:G,6,0)+VLOOKUP('תפוקה מצטברת מול אשתקד'!A53,איילון!A:G,6,0)+VLOOKUP(A53,הראל!A:G,6,0)+VLOOKUP('תפוקה מצטברת מול אשתקד'!A53,הפניקס!A:G,6,0)+VLOOKUP('תפוקה מצטברת מול אשתקד'!A53,כלל!A:G,6,0)+VLOOKUP('תפוקה מצטברת מול אשתקד'!A53,מור!A:G,6,0)+VLOOKUP('תפוקה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אשתקד'!A53,אינפניטי!A:G,6,0)</f>
        <v>0</v>
      </c>
      <c r="K53" s="68">
        <f>VLOOKUP(A53,הכשרה!A:G,7,0)+VLOOKUP('תפוקה מצטברת מול אשתקד'!A53,מגדל!A:G,7,0)+VLOOKUP('תפוקה מצטברת מול אשתקד'!A53,מנורה!A:G,7,0)+VLOOKUP('תפוקה מצטברת מול אשתקד'!A53,איילון!A:G,7,0)+VLOOKUP('תפוקה מצטברת מול אשתקד'!A53,הראל!A:G,7,0)+VLOOKUP('תפוקה מצטברת מול אשתקד'!A53,הפניקס!A:G,7,0)+VLOOKUP('תפוקה מצטברת מול אשתקד'!A53,כלל!A:G,7,0)+VLOOKUP('תפוקה מצטברת מול אשתקד'!A53,מור!A:G,7,0)+VLOOKUP('תפוקה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אשתקד'!A53,אינפניטי!A:G,7,0)</f>
        <v>0</v>
      </c>
      <c r="L53" s="12">
        <f>VLOOKUP(A53,הכשרה!A:K,8,0)+VLOOKUP('תפוקה מצטברת מול אשתקד'!A53,מגדל!A:K,8,0)+VLOOKUP('תפוקה מצטברת מול אשתקד'!A53,מנורה!A:K,8,0)+VLOOKUP('תפוקה מצטברת מול אשתקד'!A53,איילון!A:K,8,0)+VLOOKUP('תפוקה מצטברת מול אשתקד'!A53,הראל!A:K,8,0)+VLOOKUP('תפוקה מצטברת מול אשתקד'!A53,הפניקס!A:K,8,0)+VLOOKUP('תפוקה מצטברת מול אשתקד'!A53,כלל!A:K,8,0)+VLOOKUP('תפוקה מצטברת מול אשתקד'!A53,מור!A:K,8,0)+VLOOKUP('תפוקה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אשתקד'!A53,אינפניטי!A:K,8,0)</f>
        <v>128.1</v>
      </c>
      <c r="M53" s="12">
        <f>VLOOKUP(A53,הכשרה!A:K,9,0)+VLOOKUP('תפוקה מצטברת מול אשתקד'!A53,מגדל!A:K,9,0)+VLOOKUP('תפוקה מצטברת מול אשתקד'!A53,מנורה!A:K,9,0)+VLOOKUP('תפוקה מצטברת מול אשתקד'!A53,איילון!A:K,9,0)+VLOOKUP('תפוקה מצטברת מול אשתקד'!A53,הראל!A:K,9,0)+VLOOKUP('תפוקה מצטברת מול אשתקד'!A53,הפניקס!A:K,9,0)+VLOOKUP('תפוקה מצטברת מול אשתקד'!A53,כלל!A:K,9,0)+VLOOKUP('תפוקה מצטברת מול אשתקד'!A53,מור!A:K,9,0)+VLOOKUP('תפוקה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אשתקד'!A53,אינפניטי!A:K,9,0)</f>
        <v>30</v>
      </c>
      <c r="N53" s="12">
        <f>VLOOKUP(A53,הכשרה!A:K,10,0)+VLOOKUP('תפוקה מצטברת מול אשתקד'!A53,מגדל!A:K,10,0)+VLOOKUP('תפוקה מצטברת מול אשתקד'!A53,מנורה!A:K,10,0)+VLOOKUP('תפוקה מצטברת מול אשתקד'!A53,איילון!A:K,10,0)+VLOOKUP('תפוקה מצטברת מול אשתקד'!A53,הראל!A:K,10,0)+VLOOKUP('תפוקה מצטברת מול אשתקד'!A53,הפניקס!A:K,10,0)+VLOOKUP('תפוקה מצטברת מול אשתקד'!A53,כלל!A:K,10,0)+VLOOKUP('תפוקה מצטברת מול אשתקד'!A53,מור!A:K,10,0)+VLOOKUP('תפוקה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אשתקד'!A53,אינפניטי!A:K,10,0)</f>
        <v>0</v>
      </c>
      <c r="O53" s="12">
        <f>VLOOKUP(A53,הכשרה!A:K,11,0)+VLOOKUP('תפוקה מצטברת מול אשתקד'!A53,מגדל!A:K,11,0)+VLOOKUP('תפוקה מצטברת מול אשתקד'!A53,מנורה!A:K,11,0)+VLOOKUP('תפוקה מצטברת מול אשתקד'!A53,איילון!A:K,11,0)+VLOOKUP('תפוקה מצטברת מול אשתקד'!A53,הראל!A:K,11,0)+VLOOKUP('תפוקה מצטברת מול אשתקד'!A53,הפניקס!A:K,11,0)+VLOOKUP('תפוקה מצטברת מול אשתקד'!A53,כלל!A:K,11,0)+VLOOKUP('תפוקה מצטברת מול אשתקד'!A53,מור!A:K,11,0)+VLOOKUP('תפוקה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אשתקד'!A53,אינפניטי!A:K,11,0)</f>
        <v>0</v>
      </c>
    </row>
    <row r="54" spans="1:15" ht="27" customHeight="1" thickBot="1" x14ac:dyDescent="0.3">
      <c r="A54" s="144" t="s">
        <v>130</v>
      </c>
      <c r="B54" s="142"/>
      <c r="C54" s="142"/>
      <c r="D54" s="20">
        <f t="shared" ref="D54:D55" si="9">IF(H54=0,0%,IF(L54=0,100%,H54/L54-1))</f>
        <v>-0.92123843029896313</v>
      </c>
      <c r="E54" s="20">
        <f t="shared" ref="E54:E55" si="10">IF(I54=0,0%,IF(M54=0,100%,I54/M54-1))</f>
        <v>-0.68312991670801249</v>
      </c>
      <c r="F54" s="20">
        <f t="shared" ref="F54:F55" si="11">IF(J54=0,0%,IF(N54=0,100%,J54/N54-1))</f>
        <v>-0.83037433143175299</v>
      </c>
      <c r="G54" s="20">
        <f t="shared" ref="G54:G55" si="12">IF(K54=0,0%,IF(O54=H80,100%,K54/O54-1))</f>
        <v>-0.92519308568573544</v>
      </c>
      <c r="H54" s="144">
        <f>SUM(H22:H53)</f>
        <v>613484.08655697154</v>
      </c>
      <c r="I54" s="144">
        <f t="shared" ref="I54:O54" si="13">SUM(I22:I53)</f>
        <v>309510.89560572489</v>
      </c>
      <c r="J54" s="144">
        <f t="shared" si="13"/>
        <v>1910393.6743805583</v>
      </c>
      <c r="K54" s="144">
        <f t="shared" si="13"/>
        <v>2348418.4699999997</v>
      </c>
      <c r="L54" s="144">
        <f t="shared" si="13"/>
        <v>7789129.760689564</v>
      </c>
      <c r="M54" s="144">
        <f t="shared" si="13"/>
        <v>976775.3786984008</v>
      </c>
      <c r="N54" s="144">
        <f t="shared" si="13"/>
        <v>11262409.106508151</v>
      </c>
      <c r="O54" s="144">
        <f t="shared" si="13"/>
        <v>31393066.958146006</v>
      </c>
    </row>
    <row r="55" spans="1:15" ht="15.75" customHeight="1" x14ac:dyDescent="0.25">
      <c r="A55" s="27" t="s">
        <v>35</v>
      </c>
      <c r="B55" s="27" t="s">
        <v>129</v>
      </c>
      <c r="C55" s="28" t="s">
        <v>115</v>
      </c>
      <c r="D55" s="20">
        <f t="shared" si="9"/>
        <v>-0.90770635976110625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68">
        <f>VLOOKUP(A55,הכשרה!A:G,4,0)+VLOOKUP('תפוקה מצטברת מול אשתקד'!A55,מגדל!A:G,4,0)+VLOOKUP('תפוקה מצטברת מול אשתקד'!A55,מנורה!A:G,4,0)+VLOOKUP('תפוקה מצטברת מול אשתקד'!A55,איילון!A:G,4,0)+VLOOKUP('תפוקה מצטברת מול אשתקד'!A55,הראל!A:G,4,0)+VLOOKUP('תפוקה מצטברת מול אשתקד'!A55,הפניקס!A:G,4,0)+VLOOKUP('תפוקה מצטברת מול אשתקד'!A55,כלל!A:G,4,0)+VLOOKUP('תפוקה מצטברת מול אשתקד'!A55,מור!A:G,4,0)+VLOOKUP('תפוקה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אשתקד'!A55,אינפניטי!A:G,4,0)</f>
        <v>7638.05</v>
      </c>
      <c r="I55" s="68">
        <f>VLOOKUP(A55,הכשרה!A:G,5,0)+VLOOKUP('תפוקה מצטברת מול אשתקד'!A55,מגדל!A:G,5,0)+VLOOKUP('תפוקה מצטברת מול אשתקד'!A55,מנורה!A:G,5,0)+VLOOKUP('תפוקה מצטברת מול אשתקד'!A55,איילון!A:G,5,0)+VLOOKUP('תפוקה מצטברת מול אשתקד'!A55,הראל!A:G,5,0)+VLOOKUP('תפוקה מצטברת מול אשתקד'!A55,הפניקס!A:G,5,0)+VLOOKUP('תפוקה מצטברת מול אשתקד'!A55,כלל!A:G,5,0)+VLOOKUP('תפוקה מצטברת מול אשתקד'!A55,מור!A:G,5,0)+VLOOKUP('תפוקה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אשתקד'!A55,אינפניטי!A:G,5,0)</f>
        <v>0</v>
      </c>
      <c r="J55" s="68">
        <f>VLOOKUP(A55,הכשרה!A:G,6,0)+VLOOKUP('תפוקה מצטברת מול אשתקד'!A55,מגדל!A:G,6,0)+VLOOKUP('תפוקה מצטברת מול אשתקד'!A55,מנורה!A:G,6,0)+VLOOKUP('תפוקה מצטברת מול אשתקד'!A55,איילון!A:G,6,0)+VLOOKUP(A55,הראל!A:G,6,0)+VLOOKUP('תפוקה מצטברת מול אשתקד'!A55,הפניקס!A:G,6,0)+VLOOKUP('תפוקה מצטברת מול אשתקד'!A55,כלל!A:G,6,0)+VLOOKUP('תפוקה מצטברת מול אשתקד'!A55,מור!A:G,6,0)+VLOOKUP('תפוקה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אשתקד'!A55,אינפניטי!A:G,6,0)</f>
        <v>0</v>
      </c>
      <c r="K55" s="68">
        <f>VLOOKUP(A55,הכשרה!A:G,7,0)+VLOOKUP('תפוקה מצטברת מול אשתקד'!A55,מגדל!A:G,7,0)+VLOOKUP('תפוקה מצטברת מול אשתקד'!A55,מנורה!A:G,7,0)+VLOOKUP('תפוקה מצטברת מול אשתקד'!A55,איילון!A:G,7,0)+VLOOKUP('תפוקה מצטברת מול אשתקד'!A55,הראל!A:G,7,0)+VLOOKUP('תפוקה מצטברת מול אשתקד'!A55,הפניקס!A:G,7,0)+VLOOKUP('תפוקה מצטברת מול אשתקד'!A55,כלל!A:G,7,0)+VLOOKUP('תפוקה מצטברת מול אשתקד'!A55,מור!A:G,7,0)+VLOOKUP('תפוקה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אשתקד'!A55,אינפניטי!A:G,7,0)</f>
        <v>0</v>
      </c>
      <c r="L55" s="12">
        <f>VLOOKUP(A55,הכשרה!A:K,8,0)+VLOOKUP('תפוקה מצטברת מול אשתקד'!A55,מגדל!A:K,8,0)+VLOOKUP('תפוקה מצטברת מול אשתקד'!A55,מנורה!A:K,8,0)+VLOOKUP('תפוקה מצטברת מול אשתקד'!A55,איילון!A:K,8,0)+VLOOKUP('תפוקה מצטברת מול אשתקד'!A55,הראל!A:K,8,0)+VLOOKUP('תפוקה מצטברת מול אשתקד'!A55,הפניקס!A:K,8,0)+VLOOKUP('תפוקה מצטברת מול אשתקד'!A55,כלל!A:K,8,0)+VLOOKUP('תפוקה מצטברת מול אשתקד'!A55,מור!A:K,8,0)+VLOOKUP('תפוקה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אשתקד'!A55,אינפניטי!A:K,8,0)</f>
        <v>82758.14</v>
      </c>
      <c r="M55" s="12">
        <f>VLOOKUP(A55,הכשרה!A:K,9,0)+VLOOKUP('תפוקה מצטברת מול אשתקד'!A55,מגדל!A:K,9,0)+VLOOKUP('תפוקה מצטברת מול אשתקד'!A55,מנורה!A:K,9,0)+VLOOKUP('תפוקה מצטברת מול אשתקד'!A55,איילון!A:K,9,0)+VLOOKUP('תפוקה מצטברת מול אשתקד'!A55,הראל!A:K,9,0)+VLOOKUP('תפוקה מצטברת מול אשתקד'!A55,הפניקס!A:K,9,0)+VLOOKUP('תפוקה מצטברת מול אשתקד'!A55,כלל!A:K,9,0)+VLOOKUP('תפוקה מצטברת מול אשתקד'!A55,מור!A:K,9,0)+VLOOKUP('תפוקה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אשתקד'!A55,אינפניטי!A:K,9,0)</f>
        <v>2637.85</v>
      </c>
      <c r="N55" s="12">
        <f>VLOOKUP(A55,הכשרה!A:K,10,0)+VLOOKUP('תפוקה מצטברת מול אשתקד'!A55,מגדל!A:K,10,0)+VLOOKUP('תפוקה מצטברת מול אשתקד'!A55,מנורה!A:K,10,0)+VLOOKUP('תפוקה מצטברת מול אשתקד'!A55,איילון!A:K,10,0)+VLOOKUP('תפוקה מצטברת מול אשתקד'!A55,הראל!A:K,10,0)+VLOOKUP('תפוקה מצטברת מול אשתקד'!A55,הפניקס!A:K,10,0)+VLOOKUP('תפוקה מצטברת מול אשתקד'!A55,כלל!A:K,10,0)+VLOOKUP('תפוקה מצטברת מול אשתקד'!A55,מור!A:K,10,0)+VLOOKUP('תפוקה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אשתקד'!A55,אינפניטי!A:K,10,0)</f>
        <v>139502.82</v>
      </c>
      <c r="O55" s="12">
        <f>VLOOKUP(A55,הכשרה!A:K,11,0)+VLOOKUP('תפוקה מצטברת מול אשתקד'!A55,מגדל!A:K,11,0)+VLOOKUP('תפוקה מצטברת מול אשתקד'!A55,מנורה!A:K,11,0)+VLOOKUP('תפוקה מצטברת מול אשתקד'!A55,איילון!A:K,11,0)+VLOOKUP('תפוקה מצטברת מול אשתקד'!A55,הראל!A:K,11,0)+VLOOKUP('תפוקה מצטברת מול אשתקד'!A55,הפניקס!A:K,11,0)+VLOOKUP('תפוקה מצטברת מול אשתקד'!A55,כלל!A:K,11,0)+VLOOKUP('תפוקה מצטברת מול אשתקד'!A55,מור!A:K,11,0)+VLOOKUP('תפוקה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אשתקד'!A55,אינפניטי!A:K,11,0)</f>
        <v>0</v>
      </c>
    </row>
    <row r="56" spans="1:15" ht="15.75" customHeight="1" x14ac:dyDescent="0.25">
      <c r="A56" s="28" t="s">
        <v>94</v>
      </c>
      <c r="B56" s="28" t="s">
        <v>129</v>
      </c>
      <c r="C56" s="28" t="s">
        <v>115</v>
      </c>
      <c r="D56" s="20">
        <f t="shared" ref="D56:F61" si="14">IF(H56=0,0%,IF(L56=0,100%,H56/L56-1))</f>
        <v>-0.85086697061820804</v>
      </c>
      <c r="E56" s="20">
        <f t="shared" si="14"/>
        <v>-0.73965790095321382</v>
      </c>
      <c r="F56" s="20">
        <f t="shared" si="14"/>
        <v>0</v>
      </c>
      <c r="G56" s="20">
        <f>IF(K56=0,0%,IF(O56=H72,100%,K56/O56-1))</f>
        <v>-0.97615595969423885</v>
      </c>
      <c r="H56" s="68">
        <f>VLOOKUP(A56,הכשרה!A:G,4,0)+VLOOKUP('תפוקה מצטברת מול אשתקד'!A56,מגדל!A:G,4,0)+VLOOKUP('תפוקה מצטברת מול אשתקד'!A56,מנורה!A:G,4,0)+VLOOKUP('תפוקה מצטברת מול אשתקד'!A56,איילון!A:G,4,0)+VLOOKUP('תפוקה מצטברת מול אשתקד'!A56,הראל!A:G,4,0)+VLOOKUP('תפוקה מצטברת מול אשתקד'!A56,הפניקס!A:G,4,0)+VLOOKUP('תפוקה מצטברת מול אשתקד'!A56,כלל!A:G,4,0)+VLOOKUP('תפוקה מצטברת מול אשתקד'!A56,מור!A:G,4,0)+VLOOKUP('תפוקה מצטברת מול אשתקד'!A56,'אלטשולר שחם'!A:G,4,0)+VLOOKUP('תפוקה מצטברת מול אשתקד'!A56,'מדיהו '!A:G,4,0)+VLOOKUP('תפוקה מצטברת מול אשתקד'!A56,'אנליסט '!A:G,4,0)+VLOOKUP('תפוקה מצטברת מול אשתקד'!A56,'מיטב דש'!A:G,4,0)+VLOOKUP('תפוקה מצטברת מול אשתקד'!A56,אינפניטי!A:G,4,0)</f>
        <v>182650.91361559072</v>
      </c>
      <c r="I56" s="68">
        <f>VLOOKUP(A56,הכשרה!A:G,5,0)+VLOOKUP('תפוקה מצטברת מול אשתקד'!A56,מגדל!A:G,5,0)+VLOOKUP('תפוקה מצטברת מול אשתקד'!A56,מנורה!A:G,5,0)+VLOOKUP('תפוקה מצטברת מול אשתקד'!A56,איילון!A:G,5,0)+VLOOKUP('תפוקה מצטברת מול אשתקד'!A56,הראל!A:G,5,0)+VLOOKUP('תפוקה מצטברת מול אשתקד'!A56,הפניקס!A:G,5,0)+VLOOKUP('תפוקה מצטברת מול אשתקד'!A56,כלל!A:G,5,0)+VLOOKUP('תפוקה מצטברת מול אשתקד'!A56,מור!A:G,5,0)+VLOOKUP('תפוקה מצטברת מול אשתקד'!A56,'אלטשולר שחם'!A:G,5,0)+VLOOKUP('תפוקה מצטברת מול אשתקד'!A56,'מדיהו '!A:G,5,0)+VLOOKUP('תפוקה מצטברת מול אשתקד'!A56,'אנליסט '!A:G,5,0)+VLOOKUP('תפוקה מצטברת מול אשתקד'!A56,'מיטב דש'!A:G,5,0)+VLOOKUP('תפוקה מצטברת מול אשתקד'!A56,אינפניטי!A:G,5,0)</f>
        <v>10043.75741605763</v>
      </c>
      <c r="J56" s="68">
        <f>VLOOKUP(A56,הכשרה!A:G,6,0)+VLOOKUP('תפוקה מצטברת מול אשתקד'!A56,מגדל!A:G,6,0)+VLOOKUP('תפוקה מצטברת מול אשתקד'!A56,מנורה!A:G,6,0)+VLOOKUP('תפוקה מצטברת מול אשתקד'!A56,איילון!A:G,6,0)+VLOOKUP(A56,הראל!A:G,6,0)+VLOOKUP('תפוקה מצטברת מול אשתקד'!A56,הפניקס!A:G,6,0)+VLOOKUP('תפוקה מצטברת מול אשתקד'!A56,כלל!A:G,6,0)+VLOOKUP('תפוקה מצטברת מול אשתקד'!A56,מור!A:G,6,0)+VLOOKUP('תפוקה מצטברת מול אשתקד'!A56,'אלטשולר שחם'!A:G,6,0)+VLOOKUP('תפוקה מצטברת מול אשתקד'!A56,'מדיהו '!A:G,6,0)+VLOOKUP('תפוקה מצטברת מול אשתקד'!A56,'אנליסט '!A:G,6,0)+VLOOKUP('תפוקה מצטברת מול אשתקד'!A56,'מיטב דש'!A:G,6,0)+VLOOKUP('תפוקה מצטברת מול אשתקד'!A56,אינפניטי!A:G,6,0)</f>
        <v>0</v>
      </c>
      <c r="K56" s="68">
        <f>VLOOKUP(A56,הכשרה!A:G,7,0)+VLOOKUP('תפוקה מצטברת מול אשתקד'!A56,מגדל!A:G,7,0)+VLOOKUP('תפוקה מצטברת מול אשתקד'!A56,מנורה!A:G,7,0)+VLOOKUP('תפוקה מצטברת מול אשתקד'!A56,איילון!A:G,7,0)+VLOOKUP('תפוקה מצטברת מול אשתקד'!A56,הראל!A:G,7,0)+VLOOKUP('תפוקה מצטברת מול אשתקד'!A56,הפניקס!A:G,7,0)+VLOOKUP('תפוקה מצטברת מול אשתקד'!A56,כלל!A:G,7,0)+VLOOKUP('תפוקה מצטברת מול אשתקד'!A56,מור!A:G,7,0)+VLOOKUP('תפוקה מצטברת מול אשתקד'!A56,'אלטשולר שחם'!A:G,7,0)+VLOOKUP('תפוקה מצטברת מול אשתקד'!A56,'מדיהו '!A:K,7,0)+VLOOKUP(A56,'אנליסט '!A:G,7,0)+VLOOKUP('תפוקה מצטברת מול אשתקד'!A56,'מיטב דש'!A:G,7,0)+VLOOKUP('תפוקה מצטברת מול אשתקד'!A56,אינפניטי!A:G,7,0)</f>
        <v>131004.38</v>
      </c>
      <c r="L56" s="12">
        <f>VLOOKUP(A56,הכשרה!A:K,8,0)+VLOOKUP('תפוקה מצטברת מול אשתקד'!A56,מגדל!A:K,8,0)+VLOOKUP('תפוקה מצטברת מול אשתקד'!A56,מנורה!A:K,8,0)+VLOOKUP('תפוקה מצטברת מול אשתקד'!A56,איילון!A:K,8,0)+VLOOKUP('תפוקה מצטברת מול אשתקד'!A56,הראל!A:K,8,0)+VLOOKUP('תפוקה מצטברת מול אשתקד'!A56,הפניקס!A:K,8,0)+VLOOKUP('תפוקה מצטברת מול אשתקד'!A56,כלל!A:K,8,0)+VLOOKUP('תפוקה מצטברת מול אשתקד'!A56,מור!A:K,8,0)+VLOOKUP('תפוקה מצטברת מול אשתקד'!A56,'אלטשולר שחם'!A:K,8,0)+VLOOKUP('תפוקה מצטברת מול אשתקד'!A56,'מדיהו '!A:K,8,0)+VLOOKUP('תפוקה מצטברת מול אשתקד'!A56,'אנליסט '!A:K,8,0)+VLOOKUP('תפוקה מצטברת מול אשתקד'!A56,'מיטב דש'!A:K,8,0)+VLOOKUP('תפוקה מצטברת מול אשתקד'!A56,אינפניטי!A:K,8,0)</f>
        <v>1224751.581676722</v>
      </c>
      <c r="M56" s="12">
        <f>VLOOKUP(A56,הכשרה!A:K,9,0)+VLOOKUP('תפוקה מצטברת מול אשתקד'!A56,מגדל!A:K,9,0)+VLOOKUP('תפוקה מצטברת מול אשתקד'!A56,מנורה!A:K,9,0)+VLOOKUP('תפוקה מצטברת מול אשתקד'!A56,איילון!A:K,9,0)+VLOOKUP('תפוקה מצטברת מול אשתקד'!A56,הראל!A:K,9,0)+VLOOKUP('תפוקה מצטברת מול אשתקד'!A56,הפניקס!A:K,9,0)+VLOOKUP('תפוקה מצטברת מול אשתקד'!A56,כלל!A:K,9,0)+VLOOKUP('תפוקה מצטברת מול אשתקד'!A56,מור!A:K,9,0)+VLOOKUP('תפוקה מצטברת מול אשתקד'!A56,'אלטשולר שחם'!A:K,9,0)+VLOOKUP('תפוקה מצטברת מול אשתקד'!A56,'מדיהו '!A:K,9,0)+VLOOKUP('תפוקה מצטברת מול אשתקד'!A56,'אנליסט '!A:K,9,0)+VLOOKUP('תפוקה מצטברת מול אשתקד'!A56,'מיטב דש'!A:K,9,0)+VLOOKUP('תפוקה מצטברת מול אשתקד'!A56,אינפניטי!A:K,9,0)</f>
        <v>38579.075196949467</v>
      </c>
      <c r="N56" s="12">
        <f>VLOOKUP(A56,הכשרה!A:K,10,0)+VLOOKUP('תפוקה מצטברת מול אשתקד'!A56,מגדל!A:K,10,0)+VLOOKUP('תפוקה מצטברת מול אשתקד'!A56,מנורה!A:K,10,0)+VLOOKUP('תפוקה מצטברת מול אשתקד'!A56,איילון!A:K,10,0)+VLOOKUP('תפוקה מצטברת מול אשתקד'!A56,הראל!A:K,10,0)+VLOOKUP('תפוקה מצטברת מול אשתקד'!A56,הפניקס!A:K,10,0)+VLOOKUP('תפוקה מצטברת מול אשתקד'!A56,כלל!A:K,10,0)+VLOOKUP('תפוקה מצטברת מול אשתקד'!A56,מור!A:K,10,0)+VLOOKUP('תפוקה מצטברת מול אשתקד'!A56,'אלטשולר שחם'!A:K,10,0)+VLOOKUP('תפוקה מצטברת מול אשתקד'!A56,'מדיהו '!A:K,10,0)+VLOOKUP('תפוקה מצטברת מול אשתקד'!A56,'אנליסט '!A:K,10,0)+VLOOKUP('תפוקה מצטברת מול אשתקד'!A56,'מיטב דש'!A:K,10,0)+VLOOKUP('תפוקה מצטברת מול אשתקד'!A56,אינפניטי!A:K,10,0)</f>
        <v>2792842.7383326157</v>
      </c>
      <c r="O56" s="12">
        <f>VLOOKUP(A56,הכשרה!A:K,11,0)+VLOOKUP('תפוקה מצטברת מול אשתקד'!A56,מגדל!A:K,11,0)+VLOOKUP('תפוקה מצטברת מול אשתקד'!A56,מנורה!A:K,11,0)+VLOOKUP('תפוקה מצטברת מול אשתקד'!A56,איילון!A:K,11,0)+VLOOKUP('תפוקה מצטברת מול אשתקד'!A56,הראל!A:K,11,0)+VLOOKUP('תפוקה מצטברת מול אשתקד'!A56,הפניקס!A:K,11,0)+VLOOKUP('תפוקה מצטברת מול אשתקד'!A56,כלל!A:K,11,0)+VLOOKUP('תפוקה מצטברת מול אשתקד'!A56,מור!A:K,11,0)+VLOOKUP('תפוקה מצטברת מול אשתקד'!A56,'אלטשולר שחם'!A:K,11,0)+VLOOKUP('תפוקה מצטברת מול אשתקד'!A56,'מדיהו '!A:K,11,0)+VLOOKUP('תפוקה מצטברת מול אשתקד'!A56,'אנליסט '!A:K,11,0)+VLOOKUP('תפוקה מצטברת מול אשתקד'!A56,'מיטב דש'!A:K,11,0)+VLOOKUP('תפוקה מצטברת מול אשתקד'!A56,אינפניטי!A:K,11,0)</f>
        <v>5494219.0300000003</v>
      </c>
    </row>
    <row r="57" spans="1:15" ht="15.75" customHeight="1" x14ac:dyDescent="0.25">
      <c r="A57" s="27" t="s">
        <v>37</v>
      </c>
      <c r="B57" s="27" t="s">
        <v>129</v>
      </c>
      <c r="C57" s="28" t="s">
        <v>115</v>
      </c>
      <c r="D57" s="20">
        <f t="shared" si="14"/>
        <v>-0.18730845240565097</v>
      </c>
      <c r="E57" s="20">
        <f t="shared" si="14"/>
        <v>-0.70101085448924416</v>
      </c>
      <c r="F57" s="20">
        <f t="shared" si="14"/>
        <v>0.86778095395821664</v>
      </c>
      <c r="G57" s="20">
        <f>IF(K57=0,0%,IF(O57=H78,100%,K57/O57-1))</f>
        <v>1.2974077551894823</v>
      </c>
      <c r="H57" s="68">
        <f>VLOOKUP(A57,הכשרה!A:G,4,0)+VLOOKUP('תפוקה מצטברת מול אשתקד'!A57,מגדל!A:G,4,0)+VLOOKUP('תפוקה מצטברת מול אשתקד'!A57,מנורה!A:G,4,0)+VLOOKUP('תפוקה מצטברת מול אשתקד'!A57,איילון!A:G,4,0)+VLOOKUP('תפוקה מצטברת מול אשתקד'!A57,הראל!A:G,4,0)+VLOOKUP('תפוקה מצטברת מול אשתקד'!A57,הפניקס!A:G,4,0)+VLOOKUP('תפוקה מצטברת מול אשתקד'!A57,כלל!A:G,4,0)+VLOOKUP('תפוקה מצטברת מול אשתקד'!A57,מור!A:G,4,0)+VLOOKUP('תפוקה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אשתקד'!A57,אינפניטי!A:G,4,0)</f>
        <v>299444.16804000002</v>
      </c>
      <c r="I57" s="68">
        <f>VLOOKUP(A57,הכשרה!A:G,5,0)+VLOOKUP('תפוקה מצטברת מול אשתקד'!A57,מגדל!A:G,5,0)+VLOOKUP('תפוקה מצטברת מול אשתקד'!A57,מנורה!A:G,5,0)+VLOOKUP('תפוקה מצטברת מול אשתקד'!A57,איילון!A:G,5,0)+VLOOKUP('תפוקה מצטברת מול אשתקד'!A57,הראל!A:G,5,0)+VLOOKUP('תפוקה מצטברת מול אשתקד'!A57,הפניקס!A:G,5,0)+VLOOKUP('תפוקה מצטברת מול אשתקד'!A57,כלל!A:G,5,0)+VLOOKUP('תפוקה מצטברת מול אשתקד'!A57,מור!A:G,5,0)+VLOOKUP('תפוקה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אשתקד'!A57,אינפניטי!A:G,5,0)</f>
        <v>16467.559420000001</v>
      </c>
      <c r="J57" s="68">
        <f>VLOOKUP(A57,הכשרה!A:G,6,0)+VLOOKUP('תפוקה מצטברת מול אשתקד'!A57,מגדל!A:G,6,0)+VLOOKUP('תפוקה מצטברת מול אשתקד'!A57,מנורה!A:G,6,0)+VLOOKUP('תפוקה מצטברת מול אשתקד'!A57,איילון!A:G,6,0)+VLOOKUP(A57,הראל!A:G,6,0)+VLOOKUP('תפוקה מצטברת מול אשתקד'!A57,הפניקס!A:G,6,0)+VLOOKUP('תפוקה מצטברת מול אשתקד'!A57,כלל!A:G,6,0)+VLOOKUP('תפוקה מצטברת מול אשתקד'!A57,מור!A:G,6,0)+VLOOKUP('תפוקה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אשתקד'!A57,אינפניטי!A:G,6,0)</f>
        <v>443553</v>
      </c>
      <c r="K57" s="68">
        <f>VLOOKUP(A57,הכשרה!A:G,7,0)+VLOOKUP('תפוקה מצטברת מול אשתקד'!A57,מגדל!A:G,7,0)+VLOOKUP('תפוקה מצטברת מול אשתקד'!A57,מנורה!A:G,7,0)+VLOOKUP('תפוקה מצטברת מול אשתקד'!A57,איילון!A:G,7,0)+VLOOKUP('תפוקה מצטברת מול אשתקד'!A57,הראל!A:G,7,0)+VLOOKUP('תפוקה מצטברת מול אשתקד'!A57,הפניקס!A:G,7,0)+VLOOKUP('תפוקה מצטברת מול אשתקד'!A57,כלל!A:G,7,0)+VLOOKUP('תפוקה מצטברת מול אשתקד'!A57,מור!A:G,7,0)+VLOOKUP('תפוקה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אשתקד'!A57,אינפניטי!A:G,7,0)</f>
        <v>418853.22</v>
      </c>
      <c r="L57" s="12">
        <f>VLOOKUP(A57,הכשרה!A:K,8,0)+VLOOKUP('תפוקה מצטברת מול אשתקד'!A57,מגדל!A:K,8,0)+VLOOKUP('תפוקה מצטברת מול אשתקד'!A57,מנורה!A:K,8,0)+VLOOKUP('תפוקה מצטברת מול אשתקד'!A57,איילון!A:K,8,0)+VLOOKUP('תפוקה מצטברת מול אשתקד'!A57,הראל!A:K,8,0)+VLOOKUP('תפוקה מצטברת מול אשתקד'!A57,הפניקס!A:K,8,0)+VLOOKUP('תפוקה מצטברת מול אשתקד'!A57,כלל!A:K,8,0)+VLOOKUP('תפוקה מצטברת מול אשתקד'!A57,מור!A:K,8,0)+VLOOKUP('תפוקה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אשתקד'!A57,אינפניטי!A:K,8,0)</f>
        <v>368459.803632</v>
      </c>
      <c r="M57" s="12">
        <f>VLOOKUP(A57,הכשרה!A:K,9,0)+VLOOKUP('תפוקה מצטברת מול אשתקד'!A57,מגדל!A:K,9,0)+VLOOKUP('תפוקה מצטברת מול אשתקד'!A57,מנורה!A:K,9,0)+VLOOKUP('תפוקה מצטברת מול אשתקד'!A57,איילון!A:K,9,0)+VLOOKUP('תפוקה מצטברת מול אשתקד'!A57,הראל!A:K,9,0)+VLOOKUP('תפוקה מצטברת מול אשתקד'!A57,הפניקס!A:K,9,0)+VLOOKUP('תפוקה מצטברת מול אשתקד'!A57,כלל!A:K,9,0)+VLOOKUP('תפוקה מצטברת מול אשתקד'!A57,מור!A:K,9,0)+VLOOKUP('תפוקה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אשתקד'!A57,אינפניטי!A:K,9,0)</f>
        <v>55077.449022000008</v>
      </c>
      <c r="N57" s="12">
        <f>VLOOKUP(A57,הכשרה!A:K,10,0)+VLOOKUP('תפוקה מצטברת מול אשתקד'!A57,מגדל!A:K,10,0)+VLOOKUP('תפוקה מצטברת מול אשתקד'!A57,מנורה!A:K,10,0)+VLOOKUP('תפוקה מצטברת מול אשתקד'!A57,איילון!A:K,10,0)+VLOOKUP('תפוקה מצטברת מול אשתקד'!A57,הראל!A:K,10,0)+VLOOKUP('תפוקה מצטברת מול אשתקד'!A57,הפניקס!A:K,10,0)+VLOOKUP('תפוקה מצטברת מול אשתקד'!A57,כלל!A:K,10,0)+VLOOKUP('תפוקה מצטברת מול אשתקד'!A57,מור!A:K,10,0)+VLOOKUP('תפוקה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אשתקד'!A57,אינפניטי!A:K,10,0)</f>
        <v>237475.91978599998</v>
      </c>
      <c r="O57" s="12">
        <f>VLOOKUP(A57,הכשרה!A:K,11,0)+VLOOKUP('תפוקה מצטברת מול אשתקד'!A57,מגדל!A:K,11,0)+VLOOKUP('תפוקה מצטברת מול אשתקד'!A57,מנורה!A:K,11,0)+VLOOKUP('תפוקה מצטברת מול אשתקד'!A57,איילון!A:K,11,0)+VLOOKUP('תפוקה מצטברת מול אשתקד'!A57,הראל!A:K,11,0)+VLOOKUP('תפוקה מצטברת מול אשתקד'!A57,הפניקס!A:K,11,0)+VLOOKUP('תפוקה מצטברת מול אשתקד'!A57,כלל!A:K,11,0)+VLOOKUP('תפוקה מצטברת מול אשתקד'!A57,מור!A:K,11,0)+VLOOKUP('תפוקה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אשתקד'!A57,אינפניטי!A:K,11,0)</f>
        <v>182315.57678600002</v>
      </c>
    </row>
    <row r="58" spans="1:15" ht="15.75" customHeight="1" x14ac:dyDescent="0.25">
      <c r="A58" s="31" t="s">
        <v>33</v>
      </c>
      <c r="B58" s="27" t="s">
        <v>129</v>
      </c>
      <c r="C58" s="27" t="s">
        <v>115</v>
      </c>
      <c r="D58" s="20">
        <f t="shared" si="14"/>
        <v>0</v>
      </c>
      <c r="E58" s="20">
        <f t="shared" si="14"/>
        <v>0</v>
      </c>
      <c r="F58" s="20">
        <f t="shared" si="14"/>
        <v>-0.79319844374773785</v>
      </c>
      <c r="G58" s="20">
        <f>IF(K58=0,0%,IF(O58=H96,100%,K58/O58-1))</f>
        <v>0</v>
      </c>
      <c r="H58" s="68">
        <f>VLOOKUP(A58,הכשרה!A:G,4,0)+VLOOKUP('תפוקה מצטברת מול אשתקד'!A58,מגדל!A:G,4,0)+VLOOKUP('תפוקה מצטברת מול אשתקד'!A58,מנורה!A:G,4,0)+VLOOKUP('תפוקה מצטברת מול אשתקד'!A58,איילון!A:G,4,0)+VLOOKUP('תפוקה מצטברת מול אשתקד'!A58,הראל!A:G,4,0)+VLOOKUP('תפוקה מצטברת מול אשתקד'!A58,הפניקס!A:G,4,0)+VLOOKUP('תפוקה מצטברת מול אשתקד'!A58,כלל!A:G,4,0)+VLOOKUP('תפוקה מצטברת מול אשתקד'!A58,מור!A:G,4,0)+VLOOKUP('תפוקה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אשתקד'!A58,אינפניטי!A:G,4,0)</f>
        <v>0</v>
      </c>
      <c r="I58" s="68">
        <f>VLOOKUP(A58,הכשרה!A:G,5,0)+VLOOKUP('תפוקה מצטברת מול אשתקד'!A58,מגדל!A:G,5,0)+VLOOKUP('תפוקה מצטברת מול אשתקד'!A58,מנורה!A:G,5,0)+VLOOKUP('תפוקה מצטברת מול אשתקד'!A58,איילון!A:G,5,0)+VLOOKUP('תפוקה מצטברת מול אשתקד'!A58,הראל!A:G,5,0)+VLOOKUP('תפוקה מצטברת מול אשתקד'!A58,הפניקס!A:G,5,0)+VLOOKUP('תפוקה מצטברת מול אשתקד'!A58,כלל!A:G,5,0)+VLOOKUP('תפוקה מצטברת מול אשתקד'!A58,מור!A:G,5,0)+VLOOKUP('תפוקה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אשתקד'!A58,אינפניטי!A:G,5,0)</f>
        <v>0</v>
      </c>
      <c r="J58" s="68">
        <f>VLOOKUP(A58,הכשרה!A:G,6,0)+VLOOKUP('תפוקה מצטברת מול אשתקד'!A58,מגדל!A:G,6,0)+VLOOKUP('תפוקה מצטברת מול אשתקד'!A58,מנורה!A:G,6,0)+VLOOKUP('תפוקה מצטברת מול אשתקד'!A58,איילון!A:G,6,0)+VLOOKUP(A58,הראל!A:G,6,0)+VLOOKUP('תפוקה מצטברת מול אשתקד'!A58,הפניקס!A:G,6,0)+VLOOKUP('תפוקה מצטברת מול אשתקד'!A58,כלל!A:G,6,0)+VLOOKUP('תפוקה מצטברת מול אשתקד'!A58,מור!A:G,6,0)+VLOOKUP('תפוקה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אשתקד'!A58,אינפניטי!A:G,6,0)</f>
        <v>528851.47</v>
      </c>
      <c r="K58" s="68">
        <f>VLOOKUP(A58,הכשרה!A:G,7,0)+VLOOKUP('תפוקה מצטברת מול אשתקד'!A58,מגדל!A:G,7,0)+VLOOKUP('תפוקה מצטברת מול אשתקד'!A58,מנורה!A:G,7,0)+VLOOKUP('תפוקה מצטברת מול אשתקד'!A58,איילון!A:G,7,0)+VLOOKUP('תפוקה מצטברת מול אשתקד'!A58,הראל!A:G,7,0)+VLOOKUP('תפוקה מצטברת מול אשתקד'!A58,הפניקס!A:G,7,0)+VLOOKUP('תפוקה מצטברת מול אשתקד'!A58,כלל!A:G,7,0)+VLOOKUP('תפוקה מצטברת מול אשתקד'!A58,מור!A:G,7,0)+VLOOKUP('תפוקה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אשתקד'!A58,אינפניטי!A:G,7,0)</f>
        <v>0</v>
      </c>
      <c r="L58" s="12">
        <f>VLOOKUP(A58,הכשרה!A:K,8,0)+VLOOKUP('תפוקה מצטברת מול אשתקד'!A58,מגדל!A:K,8,0)+VLOOKUP('תפוקה מצטברת מול אשתקד'!A58,מנורה!A:K,8,0)+VLOOKUP('תפוקה מצטברת מול אשתקד'!A58,איילון!A:K,8,0)+VLOOKUP('תפוקה מצטברת מול אשתקד'!A58,הראל!A:K,8,0)+VLOOKUP('תפוקה מצטברת מול אשתקד'!A58,הפניקס!A:K,8,0)+VLOOKUP('תפוקה מצטברת מול אשתקד'!A58,כלל!A:K,8,0)+VLOOKUP('תפוקה מצטברת מול אשתקד'!A58,מור!A:K,8,0)+VLOOKUP('תפוקה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אשתקד'!A58,אינפניטי!A:K,8,0)</f>
        <v>53416.99818865089</v>
      </c>
      <c r="M58" s="12">
        <f>VLOOKUP(A58,הכשרה!A:K,9,0)+VLOOKUP('תפוקה מצטברת מול אשתקד'!A58,מגדל!A:K,9,0)+VLOOKUP('תפוקה מצטברת מול אשתקד'!A58,מנורה!A:K,9,0)+VLOOKUP('תפוקה מצטברת מול אשתקד'!A58,איילון!A:K,9,0)+VLOOKUP('תפוקה מצטברת מול אשתקד'!A58,הראל!A:K,9,0)+VLOOKUP('תפוקה מצטברת מול אשתקד'!A58,הפניקס!A:K,9,0)+VLOOKUP('תפוקה מצטברת מול אשתקד'!A58,כלל!A:K,9,0)+VLOOKUP('תפוקה מצטברת מול אשתקד'!A58,מור!A:K,9,0)+VLOOKUP('תפוקה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אשתקד'!A58,אינפניטי!A:K,9,0)</f>
        <v>8653.85</v>
      </c>
      <c r="N58" s="12">
        <f>VLOOKUP(A58,הכשרה!A:K,10,0)+VLOOKUP('תפוקה מצטברת מול אשתקד'!A58,מגדל!A:K,10,0)+VLOOKUP('תפוקה מצטברת מול אשתקד'!A58,מנורה!A:K,10,0)+VLOOKUP('תפוקה מצטברת מול אשתקד'!A58,איילון!A:K,10,0)+VLOOKUP('תפוקה מצטברת מול אשתקד'!A58,הראל!A:K,10,0)+VLOOKUP('תפוקה מצטברת מול אשתקד'!A58,הפניקס!A:K,10,0)+VLOOKUP('תפוקה מצטברת מול אשתקד'!A58,כלל!A:K,10,0)+VLOOKUP('תפוקה מצטברת מול אשתקד'!A58,מור!A:K,10,0)+VLOOKUP('תפוקה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אשתקד'!A58,אינפניטי!A:K,10,0)</f>
        <v>2557289.6045080656</v>
      </c>
      <c r="O58" s="12">
        <f>VLOOKUP(A58,הכשרה!A:K,11,0)+VLOOKUP('תפוקה מצטברת מול אשתקד'!A58,מגדל!A:K,11,0)+VLOOKUP('תפוקה מצטברת מול אשתקד'!A58,מנורה!A:K,11,0)+VLOOKUP('תפוקה מצטברת מול אשתקד'!A58,איילון!A:K,11,0)+VLOOKUP('תפוקה מצטברת מול אשתקד'!A58,הראל!A:K,11,0)+VLOOKUP('תפוקה מצטברת מול אשתקד'!A58,הפניקס!A:K,11,0)+VLOOKUP('תפוקה מצטברת מול אשתקד'!A58,כלל!A:K,11,0)+VLOOKUP('תפוקה מצטברת מול אשתקד'!A58,מור!A:K,11,0)+VLOOKUP('תפוקה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אשתקד'!A58,אינפניטי!A:K,11,0)</f>
        <v>700623.18</v>
      </c>
    </row>
    <row r="59" spans="1:15" ht="15.75" customHeight="1" x14ac:dyDescent="0.25">
      <c r="A59" s="27" t="s">
        <v>92</v>
      </c>
      <c r="B59" s="27" t="s">
        <v>129</v>
      </c>
      <c r="C59" s="27" t="s">
        <v>115</v>
      </c>
      <c r="D59" s="20">
        <f t="shared" si="14"/>
        <v>-0.892383613528828</v>
      </c>
      <c r="E59" s="20">
        <f t="shared" si="14"/>
        <v>-0.85364285496460424</v>
      </c>
      <c r="F59" s="20">
        <f t="shared" si="14"/>
        <v>-0.49214665420290948</v>
      </c>
      <c r="G59" s="20">
        <f>IF(K59=0,0%,IF(O59=H86,100%,K59/O59-1))</f>
        <v>-0.97823190146503491</v>
      </c>
      <c r="H59" s="68">
        <f>VLOOKUP(A59,הכשרה!A:G,4,0)+VLOOKUP('תפוקה מצטברת מול אשתקד'!A59,מגדל!A:G,4,0)+VLOOKUP('תפוקה מצטברת מול אשתקד'!A59,מנורה!A:G,4,0)+VLOOKUP('תפוקה מצטברת מול אשתקד'!A59,איילון!A:G,4,0)+VLOOKUP('תפוקה מצטברת מול אשתקד'!A59,הראל!A:G,4,0)+VLOOKUP('תפוקה מצטברת מול אשתקד'!A59,הפניקס!A:G,4,0)+VLOOKUP('תפוקה מצטברת מול אשתקד'!A59,כלל!A:G,4,0)+VLOOKUP('תפוקה מצטברת מול אשתקד'!A59,מור!A:G,4,0)+VLOOKUP('תפוקה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אשתקד'!A59,אינפניטי!A:G,4,0)</f>
        <v>81210.820000000007</v>
      </c>
      <c r="I59" s="68">
        <f>VLOOKUP(A59,הכשרה!A:G,5,0)+VLOOKUP('תפוקה מצטברת מול אשתקד'!A59,מגדל!A:G,5,0)+VLOOKUP('תפוקה מצטברת מול אשתקד'!A59,מנורה!A:G,5,0)+VLOOKUP('תפוקה מצטברת מול אשתקד'!A59,איילון!A:G,5,0)+VLOOKUP('תפוקה מצטברת מול אשתקד'!A59,הראל!A:G,5,0)+VLOOKUP('תפוקה מצטברת מול אשתקד'!A59,הפניקס!A:G,5,0)+VLOOKUP('תפוקה מצטברת מול אשתקד'!A59,כלל!A:G,5,0)+VLOOKUP('תפוקה מצטברת מול אשתקד'!A59,מור!A:G,5,0)+VLOOKUP('תפוקה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אשתקד'!A59,אינפניטי!A:G,5,0)</f>
        <v>3364.3438429113389</v>
      </c>
      <c r="J59" s="68">
        <f>VLOOKUP(A59,הכשרה!A:G,6,0)+VLOOKUP('תפוקה מצטברת מול אשתקד'!A59,מגדל!A:G,6,0)+VLOOKUP('תפוקה מצטברת מול אשתקד'!A59,מנורה!A:G,6,0)+VLOOKUP('תפוקה מצטברת מול אשתקד'!A59,איילון!A:G,6,0)+VLOOKUP(A59,הראל!A:G,6,0)+VLOOKUP('תפוקה מצטברת מול אשתקד'!A59,הפניקס!A:G,6,0)+VLOOKUP('תפוקה מצטברת מול אשתקד'!A59,כלל!A:G,6,0)+VLOOKUP('תפוקה מצטברת מול אשתקד'!A59,מור!A:G,6,0)+VLOOKUP('תפוקה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אשתקד'!A59,אינפניטי!A:G,6,0)</f>
        <v>594533.19628000003</v>
      </c>
      <c r="K59" s="68">
        <f>VLOOKUP(A59,הכשרה!A:G,7,0)+VLOOKUP('תפוקה מצטברת מול אשתקד'!A59,מגדל!A:G,7,0)+VLOOKUP('תפוקה מצטברת מול אשתקד'!A59,מנורה!A:G,7,0)+VLOOKUP('תפוקה מצטברת מול אשתקד'!A59,איילון!A:G,7,0)+VLOOKUP('תפוקה מצטברת מול אשתקד'!A59,הראל!A:G,7,0)+VLOOKUP('תפוקה מצטברת מול אשתקד'!A59,הפניקס!A:G,7,0)+VLOOKUP('תפוקה מצטברת מול אשתקד'!A59,כלל!A:G,7,0)+VLOOKUP('תפוקה מצטברת מול אשתקד'!A59,מור!A:G,7,0)+VLOOKUP('תפוקה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אשתקד'!A59,אינפניטי!A:G,7,0)</f>
        <v>68346.13</v>
      </c>
      <c r="L59" s="12">
        <f>VLOOKUP(A59,הכשרה!A:K,8,0)+VLOOKUP('תפוקה מצטברת מול אשתקד'!A59,מגדל!A:K,8,0)+VLOOKUP('תפוקה מצטברת מול אשתקד'!A59,מנורה!A:K,8,0)+VLOOKUP('תפוקה מצטברת מול אשתקד'!A59,איילון!A:K,8,0)+VLOOKUP('תפוקה מצטברת מול אשתקד'!A59,הראל!A:K,8,0)+VLOOKUP('תפוקה מצטברת מול אשתקד'!A59,הפניקס!A:K,8,0)+VLOOKUP('תפוקה מצטברת מול אשתקד'!A59,כלל!A:K,8,0)+VLOOKUP('תפוקה מצטברת מול אשתקד'!A59,מור!A:K,8,0)+VLOOKUP('תפוקה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אשתקד'!A59,אינפניטי!A:K,8,0)</f>
        <v>754632.47431890445</v>
      </c>
      <c r="M59" s="12">
        <f>VLOOKUP(A59,הכשרה!A:K,9,0)+VLOOKUP('תפוקה מצטברת מול אשתקד'!A59,מגדל!A:K,9,0)+VLOOKUP('תפוקה מצטברת מול אשתקד'!A59,מנורה!A:K,9,0)+VLOOKUP('תפוקה מצטברת מול אשתקד'!A59,איילון!A:K,9,0)+VLOOKUP('תפוקה מצטברת מול אשתקד'!A59,הראל!A:K,9,0)+VLOOKUP('תפוקה מצטברת מול אשתקד'!A59,הפניקס!A:K,9,0)+VLOOKUP('תפוקה מצטברת מול אשתקד'!A59,כלל!A:K,9,0)+VLOOKUP('תפוקה מצטברת מול אשתקד'!A59,מור!A:K,9,0)+VLOOKUP('תפוקה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אשתקד'!A59,אינפניטי!A:K,9,0)</f>
        <v>22987.219668009307</v>
      </c>
      <c r="N59" s="12">
        <f>VLOOKUP(A59,הכשרה!A:K,10,0)+VLOOKUP('תפוקה מצטברת מול אשתקד'!A59,מגדל!A:K,10,0)+VLOOKUP('תפוקה מצטברת מול אשתקד'!A59,מנורה!A:K,10,0)+VLOOKUP('תפוקה מצטברת מול אשתקד'!A59,איילון!A:K,10,0)+VLOOKUP('תפוקה מצטברת מול אשתקד'!A59,הראל!A:K,10,0)+VLOOKUP('תפוקה מצטברת מול אשתקד'!A59,הפניקס!A:K,10,0)+VLOOKUP('תפוקה מצטברת מול אשתקד'!A59,כלל!A:K,10,0)+VLOOKUP('תפוקה מצטברת מול אשתקד'!A59,מור!A:K,10,0)+VLOOKUP('תפוקה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אשתקד'!A59,אינפניטי!A:K,10,0)</f>
        <v>1170678.9001200001</v>
      </c>
      <c r="O59" s="12">
        <f>VLOOKUP(A59,הכשרה!A:K,11,0)+VLOOKUP('תפוקה מצטברת מול אשתקד'!A59,מגדל!A:K,11,0)+VLOOKUP('תפוקה מצטברת מול אשתקד'!A59,מנורה!A:K,11,0)+VLOOKUP('תפוקה מצטברת מול אשתקד'!A59,איילון!A:K,11,0)+VLOOKUP('תפוקה מצטברת מול אשתקד'!A59,הראל!A:K,11,0)+VLOOKUP('תפוקה מצטברת מול אשתקד'!A59,הפניקס!A:K,11,0)+VLOOKUP('תפוקה מצטברת מול אשתקד'!A59,כלל!A:K,11,0)+VLOOKUP('תפוקה מצטברת מול אשתקד'!A59,מור!A:K,11,0)+VLOOKUP('תפוקה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אשתקד'!A59,אינפניטי!A:K,11,0)</f>
        <v>3139738.176498</v>
      </c>
    </row>
    <row r="60" spans="1:15" ht="15.75" customHeight="1" x14ac:dyDescent="0.25">
      <c r="A60" s="124" t="s">
        <v>107</v>
      </c>
      <c r="B60" s="27" t="s">
        <v>129</v>
      </c>
      <c r="C60" s="28" t="s">
        <v>115</v>
      </c>
      <c r="D60" s="20">
        <f t="shared" si="14"/>
        <v>0</v>
      </c>
      <c r="E60" s="20">
        <f t="shared" si="14"/>
        <v>-0.35961280783475857</v>
      </c>
      <c r="F60" s="20">
        <f t="shared" si="14"/>
        <v>-0.12651122992399211</v>
      </c>
      <c r="G60" s="20">
        <f>IF(K60=0,0%,IF(O60=H75,100%,K60/O60-1))</f>
        <v>0</v>
      </c>
      <c r="H60" s="68">
        <f>VLOOKUP(A60,הכשרה!A:G,4,0)+VLOOKUP('תפוקה מצטברת מול אשתקד'!A60,מגדל!A:G,4,0)+VLOOKUP('תפוקה מצטברת מול אשתקד'!A60,מנורה!A:G,4,0)+VLOOKUP('תפוקה מצטברת מול אשתקד'!A60,איילון!A:G,4,0)+VLOOKUP('תפוקה מצטברת מול אשתקד'!A60,הראל!A:G,4,0)+VLOOKUP('תפוקה מצטברת מול אשתקד'!A60,הפניקס!A:G,4,0)+VLOOKUP('תפוקה מצטברת מול אשתקד'!A60,כלל!A:G,4,0)+VLOOKUP('תפוקה מצטברת מול אשתקד'!A60,מור!A:G,4,0)+VLOOKUP('תפוקה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אשתקד'!A60,אינפניטי!A:G,4,0)</f>
        <v>0</v>
      </c>
      <c r="I60" s="68">
        <f>VLOOKUP(A60,הכשרה!A:G,5,0)+VLOOKUP('תפוקה מצטברת מול אשתקד'!A60,מגדל!A:G,5,0)+VLOOKUP('תפוקה מצטברת מול אשתקד'!A60,מנורה!A:G,5,0)+VLOOKUP('תפוקה מצטברת מול אשתקד'!A60,איילון!A:G,5,0)+VLOOKUP('תפוקה מצטברת מול אשתקד'!A60,הראל!A:G,5,0)+VLOOKUP('תפוקה מצטברת מול אשתקד'!A60,הפניקס!A:G,5,0)+VLOOKUP('תפוקה מצטברת מול אשתקד'!A60,כלל!A:G,5,0)+VLOOKUP('תפוקה מצטברת מול אשתקד'!A60,מור!A:G,5,0)+VLOOKUP('תפוקה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אשתקד'!A60,אינפניטי!A:G,5,0)</f>
        <v>4006.5</v>
      </c>
      <c r="J60" s="68">
        <f>VLOOKUP(A60,הכשרה!A:G,6,0)+VLOOKUP('תפוקה מצטברת מול אשתקד'!A60,מגדל!A:G,6,0)+VLOOKUP('תפוקה מצטברת מול אשתקד'!A60,מנורה!A:G,6,0)+VLOOKUP('תפוקה מצטברת מול אשתקד'!A60,איילון!A:G,6,0)+VLOOKUP(A60,הראל!A:G,6,0)+VLOOKUP('תפוקה מצטברת מול אשתקד'!A60,הפניקס!A:G,6,0)+VLOOKUP('תפוקה מצטברת מול אשתקד'!A60,כלל!A:G,6,0)+VLOOKUP('תפוקה מצטברת מול אשתקד'!A60,מור!A:G,6,0)+VLOOKUP('תפוקה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אשתקד'!A60,אינפניטי!A:G,6,0)</f>
        <v>52863.540365000001</v>
      </c>
      <c r="K60" s="68">
        <f>VLOOKUP(A60,הכשרה!A:G,7,0)+VLOOKUP('תפוקה מצטברת מול אשתקד'!A60,מגדל!A:G,7,0)+VLOOKUP('תפוקה מצטברת מול אשתקד'!A60,מנורה!A:G,7,0)+VLOOKUP('תפוקה מצטברת מול אשתקד'!A60,איילון!A:G,7,0)+VLOOKUP('תפוקה מצטברת מול אשתקד'!A60,הראל!A:G,7,0)+VLOOKUP('תפוקה מצטברת מול אשתקד'!A60,הפניקס!A:G,7,0)+VLOOKUP('תפוקה מצטברת מול אשתקד'!A60,כלל!A:G,7,0)+VLOOKUP('תפוקה מצטברת מול אשתקד'!A60,מור!A:G,7,0)+VLOOKUP('תפוקה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אשתקד'!A60,אינפניטי!A:G,7,0)</f>
        <v>0</v>
      </c>
      <c r="L60" s="12">
        <f>VLOOKUP(A60,הכשרה!A:K,8,0)+VLOOKUP('תפוקה מצטברת מול אשתקד'!A60,מגדל!A:K,8,0)+VLOOKUP('תפוקה מצטברת מול אשתקד'!A60,מנורה!A:K,8,0)+VLOOKUP('תפוקה מצטברת מול אשתקד'!A60,איילון!A:K,8,0)+VLOOKUP('תפוקה מצטברת מול אשתקד'!A60,הראל!A:K,8,0)+VLOOKUP('תפוקה מצטברת מול אשתקד'!A60,הפניקס!A:K,8,0)+VLOOKUP('תפוקה מצטברת מול אשתקד'!A60,כלל!A:K,8,0)+VLOOKUP('תפוקה מצטברת מול אשתקד'!A60,מור!A:K,8,0)+VLOOKUP('תפוקה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אשתקד'!A60,אינפניטי!A:K,8,0)</f>
        <v>0</v>
      </c>
      <c r="M60" s="12">
        <f>VLOOKUP(A60,הכשרה!A:K,9,0)+VLOOKUP('תפוקה מצטברת מול אשתקד'!A60,מגדל!A:K,9,0)+VLOOKUP('תפוקה מצטברת מול אשתקד'!A60,מנורה!A:K,9,0)+VLOOKUP('תפוקה מצטברת מול אשתקד'!A60,איילון!A:K,9,0)+VLOOKUP('תפוקה מצטברת מול אשתקד'!A60,הראל!A:K,9,0)+VLOOKUP('תפוקה מצטברת מול אשתקד'!A60,הפניקס!A:K,9,0)+VLOOKUP('תפוקה מצטברת מול אשתקד'!A60,כלל!A:K,9,0)+VLOOKUP('תפוקה מצטברת מול אשתקד'!A60,מור!A:K,9,0)+VLOOKUP('תפוקה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אשתקד'!A60,אינפניטי!A:K,9,0)</f>
        <v>6256.3712219999998</v>
      </c>
      <c r="N60" s="12">
        <f>VLOOKUP(A60,הכשרה!A:K,10,0)+VLOOKUP('תפוקה מצטברת מול אשתקד'!A60,מגדל!A:K,10,0)+VLOOKUP('תפוקה מצטברת מול אשתקד'!A60,מנורה!A:K,10,0)+VLOOKUP('תפוקה מצטברת מול אשתקד'!A60,איילון!A:K,10,0)+VLOOKUP('תפוקה מצטברת מול אשתקד'!A60,הראל!A:K,10,0)+VLOOKUP('תפוקה מצטברת מול אשתקד'!A60,הפניקס!A:K,10,0)+VLOOKUP('תפוקה מצטברת מול אשתקד'!A60,כלל!A:K,10,0)+VLOOKUP('תפוקה מצטברת מול אשתקד'!A60,מור!A:K,10,0)+VLOOKUP('תפוקה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אשתקד'!A60,אינפניטי!A:K,10,0)</f>
        <v>60520</v>
      </c>
      <c r="O60" s="12">
        <f>VLOOKUP(A60,הכשרה!A:K,11,0)+VLOOKUP('תפוקה מצטברת מול אשתקד'!A60,מגדל!A:K,11,0)+VLOOKUP('תפוקה מצטברת מול אשתקד'!A60,מנורה!A:K,11,0)+VLOOKUP('תפוקה מצטברת מול אשתקד'!A60,איילון!A:K,11,0)+VLOOKUP('תפוקה מצטברת מול אשתקד'!A60,הראל!A:K,11,0)+VLOOKUP('תפוקה מצטברת מול אשתקד'!A60,הפניקס!A:K,11,0)+VLOOKUP('תפוקה מצטברת מול אשתקד'!A60,כלל!A:K,11,0)+VLOOKUP('תפוקה מצטברת מול אשתקד'!A60,מור!A:K,11,0)+VLOOKUP('תפוקה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אשתקד'!A60,אינפניטי!A:K,11,0)</f>
        <v>0</v>
      </c>
    </row>
    <row r="61" spans="1:15" ht="15.75" customHeight="1" thickBot="1" x14ac:dyDescent="0.3">
      <c r="A61" s="31" t="s">
        <v>16</v>
      </c>
      <c r="B61" s="27" t="s">
        <v>129</v>
      </c>
      <c r="C61" s="28" t="s">
        <v>115</v>
      </c>
      <c r="D61" s="20">
        <f t="shared" si="14"/>
        <v>0</v>
      </c>
      <c r="E61" s="20">
        <f t="shared" si="14"/>
        <v>0</v>
      </c>
      <c r="F61" s="20">
        <f t="shared" si="14"/>
        <v>0</v>
      </c>
      <c r="G61" s="20">
        <f>IF(K61=0,0%,IF(O61=H57,100%,K61/O61-1))</f>
        <v>0</v>
      </c>
      <c r="H61" s="68">
        <f>VLOOKUP(A61,הכשרה!A:G,4,0)+VLOOKUP('תפוקה מצטברת מול אשתקד'!A61,מגדל!A:G,4,0)+VLOOKUP('תפוקה מצטברת מול אשתקד'!A61,מנורה!A:G,4,0)+VLOOKUP('תפוקה מצטברת מול אשתקד'!A61,איילון!A:G,4,0)+VLOOKUP('תפוקה מצטברת מול אשתקד'!A61,הראל!A:G,4,0)+VLOOKUP('תפוקה מצטברת מול אשתקד'!A61,הפניקס!A:G,4,0)+VLOOKUP('תפוקה מצטברת מול אשתקד'!A61,כלל!A:G,4,0)+VLOOKUP('תפוקה מצטברת מול אשתקד'!A61,מור!A:G,4,0)+VLOOKUP('תפוקה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אשתקד'!A61,אינפניטי!A:G,4,0)</f>
        <v>0</v>
      </c>
      <c r="I61" s="68">
        <f>VLOOKUP(A61,הכשרה!A:G,5,0)+VLOOKUP('תפוקה מצטברת מול אשתקד'!A61,מגדל!A:G,5,0)+VLOOKUP('תפוקה מצטברת מול אשתקד'!A61,מנורה!A:G,5,0)+VLOOKUP('תפוקה מצטברת מול אשתקד'!A61,איילון!A:G,5,0)+VLOOKUP('תפוקה מצטברת מול אשתקד'!A61,הראל!A:G,5,0)+VLOOKUP('תפוקה מצטברת מול אשתקד'!A61,הפניקס!A:G,5,0)+VLOOKUP('תפוקה מצטברת מול אשתקד'!A61,כלל!A:G,5,0)+VLOOKUP('תפוקה מצטברת מול אשתקד'!A61,מור!A:G,5,0)+VLOOKUP('תפוקה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אשתקד'!A61,אינפניטי!A:G,5,0)</f>
        <v>0</v>
      </c>
      <c r="J61" s="68">
        <f>VLOOKUP(A61,הכשרה!A:G,6,0)+VLOOKUP('תפוקה מצטברת מול אשתקד'!A61,מגדל!A:G,6,0)+VLOOKUP('תפוקה מצטברת מול אשתקד'!A61,מנורה!A:G,6,0)+VLOOKUP('תפוקה מצטברת מול אשתקד'!A61,איילון!A:G,6,0)+VLOOKUP(A61,הראל!A:G,6,0)+VLOOKUP('תפוקה מצטברת מול אשתקד'!A61,הפניקס!A:G,6,0)+VLOOKUP('תפוקה מצטברת מול אשתקד'!A61,כלל!A:G,6,0)+VLOOKUP('תפוקה מצטברת מול אשתקד'!A61,מור!A:G,6,0)+VLOOKUP('תפוקה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אשתקד'!A61,אינפניטי!A:G,6,0)</f>
        <v>0</v>
      </c>
      <c r="K61" s="68">
        <f>VLOOKUP(A61,הכשרה!A:G,7,0)+VLOOKUP('תפוקה מצטברת מול אשתקד'!A61,מגדל!A:G,7,0)+VLOOKUP('תפוקה מצטברת מול אשתקד'!A61,מנורה!A:G,7,0)+VLOOKUP('תפוקה מצטברת מול אשתקד'!A61,איילון!A:G,7,0)+VLOOKUP('תפוקה מצטברת מול אשתקד'!A61,הראל!A:G,7,0)+VLOOKUP('תפוקה מצטברת מול אשתקד'!A61,הפניקס!A:G,7,0)+VLOOKUP('תפוקה מצטברת מול אשתקד'!A61,כלל!A:G,7,0)+VLOOKUP('תפוקה מצטברת מול אשתקד'!A61,מור!A:G,7,0)+VLOOKUP('תפוקה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אשתקד'!A61,אינפניטי!A:G,7,0)</f>
        <v>0</v>
      </c>
      <c r="L61" s="12">
        <f>VLOOKUP(A61,הכשרה!A:K,8,0)+VLOOKUP('תפוקה מצטברת מול אשתקד'!A61,מגדל!A:K,8,0)+VLOOKUP('תפוקה מצטברת מול אשתקד'!A61,מנורה!A:K,8,0)+VLOOKUP('תפוקה מצטברת מול אשתקד'!A61,איילון!A:K,8,0)+VLOOKUP('תפוקה מצטברת מול אשתקד'!A61,הראל!A:K,8,0)+VLOOKUP('תפוקה מצטברת מול אשתקד'!A61,הפניקס!A:K,8,0)+VLOOKUP('תפוקה מצטברת מול אשתקד'!A61,כלל!A:K,8,0)+VLOOKUP('תפוקה מצטברת מול אשתקד'!A61,מור!A:K,8,0)+VLOOKUP('תפוקה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אשתקד'!A61,אינפניטי!A:K,8,0)</f>
        <v>0</v>
      </c>
      <c r="M61" s="12">
        <f>VLOOKUP(A61,הכשרה!A:K,9,0)+VLOOKUP('תפוקה מצטברת מול אשתקד'!A61,מגדל!A:K,9,0)+VLOOKUP('תפוקה מצטברת מול אשתקד'!A61,מנורה!A:K,9,0)+VLOOKUP('תפוקה מצטברת מול אשתקד'!A61,איילון!A:K,9,0)+VLOOKUP('תפוקה מצטברת מול אשתקד'!A61,הראל!A:K,9,0)+VLOOKUP('תפוקה מצטברת מול אשתקד'!A61,הפניקס!A:K,9,0)+VLOOKUP('תפוקה מצטברת מול אשתקד'!A61,כלל!A:K,9,0)+VLOOKUP('תפוקה מצטברת מול אשתקד'!A61,מור!A:K,9,0)+VLOOKUP('תפוקה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אשתקד'!A61,אינפניטי!A:K,9,0)</f>
        <v>0</v>
      </c>
      <c r="N61" s="12">
        <f>VLOOKUP(A61,הכשרה!A:K,10,0)+VLOOKUP('תפוקה מצטברת מול אשתקד'!A61,מגדל!A:K,10,0)+VLOOKUP('תפוקה מצטברת מול אשתקד'!A61,מנורה!A:K,10,0)+VLOOKUP('תפוקה מצטברת מול אשתקד'!A61,איילון!A:K,10,0)+VLOOKUP('תפוקה מצטברת מול אשתקד'!A61,הראל!A:K,10,0)+VLOOKUP('תפוקה מצטברת מול אשתקד'!A61,הפניקס!A:K,10,0)+VLOOKUP('תפוקה מצטברת מול אשתקד'!A61,כלל!A:K,10,0)+VLOOKUP('תפוקה מצטברת מול אשתקד'!A61,מור!A:K,10,0)+VLOOKUP('תפוקה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אשתקד'!A61,אינפניטי!A:K,10,0)</f>
        <v>0</v>
      </c>
      <c r="O61" s="12">
        <f>VLOOKUP(A61,הכשרה!A:K,11,0)+VLOOKUP('תפוקה מצטברת מול אשתקד'!A61,מגדל!A:K,11,0)+VLOOKUP('תפוקה מצטברת מול אשתקד'!A61,מנורה!A:K,11,0)+VLOOKUP('תפוקה מצטברת מול אשתקד'!A61,איילון!A:K,11,0)+VLOOKUP('תפוקה מצטברת מול אשתקד'!A61,הראל!A:K,11,0)+VLOOKUP('תפוקה מצטברת מול אשתקד'!A61,הפניקס!A:K,11,0)+VLOOKUP('תפוקה מצטברת מול אשתקד'!A61,כלל!A:K,11,0)+VLOOKUP('תפוקה מצטברת מול אשתקד'!A61,מור!A:K,11,0)+VLOOKUP('תפוקה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אשתקד'!A61,אינפניטי!A:K,11,0)</f>
        <v>0</v>
      </c>
    </row>
    <row r="62" spans="1:15" ht="24.6" customHeight="1" thickBot="1" x14ac:dyDescent="0.3">
      <c r="A62" s="144" t="s">
        <v>131</v>
      </c>
      <c r="B62" s="142"/>
      <c r="C62" s="142"/>
      <c r="D62" s="147">
        <f t="shared" si="0"/>
        <v>-0.77015314610817698</v>
      </c>
      <c r="E62" s="147">
        <f t="shared" si="0"/>
        <v>-0.74750948370839221</v>
      </c>
      <c r="F62" s="147">
        <f t="shared" si="0"/>
        <v>-0.76721341666850984</v>
      </c>
      <c r="G62" s="147">
        <f t="shared" ref="G62:G69" si="15">IF(K62=0,0%,IF(O62=H88,100%,K62/O62-1))</f>
        <v>-0.93504145339141898</v>
      </c>
      <c r="H62" s="144">
        <f>SUM(H55:H61)</f>
        <v>570943.95165559067</v>
      </c>
      <c r="I62" s="144">
        <f t="shared" ref="I62:O62" si="16">SUM(I55:I61)</f>
        <v>33882.160678968969</v>
      </c>
      <c r="J62" s="144">
        <f t="shared" si="16"/>
        <v>1619801.206645</v>
      </c>
      <c r="K62" s="144">
        <f t="shared" si="16"/>
        <v>618203.73</v>
      </c>
      <c r="L62" s="144">
        <f t="shared" si="16"/>
        <v>2484018.9978162772</v>
      </c>
      <c r="M62" s="144">
        <f t="shared" si="16"/>
        <v>134191.81510895878</v>
      </c>
      <c r="N62" s="144">
        <f t="shared" si="16"/>
        <v>6958309.9827466821</v>
      </c>
      <c r="O62" s="144">
        <f t="shared" si="16"/>
        <v>9516895.9632840008</v>
      </c>
    </row>
    <row r="63" spans="1:15" ht="15.75" customHeight="1" x14ac:dyDescent="0.25">
      <c r="A63" s="27" t="s">
        <v>84</v>
      </c>
      <c r="B63" s="27" t="s">
        <v>116</v>
      </c>
      <c r="C63" s="28" t="s">
        <v>110</v>
      </c>
      <c r="D63" s="120">
        <f t="shared" si="0"/>
        <v>0</v>
      </c>
      <c r="E63" s="120">
        <f t="shared" si="0"/>
        <v>-0.91522197460609866</v>
      </c>
      <c r="F63" s="120">
        <f t="shared" si="0"/>
        <v>-0.94591669816709556</v>
      </c>
      <c r="G63" s="120">
        <f t="shared" si="15"/>
        <v>-0.66994606491682418</v>
      </c>
      <c r="H63" s="68">
        <f>VLOOKUP(A63,הכשרה!A:G,4,0)+VLOOKUP('תפוקה מצטברת מול אשתקד'!A63,מגדל!A:G,4,0)+VLOOKUP('תפוקה מצטברת מול אשתקד'!A63,מנורה!A:G,4,0)+VLOOKUP('תפוקה מצטברת מול אשתקד'!A63,איילון!A:G,4,0)+VLOOKUP('תפוקה מצטברת מול אשתקד'!A63,הראל!A:G,4,0)+VLOOKUP('תפוקה מצטברת מול אשתקד'!A63,הפניקס!A:G,4,0)+VLOOKUP('תפוקה מצטברת מול אשתקד'!A63,כלל!A:G,4,0)+VLOOKUP('תפוקה מצטברת מול אשתקד'!A63,מור!A:G,4,0)+VLOOKUP('תפוקה מצטברת מול אשתקד'!A63,'אלטשולר שחם'!A:G,4,0)+VLOOKUP('תפוקה מצטברת מול אשתקד'!A63,'מדיהו '!A:G,4,0)+VLOOKUP('תפוקה מצטברת מול אשתקד'!A63,'אנליסט '!A:G,4,0)+VLOOKUP('תפוקה מצטברת מול אשתקד'!A63,'מיטב דש'!A:G,4,0)+VLOOKUP('תפוקה מצטברת מול אשתקד'!A63,אינפניטי!A:G,4,0)</f>
        <v>0</v>
      </c>
      <c r="I63" s="68">
        <f>VLOOKUP(A63,הכשרה!A:G,5,0)+VLOOKUP('תפוקה מצטברת מול אשתקד'!A63,מגדל!A:G,5,0)+VLOOKUP('תפוקה מצטברת מול אשתקד'!A63,מנורה!A:G,5,0)+VLOOKUP('תפוקה מצטברת מול אשתקד'!A63,איילון!A:G,5,0)+VLOOKUP('תפוקה מצטברת מול אשתקד'!A63,הראל!A:G,5,0)+VLOOKUP('תפוקה מצטברת מול אשתקד'!A63,הפניקס!A:G,5,0)+VLOOKUP('תפוקה מצטברת מול אשתקד'!A63,כלל!A:G,5,0)+VLOOKUP('תפוקה מצטברת מול אשתקד'!A63,מור!A:G,5,0)+VLOOKUP('תפוקה מצטברת מול אשתקד'!A63,'אלטשולר שחם'!A:G,5,0)+VLOOKUP('תפוקה מצטברת מול אשתקד'!A63,'מדיהו '!A:G,5,0)+VLOOKUP('תפוקה מצטברת מול אשתקד'!A63,'אנליסט '!A:G,5,0)+VLOOKUP('תפוקה מצטברת מול אשתקד'!A63,'מיטב דש'!A:G,5,0)+VLOOKUP('תפוקה מצטברת מול אשתקד'!A63,אינפניטי!A:G,5,0)</f>
        <v>1875.85</v>
      </c>
      <c r="J63" s="68">
        <f>VLOOKUP(A63,הכשרה!A:G,6,0)+VLOOKUP('תפוקה מצטברת מול אשתקד'!A63,מגדל!A:G,6,0)+VLOOKUP('תפוקה מצטברת מול אשתקד'!A63,מנורה!A:G,6,0)+VLOOKUP('תפוקה מצטברת מול אשתקד'!A63,איילון!A:G,6,0)+VLOOKUP(A63,הראל!A:G,6,0)+VLOOKUP('תפוקה מצטברת מול אשתקד'!A63,הפניקס!A:G,6,0)+VLOOKUP('תפוקה מצטברת מול אשתקד'!A63,כלל!A:G,6,0)+VLOOKUP('תפוקה מצטברת מול אשתקד'!A63,מור!A:G,6,0)+VLOOKUP('תפוקה מצטברת מול אשתקד'!A63,'אלטשולר שחם'!A:G,6,0)+VLOOKUP('תפוקה מצטברת מול אשתקד'!A63,'מדיהו '!A:G,6,0)+VLOOKUP('תפוקה מצטברת מול אשתקד'!A63,'אנליסט '!A:G,6,0)+VLOOKUP('תפוקה מצטברת מול אשתקד'!A63,'מיטב דש'!A:G,6,0)+VLOOKUP('תפוקה מצטברת מול אשתקד'!A63,אינפניטי!A:G,6,0)</f>
        <v>212181.07</v>
      </c>
      <c r="K63" s="68">
        <f>VLOOKUP(A63,הכשרה!A:G,7,0)+VLOOKUP('תפוקה מצטברת מול אשתקד'!A63,מגדל!A:G,7,0)+VLOOKUP('תפוקה מצטברת מול אשתקד'!A63,מנורה!A:G,7,0)+VLOOKUP('תפוקה מצטברת מול אשתקד'!A63,איילון!A:G,7,0)+VLOOKUP('תפוקה מצטברת מול אשתקד'!A63,הראל!A:G,7,0)+VLOOKUP('תפוקה מצטברת מול אשתקד'!A63,הפניקס!A:G,7,0)+VLOOKUP('תפוקה מצטברת מול אשתקד'!A63,כלל!A:G,7,0)+VLOOKUP('תפוקה מצטברת מול אשתקד'!A63,מור!A:G,7,0)+VLOOKUP('תפוקה מצטברת מול אשתקד'!A63,'אלטשולר שחם'!A:G,7,0)+VLOOKUP('תפוקה מצטברת מול אשתקד'!A63,'מדיהו '!A:K,7,0)+VLOOKUP(A63,'אנליסט '!A:G,7,0)+VLOOKUP('תפוקה מצטברת מול אשתקד'!A63,'מיטב דש'!A:G,7,0)+VLOOKUP('תפוקה מצטברת מול אשתקד'!A63,אינפניטי!A:G,7,0)</f>
        <v>1078081.1599999999</v>
      </c>
      <c r="L63" s="12">
        <f>VLOOKUP(A63,הכשרה!A:K,8,0)+VLOOKUP('תפוקה מצטברת מול אשתקד'!A63,מגדל!A:K,8,0)+VLOOKUP('תפוקה מצטברת מול אשתקד'!A63,מנורה!A:K,8,0)+VLOOKUP('תפוקה מצטברת מול אשתקד'!A63,איילון!A:K,8,0)+VLOOKUP('תפוקה מצטברת מול אשתקד'!A63,הראל!A:K,8,0)+VLOOKUP('תפוקה מצטברת מול אשתקד'!A63,הפניקס!A:K,8,0)+VLOOKUP('תפוקה מצטברת מול אשתקד'!A63,כלל!A:K,8,0)+VLOOKUP('תפוקה מצטברת מול אשתקד'!A63,מור!A:K,8,0)+VLOOKUP('תפוקה מצטברת מול אשתקד'!A63,'אלטשולר שחם'!A:K,8,0)+VLOOKUP('תפוקה מצטברת מול אשתקד'!A63,'מדיהו '!A:K,8,0)+VLOOKUP('תפוקה מצטברת מול אשתקד'!A63,'אנליסט '!A:K,8,0)+VLOOKUP('תפוקה מצטברת מול אשתקד'!A63,'מיטב דש'!A:K,8,0)+VLOOKUP('תפוקה מצטברת מול אשתקד'!A63,אינפניטי!A:K,8,0)</f>
        <v>562956.12</v>
      </c>
      <c r="M63" s="12">
        <f>VLOOKUP(A63,הכשרה!A:K,9,0)+VLOOKUP('תפוקה מצטברת מול אשתקד'!A63,מגדל!A:K,9,0)+VLOOKUP('תפוקה מצטברת מול אשתקד'!A63,מנורה!A:K,9,0)+VLOOKUP('תפוקה מצטברת מול אשתקד'!A63,איילון!A:K,9,0)+VLOOKUP('תפוקה מצטברת מול אשתקד'!A63,הראל!A:K,9,0)+VLOOKUP('תפוקה מצטברת מול אשתקד'!A63,הפניקס!A:K,9,0)+VLOOKUP('תפוקה מצטברת מול אשתקד'!A63,כלל!A:K,9,0)+VLOOKUP('תפוקה מצטברת מול אשתקד'!A63,מור!A:K,9,0)+VLOOKUP('תפוקה מצטברת מול אשתקד'!A63,'אלטשולר שחם'!A:K,9,0)+VLOOKUP('תפוקה מצטברת מול אשתקד'!A63,'מדיהו '!A:K,9,0)+VLOOKUP('תפוקה מצטברת מול אשתקד'!A63,'אנליסט '!A:K,9,0)+VLOOKUP('תפוקה מצטברת מול אשתקד'!A63,'מיטב דש'!A:K,9,0)+VLOOKUP('תפוקה מצטברת מול אשתקד'!A63,אינפניטי!A:K,9,0)</f>
        <v>22126.606408727981</v>
      </c>
      <c r="N63" s="12">
        <f>VLOOKUP(A63,הכשרה!A:K,10,0)+VLOOKUP('תפוקה מצטברת מול אשתקד'!A63,מגדל!A:K,10,0)+VLOOKUP('תפוקה מצטברת מול אשתקד'!A63,מנורה!A:K,10,0)+VLOOKUP('תפוקה מצטברת מול אשתקד'!A63,איילון!A:K,10,0)+VLOOKUP('תפוקה מצטברת מול אשתקד'!A63,הראל!A:K,10,0)+VLOOKUP('תפוקה מצטברת מול אשתקד'!A63,הפניקס!A:K,10,0)+VLOOKUP('תפוקה מצטברת מול אשתקד'!A63,כלל!A:K,10,0)+VLOOKUP('תפוקה מצטברת מול אשתקד'!A63,מור!A:K,10,0)+VLOOKUP('תפוקה מצטברת מול אשתקד'!A63,'אלטשולר שחם'!A:K,10,0)+VLOOKUP('תפוקה מצטברת מול אשתקד'!A63,'מדיהו '!A:K,10,0)+VLOOKUP('תפוקה מצטברת מול אשתקד'!A63,'אנליסט '!A:K,10,0)+VLOOKUP('תפוקה מצטברת מול אשתקד'!A63,'מיטב דש'!A:K,10,0)+VLOOKUP('תפוקה מצטברת מול אשתקד'!A63,אינפניטי!A:K,10,0)</f>
        <v>3923227</v>
      </c>
      <c r="O63" s="12">
        <f>VLOOKUP(A63,הכשרה!A:K,11,0)+VLOOKUP('תפוקה מצטברת מול אשתקד'!A63,מגדל!A:K,11,0)+VLOOKUP('תפוקה מצטברת מול אשתקד'!A63,מנורה!A:K,11,0)+VLOOKUP('תפוקה מצטברת מול אשתקד'!A63,איילון!A:K,11,0)+VLOOKUP('תפוקה מצטברת מול אשתקד'!A63,הראל!A:K,11,0)+VLOOKUP('תפוקה מצטברת מול אשתקד'!A63,הפניקס!A:K,11,0)+VLOOKUP('תפוקה מצטברת מול אשתקד'!A63,כלל!A:K,11,0)+VLOOKUP('תפוקה מצטברת מול אשתקד'!A63,מור!A:K,11,0)+VLOOKUP('תפוקה מצטברת מול אשתקד'!A63,'אלטשולר שחם'!A:K,11,0)+VLOOKUP('תפוקה מצטברת מול אשתקד'!A63,'מדיהו '!A:K,11,0)+VLOOKUP('תפוקה מצטברת מול אשתקד'!A63,'אנליסט '!A:K,11,0)+VLOOKUP('תפוקה מצטברת מול אשתקד'!A63,'מיטב דש'!A:K,11,0)+VLOOKUP('תפוקה מצטברת מול אשתקד'!A63,אינפניטי!A:K,11,0)</f>
        <v>3266378.7502740002</v>
      </c>
    </row>
    <row r="64" spans="1:15" ht="15.75" customHeight="1" x14ac:dyDescent="0.25">
      <c r="A64" s="31" t="s">
        <v>40</v>
      </c>
      <c r="B64" s="27" t="s">
        <v>56</v>
      </c>
      <c r="C64" s="27" t="s">
        <v>111</v>
      </c>
      <c r="D64" s="20">
        <f t="shared" si="0"/>
        <v>-0.91659186851556851</v>
      </c>
      <c r="E64" s="20">
        <f t="shared" si="0"/>
        <v>-0.84044943776552872</v>
      </c>
      <c r="F64" s="20">
        <f t="shared" si="0"/>
        <v>-0.75729084896348775</v>
      </c>
      <c r="G64" s="20">
        <f t="shared" si="15"/>
        <v>-0.96034931623832487</v>
      </c>
      <c r="H64" s="68">
        <f>VLOOKUP(A64,הכשרה!A:G,4,0)+VLOOKUP('תפוקה מצטברת מול אשתקד'!A64,מגדל!A:G,4,0)+VLOOKUP('תפוקה מצטברת מול אשתקד'!A64,מנורה!A:G,4,0)+VLOOKUP('תפוקה מצטברת מול אשתקד'!A64,איילון!A:G,4,0)+VLOOKUP('תפוקה מצטברת מול אשתקד'!A64,הראל!A:G,4,0)+VLOOKUP('תפוקה מצטברת מול אשתקד'!A64,הפניקס!A:G,4,0)+VLOOKUP('תפוקה מצטברת מול אשתקד'!A64,כלל!A:G,4,0)+VLOOKUP('תפוקה מצטברת מול אשתקד'!A64,מור!A:G,4,0)+VLOOKUP('תפוקה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אשתקד'!A64,אינפניטי!A:G,4,0)</f>
        <v>183349.91163542212</v>
      </c>
      <c r="I64" s="68">
        <f>VLOOKUP(A64,הכשרה!A:G,5,0)+VLOOKUP('תפוקה מצטברת מול אשתקד'!A64,מגדל!A:G,5,0)+VLOOKUP('תפוקה מצטברת מול אשתקד'!A64,מנורה!A:G,5,0)+VLOOKUP('תפוקה מצטברת מול אשתקד'!A64,איילון!A:G,5,0)+VLOOKUP('תפוקה מצטברת מול אשתקד'!A64,הראל!A:G,5,0)+VLOOKUP('תפוקה מצטברת מול אשתקד'!A64,הפניקס!A:G,5,0)+VLOOKUP('תפוקה מצטברת מול אשתקד'!A64,כלל!A:G,5,0)+VLOOKUP('תפוקה מצטברת מול אשתקד'!A64,מור!A:G,5,0)+VLOOKUP('תפוקה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אשתקד'!A64,אינפניטי!A:G,5,0)</f>
        <v>81710.466925000001</v>
      </c>
      <c r="J64" s="68">
        <f>VLOOKUP(A64,הכשרה!A:G,6,0)+VLOOKUP('תפוקה מצטברת מול אשתקד'!A64,מגדל!A:G,6,0)+VLOOKUP('תפוקה מצטברת מול אשתקד'!A64,מנורה!A:G,6,0)+VLOOKUP('תפוקה מצטברת מול אשתקד'!A64,איילון!A:G,6,0)+VLOOKUP(A64,הראל!A:G,6,0)+VLOOKUP('תפוקה מצטברת מול אשתקד'!A64,הפניקס!A:G,6,0)+VLOOKUP('תפוקה מצטברת מול אשתקד'!A64,כלל!A:G,6,0)+VLOOKUP('תפוקה מצטברת מול אשתקד'!A64,מור!A:G,6,0)+VLOOKUP('תפוקה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אשתקד'!A64,אינפניטי!A:G,6,0)</f>
        <v>1131831.236365</v>
      </c>
      <c r="K64" s="68">
        <f>VLOOKUP(A64,הכשרה!A:G,7,0)+VLOOKUP('תפוקה מצטברת מול אשתקד'!A64,מגדל!A:G,7,0)+VLOOKUP('תפוקה מצטברת מול אשתקד'!A64,מנורה!A:G,7,0)+VLOOKUP('תפוקה מצטברת מול אשתקד'!A64,איילון!A:G,7,0)+VLOOKUP('תפוקה מצטברת מול אשתקד'!A64,הראל!A:G,7,0)+VLOOKUP('תפוקה מצטברת מול אשתקד'!A64,הפניקס!A:G,7,0)+VLOOKUP('תפוקה מצטברת מול אשתקד'!A64,כלל!A:G,7,0)+VLOOKUP('תפוקה מצטברת מול אשתקד'!A64,מור!A:G,7,0)+VLOOKUP('תפוקה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אשתקד'!A64,אינפניטי!A:G,7,0)</f>
        <v>511007.33999999997</v>
      </c>
      <c r="L64" s="12">
        <f>VLOOKUP(A64,הכשרה!A:K,8,0)+VLOOKUP('תפוקה מצטברת מול אשתקד'!A64,מגדל!A:K,8,0)+VLOOKUP('תפוקה מצטברת מול אשתקד'!A64,מנורה!A:K,8,0)+VLOOKUP('תפוקה מצטברת מול אשתקד'!A64,איילון!A:K,8,0)+VLOOKUP('תפוקה מצטברת מול אשתקד'!A64,הראל!A:K,8,0)+VLOOKUP('תפוקה מצטברת מול אשתקד'!A64,הפניקס!A:K,8,0)+VLOOKUP('תפוקה מצטברת מול אשתקד'!A64,כלל!A:K,8,0)+VLOOKUP('תפוקה מצטברת מול אשתקד'!A64,מור!A:K,8,0)+VLOOKUP('תפוקה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אשתקד'!A64,אינפניטי!A:K,8,0)</f>
        <v>2198225.8608639999</v>
      </c>
      <c r="M64" s="12">
        <f>VLOOKUP(A64,הכשרה!A:K,9,0)+VLOOKUP('תפוקה מצטברת מול אשתקד'!A64,מגדל!A:K,9,0)+VLOOKUP('תפוקה מצטברת מול אשתקד'!A64,מנורה!A:K,9,0)+VLOOKUP('תפוקה מצטברת מול אשתקד'!A64,איילון!A:K,9,0)+VLOOKUP('תפוקה מצטברת מול אשתקד'!A64,הראל!A:K,9,0)+VLOOKUP('תפוקה מצטברת מול אשתקד'!A64,הפניקס!A:K,9,0)+VLOOKUP('תפוקה מצטברת מול אשתקד'!A64,כלל!A:K,9,0)+VLOOKUP('תפוקה מצטברת מול אשתקד'!A64,מור!A:K,9,0)+VLOOKUP('תפוקה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אשתקד'!A64,אינפניטי!A:K,9,0)</f>
        <v>512128.98143799999</v>
      </c>
      <c r="N64" s="12">
        <f>VLOOKUP(A64,הכשרה!A:K,10,0)+VLOOKUP('תפוקה מצטברת מול אשתקד'!A64,מגדל!A:K,10,0)+VLOOKUP('תפוקה מצטברת מול אשתקד'!A64,מנורה!A:K,10,0)+VLOOKUP('תפוקה מצטברת מול אשתקד'!A64,איילון!A:K,10,0)+VLOOKUP('תפוקה מצטברת מול אשתקד'!A64,הראל!A:K,10,0)+VLOOKUP('תפוקה מצטברת מול אשתקד'!A64,הפניקס!A:K,10,0)+VLOOKUP('תפוקה מצטברת מול אשתקד'!A64,כלל!A:K,10,0)+VLOOKUP('תפוקה מצטברת מול אשתקד'!A64,מור!A:K,10,0)+VLOOKUP('תפוקה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אשתקד'!A64,אינפניטי!A:K,10,0)</f>
        <v>4663323.2885179995</v>
      </c>
      <c r="O64" s="12">
        <f>VLOOKUP(A64,הכשרה!A:K,11,0)+VLOOKUP('תפוקה מצטברת מול אשתקד'!A64,מגדל!A:K,11,0)+VLOOKUP('תפוקה מצטברת מול אשתקד'!A64,מנורה!A:K,11,0)+VLOOKUP('תפוקה מצטברת מול אשתקד'!A64,איילון!A:K,11,0)+VLOOKUP('תפוקה מצטברת מול אשתקד'!A64,הראל!A:K,11,0)+VLOOKUP('תפוקה מצטברת מול אשתקד'!A64,הפניקס!A:K,11,0)+VLOOKUP('תפוקה מצטברת מול אשתקד'!A64,כלל!A:K,11,0)+VLOOKUP('תפוקה מצטברת מול אשתקד'!A64,מור!A:K,11,0)+VLOOKUP('תפוקה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אשתקד'!A64,אינפניטי!A:K,11,0)</f>
        <v>12887730.841452001</v>
      </c>
    </row>
    <row r="65" spans="1:15" ht="15.75" customHeight="1" x14ac:dyDescent="0.25">
      <c r="A65" s="27" t="s">
        <v>98</v>
      </c>
      <c r="B65" s="27" t="s">
        <v>116</v>
      </c>
      <c r="C65" s="27" t="s">
        <v>111</v>
      </c>
      <c r="D65" s="20">
        <f t="shared" si="0"/>
        <v>0</v>
      </c>
      <c r="E65" s="20">
        <f t="shared" si="0"/>
        <v>0</v>
      </c>
      <c r="F65" s="20">
        <f t="shared" si="0"/>
        <v>0</v>
      </c>
      <c r="G65" s="20">
        <f t="shared" si="15"/>
        <v>0</v>
      </c>
      <c r="H65" s="68">
        <f>VLOOKUP(A65,הכשרה!A:G,4,0)+VLOOKUP('תפוקה מצטברת מול אשתקד'!A65,מגדל!A:G,4,0)+VLOOKUP('תפוקה מצטברת מול אשתקד'!A65,מנורה!A:G,4,0)+VLOOKUP('תפוקה מצטברת מול אשתקד'!A65,איילון!A:G,4,0)+VLOOKUP('תפוקה מצטברת מול אשתקד'!A65,הראל!A:G,4,0)+VLOOKUP('תפוקה מצטברת מול אשתקד'!A65,הפניקס!A:G,4,0)+VLOOKUP('תפוקה מצטברת מול אשתקד'!A65,כלל!A:G,4,0)+VLOOKUP('תפוקה מצטברת מול אשתקד'!A65,מור!A:G,4,0)+VLOOKUP('תפוקה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אשתקד'!A65,אינפניטי!A:G,4,0)</f>
        <v>0</v>
      </c>
      <c r="I65" s="68">
        <f>VLOOKUP(A65,הכשרה!A:G,5,0)+VLOOKUP('תפוקה מצטברת מול אשתקד'!A65,מגדל!A:G,5,0)+VLOOKUP('תפוקה מצטברת מול אשתקד'!A65,מנורה!A:G,5,0)+VLOOKUP('תפוקה מצטברת מול אשתקד'!A65,איילון!A:G,5,0)+VLOOKUP('תפוקה מצטברת מול אשתקד'!A65,הראל!A:G,5,0)+VLOOKUP('תפוקה מצטברת מול אשתקד'!A65,הפניקס!A:G,5,0)+VLOOKUP('תפוקה מצטברת מול אשתקד'!A65,כלל!A:G,5,0)+VLOOKUP('תפוקה מצטברת מול אשתקד'!A65,מור!A:G,5,0)+VLOOKUP('תפוקה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אשתקד'!A65,אינפניטי!A:G,5,0)</f>
        <v>0</v>
      </c>
      <c r="J65" s="68">
        <f>VLOOKUP(A65,הכשרה!A:G,6,0)+VLOOKUP('תפוקה מצטברת מול אשתקד'!A65,מגדל!A:G,6,0)+VLOOKUP('תפוקה מצטברת מול אשתקד'!A65,מנורה!A:G,6,0)+VLOOKUP('תפוקה מצטברת מול אשתקד'!A65,איילון!A:G,6,0)+VLOOKUP(A65,הראל!A:G,6,0)+VLOOKUP('תפוקה מצטברת מול אשתקד'!A65,הפניקס!A:G,6,0)+VLOOKUP('תפוקה מצטברת מול אשתקד'!A65,כלל!A:G,6,0)+VLOOKUP('תפוקה מצטברת מול אשתקד'!A65,מור!A:G,6,0)+VLOOKUP('תפוקה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אשתקד'!A65,אינפניטי!A:G,6,0)</f>
        <v>0</v>
      </c>
      <c r="K65" s="68">
        <f>VLOOKUP(A65,הכשרה!A:G,7,0)+VLOOKUP('תפוקה מצטברת מול אשתקד'!A65,מגדל!A:G,7,0)+VLOOKUP('תפוקה מצטברת מול אשתקד'!A65,מנורה!A:G,7,0)+VLOOKUP('תפוקה מצטברת מול אשתקד'!A65,איילון!A:G,7,0)+VLOOKUP('תפוקה מצטברת מול אשתקד'!A65,הראל!A:G,7,0)+VLOOKUP('תפוקה מצטברת מול אשתקד'!A65,הפניקס!A:G,7,0)+VLOOKUP('תפוקה מצטברת מול אשתקד'!A65,כלל!A:G,7,0)+VLOOKUP('תפוקה מצטברת מול אשתקד'!A65,מור!A:G,7,0)+VLOOKUP('תפוקה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אשתקד'!A65,אינפניטי!A:G,7,0)</f>
        <v>0</v>
      </c>
      <c r="L65" s="12">
        <f>VLOOKUP(A65,הכשרה!A:K,8,0)+VLOOKUP('תפוקה מצטברת מול אשתקד'!A65,מגדל!A:K,8,0)+VLOOKUP('תפוקה מצטברת מול אשתקד'!A65,מנורה!A:K,8,0)+VLOOKUP('תפוקה מצטברת מול אשתקד'!A65,איילון!A:K,8,0)+VLOOKUP('תפוקה מצטברת מול אשתקד'!A65,הראל!A:K,8,0)+VLOOKUP('תפוקה מצטברת מול אשתקד'!A65,הפניקס!A:K,8,0)+VLOOKUP('תפוקה מצטברת מול אשתקד'!A65,כלל!A:K,8,0)+VLOOKUP('תפוקה מצטברת מול אשתקד'!A65,מור!A:K,8,0)+VLOOKUP('תפוקה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אשתקד'!A65,אינפניטי!A:K,8,0)</f>
        <v>181710.16</v>
      </c>
      <c r="M65" s="12">
        <f>VLOOKUP(A65,הכשרה!A:K,9,0)+VLOOKUP('תפוקה מצטברת מול אשתקד'!A65,מגדל!A:K,9,0)+VLOOKUP('תפוקה מצטברת מול אשתקד'!A65,מנורה!A:K,9,0)+VLOOKUP('תפוקה מצטברת מול אשתקד'!A65,איילון!A:K,9,0)+VLOOKUP('תפוקה מצטברת מול אשתקד'!A65,הראל!A:K,9,0)+VLOOKUP('תפוקה מצטברת מול אשתקד'!A65,הפניקס!A:K,9,0)+VLOOKUP('תפוקה מצטברת מול אשתקד'!A65,כלל!A:K,9,0)+VLOOKUP('תפוקה מצטברת מול אשתקד'!A65,מור!A:K,9,0)+VLOOKUP('תפוקה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אשתקד'!A65,אינפניטי!A:K,9,0)</f>
        <v>16705.963</v>
      </c>
      <c r="N65" s="12">
        <f>VLOOKUP(A65,הכשרה!A:K,10,0)+VLOOKUP('תפוקה מצטברת מול אשתקד'!A65,מגדל!A:K,10,0)+VLOOKUP('תפוקה מצטברת מול אשתקד'!A65,מנורה!A:K,10,0)+VLOOKUP('תפוקה מצטברת מול אשתקד'!A65,איילון!A:K,10,0)+VLOOKUP('תפוקה מצטברת מול אשתקד'!A65,הראל!A:K,10,0)+VLOOKUP('תפוקה מצטברת מול אשתקד'!A65,הפניקס!A:K,10,0)+VLOOKUP('תפוקה מצטברת מול אשתקד'!A65,כלל!A:K,10,0)+VLOOKUP('תפוקה מצטברת מול אשתקד'!A65,מור!A:K,10,0)+VLOOKUP('תפוקה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אשתקד'!A65,אינפניטי!A:K,10,0)</f>
        <v>237632.82320000001</v>
      </c>
      <c r="O65" s="12">
        <f>VLOOKUP(A65,הכשרה!A:K,11,0)+VLOOKUP('תפוקה מצטברת מול אשתקד'!A65,מגדל!A:K,11,0)+VLOOKUP('תפוקה מצטברת מול אשתקד'!A65,מנורה!A:K,11,0)+VLOOKUP('תפוקה מצטברת מול אשתקד'!A65,איילון!A:K,11,0)+VLOOKUP('תפוקה מצטברת מול אשתקד'!A65,הראל!A:K,11,0)+VLOOKUP('תפוקה מצטברת מול אשתקד'!A65,הפניקס!A:K,11,0)+VLOOKUP('תפוקה מצטברת מול אשתקד'!A65,כלל!A:K,11,0)+VLOOKUP('תפוקה מצטברת מול אשתקד'!A65,מור!A:K,11,0)+VLOOKUP('תפוקה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אשתקד'!A65,אינפניטי!A:K,11,0)</f>
        <v>1299666.3899999999</v>
      </c>
    </row>
    <row r="66" spans="1:15" ht="15.75" customHeight="1" x14ac:dyDescent="0.25">
      <c r="A66" s="27" t="s">
        <v>100</v>
      </c>
      <c r="B66" s="27" t="s">
        <v>56</v>
      </c>
      <c r="C66" s="27" t="s">
        <v>111</v>
      </c>
      <c r="D66" s="20">
        <f t="shared" ref="D66:F72" si="17">IF(H66=0,0%,IF(L66=0,100%,H66/L66-1))</f>
        <v>-0.71052481680740931</v>
      </c>
      <c r="E66" s="20">
        <f t="shared" si="17"/>
        <v>0</v>
      </c>
      <c r="F66" s="20">
        <f t="shared" si="17"/>
        <v>-0.98141195185472474</v>
      </c>
      <c r="G66" s="20">
        <f t="shared" si="15"/>
        <v>0.3626715745348621</v>
      </c>
      <c r="H66" s="68">
        <f>VLOOKUP(A66,הכשרה!A:G,4,0)+VLOOKUP('תפוקה מצטברת מול אשתקד'!A66,מגדל!A:G,4,0)+VLOOKUP('תפוקה מצטברת מול אשתקד'!A66,מנורה!A:G,4,0)+VLOOKUP('תפוקה מצטברת מול אשתקד'!A66,איילון!A:G,4,0)+VLOOKUP('תפוקה מצטברת מול אשתקד'!A66,הראל!A:G,4,0)+VLOOKUP('תפוקה מצטברת מול אשתקד'!A66,הפניקס!A:G,4,0)+VLOOKUP('תפוקה מצטברת מול אשתקד'!A66,כלל!A:G,4,0)+VLOOKUP('תפוקה מצטברת מול אשתקד'!A66,מור!A:G,4,0)+VLOOKUP('תפוקה מצטברת מול אשתקד'!A66,'אלטשולר שחם'!A:G,4,0)+VLOOKUP('תפוקה מצטברת מול אשתקד'!A66,'מדיהו '!A:G,4,0)+VLOOKUP('תפוקה מצטברת מול אשתקד'!A66,'אנליסט '!A:G,4,0)+VLOOKUP('תפוקה מצטברת מול אשתקד'!A66,'מיטב דש'!A:G,4,0)+VLOOKUP('תפוקה מצטברת מול אשתקד'!A66,אינפניטי!A:G,4,0)</f>
        <v>33642.58</v>
      </c>
      <c r="I66" s="68">
        <f>VLOOKUP(A66,הכשרה!A:G,5,0)+VLOOKUP('תפוקה מצטברת מול אשתקד'!A66,מגדל!A:G,5,0)+VLOOKUP('תפוקה מצטברת מול אשתקד'!A66,מנורה!A:G,5,0)+VLOOKUP('תפוקה מצטברת מול אשתקד'!A66,איילון!A:G,5,0)+VLOOKUP('תפוקה מצטברת מול אשתקד'!A66,הראל!A:G,5,0)+VLOOKUP('תפוקה מצטברת מול אשתקד'!A66,הפניקס!A:G,5,0)+VLOOKUP('תפוקה מצטברת מול אשתקד'!A66,כלל!A:G,5,0)+VLOOKUP('תפוקה מצטברת מול אשתקד'!A66,מור!A:G,5,0)+VLOOKUP('תפוקה מצטברת מול אשתקד'!A66,'אלטשולר שחם'!A:G,5,0)+VLOOKUP('תפוקה מצטברת מול אשתקד'!A66,'מדיהו '!A:G,5,0)+VLOOKUP('תפוקה מצטברת מול אשתקד'!A66,'אנליסט '!A:G,5,0)+VLOOKUP('תפוקה מצטברת מול אשתקד'!A66,'מיטב דש'!A:G,5,0)+VLOOKUP('תפוקה מצטברת מול אשתקד'!A66,אינפניטי!A:G,5,0)</f>
        <v>0</v>
      </c>
      <c r="J66" s="68">
        <f>VLOOKUP(A66,הכשרה!A:G,6,0)+VLOOKUP('תפוקה מצטברת מול אשתקד'!A66,מגדל!A:G,6,0)+VLOOKUP('תפוקה מצטברת מול אשתקד'!A66,מנורה!A:G,6,0)+VLOOKUP('תפוקה מצטברת מול אשתקד'!A66,איילון!A:G,6,0)+VLOOKUP(A66,הראל!A:G,6,0)+VLOOKUP('תפוקה מצטברת מול אשתקד'!A66,הפניקס!A:G,6,0)+VLOOKUP('תפוקה מצטברת מול אשתקד'!A66,כלל!A:G,6,0)+VLOOKUP('תפוקה מצטברת מול אשתקד'!A66,מור!A:G,6,0)+VLOOKUP('תפוקה מצטברת מול אשתקד'!A66,'אלטשולר שחם'!A:G,6,0)+VLOOKUP('תפוקה מצטברת מול אשתקד'!A66,'מדיהו '!A:G,6,0)+VLOOKUP('תפוקה מצטברת מול אשתקד'!A66,'אנליסט '!A:G,6,0)+VLOOKUP('תפוקה מצטברת מול אשתקד'!A66,'מיטב דש'!A:G,6,0)+VLOOKUP('תפוקה מצטברת מול אשתקד'!A66,אינפניטי!A:G,6,0)</f>
        <v>2000</v>
      </c>
      <c r="K66" s="68">
        <f>VLOOKUP(A66,הכשרה!A:G,7,0)+VLOOKUP('תפוקה מצטברת מול אשתקד'!A66,מגדל!A:G,7,0)+VLOOKUP('תפוקה מצטברת מול אשתקד'!A66,מנורה!A:G,7,0)+VLOOKUP('תפוקה מצטברת מול אשתקד'!A66,איילון!A:G,7,0)+VLOOKUP('תפוקה מצטברת מול אשתקד'!A66,הראל!A:G,7,0)+VLOOKUP('תפוקה מצטברת מול אשתקד'!A66,הפניקס!A:G,7,0)+VLOOKUP('תפוקה מצטברת מול אשתקד'!A66,כלל!A:G,7,0)+VLOOKUP('תפוקה מצטברת מול אשתקד'!A66,מור!A:G,7,0)+VLOOKUP('תפוקה מצטברת מול אשתקד'!A66,'אלטשולר שחם'!A:G,7,0)+VLOOKUP('תפוקה מצטברת מול אשתקד'!A66,'מדיהו '!A:K,7,0)+VLOOKUP(A66,'אנליסט '!A:G,7,0)+VLOOKUP('תפוקה מצטברת מול אשתקד'!A66,'מיטב דש'!A:G,7,0)+VLOOKUP('תפוקה מצטברת מול אשתקד'!A66,אינפניטי!A:G,7,0)</f>
        <v>398417.22</v>
      </c>
      <c r="L66" s="12">
        <f>VLOOKUP(A66,הכשרה!A:K,8,0)+VLOOKUP('תפוקה מצטברת מול אשתקד'!A66,מגדל!A:K,8,0)+VLOOKUP('תפוקה מצטברת מול אשתקד'!A66,מנורה!A:K,8,0)+VLOOKUP('תפוקה מצטברת מול אשתקד'!A66,איילון!A:K,8,0)+VLOOKUP('תפוקה מצטברת מול אשתקד'!A66,הראל!A:K,8,0)+VLOOKUP('תפוקה מצטברת מול אשתקד'!A66,הפניקס!A:K,8,0)+VLOOKUP('תפוקה מצטברת מול אשתקד'!A66,כלל!A:K,8,0)+VLOOKUP('תפוקה מצטברת מול אשתקד'!A66,מור!A:K,8,0)+VLOOKUP('תפוקה מצטברת מול אשתקד'!A66,'אלטשולר שחם'!A:K,8,0)+VLOOKUP('תפוקה מצטברת מול אשתקד'!A66,'מדיהו '!A:K,8,0)+VLOOKUP('תפוקה מצטברת מול אשתקד'!A66,'אנליסט '!A:K,8,0)+VLOOKUP('תפוקה מצטברת מול אשתקד'!A66,'מיטב דש'!A:K,8,0)+VLOOKUP('תפוקה מצטברת מול אשתקד'!A66,אינפניטי!A:K,8,0)</f>
        <v>116219.22</v>
      </c>
      <c r="M66" s="12">
        <f>VLOOKUP(A66,הכשרה!A:K,9,0)+VLOOKUP('תפוקה מצטברת מול אשתקד'!A66,מגדל!A:K,9,0)+VLOOKUP('תפוקה מצטברת מול אשתקד'!A66,מנורה!A:K,9,0)+VLOOKUP('תפוקה מצטברת מול אשתקד'!A66,איילון!A:K,9,0)+VLOOKUP('תפוקה מצטברת מול אשתקד'!A66,הראל!A:K,9,0)+VLOOKUP('תפוקה מצטברת מול אשתקד'!A66,הפניקס!A:K,9,0)+VLOOKUP('תפוקה מצטברת מול אשתקד'!A66,כלל!A:K,9,0)+VLOOKUP('תפוקה מצטברת מול אשתקד'!A66,מור!A:K,9,0)+VLOOKUP('תפוקה מצטברת מול אשתקד'!A66,'אלטשולר שחם'!A:K,9,0)+VLOOKUP('תפוקה מצטברת מול אשתקד'!A66,'מדיהו '!A:K,9,0)+VLOOKUP('תפוקה מצטברת מול אשתקד'!A66,'אנליסט '!A:K,9,0)+VLOOKUP('תפוקה מצטברת מול אשתקד'!A66,'מיטב דש'!A:K,9,0)+VLOOKUP('תפוקה מצטברת מול אשתקד'!A66,אינפניטי!A:K,9,0)</f>
        <v>0</v>
      </c>
      <c r="N66" s="12">
        <f>VLOOKUP(A66,הכשרה!A:K,10,0)+VLOOKUP('תפוקה מצטברת מול אשתקד'!A66,מגדל!A:K,10,0)+VLOOKUP('תפוקה מצטברת מול אשתקד'!A66,מנורה!A:K,10,0)+VLOOKUP('תפוקה מצטברת מול אשתקד'!A66,איילון!A:K,10,0)+VLOOKUP('תפוקה מצטברת מול אשתקד'!A66,הראל!A:K,10,0)+VLOOKUP('תפוקה מצטברת מול אשתקד'!A66,הפניקס!A:K,10,0)+VLOOKUP('תפוקה מצטברת מול אשתקד'!A66,כלל!A:K,10,0)+VLOOKUP('תפוקה מצטברת מול אשתקד'!A66,מור!A:K,10,0)+VLOOKUP('תפוקה מצטברת מול אשתקד'!A66,'אלטשולר שחם'!A:K,10,0)+VLOOKUP('תפוקה מצטברת מול אשתקד'!A66,'מדיהו '!A:K,10,0)+VLOOKUP('תפוקה מצטברת מול אשתקד'!A66,'אנליסט '!A:K,10,0)+VLOOKUP('תפוקה מצטברת מול אשתקד'!A66,'מיטב דש'!A:K,10,0)+VLOOKUP('תפוקה מצטברת מול אשתקד'!A66,אינפניטי!A:K,10,0)</f>
        <v>107596.02</v>
      </c>
      <c r="O66" s="12">
        <f>VLOOKUP(A66,הכשרה!A:K,11,0)+VLOOKUP('תפוקה מצטברת מול אשתקד'!A66,מגדל!A:K,11,0)+VLOOKUP('תפוקה מצטברת מול אשתקד'!A66,מנורה!A:K,11,0)+VLOOKUP('תפוקה מצטברת מול אשתקד'!A66,איילון!A:K,11,0)+VLOOKUP('תפוקה מצטברת מול אשתקד'!A66,הראל!A:K,11,0)+VLOOKUP('תפוקה מצטברת מול אשתקד'!A66,הפניקס!A:K,11,0)+VLOOKUP('תפוקה מצטברת מול אשתקד'!A66,כלל!A:K,11,0)+VLOOKUP('תפוקה מצטברת מול אשתקד'!A66,מור!A:K,11,0)+VLOOKUP('תפוקה מצטברת מול אשתקד'!A66,'אלטשולר שחם'!A:K,11,0)+VLOOKUP('תפוקה מצטברת מול אשתקד'!A66,'מדיהו '!A:K,11,0)+VLOOKUP('תפוקה מצטברת מול אשתקד'!A66,'אנליסט '!A:K,11,0)+VLOOKUP('תפוקה מצטברת מול אשתקד'!A66,'מיטב דש'!A:K,11,0)+VLOOKUP('תפוקה מצטברת מול אשתקד'!A66,אינפניטי!A:K,11,0)</f>
        <v>292379.49</v>
      </c>
    </row>
    <row r="67" spans="1:15" ht="15.75" customHeight="1" x14ac:dyDescent="0.25">
      <c r="A67" s="27" t="s">
        <v>101</v>
      </c>
      <c r="B67" s="27" t="s">
        <v>56</v>
      </c>
      <c r="C67" s="27" t="s">
        <v>111</v>
      </c>
      <c r="D67" s="20">
        <f t="shared" si="17"/>
        <v>0</v>
      </c>
      <c r="E67" s="20">
        <f t="shared" si="17"/>
        <v>-0.34088270028337142</v>
      </c>
      <c r="F67" s="20">
        <f t="shared" si="17"/>
        <v>0</v>
      </c>
      <c r="G67" s="20">
        <f t="shared" si="15"/>
        <v>0</v>
      </c>
      <c r="H67" s="68">
        <f>VLOOKUP(A67,הכשרה!A:G,4,0)+VLOOKUP('תפוקה מצטברת מול אשתקד'!A67,מגדל!A:G,4,0)+VLOOKUP('תפוקה מצטברת מול אשתקד'!A67,מנורה!A:G,4,0)+VLOOKUP('תפוקה מצטברת מול אשתקד'!A67,איילון!A:G,4,0)+VLOOKUP('תפוקה מצטברת מול אשתקד'!A67,הראל!A:G,4,0)+VLOOKUP('תפוקה מצטברת מול אשתקד'!A67,הפניקס!A:G,4,0)+VLOOKUP('תפוקה מצטברת מול אשתקד'!A67,כלל!A:G,4,0)+VLOOKUP('תפוקה מצטברת מול אשתקד'!A67,מור!A:G,4,0)+VLOOKUP('תפוקה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אשתקד'!A67,אינפניטי!A:G,4,0)</f>
        <v>0</v>
      </c>
      <c r="I67" s="68">
        <f>VLOOKUP(A67,הכשרה!A:G,5,0)+VLOOKUP('תפוקה מצטברת מול אשתקד'!A67,מגדל!A:G,5,0)+VLOOKUP('תפוקה מצטברת מול אשתקד'!A67,מנורה!A:G,5,0)+VLOOKUP('תפוקה מצטברת מול אשתקד'!A67,איילון!A:G,5,0)+VLOOKUP('תפוקה מצטברת מול אשתקד'!A67,הראל!A:G,5,0)+VLOOKUP('תפוקה מצטברת מול אשתקד'!A67,הפניקס!A:G,5,0)+VLOOKUP('תפוקה מצטברת מול אשתקד'!A67,כלל!A:G,5,0)+VLOOKUP('תפוקה מצטברת מול אשתקד'!A67,מור!A:G,5,0)+VLOOKUP('תפוקה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אשתקד'!A67,אינפניטי!A:G,5,0)</f>
        <v>14968.174225000001</v>
      </c>
      <c r="J67" s="68">
        <f>VLOOKUP(A67,הכשרה!A:G,6,0)+VLOOKUP('תפוקה מצטברת מול אשתקד'!A67,מגדל!A:G,6,0)+VLOOKUP('תפוקה מצטברת מול אשתקד'!A67,מנורה!A:G,6,0)+VLOOKUP('תפוקה מצטברת מול אשתקד'!A67,איילון!A:G,6,0)+VLOOKUP(A67,הראל!A:G,6,0)+VLOOKUP('תפוקה מצטברת מול אשתקד'!A67,הפניקס!A:G,6,0)+VLOOKUP('תפוקה מצטברת מול אשתקד'!A67,כלל!A:G,6,0)+VLOOKUP('תפוקה מצטברת מול אשתקד'!A67,מור!A:G,6,0)+VLOOKUP('תפוקה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אשתקד'!A67,אינפניטי!A:G,6,0)</f>
        <v>0</v>
      </c>
      <c r="K67" s="68">
        <f>VLOOKUP(A67,הכשרה!A:G,7,0)+VLOOKUP('תפוקה מצטברת מול אשתקד'!A67,מגדל!A:G,7,0)+VLOOKUP('תפוקה מצטברת מול אשתקד'!A67,מנורה!A:G,7,0)+VLOOKUP('תפוקה מצטברת מול אשתקד'!A67,איילון!A:G,7,0)+VLOOKUP('תפוקה מצטברת מול אשתקד'!A67,הראל!A:G,7,0)+VLOOKUP('תפוקה מצטברת מול אשתקד'!A67,הפניקס!A:G,7,0)+VLOOKUP('תפוקה מצטברת מול אשתקד'!A67,כלל!A:G,7,0)+VLOOKUP('תפוקה מצטברת מול אשתקד'!A67,מור!A:G,7,0)+VLOOKUP('תפוקה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אשתקד'!A67,אינפניטי!A:G,7,0)</f>
        <v>0</v>
      </c>
      <c r="L67" s="12">
        <f>VLOOKUP(A67,הכשרה!A:K,8,0)+VLOOKUP('תפוקה מצטברת מול אשתקד'!A67,מגדל!A:K,8,0)+VLOOKUP('תפוקה מצטברת מול אשתקד'!A67,מנורה!A:K,8,0)+VLOOKUP('תפוקה מצטברת מול אשתקד'!A67,איילון!A:K,8,0)+VLOOKUP('תפוקה מצטברת מול אשתקד'!A67,הראל!A:K,8,0)+VLOOKUP('תפוקה מצטברת מול אשתקד'!A67,הפניקס!A:K,8,0)+VLOOKUP('תפוקה מצטברת מול אשתקד'!A67,כלל!A:K,8,0)+VLOOKUP('תפוקה מצטברת מול אשתקד'!A67,מור!A:K,8,0)+VLOOKUP('תפוקה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אשתקד'!A67,אינפניטי!A:K,8,0)</f>
        <v>0</v>
      </c>
      <c r="M67" s="12">
        <f>VLOOKUP(A67,הכשרה!A:K,9,0)+VLOOKUP('תפוקה מצטברת מול אשתקד'!A67,מגדל!A:K,9,0)+VLOOKUP('תפוקה מצטברת מול אשתקד'!A67,מנורה!A:K,9,0)+VLOOKUP('תפוקה מצטברת מול אשתקד'!A67,איילון!A:K,9,0)+VLOOKUP('תפוקה מצטברת מול אשתקד'!A67,הראל!A:K,9,0)+VLOOKUP('תפוקה מצטברת מול אשתקד'!A67,הפניקס!A:K,9,0)+VLOOKUP('תפוקה מצטברת מול אשתקד'!A67,כלל!A:K,9,0)+VLOOKUP('תפוקה מצטברת מול אשתקד'!A67,מור!A:K,9,0)+VLOOKUP('תפוקה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אשתקד'!A67,אינפניטי!A:K,9,0)</f>
        <v>22709.424000000003</v>
      </c>
      <c r="N67" s="12">
        <f>VLOOKUP(A67,הכשרה!A:K,10,0)+VLOOKUP('תפוקה מצטברת מול אשתקד'!A67,מגדל!A:K,10,0)+VLOOKUP('תפוקה מצטברת מול אשתקד'!A67,מנורה!A:K,10,0)+VLOOKUP('תפוקה מצטברת מול אשתקד'!A67,איילון!A:K,10,0)+VLOOKUP('תפוקה מצטברת מול אשתקד'!A67,הראל!A:K,10,0)+VLOOKUP('תפוקה מצטברת מול אשתקד'!A67,הפניקס!A:K,10,0)+VLOOKUP('תפוקה מצטברת מול אשתקד'!A67,כלל!A:K,10,0)+VLOOKUP('תפוקה מצטברת מול אשתקד'!A67,מור!A:K,10,0)+VLOOKUP('תפוקה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אשתקד'!A67,אינפניטי!A:K,10,0)</f>
        <v>0</v>
      </c>
      <c r="O67" s="12">
        <f>VLOOKUP(A67,הכשרה!A:K,11,0)+VLOOKUP('תפוקה מצטברת מול אשתקד'!A67,מגדל!A:K,11,0)+VLOOKUP('תפוקה מצטברת מול אשתקד'!A67,מנורה!A:K,11,0)+VLOOKUP('תפוקה מצטברת מול אשתקד'!A67,איילון!A:K,11,0)+VLOOKUP('תפוקה מצטברת מול אשתקד'!A67,הראל!A:K,11,0)+VLOOKUP('תפוקה מצטברת מול אשתקד'!A67,הפניקס!A:K,11,0)+VLOOKUP('תפוקה מצטברת מול אשתקד'!A67,כלל!A:K,11,0)+VLOOKUP('תפוקה מצטברת מול אשתקד'!A67,מור!A:K,11,0)+VLOOKUP('תפוקה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אשתקד'!A67,אינפניטי!A:K,11,0)</f>
        <v>90372</v>
      </c>
    </row>
    <row r="68" spans="1:15" ht="15.75" customHeight="1" x14ac:dyDescent="0.25">
      <c r="A68" s="27" t="s">
        <v>108</v>
      </c>
      <c r="B68" s="27" t="s">
        <v>56</v>
      </c>
      <c r="C68" s="27" t="s">
        <v>111</v>
      </c>
      <c r="D68" s="20">
        <f t="shared" si="17"/>
        <v>-0.95068828436332331</v>
      </c>
      <c r="E68" s="20">
        <f t="shared" si="17"/>
        <v>-0.93314749602603186</v>
      </c>
      <c r="F68" s="20">
        <f t="shared" si="17"/>
        <v>-0.97255988371927016</v>
      </c>
      <c r="G68" s="20">
        <f t="shared" si="15"/>
        <v>-0.97644747189920211</v>
      </c>
      <c r="H68" s="68">
        <f>VLOOKUP(A68,הכשרה!A:G,4,0)+VLOOKUP('תפוקה מצטברת מול אשתקד'!A68,מגדל!A:G,4,0)+VLOOKUP('תפוקה מצטברת מול אשתקד'!A68,מנורה!A:G,4,0)+VLOOKUP('תפוקה מצטברת מול אשתקד'!A68,איילון!A:G,4,0)+VLOOKUP('תפוקה מצטברת מול אשתקד'!A68,הראל!A:G,4,0)+VLOOKUP('תפוקה מצטברת מול אשתקד'!A68,הפניקס!A:G,4,0)+VLOOKUP('תפוקה מצטברת מול אשתקד'!A68,כלל!A:G,4,0)+VLOOKUP('תפוקה מצטברת מול אשתקד'!A68,מור!A:G,4,0)+VLOOKUP('תפוקה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אשתקד'!A68,אינפניטי!A:G,4,0)</f>
        <v>19306.802130111002</v>
      </c>
      <c r="I68" s="68">
        <f>VLOOKUP(A68,הכשרה!A:G,5,0)+VLOOKUP('תפוקה מצטברת מול אשתקד'!A68,מגדל!A:G,5,0)+VLOOKUP('תפוקה מצטברת מול אשתקד'!A68,מנורה!A:G,5,0)+VLOOKUP('תפוקה מצטברת מול אשתקד'!A68,איילון!A:G,5,0)+VLOOKUP('תפוקה מצטברת מול אשתקד'!A68,הראל!A:G,5,0)+VLOOKUP('תפוקה מצטברת מול אשתקד'!A68,הפניקס!A:G,5,0)+VLOOKUP('תפוקה מצטברת מול אשתקד'!A68,כלל!A:G,5,0)+VLOOKUP('תפוקה מצטברת מול אשתקד'!A68,מור!A:G,5,0)+VLOOKUP('תפוקה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אשתקד'!A68,אינפניטי!A:G,5,0)</f>
        <v>3810.3285900000001</v>
      </c>
      <c r="J68" s="68">
        <f>VLOOKUP(A68,הכשרה!A:G,6,0)+VLOOKUP('תפוקה מצטברת מול אשתקד'!A68,מגדל!A:G,6,0)+VLOOKUP('תפוקה מצטברת מול אשתקד'!A68,מנורה!A:G,6,0)+VLOOKUP('תפוקה מצטברת מול אשתקד'!A68,איילון!A:G,6,0)+VLOOKUP(A68,הראל!A:G,6,0)+VLOOKUP('תפוקה מצטברת מול אשתקד'!A68,הפניקס!A:G,6,0)+VLOOKUP('תפוקה מצטברת מול אשתקד'!A68,כלל!A:G,6,0)+VLOOKUP('תפוקה מצטברת מול אשתקד'!A68,מור!A:G,6,0)+VLOOKUP('תפוקה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אשתקד'!A68,אינפניטי!A:G,6,0)</f>
        <v>113015.19</v>
      </c>
      <c r="K68" s="68">
        <f>VLOOKUP(A68,הכשרה!A:G,7,0)+VLOOKUP('תפוקה מצטברת מול אשתקד'!A68,מגדל!A:G,7,0)+VLOOKUP('תפוקה מצטברת מול אשתקד'!A68,מנורה!A:G,7,0)+VLOOKUP('תפוקה מצטברת מול אשתקד'!A68,איילון!A:G,7,0)+VLOOKUP('תפוקה מצטברת מול אשתקד'!A68,הראל!A:G,7,0)+VLOOKUP('תפוקה מצטברת מול אשתקד'!A68,הפניקס!A:G,7,0)+VLOOKUP('תפוקה מצטברת מול אשתקד'!A68,כלל!A:G,7,0)+VLOOKUP('תפוקה מצטברת מול אשתקד'!A68,מור!A:G,7,0)+VLOOKUP('תפוקה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אשתקד'!A68,אינפניטי!A:G,7,0)</f>
        <v>95094.319999999992</v>
      </c>
      <c r="L68" s="12">
        <f>VLOOKUP(A68,הכשרה!A:K,8,0)+VLOOKUP('תפוקה מצטברת מול אשתקד'!A68,מגדל!A:K,8,0)+VLOOKUP('תפוקה מצטברת מול אשתקד'!A68,מנורה!A:K,8,0)+VLOOKUP('תפוקה מצטברת מול אשתקד'!A68,איילון!A:K,8,0)+VLOOKUP('תפוקה מצטברת מול אשתקד'!A68,הראל!A:K,8,0)+VLOOKUP('תפוקה מצטברת מול אשתקד'!A68,הפניקס!A:K,8,0)+VLOOKUP('תפוקה מצטברת מול אשתקד'!A68,כלל!A:K,8,0)+VLOOKUP('תפוקה מצטברת מול אשתקד'!A68,מור!A:K,8,0)+VLOOKUP('תפוקה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אשתקד'!A68,אינפניטי!A:K,8,0)</f>
        <v>391525.66242800007</v>
      </c>
      <c r="M68" s="12">
        <f>VLOOKUP(A68,הכשרה!A:K,9,0)+VLOOKUP('תפוקה מצטברת מול אשתקד'!A68,מגדל!A:K,9,0)+VLOOKUP('תפוקה מצטברת מול אשתקד'!A68,מנורה!A:K,9,0)+VLOOKUP('תפוקה מצטברת מול אשתקד'!A68,איילון!A:K,9,0)+VLOOKUP('תפוקה מצטברת מול אשתקד'!A68,הראל!A:K,9,0)+VLOOKUP('תפוקה מצטברת מול אשתקד'!A68,הפניקס!A:K,9,0)+VLOOKUP('תפוקה מצטברת מול אשתקד'!A68,כלל!A:K,9,0)+VLOOKUP('תפוקה מצטברת מול אשתקד'!A68,מור!A:K,9,0)+VLOOKUP('תפוקה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אשתקד'!A68,אינפניטי!A:K,9,0)</f>
        <v>56996.048966000002</v>
      </c>
      <c r="N68" s="12">
        <f>VLOOKUP(A68,הכשרה!A:K,10,0)+VLOOKUP('תפוקה מצטברת מול אשתקד'!A68,מגדל!A:K,10,0)+VLOOKUP('תפוקה מצטברת מול אשתקד'!A68,מנורה!A:K,10,0)+VLOOKUP('תפוקה מצטברת מול אשתקד'!A68,איילון!A:K,10,0)+VLOOKUP('תפוקה מצטברת מול אשתקד'!A68,הראל!A:K,10,0)+VLOOKUP('תפוקה מצטברת מול אשתקד'!A68,הפניקס!A:K,10,0)+VLOOKUP('תפוקה מצטברת מול אשתקד'!A68,כלל!A:K,10,0)+VLOOKUP('תפוקה מצטברת מול אשתקד'!A68,מור!A:K,10,0)+VLOOKUP('תפוקה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אשתקד'!A68,אינפניטי!A:K,10,0)</f>
        <v>4118611.92</v>
      </c>
      <c r="O68" s="12">
        <f>VLOOKUP(A68,הכשרה!A:K,11,0)+VLOOKUP('תפוקה מצטברת מול אשתקד'!A68,מגדל!A:K,11,0)+VLOOKUP('תפוקה מצטברת מול אשתקד'!A68,מנורה!A:K,11,0)+VLOOKUP('תפוקה מצטברת מול אשתקד'!A68,איילון!A:K,11,0)+VLOOKUP('תפוקה מצטברת מול אשתקד'!A68,הראל!A:K,11,0)+VLOOKUP('תפוקה מצטברת מול אשתקד'!A68,הפניקס!A:K,11,0)+VLOOKUP('תפוקה מצטברת מול אשתקד'!A68,כלל!A:K,11,0)+VLOOKUP('תפוקה מצטברת מול אשתקד'!A68,מור!A:K,11,0)+VLOOKUP('תפוקה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אשתקד'!A68,אינפניטי!A:K,11,0)</f>
        <v>4037541.94</v>
      </c>
    </row>
    <row r="69" spans="1:15" ht="15.75" customHeight="1" x14ac:dyDescent="0.25">
      <c r="A69" s="112" t="s">
        <v>109</v>
      </c>
      <c r="B69" s="27" t="s">
        <v>56</v>
      </c>
      <c r="C69" s="27" t="s">
        <v>111</v>
      </c>
      <c r="D69" s="20">
        <f t="shared" si="17"/>
        <v>-0.8773867102585946</v>
      </c>
      <c r="E69" s="20">
        <f t="shared" si="17"/>
        <v>-0.79107963918224455</v>
      </c>
      <c r="F69" s="20">
        <f t="shared" si="17"/>
        <v>-0.88754523717142464</v>
      </c>
      <c r="G69" s="20">
        <f t="shared" si="15"/>
        <v>-0.75996032021217896</v>
      </c>
      <c r="H69" s="68">
        <f>VLOOKUP(A69,הכשרה!A:G,4,0)+VLOOKUP('תפוקה מצטברת מול אשתקד'!A69,מגדל!A:G,4,0)+VLOOKUP('תפוקה מצטברת מול אשתקד'!A69,מנורה!A:G,4,0)+VLOOKUP('תפוקה מצטברת מול אשתקד'!A69,איילון!A:G,4,0)+VLOOKUP('תפוקה מצטברת מול אשתקד'!A69,הראל!A:G,4,0)+VLOOKUP('תפוקה מצטברת מול אשתקד'!A69,הפניקס!A:G,4,0)+VLOOKUP('תפוקה מצטברת מול אשתקד'!A69,כלל!A:G,4,0)+VLOOKUP('תפוקה מצטברת מול אשתקד'!A69,מור!A:G,4,0)+VLOOKUP('תפוקה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אשתקד'!A69,אינפניטי!A:G,4,0)</f>
        <v>323772.14868593478</v>
      </c>
      <c r="I69" s="68">
        <f>VLOOKUP(A69,הכשרה!A:G,5,0)+VLOOKUP('תפוקה מצטברת מול אשתקד'!A69,מגדל!A:G,5,0)+VLOOKUP('תפוקה מצטברת מול אשתקד'!A69,מנורה!A:G,5,0)+VLOOKUP('תפוקה מצטברת מול אשתקד'!A69,איילון!A:G,5,0)+VLOOKUP('תפוקה מצטברת מול אשתקד'!A69,הראל!A:G,5,0)+VLOOKUP('תפוקה מצטברת מול אשתקד'!A69,הפניקס!A:G,5,0)+VLOOKUP('תפוקה מצטברת מול אשתקד'!A69,כלל!A:G,5,0)+VLOOKUP('תפוקה מצטברת מול אשתקד'!A69,מור!A:G,5,0)+VLOOKUP('תפוקה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אשתקד'!A69,אינפניטי!A:G,5,0)</f>
        <v>32637.325678209905</v>
      </c>
      <c r="J69" s="68">
        <f>VLOOKUP(A69,הכשרה!A:G,6,0)+VLOOKUP('תפוקה מצטברת מול אשתקד'!A69,מגדל!A:G,6,0)+VLOOKUP('תפוקה מצטברת מול אשתקד'!A69,מנורה!A:G,6,0)+VLOOKUP('תפוקה מצטברת מול אשתקד'!A69,איילון!A:G,6,0)+VLOOKUP(A69,הראל!A:G,6,0)+VLOOKUP('תפוקה מצטברת מול אשתקד'!A69,הפניקס!A:G,6,0)+VLOOKUP('תפוקה מצטברת מול אשתקד'!A69,כלל!A:G,6,0)+VLOOKUP('תפוקה מצטברת מול אשתקד'!A69,מור!A:G,6,0)+VLOOKUP('תפוקה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אשתקד'!A69,אינפניטי!A:G,6,0)</f>
        <v>1560689.4500000002</v>
      </c>
      <c r="K69" s="68">
        <f>VLOOKUP(A69,הכשרה!A:G,7,0)+VLOOKUP('תפוקה מצטברת מול אשתקד'!A69,מגדל!A:G,7,0)+VLOOKUP('תפוקה מצטברת מול אשתקד'!A69,מנורה!A:G,7,0)+VLOOKUP('תפוקה מצטברת מול אשתקד'!A69,איילון!A:G,7,0)+VLOOKUP('תפוקה מצטברת מול אשתקד'!A69,הראל!A:G,7,0)+VLOOKUP('תפוקה מצטברת מול אשתקד'!A69,הפניקס!A:G,7,0)+VLOOKUP('תפוקה מצטברת מול אשתקד'!A69,כלל!A:G,7,0)+VLOOKUP('תפוקה מצטברת מול אשתקד'!A69,מור!A:G,7,0)+VLOOKUP('תפוקה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אשתקד'!A69,אינפניטי!A:G,7,0)</f>
        <v>3696012.31</v>
      </c>
      <c r="L69" s="12">
        <f>VLOOKUP(A69,הכשרה!A:K,8,0)+VLOOKUP('תפוקה מצטברת מול אשתקד'!A69,מגדל!A:K,8,0)+VLOOKUP('תפוקה מצטברת מול אשתקד'!A69,מנורה!A:K,8,0)+VLOOKUP('תפוקה מצטברת מול אשתקד'!A69,איילון!A:K,8,0)+VLOOKUP('תפוקה מצטברת מול אשתקד'!A69,הראל!A:K,8,0)+VLOOKUP('תפוקה מצטברת מול אשתקד'!A69,הפניקס!A:K,8,0)+VLOOKUP('תפוקה מצטברת מול אשתקד'!A69,כלל!A:K,8,0)+VLOOKUP('תפוקה מצטברת מול אשתקד'!A69,מור!A:K,8,0)+VLOOKUP('תפוקה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אשתקד'!A69,אינפניטי!A:K,8,0)</f>
        <v>2640595.887842</v>
      </c>
      <c r="M69" s="12">
        <f>VLOOKUP(A69,הכשרה!A:K,9,0)+VLOOKUP('תפוקה מצטברת מול אשתקד'!A69,מגדל!A:K,9,0)+VLOOKUP('תפוקה מצטברת מול אשתקד'!A69,מנורה!A:K,9,0)+VLOOKUP('תפוקה מצטברת מול אשתקד'!A69,איילון!A:K,9,0)+VLOOKUP('תפוקה מצטברת מול אשתקד'!A69,הראל!A:K,9,0)+VLOOKUP('תפוקה מצטברת מול אשתקד'!A69,הפניקס!A:K,9,0)+VLOOKUP('תפוקה מצטברת מול אשתקד'!A69,כלל!A:K,9,0)+VLOOKUP('תפוקה מצטברת מול אשתקד'!A69,מור!A:K,9,0)+VLOOKUP('תפוקה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אשתקד'!A69,אינפניטי!A:K,9,0)</f>
        <v>156218.980048</v>
      </c>
      <c r="N69" s="12">
        <f>VLOOKUP(A69,הכשרה!A:K,10,0)+VLOOKUP('תפוקה מצטברת מול אשתקד'!A69,מגדל!A:K,10,0)+VLOOKUP('תפוקה מצטברת מול אשתקד'!A69,מנורה!A:K,10,0)+VLOOKUP('תפוקה מצטברת מול אשתקד'!A69,איילון!A:K,10,0)+VLOOKUP('תפוקה מצטברת מול אשתקד'!A69,הראל!A:K,10,0)+VLOOKUP('תפוקה מצטברת מול אשתקד'!A69,הפניקס!A:K,10,0)+VLOOKUP('תפוקה מצטברת מול אשתקד'!A69,כלל!A:K,10,0)+VLOOKUP('תפוקה מצטברת מול אשתקד'!A69,מור!A:K,10,0)+VLOOKUP('תפוקה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אשתקד'!A69,אינפניטי!A:K,10,0)</f>
        <v>13878375.719658002</v>
      </c>
      <c r="O69" s="12">
        <f>VLOOKUP(A69,הכשרה!A:K,11,0)+VLOOKUP('תפוקה מצטברת מול אשתקד'!A69,מגדל!A:K,11,0)+VLOOKUP('תפוקה מצטברת מול אשתקד'!A69,מנורה!A:K,11,0)+VLOOKUP('תפוקה מצטברת מול אשתקד'!A69,איילון!A:K,11,0)+VLOOKUP('תפוקה מצטברת מול אשתקד'!A69,הראל!A:K,11,0)+VLOOKUP('תפוקה מצטברת מול אשתקד'!A69,הפניקס!A:K,11,0)+VLOOKUP('תפוקה מצטברת מול אשתקד'!A69,כלל!A:K,11,0)+VLOOKUP('תפוקה מצטברת מול אשתקד'!A69,מור!A:K,11,0)+VLOOKUP('תפוקה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אשתקד'!A69,אינפניטי!A:K,11,0)</f>
        <v>15397505.584355999</v>
      </c>
    </row>
    <row r="70" spans="1:15" ht="15.75" customHeight="1" thickBot="1" x14ac:dyDescent="0.3">
      <c r="A70" s="27" t="s">
        <v>89</v>
      </c>
      <c r="B70" s="27" t="s">
        <v>56</v>
      </c>
      <c r="C70" s="29" t="s">
        <v>111</v>
      </c>
      <c r="D70" s="118">
        <f t="shared" si="17"/>
        <v>-0.48659551471290963</v>
      </c>
      <c r="E70" s="118">
        <f t="shared" si="17"/>
        <v>11.462926957830426</v>
      </c>
      <c r="F70" s="118">
        <f t="shared" si="17"/>
        <v>11.929757704962869</v>
      </c>
      <c r="G70" s="118">
        <f t="shared" ref="G70:G72" si="18">IF(K70=0,0%,IF(O70=H97,100%,K70/O70-1))</f>
        <v>0</v>
      </c>
      <c r="H70" s="68">
        <f>VLOOKUP(A70,הכשרה!A:G,4,0)+VLOOKUP('תפוקה מצטברת מול אשתקד'!A70,מגדל!A:G,4,0)+VLOOKUP('תפוקה מצטברת מול אשתקד'!A70,מנורה!A:G,4,0)+VLOOKUP('תפוקה מצטברת מול אשתקד'!A70,איילון!A:G,4,0)+VLOOKUP('תפוקה מצטברת מול אשתקד'!A70,הראל!A:G,4,0)+VLOOKUP('תפוקה מצטברת מול אשתקד'!A70,הפניקס!A:G,4,0)+VLOOKUP('תפוקה מצטברת מול אשתקד'!A70,כלל!A:G,4,0)+VLOOKUP('תפוקה מצטברת מול אשתקד'!A70,מור!A:G,4,0)+VLOOKUP('תפוקה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אשתקד'!A70,אינפניטי!A:G,4,0)</f>
        <v>19446.54</v>
      </c>
      <c r="I70" s="68">
        <f>VLOOKUP(A70,הכשרה!A:G,5,0)+VLOOKUP('תפוקה מצטברת מול אשתקד'!A70,מגדל!A:G,5,0)+VLOOKUP('תפוקה מצטברת מול אשתקד'!A70,מנורה!A:G,5,0)+VLOOKUP('תפוקה מצטברת מול אשתקד'!A70,איילון!A:G,5,0)+VLOOKUP('תפוקה מצטברת מול אשתקד'!A70,הראל!A:G,5,0)+VLOOKUP('תפוקה מצטברת מול אשתקד'!A70,הפניקס!A:G,5,0)+VLOOKUP('תפוקה מצטברת מול אשתקד'!A70,כלל!A:G,5,0)+VLOOKUP('תפוקה מצטברת מול אשתקד'!A70,מור!A:G,5,0)+VLOOKUP('תפוקה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אשתקד'!A70,אינפניטי!A:G,5,0)</f>
        <v>703551.54979000008</v>
      </c>
      <c r="J70" s="68">
        <f>VLOOKUP(A70,הכשרה!A:G,6,0)+VLOOKUP('תפוקה מצטברת מול אשתקד'!A70,מגדל!A:G,6,0)+VLOOKUP('תפוקה מצטברת מול אשתקד'!A70,מנורה!A:G,6,0)+VLOOKUP('תפוקה מצטברת מול אשתקד'!A70,איילון!A:G,6,0)+VLOOKUP(A70,הראל!A:G,6,0)+VLOOKUP('תפוקה מצטברת מול אשתקד'!A70,הפניקס!A:G,6,0)+VLOOKUP('תפוקה מצטברת מול אשתקד'!A70,כלל!A:G,6,0)+VLOOKUP('תפוקה מצטברת מול אשתקד'!A70,מור!A:G,6,0)+VLOOKUP('תפוקה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אשתקד'!A70,אינפניטי!A:G,6,0)</f>
        <v>139367.24</v>
      </c>
      <c r="K70" s="68">
        <f>VLOOKUP(A70,הכשרה!A:G,7,0)+VLOOKUP('תפוקה מצטברת מול אשתקד'!A70,מגדל!A:G,7,0)+VLOOKUP('תפוקה מצטברת מול אשתקד'!A70,מנורה!A:G,7,0)+VLOOKUP('תפוקה מצטברת מול אשתקד'!A70,איילון!A:G,7,0)+VLOOKUP('תפוקה מצטברת מול אשתקד'!A70,הראל!A:G,7,0)+VLOOKUP('תפוקה מצטברת מול אשתקד'!A70,הפניקס!A:G,7,0)+VLOOKUP('תפוקה מצטברת מול אשתקד'!A70,כלל!A:G,7,0)+VLOOKUP('תפוקה מצטברת מול אשתקד'!A70,מור!A:G,7,0)+VLOOKUP('תפוקה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אשתקד'!A70,אינפניטי!A:G,7,0)</f>
        <v>0</v>
      </c>
      <c r="L70" s="12">
        <f>VLOOKUP(A70,הכשרה!A:K,8,0)+VLOOKUP('תפוקה מצטברת מול אשתקד'!A70,מגדל!A:K,8,0)+VLOOKUP('תפוקה מצטברת מול אשתקד'!A70,מנורה!A:K,8,0)+VLOOKUP('תפוקה מצטברת מול אשתקד'!A70,איילון!A:K,8,0)+VLOOKUP('תפוקה מצטברת מול אשתקד'!A70,הראל!A:K,8,0)+VLOOKUP('תפוקה מצטברת מול אשתקד'!A70,הפניקס!A:K,8,0)+VLOOKUP('תפוקה מצטברת מול אשתקד'!A70,כלל!A:K,8,0)+VLOOKUP('תפוקה מצטברת מול אשתקד'!A70,מור!A:K,8,0)+VLOOKUP('תפוקה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אשתקד'!A70,אינפניטי!A:K,8,0)</f>
        <v>37877.620000000003</v>
      </c>
      <c r="M70" s="12">
        <f>VLOOKUP(A70,הכשרה!A:K,9,0)+VLOOKUP('תפוקה מצטברת מול אשתקד'!A70,מגדל!A:K,9,0)+VLOOKUP('תפוקה מצטברת מול אשתקד'!A70,מנורה!A:K,9,0)+VLOOKUP('תפוקה מצטברת מול אשתקד'!A70,איילון!A:K,9,0)+VLOOKUP('תפוקה מצטברת מול אשתקד'!A70,הראל!A:K,9,0)+VLOOKUP('תפוקה מצטברת מול אשתקד'!A70,הפניקס!A:K,9,0)+VLOOKUP('תפוקה מצטברת מול אשתקד'!A70,כלל!A:K,9,0)+VLOOKUP('תפוקה מצטברת מול אשתקד'!A70,מור!A:K,9,0)+VLOOKUP('תפוקה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אשתקד'!A70,אינפניטי!A:K,9,0)</f>
        <v>56451.550439999999</v>
      </c>
      <c r="N70" s="12">
        <f>VLOOKUP(A70,הכשרה!A:K,10,0)+VLOOKUP('תפוקה מצטברת מול אשתקד'!A70,מגדל!A:K,10,0)+VLOOKUP('תפוקה מצטברת מול אשתקד'!A70,מנורה!A:K,10,0)+VLOOKUP('תפוקה מצטברת מול אשתקד'!A70,איילון!A:K,10,0)+VLOOKUP('תפוקה מצטברת מול אשתקד'!A70,הראל!A:K,10,0)+VLOOKUP('תפוקה מצטברת מול אשתקד'!A70,הפניקס!A:K,10,0)+VLOOKUP('תפוקה מצטברת מול אשתקד'!A70,כלל!A:K,10,0)+VLOOKUP('תפוקה מצטברת מול אשתקד'!A70,מור!A:K,10,0)+VLOOKUP('תפוקה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אשתקד'!A70,אינפניטי!A:K,10,0)</f>
        <v>10778.797498</v>
      </c>
      <c r="O70" s="12">
        <f>VLOOKUP(A70,הכשרה!A:K,11,0)+VLOOKUP('תפוקה מצטברת מול אשתקד'!A70,מגדל!A:K,11,0)+VLOOKUP('תפוקה מצטברת מול אשתקד'!A70,מנורה!A:K,11,0)+VLOOKUP('תפוקה מצטברת מול אשתקד'!A70,איילון!A:K,11,0)+VLOOKUP('תפוקה מצטברת מול אשתקד'!A70,הראל!A:K,11,0)+VLOOKUP('תפוקה מצטברת מול אשתקד'!A70,הפניקס!A:K,11,0)+VLOOKUP('תפוקה מצטברת מול אשתקד'!A70,כלל!A:K,11,0)+VLOOKUP('תפוקה מצטברת מול אשתקד'!A70,מור!A:K,11,0)+VLOOKUP('תפוקה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אשתקד'!A70,אינפניטי!A:K,11,0)</f>
        <v>68665.223759999993</v>
      </c>
    </row>
    <row r="71" spans="1:15" ht="28.15" customHeight="1" thickBot="1" x14ac:dyDescent="0.3">
      <c r="A71" s="143" t="s">
        <v>44</v>
      </c>
      <c r="B71" s="142"/>
      <c r="C71" s="142"/>
      <c r="D71" s="147">
        <f t="shared" si="17"/>
        <v>-0.85736406610376648</v>
      </c>
      <c r="E71" s="147">
        <f t="shared" si="17"/>
        <v>-0.27811239448268454</v>
      </c>
      <c r="F71" s="147">
        <f t="shared" si="17"/>
        <v>-0.84705929350053655</v>
      </c>
      <c r="G71" s="147">
        <f t="shared" si="18"/>
        <v>-0.85003467022424761</v>
      </c>
      <c r="H71" s="145">
        <f>SUM(H3:H8)</f>
        <v>2258651.0239903331</v>
      </c>
      <c r="I71" s="145">
        <f>SUM(I63:I70)</f>
        <v>838553.69520821003</v>
      </c>
      <c r="J71" s="145">
        <f t="shared" ref="I71:O71" si="19">SUM(J3:J8)</f>
        <v>6837571.9602304343</v>
      </c>
      <c r="K71" s="145">
        <f t="shared" si="19"/>
        <v>14476352.000000002</v>
      </c>
      <c r="L71" s="145">
        <f t="shared" si="19"/>
        <v>15835077.194737498</v>
      </c>
      <c r="M71" s="145">
        <f t="shared" si="19"/>
        <v>1161612.540233725</v>
      </c>
      <c r="N71" s="145">
        <f t="shared" si="19"/>
        <v>44707338.659079753</v>
      </c>
      <c r="O71" s="145">
        <f t="shared" si="19"/>
        <v>96531325.084583998</v>
      </c>
    </row>
    <row r="72" spans="1:15" ht="30" customHeight="1" thickBot="1" x14ac:dyDescent="0.3">
      <c r="A72" s="143" t="s">
        <v>45</v>
      </c>
      <c r="B72" s="142"/>
      <c r="C72" s="142"/>
      <c r="D72" s="147">
        <f t="shared" si="17"/>
        <v>-0.86443093113943759</v>
      </c>
      <c r="E72" s="147">
        <f t="shared" si="17"/>
        <v>-0.45917205907403413</v>
      </c>
      <c r="F72" s="147">
        <f t="shared" si="17"/>
        <v>-0.86026621035718298</v>
      </c>
      <c r="G72" s="147">
        <f t="shared" si="18"/>
        <v>-0.87410193071946907</v>
      </c>
      <c r="H72" s="145">
        <f>H71+H62+H54+H21+H8</f>
        <v>4931001.3035128582</v>
      </c>
      <c r="I72" s="145">
        <f t="shared" ref="I72:O72" si="20">I71+I62+I54+I21+I8</f>
        <v>1888838.7125852681</v>
      </c>
      <c r="J72" s="145">
        <f t="shared" si="20"/>
        <v>15129791.858371209</v>
      </c>
      <c r="K72" s="145">
        <f t="shared" si="20"/>
        <v>25080717.770000003</v>
      </c>
      <c r="L72" s="145">
        <f t="shared" si="20"/>
        <v>36372613.199730448</v>
      </c>
      <c r="M72" s="145">
        <f t="shared" si="20"/>
        <v>3492494.6912900568</v>
      </c>
      <c r="N72" s="145">
        <f t="shared" si="20"/>
        <v>108275828.6098552</v>
      </c>
      <c r="O72" s="145">
        <f t="shared" si="20"/>
        <v>199214474.95842198</v>
      </c>
    </row>
    <row r="73" spans="1:15" ht="15.75" customHeight="1" x14ac:dyDescent="0.25"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5" customFormat="1" ht="15.75" customHeight="1" x14ac:dyDescent="0.25">
      <c r="A74" s="33"/>
    </row>
    <row r="75" spans="1:15" customFormat="1" ht="15.75" customHeight="1" x14ac:dyDescent="0.25">
      <c r="A75" s="33"/>
      <c r="H75" s="6"/>
      <c r="I75" s="6"/>
      <c r="J75" s="6"/>
      <c r="K75" s="6"/>
    </row>
    <row r="76" spans="1:15" customFormat="1" ht="15.75" customHeight="1" x14ac:dyDescent="0.25">
      <c r="A76" s="33"/>
    </row>
    <row r="77" spans="1:15" customFormat="1" ht="15.75" customHeight="1" x14ac:dyDescent="0.25">
      <c r="A77" s="33"/>
      <c r="H77" s="9"/>
      <c r="I77" s="9"/>
      <c r="J77" s="9"/>
      <c r="K77" s="9"/>
      <c r="N77" s="111"/>
    </row>
    <row r="78" spans="1:15" ht="15.75" customHeight="1" x14ac:dyDescent="0.25">
      <c r="H78" s="10"/>
      <c r="I78" s="10"/>
      <c r="J78" s="10"/>
      <c r="K78" s="10"/>
    </row>
  </sheetData>
  <autoFilter ref="A2:R72" xr:uid="{A4CB721E-4C57-46C7-85BA-332EA5413B68}"/>
  <mergeCells count="3">
    <mergeCell ref="H1:K1"/>
    <mergeCell ref="D1:F1"/>
    <mergeCell ref="L1:O1"/>
  </mergeCells>
  <conditionalFormatting sqref="A14">
    <cfRule type="duplicateValues" dxfId="287" priority="13"/>
    <cfRule type="duplicateValues" dxfId="286" priority="14"/>
  </conditionalFormatting>
  <conditionalFormatting sqref="A58">
    <cfRule type="duplicateValues" dxfId="285" priority="17"/>
    <cfRule type="duplicateValues" dxfId="284" priority="18"/>
  </conditionalFormatting>
  <conditionalFormatting sqref="A61 A22:A53 A59 A55:A57 A7">
    <cfRule type="duplicateValues" dxfId="283" priority="224"/>
    <cfRule type="duplicateValues" dxfId="282" priority="225"/>
  </conditionalFormatting>
  <conditionalFormatting sqref="A63:A70">
    <cfRule type="duplicateValues" dxfId="281" priority="126"/>
    <cfRule type="duplicateValues" dxfId="280" priority="127"/>
  </conditionalFormatting>
  <conditionalFormatting sqref="A71:A1048576 A1:A6 A8:A13 A15:A21 A62 A54">
    <cfRule type="duplicateValues" dxfId="279" priority="80"/>
    <cfRule type="duplicateValues" dxfId="278" priority="81"/>
  </conditionalFormatting>
  <conditionalFormatting sqref="D1:D24 E2:G24 D25:G73 D78:G1048576">
    <cfRule type="cellIs" dxfId="277" priority="35" operator="lessThan">
      <formula>-0.0001</formula>
    </cfRule>
  </conditionalFormatting>
  <conditionalFormatting sqref="D3:G73 D78:G1048576">
    <cfRule type="cellIs" dxfId="276" priority="36" operator="greaterThan">
      <formula>0.1</formula>
    </cfRule>
  </conditionalFormatting>
  <conditionalFormatting sqref="H8:O8">
    <cfRule type="duplicateValues" dxfId="275" priority="9"/>
    <cfRule type="duplicateValues" dxfId="274" priority="10"/>
  </conditionalFormatting>
  <conditionalFormatting sqref="H21:O21">
    <cfRule type="duplicateValues" dxfId="273" priority="1"/>
    <cfRule type="duplicateValues" dxfId="272" priority="2"/>
  </conditionalFormatting>
  <conditionalFormatting sqref="H54:O54">
    <cfRule type="duplicateValues" dxfId="271" priority="5"/>
    <cfRule type="duplicateValues" dxfId="270" priority="6"/>
  </conditionalFormatting>
  <conditionalFormatting sqref="H62:O62">
    <cfRule type="duplicateValues" dxfId="269" priority="3"/>
    <cfRule type="duplicateValues" dxfId="268" priority="4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8895-D3E4-49E3-AA83-C6D39DC12A72}">
  <sheetPr>
    <tabColor theme="4" tint="0.39997558519241921"/>
  </sheetPr>
  <dimension ref="A1:P84"/>
  <sheetViews>
    <sheetView rightToLeft="1" workbookViewId="0">
      <pane ySplit="2" topLeftCell="A3" activePane="bottomLeft" state="frozen"/>
      <selection pane="bottomLeft" activeCell="H1" sqref="H1:K1"/>
    </sheetView>
  </sheetViews>
  <sheetFormatPr defaultColWidth="18.85546875" defaultRowHeight="15.75" x14ac:dyDescent="0.25"/>
  <cols>
    <col min="1" max="1" width="30" style="1" bestFit="1" customWidth="1"/>
    <col min="2" max="2" width="8.7109375" style="1" bestFit="1" customWidth="1"/>
    <col min="3" max="3" width="7.7109375" style="1" bestFit="1" customWidth="1"/>
    <col min="4" max="4" width="7.7109375" style="3" bestFit="1" customWidth="1"/>
    <col min="5" max="5" width="8" style="3" bestFit="1" customWidth="1"/>
    <col min="6" max="6" width="8.85546875" style="3" bestFit="1" customWidth="1"/>
    <col min="7" max="7" width="11" style="3" bestFit="1" customWidth="1"/>
    <col min="8" max="9" width="15.28515625" style="2" bestFit="1" customWidth="1"/>
    <col min="10" max="11" width="16.85546875" style="2" bestFit="1" customWidth="1"/>
    <col min="12" max="13" width="15.28515625" style="2" bestFit="1" customWidth="1"/>
    <col min="14" max="15" width="16.85546875" style="2" bestFit="1" customWidth="1"/>
    <col min="16" max="16384" width="18.85546875" style="2"/>
  </cols>
  <sheetData>
    <row r="1" spans="1:16" ht="21" x14ac:dyDescent="0.35">
      <c r="A1" s="27"/>
      <c r="B1" s="27"/>
      <c r="C1" s="27"/>
      <c r="D1" s="267" t="s">
        <v>62</v>
      </c>
      <c r="E1" s="268"/>
      <c r="F1" s="268"/>
      <c r="G1" s="269"/>
      <c r="H1" s="275" t="s">
        <v>127</v>
      </c>
      <c r="I1" s="276"/>
      <c r="J1" s="276"/>
      <c r="K1" s="277"/>
      <c r="L1" s="266" t="s">
        <v>126</v>
      </c>
      <c r="M1" s="266"/>
      <c r="N1" s="266"/>
      <c r="O1" s="266"/>
    </row>
    <row r="2" spans="1:16" ht="21" x14ac:dyDescent="0.25">
      <c r="A2" s="11" t="s">
        <v>0</v>
      </c>
      <c r="B2" s="24" t="s">
        <v>53</v>
      </c>
      <c r="C2" s="24" t="s">
        <v>117</v>
      </c>
      <c r="D2" s="25" t="s">
        <v>46</v>
      </c>
      <c r="E2" s="25" t="s">
        <v>50</v>
      </c>
      <c r="F2" s="25" t="s">
        <v>51</v>
      </c>
      <c r="G2" s="25" t="s">
        <v>49</v>
      </c>
      <c r="H2" s="70" t="s">
        <v>46</v>
      </c>
      <c r="I2" s="70" t="s">
        <v>50</v>
      </c>
      <c r="J2" s="70" t="s">
        <v>51</v>
      </c>
      <c r="K2" s="70" t="s">
        <v>49</v>
      </c>
      <c r="L2" s="26" t="s">
        <v>46</v>
      </c>
      <c r="M2" s="26" t="s">
        <v>47</v>
      </c>
      <c r="N2" s="26" t="s">
        <v>48</v>
      </c>
      <c r="O2" s="26" t="s">
        <v>49</v>
      </c>
    </row>
    <row r="3" spans="1:16" x14ac:dyDescent="0.25">
      <c r="A3" s="27" t="s">
        <v>1</v>
      </c>
      <c r="B3" s="27" t="s">
        <v>116</v>
      </c>
      <c r="C3" s="27" t="s">
        <v>58</v>
      </c>
      <c r="D3" s="71">
        <f t="shared" ref="D3:D64" si="0">IF(L3=0,0%,IF(H3=0,100%,L3/H3-1))</f>
        <v>-0.94041559727360191</v>
      </c>
      <c r="E3" s="71">
        <f t="shared" ref="E3:E64" si="1">IF(M3=0,0%,IF(I3=0,100%,M3/I3-1))</f>
        <v>-0.89715300756897087</v>
      </c>
      <c r="F3" s="71">
        <f>IF(N3=0,0%,IF(J3=0,100%,N3/J3-1))</f>
        <v>1.4150465077809362</v>
      </c>
      <c r="G3" s="71">
        <f>IF(O3=0,0%,IF(K3=0,100%,O3/K3-1))</f>
        <v>4.4180990769230775</v>
      </c>
      <c r="H3" s="12">
        <f>VLOOKUP(A3,[1]גיליון1!$A:$T,17,0)</f>
        <v>18000000</v>
      </c>
      <c r="I3" s="12">
        <f>VLOOKUP(A3,[1]גיליון1!$1:$1048576,18,0)</f>
        <v>1300000</v>
      </c>
      <c r="J3" s="12">
        <f>VLOOKUP(A3,[1]גיליון1!$1:$1048576,18,0)</f>
        <v>1300000</v>
      </c>
      <c r="K3" s="12">
        <f>VLOOKUP(A3,[1]גיליון1!$1:$1048576,18,0)</f>
        <v>1300000</v>
      </c>
      <c r="L3" s="69">
        <f>VLOOKUP(A3,'תפוקה מצטברת מול אשתקד'!A:O,8,0)</f>
        <v>1072519.2490751664</v>
      </c>
      <c r="M3" s="72">
        <f>VLOOKUP(A3,'תפוקה מצטברת מול אשתקד'!A:O,9,0)</f>
        <v>133701.0901603378</v>
      </c>
      <c r="N3" s="72">
        <f>VLOOKUP(A3,'תפוקה מצטברת מול אשתקד'!A:O,10,0)</f>
        <v>3139560.4601152171</v>
      </c>
      <c r="O3" s="72">
        <f>VLOOKUP(A3,'תפוקה מצטברת מול אשתקד'!A:O,11,0)</f>
        <v>7043528.8000000007</v>
      </c>
    </row>
    <row r="4" spans="1:16" x14ac:dyDescent="0.25">
      <c r="A4" s="27" t="s">
        <v>2</v>
      </c>
      <c r="B4" s="27" t="s">
        <v>116</v>
      </c>
      <c r="C4" s="27" t="s">
        <v>58</v>
      </c>
      <c r="D4" s="71">
        <f t="shared" si="0"/>
        <v>-0.98848767999999998</v>
      </c>
      <c r="E4" s="71">
        <f t="shared" si="1"/>
        <v>1</v>
      </c>
      <c r="F4" s="71">
        <f t="shared" ref="F4:F65" si="2">IF(N4=0,0%,IF(J4=0,100%,N4/J4-1))</f>
        <v>1</v>
      </c>
      <c r="G4" s="71">
        <f t="shared" ref="G4:G65" si="3">IF(O4=0,0%,IF(K4=0,100%,O4/K4-1))</f>
        <v>1</v>
      </c>
      <c r="H4" s="12">
        <f>VLOOKUP(A4,[1]גיליון1!$A:$T,17,0)</f>
        <v>1500000</v>
      </c>
      <c r="I4" s="12">
        <f>VLOOKUP(A4,[1]גיליון1!$1:$1048576,18,0)</f>
        <v>0</v>
      </c>
      <c r="J4" s="12">
        <f>VLOOKUP(A4,[1]גיליון1!$1:$1048576,18,0)</f>
        <v>0</v>
      </c>
      <c r="K4" s="12">
        <f>VLOOKUP(A4,[1]גיליון1!$1:$1048576,18,0)</f>
        <v>0</v>
      </c>
      <c r="L4" s="69">
        <f>VLOOKUP(A4,'תפוקה מצטברת מול אשתקד'!A:O,8,0)</f>
        <v>17268.48</v>
      </c>
      <c r="M4" s="72">
        <f>VLOOKUP(A4,'תפוקה מצטברת מול אשתקד'!A:O,9,0)</f>
        <v>250000</v>
      </c>
      <c r="N4" s="72">
        <f>VLOOKUP(A4,'תפוקה מצטברת מול אשתקד'!A:O,10,0)</f>
        <v>272225.52</v>
      </c>
      <c r="O4" s="72">
        <f>VLOOKUP(A4,'תפוקה מצטברת מול אשתקד'!A:O,11,0)</f>
        <v>-7407.0199999999968</v>
      </c>
    </row>
    <row r="5" spans="1:16" x14ac:dyDescent="0.25">
      <c r="A5" s="27" t="s">
        <v>112</v>
      </c>
      <c r="B5" s="27" t="s">
        <v>116</v>
      </c>
      <c r="C5" s="27" t="s">
        <v>58</v>
      </c>
      <c r="D5" s="71">
        <f t="shared" si="0"/>
        <v>0</v>
      </c>
      <c r="E5" s="71">
        <f t="shared" si="1"/>
        <v>1</v>
      </c>
      <c r="F5" s="71">
        <f t="shared" si="2"/>
        <v>0</v>
      </c>
      <c r="G5" s="71">
        <f t="shared" si="3"/>
        <v>0</v>
      </c>
      <c r="H5" s="12">
        <v>0</v>
      </c>
      <c r="I5" s="12">
        <v>0</v>
      </c>
      <c r="J5" s="12">
        <v>0</v>
      </c>
      <c r="K5" s="12">
        <v>0</v>
      </c>
      <c r="L5" s="69">
        <f>VLOOKUP(A5,'תפוקה מצטברת מול אשתקד'!A:O,8,0)</f>
        <v>0</v>
      </c>
      <c r="M5" s="72">
        <f>VLOOKUP(A5,'תפוקה מצטברת מול אשתקד'!A:O,9,0)</f>
        <v>39045.9</v>
      </c>
      <c r="N5" s="72">
        <f>VLOOKUP(A5,'תפוקה מצטברת מול אשתקד'!A:O,10,0)</f>
        <v>0</v>
      </c>
      <c r="O5" s="72">
        <f>VLOOKUP(A5,'תפוקה מצטברת מול אשתקד'!A:O,11,0)</f>
        <v>0</v>
      </c>
    </row>
    <row r="6" spans="1:16" x14ac:dyDescent="0.25">
      <c r="A6" s="29" t="s">
        <v>113</v>
      </c>
      <c r="B6" s="29" t="s">
        <v>116</v>
      </c>
      <c r="C6" s="29" t="s">
        <v>58</v>
      </c>
      <c r="D6" s="166">
        <f t="shared" si="0"/>
        <v>1</v>
      </c>
      <c r="E6" s="166">
        <f t="shared" si="1"/>
        <v>1</v>
      </c>
      <c r="F6" s="166">
        <f t="shared" si="2"/>
        <v>1</v>
      </c>
      <c r="G6" s="166">
        <f t="shared" si="3"/>
        <v>1</v>
      </c>
      <c r="H6" s="12">
        <v>0</v>
      </c>
      <c r="I6" s="12">
        <v>0</v>
      </c>
      <c r="J6" s="12">
        <v>0</v>
      </c>
      <c r="K6" s="12">
        <v>0</v>
      </c>
      <c r="L6" s="69">
        <f>VLOOKUP(A6,'תפוקה מצטברת מול אשתקד'!A:O,8,0)</f>
        <v>39537.782919999998</v>
      </c>
      <c r="M6" s="168">
        <f>VLOOKUP(A6,'תפוקה מצטברת מול אשתקד'!A:O,9,0)</f>
        <v>8009.2999999999993</v>
      </c>
      <c r="N6" s="168">
        <f>VLOOKUP(A6,'תפוקה מצטברת מול אשתקד'!A:O,10,0)</f>
        <v>7000</v>
      </c>
      <c r="O6" s="168">
        <f>VLOOKUP(A6,'תפוקה מצטברת מול אשתקד'!A:O,11,0)</f>
        <v>202054.22</v>
      </c>
    </row>
    <row r="7" spans="1:16" ht="16.5" thickBot="1" x14ac:dyDescent="0.3">
      <c r="A7" s="27" t="s">
        <v>34</v>
      </c>
      <c r="B7" s="27" t="s">
        <v>116</v>
      </c>
      <c r="C7" s="28" t="s">
        <v>58</v>
      </c>
      <c r="D7" s="71">
        <f>IF(L7=0,0%,IF(H7=0,100%,L7/H7-1))</f>
        <v>0</v>
      </c>
      <c r="E7" s="71">
        <f>IF(M7=0,0%,IF(I7=0,100%,M7/I7-1))</f>
        <v>0</v>
      </c>
      <c r="F7" s="71">
        <f>IF(N7=0,0%,IF(J7=0,100%,N7/J7-1))</f>
        <v>0</v>
      </c>
      <c r="G7" s="71">
        <f>IF(O7=0,0%,IF(K7=0,100%,O7/K7-1))</f>
        <v>0</v>
      </c>
      <c r="H7" s="12">
        <f>VLOOKUP(A7,[1]גיליון1!$A:$T,17,0)</f>
        <v>0</v>
      </c>
      <c r="I7" s="12">
        <f>VLOOKUP(A7,[1]גיליון1!$1:$1048576,18,0)</f>
        <v>0</v>
      </c>
      <c r="J7" s="12">
        <f>VLOOKUP(A7,[1]גיליון1!$1:$1048576,18,0)</f>
        <v>0</v>
      </c>
      <c r="K7" s="12">
        <f>VLOOKUP(A7,[1]גיליון1!$1:$1048576,18,0)</f>
        <v>0</v>
      </c>
      <c r="L7" s="69">
        <f>VLOOKUP(A7,'תפוקה מצטברת מול אשתקד'!A:O,8,0)</f>
        <v>0</v>
      </c>
      <c r="M7" s="72">
        <f>VLOOKUP(A7,'תפוקה מצטברת מול אשתקד'!A:O,9,0)</f>
        <v>0</v>
      </c>
      <c r="N7" s="72">
        <f>VLOOKUP(A7,'תפוקה מצטברת מול אשתקד'!A:O,10,0)</f>
        <v>0</v>
      </c>
      <c r="O7" s="72">
        <f>VLOOKUP(A7,'תפוקה מצטברת מול אשתקד'!A:O,11,0)</f>
        <v>0</v>
      </c>
    </row>
    <row r="8" spans="1:16" ht="21.75" thickBot="1" x14ac:dyDescent="0.3">
      <c r="A8" s="17" t="s">
        <v>3</v>
      </c>
      <c r="B8" s="67"/>
      <c r="C8" s="173"/>
      <c r="D8" s="174">
        <f t="shared" si="0"/>
        <v>-0.94208587117973508</v>
      </c>
      <c r="E8" s="174">
        <f t="shared" si="1"/>
        <v>-0.66864900756897083</v>
      </c>
      <c r="F8" s="174">
        <f t="shared" si="2"/>
        <v>1.6298353693193977</v>
      </c>
      <c r="G8" s="174">
        <f t="shared" si="3"/>
        <v>4.5678276923076933</v>
      </c>
      <c r="H8" s="218">
        <f>H6+H5+H4+H3</f>
        <v>19500000</v>
      </c>
      <c r="I8" s="218">
        <f t="shared" ref="I8:O8" si="4">I6+I5+I4+I3</f>
        <v>1300000</v>
      </c>
      <c r="J8" s="218">
        <f>SUM(J3:J7)</f>
        <v>1300000</v>
      </c>
      <c r="K8" s="218">
        <f>SUM(K3:K7)</f>
        <v>1300000</v>
      </c>
      <c r="L8" s="218">
        <f t="shared" si="4"/>
        <v>1129325.5119951663</v>
      </c>
      <c r="M8" s="218">
        <f t="shared" si="4"/>
        <v>430756.29016033781</v>
      </c>
      <c r="N8" s="218">
        <f>N6+N5+N4+N3</f>
        <v>3418785.9801152172</v>
      </c>
      <c r="O8" s="218">
        <f t="shared" si="4"/>
        <v>7238176.0000000009</v>
      </c>
    </row>
    <row r="9" spans="1:16" x14ac:dyDescent="0.25">
      <c r="A9" s="28" t="s">
        <v>4</v>
      </c>
      <c r="B9" s="28" t="s">
        <v>116</v>
      </c>
      <c r="C9" s="28" t="s">
        <v>114</v>
      </c>
      <c r="D9" s="169">
        <f t="shared" si="0"/>
        <v>1</v>
      </c>
      <c r="E9" s="169">
        <f t="shared" si="1"/>
        <v>0</v>
      </c>
      <c r="F9" s="169">
        <f t="shared" si="2"/>
        <v>0</v>
      </c>
      <c r="G9" s="169">
        <f t="shared" si="3"/>
        <v>1</v>
      </c>
      <c r="H9" s="167">
        <f>VLOOKUP(A9,[1]גיליון1!$1:$1048576,17,0)</f>
        <v>0</v>
      </c>
      <c r="I9" s="170">
        <f>VLOOKUP(A9,[2]גיליון1!$A:$T,18,0)</f>
        <v>0</v>
      </c>
      <c r="J9" s="170">
        <f>VLOOKUP(A9,[2]גיליון1!$A:$T,19,0)</f>
        <v>0</v>
      </c>
      <c r="K9" s="12">
        <f>VLOOKUP(A9,[1]גיליון1!$1:$1048576,18,0)</f>
        <v>0</v>
      </c>
      <c r="L9" s="171">
        <f>VLOOKUP(A9,'תפוקה מצטברת מול אשתקד'!A:O,8,0)</f>
        <v>3973.8196160619941</v>
      </c>
      <c r="M9" s="172">
        <f>VLOOKUP(A9,'תפוקה מצטברת מול אשתקד'!A:O,9,0)</f>
        <v>0</v>
      </c>
      <c r="N9" s="172">
        <f>VLOOKUP(A9,'תפוקה מצטברת מול אשתקד'!A:O,10,0)</f>
        <v>0</v>
      </c>
      <c r="O9" s="172">
        <f>VLOOKUP(A9,'תפוקה מצטברת מול אשתקד'!A:O,11,0)</f>
        <v>-133113.14000000001</v>
      </c>
    </row>
    <row r="10" spans="1:16" x14ac:dyDescent="0.25">
      <c r="A10" s="27" t="s">
        <v>5</v>
      </c>
      <c r="B10" s="27" t="s">
        <v>116</v>
      </c>
      <c r="C10" s="27" t="s">
        <v>114</v>
      </c>
      <c r="D10" s="71">
        <f t="shared" si="0"/>
        <v>-0.9836353915834356</v>
      </c>
      <c r="E10" s="71">
        <f t="shared" si="1"/>
        <v>-0.91209236508947522</v>
      </c>
      <c r="F10" s="71">
        <f t="shared" si="2"/>
        <v>-0.93402699999999994</v>
      </c>
      <c r="G10" s="71">
        <f t="shared" si="3"/>
        <v>-0.76864224999999997</v>
      </c>
      <c r="H10" s="167">
        <f>VLOOKUP(A10,[1]גיליון1!$1:$1048576,17,0)</f>
        <v>2500000</v>
      </c>
      <c r="I10" s="170">
        <f>VLOOKUP(A10,[2]גיליון1!$A:$T,18,0)</f>
        <v>1000000</v>
      </c>
      <c r="J10" s="170">
        <f>VLOOKUP(A10,[2]גיליון1!$A:$T,19,0)</f>
        <v>1000000</v>
      </c>
      <c r="K10" s="12">
        <f>VLOOKUP(A10,[1]גיליון1!$1:$1048576,18,0)</f>
        <v>1000000</v>
      </c>
      <c r="L10" s="69">
        <f>VLOOKUP(A10,'תפוקה מצטברת מול אשתקד'!A:O,8,0)</f>
        <v>40911.521041410881</v>
      </c>
      <c r="M10" s="72">
        <f>VLOOKUP(A10,'תפוקה מצטברת מול אשתקד'!A:O,9,0)</f>
        <v>87907.634910524765</v>
      </c>
      <c r="N10" s="72">
        <f>VLOOKUP(A10,'תפוקה מצטברת מול אשתקד'!A:O,10,0)</f>
        <v>65973</v>
      </c>
      <c r="O10" s="72">
        <f>VLOOKUP(A10,'תפוקה מצטברת מול אשתקד'!A:O,11,0)</f>
        <v>231357.75</v>
      </c>
    </row>
    <row r="11" spans="1:16" x14ac:dyDescent="0.25">
      <c r="A11" s="27" t="s">
        <v>6</v>
      </c>
      <c r="B11" s="27" t="s">
        <v>116</v>
      </c>
      <c r="C11" s="27" t="s">
        <v>114</v>
      </c>
      <c r="D11" s="71">
        <f t="shared" si="0"/>
        <v>-0.98164242000000002</v>
      </c>
      <c r="E11" s="71">
        <f t="shared" si="1"/>
        <v>-0.98995912891863336</v>
      </c>
      <c r="F11" s="71">
        <f t="shared" si="2"/>
        <v>-0.92</v>
      </c>
      <c r="G11" s="71">
        <f t="shared" si="3"/>
        <v>0</v>
      </c>
      <c r="H11" s="167">
        <f>VLOOKUP(A11,[1]גיליון1!$1:$1048576,17,0)</f>
        <v>500000</v>
      </c>
      <c r="I11" s="170">
        <f>VLOOKUP(A11,[2]גיליון1!$A:$T,18,0)</f>
        <v>100000</v>
      </c>
      <c r="J11" s="170">
        <f>VLOOKUP(A11,[2]גיליון1!$A:$T,19,0)</f>
        <v>1000000</v>
      </c>
      <c r="K11" s="12">
        <f>VLOOKUP(A11,[1]גיליון1!$1:$1048576,18,0)</f>
        <v>200000</v>
      </c>
      <c r="L11" s="69">
        <f>VLOOKUP(A11,'תפוקה מצטברת מול אשתקד'!A:O,8,0)</f>
        <v>9178.7900000000009</v>
      </c>
      <c r="M11" s="72">
        <f>VLOOKUP(A11,'תפוקה מצטברת מול אשתקד'!A:O,9,0)</f>
        <v>1004.087108136668</v>
      </c>
      <c r="N11" s="72">
        <f>VLOOKUP(A11,'תפוקה מצטברת מול אשתקד'!A:O,10,0)</f>
        <v>80000</v>
      </c>
      <c r="O11" s="72">
        <f>VLOOKUP(A11,'תפוקה מצטברת מול אשתקד'!A:O,11,0)</f>
        <v>0</v>
      </c>
    </row>
    <row r="12" spans="1:16" x14ac:dyDescent="0.25">
      <c r="A12" s="27" t="s">
        <v>7</v>
      </c>
      <c r="B12" s="27" t="s">
        <v>116</v>
      </c>
      <c r="C12" s="27" t="s">
        <v>114</v>
      </c>
      <c r="D12" s="71">
        <f t="shared" si="0"/>
        <v>0</v>
      </c>
      <c r="E12" s="71">
        <f t="shared" si="1"/>
        <v>1</v>
      </c>
      <c r="F12" s="71">
        <f t="shared" si="2"/>
        <v>0</v>
      </c>
      <c r="G12" s="71">
        <f t="shared" si="3"/>
        <v>0</v>
      </c>
      <c r="H12" s="167">
        <v>0</v>
      </c>
      <c r="I12" s="170">
        <v>0</v>
      </c>
      <c r="J12" s="170">
        <v>0</v>
      </c>
      <c r="K12" s="12">
        <f>VLOOKUP(A12,[1]גיליון1!$1:$1048576,18,0)</f>
        <v>0</v>
      </c>
      <c r="L12" s="69">
        <f>VLOOKUP(A12,'תפוקה מצטברת מול אשתקד'!A:O,8,0)</f>
        <v>0</v>
      </c>
      <c r="M12" s="72">
        <f>VLOOKUP(A12,'תפוקה מצטברת מול אשתקד'!A:O,9,0)</f>
        <v>55.61</v>
      </c>
      <c r="N12" s="72">
        <f>VLOOKUP(A12,'תפוקה מצטברת מול אשתקד'!A:O,10,0)</f>
        <v>0</v>
      </c>
      <c r="O12" s="72">
        <f>VLOOKUP(A12,'תפוקה מצטברת מול אשתקד'!A:O,11,0)</f>
        <v>0</v>
      </c>
    </row>
    <row r="13" spans="1:16" x14ac:dyDescent="0.25">
      <c r="A13" s="27" t="s">
        <v>8</v>
      </c>
      <c r="B13" s="27" t="s">
        <v>116</v>
      </c>
      <c r="C13" s="27" t="s">
        <v>114</v>
      </c>
      <c r="D13" s="71">
        <f t="shared" si="0"/>
        <v>0</v>
      </c>
      <c r="E13" s="71">
        <f t="shared" si="1"/>
        <v>-0.96814512608162273</v>
      </c>
      <c r="F13" s="71">
        <f t="shared" si="2"/>
        <v>0</v>
      </c>
      <c r="G13" s="71">
        <f t="shared" si="3"/>
        <v>0</v>
      </c>
      <c r="H13" s="167">
        <f>VLOOKUP(A13,[1]גיליון1!$1:$1048576,17,0)</f>
        <v>0</v>
      </c>
      <c r="I13" s="170">
        <f>VLOOKUP(A13,[2]גיליון1!$A:$T,18,0)</f>
        <v>450000</v>
      </c>
      <c r="J13" s="170">
        <f>VLOOKUP(A13,[2]גיליון1!$A:$T,19,0)</f>
        <v>0</v>
      </c>
      <c r="K13" s="12">
        <f>VLOOKUP(A13,[1]גיליון1!$1:$1048576,18,0)</f>
        <v>600000</v>
      </c>
      <c r="L13" s="69">
        <f>VLOOKUP(A13,'תפוקה מצטברת מול אשתקד'!A:O,8,0)</f>
        <v>0</v>
      </c>
      <c r="M13" s="72">
        <f>VLOOKUP(A13,'תפוקה מצטברת מול אשתקד'!A:O,9,0)</f>
        <v>14334.693263269754</v>
      </c>
      <c r="N13" s="72">
        <f>VLOOKUP(A13,'תפוקה מצטברת מול אשתקד'!A:O,10,0)</f>
        <v>0</v>
      </c>
      <c r="O13" s="72">
        <f>VLOOKUP(A13,'תפוקה מצטברת מול אשתקד'!A:O,11,0)</f>
        <v>0</v>
      </c>
    </row>
    <row r="14" spans="1:16" x14ac:dyDescent="0.25">
      <c r="A14" s="27" t="s">
        <v>9</v>
      </c>
      <c r="B14" s="27" t="s">
        <v>116</v>
      </c>
      <c r="C14" s="27" t="s">
        <v>114</v>
      </c>
      <c r="D14" s="71">
        <f t="shared" si="0"/>
        <v>0</v>
      </c>
      <c r="E14" s="71">
        <f t="shared" si="1"/>
        <v>-0.99837260000000005</v>
      </c>
      <c r="F14" s="71">
        <f t="shared" si="2"/>
        <v>-0.99085191885299995</v>
      </c>
      <c r="G14" s="71">
        <f t="shared" si="3"/>
        <v>0.97377460000000005</v>
      </c>
      <c r="H14" s="167">
        <f>VLOOKUP(A14,[1]גיליון1!$1:$1048576,17,0)</f>
        <v>300000</v>
      </c>
      <c r="I14" s="170">
        <f>VLOOKUP(A14,[2]גיליון1!$A:$T,18,0)</f>
        <v>150000</v>
      </c>
      <c r="J14" s="170">
        <f>VLOOKUP(A14,[2]גיליון1!$A:$T,19,0)</f>
        <v>10000000</v>
      </c>
      <c r="K14" s="12">
        <f>VLOOKUP(A14,[1]גיליון1!$1:$1048576,18,0)</f>
        <v>150000</v>
      </c>
      <c r="L14" s="69">
        <f>VLOOKUP(A14,'תפוקה מצטברת מול אשתקד'!A:O,8,0)</f>
        <v>0</v>
      </c>
      <c r="M14" s="72">
        <f>VLOOKUP(A14,'תפוקה מצטברת מול אשתקד'!A:O,9,0)</f>
        <v>244.11</v>
      </c>
      <c r="N14" s="72">
        <f>VLOOKUP(A14,'תפוקה מצטברת מול אשתקד'!A:O,10,0)</f>
        <v>91480.811470000001</v>
      </c>
      <c r="O14" s="72">
        <f>VLOOKUP(A14,'תפוקה מצטברת מול אשתקד'!A:O,11,0)</f>
        <v>296066.19</v>
      </c>
    </row>
    <row r="15" spans="1:16" ht="31.5" x14ac:dyDescent="0.25">
      <c r="A15" s="27" t="s">
        <v>31</v>
      </c>
      <c r="B15" s="27" t="s">
        <v>55</v>
      </c>
      <c r="C15" s="27" t="s">
        <v>114</v>
      </c>
      <c r="D15" s="71">
        <f t="shared" si="0"/>
        <v>0</v>
      </c>
      <c r="E15" s="71">
        <f t="shared" si="1"/>
        <v>0</v>
      </c>
      <c r="F15" s="71">
        <f t="shared" si="2"/>
        <v>1</v>
      </c>
      <c r="G15" s="71">
        <f t="shared" si="3"/>
        <v>0</v>
      </c>
      <c r="H15" s="167">
        <f>VLOOKUP(A15,[1]גיליון1!$1:$1048576,17,0)</f>
        <v>0</v>
      </c>
      <c r="I15" s="170">
        <f>VLOOKUP(A15,[2]גיליון1!$A:$T,18,0)</f>
        <v>0</v>
      </c>
      <c r="J15" s="170">
        <f>VLOOKUP(A15,[2]גיליון1!$A:$T,19,0)</f>
        <v>0</v>
      </c>
      <c r="K15" s="12">
        <f>VLOOKUP(A15,[1]גיליון1!$1:$1048576,18,0)</f>
        <v>0</v>
      </c>
      <c r="L15" s="69">
        <f>VLOOKUP(A15,'תפוקה מצטברת מול אשתקד'!A:O,8,0)</f>
        <v>0</v>
      </c>
      <c r="M15" s="72">
        <f>VLOOKUP(A15,'תפוקה מצטברת מול אשתקד'!A:O,9,0)</f>
        <v>0</v>
      </c>
      <c r="N15" s="72">
        <f>VLOOKUP(A15,'תפוקה מצטברת מול אשתקד'!A:O,10,0)</f>
        <v>214091.17</v>
      </c>
      <c r="O15" s="72">
        <f>VLOOKUP(A15,'תפוקה מצטברת מול אשתקד'!A:O,11,0)</f>
        <v>0</v>
      </c>
    </row>
    <row r="16" spans="1:16" customFormat="1" x14ac:dyDescent="0.25">
      <c r="A16" s="27" t="s">
        <v>104</v>
      </c>
      <c r="B16" s="27" t="s">
        <v>116</v>
      </c>
      <c r="C16" s="27" t="s">
        <v>114</v>
      </c>
      <c r="D16" s="71">
        <f t="shared" si="0"/>
        <v>0</v>
      </c>
      <c r="E16" s="71">
        <f t="shared" si="1"/>
        <v>1</v>
      </c>
      <c r="F16" s="71">
        <f t="shared" si="2"/>
        <v>1</v>
      </c>
      <c r="G16" s="71">
        <f t="shared" si="3"/>
        <v>0</v>
      </c>
      <c r="H16" s="167">
        <v>0</v>
      </c>
      <c r="I16" s="170">
        <v>0</v>
      </c>
      <c r="J16" s="170">
        <v>0</v>
      </c>
      <c r="K16" s="12">
        <f>VLOOKUP(A16,[1]גיליון1!$1:$1048576,18,0)</f>
        <v>0</v>
      </c>
      <c r="L16" s="69">
        <f>VLOOKUP(A16,'תפוקה מצטברת מול אשתקד'!A:O,8,0)</f>
        <v>0</v>
      </c>
      <c r="M16" s="72">
        <f>VLOOKUP(A16,'תפוקה מצטברת מול אשתקד'!A:O,9,0)</f>
        <v>10168.31055</v>
      </c>
      <c r="N16" s="72">
        <f>VLOOKUP(A16,'תפוקה מצטברת מול אשתקד'!A:O,10,0)</f>
        <v>5983.56</v>
      </c>
      <c r="O16" s="72">
        <f>VLOOKUP(A16,'תפוקה מצטברת מול אשתקד'!A:O,11,0)</f>
        <v>0</v>
      </c>
      <c r="P16" s="2"/>
    </row>
    <row r="17" spans="1:15" x14ac:dyDescent="0.25">
      <c r="A17" s="27" t="s">
        <v>42</v>
      </c>
      <c r="B17" s="27" t="s">
        <v>116</v>
      </c>
      <c r="C17" s="27" t="s">
        <v>114</v>
      </c>
      <c r="D17" s="71">
        <f t="shared" si="0"/>
        <v>-0.90972170817763243</v>
      </c>
      <c r="E17" s="71">
        <f t="shared" si="1"/>
        <v>-0.90511857264921058</v>
      </c>
      <c r="F17" s="71">
        <f t="shared" si="2"/>
        <v>-0.97915062750000004</v>
      </c>
      <c r="G17" s="71">
        <f t="shared" si="3"/>
        <v>0</v>
      </c>
      <c r="H17" s="167">
        <f>VLOOKUP(A17,[1]גיליון1!$1:$1048576,17,0)</f>
        <v>1500000</v>
      </c>
      <c r="I17" s="170">
        <f>VLOOKUP(A17,[2]גיליון1!$A:$T,18,0)</f>
        <v>600000</v>
      </c>
      <c r="J17" s="170">
        <f>VLOOKUP(A17,[2]גיליון1!$A:$T,19,0)</f>
        <v>12000000</v>
      </c>
      <c r="K17" s="12">
        <f>VLOOKUP(A17,[1]גיליון1!$1:$1048576,18,0)</f>
        <v>600000</v>
      </c>
      <c r="L17" s="69">
        <f>VLOOKUP(A17,'תפוקה מצטברת מול אשתקד'!A:O,8,0)</f>
        <v>135417.43773355137</v>
      </c>
      <c r="M17" s="72">
        <f>VLOOKUP(A17,'תפוקה מצטברת מול אשתקד'!A:O,9,0)</f>
        <v>56928.856410473643</v>
      </c>
      <c r="N17" s="72">
        <f>VLOOKUP(A17,'תפוקה מצטברת מול אשתקד'!A:O,10,0)</f>
        <v>250192.47</v>
      </c>
      <c r="O17" s="72">
        <f>VLOOKUP(A17,'תפוקה מצטברת מול אשתקד'!A:O,11,0)</f>
        <v>0</v>
      </c>
    </row>
    <row r="18" spans="1:15" x14ac:dyDescent="0.25">
      <c r="A18" s="27" t="s">
        <v>43</v>
      </c>
      <c r="B18" s="27" t="s">
        <v>116</v>
      </c>
      <c r="C18" s="27" t="s">
        <v>114</v>
      </c>
      <c r="D18" s="71">
        <f t="shared" si="0"/>
        <v>-0.94378192302540953</v>
      </c>
      <c r="E18" s="71">
        <f t="shared" si="1"/>
        <v>-0.69859323231536741</v>
      </c>
      <c r="F18" s="71">
        <f t="shared" si="2"/>
        <v>-0.98184234212771426</v>
      </c>
      <c r="G18" s="71">
        <f t="shared" si="3"/>
        <v>-0.9849806571428571</v>
      </c>
      <c r="H18" s="167">
        <f>VLOOKUP(A18,[1]גיליון1!$1:$1048576,17,0)</f>
        <v>3000000</v>
      </c>
      <c r="I18" s="170">
        <f>VLOOKUP(A18,[2]גיליון1!$A:$T,18,0)</f>
        <v>350000</v>
      </c>
      <c r="J18" s="170">
        <f>VLOOKUP(A18,[2]גיליון1!$A:$T,19,0)</f>
        <v>35000000</v>
      </c>
      <c r="K18" s="12">
        <f>VLOOKUP(A18,[1]גיליון1!$1:$1048576,18,0)</f>
        <v>350000</v>
      </c>
      <c r="L18" s="69">
        <f>VLOOKUP(A18,'תפוקה מצטברת מול אשתקד'!A:O,8,0)</f>
        <v>168654.23092377151</v>
      </c>
      <c r="M18" s="72">
        <f>VLOOKUP(A18,'תפוקה מצטברת מול אשתקד'!A:O,9,0)</f>
        <v>105492.36868962141</v>
      </c>
      <c r="N18" s="72">
        <f>VLOOKUP(A18,'תפוקה מצטברת מול אשתקד'!A:O,10,0)</f>
        <v>635518.02552999998</v>
      </c>
      <c r="O18" s="72">
        <f>VLOOKUP(A18,'תפוקה מצטברת מול אשתקד'!A:O,11,0)</f>
        <v>5256.77</v>
      </c>
    </row>
    <row r="19" spans="1:15" x14ac:dyDescent="0.25">
      <c r="A19" s="27" t="s">
        <v>30</v>
      </c>
      <c r="B19" s="27" t="s">
        <v>116</v>
      </c>
      <c r="C19" s="27" t="s">
        <v>114</v>
      </c>
      <c r="D19" s="71">
        <f t="shared" si="0"/>
        <v>1</v>
      </c>
      <c r="E19" s="71">
        <f t="shared" si="1"/>
        <v>0</v>
      </c>
      <c r="F19" s="71">
        <f t="shared" si="2"/>
        <v>0</v>
      </c>
      <c r="G19" s="71">
        <f t="shared" si="3"/>
        <v>0</v>
      </c>
      <c r="H19" s="167">
        <f>VLOOKUP(A19,[1]גיליון1!$1:$1048576,17,0)</f>
        <v>0</v>
      </c>
      <c r="I19" s="170">
        <f>VLOOKUP(A19,[2]גיליון1!$A:$T,18,0)</f>
        <v>0</v>
      </c>
      <c r="J19" s="170">
        <f>VLOOKUP(A19,[2]גיליון1!$A:$T,19,0)</f>
        <v>500000</v>
      </c>
      <c r="K19" s="12">
        <f>VLOOKUP(A19,[1]גיליון1!$1:$1048576,18,0)</f>
        <v>0</v>
      </c>
      <c r="L19" s="69">
        <f>VLOOKUP(A19,'תפוקה מצטברת מול אשתקד'!A:O,8,0)</f>
        <v>460.93</v>
      </c>
      <c r="M19" s="72">
        <f>VLOOKUP(A19,'תפוקה מצטברת מול אשתקד'!A:O,9,0)</f>
        <v>0</v>
      </c>
      <c r="N19" s="72">
        <f>VLOOKUP(A19,'תפוקה מצטברת מול אשתקד'!A:O,10,0)</f>
        <v>0</v>
      </c>
      <c r="O19" s="72">
        <f>VLOOKUP(A19,'תפוקה מצטברת מול אשתקד'!A:O,11,0)</f>
        <v>0</v>
      </c>
    </row>
    <row r="20" spans="1:15" ht="16.5" thickBot="1" x14ac:dyDescent="0.3">
      <c r="A20" s="29" t="s">
        <v>38</v>
      </c>
      <c r="B20" s="29" t="s">
        <v>116</v>
      </c>
      <c r="C20" s="29" t="s">
        <v>114</v>
      </c>
      <c r="D20" s="166">
        <f t="shared" si="0"/>
        <v>0</v>
      </c>
      <c r="E20" s="166">
        <f t="shared" si="1"/>
        <v>0</v>
      </c>
      <c r="F20" s="166">
        <f t="shared" si="2"/>
        <v>0</v>
      </c>
      <c r="G20" s="166">
        <f t="shared" si="3"/>
        <v>0</v>
      </c>
      <c r="H20" s="167">
        <v>0</v>
      </c>
      <c r="I20" s="170">
        <v>0</v>
      </c>
      <c r="J20" s="170">
        <v>0</v>
      </c>
      <c r="K20" s="12">
        <f>VLOOKUP(A20,[1]גיליון1!$1:$1048576,18,0)</f>
        <v>0</v>
      </c>
      <c r="L20" s="69">
        <f>VLOOKUP(A20,'תפוקה מצטברת מול אשתקד'!A:O,8,0)</f>
        <v>0</v>
      </c>
      <c r="M20" s="168">
        <f>VLOOKUP(A20,'תפוקה מצטברת מול אשתקד'!A:O,9,0)</f>
        <v>0</v>
      </c>
      <c r="N20" s="168">
        <f>VLOOKUP(A20,'תפוקה מצטברת מול אשתקד'!A:O,10,0)</f>
        <v>0</v>
      </c>
      <c r="O20" s="168">
        <f>VLOOKUP(A20,'תפוקה מצטברת מול אשתקד'!A:O,11,0)</f>
        <v>0</v>
      </c>
    </row>
    <row r="21" spans="1:15" ht="21.75" thickBot="1" x14ac:dyDescent="0.3">
      <c r="A21" s="17" t="s">
        <v>10</v>
      </c>
      <c r="B21" s="67"/>
      <c r="C21" s="173"/>
      <c r="D21" s="174">
        <f t="shared" si="0"/>
        <v>-0.95402606034425697</v>
      </c>
      <c r="E21" s="174">
        <f t="shared" si="1"/>
        <v>-0.89579786002565043</v>
      </c>
      <c r="F21" s="174">
        <f t="shared" si="2"/>
        <v>-0.97742455399999995</v>
      </c>
      <c r="G21" s="174">
        <f t="shared" si="3"/>
        <v>-0.86221807931034489</v>
      </c>
      <c r="H21" s="175">
        <f>H20+H19+H18+H17+H16+H15+H14+H13+H12+H11+H10+H9</f>
        <v>7800000</v>
      </c>
      <c r="I21" s="175">
        <f t="shared" ref="I21:O21" si="5">I20+I19+I18+I17+I16+I15+I14+I13+I12+I11+I10+I9</f>
        <v>2650000</v>
      </c>
      <c r="J21" s="175">
        <f t="shared" si="5"/>
        <v>59500000</v>
      </c>
      <c r="K21" s="175">
        <f t="shared" si="5"/>
        <v>2900000</v>
      </c>
      <c r="L21" s="175">
        <f t="shared" si="5"/>
        <v>358596.7293147957</v>
      </c>
      <c r="M21" s="175">
        <f t="shared" si="5"/>
        <v>276135.67093202623</v>
      </c>
      <c r="N21" s="175">
        <f t="shared" si="5"/>
        <v>1343239.037</v>
      </c>
      <c r="O21" s="175">
        <f t="shared" si="5"/>
        <v>399567.56999999995</v>
      </c>
    </row>
    <row r="22" spans="1:15" x14ac:dyDescent="0.25">
      <c r="A22" s="28" t="s">
        <v>11</v>
      </c>
      <c r="B22" s="28" t="s">
        <v>56</v>
      </c>
      <c r="C22" s="28" t="s">
        <v>115</v>
      </c>
      <c r="D22" s="169">
        <f t="shared" si="0"/>
        <v>0</v>
      </c>
      <c r="E22" s="169">
        <f t="shared" si="1"/>
        <v>-0.9890473528235294</v>
      </c>
      <c r="F22" s="169">
        <f t="shared" si="2"/>
        <v>-0.98646942536500004</v>
      </c>
      <c r="G22" s="169">
        <f t="shared" si="3"/>
        <v>0</v>
      </c>
      <c r="H22" s="170">
        <f>VLOOKUP(A22,[1]גיליון1!$1:$1048576,17,0)</f>
        <v>1600000</v>
      </c>
      <c r="I22" s="170">
        <f>VLOOKUP(A22,[1]גיליון1!$1:$1048576,18,0)</f>
        <v>170000</v>
      </c>
      <c r="J22" s="170">
        <f>VLOOKUP(A22,[2]גיליון1!$A:$T,19,0)</f>
        <v>2000000</v>
      </c>
      <c r="K22" s="12">
        <f>VLOOKUP(A22,[1]גיליון1!$1:$1048576,18,0)</f>
        <v>170000</v>
      </c>
      <c r="L22" s="171"/>
      <c r="M22" s="172">
        <f>VLOOKUP(A22,'תפוקה מצטברת מול אשתקד'!A:O,9,0)</f>
        <v>1861.9500200000002</v>
      </c>
      <c r="N22" s="172">
        <f>VLOOKUP(A22,'תפוקה מצטברת מול אשתקד'!A:O,10,0)</f>
        <v>27061.149270000002</v>
      </c>
      <c r="O22" s="172">
        <f>VLOOKUP(A22,'תפוקה מצטברת מול אשתקד'!A:O,11,0)</f>
        <v>0</v>
      </c>
    </row>
    <row r="23" spans="1:15" x14ac:dyDescent="0.25">
      <c r="A23" s="31" t="s">
        <v>12</v>
      </c>
      <c r="B23" s="27" t="s">
        <v>56</v>
      </c>
      <c r="C23" s="28" t="s">
        <v>115</v>
      </c>
      <c r="D23" s="71">
        <f t="shared" si="0"/>
        <v>0</v>
      </c>
      <c r="E23" s="71">
        <f t="shared" si="1"/>
        <v>1</v>
      </c>
      <c r="F23" s="71">
        <f t="shared" si="2"/>
        <v>-0.88631238695000003</v>
      </c>
      <c r="G23" s="71">
        <f t="shared" si="3"/>
        <v>0</v>
      </c>
      <c r="H23" s="170">
        <f>VLOOKUP(A23,[1]גיליון1!$1:$1048576,17,0)</f>
        <v>0</v>
      </c>
      <c r="I23" s="170">
        <f>VLOOKUP(A23,[1]גיליון1!$1:$1048576,18,0)</f>
        <v>0</v>
      </c>
      <c r="J23" s="170">
        <f>VLOOKUP(A23,[2]גיליון1!$A:$T,19,0)</f>
        <v>300000</v>
      </c>
      <c r="K23" s="12">
        <f>VLOOKUP(A23,[1]גיליון1!$1:$1048576,18,0)</f>
        <v>0</v>
      </c>
      <c r="L23" s="69"/>
      <c r="M23" s="72">
        <f>VLOOKUP(A23,'תפוקה מצטברת מול אשתקד'!A:O,9,0)</f>
        <v>4736.2215772980189</v>
      </c>
      <c r="N23" s="72">
        <f>VLOOKUP(A23,'תפוקה מצטברת מול אשתקד'!A:O,10,0)</f>
        <v>34106.283915</v>
      </c>
      <c r="O23" s="72">
        <f>VLOOKUP(A23,'תפוקה מצטברת מול אשתקד'!A:O,11,0)</f>
        <v>0</v>
      </c>
    </row>
    <row r="24" spans="1:15" x14ac:dyDescent="0.25">
      <c r="A24" s="31" t="s">
        <v>13</v>
      </c>
      <c r="B24" s="27" t="s">
        <v>56</v>
      </c>
      <c r="C24" s="28" t="s">
        <v>115</v>
      </c>
      <c r="D24" s="71">
        <f t="shared" si="0"/>
        <v>0</v>
      </c>
      <c r="E24" s="71">
        <f t="shared" si="1"/>
        <v>0</v>
      </c>
      <c r="F24" s="71">
        <f t="shared" si="2"/>
        <v>0</v>
      </c>
      <c r="G24" s="71">
        <f t="shared" si="3"/>
        <v>0</v>
      </c>
      <c r="H24" s="170">
        <f>VLOOKUP(A24,[1]גיליון1!$1:$1048576,17,0)</f>
        <v>100000</v>
      </c>
      <c r="I24" s="170">
        <f>VLOOKUP(A24,[1]גיליון1!$1:$1048576,18,0)</f>
        <v>50000</v>
      </c>
      <c r="J24" s="170">
        <f>VLOOKUP(A24,[2]גיליון1!$A:$T,19,0)</f>
        <v>200000</v>
      </c>
      <c r="K24" s="12">
        <f>VLOOKUP(A24,[1]גיליון1!$1:$1048576,18,0)</f>
        <v>50000</v>
      </c>
      <c r="L24" s="69"/>
      <c r="M24" s="72">
        <f>VLOOKUP(A24,'תפוקה מצטברת מול אשתקד'!A:O,9,0)</f>
        <v>0</v>
      </c>
      <c r="N24" s="72">
        <f>VLOOKUP(A24,'תפוקה מצטברת מול אשתקד'!A:O,10,0)</f>
        <v>0</v>
      </c>
      <c r="O24" s="72">
        <f>VLOOKUP(A24,'תפוקה מצטברת מול אשתקד'!A:O,11,0)</f>
        <v>0</v>
      </c>
    </row>
    <row r="25" spans="1:15" ht="31.5" x14ac:dyDescent="0.25">
      <c r="A25" s="27" t="s">
        <v>14</v>
      </c>
      <c r="B25" s="27" t="s">
        <v>55</v>
      </c>
      <c r="C25" s="28" t="s">
        <v>115</v>
      </c>
      <c r="D25" s="71">
        <f t="shared" si="0"/>
        <v>0</v>
      </c>
      <c r="E25" s="71">
        <f t="shared" si="1"/>
        <v>0</v>
      </c>
      <c r="F25" s="71">
        <f t="shared" si="2"/>
        <v>0</v>
      </c>
      <c r="G25" s="71">
        <f t="shared" si="3"/>
        <v>0</v>
      </c>
      <c r="H25" s="170">
        <v>0</v>
      </c>
      <c r="I25" s="170">
        <v>0</v>
      </c>
      <c r="J25" s="170">
        <v>0</v>
      </c>
      <c r="K25" s="12">
        <v>0</v>
      </c>
      <c r="L25" s="69"/>
      <c r="M25" s="72">
        <f>VLOOKUP(A25,'תפוקה מצטברת מול אשתקד'!A:O,9,0)</f>
        <v>0</v>
      </c>
      <c r="N25" s="72">
        <f>VLOOKUP(A25,'תפוקה מצטברת מול אשתקד'!A:O,10,0)</f>
        <v>0</v>
      </c>
      <c r="O25" s="72">
        <f>VLOOKUP(A25,'תפוקה מצטברת מול אשתקד'!A:O,11,0)</f>
        <v>0</v>
      </c>
    </row>
    <row r="26" spans="1:15" x14ac:dyDescent="0.25">
      <c r="A26" s="31" t="s">
        <v>15</v>
      </c>
      <c r="B26" s="27" t="s">
        <v>56</v>
      </c>
      <c r="C26" s="28" t="s">
        <v>115</v>
      </c>
      <c r="D26" s="71">
        <f t="shared" si="0"/>
        <v>0</v>
      </c>
      <c r="E26" s="71">
        <f t="shared" si="1"/>
        <v>-0.9854617</v>
      </c>
      <c r="F26" s="71">
        <f t="shared" si="2"/>
        <v>-0.98881865999999996</v>
      </c>
      <c r="G26" s="71">
        <f t="shared" si="3"/>
        <v>0</v>
      </c>
      <c r="H26" s="170">
        <f>VLOOKUP(A26,[1]גיליון1!$1:$1048576,17,0)</f>
        <v>2500000</v>
      </c>
      <c r="I26" s="170">
        <f>VLOOKUP(A26,[1]גיליון1!$1:$1048576,18,0)</f>
        <v>300000</v>
      </c>
      <c r="J26" s="170">
        <f>VLOOKUP(A26,[2]גיליון1!$A:$T,19,0)</f>
        <v>4000000</v>
      </c>
      <c r="K26" s="12">
        <f>VLOOKUP(A26,[1]גיליון1!$1:$1048576,18,0)</f>
        <v>300000</v>
      </c>
      <c r="L26" s="69"/>
      <c r="M26" s="72">
        <f>VLOOKUP(A26,'תפוקה מצטברת מול אשתקד'!A:O,9,0)</f>
        <v>4361.49</v>
      </c>
      <c r="N26" s="72">
        <f>VLOOKUP(A26,'תפוקה מצטברת מול אשתקד'!A:O,10,0)</f>
        <v>44725.36</v>
      </c>
      <c r="O26" s="72">
        <f>VLOOKUP(A26,'תפוקה מצטברת מול אשתקד'!A:O,11,0)</f>
        <v>0</v>
      </c>
    </row>
    <row r="27" spans="1:15" x14ac:dyDescent="0.25">
      <c r="A27" s="31" t="s">
        <v>17</v>
      </c>
      <c r="B27" s="27" t="s">
        <v>56</v>
      </c>
      <c r="C27" s="28" t="s">
        <v>115</v>
      </c>
      <c r="D27" s="71">
        <f t="shared" si="0"/>
        <v>-0.95260507446957987</v>
      </c>
      <c r="E27" s="71">
        <f t="shared" si="1"/>
        <v>-0.91437454389923067</v>
      </c>
      <c r="F27" s="71">
        <f t="shared" si="2"/>
        <v>-0.98204931528999995</v>
      </c>
      <c r="G27" s="71">
        <f t="shared" si="3"/>
        <v>0</v>
      </c>
      <c r="H27" s="170">
        <f>VLOOKUP(A27,[1]גיליון1!$1:$1048576,17,0)</f>
        <v>300000</v>
      </c>
      <c r="I27" s="170">
        <f>VLOOKUP(A27,[1]גיליון1!$1:$1048576,18,0)</f>
        <v>200000</v>
      </c>
      <c r="J27" s="170">
        <f>VLOOKUP(A27,[2]גיליון1!$A:$T,19,0)</f>
        <v>1000000</v>
      </c>
      <c r="K27" s="12">
        <f>VLOOKUP(A27,[1]גיליון1!$1:$1048576,18,0)</f>
        <v>200000</v>
      </c>
      <c r="L27" s="69">
        <f>VLOOKUP(A27,'תפוקה מצטברת מול אשתקד'!A:O,8,0)</f>
        <v>14218.47765912604</v>
      </c>
      <c r="M27" s="72">
        <f>VLOOKUP(A27,'תפוקה מצטברת מול אשתקד'!A:O,9,0)</f>
        <v>17125.091220153859</v>
      </c>
      <c r="N27" s="72">
        <f>VLOOKUP(A27,'תפוקה מצטברת מול אשתקד'!A:O,10,0)</f>
        <v>17950.684710000001</v>
      </c>
      <c r="O27" s="72">
        <f>VLOOKUP(A27,'תפוקה מצטברת מול אשתקד'!A:O,11,0)</f>
        <v>0</v>
      </c>
    </row>
    <row r="28" spans="1:15" x14ac:dyDescent="0.25">
      <c r="A28" s="31" t="s">
        <v>18</v>
      </c>
      <c r="B28" s="27" t="s">
        <v>56</v>
      </c>
      <c r="C28" s="28" t="s">
        <v>115</v>
      </c>
      <c r="D28" s="71">
        <f t="shared" si="0"/>
        <v>0</v>
      </c>
      <c r="E28" s="71">
        <f t="shared" si="1"/>
        <v>-0.95396623853333329</v>
      </c>
      <c r="F28" s="71">
        <f t="shared" si="2"/>
        <v>-0.97415647000000005</v>
      </c>
      <c r="G28" s="71">
        <f t="shared" si="3"/>
        <v>0</v>
      </c>
      <c r="H28" s="170">
        <f>VLOOKUP(A28,[1]גיליון1!$1:$1048576,17,0)</f>
        <v>300000</v>
      </c>
      <c r="I28" s="170">
        <f>VLOOKUP(A28,[1]גיליון1!$1:$1048576,18,0)</f>
        <v>150000</v>
      </c>
      <c r="J28" s="170">
        <f>VLOOKUP(A28,[2]גיליון1!$A:$T,19,0)</f>
        <v>1000000</v>
      </c>
      <c r="K28" s="12">
        <f>VLOOKUP(A28,[1]גיליון1!$1:$1048576,18,0)</f>
        <v>150000</v>
      </c>
      <c r="L28" s="69">
        <f>VLOOKUP(A28,'תפוקה מצטברת מול אשתקד'!A:O,8,0)</f>
        <v>0</v>
      </c>
      <c r="M28" s="72">
        <f>VLOOKUP(A28,'תפוקה מצטברת מול אשתקד'!A:O,9,0)</f>
        <v>6905.0642199999993</v>
      </c>
      <c r="N28" s="72">
        <f>VLOOKUP(A28,'תפוקה מצטברת מול אשתקד'!A:O,10,0)</f>
        <v>25843.53</v>
      </c>
      <c r="O28" s="72">
        <f>VLOOKUP(A28,'תפוקה מצטברת מול אשתקד'!A:O,11,0)</f>
        <v>0</v>
      </c>
    </row>
    <row r="29" spans="1:15" x14ac:dyDescent="0.25">
      <c r="A29" s="27" t="s">
        <v>19</v>
      </c>
      <c r="B29" s="27" t="s">
        <v>56</v>
      </c>
      <c r="C29" s="28" t="s">
        <v>115</v>
      </c>
      <c r="D29" s="71">
        <f t="shared" si="0"/>
        <v>-0.96433791232421362</v>
      </c>
      <c r="E29" s="71">
        <f t="shared" si="1"/>
        <v>-0.87307689069999994</v>
      </c>
      <c r="F29" s="71">
        <f t="shared" si="2"/>
        <v>-0.89799903711499995</v>
      </c>
      <c r="G29" s="71">
        <f t="shared" si="3"/>
        <v>0.27731046666666681</v>
      </c>
      <c r="H29" s="170">
        <f>VLOOKUP(A29,[1]גיליון1!$1:$1048576,17,0)</f>
        <v>1750000</v>
      </c>
      <c r="I29" s="170">
        <f>VLOOKUP(A29,[1]גיליון1!$1:$1048576,18,0)</f>
        <v>150000</v>
      </c>
      <c r="J29" s="170">
        <f>VLOOKUP(A29,[2]גיליון1!$A:$T,19,0)</f>
        <v>2000000</v>
      </c>
      <c r="K29" s="12">
        <f>VLOOKUP(A29,[1]גיליון1!$1:$1048576,18,0)</f>
        <v>150000</v>
      </c>
      <c r="L29" s="69">
        <f>VLOOKUP(A29,'תפוקה מצטברת מול אשתקד'!A:O,8,0)</f>
        <v>62408.65343262611</v>
      </c>
      <c r="M29" s="72">
        <f>VLOOKUP(A29,'תפוקה מצטברת מול אשתקד'!A:O,9,0)</f>
        <v>19038.466394999999</v>
      </c>
      <c r="N29" s="72">
        <f>VLOOKUP(A29,'תפוקה מצטברת מול אשתקד'!A:O,10,0)</f>
        <v>204001.92577</v>
      </c>
      <c r="O29" s="72">
        <f>VLOOKUP(A29,'תפוקה מצטברת מול אשתקד'!A:O,11,0)</f>
        <v>191596.57</v>
      </c>
    </row>
    <row r="30" spans="1:15" x14ac:dyDescent="0.25">
      <c r="A30" s="27" t="s">
        <v>20</v>
      </c>
      <c r="B30" s="27" t="s">
        <v>56</v>
      </c>
      <c r="C30" s="28" t="s">
        <v>115</v>
      </c>
      <c r="D30" s="71">
        <f t="shared" si="0"/>
        <v>-0.94086244215000003</v>
      </c>
      <c r="E30" s="71">
        <f t="shared" si="1"/>
        <v>-0.87813524534178922</v>
      </c>
      <c r="F30" s="71">
        <f t="shared" si="2"/>
        <v>-0.96574187216999996</v>
      </c>
      <c r="G30" s="71">
        <f t="shared" si="3"/>
        <v>2.3264489999999998</v>
      </c>
      <c r="H30" s="170">
        <f>VLOOKUP(A30,[1]גיליון1!$1:$1048576,17,0)</f>
        <v>1000000</v>
      </c>
      <c r="I30" s="170">
        <f>VLOOKUP(A30,[1]גיליון1!$1:$1048576,18,0)</f>
        <v>200000</v>
      </c>
      <c r="J30" s="170">
        <f>VLOOKUP(A30,[2]גיליון1!$A:$T,19,0)</f>
        <v>4000000</v>
      </c>
      <c r="K30" s="12">
        <f>VLOOKUP(A30,[1]גיליון1!$1:$1048576,18,0)</f>
        <v>200000</v>
      </c>
      <c r="L30" s="69">
        <f>VLOOKUP(A30,'תפוקה מצטברת מול אשתקד'!A:O,8,0)</f>
        <v>59137.557849999997</v>
      </c>
      <c r="M30" s="72">
        <f>VLOOKUP(A30,'תפוקה מצטברת מול אשתקד'!A:O,9,0)</f>
        <v>24372.950931642165</v>
      </c>
      <c r="N30" s="72">
        <f>VLOOKUP(A30,'תפוקה מצטברת מול אשתקד'!A:O,10,0)</f>
        <v>137032.51131999996</v>
      </c>
      <c r="O30" s="72">
        <f>VLOOKUP(A30,'תפוקה מצטברת מול אשתקד'!A:O,11,0)</f>
        <v>665289.79999999993</v>
      </c>
    </row>
    <row r="31" spans="1:15" x14ac:dyDescent="0.25">
      <c r="A31" s="27" t="s">
        <v>21</v>
      </c>
      <c r="B31" s="27" t="s">
        <v>56</v>
      </c>
      <c r="C31" s="28" t="s">
        <v>115</v>
      </c>
      <c r="D31" s="71">
        <f t="shared" si="0"/>
        <v>1</v>
      </c>
      <c r="E31" s="71">
        <f t="shared" si="1"/>
        <v>1</v>
      </c>
      <c r="F31" s="71">
        <f t="shared" si="2"/>
        <v>0</v>
      </c>
      <c r="G31" s="71">
        <f t="shared" si="3"/>
        <v>0</v>
      </c>
      <c r="H31" s="170">
        <f>VLOOKUP(A31,[1]גיליון1!$1:$1048576,17,0)</f>
        <v>0</v>
      </c>
      <c r="I31" s="170">
        <f>VLOOKUP(A31,[1]גיליון1!$1:$1048576,18,0)</f>
        <v>0</v>
      </c>
      <c r="J31" s="170">
        <f>VLOOKUP(A31,[2]גיליון1!$A:$T,19,0)</f>
        <v>0</v>
      </c>
      <c r="K31" s="12">
        <f>VLOOKUP(A31,[1]גיליון1!$1:$1048576,18,0)</f>
        <v>0</v>
      </c>
      <c r="L31" s="69">
        <f>VLOOKUP(A31,'תפוקה מצטברת מול אשתקד'!A:O,8,0)</f>
        <v>4487.67</v>
      </c>
      <c r="M31" s="72">
        <f>VLOOKUP(A31,'תפוקה מצטברת מול אשתקד'!A:O,9,0)</f>
        <v>9.56</v>
      </c>
      <c r="N31" s="72">
        <f>VLOOKUP(A31,'תפוקה מצטברת מול אשתקד'!A:O,10,0)</f>
        <v>0</v>
      </c>
      <c r="O31" s="72">
        <f>VLOOKUP(A31,'תפוקה מצטברת מול אשתקד'!A:O,11,0)</f>
        <v>0</v>
      </c>
    </row>
    <row r="32" spans="1:15" x14ac:dyDescent="0.25">
      <c r="A32" s="27" t="s">
        <v>22</v>
      </c>
      <c r="B32" s="27" t="s">
        <v>56</v>
      </c>
      <c r="C32" s="28" t="s">
        <v>115</v>
      </c>
      <c r="D32" s="71">
        <f t="shared" si="0"/>
        <v>0</v>
      </c>
      <c r="E32" s="71">
        <f t="shared" si="1"/>
        <v>0</v>
      </c>
      <c r="F32" s="71">
        <f t="shared" si="2"/>
        <v>0</v>
      </c>
      <c r="G32" s="71">
        <f t="shared" si="3"/>
        <v>0</v>
      </c>
      <c r="H32" s="170">
        <f>VLOOKUP(A32,[1]גיליון1!$1:$1048576,17,0)</f>
        <v>0</v>
      </c>
      <c r="I32" s="170">
        <f>VLOOKUP(A32,[1]גיליון1!$1:$1048576,18,0)</f>
        <v>0</v>
      </c>
      <c r="J32" s="170">
        <f>VLOOKUP(A32,[2]גיליון1!$A:$T,19,0)</f>
        <v>500000</v>
      </c>
      <c r="K32" s="12">
        <f>VLOOKUP(A32,[1]גיליון1!$1:$1048576,18,0)</f>
        <v>0</v>
      </c>
      <c r="L32" s="69">
        <f>VLOOKUP(A32,'תפוקה מצטברת מול אשתקד'!A:O,8,0)</f>
        <v>0</v>
      </c>
      <c r="M32" s="72">
        <f>VLOOKUP(A32,'תפוקה מצטברת מול אשתקד'!A:O,9,0)</f>
        <v>0</v>
      </c>
      <c r="N32" s="72">
        <f>VLOOKUP(A32,'תפוקה מצטברת מול אשתקד'!A:O,10,0)</f>
        <v>0</v>
      </c>
      <c r="O32" s="72">
        <f>VLOOKUP(A32,'תפוקה מצטברת מול אשתקד'!A:O,11,0)</f>
        <v>0</v>
      </c>
    </row>
    <row r="33" spans="1:15" x14ac:dyDescent="0.25">
      <c r="A33" s="27" t="s">
        <v>23</v>
      </c>
      <c r="B33" s="27" t="s">
        <v>56</v>
      </c>
      <c r="C33" s="28" t="s">
        <v>115</v>
      </c>
      <c r="D33" s="71">
        <f t="shared" si="0"/>
        <v>0</v>
      </c>
      <c r="E33" s="71">
        <f t="shared" si="1"/>
        <v>0</v>
      </c>
      <c r="F33" s="71">
        <f t="shared" si="2"/>
        <v>0</v>
      </c>
      <c r="G33" s="71">
        <f t="shared" si="3"/>
        <v>0</v>
      </c>
      <c r="H33" s="170">
        <f>VLOOKUP(A33,[1]גיליון1!$1:$1048576,17,0)</f>
        <v>933000000</v>
      </c>
      <c r="I33" s="170">
        <f>VLOOKUP(A33,[1]גיליון1!$1:$1048576,18,0)</f>
        <v>0</v>
      </c>
      <c r="J33" s="170">
        <f>VLOOKUP(A33,[2]גיליון1!$A:$T,19,0)</f>
        <v>0</v>
      </c>
      <c r="K33" s="12">
        <f>VLOOKUP(A33,[1]גיליון1!$1:$1048576,18,0)</f>
        <v>0</v>
      </c>
      <c r="L33" s="69">
        <f>VLOOKUP(A33,'תפוקה מצטברת מול אשתקד'!A:O,8,0)</f>
        <v>0</v>
      </c>
      <c r="M33" s="72">
        <f>VLOOKUP(A33,'תפוקה מצטברת מול אשתקד'!A:O,9,0)</f>
        <v>0</v>
      </c>
      <c r="N33" s="72">
        <f>VLOOKUP(A33,'תפוקה מצטברת מול אשתקד'!A:O,10,0)</f>
        <v>0</v>
      </c>
      <c r="O33" s="72">
        <f>VLOOKUP(A33,'תפוקה מצטברת מול אשתקד'!A:O,11,0)</f>
        <v>0</v>
      </c>
    </row>
    <row r="34" spans="1:15" x14ac:dyDescent="0.25">
      <c r="A34" s="27" t="s">
        <v>24</v>
      </c>
      <c r="B34" s="27" t="s">
        <v>56</v>
      </c>
      <c r="C34" s="28" t="s">
        <v>115</v>
      </c>
      <c r="D34" s="71">
        <f t="shared" si="0"/>
        <v>0</v>
      </c>
      <c r="E34" s="71">
        <f t="shared" si="1"/>
        <v>1</v>
      </c>
      <c r="F34" s="71">
        <f t="shared" si="2"/>
        <v>0</v>
      </c>
      <c r="G34" s="71">
        <f t="shared" si="3"/>
        <v>0</v>
      </c>
      <c r="H34" s="170">
        <f>VLOOKUP(A34,[1]גיליון1!$1:$1048576,17,0)</f>
        <v>0</v>
      </c>
      <c r="I34" s="170">
        <f>VLOOKUP(A34,[1]גיליון1!$1:$1048576,18,0)</f>
        <v>0</v>
      </c>
      <c r="J34" s="170">
        <f>VLOOKUP(A34,[2]גיליון1!$A:$T,19,0)</f>
        <v>0</v>
      </c>
      <c r="K34" s="12">
        <f>VLOOKUP(A34,[1]גיליון1!$1:$1048576,18,0)</f>
        <v>0</v>
      </c>
      <c r="L34" s="69">
        <f>VLOOKUP(A34,'תפוקה מצטברת מול אשתקד'!A:O,8,0)</f>
        <v>0</v>
      </c>
      <c r="M34" s="72">
        <f>VLOOKUP(A34,'תפוקה מצטברת מול אשתקד'!A:O,9,0)</f>
        <v>3036.31</v>
      </c>
      <c r="N34" s="72">
        <f>VLOOKUP(A34,'תפוקה מצטברת מול אשתקד'!A:O,10,0)</f>
        <v>0</v>
      </c>
      <c r="O34" s="72">
        <f>VLOOKUP(A34,'תפוקה מצטברת מול אשתקד'!A:O,11,0)</f>
        <v>0</v>
      </c>
    </row>
    <row r="35" spans="1:15" x14ac:dyDescent="0.25">
      <c r="A35" s="31" t="s">
        <v>25</v>
      </c>
      <c r="B35" s="27" t="s">
        <v>56</v>
      </c>
      <c r="C35" s="28" t="s">
        <v>115</v>
      </c>
      <c r="D35" s="71">
        <f t="shared" si="0"/>
        <v>-0.91398005088633405</v>
      </c>
      <c r="E35" s="71">
        <f t="shared" si="1"/>
        <v>-0.97718425518171814</v>
      </c>
      <c r="F35" s="71">
        <f t="shared" si="2"/>
        <v>-0.93733539462205007</v>
      </c>
      <c r="G35" s="71">
        <f t="shared" si="3"/>
        <v>0</v>
      </c>
      <c r="H35" s="170">
        <f>VLOOKUP(A35,[1]גיליון1!$1:$1048576,17,0)</f>
        <v>2500000</v>
      </c>
      <c r="I35" s="170">
        <f>VLOOKUP(A35,[1]גיליון1!$1:$1048576,18,0)</f>
        <v>450000</v>
      </c>
      <c r="J35" s="170">
        <f>VLOOKUP(A35,[2]גיליון1!$A:$T,19,0)</f>
        <v>12000000</v>
      </c>
      <c r="K35" s="12">
        <f>VLOOKUP(A35,[1]גיליון1!$1:$1048576,18,0)</f>
        <v>450000</v>
      </c>
      <c r="L35" s="69">
        <f>VLOOKUP(A35,'תפוקה מצטברת מול אשתקד'!A:O,8,0)</f>
        <v>215049.87278416491</v>
      </c>
      <c r="M35" s="72">
        <f>VLOOKUP(A35,'תפוקה מצטברת מול אשתקד'!A:O,9,0)</f>
        <v>10267.085168226842</v>
      </c>
      <c r="N35" s="72">
        <f>VLOOKUP(A35,'תפוקה מצטברת מול אשתקד'!A:O,10,0)</f>
        <v>751975.2645353988</v>
      </c>
      <c r="O35" s="72">
        <f>VLOOKUP(A35,'תפוקה מצטברת מול אשתקד'!A:O,11,0)</f>
        <v>0</v>
      </c>
    </row>
    <row r="36" spans="1:15" x14ac:dyDescent="0.25">
      <c r="A36" s="27" t="s">
        <v>26</v>
      </c>
      <c r="B36" s="27" t="s">
        <v>56</v>
      </c>
      <c r="C36" s="28" t="s">
        <v>115</v>
      </c>
      <c r="D36" s="71">
        <f t="shared" si="0"/>
        <v>0</v>
      </c>
      <c r="E36" s="71">
        <f t="shared" si="1"/>
        <v>0</v>
      </c>
      <c r="F36" s="71">
        <f t="shared" si="2"/>
        <v>0</v>
      </c>
      <c r="G36" s="71">
        <f t="shared" si="3"/>
        <v>0</v>
      </c>
      <c r="H36" s="170">
        <f>VLOOKUP(A36,[1]גיליון1!$1:$1048576,17,0)</f>
        <v>0</v>
      </c>
      <c r="I36" s="170">
        <f>VLOOKUP(A36,[1]גיליון1!$1:$1048576,18,0)</f>
        <v>0</v>
      </c>
      <c r="J36" s="170">
        <f>VLOOKUP(A36,[2]גיליון1!$A:$T,19,0)</f>
        <v>100000</v>
      </c>
      <c r="K36" s="12">
        <f>VLOOKUP(A36,[1]גיליון1!$1:$1048576,18,0)</f>
        <v>0</v>
      </c>
      <c r="L36" s="69">
        <f>VLOOKUP(A36,'תפוקה מצטברת מול אשתקד'!A:O,8,0)</f>
        <v>0</v>
      </c>
      <c r="M36" s="72">
        <f>VLOOKUP(A36,'תפוקה מצטברת מול אשתקד'!A:O,9,0)</f>
        <v>0</v>
      </c>
      <c r="N36" s="72">
        <f>VLOOKUP(A36,'תפוקה מצטברת מול אשתקד'!A:O,10,0)</f>
        <v>0</v>
      </c>
      <c r="O36" s="72">
        <f>VLOOKUP(A36,'תפוקה מצטברת מול אשתקד'!A:O,11,0)</f>
        <v>0</v>
      </c>
    </row>
    <row r="37" spans="1:15" x14ac:dyDescent="0.25">
      <c r="A37" s="27" t="s">
        <v>27</v>
      </c>
      <c r="B37" s="27" t="s">
        <v>56</v>
      </c>
      <c r="C37" s="28" t="s">
        <v>115</v>
      </c>
      <c r="D37" s="71">
        <f t="shared" si="0"/>
        <v>0</v>
      </c>
      <c r="E37" s="71">
        <f t="shared" si="1"/>
        <v>1</v>
      </c>
      <c r="F37" s="71">
        <f t="shared" si="2"/>
        <v>1</v>
      </c>
      <c r="G37" s="71">
        <f t="shared" si="3"/>
        <v>1</v>
      </c>
      <c r="H37" s="170">
        <f>VLOOKUP(A37,[1]גיליון1!$1:$1048576,17,0)</f>
        <v>0</v>
      </c>
      <c r="I37" s="170">
        <f>VLOOKUP(A37,[1]גיליון1!$1:$1048576,18,0)</f>
        <v>0</v>
      </c>
      <c r="J37" s="170">
        <f>VLOOKUP(A37,[2]גיליון1!$A:$T,19,0)</f>
        <v>0</v>
      </c>
      <c r="K37" s="12">
        <f>VLOOKUP(A37,[1]גיליון1!$1:$1048576,18,0)</f>
        <v>0</v>
      </c>
      <c r="L37" s="69">
        <f>VLOOKUP(A37,'תפוקה מצטברת מול אשתקד'!A:O,8,0)</f>
        <v>0</v>
      </c>
      <c r="M37" s="72">
        <f>VLOOKUP(A37,'תפוקה מצטברת מול אשתקד'!A:O,9,0)</f>
        <v>-851.7</v>
      </c>
      <c r="N37" s="72">
        <f>VLOOKUP(A37,'תפוקה מצטברת מול אשתקד'!A:O,10,0)</f>
        <v>11000</v>
      </c>
      <c r="O37" s="72">
        <f>VLOOKUP(A37,'תפוקה מצטברת מול אשתקד'!A:O,11,0)</f>
        <v>-224014.96</v>
      </c>
    </row>
    <row r="38" spans="1:15" x14ac:dyDescent="0.25">
      <c r="A38" s="27" t="s">
        <v>28</v>
      </c>
      <c r="B38" s="27" t="s">
        <v>56</v>
      </c>
      <c r="C38" s="28" t="s">
        <v>115</v>
      </c>
      <c r="D38" s="71">
        <f t="shared" si="0"/>
        <v>0</v>
      </c>
      <c r="E38" s="71">
        <f t="shared" si="1"/>
        <v>0</v>
      </c>
      <c r="F38" s="71">
        <f t="shared" si="2"/>
        <v>0</v>
      </c>
      <c r="G38" s="71">
        <f t="shared" si="3"/>
        <v>0</v>
      </c>
      <c r="H38" s="170">
        <f>VLOOKUP(A38,[1]גיליון1!$1:$1048576,17,0)</f>
        <v>0</v>
      </c>
      <c r="I38" s="170">
        <f>VLOOKUP(A38,[1]גיליון1!$1:$1048576,18,0)</f>
        <v>0</v>
      </c>
      <c r="J38" s="170">
        <f>VLOOKUP(A38,[2]גיליון1!$A:$T,19,0)</f>
        <v>0</v>
      </c>
      <c r="K38" s="12">
        <f>VLOOKUP(A38,[1]גיליון1!$1:$1048576,18,0)</f>
        <v>0</v>
      </c>
      <c r="L38" s="69">
        <f>VLOOKUP(A38,'תפוקה מצטברת מול אשתקד'!A:O,8,0)</f>
        <v>0</v>
      </c>
      <c r="M38" s="72">
        <f>VLOOKUP(A38,'תפוקה מצטברת מול אשתקד'!A:O,9,0)</f>
        <v>0</v>
      </c>
      <c r="N38" s="72">
        <f>VLOOKUP(A38,'תפוקה מצטברת מול אשתקד'!A:O,10,0)</f>
        <v>0</v>
      </c>
      <c r="O38" s="72">
        <f>VLOOKUP(A38,'תפוקה מצטברת מול אשתקד'!A:O,11,0)</f>
        <v>0</v>
      </c>
    </row>
    <row r="39" spans="1:15" x14ac:dyDescent="0.25">
      <c r="A39" s="27" t="s">
        <v>29</v>
      </c>
      <c r="B39" s="27" t="s">
        <v>56</v>
      </c>
      <c r="C39" s="28" t="s">
        <v>115</v>
      </c>
      <c r="D39" s="71">
        <f t="shared" si="0"/>
        <v>1</v>
      </c>
      <c r="E39" s="71">
        <f t="shared" si="1"/>
        <v>0</v>
      </c>
      <c r="F39" s="71">
        <f t="shared" si="2"/>
        <v>1</v>
      </c>
      <c r="G39" s="71">
        <f t="shared" si="3"/>
        <v>0</v>
      </c>
      <c r="H39" s="170">
        <f>VLOOKUP(A39,[1]גיליון1!$1:$1048576,17,0)</f>
        <v>0</v>
      </c>
      <c r="I39" s="170">
        <f>VLOOKUP(A39,[1]גיליון1!$1:$1048576,18,0)</f>
        <v>10000</v>
      </c>
      <c r="J39" s="170">
        <f>VLOOKUP(A39,[2]גיליון1!$A:$T,19,0)</f>
        <v>0</v>
      </c>
      <c r="K39" s="12">
        <f>VLOOKUP(A39,[1]גיליון1!$1:$1048576,18,0)</f>
        <v>10000</v>
      </c>
      <c r="L39" s="69">
        <f>VLOOKUP(A39,'תפוקה מצטברת מול אשתקד'!A:O,8,0)</f>
        <v>6810.26</v>
      </c>
      <c r="M39" s="72">
        <f>VLOOKUP(A39,'תפוקה מצטברת מול אשתקד'!A:O,9,0)</f>
        <v>0</v>
      </c>
      <c r="N39" s="72">
        <f>VLOOKUP(A39,'תפוקה מצטברת מול אשתקד'!A:O,10,0)</f>
        <v>247379.26</v>
      </c>
      <c r="O39" s="72">
        <f>VLOOKUP(A39,'תפוקה מצטברת מול אשתקד'!A:O,11,0)</f>
        <v>0</v>
      </c>
    </row>
    <row r="40" spans="1:15" ht="31.5" x14ac:dyDescent="0.25">
      <c r="A40" s="27" t="s">
        <v>106</v>
      </c>
      <c r="B40" s="27" t="s">
        <v>55</v>
      </c>
      <c r="C40" s="28" t="s">
        <v>115</v>
      </c>
      <c r="D40" s="71">
        <f t="shared" si="0"/>
        <v>0</v>
      </c>
      <c r="E40" s="71">
        <f t="shared" si="1"/>
        <v>0</v>
      </c>
      <c r="F40" s="71">
        <f t="shared" si="2"/>
        <v>0</v>
      </c>
      <c r="G40" s="71">
        <f t="shared" si="3"/>
        <v>0</v>
      </c>
      <c r="H40" s="170">
        <v>0</v>
      </c>
      <c r="I40" s="170">
        <v>0</v>
      </c>
      <c r="J40" s="170">
        <v>0</v>
      </c>
      <c r="K40" s="12">
        <v>0</v>
      </c>
      <c r="L40" s="69">
        <f>VLOOKUP(A40,'תפוקה מצטברת מול אשתקד'!A:O,8,0)</f>
        <v>0</v>
      </c>
      <c r="M40" s="72">
        <f>VLOOKUP(A40,'תפוקה מצטברת מול אשתקד'!A:O,9,0)</f>
        <v>0</v>
      </c>
      <c r="N40" s="72">
        <f>VLOOKUP(A40,'תפוקה מצטברת מול אשתקד'!A:O,10,0)</f>
        <v>0</v>
      </c>
      <c r="O40" s="72">
        <f>VLOOKUP(A40,'תפוקה מצטברת מול אשתקד'!A:O,11,0)</f>
        <v>0</v>
      </c>
    </row>
    <row r="41" spans="1:15" ht="31.5" x14ac:dyDescent="0.25">
      <c r="A41" s="27" t="s">
        <v>32</v>
      </c>
      <c r="B41" s="27" t="s">
        <v>55</v>
      </c>
      <c r="C41" s="28" t="s">
        <v>115</v>
      </c>
      <c r="D41" s="71">
        <f t="shared" si="0"/>
        <v>0</v>
      </c>
      <c r="E41" s="71">
        <f t="shared" si="1"/>
        <v>0</v>
      </c>
      <c r="F41" s="71">
        <f t="shared" si="2"/>
        <v>0</v>
      </c>
      <c r="G41" s="71">
        <f t="shared" si="3"/>
        <v>0</v>
      </c>
      <c r="H41" s="170">
        <f>VLOOKUP(A41,[1]גיליון1!$1:$1048576,17,0)</f>
        <v>0</v>
      </c>
      <c r="I41" s="170">
        <f>VLOOKUP(A41,[1]גיליון1!$1:$1048576,18,0)</f>
        <v>0</v>
      </c>
      <c r="J41" s="170">
        <v>0</v>
      </c>
      <c r="K41" s="12">
        <f>VLOOKUP(A41,[1]גיליון1!$1:$1048576,18,0)</f>
        <v>0</v>
      </c>
      <c r="L41" s="69">
        <f>VLOOKUP(A41,'תפוקה מצטברת מול אשתקד'!A:O,8,0)</f>
        <v>0</v>
      </c>
      <c r="M41" s="72">
        <f>VLOOKUP(A41,'תפוקה מצטברת מול אשתקד'!A:O,9,0)</f>
        <v>0</v>
      </c>
      <c r="N41" s="72">
        <f>VLOOKUP(A41,'תפוקה מצטברת מול אשתקד'!A:O,10,0)</f>
        <v>0</v>
      </c>
      <c r="O41" s="72">
        <f>VLOOKUP(A41,'תפוקה מצטברת מול אשתקד'!A:O,11,0)</f>
        <v>0</v>
      </c>
    </row>
    <row r="42" spans="1:15" x14ac:dyDescent="0.25">
      <c r="A42" s="31" t="s">
        <v>103</v>
      </c>
      <c r="B42" s="27" t="s">
        <v>56</v>
      </c>
      <c r="C42" s="28" t="s">
        <v>115</v>
      </c>
      <c r="D42" s="71">
        <f t="shared" si="0"/>
        <v>1</v>
      </c>
      <c r="E42" s="71">
        <f t="shared" si="1"/>
        <v>1</v>
      </c>
      <c r="F42" s="71">
        <f t="shared" si="2"/>
        <v>1</v>
      </c>
      <c r="G42" s="71">
        <f t="shared" si="3"/>
        <v>0</v>
      </c>
      <c r="H42" s="170">
        <v>0</v>
      </c>
      <c r="I42" s="170">
        <v>0</v>
      </c>
      <c r="J42" s="170">
        <v>0</v>
      </c>
      <c r="K42" s="12">
        <v>0</v>
      </c>
      <c r="L42" s="69">
        <f>VLOOKUP(A42,'תפוקה מצטברת מול אשתקד'!A:O,8,0)</f>
        <v>72900.522169966949</v>
      </c>
      <c r="M42" s="72">
        <f>VLOOKUP(A42,'תפוקה מצטברת מול אשתקד'!A:O,9,0)</f>
        <v>8283.3460734040382</v>
      </c>
      <c r="N42" s="72">
        <f>VLOOKUP(A42,'תפוקה מצטברת מול אשתקד'!A:O,10,0)</f>
        <v>29805.934860159578</v>
      </c>
      <c r="O42" s="72">
        <f>VLOOKUP(A42,'תפוקה מצטברת מול אשתקד'!A:O,11,0)</f>
        <v>0</v>
      </c>
    </row>
    <row r="43" spans="1:15" x14ac:dyDescent="0.25">
      <c r="A43" s="27" t="s">
        <v>91</v>
      </c>
      <c r="B43" s="27" t="s">
        <v>56</v>
      </c>
      <c r="C43" s="28" t="s">
        <v>115</v>
      </c>
      <c r="D43" s="71">
        <f t="shared" si="0"/>
        <v>-1.0002641055134924</v>
      </c>
      <c r="E43" s="71">
        <f t="shared" si="1"/>
        <v>-0.89234875000000002</v>
      </c>
      <c r="F43" s="71">
        <f t="shared" si="2"/>
        <v>-0.96250568000000003</v>
      </c>
      <c r="G43" s="71">
        <f t="shared" si="3"/>
        <v>0</v>
      </c>
      <c r="H43" s="170">
        <f>VLOOKUP(A43,[1]גיליון1!$1:$1048576,17,0)</f>
        <v>300000</v>
      </c>
      <c r="I43" s="170">
        <f>VLOOKUP(A43,[1]גיליון1!$1:$1048576,18,0)</f>
        <v>80000</v>
      </c>
      <c r="J43" s="170">
        <f>VLOOKUP(A43,[2]גיליון1!$A:$T,19,0)</f>
        <v>250000</v>
      </c>
      <c r="K43" s="12">
        <f>VLOOKUP(A43,[1]גיליון1!$1:$1048576,18,0)</f>
        <v>80000</v>
      </c>
      <c r="L43" s="69">
        <f>VLOOKUP(A43,'תפוקה מצטברת מול אשתקד'!A:O,8,0)</f>
        <v>-79.231654047757715</v>
      </c>
      <c r="M43" s="72">
        <f>VLOOKUP(A43,'תפוקה מצטברת מול אשתקד'!A:O,9,0)</f>
        <v>8612.0999999999985</v>
      </c>
      <c r="N43" s="72">
        <f>VLOOKUP(A43,'תפוקה מצטברת מול אשתקד'!A:O,10,0)</f>
        <v>9373.58</v>
      </c>
      <c r="O43" s="72">
        <f>VLOOKUP(A43,'תפוקה מצטברת מול אשתקד'!A:O,11,0)</f>
        <v>0</v>
      </c>
    </row>
    <row r="44" spans="1:15" x14ac:dyDescent="0.25">
      <c r="A44" s="27" t="s">
        <v>90</v>
      </c>
      <c r="B44" s="27" t="s">
        <v>56</v>
      </c>
      <c r="C44" s="28" t="s">
        <v>115</v>
      </c>
      <c r="D44" s="71">
        <f t="shared" si="0"/>
        <v>0</v>
      </c>
      <c r="E44" s="71">
        <f t="shared" si="1"/>
        <v>0</v>
      </c>
      <c r="F44" s="71">
        <f t="shared" si="2"/>
        <v>-0.99939999999999996</v>
      </c>
      <c r="G44" s="71">
        <f t="shared" si="3"/>
        <v>13.655692</v>
      </c>
      <c r="H44" s="170">
        <f>VLOOKUP(A44,[1]גיליון1!$1:$1048576,17,0)</f>
        <v>50000</v>
      </c>
      <c r="I44" s="170">
        <f>VLOOKUP(A44,[1]גיליון1!$1:$1048576,18,0)</f>
        <v>50000</v>
      </c>
      <c r="J44" s="170">
        <f>VLOOKUP(A44,[2]גיליון1!$A:$T,19,0)</f>
        <v>1000000</v>
      </c>
      <c r="K44" s="12">
        <f>VLOOKUP(A44,[1]גיליון1!$1:$1048576,18,0)</f>
        <v>50000</v>
      </c>
      <c r="L44" s="69">
        <f>VLOOKUP(A44,'תפוקה מצטברת מול אשתקד'!A:O,8,0)</f>
        <v>0</v>
      </c>
      <c r="M44" s="72">
        <f>VLOOKUP(A44,'תפוקה מצטברת מול אשתקד'!A:O,9,0)</f>
        <v>0</v>
      </c>
      <c r="N44" s="72">
        <f>VLOOKUP(A44,'תפוקה מצטברת מול אשתקד'!A:O,10,0)</f>
        <v>600</v>
      </c>
      <c r="O44" s="72">
        <f>VLOOKUP(A44,'תפוקה מצטברת מול אשתקד'!A:O,11,0)</f>
        <v>732784.6</v>
      </c>
    </row>
    <row r="45" spans="1:15" ht="31.5" x14ac:dyDescent="0.25">
      <c r="A45" s="27" t="s">
        <v>36</v>
      </c>
      <c r="B45" s="27" t="s">
        <v>55</v>
      </c>
      <c r="C45" s="28" t="s">
        <v>115</v>
      </c>
      <c r="D45" s="71">
        <f t="shared" si="0"/>
        <v>1</v>
      </c>
      <c r="E45" s="71">
        <f t="shared" si="1"/>
        <v>0</v>
      </c>
      <c r="F45" s="71">
        <f t="shared" si="2"/>
        <v>0</v>
      </c>
      <c r="G45" s="71">
        <f t="shared" si="3"/>
        <v>0</v>
      </c>
      <c r="H45" s="170">
        <f>VLOOKUP(A45,[1]גיליון1!$1:$1048576,17,0)</f>
        <v>0</v>
      </c>
      <c r="I45" s="170">
        <f>VLOOKUP(A45,[1]גיליון1!$1:$1048576,18,0)</f>
        <v>0</v>
      </c>
      <c r="J45" s="170">
        <v>0</v>
      </c>
      <c r="K45" s="12">
        <f>VLOOKUP(A45,[1]גיליון1!$1:$1048576,18,0)</f>
        <v>0</v>
      </c>
      <c r="L45" s="69">
        <f>VLOOKUP(A45,'תפוקה מצטברת מול אשתקד'!A:O,8,0)</f>
        <v>15497.41964</v>
      </c>
      <c r="M45" s="72">
        <f>VLOOKUP(A45,'תפוקה מצטברת מול אשתקד'!A:O,9,0)</f>
        <v>0</v>
      </c>
      <c r="N45" s="72">
        <f>VLOOKUP(A45,'תפוקה מצטברת מול אשתקד'!A:O,10,0)</f>
        <v>0</v>
      </c>
      <c r="O45" s="72">
        <f>VLOOKUP(A45,'תפוקה מצטברת מול אשתקד'!A:O,11,0)</f>
        <v>0</v>
      </c>
    </row>
    <row r="46" spans="1:15" ht="31.5" x14ac:dyDescent="0.25">
      <c r="A46" s="27" t="s">
        <v>102</v>
      </c>
      <c r="B46" s="27" t="s">
        <v>55</v>
      </c>
      <c r="C46" s="28" t="s">
        <v>115</v>
      </c>
      <c r="D46" s="71">
        <f t="shared" si="0"/>
        <v>0</v>
      </c>
      <c r="E46" s="71">
        <f t="shared" si="1"/>
        <v>0</v>
      </c>
      <c r="F46" s="71">
        <f t="shared" si="2"/>
        <v>0</v>
      </c>
      <c r="G46" s="71">
        <f t="shared" si="3"/>
        <v>0</v>
      </c>
      <c r="H46" s="170">
        <f>VLOOKUP(A46,[1]גיליון1!$1:$1048576,17,0)</f>
        <v>0</v>
      </c>
      <c r="I46" s="170">
        <f>VLOOKUP(A46,[1]גיליון1!$1:$1048576,18,0)</f>
        <v>0</v>
      </c>
      <c r="J46" s="170">
        <v>0</v>
      </c>
      <c r="K46" s="12">
        <f>VLOOKUP(A46,[1]גיליון1!$1:$1048576,18,0)</f>
        <v>0</v>
      </c>
      <c r="L46" s="69">
        <f>VLOOKUP(A46,'תפוקה מצטברת מול אשתקד'!A:O,8,0)</f>
        <v>0</v>
      </c>
      <c r="M46" s="72">
        <f>VLOOKUP(A46,'תפוקה מצטברת מול אשתקד'!A:O,9,0)</f>
        <v>0</v>
      </c>
      <c r="N46" s="72">
        <f>VLOOKUP(A46,'תפוקה מצטברת מול אשתקד'!A:O,10,0)</f>
        <v>0</v>
      </c>
      <c r="O46" s="72">
        <f>VLOOKUP(A46,'תפוקה מצטברת מול אשתקד'!A:O,11,0)</f>
        <v>0</v>
      </c>
    </row>
    <row r="47" spans="1:15" x14ac:dyDescent="0.25">
      <c r="A47" s="29" t="s">
        <v>93</v>
      </c>
      <c r="B47" s="27" t="s">
        <v>56</v>
      </c>
      <c r="C47" s="28" t="s">
        <v>115</v>
      </c>
      <c r="D47" s="71">
        <f t="shared" si="0"/>
        <v>0</v>
      </c>
      <c r="E47" s="71">
        <f t="shared" si="1"/>
        <v>0</v>
      </c>
      <c r="F47" s="71">
        <f t="shared" si="2"/>
        <v>0</v>
      </c>
      <c r="G47" s="71">
        <f t="shared" si="3"/>
        <v>0</v>
      </c>
      <c r="H47" s="170">
        <f>VLOOKUP(A47,[1]גיליון1!$1:$1048576,17,0)</f>
        <v>50000</v>
      </c>
      <c r="I47" s="170">
        <f>VLOOKUP(A47,[1]גיליון1!$1:$1048576,18,0)</f>
        <v>50000</v>
      </c>
      <c r="J47" s="170">
        <f>VLOOKUP(A47,[2]גיליון1!$A:$T,19,0)</f>
        <v>500000</v>
      </c>
      <c r="K47" s="12">
        <f>VLOOKUP(A47,[1]גיליון1!$1:$1048576,18,0)</f>
        <v>50000</v>
      </c>
      <c r="L47" s="69">
        <f>VLOOKUP(A47,'תפוקה מצטברת מול אשתקד'!A:O,8,0)</f>
        <v>0</v>
      </c>
      <c r="M47" s="72">
        <f>VLOOKUP(A47,'תפוקה מצטברת מול אשתקד'!A:O,9,0)</f>
        <v>0</v>
      </c>
      <c r="N47" s="72">
        <f>VLOOKUP(A47,'תפוקה מצטברת מול אשתקד'!A:O,10,0)</f>
        <v>0</v>
      </c>
      <c r="O47" s="72">
        <f>VLOOKUP(A47,'תפוקה מצטברת מול אשתקד'!A:O,11,0)</f>
        <v>0</v>
      </c>
    </row>
    <row r="48" spans="1:15" x14ac:dyDescent="0.25">
      <c r="A48" s="29" t="s">
        <v>95</v>
      </c>
      <c r="B48" s="27" t="s">
        <v>56</v>
      </c>
      <c r="C48" s="28" t="s">
        <v>115</v>
      </c>
      <c r="D48" s="71">
        <f t="shared" si="0"/>
        <v>0</v>
      </c>
      <c r="E48" s="71">
        <f t="shared" si="1"/>
        <v>0</v>
      </c>
      <c r="F48" s="71">
        <f t="shared" si="2"/>
        <v>-0.94826699999999997</v>
      </c>
      <c r="G48" s="71">
        <f t="shared" si="3"/>
        <v>12.166779199999999</v>
      </c>
      <c r="H48" s="170">
        <f>VLOOKUP(A48,[1]גיליון1!$1:$1048576,17,0)</f>
        <v>100000</v>
      </c>
      <c r="I48" s="170">
        <f>VLOOKUP(A48,[1]גיליון1!$1:$1048576,18,0)</f>
        <v>50000</v>
      </c>
      <c r="J48" s="170">
        <f>VLOOKUP(A48,[2]גיליון1!$A:$T,19,0)</f>
        <v>2000000</v>
      </c>
      <c r="K48" s="12">
        <f>VLOOKUP(A48,[1]גיליון1!$1:$1048576,18,0)</f>
        <v>50000</v>
      </c>
      <c r="L48" s="69">
        <f>VLOOKUP(A48,'תפוקה מצטברת מול אשתקד'!A:O,8,0)</f>
        <v>0</v>
      </c>
      <c r="M48" s="72">
        <f>VLOOKUP(A48,'תפוקה מצטברת מול אשתקד'!A:O,9,0)</f>
        <v>0</v>
      </c>
      <c r="N48" s="72">
        <f>VLOOKUP(A48,'תפוקה מצטברת מול אשתקד'!A:O,10,0)</f>
        <v>103466</v>
      </c>
      <c r="O48" s="72">
        <f>VLOOKUP(A48,'תפוקה מצטברת מול אשתקד'!A:O,11,0)</f>
        <v>658338.96</v>
      </c>
    </row>
    <row r="49" spans="1:15" x14ac:dyDescent="0.25">
      <c r="A49" s="27" t="s">
        <v>105</v>
      </c>
      <c r="B49" s="27" t="s">
        <v>56</v>
      </c>
      <c r="C49" s="27" t="s">
        <v>115</v>
      </c>
      <c r="D49" s="71">
        <f t="shared" si="0"/>
        <v>0</v>
      </c>
      <c r="E49" s="71">
        <f t="shared" si="1"/>
        <v>1</v>
      </c>
      <c r="F49" s="71">
        <f t="shared" si="2"/>
        <v>1</v>
      </c>
      <c r="G49" s="71">
        <f t="shared" si="3"/>
        <v>0</v>
      </c>
      <c r="H49" s="170">
        <v>0</v>
      </c>
      <c r="I49" s="170">
        <v>0</v>
      </c>
      <c r="J49" s="170">
        <v>0</v>
      </c>
      <c r="K49" s="12">
        <v>0</v>
      </c>
      <c r="L49" s="69">
        <f>VLOOKUP(A49,'תפוקה מצטברת מול אשתקד'!A:O,8,0)</f>
        <v>0</v>
      </c>
      <c r="M49" s="72">
        <f>VLOOKUP(A49,'תפוקה מצטברת מול אשתקד'!A:O,9,0)</f>
        <v>201181.05</v>
      </c>
      <c r="N49" s="72">
        <f>VLOOKUP(A49,'תפוקה מצטברת מול אשתקד'!A:O,10,0)</f>
        <v>259590</v>
      </c>
      <c r="O49" s="72">
        <f>VLOOKUP(A49,'תפוקה מצטברת מול אשתקד'!A:O,11,0)</f>
        <v>0</v>
      </c>
    </row>
    <row r="50" spans="1:15" x14ac:dyDescent="0.25">
      <c r="A50" s="27" t="s">
        <v>39</v>
      </c>
      <c r="B50" s="27" t="s">
        <v>56</v>
      </c>
      <c r="C50" s="27" t="s">
        <v>115</v>
      </c>
      <c r="D50" s="71">
        <f t="shared" si="0"/>
        <v>1</v>
      </c>
      <c r="E50" s="71">
        <f t="shared" si="1"/>
        <v>1</v>
      </c>
      <c r="F50" s="71">
        <f t="shared" si="2"/>
        <v>0</v>
      </c>
      <c r="G50" s="71">
        <f t="shared" si="3"/>
        <v>0</v>
      </c>
      <c r="H50" s="170">
        <f>VLOOKUP(A50,[1]גיליון1!$1:$1048576,17,0)</f>
        <v>0</v>
      </c>
      <c r="I50" s="170">
        <f>VLOOKUP(A50,[1]גיליון1!$1:$1048576,18,0)</f>
        <v>0</v>
      </c>
      <c r="J50" s="170">
        <f>VLOOKUP(A50,[2]גיליון1!$A:$T,19,0)</f>
        <v>200000</v>
      </c>
      <c r="K50" s="12">
        <f>VLOOKUP(A50,[1]גיליון1!$1:$1048576,18,0)</f>
        <v>0</v>
      </c>
      <c r="L50" s="69">
        <f>VLOOKUP(A50,'תפוקה מצטברת מול אשתקד'!A:O,8,0)</f>
        <v>6810.26</v>
      </c>
      <c r="M50" s="72">
        <f>VLOOKUP(A50,'תפוקה מצטברת מול אשתקד'!A:O,9,0)</f>
        <v>571.91</v>
      </c>
      <c r="N50" s="72">
        <f>VLOOKUP(A50,'תפוקה מצטברת מול אשתקד'!A:O,10,0)</f>
        <v>0</v>
      </c>
      <c r="O50" s="72">
        <f>VLOOKUP(A50,'תפוקה מצטברת מול אשתקד'!A:O,11,0)</f>
        <v>0</v>
      </c>
    </row>
    <row r="51" spans="1:15" x14ac:dyDescent="0.25">
      <c r="A51" s="27" t="s">
        <v>99</v>
      </c>
      <c r="B51" s="27" t="s">
        <v>56</v>
      </c>
      <c r="C51" s="27" t="s">
        <v>115</v>
      </c>
      <c r="D51" s="71">
        <f t="shared" si="0"/>
        <v>1</v>
      </c>
      <c r="E51" s="71">
        <f t="shared" si="1"/>
        <v>0</v>
      </c>
      <c r="F51" s="71">
        <f t="shared" si="2"/>
        <v>1</v>
      </c>
      <c r="G51" s="71">
        <f t="shared" si="3"/>
        <v>1</v>
      </c>
      <c r="H51" s="170">
        <v>0</v>
      </c>
      <c r="I51" s="170">
        <v>0</v>
      </c>
      <c r="J51" s="170">
        <v>0</v>
      </c>
      <c r="K51" s="12">
        <v>0</v>
      </c>
      <c r="L51" s="69">
        <f>VLOOKUP(A51,'תפוקה מצטברת מול אשתקד'!A:O,8,0)</f>
        <v>66247.156090000004</v>
      </c>
      <c r="M51" s="72">
        <f>VLOOKUP(A51,'תפוקה מצטברת מול אשתקד'!A:O,9,0)</f>
        <v>0</v>
      </c>
      <c r="N51" s="72">
        <f>VLOOKUP(A51,'תפוקה מצטברת מול אשתקד'!A:O,10,0)</f>
        <v>6482.19</v>
      </c>
      <c r="O51" s="72">
        <f>VLOOKUP(A51,'תפוקה מצטברת מול אשתקד'!A:O,11,0)</f>
        <v>324423.5</v>
      </c>
    </row>
    <row r="52" spans="1:15" x14ac:dyDescent="0.25">
      <c r="A52" s="27" t="s">
        <v>41</v>
      </c>
      <c r="B52" s="27" t="s">
        <v>56</v>
      </c>
      <c r="C52" s="27" t="s">
        <v>115</v>
      </c>
      <c r="D52" s="71">
        <f t="shared" si="0"/>
        <v>0</v>
      </c>
      <c r="E52" s="71">
        <f t="shared" si="1"/>
        <v>0</v>
      </c>
      <c r="F52" s="71">
        <f t="shared" si="2"/>
        <v>0</v>
      </c>
      <c r="G52" s="71">
        <f t="shared" si="3"/>
        <v>0</v>
      </c>
      <c r="H52" s="170">
        <f>VLOOKUP(A52,[1]גיליון1!$1:$1048576,17,0)</f>
        <v>0</v>
      </c>
      <c r="I52" s="170">
        <f>VLOOKUP(A52,[1]גיליון1!$1:$1048576,18,0)</f>
        <v>0</v>
      </c>
      <c r="J52" s="170">
        <f>VLOOKUP(A52,[2]גיליון1!$A:$T,19,0)</f>
        <v>300000</v>
      </c>
      <c r="K52" s="12">
        <f>VLOOKUP(A52,[1]גיליון1!$1:$1048576,18,0)</f>
        <v>0</v>
      </c>
      <c r="L52" s="69">
        <f>VLOOKUP(A52,'תפוקה מצטברת מול אשתקד'!A:O,8,0)</f>
        <v>0</v>
      </c>
      <c r="M52" s="72">
        <f>VLOOKUP(A52,'תפוקה מצטברת מול אשתקד'!A:O,9,0)</f>
        <v>0</v>
      </c>
      <c r="N52" s="72">
        <f>VLOOKUP(A52,'תפוקה מצטברת מול אשתקד'!A:O,10,0)</f>
        <v>0</v>
      </c>
      <c r="O52" s="72">
        <f>VLOOKUP(A52,'תפוקה מצטברת מול אשתקד'!A:O,11,0)</f>
        <v>0</v>
      </c>
    </row>
    <row r="53" spans="1:15" ht="16.5" thickBot="1" x14ac:dyDescent="0.3">
      <c r="A53" s="29" t="s">
        <v>96</v>
      </c>
      <c r="B53" s="29" t="s">
        <v>56</v>
      </c>
      <c r="C53" s="29" t="s">
        <v>115</v>
      </c>
      <c r="D53" s="166">
        <f t="shared" si="0"/>
        <v>0</v>
      </c>
      <c r="E53" s="166">
        <f t="shared" si="1"/>
        <v>0</v>
      </c>
      <c r="F53" s="166">
        <f t="shared" si="2"/>
        <v>0</v>
      </c>
      <c r="G53" s="166">
        <f t="shared" si="3"/>
        <v>0</v>
      </c>
      <c r="H53" s="170">
        <f>VLOOKUP(A53,[1]גיליון1!$1:$1048576,17,0)</f>
        <v>0</v>
      </c>
      <c r="I53" s="170">
        <f>VLOOKUP(A53,[1]גיליון1!$1:$1048576,18,0)</f>
        <v>0</v>
      </c>
      <c r="J53" s="170">
        <f>VLOOKUP(A53,[2]גיליון1!$A:$T,19,0)</f>
        <v>0</v>
      </c>
      <c r="K53" s="12">
        <f>VLOOKUP(A53,[1]גיליון1!$1:$1048576,18,0)</f>
        <v>0</v>
      </c>
      <c r="L53" s="69">
        <f>VLOOKUP(A53,'תפוקה מצטברת מול אשתקד'!A:O,8,0)</f>
        <v>0</v>
      </c>
      <c r="M53" s="168">
        <f>VLOOKUP(A53,'תפוקה מצטברת מול אשתקד'!A:O,9,0)</f>
        <v>0</v>
      </c>
      <c r="N53" s="168">
        <f>VLOOKUP(A53,'תפוקה מצטברת מול אשתקד'!A:O,10,0)</f>
        <v>0</v>
      </c>
      <c r="O53" s="168">
        <f>VLOOKUP(A53,'תפוקה מצטברת מול אשתקד'!A:O,11,0)</f>
        <v>0</v>
      </c>
    </row>
    <row r="54" spans="1:15" ht="21.75" thickBot="1" x14ac:dyDescent="0.3">
      <c r="A54" s="176" t="s">
        <v>130</v>
      </c>
      <c r="B54" s="67"/>
      <c r="C54" s="173"/>
      <c r="D54" s="177">
        <f t="shared" ref="D54" si="6">IF(L54=0,0%,IF(H54=0,100%,L54/H54-1))</f>
        <v>-0.94208587117973508</v>
      </c>
      <c r="E54" s="177">
        <f t="shared" ref="E54" si="7">IF(M54=0,0%,IF(I54=0,100%,M54/I54-1))</f>
        <v>-0.66864900756897083</v>
      </c>
      <c r="F54" s="177">
        <f t="shared" ref="F54" si="8">IF(N54=0,0%,IF(J54=0,100%,N54/J54-1))</f>
        <v>-0.78189563125261774</v>
      </c>
      <c r="G54" s="177">
        <f t="shared" ref="G54" si="9">IF(O54=0,0%,IF(K54=0,100%,O54/K54-1))</f>
        <v>6.5792418848167546</v>
      </c>
      <c r="H54" s="150">
        <f>SUM(H3:H8)</f>
        <v>39000000</v>
      </c>
      <c r="I54" s="150">
        <f t="shared" ref="I54:O54" si="10">SUM(I3:I8)</f>
        <v>2600000</v>
      </c>
      <c r="J54" s="150">
        <f>SUM(J22:J53)</f>
        <v>31350000</v>
      </c>
      <c r="K54" s="150">
        <f>SUM(K22:K53)</f>
        <v>1910000</v>
      </c>
      <c r="L54" s="150">
        <f t="shared" si="10"/>
        <v>2258651.0239903326</v>
      </c>
      <c r="M54" s="150">
        <f t="shared" si="10"/>
        <v>861512.58032067562</v>
      </c>
      <c r="N54" s="150">
        <f t="shared" si="10"/>
        <v>6837571.9602304343</v>
      </c>
      <c r="O54" s="150">
        <f t="shared" si="10"/>
        <v>14476352.000000002</v>
      </c>
    </row>
    <row r="55" spans="1:15" x14ac:dyDescent="0.25">
      <c r="A55" s="27" t="s">
        <v>37</v>
      </c>
      <c r="B55" s="27" t="s">
        <v>129</v>
      </c>
      <c r="C55" s="28" t="s">
        <v>115</v>
      </c>
      <c r="D55" s="71">
        <f t="shared" ref="D55:G61" si="11">IF(L55=0,0%,IF(H55=0,100%,L55/H55-1))</f>
        <v>-0.99938067390270946</v>
      </c>
      <c r="E55" s="71">
        <f t="shared" si="11"/>
        <v>-0.95294983022857138</v>
      </c>
      <c r="F55" s="71">
        <f t="shared" si="11"/>
        <v>-0.88911174999999998</v>
      </c>
      <c r="G55" s="71">
        <f t="shared" si="11"/>
        <v>0.19672348571428566</v>
      </c>
      <c r="H55" s="170">
        <f>VLOOKUP(A55,[1]גיליון1!$1:$1048576,17,0)</f>
        <v>483500000</v>
      </c>
      <c r="I55" s="170">
        <f>VLOOKUP(A55,[1]גיליון1!$1:$1048576,18,0)</f>
        <v>350000</v>
      </c>
      <c r="J55" s="170">
        <f>VLOOKUP(A55,[2]גיליון1!$A:$T,19,0)</f>
        <v>4000000</v>
      </c>
      <c r="K55" s="12">
        <f>VLOOKUP(A55,[1]גיליון1!$1:$1048576,18,0)</f>
        <v>350000</v>
      </c>
      <c r="L55" s="69">
        <f>VLOOKUP(A55,'תפוקה מצטברת מול אשתקד'!A:O,8,0)</f>
        <v>299444.16804000002</v>
      </c>
      <c r="M55" s="72">
        <f>VLOOKUP(A55,'תפוקה מצטברת מול אשתקד'!A:O,9,0)</f>
        <v>16467.559420000001</v>
      </c>
      <c r="N55" s="72">
        <f>VLOOKUP(A55,'תפוקה מצטברת מול אשתקד'!A:O,10,0)</f>
        <v>443553</v>
      </c>
      <c r="O55" s="72">
        <f>VLOOKUP(A55,'תפוקה מצטברת מול אשתקד'!A:O,11,0)</f>
        <v>418853.22</v>
      </c>
    </row>
    <row r="56" spans="1:15" x14ac:dyDescent="0.25">
      <c r="A56" s="31" t="s">
        <v>33</v>
      </c>
      <c r="B56" s="27" t="s">
        <v>129</v>
      </c>
      <c r="C56" s="27" t="s">
        <v>115</v>
      </c>
      <c r="D56" s="71">
        <f t="shared" si="11"/>
        <v>0</v>
      </c>
      <c r="E56" s="71">
        <f t="shared" si="11"/>
        <v>0</v>
      </c>
      <c r="F56" s="71">
        <f t="shared" si="11"/>
        <v>-0.92444979000000005</v>
      </c>
      <c r="G56" s="71">
        <f t="shared" si="11"/>
        <v>0</v>
      </c>
      <c r="H56" s="170">
        <f>VLOOKUP(A56,[1]גיליון1!$1:$1048576,17,0)</f>
        <v>130500000</v>
      </c>
      <c r="I56" s="170">
        <f>VLOOKUP(A56,[1]גיליון1!$1:$1048576,18,0)</f>
        <v>80000</v>
      </c>
      <c r="J56" s="170">
        <f>VLOOKUP(A56,[2]גיליון1!$A:$T,19,0)</f>
        <v>7000000</v>
      </c>
      <c r="K56" s="12">
        <f>VLOOKUP(A56,[1]גיליון1!$1:$1048576,18,0)</f>
        <v>80000</v>
      </c>
      <c r="L56" s="69">
        <f>VLOOKUP(A56,'תפוקה מצטברת מול אשתקד'!A:O,8,0)</f>
        <v>0</v>
      </c>
      <c r="M56" s="72">
        <f>VLOOKUP(A56,'תפוקה מצטברת מול אשתקד'!A:O,9,0)</f>
        <v>0</v>
      </c>
      <c r="N56" s="72">
        <f>VLOOKUP(A56,'תפוקה מצטברת מול אשתקד'!A:O,10,0)</f>
        <v>528851.47</v>
      </c>
      <c r="O56" s="72">
        <f>VLOOKUP(A56,'תפוקה מצטברת מול אשתקד'!A:O,11,0)</f>
        <v>0</v>
      </c>
    </row>
    <row r="57" spans="1:15" x14ac:dyDescent="0.25">
      <c r="A57" s="27" t="s">
        <v>35</v>
      </c>
      <c r="B57" s="27" t="s">
        <v>129</v>
      </c>
      <c r="C57" s="28" t="s">
        <v>115</v>
      </c>
      <c r="D57" s="71">
        <f t="shared" si="11"/>
        <v>-0.9999695695219124</v>
      </c>
      <c r="E57" s="71">
        <f t="shared" si="11"/>
        <v>0</v>
      </c>
      <c r="F57" s="71">
        <f t="shared" si="11"/>
        <v>0</v>
      </c>
      <c r="G57" s="71">
        <f t="shared" si="11"/>
        <v>0</v>
      </c>
      <c r="H57" s="170">
        <f>VLOOKUP(A57,[1]גיליון1!$1:$1048576,17,0)</f>
        <v>251000000</v>
      </c>
      <c r="I57" s="170">
        <f>VLOOKUP(A57,[1]גיליון1!$1:$1048576,18,0)</f>
        <v>40000</v>
      </c>
      <c r="J57" s="170">
        <f>VLOOKUP(A57,[2]גיליון1!$A:$T,19,0)</f>
        <v>0</v>
      </c>
      <c r="K57" s="12">
        <f>VLOOKUP(A57,[1]גיליון1!$1:$1048576,18,0)</f>
        <v>40000</v>
      </c>
      <c r="L57" s="69">
        <f>VLOOKUP(A57,'תפוקה מצטברת מול אשתקד'!A:O,8,0)</f>
        <v>7638.05</v>
      </c>
      <c r="M57" s="72">
        <f>VLOOKUP(A57,'תפוקה מצטברת מול אשתקד'!A:O,9,0)</f>
        <v>0</v>
      </c>
      <c r="N57" s="72">
        <f>VLOOKUP(A57,'תפוקה מצטברת מול אשתקד'!A:O,10,0)</f>
        <v>0</v>
      </c>
      <c r="O57" s="72">
        <f>VLOOKUP(A57,'תפוקה מצטברת מול אשתקד'!A:O,11,0)</f>
        <v>0</v>
      </c>
    </row>
    <row r="58" spans="1:15" x14ac:dyDescent="0.25">
      <c r="A58" s="28" t="s">
        <v>94</v>
      </c>
      <c r="B58" s="28" t="s">
        <v>129</v>
      </c>
      <c r="C58" s="28" t="s">
        <v>115</v>
      </c>
      <c r="D58" s="71">
        <f t="shared" si="11"/>
        <v>-0.99989841439732174</v>
      </c>
      <c r="E58" s="71">
        <f t="shared" si="11"/>
        <v>-0.94978121291971185</v>
      </c>
      <c r="F58" s="71">
        <f t="shared" si="11"/>
        <v>0</v>
      </c>
      <c r="G58" s="71">
        <f t="shared" si="11"/>
        <v>-0.34497809999999995</v>
      </c>
      <c r="H58" s="170">
        <f>VLOOKUP(A58,[1]גיליון1!$1:$1048576,17,0)</f>
        <v>1798000000</v>
      </c>
      <c r="I58" s="170">
        <f>VLOOKUP(A58,[1]גיליון1!$1:$1048576,18,0)</f>
        <v>200000</v>
      </c>
      <c r="J58" s="170">
        <f>VLOOKUP(A58,[2]גיליון1!$A:$T,19,0)</f>
        <v>10000000</v>
      </c>
      <c r="K58" s="12">
        <f>VLOOKUP(A58,[1]גיליון1!$1:$1048576,18,0)</f>
        <v>200000</v>
      </c>
      <c r="L58" s="69">
        <f>VLOOKUP(A58,'תפוקה מצטברת מול אשתקד'!A:O,8,0)</f>
        <v>182650.91361559072</v>
      </c>
      <c r="M58" s="72">
        <f>VLOOKUP(A58,'תפוקה מצטברת מול אשתקד'!A:O,9,0)</f>
        <v>10043.75741605763</v>
      </c>
      <c r="N58" s="72">
        <f>VLOOKUP(A58,'תפוקה מצטברת מול אשתקד'!A:O,10,0)</f>
        <v>0</v>
      </c>
      <c r="O58" s="72">
        <f>VLOOKUP(A58,'תפוקה מצטברת מול אשתקד'!A:O,11,0)</f>
        <v>131004.38</v>
      </c>
    </row>
    <row r="59" spans="1:15" x14ac:dyDescent="0.25">
      <c r="A59" s="27" t="s">
        <v>92</v>
      </c>
      <c r="B59" s="27" t="s">
        <v>129</v>
      </c>
      <c r="C59" s="27" t="s">
        <v>115</v>
      </c>
      <c r="D59" s="71">
        <f t="shared" si="11"/>
        <v>-0.99187891800000005</v>
      </c>
      <c r="E59" s="71">
        <f t="shared" si="11"/>
        <v>-0.96635656157088656</v>
      </c>
      <c r="F59" s="71">
        <f t="shared" si="11"/>
        <v>-0.9150666862457143</v>
      </c>
      <c r="G59" s="71">
        <f t="shared" si="11"/>
        <v>-0.31653869999999995</v>
      </c>
      <c r="H59" s="170">
        <f>VLOOKUP(A59,[1]גיליון1!$1:$1048576,17,0)</f>
        <v>10000000</v>
      </c>
      <c r="I59" s="170">
        <f>VLOOKUP(A59,[1]גיליון1!$1:$1048576,18,0)</f>
        <v>100000</v>
      </c>
      <c r="J59" s="170">
        <f>VLOOKUP(A59,[2]גיליון1!$A:$T,19,0)</f>
        <v>7000000</v>
      </c>
      <c r="K59" s="12">
        <f>VLOOKUP(A59,[1]גיליון1!$1:$1048576,18,0)</f>
        <v>100000</v>
      </c>
      <c r="L59" s="69">
        <f>VLOOKUP(A59,'תפוקה מצטברת מול אשתקד'!A:O,8,0)</f>
        <v>81210.820000000007</v>
      </c>
      <c r="M59" s="72">
        <f>VLOOKUP(A59,'תפוקה מצטברת מול אשתקד'!A:O,9,0)</f>
        <v>3364.3438429113389</v>
      </c>
      <c r="N59" s="72">
        <f>VLOOKUP(A59,'תפוקה מצטברת מול אשתקד'!A:O,10,0)</f>
        <v>594533.19628000003</v>
      </c>
      <c r="O59" s="72">
        <f>VLOOKUP(A59,'תפוקה מצטברת מול אשתקד'!A:O,11,0)</f>
        <v>68346.13</v>
      </c>
    </row>
    <row r="60" spans="1:15" x14ac:dyDescent="0.25">
      <c r="A60" s="124" t="s">
        <v>107</v>
      </c>
      <c r="B60" s="27" t="s">
        <v>129</v>
      </c>
      <c r="C60" s="28" t="s">
        <v>115</v>
      </c>
      <c r="D60" s="71">
        <f t="shared" si="11"/>
        <v>0</v>
      </c>
      <c r="E60" s="71">
        <f t="shared" si="11"/>
        <v>-0.95993499999999998</v>
      </c>
      <c r="F60" s="71">
        <f t="shared" si="11"/>
        <v>1</v>
      </c>
      <c r="G60" s="71">
        <f t="shared" si="11"/>
        <v>0</v>
      </c>
      <c r="H60" s="170">
        <f>VLOOKUP(A60,[1]גיליון1!$1:$1048576,17,0)</f>
        <v>18500000</v>
      </c>
      <c r="I60" s="170">
        <f>VLOOKUP(A60,[1]גיליון1!$1:$1048576,18,0)</f>
        <v>100000</v>
      </c>
      <c r="J60" s="170">
        <v>0</v>
      </c>
      <c r="K60" s="12">
        <f>VLOOKUP(A60,[1]גיליון1!$1:$1048576,18,0)</f>
        <v>100000</v>
      </c>
      <c r="L60" s="69">
        <f>VLOOKUP(A60,'תפוקה מצטברת מול אשתקד'!A:O,8,0)</f>
        <v>0</v>
      </c>
      <c r="M60" s="72">
        <f>VLOOKUP(A60,'תפוקה מצטברת מול אשתקד'!A:O,9,0)</f>
        <v>4006.5</v>
      </c>
      <c r="N60" s="72">
        <f>VLOOKUP(A60,'תפוקה מצטברת מול אשתקד'!A:O,10,0)</f>
        <v>52863.540365000001</v>
      </c>
      <c r="O60" s="72">
        <f>VLOOKUP(A60,'תפוקה מצטברת מול אשתקד'!A:O,11,0)</f>
        <v>0</v>
      </c>
    </row>
    <row r="61" spans="1:15" ht="16.5" thickBot="1" x14ac:dyDescent="0.3">
      <c r="A61" s="31" t="s">
        <v>16</v>
      </c>
      <c r="B61" s="27" t="s">
        <v>129</v>
      </c>
      <c r="C61" s="28" t="s">
        <v>115</v>
      </c>
      <c r="D61" s="71">
        <f t="shared" si="11"/>
        <v>0</v>
      </c>
      <c r="E61" s="71">
        <f t="shared" si="11"/>
        <v>0</v>
      </c>
      <c r="F61" s="71">
        <f t="shared" si="11"/>
        <v>0</v>
      </c>
      <c r="G61" s="71">
        <f t="shared" si="11"/>
        <v>0</v>
      </c>
      <c r="H61" s="170">
        <f>VLOOKUP(A61,[1]גיליון1!$1:$1048576,17,0)</f>
        <v>34000000</v>
      </c>
      <c r="I61" s="170">
        <f>VLOOKUP(A61,[1]גיליון1!$1:$1048576,18,0)</f>
        <v>100000</v>
      </c>
      <c r="J61" s="170">
        <f>VLOOKUP(A61,[2]גיליון1!$A:$T,19,0)</f>
        <v>0</v>
      </c>
      <c r="K61" s="12">
        <f>VLOOKUP(A61,[1]גיליון1!$1:$1048576,18,0)</f>
        <v>100000</v>
      </c>
      <c r="L61" s="69">
        <f>VLOOKUP(A61,'תפוקה מצטברת מול אשתקד'!A:O,8,0)</f>
        <v>0</v>
      </c>
      <c r="M61" s="72">
        <f>VLOOKUP(A61,'תפוקה מצטברת מול אשתקד'!A:O,9,0)</f>
        <v>0</v>
      </c>
      <c r="N61" s="72">
        <f>VLOOKUP(A61,'תפוקה מצטברת מול אשתקד'!A:O,10,0)</f>
        <v>0</v>
      </c>
      <c r="O61" s="72">
        <f>VLOOKUP(A61,'תפוקה מצטברת מול אשתקד'!A:O,11,0)</f>
        <v>0</v>
      </c>
    </row>
    <row r="62" spans="1:15" ht="21.75" thickBot="1" x14ac:dyDescent="0.3">
      <c r="A62" s="176" t="s">
        <v>131</v>
      </c>
      <c r="B62" s="67"/>
      <c r="C62" s="173"/>
      <c r="D62" s="177">
        <f t="shared" si="0"/>
        <v>-0.99979051772091154</v>
      </c>
      <c r="E62" s="177">
        <f t="shared" si="1"/>
        <v>-0.96506993744436187</v>
      </c>
      <c r="F62" s="177">
        <f t="shared" si="2"/>
        <v>-0.94214995690553571</v>
      </c>
      <c r="G62" s="177">
        <f t="shared" si="3"/>
        <v>-0.36267656701030926</v>
      </c>
      <c r="H62" s="150">
        <f>SUM(H55:H61)</f>
        <v>2725500000</v>
      </c>
      <c r="I62" s="150">
        <f t="shared" ref="I62:O62" si="12">SUM(I55:I61)</f>
        <v>970000</v>
      </c>
      <c r="J62" s="150">
        <f t="shared" si="12"/>
        <v>28000000</v>
      </c>
      <c r="K62" s="150">
        <f t="shared" si="12"/>
        <v>970000</v>
      </c>
      <c r="L62" s="150">
        <f t="shared" si="12"/>
        <v>570943.95165559067</v>
      </c>
      <c r="M62" s="150">
        <f t="shared" si="12"/>
        <v>33882.160678968969</v>
      </c>
      <c r="N62" s="150">
        <f t="shared" si="12"/>
        <v>1619801.206645</v>
      </c>
      <c r="O62" s="150">
        <f t="shared" si="12"/>
        <v>618203.73</v>
      </c>
    </row>
    <row r="63" spans="1:15" x14ac:dyDescent="0.25">
      <c r="A63" s="28" t="s">
        <v>84</v>
      </c>
      <c r="B63" s="28" t="s">
        <v>116</v>
      </c>
      <c r="C63" s="28" t="s">
        <v>110</v>
      </c>
      <c r="D63" s="169">
        <f t="shared" si="0"/>
        <v>0</v>
      </c>
      <c r="E63" s="169">
        <f t="shared" si="1"/>
        <v>-0.98749433333333336</v>
      </c>
      <c r="F63" s="169">
        <f t="shared" si="2"/>
        <v>-0.97878189299999996</v>
      </c>
      <c r="G63" s="169">
        <f t="shared" si="3"/>
        <v>6.1872077333333326</v>
      </c>
      <c r="H63" s="170">
        <f>VLOOKUP(A63,[1]גיליון1!$1:$1048576,17,0)</f>
        <v>1000000</v>
      </c>
      <c r="I63" s="170">
        <f>VLOOKUP(A63,[1]גיליון1!$1:$1048576,18,0)</f>
        <v>150000</v>
      </c>
      <c r="J63" s="170">
        <f>VLOOKUP(A63,[2]גיליון1!$A:$T,19,0)</f>
        <v>10000000</v>
      </c>
      <c r="K63" s="12">
        <f>VLOOKUP(A63,[1]גיליון1!$1:$1048576,18,0)</f>
        <v>150000</v>
      </c>
      <c r="L63" s="171">
        <f>VLOOKUP(A63,'תפוקה מצטברת מול אשתקד'!A:O,8,0)</f>
        <v>0</v>
      </c>
      <c r="M63" s="172">
        <f>VLOOKUP(A63,'תפוקה מצטברת מול אשתקד'!A:O,9,0)</f>
        <v>1875.85</v>
      </c>
      <c r="N63" s="172">
        <f>VLOOKUP(A63,'תפוקה מצטברת מול אשתקד'!A:O,10,0)</f>
        <v>212181.07</v>
      </c>
      <c r="O63" s="172">
        <f>VLOOKUP(A63,'תפוקה מצטברת מול אשתקד'!A:O,11,0)</f>
        <v>1078081.1599999999</v>
      </c>
    </row>
    <row r="64" spans="1:15" x14ac:dyDescent="0.25">
      <c r="A64" s="31" t="s">
        <v>40</v>
      </c>
      <c r="B64" s="27" t="s">
        <v>56</v>
      </c>
      <c r="C64" s="27" t="s">
        <v>111</v>
      </c>
      <c r="D64" s="71">
        <f t="shared" si="0"/>
        <v>-0.93888336278819262</v>
      </c>
      <c r="E64" s="71">
        <f t="shared" si="1"/>
        <v>-0.86381588845833335</v>
      </c>
      <c r="F64" s="71">
        <f t="shared" si="2"/>
        <v>-0.77363375272699997</v>
      </c>
      <c r="G64" s="71">
        <f t="shared" si="3"/>
        <v>-0.14832110000000009</v>
      </c>
      <c r="H64" s="170">
        <f>VLOOKUP(A64,[1]גיליון1!$1:$1048576,17,0)</f>
        <v>3000000</v>
      </c>
      <c r="I64" s="170">
        <f>VLOOKUP(A64,[1]גיליון1!$1:$1048576,18,0)</f>
        <v>600000</v>
      </c>
      <c r="J64" s="170">
        <f>VLOOKUP(A64,[2]גיליון1!$A:$T,19,0)</f>
        <v>5000000</v>
      </c>
      <c r="K64" s="12">
        <f>VLOOKUP(A64,[1]גיליון1!$1:$1048576,18,0)</f>
        <v>600000</v>
      </c>
      <c r="L64" s="69">
        <f>VLOOKUP(A64,'תפוקה מצטברת מול אשתקד'!A:O,8,0)</f>
        <v>183349.91163542212</v>
      </c>
      <c r="M64" s="72">
        <f>VLOOKUP(A64,'תפוקה מצטברת מול אשתקד'!A:O,9,0)</f>
        <v>81710.466925000001</v>
      </c>
      <c r="N64" s="72">
        <f>VLOOKUP(A64,'תפוקה מצטברת מול אשתקד'!A:O,10,0)</f>
        <v>1131831.236365</v>
      </c>
      <c r="O64" s="72">
        <f>VLOOKUP(A64,'תפוקה מצטברת מול אשתקד'!A:O,11,0)</f>
        <v>511007.33999999997</v>
      </c>
    </row>
    <row r="65" spans="1:15" x14ac:dyDescent="0.25">
      <c r="A65" s="27" t="s">
        <v>98</v>
      </c>
      <c r="B65" s="27" t="s">
        <v>116</v>
      </c>
      <c r="C65" s="27" t="s">
        <v>111</v>
      </c>
      <c r="D65" s="71">
        <f t="shared" ref="D65:E72" si="13">IF(L65=0,0%,IF(H65=0,100%,L65/H65-1))</f>
        <v>0</v>
      </c>
      <c r="E65" s="71">
        <f t="shared" si="13"/>
        <v>0</v>
      </c>
      <c r="F65" s="71">
        <f t="shared" si="2"/>
        <v>0</v>
      </c>
      <c r="G65" s="71">
        <f t="shared" si="3"/>
        <v>0</v>
      </c>
      <c r="H65" s="170">
        <f>VLOOKUP(A65,[1]גיליון1!$1:$1048576,17,0)</f>
        <v>0</v>
      </c>
      <c r="I65" s="170">
        <f>VLOOKUP(A65,[1]גיליון1!$1:$1048576,18,0)</f>
        <v>0</v>
      </c>
      <c r="J65" s="170">
        <v>0</v>
      </c>
      <c r="K65" s="12">
        <f>VLOOKUP(A65,[1]גיליון1!$1:$1048576,18,0)</f>
        <v>0</v>
      </c>
      <c r="L65" s="69">
        <f>VLOOKUP(A65,'תפוקה מצטברת מול אשתקד'!A:O,8,0)</f>
        <v>0</v>
      </c>
      <c r="M65" s="72">
        <f>VLOOKUP(A65,'תפוקה מצטברת מול אשתקד'!A:O,9,0)</f>
        <v>0</v>
      </c>
      <c r="N65" s="72">
        <f>VLOOKUP(A65,'תפוקה מצטברת מול אשתקד'!A:O,10,0)</f>
        <v>0</v>
      </c>
      <c r="O65" s="72">
        <f>VLOOKUP(A65,'תפוקה מצטברת מול אשתקד'!A:O,11,0)</f>
        <v>0</v>
      </c>
    </row>
    <row r="66" spans="1:15" x14ac:dyDescent="0.25">
      <c r="A66" s="27" t="s">
        <v>100</v>
      </c>
      <c r="B66" s="27" t="s">
        <v>56</v>
      </c>
      <c r="C66" s="27" t="s">
        <v>111</v>
      </c>
      <c r="D66" s="71">
        <f t="shared" si="13"/>
        <v>1</v>
      </c>
      <c r="E66" s="71">
        <f t="shared" si="13"/>
        <v>0</v>
      </c>
      <c r="F66" s="71">
        <f t="shared" ref="F66:F72" si="14">IF(N66=0,0%,IF(J66=0,100%,N66/J66-1))</f>
        <v>1</v>
      </c>
      <c r="G66" s="71">
        <f t="shared" ref="G66:G72" si="15">IF(O66=0,0%,IF(K66=0,100%,O66/K66-1))</f>
        <v>1</v>
      </c>
      <c r="H66" s="170">
        <v>0</v>
      </c>
      <c r="I66" s="170">
        <v>0</v>
      </c>
      <c r="J66" s="170">
        <v>0</v>
      </c>
      <c r="K66" s="12">
        <v>0</v>
      </c>
      <c r="L66" s="69">
        <f>VLOOKUP(A66,'תפוקה מצטברת מול אשתקד'!A:O,8,0)</f>
        <v>33642.58</v>
      </c>
      <c r="M66" s="72">
        <f>VLOOKUP(A66,'תפוקה מצטברת מול אשתקד'!A:O,9,0)</f>
        <v>0</v>
      </c>
      <c r="N66" s="72">
        <f>VLOOKUP(A66,'תפוקה מצטברת מול אשתקד'!A:O,10,0)</f>
        <v>2000</v>
      </c>
      <c r="O66" s="72">
        <f>VLOOKUP(A66,'תפוקה מצטברת מול אשתקד'!A:O,11,0)</f>
        <v>398417.22</v>
      </c>
    </row>
    <row r="67" spans="1:15" x14ac:dyDescent="0.25">
      <c r="A67" s="27" t="s">
        <v>101</v>
      </c>
      <c r="B67" s="27" t="s">
        <v>56</v>
      </c>
      <c r="C67" s="27" t="s">
        <v>111</v>
      </c>
      <c r="D67" s="71">
        <f t="shared" si="13"/>
        <v>0</v>
      </c>
      <c r="E67" s="71">
        <f t="shared" si="13"/>
        <v>1</v>
      </c>
      <c r="F67" s="71">
        <f t="shared" si="14"/>
        <v>0</v>
      </c>
      <c r="G67" s="71">
        <f t="shared" si="15"/>
        <v>0</v>
      </c>
      <c r="H67" s="170">
        <v>0</v>
      </c>
      <c r="I67" s="170">
        <v>0</v>
      </c>
      <c r="J67" s="170">
        <v>0</v>
      </c>
      <c r="K67" s="12">
        <v>0</v>
      </c>
      <c r="L67" s="69">
        <f>VLOOKUP(A67,'תפוקה מצטברת מול אשתקד'!A:O,8,0)</f>
        <v>0</v>
      </c>
      <c r="M67" s="72">
        <f>VLOOKUP(A67,'תפוקה מצטברת מול אשתקד'!A:O,9,0)</f>
        <v>14968.174225000001</v>
      </c>
      <c r="N67" s="72">
        <f>VLOOKUP(A67,'תפוקה מצטברת מול אשתקד'!A:O,10,0)</f>
        <v>0</v>
      </c>
      <c r="O67" s="72">
        <f>VLOOKUP(A67,'תפוקה מצטברת מול אשתקד'!A:O,11,0)</f>
        <v>0</v>
      </c>
    </row>
    <row r="68" spans="1:15" x14ac:dyDescent="0.25">
      <c r="A68" s="27" t="s">
        <v>108</v>
      </c>
      <c r="B68" s="27" t="s">
        <v>56</v>
      </c>
      <c r="C68" s="27" t="s">
        <v>111</v>
      </c>
      <c r="D68" s="71">
        <f t="shared" si="13"/>
        <v>-0.98069319786988896</v>
      </c>
      <c r="E68" s="71">
        <f t="shared" si="13"/>
        <v>-0.97459780939999996</v>
      </c>
      <c r="F68" s="71">
        <f t="shared" si="14"/>
        <v>-0.97739696200000004</v>
      </c>
      <c r="G68" s="71">
        <f t="shared" si="15"/>
        <v>-0.36603786666666671</v>
      </c>
      <c r="H68" s="170">
        <f>VLOOKUP(A68,[1]גיליון1!$1:$1048576,17,0)</f>
        <v>1000000</v>
      </c>
      <c r="I68" s="170">
        <f>VLOOKUP(A68,[1]גיליון1!$1:$1048576,18,0)</f>
        <v>150000</v>
      </c>
      <c r="J68" s="170">
        <f>VLOOKUP(A68,[2]גיליון1!$A:$T,19,0)</f>
        <v>5000000</v>
      </c>
      <c r="K68" s="12">
        <f>VLOOKUP(A68,[1]גיליון1!$1:$1048576,18,0)</f>
        <v>150000</v>
      </c>
      <c r="L68" s="69">
        <f>VLOOKUP(A68,'תפוקה מצטברת מול אשתקד'!A:O,8,0)</f>
        <v>19306.802130111002</v>
      </c>
      <c r="M68" s="72">
        <f>VLOOKUP(A68,'תפוקה מצטברת מול אשתקד'!A:O,9,0)</f>
        <v>3810.3285900000001</v>
      </c>
      <c r="N68" s="72">
        <f>VLOOKUP(A68,'תפוקה מצטברת מול אשתקד'!A:O,10,0)</f>
        <v>113015.19</v>
      </c>
      <c r="O68" s="72">
        <f>VLOOKUP(A68,'תפוקה מצטברת מול אשתקד'!A:O,11,0)</f>
        <v>95094.319999999992</v>
      </c>
    </row>
    <row r="69" spans="1:15" x14ac:dyDescent="0.25">
      <c r="A69" s="112" t="s">
        <v>109</v>
      </c>
      <c r="B69" s="27" t="s">
        <v>56</v>
      </c>
      <c r="C69" s="27" t="s">
        <v>111</v>
      </c>
      <c r="D69" s="71">
        <f t="shared" si="13"/>
        <v>-0.89207595043802179</v>
      </c>
      <c r="E69" s="71">
        <f t="shared" si="13"/>
        <v>-0.8694506972871604</v>
      </c>
      <c r="F69" s="71">
        <f t="shared" si="14"/>
        <v>-0.94797701833333337</v>
      </c>
      <c r="G69" s="71">
        <f t="shared" si="15"/>
        <v>13.78404924</v>
      </c>
      <c r="H69" s="170">
        <f>VLOOKUP(A69,[1]גיליון1!$1:$1048576,17,0)</f>
        <v>3000000</v>
      </c>
      <c r="I69" s="170">
        <f>VLOOKUP(A69,[1]גיליון1!$1:$1048576,18,0)</f>
        <v>250000</v>
      </c>
      <c r="J69" s="170">
        <f>VLOOKUP(A69,[2]גיליון1!$A:$T,19,0)</f>
        <v>30000000</v>
      </c>
      <c r="K69" s="12">
        <f>VLOOKUP(A69,[1]גיליון1!$1:$1048576,18,0)</f>
        <v>250000</v>
      </c>
      <c r="L69" s="69">
        <f>VLOOKUP(A69,'תפוקה מצטברת מול אשתקד'!A:O,8,0)</f>
        <v>323772.14868593478</v>
      </c>
      <c r="M69" s="72">
        <f>VLOOKUP(A69,'תפוקה מצטברת מול אשתקד'!A:O,9,0)</f>
        <v>32637.325678209905</v>
      </c>
      <c r="N69" s="72">
        <f>VLOOKUP(A69,'תפוקה מצטברת מול אשתקד'!A:O,10,0)</f>
        <v>1560689.4500000002</v>
      </c>
      <c r="O69" s="72">
        <f>VLOOKUP(A69,'תפוקה מצטברת מול אשתקד'!A:O,11,0)</f>
        <v>3696012.31</v>
      </c>
    </row>
    <row r="70" spans="1:15" ht="16.5" thickBot="1" x14ac:dyDescent="0.3">
      <c r="A70" s="27" t="s">
        <v>89</v>
      </c>
      <c r="B70" s="27" t="s">
        <v>56</v>
      </c>
      <c r="C70" s="27" t="s">
        <v>111</v>
      </c>
      <c r="D70" s="71">
        <f t="shared" si="13"/>
        <v>-0.96110691999999998</v>
      </c>
      <c r="E70" s="71">
        <f t="shared" si="13"/>
        <v>3.690343665266667</v>
      </c>
      <c r="F70" s="71">
        <f t="shared" si="14"/>
        <v>-0.72126551999999999</v>
      </c>
      <c r="G70" s="71">
        <f t="shared" si="15"/>
        <v>0</v>
      </c>
      <c r="H70" s="170">
        <f>VLOOKUP(A70,[1]גיליון1!$1:$1048576,17,0)</f>
        <v>500000</v>
      </c>
      <c r="I70" s="170">
        <f>VLOOKUP(A70,[1]גיליון1!$1:$1048576,18,0)</f>
        <v>150000</v>
      </c>
      <c r="J70" s="170">
        <f>VLOOKUP(A70,[2]גיליון1!$A:$T,19,0)</f>
        <v>500000</v>
      </c>
      <c r="K70" s="12">
        <f>VLOOKUP(A70,[1]גיליון1!$1:$1048576,18,0)</f>
        <v>150000</v>
      </c>
      <c r="L70" s="69">
        <f>VLOOKUP(A70,'תפוקה מצטברת מול אשתקד'!A:O,8,0)</f>
        <v>19446.54</v>
      </c>
      <c r="M70" s="72">
        <f>VLOOKUP(A70,'תפוקה מצטברת מול אשתקד'!A:O,9,0)</f>
        <v>703551.54979000008</v>
      </c>
      <c r="N70" s="72">
        <f>VLOOKUP(A70,'תפוקה מצטברת מול אשתקד'!A:O,10,0)</f>
        <v>139367.24</v>
      </c>
      <c r="O70" s="72">
        <f>VLOOKUP(A70,'תפוקה מצטברת מול אשתקד'!A:O,11,0)</f>
        <v>0</v>
      </c>
    </row>
    <row r="71" spans="1:15" ht="21.75" thickBot="1" x14ac:dyDescent="0.3">
      <c r="A71" s="17" t="s">
        <v>44</v>
      </c>
      <c r="B71" s="67"/>
      <c r="C71" s="116"/>
      <c r="D71" s="148">
        <f t="shared" si="13"/>
        <v>-0.93182141382923911</v>
      </c>
      <c r="E71" s="148">
        <f t="shared" si="13"/>
        <v>-0.35495869599368457</v>
      </c>
      <c r="F71" s="148">
        <f t="shared" si="14"/>
        <v>-0.93744387749772273</v>
      </c>
      <c r="G71" s="148">
        <f t="shared" si="15"/>
        <v>3.4450864230769227</v>
      </c>
      <c r="H71" s="73">
        <f>SUM(H63:H70)</f>
        <v>8500000</v>
      </c>
      <c r="I71" s="73">
        <f t="shared" ref="I71:O71" si="16">SUM(I63:I70)</f>
        <v>1300000</v>
      </c>
      <c r="J71" s="73">
        <f t="shared" si="16"/>
        <v>50500000</v>
      </c>
      <c r="K71" s="73">
        <f t="shared" si="16"/>
        <v>1300000</v>
      </c>
      <c r="L71" s="73">
        <f t="shared" si="16"/>
        <v>579517.98245146789</v>
      </c>
      <c r="M71" s="73">
        <f t="shared" si="16"/>
        <v>838553.69520821003</v>
      </c>
      <c r="N71" s="73">
        <f t="shared" si="16"/>
        <v>3159084.186365</v>
      </c>
      <c r="O71" s="73">
        <f t="shared" si="16"/>
        <v>5778612.3499999996</v>
      </c>
    </row>
    <row r="72" spans="1:15" ht="21.75" thickBot="1" x14ac:dyDescent="0.3">
      <c r="A72" s="17" t="s">
        <v>45</v>
      </c>
      <c r="B72" s="67"/>
      <c r="C72" s="116"/>
      <c r="D72" s="148">
        <f t="shared" si="13"/>
        <v>-0.99825124622383055</v>
      </c>
      <c r="E72" s="148">
        <f t="shared" si="13"/>
        <v>-0.72326072592968038</v>
      </c>
      <c r="F72" s="148">
        <f t="shared" si="14"/>
        <v>-0.90402295710310199</v>
      </c>
      <c r="G72" s="148">
        <f t="shared" si="15"/>
        <v>2.4022567601431986</v>
      </c>
      <c r="H72" s="150">
        <f>H71+H62+H54+H21+H8</f>
        <v>2800300000</v>
      </c>
      <c r="I72" s="150">
        <f t="shared" ref="I72:O72" si="17">I71+I62+I54+I21+I8</f>
        <v>8820000</v>
      </c>
      <c r="J72" s="150">
        <f>J71+J62+J54+J21+J8</f>
        <v>170650000</v>
      </c>
      <c r="K72" s="150">
        <f>K71+K62+K54+K21+K8</f>
        <v>8380000</v>
      </c>
      <c r="L72" s="150">
        <f t="shared" si="17"/>
        <v>4897035.1994073531</v>
      </c>
      <c r="M72" s="150">
        <f t="shared" si="17"/>
        <v>2440840.3973002187</v>
      </c>
      <c r="N72" s="150">
        <f t="shared" si="17"/>
        <v>16378482.370355651</v>
      </c>
      <c r="O72" s="150">
        <f t="shared" si="17"/>
        <v>28510911.650000002</v>
      </c>
    </row>
    <row r="73" spans="1:15" x14ac:dyDescent="0.25">
      <c r="H73" s="101"/>
    </row>
    <row r="74" spans="1:15" x14ac:dyDescent="0.25">
      <c r="H74" s="101"/>
      <c r="I74" s="101"/>
    </row>
    <row r="75" spans="1:15" x14ac:dyDescent="0.25">
      <c r="N75" s="101"/>
    </row>
    <row r="76" spans="1:15" x14ac:dyDescent="0.25">
      <c r="K76"/>
      <c r="L76"/>
      <c r="M76"/>
      <c r="N76"/>
      <c r="O76"/>
    </row>
    <row r="77" spans="1:15" x14ac:dyDescent="0.25">
      <c r="K77"/>
      <c r="L77" s="6"/>
      <c r="M77" s="6"/>
      <c r="N77" s="6"/>
      <c r="O77" s="6"/>
    </row>
    <row r="78" spans="1:15" x14ac:dyDescent="0.25">
      <c r="K78"/>
      <c r="L78"/>
      <c r="M78"/>
      <c r="N78"/>
      <c r="O78"/>
    </row>
    <row r="79" spans="1:15" x14ac:dyDescent="0.25">
      <c r="K79"/>
      <c r="L79"/>
      <c r="M79"/>
      <c r="N79"/>
      <c r="O79"/>
    </row>
    <row r="80" spans="1:15" x14ac:dyDescent="0.25">
      <c r="K80"/>
      <c r="L80"/>
      <c r="M80"/>
      <c r="N80"/>
      <c r="O80"/>
    </row>
    <row r="81" spans="11:15" x14ac:dyDescent="0.25">
      <c r="K81"/>
      <c r="L81"/>
      <c r="M81"/>
      <c r="N81"/>
      <c r="O81"/>
    </row>
    <row r="84" spans="11:15" x14ac:dyDescent="0.25">
      <c r="L84" s="101"/>
      <c r="M84" s="101"/>
      <c r="N84" s="101"/>
      <c r="O84" s="101"/>
    </row>
  </sheetData>
  <autoFilter ref="A2:P72" xr:uid="{C3908895-D3E4-49E3-AA83-C6D39DC12A72}"/>
  <mergeCells count="2">
    <mergeCell ref="L1:O1"/>
    <mergeCell ref="D1:G1"/>
  </mergeCells>
  <conditionalFormatting sqref="A14">
    <cfRule type="duplicateValues" dxfId="267" priority="3"/>
    <cfRule type="duplicateValues" dxfId="266" priority="4"/>
  </conditionalFormatting>
  <conditionalFormatting sqref="A56">
    <cfRule type="duplicateValues" dxfId="265" priority="7"/>
    <cfRule type="duplicateValues" dxfId="264" priority="8"/>
  </conditionalFormatting>
  <conditionalFormatting sqref="A58">
    <cfRule type="duplicateValues" dxfId="263" priority="1"/>
    <cfRule type="duplicateValues" dxfId="262" priority="2"/>
  </conditionalFormatting>
  <conditionalFormatting sqref="A59 A55 A57 A7 A22:A53 A61">
    <cfRule type="duplicateValues" dxfId="261" priority="232"/>
    <cfRule type="duplicateValues" dxfId="260" priority="233"/>
  </conditionalFormatting>
  <conditionalFormatting sqref="A63:A70">
    <cfRule type="duplicateValues" dxfId="259" priority="11"/>
    <cfRule type="duplicateValues" dxfId="258" priority="12"/>
  </conditionalFormatting>
  <conditionalFormatting sqref="A71:A72 A1:A6 A8:A13 A15:A21 A54 A62">
    <cfRule type="duplicateValues" dxfId="257" priority="9"/>
    <cfRule type="duplicateValues" dxfId="256" priority="10"/>
  </conditionalFormatting>
  <conditionalFormatting sqref="D1 D2:G1048576">
    <cfRule type="cellIs" dxfId="255" priority="30" operator="lessThan">
      <formula>-0.0001</formula>
    </cfRule>
  </conditionalFormatting>
  <conditionalFormatting sqref="D3:G1048576">
    <cfRule type="cellIs" dxfId="254" priority="36" operator="greaterThan">
      <formula>0.1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A0E-83EC-4DBB-BD3E-7E64456E7812}">
  <sheetPr>
    <tabColor theme="4" tint="0.39997558519241921"/>
  </sheetPr>
  <dimension ref="A1:O79"/>
  <sheetViews>
    <sheetView rightToLeft="1" workbookViewId="0">
      <selection activeCell="F10" sqref="F10"/>
    </sheetView>
  </sheetViews>
  <sheetFormatPr defaultRowHeight="15.75" x14ac:dyDescent="0.25"/>
  <cols>
    <col min="1" max="1" width="27.5703125" style="1" bestFit="1" customWidth="1"/>
    <col min="2" max="2" width="10.140625" style="1" bestFit="1" customWidth="1"/>
    <col min="3" max="3" width="10.42578125" style="1" bestFit="1" customWidth="1"/>
    <col min="4" max="4" width="10.7109375" style="3" bestFit="1" customWidth="1"/>
    <col min="5" max="5" width="11" style="3" bestFit="1" customWidth="1"/>
    <col min="6" max="6" width="11.7109375" style="3" bestFit="1" customWidth="1"/>
    <col min="7" max="8" width="13.5703125" style="3" bestFit="1" customWidth="1"/>
    <col min="9" max="9" width="12" style="3" bestFit="1" customWidth="1"/>
    <col min="10" max="11" width="15" style="3" bestFit="1" customWidth="1"/>
    <col min="12" max="13" width="13.5703125" style="3" bestFit="1" customWidth="1"/>
    <col min="14" max="15" width="15" style="3" bestFit="1" customWidth="1"/>
    <col min="16" max="16" width="19" bestFit="1" customWidth="1"/>
    <col min="18" max="19" width="9.85546875" bestFit="1" customWidth="1"/>
    <col min="20" max="20" width="12.42578125" bestFit="1" customWidth="1"/>
    <col min="21" max="21" width="10.85546875" bestFit="1" customWidth="1"/>
    <col min="22" max="22" width="9.85546875" bestFit="1" customWidth="1"/>
    <col min="23" max="23" width="12.42578125" bestFit="1" customWidth="1"/>
  </cols>
  <sheetData>
    <row r="1" spans="1:15" ht="21" x14ac:dyDescent="0.25">
      <c r="A1" s="27"/>
      <c r="B1" s="27"/>
      <c r="C1" s="27"/>
      <c r="D1" s="267" t="s">
        <v>62</v>
      </c>
      <c r="E1" s="268"/>
      <c r="F1" s="268"/>
      <c r="G1" s="269"/>
      <c r="H1" s="270" t="s">
        <v>128</v>
      </c>
      <c r="I1" s="271"/>
      <c r="J1" s="271"/>
      <c r="K1" s="272"/>
      <c r="L1" s="266" t="s">
        <v>123</v>
      </c>
      <c r="M1" s="266"/>
      <c r="N1" s="266"/>
      <c r="O1" s="266"/>
    </row>
    <row r="2" spans="1:15" ht="21" x14ac:dyDescent="0.25">
      <c r="A2" s="11" t="s">
        <v>0</v>
      </c>
      <c r="B2" s="24" t="s">
        <v>53</v>
      </c>
      <c r="C2" s="24" t="s">
        <v>117</v>
      </c>
      <c r="D2" s="25" t="s">
        <v>46</v>
      </c>
      <c r="E2" s="25" t="s">
        <v>50</v>
      </c>
      <c r="F2" s="25" t="s">
        <v>51</v>
      </c>
      <c r="G2" s="25" t="s">
        <v>49</v>
      </c>
      <c r="H2" s="70" t="s">
        <v>46</v>
      </c>
      <c r="I2" s="70" t="s">
        <v>47</v>
      </c>
      <c r="J2" s="70" t="s">
        <v>51</v>
      </c>
      <c r="K2" s="70" t="s">
        <v>49</v>
      </c>
      <c r="L2" s="26" t="s">
        <v>46</v>
      </c>
      <c r="M2" s="26" t="s">
        <v>47</v>
      </c>
      <c r="N2" s="26" t="s">
        <v>48</v>
      </c>
      <c r="O2" s="26" t="s">
        <v>49</v>
      </c>
    </row>
    <row r="3" spans="1:15" x14ac:dyDescent="0.25">
      <c r="A3" s="27" t="s">
        <v>1</v>
      </c>
      <c r="B3" s="27" t="s">
        <v>116</v>
      </c>
      <c r="C3" s="27" t="s">
        <v>58</v>
      </c>
      <c r="D3" s="20">
        <f>IF(L3=0,0%,IF(H3=0,100%,L3/H3-1))</f>
        <v>-0.50346331061334881</v>
      </c>
      <c r="E3" s="20">
        <f>IF(M3=0,0%,IF(I3=0,100%,M3/I3-1))</f>
        <v>8.259992032662189E-2</v>
      </c>
      <c r="F3" s="20">
        <f>IF(N3=0,0%,IF(J3=0,100%,N3/J3-1))</f>
        <v>-0.54499123766446134</v>
      </c>
      <c r="G3" s="20">
        <f>IF(O3=0,0%,IF(K3=0,100%,O3/K3-1))</f>
        <v>-0.4895993623188406</v>
      </c>
      <c r="H3" s="234">
        <v>2160000</v>
      </c>
      <c r="I3" s="235">
        <v>123500</v>
      </c>
      <c r="J3" s="235">
        <v>6900000.0000000009</v>
      </c>
      <c r="K3" s="236">
        <v>13800000.000000002</v>
      </c>
      <c r="L3" s="68">
        <f>'תפוקה מצטברת מול אשתקד'!H3</f>
        <v>1072519.2490751664</v>
      </c>
      <c r="M3" s="68">
        <f>'תפוקה מצטברת מול אשתקד'!I3</f>
        <v>133701.0901603378</v>
      </c>
      <c r="N3" s="68">
        <f>'תפוקה מצטברת מול אשתקד'!J3</f>
        <v>3139560.4601152171</v>
      </c>
      <c r="O3" s="68">
        <f>'תפוקה מצטברת מול אשתקד'!K3</f>
        <v>7043528.8000000007</v>
      </c>
    </row>
    <row r="4" spans="1:15" x14ac:dyDescent="0.25">
      <c r="A4" s="27" t="s">
        <v>2</v>
      </c>
      <c r="B4" s="27" t="s">
        <v>116</v>
      </c>
      <c r="C4" s="27" t="s">
        <v>58</v>
      </c>
      <c r="D4" s="20">
        <f t="shared" ref="D4:D65" si="0">IF(L4=0,0%,IF(H4=0,100%,L4/H4-1))</f>
        <v>-0.90406399999999998</v>
      </c>
      <c r="E4" s="20">
        <f t="shared" ref="E4:E65" si="1">IF(M4=0,0%,IF(I4=0,100%,M4/I4-1))</f>
        <v>1</v>
      </c>
      <c r="F4" s="20">
        <f t="shared" ref="F4:F65" si="2">IF(N4=0,0%,IF(J4=0,100%,N4/J4-1))</f>
        <v>-0.92109405217391305</v>
      </c>
      <c r="G4" s="20">
        <f t="shared" ref="G4:G65" si="3">IF(O4=0,0%,IF(K4=0,100%,O4/K4-1))</f>
        <v>-1.0026837028985507</v>
      </c>
      <c r="H4" s="234">
        <v>180000</v>
      </c>
      <c r="I4" s="235">
        <v>0</v>
      </c>
      <c r="J4" s="235">
        <v>3450000.0000000005</v>
      </c>
      <c r="K4" s="236">
        <v>2760000</v>
      </c>
      <c r="L4" s="68">
        <f>'תפוקה מצטברת מול אשתקד'!H4</f>
        <v>17268.48</v>
      </c>
      <c r="M4" s="68">
        <f>'תפוקה מצטברת מול אשתקד'!I4</f>
        <v>250000</v>
      </c>
      <c r="N4" s="68">
        <f>'תפוקה מצטברת מול אשתקד'!J4</f>
        <v>272225.52</v>
      </c>
      <c r="O4" s="68">
        <f>'תפוקה מצטברת מול אשתקד'!K4</f>
        <v>-7407.0199999999968</v>
      </c>
    </row>
    <row r="5" spans="1:15" x14ac:dyDescent="0.25">
      <c r="A5" s="27" t="s">
        <v>112</v>
      </c>
      <c r="B5" s="27" t="s">
        <v>116</v>
      </c>
      <c r="C5" s="27" t="s">
        <v>58</v>
      </c>
      <c r="D5" s="20">
        <f t="shared" si="0"/>
        <v>0</v>
      </c>
      <c r="E5" s="20">
        <f t="shared" si="1"/>
        <v>0.37003157894736849</v>
      </c>
      <c r="F5" s="20">
        <f t="shared" si="2"/>
        <v>0</v>
      </c>
      <c r="G5" s="20">
        <f t="shared" si="3"/>
        <v>0</v>
      </c>
      <c r="H5" s="234">
        <v>0</v>
      </c>
      <c r="I5" s="235">
        <v>28500</v>
      </c>
      <c r="J5" s="235">
        <v>0</v>
      </c>
      <c r="K5" s="236">
        <v>0</v>
      </c>
      <c r="L5" s="68">
        <f>'תפוקה מצטברת מול אשתקד'!H5</f>
        <v>0</v>
      </c>
      <c r="M5" s="68">
        <f>'תפוקה מצטברת מול אשתקד'!I5</f>
        <v>39045.9</v>
      </c>
      <c r="N5" s="68">
        <f>'תפוקה מצטברת מול אשתקד'!J5</f>
        <v>0</v>
      </c>
      <c r="O5" s="68">
        <f>'תפוקה מצטברת מול אשתקד'!K5</f>
        <v>0</v>
      </c>
    </row>
    <row r="6" spans="1:15" x14ac:dyDescent="0.25">
      <c r="A6" s="27" t="s">
        <v>113</v>
      </c>
      <c r="B6" s="27" t="s">
        <v>116</v>
      </c>
      <c r="C6" s="27" t="s">
        <v>58</v>
      </c>
      <c r="D6" s="20">
        <f t="shared" si="0"/>
        <v>-0.34103695133333334</v>
      </c>
      <c r="E6" s="20">
        <f t="shared" si="1"/>
        <v>-0.66276631578947365</v>
      </c>
      <c r="F6" s="20">
        <f t="shared" si="2"/>
        <v>-0.97463768115942029</v>
      </c>
      <c r="G6" s="20">
        <f t="shared" si="3"/>
        <v>0.46416101449275371</v>
      </c>
      <c r="H6" s="234">
        <v>60000</v>
      </c>
      <c r="I6" s="235">
        <v>23750</v>
      </c>
      <c r="J6" s="235">
        <v>276000</v>
      </c>
      <c r="K6" s="236">
        <v>138000</v>
      </c>
      <c r="L6" s="68">
        <f>'תפוקה מצטברת מול אשתקד'!H6</f>
        <v>39537.782919999998</v>
      </c>
      <c r="M6" s="68">
        <f>'תפוקה מצטברת מול אשתקד'!I6</f>
        <v>8009.2999999999993</v>
      </c>
      <c r="N6" s="68">
        <f>'תפוקה מצטברת מול אשתקד'!J6</f>
        <v>7000</v>
      </c>
      <c r="O6" s="68">
        <f>'תפוקה מצטברת מול אשתקד'!K6</f>
        <v>202054.22</v>
      </c>
    </row>
    <row r="7" spans="1:15" x14ac:dyDescent="0.25">
      <c r="A7" s="27" t="s">
        <v>34</v>
      </c>
      <c r="B7" s="27" t="s">
        <v>116</v>
      </c>
      <c r="C7" s="28" t="s">
        <v>58</v>
      </c>
      <c r="D7" s="20">
        <f>IF(L7=0,0%,IF(H7=0,100%,L7/H7-1))</f>
        <v>0</v>
      </c>
      <c r="E7" s="20">
        <f>IF(M7=0,0%,IF(I7=0,100%,M7/I7-1))</f>
        <v>0</v>
      </c>
      <c r="F7" s="20">
        <f>IF(N7=0,0%,IF(J7=0,100%,N7/J7-1))</f>
        <v>0</v>
      </c>
      <c r="G7" s="20">
        <f>IF(O7=0,0%,IF(K7=0,100%,O7/K7-1))</f>
        <v>0</v>
      </c>
      <c r="H7" s="234">
        <v>0</v>
      </c>
      <c r="I7" s="235">
        <v>0</v>
      </c>
      <c r="J7" s="235">
        <v>138000</v>
      </c>
      <c r="K7" s="236">
        <v>69000</v>
      </c>
      <c r="L7" s="68">
        <f>'תפוקה מצטברת מול אשתקד'!H7</f>
        <v>0</v>
      </c>
      <c r="M7" s="68">
        <f>'תפוקה מצטברת מול אשתקד'!I7</f>
        <v>0</v>
      </c>
      <c r="N7" s="68">
        <f>'תפוקה מצטברת מול אשתקד'!J7</f>
        <v>0</v>
      </c>
      <c r="O7" s="68">
        <f>'תפוקה מצטברת מול אשתקד'!K7</f>
        <v>0</v>
      </c>
    </row>
    <row r="8" spans="1:15" ht="21" x14ac:dyDescent="0.25">
      <c r="A8" s="121" t="s">
        <v>3</v>
      </c>
      <c r="B8" s="122"/>
      <c r="C8" s="116"/>
      <c r="D8" s="20">
        <f t="shared" si="0"/>
        <v>-0.5294477033353473</v>
      </c>
      <c r="E8" s="20">
        <f t="shared" si="1"/>
        <v>1.4509603992053361</v>
      </c>
      <c r="F8" s="20">
        <f t="shared" si="2"/>
        <v>-0.68238703269089407</v>
      </c>
      <c r="G8" s="20">
        <f t="shared" si="3"/>
        <v>-0.56830822448857876</v>
      </c>
      <c r="H8" s="151">
        <f>SUM(H3:H7)</f>
        <v>2400000</v>
      </c>
      <c r="I8" s="151">
        <f t="shared" ref="I8:K8" si="4">SUM(I3:I7)</f>
        <v>175750</v>
      </c>
      <c r="J8" s="151">
        <f t="shared" si="4"/>
        <v>10764000.000000002</v>
      </c>
      <c r="K8" s="151">
        <f t="shared" si="4"/>
        <v>16767000.000000002</v>
      </c>
      <c r="L8" s="151">
        <f t="shared" ref="L8:O8" si="5">SUM(L3:L6)</f>
        <v>1129325.5119951663</v>
      </c>
      <c r="M8" s="151">
        <f t="shared" si="5"/>
        <v>430756.29016033781</v>
      </c>
      <c r="N8" s="151">
        <f t="shared" si="5"/>
        <v>3418785.9801152172</v>
      </c>
      <c r="O8" s="151">
        <f t="shared" si="5"/>
        <v>7238176.0000000009</v>
      </c>
    </row>
    <row r="9" spans="1:15" x14ac:dyDescent="0.25">
      <c r="A9" s="27" t="s">
        <v>4</v>
      </c>
      <c r="B9" s="27" t="s">
        <v>116</v>
      </c>
      <c r="C9" s="27" t="s">
        <v>114</v>
      </c>
      <c r="D9" s="20">
        <f t="shared" si="0"/>
        <v>1</v>
      </c>
      <c r="E9" s="20">
        <f t="shared" si="1"/>
        <v>0</v>
      </c>
      <c r="F9" s="20">
        <f t="shared" si="2"/>
        <v>0</v>
      </c>
      <c r="G9" s="20">
        <f t="shared" si="3"/>
        <v>1</v>
      </c>
      <c r="H9" s="12">
        <f>VLOOKUP(A9,[1]גיליון1!$A:$P,13,0)</f>
        <v>0</v>
      </c>
      <c r="I9" s="12">
        <f>VLOOKUP(A9,[1]גיליון1!$A:$P,14,0)</f>
        <v>0</v>
      </c>
      <c r="J9" s="12">
        <f>VLOOKUP(A9,[1]גיליון1!$A:$P,15,0)</f>
        <v>0</v>
      </c>
      <c r="K9" s="12">
        <f>VLOOKUP(A9,[1]גיליון1!$A:$P,16,0)</f>
        <v>0</v>
      </c>
      <c r="L9" s="68">
        <f>'תפוקה מצטברת מול אשתקד'!H9</f>
        <v>3973.8196160619941</v>
      </c>
      <c r="M9" s="68">
        <f>'תפוקה מצטברת מול אשתקד'!I9</f>
        <v>0</v>
      </c>
      <c r="N9" s="68">
        <f>'תפוקה מצטברת מול אשתקד'!J9</f>
        <v>0</v>
      </c>
      <c r="O9" s="68">
        <f>'תפוקה מצטברת מול אשתקד'!K9</f>
        <v>-133113.14000000001</v>
      </c>
    </row>
    <row r="10" spans="1:15" x14ac:dyDescent="0.25">
      <c r="A10" s="27" t="s">
        <v>5</v>
      </c>
      <c r="B10" s="27" t="s">
        <v>116</v>
      </c>
      <c r="C10" s="27" t="s">
        <v>114</v>
      </c>
      <c r="D10" s="20">
        <f t="shared" si="0"/>
        <v>-0.86362826319529706</v>
      </c>
      <c r="E10" s="20">
        <f t="shared" si="1"/>
        <v>-7.4656474626055069E-2</v>
      </c>
      <c r="F10" s="20">
        <f t="shared" si="2"/>
        <v>-0.52193478260869564</v>
      </c>
      <c r="G10" s="20">
        <f t="shared" si="3"/>
        <v>-0.32939782608695656</v>
      </c>
      <c r="H10" s="12">
        <f>VLOOKUP(A10,[1]גיליון1!$A:$P,13,0)</f>
        <v>300000</v>
      </c>
      <c r="I10" s="12">
        <f>VLOOKUP(A10,[1]גיליון1!$A:$P,14,0)</f>
        <v>95000</v>
      </c>
      <c r="J10" s="12">
        <f>VLOOKUP(A10,[1]גיליון1!$A:$P,15,0)</f>
        <v>138000</v>
      </c>
      <c r="K10" s="12">
        <f>VLOOKUP(A10,[1]גיליון1!$A:$P,16,0)</f>
        <v>345000</v>
      </c>
      <c r="L10" s="68">
        <f>'תפוקה מצטברת מול אשתקד'!H10</f>
        <v>40911.521041410881</v>
      </c>
      <c r="M10" s="68">
        <f>'תפוקה מצטברת מול אשתקד'!I10</f>
        <v>87907.634910524765</v>
      </c>
      <c r="N10" s="68">
        <f>'תפוקה מצטברת מול אשתקד'!J10</f>
        <v>65973</v>
      </c>
      <c r="O10" s="68">
        <f>'תפוקה מצטברת מול אשתקד'!K10</f>
        <v>231357.75</v>
      </c>
    </row>
    <row r="11" spans="1:15" x14ac:dyDescent="0.25">
      <c r="A11" s="27" t="s">
        <v>6</v>
      </c>
      <c r="B11" s="27" t="s">
        <v>116</v>
      </c>
      <c r="C11" s="27" t="s">
        <v>114</v>
      </c>
      <c r="D11" s="20">
        <f t="shared" si="0"/>
        <v>-0.84702016666666669</v>
      </c>
      <c r="E11" s="20">
        <f t="shared" si="1"/>
        <v>-0.94715331009807013</v>
      </c>
      <c r="F11" s="20">
        <f t="shared" si="2"/>
        <v>1</v>
      </c>
      <c r="G11" s="20">
        <f t="shared" si="3"/>
        <v>0</v>
      </c>
      <c r="H11" s="12">
        <f>VLOOKUP(A11,[1]גיליון1!$A:$P,13,0)</f>
        <v>60000</v>
      </c>
      <c r="I11" s="12">
        <f>VLOOKUP(A11,[1]גיליון1!$A:$P,14,0)</f>
        <v>19000</v>
      </c>
      <c r="J11" s="12">
        <f>VLOOKUP(A11,[1]גיליון1!$A:$P,15,0)</f>
        <v>0</v>
      </c>
      <c r="K11" s="12">
        <f>VLOOKUP(A11,[1]גיליון1!$A:$P,16,0)</f>
        <v>0</v>
      </c>
      <c r="L11" s="68">
        <f>'תפוקה מצטברת מול אשתקד'!H11</f>
        <v>9178.7900000000009</v>
      </c>
      <c r="M11" s="68">
        <f>'תפוקה מצטברת מול אשתקד'!I11</f>
        <v>1004.087108136668</v>
      </c>
      <c r="N11" s="68">
        <f>'תפוקה מצטברת מול אשתקד'!J11</f>
        <v>80000</v>
      </c>
      <c r="O11" s="68">
        <f>'תפוקה מצטברת מול אשתקד'!K11</f>
        <v>0</v>
      </c>
    </row>
    <row r="12" spans="1:15" x14ac:dyDescent="0.25">
      <c r="A12" s="27" t="s">
        <v>7</v>
      </c>
      <c r="B12" s="27" t="s">
        <v>116</v>
      </c>
      <c r="C12" s="27" t="s">
        <v>114</v>
      </c>
      <c r="D12" s="20">
        <f t="shared" si="0"/>
        <v>0</v>
      </c>
      <c r="E12" s="20">
        <f t="shared" si="1"/>
        <v>1</v>
      </c>
      <c r="F12" s="20">
        <f t="shared" si="2"/>
        <v>0</v>
      </c>
      <c r="G12" s="20">
        <f t="shared" si="3"/>
        <v>0</v>
      </c>
      <c r="H12" s="12">
        <f>VLOOKUP(A12,[1]גיליון1!$A:$P,13,0)</f>
        <v>0</v>
      </c>
      <c r="I12" s="12">
        <f>VLOOKUP(A12,[1]גיליון1!$A:$P,14,0)</f>
        <v>0</v>
      </c>
      <c r="J12" s="12">
        <f>VLOOKUP(A12,[1]גיליון1!$A:$P,15,0)</f>
        <v>0</v>
      </c>
      <c r="K12" s="12">
        <f>VLOOKUP(A12,[1]גיליון1!$A:$P,16,0)</f>
        <v>0</v>
      </c>
      <c r="L12" s="68">
        <f>'תפוקה מצטברת מול אשתקד'!H12</f>
        <v>0</v>
      </c>
      <c r="M12" s="68">
        <f>'תפוקה מצטברת מול אשתקד'!I12</f>
        <v>55.61</v>
      </c>
      <c r="N12" s="68">
        <f>'תפוקה מצטברת מול אשתקד'!J12</f>
        <v>0</v>
      </c>
      <c r="O12" s="68">
        <f>'תפוקה מצטברת מול אשתקד'!K12</f>
        <v>0</v>
      </c>
    </row>
    <row r="13" spans="1:15" x14ac:dyDescent="0.25">
      <c r="A13" s="27" t="s">
        <v>8</v>
      </c>
      <c r="B13" s="27" t="s">
        <v>116</v>
      </c>
      <c r="C13" s="27" t="s">
        <v>114</v>
      </c>
      <c r="D13" s="20">
        <f t="shared" si="0"/>
        <v>0</v>
      </c>
      <c r="E13" s="20">
        <f t="shared" si="1"/>
        <v>-0.74851415327596926</v>
      </c>
      <c r="F13" s="20">
        <f t="shared" si="2"/>
        <v>0</v>
      </c>
      <c r="G13" s="20">
        <f t="shared" si="3"/>
        <v>0</v>
      </c>
      <c r="H13" s="12">
        <f>VLOOKUP(A13,[1]גיליון1!$A:$P,13,0)</f>
        <v>0</v>
      </c>
      <c r="I13" s="12">
        <f>VLOOKUP(A13,[1]גיליון1!$A:$P,14,0)</f>
        <v>57000</v>
      </c>
      <c r="J13" s="12">
        <f>VLOOKUP(A13,[1]גיליון1!$A:$P,15,0)</f>
        <v>0</v>
      </c>
      <c r="K13" s="12">
        <f>VLOOKUP(A13,[1]גיליון1!$A:$P,16,0)</f>
        <v>0</v>
      </c>
      <c r="L13" s="68">
        <f>'תפוקה מצטברת מול אשתקד'!H13</f>
        <v>0</v>
      </c>
      <c r="M13" s="68">
        <f>'תפוקה מצטברת מול אשתקד'!I13</f>
        <v>14334.693263269754</v>
      </c>
      <c r="N13" s="68">
        <f>'תפוקה מצטברת מול אשתקד'!J13</f>
        <v>0</v>
      </c>
      <c r="O13" s="68">
        <f>'תפוקה מצטברת מול אשתקד'!K13</f>
        <v>0</v>
      </c>
    </row>
    <row r="14" spans="1:15" x14ac:dyDescent="0.25">
      <c r="A14" s="27" t="s">
        <v>9</v>
      </c>
      <c r="B14" s="27" t="s">
        <v>116</v>
      </c>
      <c r="C14" s="27" t="s">
        <v>114</v>
      </c>
      <c r="D14" s="20">
        <f t="shared" si="0"/>
        <v>0</v>
      </c>
      <c r="E14" s="20">
        <f t="shared" si="1"/>
        <v>-0.98286947368421052</v>
      </c>
      <c r="F14" s="20">
        <f t="shared" si="2"/>
        <v>-0.83427389226449278</v>
      </c>
      <c r="G14" s="20">
        <f t="shared" si="3"/>
        <v>-0.82121606884057974</v>
      </c>
      <c r="H14" s="12">
        <f>VLOOKUP(A14,[1]גיליון1!$A:$P,13,0)</f>
        <v>36000</v>
      </c>
      <c r="I14" s="12">
        <f>VLOOKUP(A14,[1]גיליון1!$A:$P,14,0)</f>
        <v>14250</v>
      </c>
      <c r="J14" s="12">
        <f>VLOOKUP(A14,[1]גיליון1!$A:$P,15,0)</f>
        <v>552000</v>
      </c>
      <c r="K14" s="12">
        <f>VLOOKUP(A14,[1]גיליון1!$A:$P,16,0)</f>
        <v>1656000.0000000002</v>
      </c>
      <c r="L14" s="68">
        <f>'תפוקה מצטברת מול אשתקד'!H14</f>
        <v>0</v>
      </c>
      <c r="M14" s="68">
        <f>'תפוקה מצטברת מול אשתקד'!I14</f>
        <v>244.11</v>
      </c>
      <c r="N14" s="68">
        <f>'תפוקה מצטברת מול אשתקד'!J14</f>
        <v>91480.811470000001</v>
      </c>
      <c r="O14" s="68">
        <f>'תפוקה מצטברת מול אשתקד'!K14</f>
        <v>296066.19</v>
      </c>
    </row>
    <row r="15" spans="1:15" x14ac:dyDescent="0.25">
      <c r="A15" s="27" t="s">
        <v>31</v>
      </c>
      <c r="B15" s="27" t="s">
        <v>116</v>
      </c>
      <c r="C15" s="27" t="s">
        <v>114</v>
      </c>
      <c r="D15" s="20">
        <f t="shared" si="0"/>
        <v>0</v>
      </c>
      <c r="E15" s="20">
        <f t="shared" si="1"/>
        <v>0</v>
      </c>
      <c r="F15" s="20">
        <f t="shared" si="2"/>
        <v>1</v>
      </c>
      <c r="G15" s="20">
        <f t="shared" si="3"/>
        <v>0</v>
      </c>
      <c r="H15" s="12">
        <f>VLOOKUP(A15,[1]גיליון1!$A:$P,13,0)</f>
        <v>0</v>
      </c>
      <c r="I15" s="12">
        <f>VLOOKUP(A15,[1]גיליון1!$A:$P,14,0)</f>
        <v>0</v>
      </c>
      <c r="J15" s="12">
        <f>VLOOKUP(A15,[1]גיליון1!$A:$P,15,0)</f>
        <v>0</v>
      </c>
      <c r="K15" s="12">
        <f>VLOOKUP(A15,[1]גיליון1!$A:$P,16,0)</f>
        <v>0</v>
      </c>
      <c r="L15" s="68">
        <f>'תפוקה מצטברת מול אשתקד'!H15</f>
        <v>0</v>
      </c>
      <c r="M15" s="68">
        <f>'תפוקה מצטברת מול אשתקד'!I15</f>
        <v>0</v>
      </c>
      <c r="N15" s="68">
        <f>'תפוקה מצטברת מול אשתקד'!J15</f>
        <v>214091.17</v>
      </c>
      <c r="O15" s="68">
        <f>'תפוקה מצטברת מול אשתקד'!K15</f>
        <v>0</v>
      </c>
    </row>
    <row r="16" spans="1:15" x14ac:dyDescent="0.25">
      <c r="A16" s="27" t="s">
        <v>104</v>
      </c>
      <c r="B16" s="27" t="s">
        <v>116</v>
      </c>
      <c r="C16" s="27" t="s">
        <v>114</v>
      </c>
      <c r="D16" s="20">
        <f t="shared" si="0"/>
        <v>0</v>
      </c>
      <c r="E16" s="20">
        <f t="shared" si="1"/>
        <v>1</v>
      </c>
      <c r="F16" s="20">
        <f t="shared" si="2"/>
        <v>1</v>
      </c>
      <c r="G16" s="20">
        <f t="shared" si="3"/>
        <v>0</v>
      </c>
      <c r="H16" s="12">
        <f>VLOOKUP(A16,[1]גיליון1!$A:$P,13,0)</f>
        <v>0</v>
      </c>
      <c r="I16" s="12">
        <f>VLOOKUP(A16,[1]גיליון1!$A:$P,14,0)</f>
        <v>0</v>
      </c>
      <c r="J16" s="12">
        <f>VLOOKUP(A16,[1]גיליון1!$A:$P,15,0)</f>
        <v>0</v>
      </c>
      <c r="K16" s="12">
        <f>VLOOKUP(A16,[1]גיליון1!$A:$P,16,0)</f>
        <v>0</v>
      </c>
      <c r="L16" s="68">
        <f>'תפוקה מצטברת מול אשתקד'!H16</f>
        <v>0</v>
      </c>
      <c r="M16" s="68">
        <f>'תפוקה מצטברת מול אשתקד'!I16</f>
        <v>10168.31055</v>
      </c>
      <c r="N16" s="68">
        <f>'תפוקה מצטברת מול אשתקד'!J16</f>
        <v>5983.56</v>
      </c>
      <c r="O16" s="68">
        <f>'תפוקה מצטברת מול אשתקד'!K16</f>
        <v>0</v>
      </c>
    </row>
    <row r="17" spans="1:15" x14ac:dyDescent="0.25">
      <c r="A17" s="27" t="s">
        <v>42</v>
      </c>
      <c r="B17" s="27" t="s">
        <v>116</v>
      </c>
      <c r="C17" s="27" t="s">
        <v>114</v>
      </c>
      <c r="D17" s="20">
        <f t="shared" si="0"/>
        <v>-0.24768090148027011</v>
      </c>
      <c r="E17" s="20">
        <f t="shared" si="1"/>
        <v>-1.2481331495851622E-3</v>
      </c>
      <c r="F17" s="20">
        <f t="shared" si="2"/>
        <v>-0.84891759057971017</v>
      </c>
      <c r="G17" s="20">
        <f t="shared" si="3"/>
        <v>0</v>
      </c>
      <c r="H17" s="12">
        <f>VLOOKUP(A17,[1]גיליון1!$A:$P,13,0)</f>
        <v>180000</v>
      </c>
      <c r="I17" s="12">
        <f>VLOOKUP(A17,[1]גיליון1!$A:$P,14,0)</f>
        <v>57000</v>
      </c>
      <c r="J17" s="12">
        <f>VLOOKUP(A17,[1]גיליון1!$A:$P,15,0)</f>
        <v>1656000.0000000002</v>
      </c>
      <c r="K17" s="12">
        <f>VLOOKUP(A17,[1]גיליון1!$A:$P,16,0)</f>
        <v>828000.00000000012</v>
      </c>
      <c r="L17" s="68">
        <f>'תפוקה מצטברת מול אשתקד'!H17</f>
        <v>135417.43773355137</v>
      </c>
      <c r="M17" s="68">
        <f>'תפוקה מצטברת מול אשתקד'!I17</f>
        <v>56928.856410473643</v>
      </c>
      <c r="N17" s="68">
        <f>'תפוקה מצטברת מול אשתקד'!J17</f>
        <v>250192.47</v>
      </c>
      <c r="O17" s="68">
        <f>'תפוקה מצטברת מול אשתקד'!K17</f>
        <v>0</v>
      </c>
    </row>
    <row r="18" spans="1:15" x14ac:dyDescent="0.25">
      <c r="A18" s="27" t="s">
        <v>43</v>
      </c>
      <c r="B18" s="27" t="s">
        <v>116</v>
      </c>
      <c r="C18" s="27" t="s">
        <v>114</v>
      </c>
      <c r="D18" s="20">
        <f t="shared" si="0"/>
        <v>-0.53151602521174579</v>
      </c>
      <c r="E18" s="20">
        <f t="shared" si="1"/>
        <v>2.1727028177329748</v>
      </c>
      <c r="F18" s="20">
        <f t="shared" si="2"/>
        <v>-0.86842276904140792</v>
      </c>
      <c r="G18" s="20">
        <f t="shared" si="3"/>
        <v>-0.9961907463768116</v>
      </c>
      <c r="H18" s="12">
        <f>VLOOKUP(A18,[1]גיליון1!$A:$P,13,0)</f>
        <v>360000</v>
      </c>
      <c r="I18" s="12">
        <f>VLOOKUP(A18,[1]גיליון1!$A:$P,14,0)</f>
        <v>33250</v>
      </c>
      <c r="J18" s="12">
        <f>VLOOKUP(A18,[1]גיליון1!$A:$P,15,0)</f>
        <v>4830000</v>
      </c>
      <c r="K18" s="12">
        <f>VLOOKUP(A18,[1]גיליון1!$A:$P,16,0)</f>
        <v>1380000</v>
      </c>
      <c r="L18" s="68">
        <f>'תפוקה מצטברת מול אשתקד'!H18</f>
        <v>168654.23092377151</v>
      </c>
      <c r="M18" s="68">
        <f>'תפוקה מצטברת מול אשתקד'!I18</f>
        <v>105492.36868962141</v>
      </c>
      <c r="N18" s="68">
        <f>'תפוקה מצטברת מול אשתקד'!J18</f>
        <v>635518.02552999998</v>
      </c>
      <c r="O18" s="68">
        <f>'תפוקה מצטברת מול אשתקד'!K18</f>
        <v>5256.77</v>
      </c>
    </row>
    <row r="19" spans="1:15" x14ac:dyDescent="0.25">
      <c r="A19" s="27" t="s">
        <v>30</v>
      </c>
      <c r="B19" s="27" t="s">
        <v>116</v>
      </c>
      <c r="C19" s="27" t="s">
        <v>114</v>
      </c>
      <c r="D19" s="20">
        <f t="shared" si="0"/>
        <v>1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12">
        <f>VLOOKUP(A19,[1]גיליון1!$A:$P,13,0)</f>
        <v>0</v>
      </c>
      <c r="I19" s="12">
        <f>VLOOKUP(A19,[1]גיליון1!$A:$P,14,0)</f>
        <v>0</v>
      </c>
      <c r="J19" s="12">
        <f>VLOOKUP(A19,[1]גיליון1!$A:$P,15,0)</f>
        <v>0</v>
      </c>
      <c r="K19" s="12">
        <f>VLOOKUP(A19,[1]גיליון1!$A:$P,16,0)</f>
        <v>0</v>
      </c>
      <c r="L19" s="68">
        <f>'תפוקה מצטברת מול אשתקד'!H19</f>
        <v>460.93</v>
      </c>
      <c r="M19" s="68">
        <f>'תפוקה מצטברת מול אשתקד'!I19</f>
        <v>0</v>
      </c>
      <c r="N19" s="68">
        <f>'תפוקה מצטברת מול אשתקד'!J19</f>
        <v>0</v>
      </c>
      <c r="O19" s="68">
        <f>'תפוקה מצטברת מול אשתקד'!K19</f>
        <v>0</v>
      </c>
    </row>
    <row r="20" spans="1:15" x14ac:dyDescent="0.25">
      <c r="A20" s="27" t="s">
        <v>38</v>
      </c>
      <c r="B20" s="27" t="s">
        <v>116</v>
      </c>
      <c r="C20" s="27" t="s">
        <v>114</v>
      </c>
      <c r="D20" s="20">
        <f t="shared" si="0"/>
        <v>0</v>
      </c>
      <c r="E20" s="20">
        <f t="shared" si="1"/>
        <v>0</v>
      </c>
      <c r="F20" s="20">
        <f t="shared" si="2"/>
        <v>0</v>
      </c>
      <c r="G20" s="20">
        <f t="shared" si="3"/>
        <v>0</v>
      </c>
      <c r="H20" s="12">
        <f>VLOOKUP(A20,[1]גיליון1!$A:$P,13,0)</f>
        <v>0</v>
      </c>
      <c r="I20" s="12">
        <f>VLOOKUP(A20,[1]גיליון1!$A:$P,14,0)</f>
        <v>0</v>
      </c>
      <c r="J20" s="12">
        <f>VLOOKUP(A20,[1]גיליון1!$A:$P,15,0)</f>
        <v>0</v>
      </c>
      <c r="K20" s="12">
        <f>VLOOKUP(A20,[1]גיליון1!$A:$P,16,0)</f>
        <v>0</v>
      </c>
      <c r="L20" s="68">
        <f>'תפוקה מצטברת מול אשתקד'!H20</f>
        <v>0</v>
      </c>
      <c r="M20" s="68">
        <f>'תפוקה מצטברת מול אשתקד'!I20</f>
        <v>0</v>
      </c>
      <c r="N20" s="68">
        <f>'תפוקה מצטברת מול אשתקד'!J20</f>
        <v>0</v>
      </c>
      <c r="O20" s="68">
        <f>'תפוקה מצטברת מול אשתקד'!K20</f>
        <v>0</v>
      </c>
    </row>
    <row r="21" spans="1:15" ht="21.75" thickBot="1" x14ac:dyDescent="0.3">
      <c r="A21" s="16" t="s">
        <v>10</v>
      </c>
      <c r="B21" s="119"/>
      <c r="C21" s="116"/>
      <c r="D21" s="20">
        <f t="shared" si="0"/>
        <v>-0.61688383620214127</v>
      </c>
      <c r="E21" s="20">
        <f t="shared" si="1"/>
        <v>2.30733550644735E-3</v>
      </c>
      <c r="F21" s="20">
        <f t="shared" si="2"/>
        <v>-0.8128150728818283</v>
      </c>
      <c r="G21" s="20">
        <f t="shared" si="3"/>
        <v>-0.90506828937990025</v>
      </c>
      <c r="H21" s="149">
        <f>SUM(H9:H20)</f>
        <v>936000</v>
      </c>
      <c r="I21" s="149">
        <f t="shared" ref="I21:K21" si="6">SUM(I9:I20)</f>
        <v>275500</v>
      </c>
      <c r="J21" s="149">
        <f t="shared" si="6"/>
        <v>7176000</v>
      </c>
      <c r="K21" s="149">
        <f t="shared" si="6"/>
        <v>4209000</v>
      </c>
      <c r="L21" s="149">
        <f t="shared" ref="L21:O21" si="7">SUM(L9:L20)</f>
        <v>358596.72931479575</v>
      </c>
      <c r="M21" s="149">
        <f t="shared" si="7"/>
        <v>276135.67093202623</v>
      </c>
      <c r="N21" s="149">
        <f t="shared" si="7"/>
        <v>1343239.037</v>
      </c>
      <c r="O21" s="149">
        <f t="shared" si="7"/>
        <v>399567.57</v>
      </c>
    </row>
    <row r="22" spans="1:15" x14ac:dyDescent="0.25">
      <c r="A22" s="28" t="s">
        <v>11</v>
      </c>
      <c r="B22" s="28" t="s">
        <v>56</v>
      </c>
      <c r="C22" s="28" t="s">
        <v>115</v>
      </c>
      <c r="D22" s="20">
        <f t="shared" si="0"/>
        <v>-0.47349717341145836</v>
      </c>
      <c r="E22" s="20">
        <f t="shared" si="1"/>
        <v>-0.88470897708978324</v>
      </c>
      <c r="F22" s="20">
        <f t="shared" si="2"/>
        <v>-0.92156188617391299</v>
      </c>
      <c r="G22" s="20">
        <f t="shared" si="3"/>
        <v>0</v>
      </c>
      <c r="H22" s="12">
        <f>VLOOKUP(A22,[1]גיליון1!$A:$P,13,0)</f>
        <v>192000</v>
      </c>
      <c r="I22" s="12">
        <f>VLOOKUP(A22,[1]גיליון1!$A:$P,14,0)</f>
        <v>16150</v>
      </c>
      <c r="J22" s="12">
        <f>VLOOKUP(A22,[1]גיליון1!$A:$P,15,0)</f>
        <v>345000</v>
      </c>
      <c r="K22" s="12">
        <f>VLOOKUP(A22,[1]גיליון1!$A:$P,16,0)</f>
        <v>690000</v>
      </c>
      <c r="L22" s="68">
        <f>'תפוקה מצטברת מול אשתקד'!H22</f>
        <v>101088.542705</v>
      </c>
      <c r="M22" s="68">
        <f>'תפוקה מצטברת מול אשתקד'!I22</f>
        <v>1861.9500200000002</v>
      </c>
      <c r="N22" s="68">
        <f>'תפוקה מצטברת מול אשתקד'!J22</f>
        <v>27061.149270000002</v>
      </c>
      <c r="O22" s="68">
        <f>'תפוקה מצטברת מול אשתקד'!K22</f>
        <v>0</v>
      </c>
    </row>
    <row r="23" spans="1:15" x14ac:dyDescent="0.25">
      <c r="A23" s="31" t="s">
        <v>12</v>
      </c>
      <c r="B23" s="27" t="s">
        <v>56</v>
      </c>
      <c r="C23" s="28" t="s">
        <v>115</v>
      </c>
      <c r="D23" s="20">
        <f t="shared" si="0"/>
        <v>0</v>
      </c>
      <c r="E23" s="20">
        <f t="shared" si="1"/>
        <v>1</v>
      </c>
      <c r="F23" s="20">
        <f t="shared" si="2"/>
        <v>1</v>
      </c>
      <c r="G23" s="20">
        <f t="shared" si="3"/>
        <v>0</v>
      </c>
      <c r="H23" s="12">
        <f>VLOOKUP(A23,[1]גיליון1!$A:$P,13,0)</f>
        <v>0</v>
      </c>
      <c r="I23" s="12">
        <f>VLOOKUP(A23,[1]גיליון1!$A:$P,14,0)</f>
        <v>0</v>
      </c>
      <c r="J23" s="12">
        <f>VLOOKUP(A23,[1]גיליון1!$A:$P,15,0)</f>
        <v>0</v>
      </c>
      <c r="K23" s="12">
        <f>VLOOKUP(A23,[1]גיליון1!$A:$P,16,0)</f>
        <v>0</v>
      </c>
      <c r="L23" s="68">
        <f>'תפוקה מצטברת מול אשתקד'!H23</f>
        <v>0</v>
      </c>
      <c r="M23" s="68">
        <f>'תפוקה מצטברת מול אשתקד'!I23</f>
        <v>4736.2215772980189</v>
      </c>
      <c r="N23" s="68">
        <f>'תפוקה מצטברת מול אשתקד'!J23</f>
        <v>34106.283915</v>
      </c>
      <c r="O23" s="68">
        <f>'תפוקה מצטברת מול אשתקד'!K23</f>
        <v>0</v>
      </c>
    </row>
    <row r="24" spans="1:15" x14ac:dyDescent="0.25">
      <c r="A24" s="31" t="s">
        <v>13</v>
      </c>
      <c r="B24" s="27" t="s">
        <v>56</v>
      </c>
      <c r="C24" s="28" t="s">
        <v>115</v>
      </c>
      <c r="D24" s="20">
        <f t="shared" si="0"/>
        <v>-2.0166695099887226</v>
      </c>
      <c r="E24" s="20">
        <f t="shared" si="1"/>
        <v>0</v>
      </c>
      <c r="F24" s="20">
        <f t="shared" si="2"/>
        <v>0</v>
      </c>
      <c r="G24" s="20">
        <f t="shared" si="3"/>
        <v>0</v>
      </c>
      <c r="H24" s="12">
        <f>VLOOKUP(A24,[1]גיליון1!$A:$P,13,0)</f>
        <v>12000</v>
      </c>
      <c r="I24" s="12">
        <f>VLOOKUP(A24,[1]גיליון1!$A:$P,14,0)</f>
        <v>4750</v>
      </c>
      <c r="J24" s="12">
        <f>VLOOKUP(A24,[1]גיליון1!$A:$P,15,0)</f>
        <v>41400</v>
      </c>
      <c r="K24" s="12">
        <f>VLOOKUP(A24,[1]גיליון1!$A:$P,16,0)</f>
        <v>13800.000000000002</v>
      </c>
      <c r="L24" s="68">
        <f>'תפוקה מצטברת מול אשתקד'!H24</f>
        <v>-12200.034119864669</v>
      </c>
      <c r="M24" s="68">
        <f>'תפוקה מצטברת מול אשתקד'!I24</f>
        <v>0</v>
      </c>
      <c r="N24" s="68">
        <f>'תפוקה מצטברת מול אשתקד'!J24</f>
        <v>0</v>
      </c>
      <c r="O24" s="68">
        <f>'תפוקה מצטברת מול אשתקד'!K24</f>
        <v>0</v>
      </c>
    </row>
    <row r="25" spans="1:15" ht="31.5" x14ac:dyDescent="0.25">
      <c r="A25" s="27" t="s">
        <v>14</v>
      </c>
      <c r="B25" s="27" t="s">
        <v>55</v>
      </c>
      <c r="C25" s="28" t="s">
        <v>115</v>
      </c>
      <c r="D25" s="20">
        <f t="shared" si="0"/>
        <v>-0.99940867521367527</v>
      </c>
      <c r="E25" s="20">
        <f t="shared" si="1"/>
        <v>1</v>
      </c>
      <c r="F25" s="20">
        <f t="shared" si="2"/>
        <v>1</v>
      </c>
      <c r="G25" s="20">
        <f t="shared" si="3"/>
        <v>0</v>
      </c>
      <c r="H25" s="12">
        <f>SUM(H9:H21)</f>
        <v>1872000</v>
      </c>
      <c r="I25" s="12"/>
      <c r="J25" s="12"/>
      <c r="K25" s="12"/>
      <c r="L25" s="68">
        <f>'תפוקה מצטברת מול אשתקד'!H25</f>
        <v>1106.96</v>
      </c>
      <c r="M25" s="68">
        <f>'תפוקה מצטברת מול אשתקד'!I25</f>
        <v>4361.49</v>
      </c>
      <c r="N25" s="68">
        <f>'תפוקה מצטברת מול אשתקד'!J25</f>
        <v>44725.36</v>
      </c>
      <c r="O25" s="68">
        <f>'תפוקה מצטברת מול אשתקד'!K25</f>
        <v>0</v>
      </c>
    </row>
    <row r="26" spans="1:15" x14ac:dyDescent="0.25">
      <c r="A26" s="31" t="s">
        <v>15</v>
      </c>
      <c r="B26" s="27" t="s">
        <v>56</v>
      </c>
      <c r="C26" s="28" t="s">
        <v>115</v>
      </c>
      <c r="D26" s="20">
        <f t="shared" si="0"/>
        <v>-0.95260507446957987</v>
      </c>
      <c r="E26" s="20">
        <f t="shared" si="1"/>
        <v>-0.3991196063103909</v>
      </c>
      <c r="F26" s="20">
        <f t="shared" si="2"/>
        <v>-0.95664085818840583</v>
      </c>
      <c r="G26" s="20">
        <f t="shared" si="3"/>
        <v>0</v>
      </c>
      <c r="H26" s="12">
        <f>VLOOKUP(A26,[1]גיליון1!$A:$P,13,0)</f>
        <v>300000</v>
      </c>
      <c r="I26" s="12">
        <f>VLOOKUP(A26,[1]גיליון1!$A:$P,14,0)</f>
        <v>28500</v>
      </c>
      <c r="J26" s="12">
        <f>VLOOKUP(A26,[1]גיליון1!$A:$P,15,0)</f>
        <v>414000.00000000006</v>
      </c>
      <c r="K26" s="12">
        <f>VLOOKUP(A26,[1]גיליון1!$A:$P,16,0)</f>
        <v>552000</v>
      </c>
      <c r="L26" s="68">
        <f>'תפוקה מצטברת מול אשתקד'!H26</f>
        <v>14218.47765912604</v>
      </c>
      <c r="M26" s="68">
        <f>'תפוקה מצטברת מול אשתקד'!I26</f>
        <v>17125.091220153859</v>
      </c>
      <c r="N26" s="68">
        <f>'תפוקה מצטברת מול אשתקד'!J26</f>
        <v>17950.684710000001</v>
      </c>
      <c r="O26" s="68">
        <f>'תפוקה מצטברת מול אשתקד'!K26</f>
        <v>0</v>
      </c>
    </row>
    <row r="27" spans="1:15" x14ac:dyDescent="0.25">
      <c r="A27" s="31" t="s">
        <v>17</v>
      </c>
      <c r="B27" s="27" t="s">
        <v>56</v>
      </c>
      <c r="C27" s="28" t="s">
        <v>115</v>
      </c>
      <c r="D27" s="20">
        <f t="shared" si="0"/>
        <v>0</v>
      </c>
      <c r="E27" s="20">
        <f t="shared" si="1"/>
        <v>-0.63657556736842102</v>
      </c>
      <c r="F27" s="20">
        <f t="shared" si="2"/>
        <v>0.87271956521739091</v>
      </c>
      <c r="G27" s="20">
        <f t="shared" si="3"/>
        <v>0</v>
      </c>
      <c r="H27" s="12">
        <f>VLOOKUP(A27,[1]גיליון1!$A:$P,13,0)</f>
        <v>36000</v>
      </c>
      <c r="I27" s="12">
        <f>VLOOKUP(A27,[1]גיליון1!$A:$P,14,0)</f>
        <v>19000</v>
      </c>
      <c r="J27" s="12">
        <f>VLOOKUP(A27,[1]גיליון1!$A:$P,15,0)</f>
        <v>13800.000000000002</v>
      </c>
      <c r="K27" s="12">
        <f>VLOOKUP(A27,[1]גיליון1!$A:$P,16,0)</f>
        <v>27600.000000000004</v>
      </c>
      <c r="L27" s="68">
        <f>'תפוקה מצטברת מול אשתקד'!H27</f>
        <v>0</v>
      </c>
      <c r="M27" s="68">
        <f>'תפוקה מצטברת מול אשתקד'!I27</f>
        <v>6905.0642199999993</v>
      </c>
      <c r="N27" s="68">
        <f>'תפוקה מצטברת מול אשתקד'!J27</f>
        <v>25843.53</v>
      </c>
      <c r="O27" s="68">
        <f>'תפוקה מצטברת מול אשתקד'!K27</f>
        <v>0</v>
      </c>
    </row>
    <row r="28" spans="1:15" x14ac:dyDescent="0.25">
      <c r="A28" s="31" t="s">
        <v>18</v>
      </c>
      <c r="B28" s="27" t="s">
        <v>56</v>
      </c>
      <c r="C28" s="28" t="s">
        <v>115</v>
      </c>
      <c r="D28" s="20">
        <f t="shared" si="0"/>
        <v>0.73357370646183639</v>
      </c>
      <c r="E28" s="20">
        <f t="shared" si="1"/>
        <v>0.33603272947368423</v>
      </c>
      <c r="F28" s="20">
        <f t="shared" si="2"/>
        <v>-1.4483450386473584E-2</v>
      </c>
      <c r="G28" s="20">
        <f t="shared" si="3"/>
        <v>3.6279364734299522</v>
      </c>
      <c r="H28" s="12">
        <f>VLOOKUP(A28,[1]גיליון1!$A:$P,13,0)</f>
        <v>36000</v>
      </c>
      <c r="I28" s="12">
        <f>VLOOKUP(A28,[1]גיליון1!$A:$P,14,0)</f>
        <v>14250</v>
      </c>
      <c r="J28" s="12">
        <f>VLOOKUP(A28,[1]גיליון1!$A:$P,15,0)</f>
        <v>207000.00000000003</v>
      </c>
      <c r="K28" s="12">
        <f>VLOOKUP(A28,[1]גיליון1!$A:$P,16,0)</f>
        <v>41400</v>
      </c>
      <c r="L28" s="68">
        <f>'תפוקה מצטברת מול אשתקד'!H28</f>
        <v>62408.65343262611</v>
      </c>
      <c r="M28" s="68">
        <f>'תפוקה מצטברת מול אשתקד'!I28</f>
        <v>19038.466394999999</v>
      </c>
      <c r="N28" s="68">
        <f>'תפוקה מצטברת מול אשתקד'!J28</f>
        <v>204001.92577</v>
      </c>
      <c r="O28" s="68">
        <f>'תפוקה מצטברת מול אשתקד'!K28</f>
        <v>191596.57</v>
      </c>
    </row>
    <row r="29" spans="1:15" x14ac:dyDescent="0.25">
      <c r="A29" s="27" t="s">
        <v>19</v>
      </c>
      <c r="B29" s="27" t="s">
        <v>56</v>
      </c>
      <c r="C29" s="28" t="s">
        <v>115</v>
      </c>
      <c r="D29" s="20">
        <f t="shared" si="0"/>
        <v>-0.71839258166666675</v>
      </c>
      <c r="E29" s="20">
        <f t="shared" si="1"/>
        <v>0.71038252151874848</v>
      </c>
      <c r="F29" s="20">
        <f t="shared" si="2"/>
        <v>-0.6690035958454108</v>
      </c>
      <c r="G29" s="20">
        <f t="shared" si="3"/>
        <v>-3.5811884057971088E-2</v>
      </c>
      <c r="H29" s="12">
        <f>VLOOKUP(A29,[1]גיליון1!$A:$P,13,0)</f>
        <v>210000</v>
      </c>
      <c r="I29" s="12">
        <f>VLOOKUP(A29,[1]גיליון1!$A:$P,14,0)</f>
        <v>14250</v>
      </c>
      <c r="J29" s="12">
        <f>VLOOKUP(A29,[1]גיליון1!$A:$P,15,0)</f>
        <v>414000.00000000006</v>
      </c>
      <c r="K29" s="12">
        <f>VLOOKUP(A29,[1]גיליון1!$A:$P,16,0)</f>
        <v>690000</v>
      </c>
      <c r="L29" s="68">
        <f>'תפוקה מצטברת מול אשתקד'!H29</f>
        <v>59137.557849999997</v>
      </c>
      <c r="M29" s="68">
        <f>'תפוקה מצטברת מול אשתקד'!I29</f>
        <v>24372.950931642165</v>
      </c>
      <c r="N29" s="68">
        <f>'תפוקה מצטברת מול אשתקד'!J29</f>
        <v>137032.51131999996</v>
      </c>
      <c r="O29" s="68">
        <f>'תפוקה מצטברת מול אשתקד'!K29</f>
        <v>665289.79999999993</v>
      </c>
    </row>
    <row r="30" spans="1:15" x14ac:dyDescent="0.25">
      <c r="A30" s="27" t="s">
        <v>20</v>
      </c>
      <c r="B30" s="27" t="s">
        <v>56</v>
      </c>
      <c r="C30" s="28" t="s">
        <v>115</v>
      </c>
      <c r="D30" s="20">
        <f t="shared" si="0"/>
        <v>-0.96260274999999995</v>
      </c>
      <c r="E30" s="20">
        <f t="shared" si="1"/>
        <v>-0.99949684210526313</v>
      </c>
      <c r="F30" s="20">
        <f t="shared" si="2"/>
        <v>0</v>
      </c>
      <c r="G30" s="20">
        <f t="shared" si="3"/>
        <v>0</v>
      </c>
      <c r="H30" s="12">
        <f>VLOOKUP(A30,[1]גיליון1!$A:$P,13,0)</f>
        <v>120000</v>
      </c>
      <c r="I30" s="12">
        <f>VLOOKUP(A30,[1]גיליון1!$A:$P,14,0)</f>
        <v>19000</v>
      </c>
      <c r="J30" s="12">
        <f>VLOOKUP(A30,[1]גיליון1!$A:$P,15,0)</f>
        <v>552000</v>
      </c>
      <c r="K30" s="12">
        <f>VLOOKUP(A30,[1]גיליון1!$A:$P,16,0)</f>
        <v>345000</v>
      </c>
      <c r="L30" s="68">
        <f>'תפוקה מצטברת מול אשתקד'!H30</f>
        <v>4487.67</v>
      </c>
      <c r="M30" s="68">
        <f>'תפוקה מצטברת מול אשתקד'!I30</f>
        <v>9.56</v>
      </c>
      <c r="N30" s="68">
        <f>'תפוקה מצטברת מול אשתקד'!J30</f>
        <v>0</v>
      </c>
      <c r="O30" s="68">
        <f>'תפוקה מצטברת מול אשתקד'!K30</f>
        <v>0</v>
      </c>
    </row>
    <row r="31" spans="1:15" x14ac:dyDescent="0.25">
      <c r="A31" s="27" t="s">
        <v>21</v>
      </c>
      <c r="B31" s="27" t="s">
        <v>56</v>
      </c>
      <c r="C31" s="28" t="s">
        <v>115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12">
        <f>VLOOKUP(A31,[1]גיליון1!$A:$P,13,0)</f>
        <v>0</v>
      </c>
      <c r="I31" s="12">
        <f>VLOOKUP(A31,[1]גיליון1!$A:$P,14,0)</f>
        <v>0</v>
      </c>
      <c r="J31" s="12">
        <f>VLOOKUP(A31,[1]גיליון1!$A:$P,15,0)</f>
        <v>0</v>
      </c>
      <c r="K31" s="12">
        <f>VLOOKUP(A31,[1]גיליון1!$A:$P,16,0)</f>
        <v>0</v>
      </c>
      <c r="L31" s="68">
        <f>'תפוקה מצטברת מול אשתקד'!H31</f>
        <v>0</v>
      </c>
      <c r="M31" s="68">
        <f>'תפוקה מצטברת מול אשתקד'!I31</f>
        <v>0</v>
      </c>
      <c r="N31" s="68">
        <f>'תפוקה מצטברת מול אשתקד'!J31</f>
        <v>0</v>
      </c>
      <c r="O31" s="68">
        <f>'תפוקה מצטברת מול אשתקד'!K31</f>
        <v>0</v>
      </c>
    </row>
    <row r="32" spans="1:15" x14ac:dyDescent="0.25">
      <c r="A32" s="27" t="s">
        <v>22</v>
      </c>
      <c r="B32" s="27" t="s">
        <v>56</v>
      </c>
      <c r="C32" s="28" t="s">
        <v>115</v>
      </c>
      <c r="D32" s="20">
        <f t="shared" si="0"/>
        <v>0</v>
      </c>
      <c r="E32" s="20">
        <f t="shared" si="1"/>
        <v>0</v>
      </c>
      <c r="F32" s="20">
        <f t="shared" si="2"/>
        <v>0</v>
      </c>
      <c r="G32" s="20">
        <f t="shared" si="3"/>
        <v>0</v>
      </c>
      <c r="H32" s="12">
        <f>VLOOKUP(A32,[1]גיליון1!$A:$P,13,0)</f>
        <v>0</v>
      </c>
      <c r="I32" s="12">
        <f>VLOOKUP(A32,[1]גיליון1!$A:$P,14,0)</f>
        <v>0</v>
      </c>
      <c r="J32" s="12">
        <f>VLOOKUP(A32,[1]גיליון1!$A:$P,15,0)</f>
        <v>0</v>
      </c>
      <c r="K32" s="12">
        <f>VLOOKUP(A32,[1]גיליון1!$A:$P,16,0)</f>
        <v>0</v>
      </c>
      <c r="L32" s="68">
        <f>'תפוקה מצטברת מול אשתקד'!H32</f>
        <v>0</v>
      </c>
      <c r="M32" s="68">
        <f>'תפוקה מצטברת מול אשתקד'!I32</f>
        <v>0</v>
      </c>
      <c r="N32" s="68">
        <f>'תפוקה מצטברת מול אשתקד'!J32</f>
        <v>0</v>
      </c>
      <c r="O32" s="68">
        <f>'תפוקה מצטברת מול אשתקד'!K32</f>
        <v>0</v>
      </c>
    </row>
    <row r="33" spans="1:15" x14ac:dyDescent="0.25">
      <c r="A33" s="27" t="s">
        <v>23</v>
      </c>
      <c r="B33" s="27" t="s">
        <v>56</v>
      </c>
      <c r="C33" s="28" t="s">
        <v>115</v>
      </c>
      <c r="D33" s="20">
        <f t="shared" si="0"/>
        <v>0</v>
      </c>
      <c r="E33" s="20">
        <f t="shared" si="1"/>
        <v>1</v>
      </c>
      <c r="F33" s="20">
        <f t="shared" si="2"/>
        <v>0</v>
      </c>
      <c r="G33" s="20">
        <f t="shared" si="3"/>
        <v>0</v>
      </c>
      <c r="H33" s="12">
        <f>VLOOKUP(A33,[1]גיליון1!$A:$P,13,0)</f>
        <v>0</v>
      </c>
      <c r="I33" s="12">
        <f>VLOOKUP(A33,[1]גיליון1!$A:$P,14,0)</f>
        <v>0</v>
      </c>
      <c r="J33" s="12">
        <f>VLOOKUP(A33,[1]גיליון1!$A:$P,15,0)</f>
        <v>0</v>
      </c>
      <c r="K33" s="12">
        <f>VLOOKUP(A33,[1]גיליון1!$A:$P,16,0)</f>
        <v>0</v>
      </c>
      <c r="L33" s="68">
        <f>'תפוקה מצטברת מול אשתקד'!H33</f>
        <v>0</v>
      </c>
      <c r="M33" s="68">
        <f>'תפוקה מצטברת מול אשתקד'!I33</f>
        <v>3036.31</v>
      </c>
      <c r="N33" s="68">
        <f>'תפוקה מצטברת מול אשתקד'!J33</f>
        <v>0</v>
      </c>
      <c r="O33" s="68">
        <f>'תפוקה מצטברת מול אשתקד'!K33</f>
        <v>0</v>
      </c>
    </row>
    <row r="34" spans="1:15" x14ac:dyDescent="0.25">
      <c r="A34" s="27" t="s">
        <v>24</v>
      </c>
      <c r="B34" s="27" t="s">
        <v>56</v>
      </c>
      <c r="C34" s="28" t="s">
        <v>115</v>
      </c>
      <c r="D34" s="20">
        <f t="shared" si="0"/>
        <v>1</v>
      </c>
      <c r="E34" s="20">
        <f t="shared" si="1"/>
        <v>1</v>
      </c>
      <c r="F34" s="20">
        <f t="shared" si="2"/>
        <v>1</v>
      </c>
      <c r="G34" s="20">
        <f t="shared" si="3"/>
        <v>0</v>
      </c>
      <c r="H34" s="12">
        <f>VLOOKUP(A34,[1]גיליון1!$A:$P,13,0)</f>
        <v>0</v>
      </c>
      <c r="I34" s="12">
        <f>VLOOKUP(A34,[1]גיליון1!$A:$P,14,0)</f>
        <v>0</v>
      </c>
      <c r="J34" s="12">
        <f>VLOOKUP(A34,[1]גיליון1!$A:$P,15,0)</f>
        <v>0</v>
      </c>
      <c r="K34" s="12">
        <f>VLOOKUP(A34,[1]גיליון1!$A:$P,16,0)</f>
        <v>0</v>
      </c>
      <c r="L34" s="68">
        <f>'תפוקה מצטברת מול אשתקד'!H34</f>
        <v>215049.87278416491</v>
      </c>
      <c r="M34" s="68">
        <f>'תפוקה מצטברת מול אשתקד'!I34</f>
        <v>10267.085168226842</v>
      </c>
      <c r="N34" s="68">
        <f>'תפוקה מצטברת מול אשתקד'!J34</f>
        <v>751975.2645353988</v>
      </c>
      <c r="O34" s="68">
        <f>'תפוקה מצטברת מול אשתקד'!K34</f>
        <v>0</v>
      </c>
    </row>
    <row r="35" spans="1:15" x14ac:dyDescent="0.25">
      <c r="A35" s="31" t="s">
        <v>25</v>
      </c>
      <c r="B35" s="27" t="s">
        <v>56</v>
      </c>
      <c r="C35" s="28" t="s">
        <v>115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12">
        <f>VLOOKUP(A35,[1]גיליון1!$A:$P,13,0)</f>
        <v>300000</v>
      </c>
      <c r="I35" s="12">
        <f>VLOOKUP(A35,[1]גיליון1!$A:$P,14,0)</f>
        <v>42750</v>
      </c>
      <c r="J35" s="12">
        <f>VLOOKUP(A35,[1]גיליון1!$A:$P,15,0)</f>
        <v>828000.00000000012</v>
      </c>
      <c r="K35" s="12">
        <f>VLOOKUP(A35,[1]גיליון1!$A:$P,16,0)</f>
        <v>552000</v>
      </c>
      <c r="L35" s="68">
        <f>'תפוקה מצטברת מול אשתקד'!H35</f>
        <v>0</v>
      </c>
      <c r="M35" s="68">
        <f>'תפוקה מצטברת מול אשתקד'!I35</f>
        <v>0</v>
      </c>
      <c r="N35" s="68">
        <f>'תפוקה מצטברת מול אשתקד'!J35</f>
        <v>0</v>
      </c>
      <c r="O35" s="68">
        <f>'תפוקה מצטברת מול אשתקד'!K35</f>
        <v>0</v>
      </c>
    </row>
    <row r="36" spans="1:15" x14ac:dyDescent="0.25">
      <c r="A36" s="27" t="s">
        <v>26</v>
      </c>
      <c r="B36" s="27" t="s">
        <v>56</v>
      </c>
      <c r="C36" s="28" t="s">
        <v>115</v>
      </c>
      <c r="D36" s="20">
        <f t="shared" si="0"/>
        <v>0</v>
      </c>
      <c r="E36" s="20">
        <f t="shared" si="1"/>
        <v>1</v>
      </c>
      <c r="F36" s="20">
        <f t="shared" si="2"/>
        <v>1</v>
      </c>
      <c r="G36" s="20">
        <f t="shared" si="3"/>
        <v>1</v>
      </c>
      <c r="H36" s="12">
        <f>VLOOKUP(A36,[1]גיליון1!$A:$P,13,0)</f>
        <v>0</v>
      </c>
      <c r="I36" s="12">
        <f>VLOOKUP(A36,[1]גיליון1!$A:$P,14,0)</f>
        <v>0</v>
      </c>
      <c r="J36" s="12">
        <f>VLOOKUP(A36,[1]גיליון1!$A:$P,15,0)</f>
        <v>0</v>
      </c>
      <c r="K36" s="12">
        <f>VLOOKUP(A36,[1]גיליון1!$A:$P,16,0)</f>
        <v>0</v>
      </c>
      <c r="L36" s="68">
        <f>'תפוקה מצטברת מול אשתקד'!H36</f>
        <v>0</v>
      </c>
      <c r="M36" s="68">
        <f>'תפוקה מצטברת מול אשתקד'!I36</f>
        <v>-851.7</v>
      </c>
      <c r="N36" s="68">
        <f>'תפוקה מצטברת מול אשתקד'!J36</f>
        <v>11000</v>
      </c>
      <c r="O36" s="68">
        <f>'תפוקה מצטברת מול אשתקד'!K36</f>
        <v>-224014.96</v>
      </c>
    </row>
    <row r="37" spans="1:15" x14ac:dyDescent="0.25">
      <c r="A37" s="27" t="s">
        <v>27</v>
      </c>
      <c r="B37" s="27" t="s">
        <v>56</v>
      </c>
      <c r="C37" s="28" t="s">
        <v>115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12">
        <f>VLOOKUP(A37,[1]גיליון1!$A:$P,13,0)</f>
        <v>0</v>
      </c>
      <c r="I37" s="12">
        <f>VLOOKUP(A37,[1]גיליון1!$A:$P,14,0)</f>
        <v>0</v>
      </c>
      <c r="J37" s="12">
        <f>VLOOKUP(A37,[1]גיליון1!$A:$P,15,0)</f>
        <v>0</v>
      </c>
      <c r="K37" s="12">
        <f>VLOOKUP(A37,[1]גיליון1!$A:$P,16,0)</f>
        <v>0</v>
      </c>
      <c r="L37" s="68">
        <f>'תפוקה מצטברת מול אשתקד'!H37</f>
        <v>0</v>
      </c>
      <c r="M37" s="68">
        <f>'תפוקה מצטברת מול אשתקד'!I37</f>
        <v>0</v>
      </c>
      <c r="N37" s="68">
        <f>'תפוקה מצטברת מול אשתקד'!J37</f>
        <v>0</v>
      </c>
      <c r="O37" s="68">
        <f>'תפוקה מצטברת מול אשתקד'!K37</f>
        <v>0</v>
      </c>
    </row>
    <row r="38" spans="1:15" x14ac:dyDescent="0.25">
      <c r="A38" s="27" t="s">
        <v>28</v>
      </c>
      <c r="B38" s="27" t="s">
        <v>56</v>
      </c>
      <c r="C38" s="28" t="s">
        <v>115</v>
      </c>
      <c r="D38" s="20">
        <f t="shared" si="0"/>
        <v>1</v>
      </c>
      <c r="E38" s="20">
        <f t="shared" si="1"/>
        <v>0</v>
      </c>
      <c r="F38" s="20">
        <f t="shared" si="2"/>
        <v>1</v>
      </c>
      <c r="G38" s="20">
        <f t="shared" si="3"/>
        <v>0</v>
      </c>
      <c r="H38" s="12">
        <f>VLOOKUP(A38,[1]גיליון1!$A:$P,13,0)</f>
        <v>0</v>
      </c>
      <c r="I38" s="12">
        <f>VLOOKUP(A38,[1]גיליון1!$A:$P,14,0)</f>
        <v>0</v>
      </c>
      <c r="J38" s="12">
        <f>VLOOKUP(A38,[1]גיליון1!$A:$P,15,0)</f>
        <v>0</v>
      </c>
      <c r="K38" s="12">
        <f>VLOOKUP(A38,[1]גיליון1!$A:$P,16,0)</f>
        <v>0</v>
      </c>
      <c r="L38" s="68">
        <f>'תפוקה מצטברת מול אשתקד'!H38</f>
        <v>6810.26</v>
      </c>
      <c r="M38" s="68">
        <f>'תפוקה מצטברת מול אשתקד'!I38</f>
        <v>0</v>
      </c>
      <c r="N38" s="68">
        <f>'תפוקה מצטברת מול אשתקד'!J38</f>
        <v>247379.26</v>
      </c>
      <c r="O38" s="68">
        <f>'תפוקה מצטברת מול אשתקד'!K38</f>
        <v>0</v>
      </c>
    </row>
    <row r="39" spans="1:15" x14ac:dyDescent="0.25">
      <c r="A39" s="27" t="s">
        <v>29</v>
      </c>
      <c r="B39" s="27" t="s">
        <v>56</v>
      </c>
      <c r="C39" s="28" t="s">
        <v>115</v>
      </c>
      <c r="D39" s="20">
        <f t="shared" si="0"/>
        <v>1</v>
      </c>
      <c r="E39" s="20">
        <f t="shared" si="1"/>
        <v>7.7193116562147779</v>
      </c>
      <c r="F39" s="20">
        <f t="shared" si="2"/>
        <v>1</v>
      </c>
      <c r="G39" s="20">
        <f t="shared" si="3"/>
        <v>0</v>
      </c>
      <c r="H39" s="12">
        <f>VLOOKUP(A39,[1]גיליון1!$A:$P,13,0)</f>
        <v>0</v>
      </c>
      <c r="I39" s="12">
        <f>VLOOKUP(A39,[1]גיליון1!$A:$P,14,0)</f>
        <v>950</v>
      </c>
      <c r="J39" s="12">
        <f>VLOOKUP(A39,[1]גיליון1!$A:$P,15,0)</f>
        <v>0</v>
      </c>
      <c r="K39" s="12">
        <f>VLOOKUP(A39,[1]גיליון1!$A:$P,16,0)</f>
        <v>0</v>
      </c>
      <c r="L39" s="68">
        <f>'תפוקה מצטברת מול אשתקד'!H39</f>
        <v>72900.522169966949</v>
      </c>
      <c r="M39" s="68">
        <f>'תפוקה מצטברת מול אשתקד'!I39</f>
        <v>8283.3460734040382</v>
      </c>
      <c r="N39" s="68">
        <f>'תפוקה מצטברת מול אשתקד'!J39</f>
        <v>29805.934860159578</v>
      </c>
      <c r="O39" s="68">
        <f>'תפוקה מצטברת מול אשתקד'!K39</f>
        <v>0</v>
      </c>
    </row>
    <row r="40" spans="1:15" ht="31.5" x14ac:dyDescent="0.25">
      <c r="A40" s="27" t="s">
        <v>106</v>
      </c>
      <c r="B40" s="27" t="s">
        <v>55</v>
      </c>
      <c r="C40" s="28" t="s">
        <v>115</v>
      </c>
      <c r="D40" s="20">
        <f t="shared" si="0"/>
        <v>1</v>
      </c>
      <c r="E40" s="20">
        <f t="shared" si="1"/>
        <v>1</v>
      </c>
      <c r="F40" s="20">
        <f t="shared" si="2"/>
        <v>1</v>
      </c>
      <c r="G40" s="20">
        <f t="shared" si="3"/>
        <v>0</v>
      </c>
      <c r="H40" s="12"/>
      <c r="I40" s="12"/>
      <c r="J40" s="12"/>
      <c r="K40" s="12"/>
      <c r="L40" s="68">
        <f>'תפוקה מצטברת מול אשתקד'!H40</f>
        <v>-79.231654047757715</v>
      </c>
      <c r="M40" s="68">
        <f>'תפוקה מצטברת מול אשתקד'!I40</f>
        <v>8612.0999999999985</v>
      </c>
      <c r="N40" s="68">
        <f>'תפוקה מצטברת מול אשתקד'!J40</f>
        <v>9373.58</v>
      </c>
      <c r="O40" s="68">
        <f>'תפוקה מצטברת מול אשתקד'!K40</f>
        <v>0</v>
      </c>
    </row>
    <row r="41" spans="1:15" ht="31.5" x14ac:dyDescent="0.25">
      <c r="A41" s="27" t="s">
        <v>32</v>
      </c>
      <c r="B41" s="27" t="s">
        <v>55</v>
      </c>
      <c r="C41" s="28" t="s">
        <v>115</v>
      </c>
      <c r="D41" s="20">
        <f t="shared" si="0"/>
        <v>0</v>
      </c>
      <c r="E41" s="20">
        <f t="shared" si="1"/>
        <v>0</v>
      </c>
      <c r="F41" s="20">
        <f t="shared" si="2"/>
        <v>1</v>
      </c>
      <c r="G41" s="20">
        <f t="shared" si="3"/>
        <v>1</v>
      </c>
      <c r="H41" s="12"/>
      <c r="I41" s="12"/>
      <c r="J41" s="12"/>
      <c r="K41" s="12"/>
      <c r="L41" s="68">
        <f>'תפוקה מצטברת מול אשתקד'!H41</f>
        <v>0</v>
      </c>
      <c r="M41" s="68">
        <f>'תפוקה מצטברת מול אשתקד'!I41</f>
        <v>0</v>
      </c>
      <c r="N41" s="68">
        <f>'תפוקה מצטברת מול אשתקד'!J41</f>
        <v>600</v>
      </c>
      <c r="O41" s="68">
        <f>'תפוקה מצטברת מול אשתקד'!K41</f>
        <v>732784.6</v>
      </c>
    </row>
    <row r="42" spans="1:15" x14ac:dyDescent="0.25">
      <c r="A42" s="31" t="s">
        <v>103</v>
      </c>
      <c r="B42" s="27" t="s">
        <v>56</v>
      </c>
      <c r="C42" s="28" t="s">
        <v>115</v>
      </c>
      <c r="D42" s="20">
        <f t="shared" si="0"/>
        <v>0</v>
      </c>
      <c r="E42" s="20">
        <f t="shared" si="1"/>
        <v>0</v>
      </c>
      <c r="F42" s="20">
        <f t="shared" si="2"/>
        <v>0</v>
      </c>
      <c r="G42" s="20">
        <f t="shared" si="3"/>
        <v>0</v>
      </c>
      <c r="H42" s="12"/>
      <c r="I42" s="12"/>
      <c r="J42" s="12"/>
      <c r="K42" s="12"/>
      <c r="L42" s="68">
        <f>'תפוקה מצטברת מול אשתקד'!H42</f>
        <v>0</v>
      </c>
      <c r="M42" s="68">
        <f>'תפוקה מצטברת מול אשתקד'!I42</f>
        <v>0</v>
      </c>
      <c r="N42" s="68">
        <f>'תפוקה מצטברת מול אשתקד'!J42</f>
        <v>0</v>
      </c>
      <c r="O42" s="68">
        <f>'תפוקה מצטברת מול אשתקד'!K42</f>
        <v>0</v>
      </c>
    </row>
    <row r="43" spans="1:15" x14ac:dyDescent="0.25">
      <c r="A43" s="27" t="s">
        <v>91</v>
      </c>
      <c r="B43" s="27" t="s">
        <v>56</v>
      </c>
      <c r="C43" s="28" t="s">
        <v>115</v>
      </c>
      <c r="D43" s="20">
        <f t="shared" si="0"/>
        <v>0</v>
      </c>
      <c r="E43" s="20">
        <f t="shared" si="1"/>
        <v>0</v>
      </c>
      <c r="F43" s="20">
        <f t="shared" si="2"/>
        <v>1.4991787439613526</v>
      </c>
      <c r="G43" s="20">
        <f t="shared" si="3"/>
        <v>14.90190724637681</v>
      </c>
      <c r="H43" s="12">
        <f>VLOOKUP(A43,[1]גיליון1!$A:$P,13,0)</f>
        <v>36000</v>
      </c>
      <c r="I43" s="12">
        <f>VLOOKUP(A43,[1]גיליון1!$A:$P,14,0)</f>
        <v>7600</v>
      </c>
      <c r="J43" s="12">
        <f>VLOOKUP(A43,[1]גיליון1!$A:$P,15,0)</f>
        <v>41400</v>
      </c>
      <c r="K43" s="12">
        <f>VLOOKUP(A43,[1]גיליון1!$A:$P,16,0)</f>
        <v>41400</v>
      </c>
      <c r="L43" s="68">
        <f>'תפוקה מצטברת מול אשתקד'!H43</f>
        <v>0</v>
      </c>
      <c r="M43" s="68">
        <f>'תפוקה מצטברת מול אשתקד'!I43</f>
        <v>0</v>
      </c>
      <c r="N43" s="68">
        <f>'תפוקה מצטברת מול אשתקד'!J43</f>
        <v>103466</v>
      </c>
      <c r="O43" s="68">
        <f>'תפוקה מצטברת מול אשתקד'!K43</f>
        <v>658338.96</v>
      </c>
    </row>
    <row r="44" spans="1:15" x14ac:dyDescent="0.25">
      <c r="A44" s="27" t="s">
        <v>90</v>
      </c>
      <c r="B44" s="27" t="s">
        <v>56</v>
      </c>
      <c r="C44" s="28" t="s">
        <v>115</v>
      </c>
      <c r="D44" s="20">
        <f t="shared" si="0"/>
        <v>0</v>
      </c>
      <c r="E44" s="20">
        <f t="shared" si="1"/>
        <v>41.353905263157891</v>
      </c>
      <c r="F44" s="20">
        <f t="shared" si="2"/>
        <v>5.2702898550724635</v>
      </c>
      <c r="G44" s="20">
        <f t="shared" si="3"/>
        <v>0</v>
      </c>
      <c r="H44" s="12">
        <f>VLOOKUP(A44,[1]גיליון1!$A:$P,13,0)</f>
        <v>6000</v>
      </c>
      <c r="I44" s="12">
        <f>VLOOKUP(A44,[1]גיליון1!$A:$P,14,0)</f>
        <v>4750</v>
      </c>
      <c r="J44" s="12">
        <f>VLOOKUP(A44,[1]גיליון1!$A:$P,15,0)</f>
        <v>41400</v>
      </c>
      <c r="K44" s="12">
        <f>VLOOKUP(A44,[1]גיליון1!$A:$P,16,0)</f>
        <v>27600.000000000004</v>
      </c>
      <c r="L44" s="68">
        <f>'תפוקה מצטברת מול אשתקד'!H44</f>
        <v>0</v>
      </c>
      <c r="M44" s="68">
        <f>'תפוקה מצטברת מול אשתקד'!I44</f>
        <v>201181.05</v>
      </c>
      <c r="N44" s="68">
        <f>'תפוקה מצטברת מול אשתקד'!J44</f>
        <v>259590</v>
      </c>
      <c r="O44" s="68">
        <f>'תפוקה מצטברת מול אשתקד'!K44</f>
        <v>0</v>
      </c>
    </row>
    <row r="45" spans="1:15" ht="31.5" x14ac:dyDescent="0.25">
      <c r="A45" s="27" t="s">
        <v>36</v>
      </c>
      <c r="B45" s="27" t="s">
        <v>55</v>
      </c>
      <c r="C45" s="28" t="s">
        <v>115</v>
      </c>
      <c r="D45" s="20">
        <f t="shared" si="0"/>
        <v>1</v>
      </c>
      <c r="E45" s="20">
        <f t="shared" si="1"/>
        <v>1</v>
      </c>
      <c r="F45" s="20">
        <f t="shared" si="2"/>
        <v>0</v>
      </c>
      <c r="G45" s="20">
        <f t="shared" si="3"/>
        <v>0</v>
      </c>
      <c r="H45" s="12">
        <f>VLOOKUP(A45,[1]גיליון1!$A:$P,13,0)</f>
        <v>0</v>
      </c>
      <c r="I45" s="12">
        <f>VLOOKUP(A45,[1]גיליון1!$A:$P,14,0)</f>
        <v>0</v>
      </c>
      <c r="J45" s="12">
        <f>VLOOKUP(A45,[1]גיליון1!$A:$P,15,0)</f>
        <v>0</v>
      </c>
      <c r="K45" s="12">
        <f>VLOOKUP(A45,[1]גיליון1!$A:$P,16,0)</f>
        <v>0</v>
      </c>
      <c r="L45" s="68">
        <f>'תפוקה מצטברת מול אשתקד'!H45</f>
        <v>6810.26</v>
      </c>
      <c r="M45" s="68">
        <f>'תפוקה מצטברת מול אשתקד'!I45</f>
        <v>571.91</v>
      </c>
      <c r="N45" s="68">
        <f>'תפוקה מצטברת מול אשתקד'!J45</f>
        <v>0</v>
      </c>
      <c r="O45" s="68">
        <f>'תפוקה מצטברת מול אשתקד'!K45</f>
        <v>0</v>
      </c>
    </row>
    <row r="46" spans="1:15" ht="31.5" x14ac:dyDescent="0.25">
      <c r="A46" s="27" t="s">
        <v>102</v>
      </c>
      <c r="B46" s="27" t="s">
        <v>55</v>
      </c>
      <c r="C46" s="28" t="s">
        <v>115</v>
      </c>
      <c r="D46" s="20">
        <f t="shared" si="0"/>
        <v>1</v>
      </c>
      <c r="E46" s="20">
        <f t="shared" si="1"/>
        <v>0</v>
      </c>
      <c r="F46" s="20">
        <f t="shared" si="2"/>
        <v>1</v>
      </c>
      <c r="G46" s="20">
        <f t="shared" si="3"/>
        <v>1</v>
      </c>
      <c r="H46" s="12">
        <f>VLOOKUP(A46,[1]גיליון1!$A:$P,13,0)</f>
        <v>0</v>
      </c>
      <c r="I46" s="12">
        <f>VLOOKUP(A46,[1]גיליון1!$A:$P,14,0)</f>
        <v>0</v>
      </c>
      <c r="J46" s="12">
        <f>VLOOKUP(A46,[1]גיליון1!$A:$P,15,0)</f>
        <v>0</v>
      </c>
      <c r="K46" s="12">
        <f>VLOOKUP(A46,[1]גיליון1!$A:$P,16,0)</f>
        <v>0</v>
      </c>
      <c r="L46" s="68">
        <f>'תפוקה מצטברת מול אשתקד'!H46</f>
        <v>66247.156090000004</v>
      </c>
      <c r="M46" s="68">
        <f>'תפוקה מצטברת מול אשתקד'!I46</f>
        <v>0</v>
      </c>
      <c r="N46" s="68">
        <f>'תפוקה מצטברת מול אשתקד'!J46</f>
        <v>6482.19</v>
      </c>
      <c r="O46" s="68">
        <f>'תפוקה מצטברת מול אשתקד'!K46</f>
        <v>324423.5</v>
      </c>
    </row>
    <row r="47" spans="1:15" x14ac:dyDescent="0.25">
      <c r="A47" s="29" t="s">
        <v>93</v>
      </c>
      <c r="B47" s="27" t="s">
        <v>56</v>
      </c>
      <c r="C47" s="28" t="s">
        <v>115</v>
      </c>
      <c r="D47" s="20">
        <f t="shared" si="0"/>
        <v>0</v>
      </c>
      <c r="E47" s="20">
        <f t="shared" si="1"/>
        <v>0</v>
      </c>
      <c r="F47" s="20">
        <f t="shared" si="2"/>
        <v>0</v>
      </c>
      <c r="G47" s="20">
        <f t="shared" si="3"/>
        <v>0</v>
      </c>
      <c r="H47" s="12">
        <f>VLOOKUP(A47,[1]גיליון1!$A:$P,13,0)</f>
        <v>6000</v>
      </c>
      <c r="I47" s="12">
        <f>VLOOKUP(A47,[1]גיליון1!$A:$P,14,0)</f>
        <v>4750</v>
      </c>
      <c r="J47" s="12">
        <f>VLOOKUP(A47,[1]גיליון1!$A:$P,15,0)</f>
        <v>69000</v>
      </c>
      <c r="K47" s="12">
        <f>VLOOKUP(A47,[1]גיליון1!$A:$P,16,0)</f>
        <v>27600.000000000004</v>
      </c>
      <c r="L47" s="68">
        <f>'תפוקה מצטברת מול אשתקד'!H47</f>
        <v>0</v>
      </c>
      <c r="M47" s="68">
        <f>'תפוקה מצטברת מול אשתקד'!I47</f>
        <v>0</v>
      </c>
      <c r="N47" s="68">
        <f>'תפוקה מצטברת מול אשתקד'!J47</f>
        <v>0</v>
      </c>
      <c r="O47" s="68">
        <f>'תפוקה מצטברת מול אשתקד'!K47</f>
        <v>0</v>
      </c>
    </row>
    <row r="48" spans="1:15" x14ac:dyDescent="0.25">
      <c r="A48" s="29" t="s">
        <v>95</v>
      </c>
      <c r="B48" s="27" t="s">
        <v>56</v>
      </c>
      <c r="C48" s="28" t="s">
        <v>115</v>
      </c>
      <c r="D48" s="20">
        <f t="shared" si="0"/>
        <v>0</v>
      </c>
      <c r="E48" s="20">
        <f t="shared" si="1"/>
        <v>0</v>
      </c>
      <c r="F48" s="20">
        <f t="shared" si="2"/>
        <v>0</v>
      </c>
      <c r="G48" s="20">
        <f t="shared" si="3"/>
        <v>0</v>
      </c>
      <c r="H48" s="12">
        <f>VLOOKUP(A48,[1]גיליון1!$A:$P,13,0)</f>
        <v>12000</v>
      </c>
      <c r="I48" s="12">
        <f>VLOOKUP(A48,[1]גיליון1!$A:$P,14,0)</f>
        <v>4750</v>
      </c>
      <c r="J48" s="12">
        <f>VLOOKUP(A48,[1]גיליון1!$A:$P,15,0)</f>
        <v>276000</v>
      </c>
      <c r="K48" s="12">
        <f>VLOOKUP(A48,[1]גיליון1!$A:$P,16,0)</f>
        <v>69000</v>
      </c>
      <c r="L48" s="68">
        <f>'תפוקה מצטברת מול אשתקד'!H48</f>
        <v>0</v>
      </c>
      <c r="M48" s="68">
        <f>'תפוקה מצטברת מול אשתקד'!I48</f>
        <v>0</v>
      </c>
      <c r="N48" s="68">
        <f>'תפוקה מצטברת מול אשתקד'!J48</f>
        <v>0</v>
      </c>
      <c r="O48" s="68">
        <f>'תפוקה מצטברת מול אשתקד'!K48</f>
        <v>0</v>
      </c>
    </row>
    <row r="49" spans="1:15" x14ac:dyDescent="0.25">
      <c r="A49" s="27" t="s">
        <v>105</v>
      </c>
      <c r="B49" s="27" t="s">
        <v>56</v>
      </c>
      <c r="C49" s="27" t="s">
        <v>115</v>
      </c>
      <c r="D49" s="20">
        <f t="shared" si="0"/>
        <v>0</v>
      </c>
      <c r="E49" s="20">
        <f t="shared" si="1"/>
        <v>0</v>
      </c>
      <c r="F49" s="20">
        <f t="shared" si="2"/>
        <v>0</v>
      </c>
      <c r="G49" s="20">
        <f t="shared" si="3"/>
        <v>0</v>
      </c>
      <c r="H49" s="12"/>
      <c r="I49" s="12"/>
      <c r="J49" s="12"/>
      <c r="K49" s="12"/>
      <c r="L49" s="68">
        <f>'תפוקה מצטברת מול אשתקד'!H49</f>
        <v>0</v>
      </c>
      <c r="M49" s="68">
        <f>'תפוקה מצטברת מול אשתקד'!I49</f>
        <v>0</v>
      </c>
      <c r="N49" s="68">
        <f>'תפוקה מצטברת מול אשתקד'!J49</f>
        <v>0</v>
      </c>
      <c r="O49" s="68">
        <f>'תפוקה מצטברת מול אשתקד'!K49</f>
        <v>0</v>
      </c>
    </row>
    <row r="50" spans="1:15" x14ac:dyDescent="0.25">
      <c r="A50" s="27" t="s">
        <v>39</v>
      </c>
      <c r="B50" s="27" t="s">
        <v>56</v>
      </c>
      <c r="C50" s="27" t="s">
        <v>115</v>
      </c>
      <c r="D50" s="20">
        <f t="shared" si="0"/>
        <v>1</v>
      </c>
      <c r="E50" s="20">
        <f t="shared" si="1"/>
        <v>0</v>
      </c>
      <c r="F50" s="20">
        <f t="shared" si="2"/>
        <v>0</v>
      </c>
      <c r="G50" s="20">
        <f t="shared" si="3"/>
        <v>0</v>
      </c>
      <c r="H50" s="12"/>
      <c r="I50" s="12"/>
      <c r="J50" s="12"/>
      <c r="K50" s="12"/>
      <c r="L50" s="68">
        <f>'תפוקה מצטברת מול אשתקד'!H50</f>
        <v>15497.41964</v>
      </c>
      <c r="M50" s="68">
        <f>'תפוקה מצטברת מול אשתקד'!I50</f>
        <v>0</v>
      </c>
      <c r="N50" s="68">
        <f>'תפוקה מצטברת מול אשתקד'!J50</f>
        <v>0</v>
      </c>
      <c r="O50" s="68">
        <f>'תפוקה מצטברת מול אשתקד'!K50</f>
        <v>0</v>
      </c>
    </row>
    <row r="51" spans="1:15" x14ac:dyDescent="0.25">
      <c r="A51" s="27" t="s">
        <v>99</v>
      </c>
      <c r="B51" s="27" t="s">
        <v>56</v>
      </c>
      <c r="C51" s="27" t="s">
        <v>115</v>
      </c>
      <c r="D51" s="20">
        <f t="shared" si="0"/>
        <v>0</v>
      </c>
      <c r="E51" s="20">
        <f t="shared" si="1"/>
        <v>0</v>
      </c>
      <c r="F51" s="20">
        <f t="shared" si="2"/>
        <v>0</v>
      </c>
      <c r="G51" s="20">
        <f t="shared" si="3"/>
        <v>0</v>
      </c>
      <c r="H51" s="12"/>
      <c r="I51" s="12"/>
      <c r="J51" s="12"/>
      <c r="K51" s="12"/>
      <c r="L51" s="68">
        <f>'תפוקה מצטברת מול אשתקד'!H51</f>
        <v>0</v>
      </c>
      <c r="M51" s="68">
        <f>'תפוקה מצטברת מול אשתקד'!I51</f>
        <v>0</v>
      </c>
      <c r="N51" s="68">
        <f>'תפוקה מצטברת מול אשתקד'!J51</f>
        <v>0</v>
      </c>
      <c r="O51" s="68">
        <f>'תפוקה מצטברת מול אשתקד'!K51</f>
        <v>0</v>
      </c>
    </row>
    <row r="52" spans="1:15" x14ac:dyDescent="0.25">
      <c r="A52" s="27" t="s">
        <v>41</v>
      </c>
      <c r="B52" s="27" t="s">
        <v>56</v>
      </c>
      <c r="C52" s="27" t="s">
        <v>115</v>
      </c>
      <c r="D52" s="20">
        <f t="shared" si="0"/>
        <v>0</v>
      </c>
      <c r="E52" s="20">
        <f t="shared" si="1"/>
        <v>0</v>
      </c>
      <c r="F52" s="20">
        <f t="shared" si="2"/>
        <v>0</v>
      </c>
      <c r="G52" s="20">
        <f t="shared" si="3"/>
        <v>0</v>
      </c>
      <c r="H52" s="12">
        <f>VLOOKUP(A52,[1]גיליון1!$A:$P,13,0)</f>
        <v>0</v>
      </c>
      <c r="I52" s="12">
        <f>VLOOKUP(A52,[1]גיליון1!$A:$P,14,0)</f>
        <v>0</v>
      </c>
      <c r="J52" s="12">
        <f>VLOOKUP(A52,[1]גיליון1!$A:$P,15,0)</f>
        <v>0</v>
      </c>
      <c r="K52" s="12">
        <f>VLOOKUP(A52,[1]גיליון1!$A:$P,16,0)</f>
        <v>0</v>
      </c>
      <c r="L52" s="68">
        <f>'תפוקה מצטברת מול אשתקד'!H52</f>
        <v>0</v>
      </c>
      <c r="M52" s="68">
        <f>'תפוקה מצטברת מול אשתקד'!I52</f>
        <v>0</v>
      </c>
      <c r="N52" s="68">
        <f>'תפוקה מצטברת מול אשתקד'!J52</f>
        <v>0</v>
      </c>
      <c r="O52" s="68">
        <f>'תפוקה מצטברת מול אשתקד'!K52</f>
        <v>0</v>
      </c>
    </row>
    <row r="53" spans="1:15" x14ac:dyDescent="0.25">
      <c r="A53" s="27" t="s">
        <v>96</v>
      </c>
      <c r="B53" s="27" t="s">
        <v>56</v>
      </c>
      <c r="C53" s="27" t="s">
        <v>115</v>
      </c>
      <c r="D53" s="20">
        <f t="shared" si="0"/>
        <v>0</v>
      </c>
      <c r="E53" s="20">
        <f t="shared" si="1"/>
        <v>0</v>
      </c>
      <c r="F53" s="20">
        <f t="shared" si="2"/>
        <v>0</v>
      </c>
      <c r="G53" s="20">
        <f t="shared" si="3"/>
        <v>0</v>
      </c>
      <c r="H53" s="12">
        <f>VLOOKUP(A53,[1]גיליון1!$A:$P,13,0)</f>
        <v>0</v>
      </c>
      <c r="I53" s="12">
        <f>VLOOKUP(A53,[1]גיליון1!$A:$P,14,0)</f>
        <v>0</v>
      </c>
      <c r="J53" s="12">
        <f>VLOOKUP(A53,[1]גיליון1!$A:$P,15,0)</f>
        <v>0</v>
      </c>
      <c r="K53" s="12">
        <f>VLOOKUP(A53,[1]גיליון1!$A:$P,16,0)</f>
        <v>0</v>
      </c>
      <c r="L53" s="68">
        <f>'תפוקה מצטברת מול אשתקד'!H53</f>
        <v>0</v>
      </c>
      <c r="M53" s="68">
        <f>'תפוקה מצטברת מול אשתקד'!I53</f>
        <v>0</v>
      </c>
      <c r="N53" s="68">
        <f>'תפוקה מצטברת מול אשתקד'!J53</f>
        <v>0</v>
      </c>
      <c r="O53" s="68">
        <f>'תפוקה מצטברת מול אשתקד'!K53</f>
        <v>0</v>
      </c>
    </row>
    <row r="54" spans="1:15" ht="21.75" thickBot="1" x14ac:dyDescent="0.3">
      <c r="A54" s="125" t="s">
        <v>130</v>
      </c>
      <c r="B54" s="119"/>
      <c r="C54" s="116"/>
      <c r="D54" s="20">
        <f t="shared" ref="D54" si="8">IF(L54=0,0%,IF(H54=0,100%,L54/H54-1))</f>
        <v>-0.80449837904494215</v>
      </c>
      <c r="E54" s="20">
        <f t="shared" ref="E54" si="9">IF(M54=0,0%,IF(I54=0,100%,M54/I54-1))</f>
        <v>0.70576409813020047</v>
      </c>
      <c r="F54" s="20">
        <f t="shared" ref="F54" si="10">IF(N54=0,0%,IF(J54=0,100%,N54/J54-1))</f>
        <v>-0.41091776923202028</v>
      </c>
      <c r="G54" s="20">
        <f t="shared" ref="G54" si="11">IF(O54=0,0%,IF(K54=0,100%,O54/K54-1))</f>
        <v>-0.23688228049652316</v>
      </c>
      <c r="H54" s="149">
        <f>SUM(H22:H53)</f>
        <v>3138000</v>
      </c>
      <c r="I54" s="149">
        <f t="shared" ref="I54:O54" si="12">SUM(I22:I53)</f>
        <v>181450</v>
      </c>
      <c r="J54" s="149">
        <f t="shared" si="12"/>
        <v>3243000</v>
      </c>
      <c r="K54" s="149">
        <f t="shared" si="12"/>
        <v>3077400</v>
      </c>
      <c r="L54" s="149">
        <f t="shared" si="12"/>
        <v>613484.08655697154</v>
      </c>
      <c r="M54" s="149">
        <f t="shared" si="12"/>
        <v>309510.89560572489</v>
      </c>
      <c r="N54" s="149">
        <f t="shared" si="12"/>
        <v>1910393.6743805583</v>
      </c>
      <c r="O54" s="149">
        <f t="shared" si="12"/>
        <v>2348418.4699999997</v>
      </c>
    </row>
    <row r="55" spans="1:15" x14ac:dyDescent="0.25">
      <c r="A55" s="31" t="s">
        <v>33</v>
      </c>
      <c r="B55" s="27" t="s">
        <v>129</v>
      </c>
      <c r="C55" s="27" t="s">
        <v>115</v>
      </c>
      <c r="D55" s="20">
        <f t="shared" ref="D55:G61" si="13">IF(L55=0,0%,IF(H55=0,100%,L55/H55-1))</f>
        <v>-0.87269916666666669</v>
      </c>
      <c r="E55" s="20">
        <f t="shared" si="13"/>
        <v>0</v>
      </c>
      <c r="F55" s="20">
        <f t="shared" si="13"/>
        <v>0</v>
      </c>
      <c r="G55" s="20">
        <f t="shared" si="13"/>
        <v>0</v>
      </c>
      <c r="H55" s="12">
        <f>VLOOKUP(A55,[1]גיליון1!$A:$P,13,0)</f>
        <v>60000</v>
      </c>
      <c r="I55" s="12">
        <f>VLOOKUP(A55,[1]גיליון1!$A:$P,14,0)</f>
        <v>7600</v>
      </c>
      <c r="J55" s="12">
        <f>VLOOKUP(A55,[1]גיליון1!$A:$P,15,0)</f>
        <v>966000.00000000012</v>
      </c>
      <c r="K55" s="12">
        <f>VLOOKUP(A55,[1]גיליון1!$A:$P,16,0)</f>
        <v>138000</v>
      </c>
      <c r="L55" s="68">
        <f>'תפוקה מצטברת מול אשתקד'!H55</f>
        <v>7638.05</v>
      </c>
      <c r="M55" s="68">
        <f>'תפוקה מצטברת מול אשתקד'!I55</f>
        <v>0</v>
      </c>
      <c r="N55" s="68">
        <f>'תפוקה מצטברת מול אשתקד'!J55</f>
        <v>0</v>
      </c>
      <c r="O55" s="68">
        <f>'תפוקה מצטברת מול אשתקד'!K55</f>
        <v>0</v>
      </c>
    </row>
    <row r="56" spans="1:15" x14ac:dyDescent="0.25">
      <c r="A56" s="27" t="s">
        <v>37</v>
      </c>
      <c r="B56" s="27" t="s">
        <v>129</v>
      </c>
      <c r="C56" s="28" t="s">
        <v>115</v>
      </c>
      <c r="D56" s="20">
        <f t="shared" si="13"/>
        <v>-0.61947726330085273</v>
      </c>
      <c r="E56" s="20">
        <f t="shared" si="13"/>
        <v>-0.69793210778774051</v>
      </c>
      <c r="F56" s="20">
        <f t="shared" si="13"/>
        <v>0</v>
      </c>
      <c r="G56" s="20">
        <f t="shared" si="13"/>
        <v>-0.76267322463768117</v>
      </c>
      <c r="H56" s="12">
        <f>VLOOKUP(A56,[1]גיליון1!$A:$P,13,0)</f>
        <v>480000</v>
      </c>
      <c r="I56" s="12">
        <f>VLOOKUP(A56,[1]גיליון1!$A:$P,14,0)</f>
        <v>33250</v>
      </c>
      <c r="J56" s="12">
        <f>VLOOKUP(A56,[1]גיליון1!$A:$P,15,0)</f>
        <v>552000</v>
      </c>
      <c r="K56" s="12">
        <f>VLOOKUP(A56,[1]גיליון1!$A:$P,16,0)</f>
        <v>552000</v>
      </c>
      <c r="L56" s="68">
        <f>'תפוקה מצטברת מול אשתקד'!H56</f>
        <v>182650.91361559072</v>
      </c>
      <c r="M56" s="68">
        <f>'תפוקה מצטברת מול אשתקד'!I56</f>
        <v>10043.75741605763</v>
      </c>
      <c r="N56" s="68">
        <f>'תפוקה מצטברת מול אשתקד'!J56</f>
        <v>0</v>
      </c>
      <c r="O56" s="68">
        <f>'תפוקה מצטברת מול אשתקד'!K56</f>
        <v>131004.38</v>
      </c>
    </row>
    <row r="57" spans="1:15" x14ac:dyDescent="0.25">
      <c r="A57" s="27" t="s">
        <v>35</v>
      </c>
      <c r="B57" s="27" t="s">
        <v>129</v>
      </c>
      <c r="C57" s="28" t="s">
        <v>115</v>
      </c>
      <c r="D57" s="20">
        <f t="shared" si="13"/>
        <v>1</v>
      </c>
      <c r="E57" s="20">
        <f t="shared" si="13"/>
        <v>3.333568268421053</v>
      </c>
      <c r="F57" s="20">
        <f t="shared" si="13"/>
        <v>1</v>
      </c>
      <c r="G57" s="20">
        <f t="shared" si="13"/>
        <v>1</v>
      </c>
      <c r="H57" s="12">
        <f>VLOOKUP(A57,[1]גיליון1!$A:$P,13,0)</f>
        <v>0</v>
      </c>
      <c r="I57" s="12">
        <f>VLOOKUP(A57,[1]גיליון1!$A:$P,14,0)</f>
        <v>3800</v>
      </c>
      <c r="J57" s="12">
        <f>VLOOKUP(A57,[1]גיליון1!$A:$P,15,0)</f>
        <v>0</v>
      </c>
      <c r="K57" s="12">
        <f>VLOOKUP(A57,[1]גיליון1!$A:$P,16,0)</f>
        <v>0</v>
      </c>
      <c r="L57" s="68">
        <f>'תפוקה מצטברת מול אשתקד'!H57</f>
        <v>299444.16804000002</v>
      </c>
      <c r="M57" s="68">
        <f>'תפוקה מצטברת מול אשתקד'!I57</f>
        <v>16467.559420000001</v>
      </c>
      <c r="N57" s="68">
        <f>'תפוקה מצטברת מול אשתקד'!J57</f>
        <v>443553</v>
      </c>
      <c r="O57" s="68">
        <f>'תפוקה מצטברת מול אשתקד'!K57</f>
        <v>418853.22</v>
      </c>
    </row>
    <row r="58" spans="1:15" x14ac:dyDescent="0.25">
      <c r="A58" s="28" t="s">
        <v>94</v>
      </c>
      <c r="B58" s="28" t="s">
        <v>129</v>
      </c>
      <c r="C58" s="28" t="s">
        <v>115</v>
      </c>
      <c r="D58" s="20">
        <f t="shared" si="13"/>
        <v>0</v>
      </c>
      <c r="E58" s="20">
        <f t="shared" si="13"/>
        <v>0</v>
      </c>
      <c r="F58" s="20">
        <f t="shared" si="13"/>
        <v>0.53290281159420272</v>
      </c>
      <c r="G58" s="20">
        <f t="shared" si="13"/>
        <v>0</v>
      </c>
      <c r="H58" s="12">
        <f>VLOOKUP(A58,[1]גיליון1!$A:$P,13,0)</f>
        <v>120000</v>
      </c>
      <c r="I58" s="12">
        <f>VLOOKUP(A58,[1]גיליון1!$A:$P,14,0)</f>
        <v>19000</v>
      </c>
      <c r="J58" s="12">
        <f>VLOOKUP(A58,[1]גיליון1!$A:$P,15,0)</f>
        <v>345000</v>
      </c>
      <c r="K58" s="12">
        <f>VLOOKUP(A58,[1]גיליון1!$A:$P,16,0)</f>
        <v>1380000</v>
      </c>
      <c r="L58" s="68">
        <f>'תפוקה מצטברת מול אשתקד'!H58</f>
        <v>0</v>
      </c>
      <c r="M58" s="68">
        <f>'תפוקה מצטברת מול אשתקד'!I58</f>
        <v>0</v>
      </c>
      <c r="N58" s="68">
        <f>'תפוקה מצטברת מול אשתקד'!J58</f>
        <v>528851.47</v>
      </c>
      <c r="O58" s="68">
        <f>'תפוקה מצטברת מול אשתקד'!K58</f>
        <v>0</v>
      </c>
    </row>
    <row r="59" spans="1:15" x14ac:dyDescent="0.25">
      <c r="A59" s="27" t="s">
        <v>92</v>
      </c>
      <c r="B59" s="27" t="s">
        <v>129</v>
      </c>
      <c r="C59" s="27" t="s">
        <v>115</v>
      </c>
      <c r="D59" s="20">
        <f t="shared" si="13"/>
        <v>-0.32324316666666664</v>
      </c>
      <c r="E59" s="20">
        <f t="shared" si="13"/>
        <v>-0.64585854285143807</v>
      </c>
      <c r="F59" s="20">
        <f t="shared" si="13"/>
        <v>0.72328462689855089</v>
      </c>
      <c r="G59" s="20">
        <f t="shared" si="13"/>
        <v>-0.66982545893719814</v>
      </c>
      <c r="H59" s="12">
        <f>VLOOKUP(A59,[1]גיליון1!$A:$P,13,0)</f>
        <v>120000</v>
      </c>
      <c r="I59" s="12">
        <f>VLOOKUP(A59,[1]גיליון1!$A:$P,14,0)</f>
        <v>9500</v>
      </c>
      <c r="J59" s="12">
        <f>VLOOKUP(A59,[1]גיליון1!$A:$P,15,0)</f>
        <v>345000</v>
      </c>
      <c r="K59" s="12">
        <f>VLOOKUP(A59,[1]גיליון1!$A:$P,16,0)</f>
        <v>207000.00000000003</v>
      </c>
      <c r="L59" s="68">
        <f>'תפוקה מצטברת מול אשתקד'!H59</f>
        <v>81210.820000000007</v>
      </c>
      <c r="M59" s="68">
        <f>'תפוקה מצטברת מול אשתקד'!I59</f>
        <v>3364.3438429113389</v>
      </c>
      <c r="N59" s="68">
        <f>'תפוקה מצטברת מול אשתקד'!J59</f>
        <v>594533.19628000003</v>
      </c>
      <c r="O59" s="68">
        <f>'תפוקה מצטברת מול אשתקד'!K59</f>
        <v>68346.13</v>
      </c>
    </row>
    <row r="60" spans="1:15" x14ac:dyDescent="0.25">
      <c r="A60" s="124" t="s">
        <v>107</v>
      </c>
      <c r="B60" s="27" t="s">
        <v>129</v>
      </c>
      <c r="C60" s="28" t="s">
        <v>115</v>
      </c>
      <c r="D60" s="20">
        <f t="shared" si="13"/>
        <v>0</v>
      </c>
      <c r="E60" s="20">
        <f t="shared" si="13"/>
        <v>1</v>
      </c>
      <c r="F60" s="20">
        <f t="shared" si="13"/>
        <v>1</v>
      </c>
      <c r="G60" s="20">
        <f t="shared" si="13"/>
        <v>0</v>
      </c>
      <c r="H60" s="12">
        <f>VLOOKUP(A60,[1]גיליון1!$A:$P,13,0)</f>
        <v>0</v>
      </c>
      <c r="I60" s="12">
        <f>VLOOKUP(A60,[1]גיליון1!$A:$P,14,0)</f>
        <v>0</v>
      </c>
      <c r="J60" s="12">
        <f>VLOOKUP(A60,[1]גיליון1!$A:$P,15,0)</f>
        <v>0</v>
      </c>
      <c r="K60" s="12">
        <f>VLOOKUP(A60,[1]גיליון1!$A:$P,16,0)</f>
        <v>0</v>
      </c>
      <c r="L60" s="68">
        <f>'תפוקה מצטברת מול אשתקד'!H60</f>
        <v>0</v>
      </c>
      <c r="M60" s="68">
        <f>'תפוקה מצטברת מול אשתקד'!I60</f>
        <v>4006.5</v>
      </c>
      <c r="N60" s="68">
        <f>'תפוקה מצטברת מול אשתקד'!J60</f>
        <v>52863.540365000001</v>
      </c>
      <c r="O60" s="68">
        <f>'תפוקה מצטברת מול אשתקד'!K60</f>
        <v>0</v>
      </c>
    </row>
    <row r="61" spans="1:15" x14ac:dyDescent="0.25">
      <c r="A61" s="31" t="s">
        <v>16</v>
      </c>
      <c r="B61" s="27" t="s">
        <v>129</v>
      </c>
      <c r="C61" s="28" t="s">
        <v>115</v>
      </c>
      <c r="D61" s="20">
        <f t="shared" si="13"/>
        <v>0</v>
      </c>
      <c r="E61" s="20">
        <f t="shared" si="13"/>
        <v>0</v>
      </c>
      <c r="F61" s="20">
        <f t="shared" si="13"/>
        <v>0</v>
      </c>
      <c r="G61" s="20">
        <f t="shared" si="13"/>
        <v>0</v>
      </c>
      <c r="H61" s="12">
        <f>VLOOKUP(A61,[1]גיליון1!$A:$P,13,0)</f>
        <v>0</v>
      </c>
      <c r="I61" s="12">
        <f>VLOOKUP(A61,[1]גיליון1!$A:$P,14,0)</f>
        <v>9500</v>
      </c>
      <c r="J61" s="12">
        <f>VLOOKUP(A61,[1]גיליון1!$A:$P,15,0)</f>
        <v>0</v>
      </c>
      <c r="K61" s="12">
        <f>VLOOKUP(A61,[1]גיליון1!$A:$P,16,0)</f>
        <v>0</v>
      </c>
      <c r="L61" s="68">
        <f>'תפוקה מצטברת מול אשתקד'!H61</f>
        <v>0</v>
      </c>
      <c r="M61" s="68">
        <f>'תפוקה מצטברת מול אשתקד'!I61</f>
        <v>0</v>
      </c>
      <c r="N61" s="68">
        <f>'תפוקה מצטברת מול אשתקד'!J61</f>
        <v>0</v>
      </c>
      <c r="O61" s="68">
        <f>'תפוקה מצטברת מול אשתקד'!K61</f>
        <v>0</v>
      </c>
    </row>
    <row r="62" spans="1:15" ht="21.75" thickBot="1" x14ac:dyDescent="0.3">
      <c r="A62" s="125" t="s">
        <v>134</v>
      </c>
      <c r="B62" s="119"/>
      <c r="C62" s="116"/>
      <c r="D62" s="20">
        <f t="shared" si="0"/>
        <v>-0.26802057480052477</v>
      </c>
      <c r="E62" s="20">
        <f t="shared" si="1"/>
        <v>-0.59005250237182127</v>
      </c>
      <c r="F62" s="20">
        <f t="shared" si="2"/>
        <v>-0.26639438104846014</v>
      </c>
      <c r="G62" s="20">
        <f t="shared" si="3"/>
        <v>-0.72850077733860341</v>
      </c>
      <c r="H62" s="149">
        <f>SUM(H55:H61)</f>
        <v>780000</v>
      </c>
      <c r="I62" s="149">
        <f t="shared" ref="I62:O62" si="14">SUM(I55:I61)</f>
        <v>82650</v>
      </c>
      <c r="J62" s="149">
        <f t="shared" si="14"/>
        <v>2208000</v>
      </c>
      <c r="K62" s="149">
        <f t="shared" si="14"/>
        <v>2277000</v>
      </c>
      <c r="L62" s="149">
        <f t="shared" si="14"/>
        <v>570943.95165559067</v>
      </c>
      <c r="M62" s="149">
        <f t="shared" si="14"/>
        <v>33882.160678968969</v>
      </c>
      <c r="N62" s="149">
        <f t="shared" si="14"/>
        <v>1619801.206645</v>
      </c>
      <c r="O62" s="149">
        <f t="shared" si="14"/>
        <v>618203.73</v>
      </c>
    </row>
    <row r="63" spans="1:15" x14ac:dyDescent="0.25">
      <c r="A63" s="27" t="s">
        <v>84</v>
      </c>
      <c r="B63" s="27" t="s">
        <v>116</v>
      </c>
      <c r="C63" s="27" t="s">
        <v>110</v>
      </c>
      <c r="D63" s="20">
        <f t="shared" si="0"/>
        <v>0</v>
      </c>
      <c r="E63" s="20">
        <f t="shared" si="1"/>
        <v>-0.86836140350877189</v>
      </c>
      <c r="F63" s="20">
        <f t="shared" si="2"/>
        <v>-0.84624560144927541</v>
      </c>
      <c r="G63" s="20">
        <f t="shared" si="3"/>
        <v>0.56243646376811585</v>
      </c>
      <c r="H63" s="12">
        <f>VLOOKUP(A63,[1]גיליון1!$A:$P,13,0)</f>
        <v>120000</v>
      </c>
      <c r="I63" s="12">
        <f>VLOOKUP(A63,[1]גיליון1!$A:$P,14,0)</f>
        <v>14250</v>
      </c>
      <c r="J63" s="12">
        <f>VLOOKUP(A63,[1]גיליון1!$A:$P,15,0)</f>
        <v>1380000</v>
      </c>
      <c r="K63" s="12">
        <f>VLOOKUP(A63,[1]גיליון1!$A:$P,16,0)</f>
        <v>690000</v>
      </c>
      <c r="L63" s="68">
        <f>'תפוקה מצטברת מול אשתקד'!H63</f>
        <v>0</v>
      </c>
      <c r="M63" s="68">
        <f>'תפוקה מצטברת מול אשתקד'!I63</f>
        <v>1875.85</v>
      </c>
      <c r="N63" s="68">
        <f>'תפוקה מצטברת מול אשתקד'!J63</f>
        <v>212181.07</v>
      </c>
      <c r="O63" s="68">
        <f>'תפוקה מצטברת מול אשתקד'!K63</f>
        <v>1078081.1599999999</v>
      </c>
    </row>
    <row r="64" spans="1:15" x14ac:dyDescent="0.25">
      <c r="A64" s="31" t="s">
        <v>40</v>
      </c>
      <c r="B64" s="27" t="s">
        <v>56</v>
      </c>
      <c r="C64" s="27" t="s">
        <v>111</v>
      </c>
      <c r="D64" s="20">
        <f t="shared" si="0"/>
        <v>-0.49069468990160525</v>
      </c>
      <c r="E64" s="20">
        <f t="shared" si="1"/>
        <v>0.43351696359649128</v>
      </c>
      <c r="F64" s="20">
        <f t="shared" si="2"/>
        <v>-0.17983243741666666</v>
      </c>
      <c r="G64" s="20">
        <f t="shared" si="3"/>
        <v>-0.38284137681159436</v>
      </c>
      <c r="H64" s="12">
        <f>VLOOKUP(A64,[1]גיליון1!$A:$P,13,0)</f>
        <v>360000</v>
      </c>
      <c r="I64" s="12">
        <f>VLOOKUP(A64,[1]גיליון1!$A:$P,14,0)</f>
        <v>57000</v>
      </c>
      <c r="J64" s="12">
        <f>VLOOKUP(A64,[1]גיליון1!$A:$P,15,0)</f>
        <v>1380000</v>
      </c>
      <c r="K64" s="12">
        <f>VLOOKUP(A64,[1]גיליון1!$A:$P,16,0)</f>
        <v>828000.00000000012</v>
      </c>
      <c r="L64" s="68">
        <f>'תפוקה מצטברת מול אשתקד'!H64</f>
        <v>183349.91163542212</v>
      </c>
      <c r="M64" s="68">
        <f>'תפוקה מצטברת מול אשתקד'!I64</f>
        <v>81710.466925000001</v>
      </c>
      <c r="N64" s="68">
        <f>'תפוקה מצטברת מול אשתקד'!J64</f>
        <v>1131831.236365</v>
      </c>
      <c r="O64" s="68">
        <f>'תפוקה מצטברת מול אשתקד'!K64</f>
        <v>511007.33999999997</v>
      </c>
    </row>
    <row r="65" spans="1:15" x14ac:dyDescent="0.25">
      <c r="A65" s="27" t="s">
        <v>98</v>
      </c>
      <c r="B65" s="27" t="s">
        <v>116</v>
      </c>
      <c r="C65" s="27" t="s">
        <v>111</v>
      </c>
      <c r="D65" s="20">
        <f t="shared" si="0"/>
        <v>0</v>
      </c>
      <c r="E65" s="20">
        <f t="shared" si="1"/>
        <v>0</v>
      </c>
      <c r="F65" s="20">
        <f t="shared" si="2"/>
        <v>0</v>
      </c>
      <c r="G65" s="20">
        <f t="shared" si="3"/>
        <v>0</v>
      </c>
      <c r="H65" s="12">
        <f>VLOOKUP(A65,[1]גיליון1!$A:$P,13,0)</f>
        <v>0</v>
      </c>
      <c r="I65" s="12">
        <f>VLOOKUP(A65,[1]גיליון1!$A:$P,14,0)</f>
        <v>0</v>
      </c>
      <c r="J65" s="12">
        <f>VLOOKUP(A65,[1]גיליון1!$A:$P,15,0)</f>
        <v>0</v>
      </c>
      <c r="K65" s="12">
        <f>VLOOKUP(A65,[1]גיליון1!$A:$P,16,0)</f>
        <v>0</v>
      </c>
      <c r="L65" s="68">
        <f>'תפוקה מצטברת מול אשתקד'!H65</f>
        <v>0</v>
      </c>
      <c r="M65" s="68">
        <f>'תפוקה מצטברת מול אשתקד'!I65</f>
        <v>0</v>
      </c>
      <c r="N65" s="68">
        <f>'תפוקה מצטברת מול אשתקד'!J65</f>
        <v>0</v>
      </c>
      <c r="O65" s="68">
        <f>'תפוקה מצטברת מול אשתקד'!K65</f>
        <v>0</v>
      </c>
    </row>
    <row r="66" spans="1:15" x14ac:dyDescent="0.25">
      <c r="A66" s="27" t="s">
        <v>100</v>
      </c>
      <c r="B66" s="27" t="s">
        <v>56</v>
      </c>
      <c r="C66" s="27" t="s">
        <v>111</v>
      </c>
      <c r="D66" s="20">
        <f t="shared" ref="D66:D72" si="15">IF(L66=0,0%,IF(H66=0,100%,L66/H66-1))</f>
        <v>1</v>
      </c>
      <c r="E66" s="20">
        <f t="shared" ref="E66:E72" si="16">IF(M66=0,0%,IF(I66=0,100%,M66/I66-1))</f>
        <v>0</v>
      </c>
      <c r="F66" s="20">
        <f t="shared" ref="F66:F72" si="17">IF(N66=0,0%,IF(J66=0,100%,N66/J66-1))</f>
        <v>1</v>
      </c>
      <c r="G66" s="20">
        <f t="shared" ref="G66:G72" si="18">IF(O66=0,0%,IF(K66=0,100%,O66/K66-1))</f>
        <v>1</v>
      </c>
      <c r="H66" s="12"/>
      <c r="I66" s="12"/>
      <c r="J66" s="12"/>
      <c r="K66" s="12"/>
      <c r="L66" s="68">
        <f>'תפוקה מצטברת מול אשתקד'!H66</f>
        <v>33642.58</v>
      </c>
      <c r="M66" s="68">
        <f>'תפוקה מצטברת מול אשתקד'!I66</f>
        <v>0</v>
      </c>
      <c r="N66" s="68">
        <f>'תפוקה מצטברת מול אשתקד'!J66</f>
        <v>2000</v>
      </c>
      <c r="O66" s="68">
        <f>'תפוקה מצטברת מול אשתקד'!K66</f>
        <v>398417.22</v>
      </c>
    </row>
    <row r="67" spans="1:15" x14ac:dyDescent="0.25">
      <c r="A67" s="27" t="s">
        <v>101</v>
      </c>
      <c r="B67" s="27" t="s">
        <v>56</v>
      </c>
      <c r="C67" s="27" t="s">
        <v>111</v>
      </c>
      <c r="D67" s="20">
        <f t="shared" si="15"/>
        <v>0</v>
      </c>
      <c r="E67" s="20">
        <f t="shared" si="16"/>
        <v>1</v>
      </c>
      <c r="F67" s="20">
        <f t="shared" si="17"/>
        <v>0</v>
      </c>
      <c r="G67" s="20">
        <f t="shared" si="18"/>
        <v>0</v>
      </c>
      <c r="H67" s="12"/>
      <c r="I67" s="12"/>
      <c r="J67" s="12"/>
      <c r="K67" s="12"/>
      <c r="L67" s="68">
        <f>'תפוקה מצטברת מול אשתקד'!H67</f>
        <v>0</v>
      </c>
      <c r="M67" s="68">
        <f>'תפוקה מצטברת מול אשתקד'!I67</f>
        <v>14968.174225000001</v>
      </c>
      <c r="N67" s="68">
        <f>'תפוקה מצטברת מול אשתקד'!J67</f>
        <v>0</v>
      </c>
      <c r="O67" s="68">
        <f>'תפוקה מצטברת מול אשתקד'!K67</f>
        <v>0</v>
      </c>
    </row>
    <row r="68" spans="1:15" x14ac:dyDescent="0.25">
      <c r="A68" s="27" t="s">
        <v>108</v>
      </c>
      <c r="B68" s="27" t="s">
        <v>56</v>
      </c>
      <c r="C68" s="27" t="s">
        <v>111</v>
      </c>
      <c r="D68" s="20">
        <f t="shared" si="15"/>
        <v>-0.83910998224907496</v>
      </c>
      <c r="E68" s="20">
        <f t="shared" si="16"/>
        <v>-0.73260851999999999</v>
      </c>
      <c r="F68" s="20">
        <f t="shared" si="17"/>
        <v>-0.89763116847826085</v>
      </c>
      <c r="G68" s="20">
        <f t="shared" si="18"/>
        <v>-0.88515178743961354</v>
      </c>
      <c r="H68" s="12">
        <f>VLOOKUP(A68,[1]גיליון1!$A:$P,13,0)</f>
        <v>120000</v>
      </c>
      <c r="I68" s="12">
        <f>VLOOKUP(A68,[1]גיליון1!$A:$P,14,0)</f>
        <v>14250</v>
      </c>
      <c r="J68" s="12">
        <f>VLOOKUP(A68,[1]גיליון1!$A:$P,15,0)</f>
        <v>1104000</v>
      </c>
      <c r="K68" s="12">
        <f>VLOOKUP(A68,[1]גיליון1!$A:$P,16,0)</f>
        <v>828000.00000000012</v>
      </c>
      <c r="L68" s="68">
        <f>'תפוקה מצטברת מול אשתקד'!H68</f>
        <v>19306.802130111002</v>
      </c>
      <c r="M68" s="68">
        <f>'תפוקה מצטברת מול אשתקד'!I68</f>
        <v>3810.3285900000001</v>
      </c>
      <c r="N68" s="68">
        <f>'תפוקה מצטברת מול אשתקד'!J68</f>
        <v>113015.19</v>
      </c>
      <c r="O68" s="68">
        <f>'תפוקה מצטברת מול אשתקד'!K68</f>
        <v>95094.319999999992</v>
      </c>
    </row>
    <row r="69" spans="1:15" x14ac:dyDescent="0.25">
      <c r="A69" s="112" t="s">
        <v>109</v>
      </c>
      <c r="B69" s="27" t="s">
        <v>56</v>
      </c>
      <c r="C69" s="27" t="s">
        <v>111</v>
      </c>
      <c r="D69" s="20">
        <f t="shared" si="15"/>
        <v>-0.10063292031684778</v>
      </c>
      <c r="E69" s="20">
        <f t="shared" si="16"/>
        <v>0.37420318645094341</v>
      </c>
      <c r="F69" s="20">
        <f t="shared" si="17"/>
        <v>-0.43453280797101446</v>
      </c>
      <c r="G69" s="20">
        <f t="shared" si="18"/>
        <v>3.4637829830917868</v>
      </c>
      <c r="H69" s="12">
        <f>VLOOKUP(A69,[1]גיליון1!$A:$P,13,0)</f>
        <v>360000</v>
      </c>
      <c r="I69" s="12">
        <f>VLOOKUP(A69,[1]גיליון1!$A:$P,14,0)</f>
        <v>23750</v>
      </c>
      <c r="J69" s="12">
        <f>VLOOKUP(A69,[1]גיליון1!$A:$P,15,0)</f>
        <v>2760000</v>
      </c>
      <c r="K69" s="12">
        <f>VLOOKUP(A69,[1]גיליון1!$A:$P,16,0)</f>
        <v>828000.00000000012</v>
      </c>
      <c r="L69" s="68">
        <f>'תפוקה מצטברת מול אשתקד'!H69</f>
        <v>323772.14868593478</v>
      </c>
      <c r="M69" s="68">
        <f>'תפוקה מצטברת מול אשתקד'!I69</f>
        <v>32637.325678209905</v>
      </c>
      <c r="N69" s="68">
        <f>'תפוקה מצטברת מול אשתקד'!J69</f>
        <v>1560689.4500000002</v>
      </c>
      <c r="O69" s="68">
        <f>'תפוקה מצטברת מול אשתקד'!K69</f>
        <v>3696012.31</v>
      </c>
    </row>
    <row r="70" spans="1:15" ht="16.5" thickBot="1" x14ac:dyDescent="0.3">
      <c r="A70" s="27" t="s">
        <v>89</v>
      </c>
      <c r="B70" s="27" t="s">
        <v>56</v>
      </c>
      <c r="C70" s="27" t="s">
        <v>111</v>
      </c>
      <c r="D70" s="20">
        <f t="shared" si="15"/>
        <v>-0.67589100000000002</v>
      </c>
      <c r="E70" s="20">
        <f t="shared" si="16"/>
        <v>48.372038581754389</v>
      </c>
      <c r="F70" s="20">
        <f t="shared" si="17"/>
        <v>9.9075362318838955E-3</v>
      </c>
      <c r="G70" s="20">
        <f t="shared" si="18"/>
        <v>0</v>
      </c>
      <c r="H70" s="12">
        <f>VLOOKUP(A70,[1]גיליון1!$A:$P,13,0)</f>
        <v>60000</v>
      </c>
      <c r="I70" s="12">
        <f>VLOOKUP(A70,[1]גיליון1!$A:$P,14,0)</f>
        <v>14250</v>
      </c>
      <c r="J70" s="12">
        <f>VLOOKUP(A70,[1]גיליון1!$A:$P,15,0)</f>
        <v>138000</v>
      </c>
      <c r="K70" s="12">
        <f>VLOOKUP(A70,[1]גיליון1!$A:$P,16,0)</f>
        <v>276000</v>
      </c>
      <c r="L70" s="68">
        <f>'תפוקה מצטברת מול אשתקד'!H70</f>
        <v>19446.54</v>
      </c>
      <c r="M70" s="68">
        <f>'תפוקה מצטברת מול אשתקד'!I70</f>
        <v>703551.54979000008</v>
      </c>
      <c r="N70" s="68">
        <f>'תפוקה מצטברת מול אשתקד'!J70</f>
        <v>139367.24</v>
      </c>
      <c r="O70" s="68">
        <f>'תפוקה מצטברת מול אשתקד'!K70</f>
        <v>0</v>
      </c>
    </row>
    <row r="71" spans="1:15" ht="21.75" thickBot="1" x14ac:dyDescent="0.3">
      <c r="A71" s="17" t="s">
        <v>44</v>
      </c>
      <c r="B71" s="173"/>
      <c r="C71" s="208"/>
      <c r="D71" s="20">
        <f t="shared" si="15"/>
        <v>-0.43184511524365898</v>
      </c>
      <c r="E71" s="20">
        <f t="shared" si="16"/>
        <v>5.7899084632243731</v>
      </c>
      <c r="F71" s="20">
        <f t="shared" si="17"/>
        <v>-0.53281807359287192</v>
      </c>
      <c r="G71" s="20">
        <f t="shared" si="18"/>
        <v>0.67496010144927521</v>
      </c>
      <c r="H71" s="102">
        <f>SUM(H63:H70)</f>
        <v>1020000</v>
      </c>
      <c r="I71" s="102">
        <f t="shared" ref="I71:O71" si="19">SUM(I63:I70)</f>
        <v>123500</v>
      </c>
      <c r="J71" s="102">
        <f t="shared" si="19"/>
        <v>6762000</v>
      </c>
      <c r="K71" s="102">
        <f t="shared" si="19"/>
        <v>3450000</v>
      </c>
      <c r="L71" s="102">
        <f t="shared" si="19"/>
        <v>579517.98245146789</v>
      </c>
      <c r="M71" s="102">
        <f t="shared" si="19"/>
        <v>838553.69520821003</v>
      </c>
      <c r="N71" s="102">
        <f t="shared" si="19"/>
        <v>3159084.186365</v>
      </c>
      <c r="O71" s="102">
        <f t="shared" si="19"/>
        <v>5778612.3499999996</v>
      </c>
    </row>
    <row r="72" spans="1:15" ht="21.75" thickBot="1" x14ac:dyDescent="0.3">
      <c r="A72" s="17" t="s">
        <v>45</v>
      </c>
      <c r="B72" s="173"/>
      <c r="C72" s="208"/>
      <c r="D72" s="20">
        <f t="shared" si="15"/>
        <v>-0.60697748827967224</v>
      </c>
      <c r="E72" s="20">
        <f t="shared" si="16"/>
        <v>1.2517001997797794</v>
      </c>
      <c r="F72" s="20">
        <f t="shared" si="17"/>
        <v>-0.6202267076408392</v>
      </c>
      <c r="G72" s="20">
        <f t="shared" si="18"/>
        <v>-0.44987380559025392</v>
      </c>
      <c r="H72" s="102">
        <f>H71+H62+H54+H21+H8</f>
        <v>8274000</v>
      </c>
      <c r="I72" s="102">
        <f t="shared" ref="I72:O72" si="20">I71+I62+I54+I21+I8</f>
        <v>838850</v>
      </c>
      <c r="J72" s="102">
        <f t="shared" si="20"/>
        <v>30153000</v>
      </c>
      <c r="K72" s="102">
        <f t="shared" si="20"/>
        <v>29780400</v>
      </c>
      <c r="L72" s="102">
        <f t="shared" si="20"/>
        <v>3251868.261973992</v>
      </c>
      <c r="M72" s="102">
        <f t="shared" si="20"/>
        <v>1888838.7125852681</v>
      </c>
      <c r="N72" s="102">
        <f t="shared" si="20"/>
        <v>11451304.084505774</v>
      </c>
      <c r="O72" s="102">
        <f t="shared" si="20"/>
        <v>16382978.120000001</v>
      </c>
    </row>
    <row r="73" spans="1:15" x14ac:dyDescent="0.25">
      <c r="D73" s="5"/>
      <c r="E73" s="5"/>
      <c r="F73" s="5"/>
      <c r="G73" s="5"/>
      <c r="H73" s="86"/>
      <c r="I73" s="86"/>
      <c r="J73" s="86"/>
      <c r="K73" s="86"/>
      <c r="L73" s="6"/>
      <c r="M73" s="6"/>
      <c r="N73" s="6"/>
      <c r="O73" s="6"/>
    </row>
    <row r="74" spans="1:15" x14ac:dyDescent="0.25">
      <c r="I74" s="10"/>
      <c r="J74" s="10"/>
      <c r="K74" s="9"/>
      <c r="L74"/>
      <c r="M74"/>
      <c r="N74"/>
      <c r="O74"/>
    </row>
    <row r="75" spans="1:15" x14ac:dyDescent="0.25">
      <c r="B75" s="3"/>
      <c r="C75" s="3"/>
      <c r="H75" s="86"/>
      <c r="I75" s="86"/>
      <c r="J75" s="86"/>
      <c r="K75" s="86"/>
      <c r="L75"/>
      <c r="M75"/>
      <c r="N75"/>
      <c r="O75"/>
    </row>
    <row r="76" spans="1:15" x14ac:dyDescent="0.25">
      <c r="B76" s="3"/>
      <c r="C76" s="3"/>
      <c r="H76" s="10"/>
      <c r="K76"/>
      <c r="L76"/>
      <c r="M76"/>
      <c r="N76"/>
      <c r="O76"/>
    </row>
    <row r="77" spans="1:15" x14ac:dyDescent="0.25">
      <c r="H77" s="10"/>
      <c r="I77" s="10"/>
      <c r="J77" s="10"/>
      <c r="K77"/>
      <c r="L77"/>
      <c r="M77"/>
      <c r="N77"/>
      <c r="O77"/>
    </row>
    <row r="78" spans="1:15" x14ac:dyDescent="0.25">
      <c r="K78"/>
      <c r="L78" s="9"/>
      <c r="M78" s="9"/>
      <c r="N78" s="9"/>
      <c r="O78" s="9"/>
    </row>
    <row r="79" spans="1:15" x14ac:dyDescent="0.25">
      <c r="K79"/>
      <c r="L79"/>
      <c r="M79"/>
      <c r="N79"/>
      <c r="O79"/>
    </row>
  </sheetData>
  <autoFilter ref="A2:O72" xr:uid="{20100A0E-83EC-4DBB-BD3E-7E64456E7812}"/>
  <mergeCells count="3">
    <mergeCell ref="L1:O1"/>
    <mergeCell ref="H1:K1"/>
    <mergeCell ref="D1:G1"/>
  </mergeCells>
  <conditionalFormatting sqref="A14">
    <cfRule type="duplicateValues" dxfId="253" priority="3"/>
    <cfRule type="duplicateValues" dxfId="252" priority="4"/>
  </conditionalFormatting>
  <conditionalFormatting sqref="A55">
    <cfRule type="duplicateValues" dxfId="251" priority="7"/>
    <cfRule type="duplicateValues" dxfId="250" priority="8"/>
  </conditionalFormatting>
  <conditionalFormatting sqref="A58">
    <cfRule type="duplicateValues" dxfId="249" priority="1"/>
    <cfRule type="duplicateValues" dxfId="248" priority="2"/>
  </conditionalFormatting>
  <conditionalFormatting sqref="A59 A56:A57 A7 A22:A53 A61">
    <cfRule type="duplicateValues" dxfId="247" priority="250"/>
    <cfRule type="duplicateValues" dxfId="246" priority="251"/>
  </conditionalFormatting>
  <conditionalFormatting sqref="A63:A70">
    <cfRule type="duplicateValues" dxfId="245" priority="11"/>
    <cfRule type="duplicateValues" dxfId="244" priority="12"/>
  </conditionalFormatting>
  <conditionalFormatting sqref="A71:A72 A1:A6 A8:A13 A15:A21 A54 A62">
    <cfRule type="duplicateValues" dxfId="243" priority="9"/>
    <cfRule type="duplicateValues" dxfId="242" priority="10"/>
  </conditionalFormatting>
  <conditionalFormatting sqref="D1 D2:G74 B75:C76 E75:G76 D77:G1048576">
    <cfRule type="cellIs" dxfId="241" priority="35" operator="lessThan">
      <formula>-0.0001</formula>
    </cfRule>
  </conditionalFormatting>
  <conditionalFormatting sqref="D3:G74 B75:C76 E75:G76 D77:G1048576">
    <cfRule type="cellIs" dxfId="240" priority="28" operator="greaterThan"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56E0-BEA5-4A33-8A86-06A0464561C3}">
  <sheetPr>
    <tabColor theme="4" tint="0.39997558519241921"/>
  </sheetPr>
  <dimension ref="A1:F65"/>
  <sheetViews>
    <sheetView rightToLeft="1" workbookViewId="0">
      <selection activeCell="D9" sqref="D9"/>
    </sheetView>
  </sheetViews>
  <sheetFormatPr defaultColWidth="21.7109375" defaultRowHeight="15.75" x14ac:dyDescent="0.25"/>
  <cols>
    <col min="1" max="1" width="30" style="8" bestFit="1" customWidth="1"/>
    <col min="2" max="2" width="9.5703125" style="7" bestFit="1" customWidth="1"/>
    <col min="3" max="3" width="13.5703125" style="7" bestFit="1" customWidth="1"/>
    <col min="4" max="5" width="21.85546875" style="7" bestFit="1" customWidth="1"/>
  </cols>
  <sheetData>
    <row r="1" spans="1:5" ht="42" x14ac:dyDescent="0.25">
      <c r="A1" s="11" t="s">
        <v>0</v>
      </c>
      <c r="B1" s="107" t="s">
        <v>81</v>
      </c>
      <c r="C1" s="106" t="s">
        <v>82</v>
      </c>
      <c r="D1" s="105" t="s">
        <v>132</v>
      </c>
      <c r="E1" s="104" t="s">
        <v>133</v>
      </c>
    </row>
    <row r="2" spans="1:5" x14ac:dyDescent="0.25">
      <c r="A2" s="27" t="s">
        <v>7</v>
      </c>
      <c r="B2" s="20">
        <f t="shared" ref="B2:B33" si="0">IF(D2=0,0%,IF(E2=0,100%,D2/E2-1))</f>
        <v>-0.93675866853172307</v>
      </c>
      <c r="C2" s="21">
        <f t="shared" ref="C2:C33" si="1">D2-E2</f>
        <v>-823.72</v>
      </c>
      <c r="D2" s="22">
        <f>IFERROR(VLOOKUP(A2,הכשרה!A:K,5,0)+VLOOKUP('עולים יורדים'!A2,מגדל!A:G,5,0)+VLOOKUP('עולים יורדים'!A2,מנורה!A:G,5,0)+VLOOKUP('עולים יורדים'!A2,איילון!A:G,5,0)+VLOOKUP('עולים יורדים'!A2,הראל!A:G,5,0)+VLOOKUP('עולים יורדים'!A2,הפניקס!A:G,5,0)+VLOOKUP('עולים יורדים'!A2,כלל!A:G,5,0)+VLOOKUP('עולים יורדים'!A2,מור!A:G,5,0)+VLOOKUP('עולים יורדים'!A2,'אלטשולר שחם'!A:G,5,0)+VLOOKUP('עולים יורדים'!A2,'מדיהו '!A:G,5,0)+VLOOKUP('עולים יורדים'!A2,'אנליסט '!A:G,5,0)+VLOOKUP('עולים יורדים'!A2,'מיטב דש'!A:G,5,0)+VLOOKUP('עולים יורדים'!A2,אינפניטי!A:G,5,0),0)</f>
        <v>55.61</v>
      </c>
      <c r="E2" s="23">
        <f>IFERROR(VLOOKUP(A2,הכשרה!A:K,9,0)+VLOOKUP('עולים יורדים'!A2,מגדל!A:K,9,0)+VLOOKUP('עולים יורדים'!A2,מנורה!A:K,9,0)+VLOOKUP('עולים יורדים'!A2,איילון!A:K,9,0)+VLOOKUP('עולים יורדים'!A2,הראל!A:K,9,0)+VLOOKUP('עולים יורדים'!A2,הפניקס!A:K,9,0)+VLOOKUP('עולים יורדים'!A2,כלל!A:K,9,0)+VLOOKUP('עולים יורדים'!A2,מור!A:K,9,0)+VLOOKUP('עולים יורדים'!A2,'אלטשולר שחם'!A:K,9,0)+VLOOKUP('עולים יורדים'!A2,'מדיהו '!A:K,9,0)+VLOOKUP('עולים יורדים'!A2,'אנליסט '!A:K,9,0)+VLOOKUP('עולים יורדים'!A2,'מיטב דש'!A:K,9,0)+VLOOKUP('עולים יורדים'!A2,אינפניטי!A:K,9,0),0)</f>
        <v>879.33</v>
      </c>
    </row>
    <row r="3" spans="1:5" x14ac:dyDescent="0.25">
      <c r="A3" s="27" t="s">
        <v>41</v>
      </c>
      <c r="B3" s="20">
        <f t="shared" si="0"/>
        <v>0</v>
      </c>
      <c r="C3" s="21">
        <f t="shared" si="1"/>
        <v>11702.194664712351</v>
      </c>
      <c r="D3" s="22">
        <v>0</v>
      </c>
      <c r="E3" s="23">
        <f>IFERROR(VLOOKUP(A3,הכשרה!A:K,9,0)+VLOOKUP('עולים יורדים'!A3,מגדל!A:K,9,0)+VLOOKUP('עולים יורדים'!A3,מנורה!A:K,9,0)+VLOOKUP('עולים יורדים'!A3,איילון!A:K,9,0)+VLOOKUP('עולים יורדים'!A3,הראל!A:K,9,0)+VLOOKUP('עולים יורדים'!A3,הפניקס!A:K,9,0)+VLOOKUP('עולים יורדים'!A3,כלל!A:K,9,0)+VLOOKUP('עולים יורדים'!A3,מור!A:K,9,0)+VLOOKUP('עולים יורדים'!A3,'אלטשולר שחם'!A:K,9,0)+VLOOKUP('עולים יורדים'!A3,'מדיהו '!A:K,9,0)+VLOOKUP('עולים יורדים'!A3,'אנליסט '!A:K,9,0)+VLOOKUP('עולים יורדים'!A3,'מיטב דש'!A:K,9,0)+VLOOKUP('עולים יורדים'!A3,אינפניטי!A:K,9,0),0)</f>
        <v>-11702.194664712351</v>
      </c>
    </row>
    <row r="4" spans="1:5" x14ac:dyDescent="0.25">
      <c r="A4" s="31" t="s">
        <v>33</v>
      </c>
      <c r="B4" s="20">
        <f t="shared" si="0"/>
        <v>0</v>
      </c>
      <c r="C4" s="21">
        <f t="shared" si="1"/>
        <v>-8653.85</v>
      </c>
      <c r="D4" s="22">
        <f>IFERROR(VLOOKUP(A4,הכשרה!A:K,5,0)+VLOOKUP('עולים יורדים'!A4,מגדל!A:G,5,0)+VLOOKUP('עולים יורדים'!A4,מנורה!A:G,5,0)+VLOOKUP('עולים יורדים'!A4,איילון!A:G,5,0)+VLOOKUP('עולים יורדים'!A4,הראל!A:G,5,0)+VLOOKUP('עולים יורדים'!A4,הפניקס!A:G,5,0)+VLOOKUP('עולים יורדים'!A4,כלל!A:G,5,0)+VLOOKUP('עולים יורדים'!A4,מור!A:G,5,0)+VLOOKUP('עולים יורדים'!A4,'אלטשולר שחם'!A:G,5,0)+VLOOKUP('עולים יורדים'!A4,'מדיהו '!A:G,5,0)+VLOOKUP('עולים יורדים'!A4,'אנליסט '!A:G,5,0)+VLOOKUP('עולים יורדים'!A4,'מיטב דש'!A:G,5,0)+VLOOKUP('עולים יורדים'!A4,אינפניטי!A:G,5,0),0)</f>
        <v>0</v>
      </c>
      <c r="E4" s="23">
        <f>IFERROR(VLOOKUP(A4,הכשרה!A:K,9,0)+VLOOKUP('עולים יורדים'!A4,מגדל!A:K,9,0)+VLOOKUP('עולים יורדים'!A4,מנורה!A:K,9,0)+VLOOKUP('עולים יורדים'!A4,איילון!A:K,9,0)+VLOOKUP('עולים יורדים'!A4,הראל!A:K,9,0)+VLOOKUP('עולים יורדים'!A4,הפניקס!A:K,9,0)+VLOOKUP('עולים יורדים'!A4,כלל!A:K,9,0)+VLOOKUP('עולים יורדים'!A4,מור!A:K,9,0)+VLOOKUP('עולים יורדים'!A4,'אלטשולר שחם'!A:K,9,0)+VLOOKUP('עולים יורדים'!A4,'מדיהו '!A:K,9,0)+VLOOKUP('עולים יורדים'!A4,'אנליסט '!A:K,9,0)+VLOOKUP('עולים יורדים'!A4,'מיטב דש'!A:K,9,0)+VLOOKUP('עולים יורדים'!A4,אינפניטי!A:K,9,0),0)</f>
        <v>8653.85</v>
      </c>
    </row>
    <row r="5" spans="1:5" x14ac:dyDescent="0.25">
      <c r="A5" s="27" t="s">
        <v>4</v>
      </c>
      <c r="B5" s="20">
        <f t="shared" si="0"/>
        <v>0</v>
      </c>
      <c r="C5" s="21">
        <f t="shared" si="1"/>
        <v>-83.03</v>
      </c>
      <c r="D5" s="22">
        <f>IFERROR(VLOOKUP(A5,הכשרה!A:K,5,0)+VLOOKUP('עולים יורדים'!A5,מגדל!A:G,5,0)+VLOOKUP('עולים יורדים'!A5,מנורה!A:G,5,0)+VLOOKUP('עולים יורדים'!A5,איילון!A:G,5,0)+VLOOKUP('עולים יורדים'!A5,הראל!A:G,5,0)+VLOOKUP('עולים יורדים'!A5,הפניקס!A:G,5,0)+VLOOKUP('עולים יורדים'!A5,כלל!A:G,5,0)+VLOOKUP('עולים יורדים'!A5,מור!A:G,5,0)+VLOOKUP('עולים יורדים'!A5,'אלטשולר שחם'!A:G,5,0)+VLOOKUP('עולים יורדים'!A5,'מדיהו '!A:G,5,0)+VLOOKUP('עולים יורדים'!A5,'אנליסט '!A:G,5,0)+VLOOKUP('עולים יורדים'!A5,'מיטב דש'!A:G,5,0)+VLOOKUP('עולים יורדים'!A5,אינפניטי!A:G,5,0),0)</f>
        <v>0</v>
      </c>
      <c r="E5" s="23">
        <f>IFERROR(VLOOKUP(A5,הכשרה!A:K,9,0)+VLOOKUP('עולים יורדים'!A5,מגדל!A:K,9,0)+VLOOKUP('עולים יורדים'!A5,מנורה!A:K,9,0)+VLOOKUP('עולים יורדים'!A5,איילון!A:K,9,0)+VLOOKUP('עולים יורדים'!A5,הראל!A:K,9,0)+VLOOKUP('עולים יורדים'!A5,הפניקס!A:K,9,0)+VLOOKUP('עולים יורדים'!A5,כלל!A:K,9,0)+VLOOKUP('עולים יורדים'!A5,מור!A:K,9,0)+VLOOKUP('עולים יורדים'!A5,'אלטשולר שחם'!A:K,9,0)+VLOOKUP('עולים יורדים'!A5,'מדיהו '!A:K,9,0)+VLOOKUP('עולים יורדים'!A5,'אנליסט '!A:K,9,0)+VLOOKUP('עולים יורדים'!A5,'מיטב דש'!A:K,9,0)+VLOOKUP('עולים יורדים'!A5,אינפניטי!A:K,9,0),0)</f>
        <v>83.03</v>
      </c>
    </row>
    <row r="6" spans="1:5" x14ac:dyDescent="0.25">
      <c r="A6" s="27" t="s">
        <v>96</v>
      </c>
      <c r="B6" s="20">
        <f t="shared" si="0"/>
        <v>0</v>
      </c>
      <c r="C6" s="21">
        <f t="shared" si="1"/>
        <v>-4456.9888439999995</v>
      </c>
      <c r="D6" s="22">
        <f>IFERROR(VLOOKUP(A6,הכשרה!A:K,5,0)+VLOOKUP('עולים יורדים'!A6,מגדל!A:G,5,0)+VLOOKUP('עולים יורדים'!A6,מנורה!A:G,5,0)+VLOOKUP('עולים יורדים'!A6,איילון!A:G,5,0)+VLOOKUP('עולים יורדים'!A6,הראל!A:G,5,0)+VLOOKUP('עולים יורדים'!A6,הפניקס!A:G,5,0)+VLOOKUP('עולים יורדים'!A6,כלל!A:G,5,0)+VLOOKUP('עולים יורדים'!A6,מור!A:G,5,0)+VLOOKUP('עולים יורדים'!A6,'אלטשולר שחם'!A:G,5,0)+VLOOKUP('עולים יורדים'!A6,'מדיהו '!A:G,5,0)+VLOOKUP('עולים יורדים'!A6,'אנליסט '!A:G,5,0)+VLOOKUP('עולים יורדים'!A6,'מיטב דש'!A:G,5,0)+VLOOKUP('עולים יורדים'!A6,אינפניטי!A:G,5,0),0)</f>
        <v>0</v>
      </c>
      <c r="E6" s="23">
        <f>IFERROR(VLOOKUP(A6,הכשרה!A:K,9,0)+VLOOKUP('עולים יורדים'!A6,מגדל!A:K,9,0)+VLOOKUP('עולים יורדים'!A6,מנורה!A:K,9,0)+VLOOKUP('עולים יורדים'!A6,איילון!A:K,9,0)+VLOOKUP('עולים יורדים'!A6,הראל!A:K,9,0)+VLOOKUP('עולים יורדים'!A6,הפניקס!A:K,9,0)+VLOOKUP('עולים יורדים'!A6,כלל!A:K,9,0)+VLOOKUP('עולים יורדים'!A6,מור!A:K,9,0)+VLOOKUP('עולים יורדים'!A6,'אלטשולר שחם'!A:K,9,0)+VLOOKUP('עולים יורדים'!A6,'מדיהו '!A:K,9,0)+VLOOKUP('עולים יורדים'!A6,'אנליסט '!A:K,9,0)+VLOOKUP('עולים יורדים'!A6,'מיטב דש'!A:K,9,0)+VLOOKUP('עולים יורדים'!A6,אינפניטי!A:K,9,0),0)</f>
        <v>4456.9888439999995</v>
      </c>
    </row>
    <row r="7" spans="1:5" x14ac:dyDescent="0.25">
      <c r="A7" s="27" t="s">
        <v>26</v>
      </c>
      <c r="B7" s="20">
        <f t="shared" si="0"/>
        <v>0</v>
      </c>
      <c r="C7" s="21">
        <f t="shared" si="1"/>
        <v>-2433.31</v>
      </c>
      <c r="D7" s="22">
        <f>IFERROR(VLOOKUP(A7,הכשרה!A:K,5,0)+VLOOKUP('עולים יורדים'!A7,מגדל!A:G,5,0)+VLOOKUP('עולים יורדים'!A7,מנורה!A:G,5,0)+VLOOKUP('עולים יורדים'!A7,איילון!A:G,5,0)+VLOOKUP('עולים יורדים'!A7,הראל!A:G,5,0)+VLOOKUP('עולים יורדים'!A7,הפניקס!A:G,5,0)+VLOOKUP('עולים יורדים'!A7,כלל!A:G,5,0)+VLOOKUP('עולים יורדים'!A7,מור!A:G,5,0)+VLOOKUP('עולים יורדים'!A7,'אלטשולר שחם'!A:G,5,0)+VLOOKUP('עולים יורדים'!A7,'מדיהו '!A:G,5,0)+VLOOKUP('עולים יורדים'!A7,'אנליסט '!A:G,5,0)+VLOOKUP('עולים יורדים'!A7,'מיטב דש'!A:G,5,0)+VLOOKUP('עולים יורדים'!A7,אינפניטי!A:G,5,0),0)</f>
        <v>0</v>
      </c>
      <c r="E7" s="23">
        <f>IFERROR(VLOOKUP(A7,הכשרה!A:K,9,0)+VLOOKUP('עולים יורדים'!A7,מגדל!A:K,9,0)+VLOOKUP('עולים יורדים'!A7,מנורה!A:K,9,0)+VLOOKUP('עולים יורדים'!A7,איילון!A:K,9,0)+VLOOKUP('עולים יורדים'!A7,הראל!A:K,9,0)+VLOOKUP('עולים יורדים'!A7,הפניקס!A:K,9,0)+VLOOKUP('עולים יורדים'!A7,כלל!A:K,9,0)+VLOOKUP('עולים יורדים'!A7,מור!A:K,9,0)+VLOOKUP('עולים יורדים'!A7,'אלטשולר שחם'!A:K,9,0)+VLOOKUP('עולים יורדים'!A7,'מדיהו '!A:K,9,0)+VLOOKUP('עולים יורדים'!A7,'אנליסט '!A:K,9,0)+VLOOKUP('עולים יורדים'!A7,'מיטב דש'!A:K,9,0)+VLOOKUP('עולים יורדים'!A7,אינפניטי!A:K,9,0),0)</f>
        <v>2433.31</v>
      </c>
    </row>
    <row r="8" spans="1:5" x14ac:dyDescent="0.25">
      <c r="A8" s="27" t="s">
        <v>27</v>
      </c>
      <c r="B8" s="20">
        <f t="shared" si="0"/>
        <v>-592.45833333333337</v>
      </c>
      <c r="C8" s="21">
        <f t="shared" si="1"/>
        <v>-853.1400000000001</v>
      </c>
      <c r="D8" s="22">
        <f>IFERROR(VLOOKUP(A8,הכשרה!A:K,5,0)+VLOOKUP('עולים יורדים'!A8,מגדל!A:G,5,0)+VLOOKUP('עולים יורדים'!A8,מנורה!A:G,5,0)+VLOOKUP('עולים יורדים'!A8,איילון!A:G,5,0)+VLOOKUP('עולים יורדים'!A8,הראל!A:G,5,0)+VLOOKUP('עולים יורדים'!A8,הפניקס!A:G,5,0)+VLOOKUP('עולים יורדים'!A8,כלל!A:G,5,0)+VLOOKUP('עולים יורדים'!A8,מור!A:G,5,0)+VLOOKUP('עולים יורדים'!A8,'אלטשולר שחם'!A:G,5,0)+VLOOKUP('עולים יורדים'!A8,'מדיהו '!A:G,5,0)+VLOOKUP('עולים יורדים'!A8,'אנליסט '!A:G,5,0)+VLOOKUP('עולים יורדים'!A8,'מיטב דש'!A:G,5,0)+VLOOKUP('עולים יורדים'!A8,אינפניטי!A:G,5,0),0)</f>
        <v>-851.7</v>
      </c>
      <c r="E8" s="23">
        <f>IFERROR(VLOOKUP(A8,הכשרה!A:K,9,0)+VLOOKUP('עולים יורדים'!A8,מגדל!A:K,9,0)+VLOOKUP('עולים יורדים'!A8,מנורה!A:K,9,0)+VLOOKUP('עולים יורדים'!A8,איילון!A:K,9,0)+VLOOKUP('עולים יורדים'!A8,הראל!A:K,9,0)+VLOOKUP('עולים יורדים'!A8,הפניקס!A:K,9,0)+VLOOKUP('עולים יורדים'!A8,כלל!A:K,9,0)+VLOOKUP('עולים יורדים'!A8,מור!A:K,9,0)+VLOOKUP('עולים יורדים'!A8,'אלטשולר שחם'!A:K,9,0)+VLOOKUP('עולים יורדים'!A8,'מדיהו '!A:K,9,0)+VLOOKUP('עולים יורדים'!A8,'אנליסט '!A:K,9,0)+VLOOKUP('עולים יורדים'!A8,'מיטב דש'!A:K,9,0)+VLOOKUP('עולים יורדים'!A8,אינפניטי!A:K,9,0),0)</f>
        <v>1.44</v>
      </c>
    </row>
    <row r="9" spans="1:5" x14ac:dyDescent="0.25">
      <c r="A9" s="31" t="s">
        <v>17</v>
      </c>
      <c r="B9" s="20">
        <f t="shared" si="0"/>
        <v>-0.90381119886076755</v>
      </c>
      <c r="C9" s="21">
        <f t="shared" si="1"/>
        <v>-160911.13563088496</v>
      </c>
      <c r="D9" s="22">
        <f>IFERROR(VLOOKUP(A9,הכשרה!A:K,5,0)+VLOOKUP('עולים יורדים'!A9,מגדל!A:G,5,0)+VLOOKUP('עולים יורדים'!A9,מנורה!A:G,5,0)+VLOOKUP('עולים יורדים'!A9,איילון!A:G,5,0)+VLOOKUP('עולים יורדים'!A9,הראל!A:G,5,0)+VLOOKUP('עולים יורדים'!A9,הפניקס!A:G,5,0)+VLOOKUP('עולים יורדים'!A9,כלל!A:G,5,0)+VLOOKUP('עולים יורדים'!A9,מור!A:G,5,0)+VLOOKUP('עולים יורדים'!A9,'אלטשולר שחם'!A:G,5,0)+VLOOKUP('עולים יורדים'!A9,'מדיהו '!A:G,5,0)+VLOOKUP('עולים יורדים'!A9,'אנליסט '!A:G,5,0)+VLOOKUP('עולים יורדים'!A9,'מיטב דש'!A:G,5,0)+VLOOKUP('עולים יורדים'!A9,אינפניטי!A:G,5,0),0)</f>
        <v>17125.091220153859</v>
      </c>
      <c r="E9" s="23">
        <f>IFERROR(VLOOKUP(A9,הכשרה!A:K,9,0)+VLOOKUP('עולים יורדים'!A9,מגדל!A:K,9,0)+VLOOKUP('עולים יורדים'!A9,מנורה!A:K,9,0)+VLOOKUP('עולים יורדים'!A9,איילון!A:K,9,0)+VLOOKUP('עולים יורדים'!A9,הראל!A:K,9,0)+VLOOKUP('עולים יורדים'!A9,הפניקס!A:K,9,0)+VLOOKUP('עולים יורדים'!A9,כלל!A:K,9,0)+VLOOKUP('עולים יורדים'!A9,מור!A:K,9,0)+VLOOKUP('עולים יורדים'!A9,'אלטשולר שחם'!A:K,9,0)+VLOOKUP('עולים יורדים'!A9,'מדיהו '!A:K,9,0)+VLOOKUP('עולים יורדים'!A9,'אנליסט '!A:K,9,0)+VLOOKUP('עולים יורדים'!A9,'מיטב דש'!A:K,9,0)+VLOOKUP('עולים יורדים'!A9,אינפניטי!A:K,9,0),0)</f>
        <v>178036.22685103881</v>
      </c>
    </row>
    <row r="10" spans="1:5" x14ac:dyDescent="0.25">
      <c r="A10" s="27" t="s">
        <v>35</v>
      </c>
      <c r="B10" s="20">
        <f t="shared" si="0"/>
        <v>0</v>
      </c>
      <c r="C10" s="21">
        <f t="shared" si="1"/>
        <v>-2637.85</v>
      </c>
      <c r="D10" s="22">
        <f>IFERROR(VLOOKUP(A10,הכשרה!A:K,5,0)+VLOOKUP('עולים יורדים'!A10,מגדל!A:G,5,0)+VLOOKUP('עולים יורדים'!A10,מנורה!A:G,5,0)+VLOOKUP('עולים יורדים'!A10,איילון!A:G,5,0)+VLOOKUP('עולים יורדים'!A10,הראל!A:G,5,0)+VLOOKUP('עולים יורדים'!A10,הפניקס!A:G,5,0)+VLOOKUP('עולים יורדים'!A10,כלל!A:G,5,0)+VLOOKUP('עולים יורדים'!A10,מור!A:G,5,0)+VLOOKUP('עולים יורדים'!A10,'אלטשולר שחם'!A:G,5,0)+VLOOKUP('עולים יורדים'!A10,'מדיהו '!A:G,5,0)+VLOOKUP('עולים יורדים'!A10,'אנליסט '!A:G,5,0)+VLOOKUP('עולים יורדים'!A10,'מיטב דש'!A:G,5,0)+VLOOKUP('עולים יורדים'!A10,אינפניטי!A:G,5,0),0)</f>
        <v>0</v>
      </c>
      <c r="E10" s="23">
        <f>IFERROR(VLOOKUP(A10,הכשרה!A:K,9,0)+VLOOKUP('עולים יורדים'!A10,מגדל!A:K,9,0)+VLOOKUP('עולים יורדים'!A10,מנורה!A:K,9,0)+VLOOKUP('עולים יורדים'!A10,איילון!A:K,9,0)+VLOOKUP('עולים יורדים'!A10,הראל!A:K,9,0)+VLOOKUP('עולים יורדים'!A10,הפניקס!A:K,9,0)+VLOOKUP('עולים יורדים'!A10,כלל!A:K,9,0)+VLOOKUP('עולים יורדים'!A10,מור!A:K,9,0)+VLOOKUP('עולים יורדים'!A10,'אלטשולר שחם'!A:K,9,0)+VLOOKUP('עולים יורדים'!A10,'מדיהו '!A:K,9,0)+VLOOKUP('עולים יורדים'!A10,'אנליסט '!A:K,9,0)+VLOOKUP('עולים יורדים'!A10,'מיטב דש'!A:K,9,0)+VLOOKUP('עולים יורדים'!A10,אינפניטי!A:K,9,0),0)</f>
        <v>2637.85</v>
      </c>
    </row>
    <row r="11" spans="1:5" x14ac:dyDescent="0.25">
      <c r="A11" s="27" t="s">
        <v>23</v>
      </c>
      <c r="B11" s="20">
        <f t="shared" si="0"/>
        <v>0</v>
      </c>
      <c r="C11" s="21">
        <f t="shared" si="1"/>
        <v>-876.88</v>
      </c>
      <c r="D11" s="22">
        <f>IFERROR(VLOOKUP(A11,הכשרה!A:K,5,0)+VLOOKUP('עולים יורדים'!A11,מגדל!A:G,5,0)+VLOOKUP('עולים יורדים'!A11,מנורה!A:G,5,0)+VLOOKUP('עולים יורדים'!A11,איילון!A:G,5,0)+VLOOKUP('עולים יורדים'!A11,הראל!A:G,5,0)+VLOOKUP('עולים יורדים'!A11,הפניקס!A:G,5,0)+VLOOKUP('עולים יורדים'!A11,כלל!A:G,5,0)+VLOOKUP('עולים יורדים'!A11,מור!A:G,5,0)+VLOOKUP('עולים יורדים'!A11,'אלטשולר שחם'!A:G,5,0)+VLOOKUP('עולים יורדים'!A11,'מדיהו '!A:G,5,0)+VLOOKUP('עולים יורדים'!A11,'אנליסט '!A:G,5,0)+VLOOKUP('עולים יורדים'!A11,'מיטב דש'!A:G,5,0)+VLOOKUP('עולים יורדים'!A11,אינפניטי!A:G,5,0),0)</f>
        <v>0</v>
      </c>
      <c r="E11" s="23">
        <f>IFERROR(VLOOKUP(A11,הכשרה!A:K,9,0)+VLOOKUP('עולים יורדים'!A11,מגדל!A:K,9,0)+VLOOKUP('עולים יורדים'!A11,מנורה!A:K,9,0)+VLOOKUP('עולים יורדים'!A11,איילון!A:K,9,0)+VLOOKUP('עולים יורדים'!A11,הראל!A:K,9,0)+VLOOKUP('עולים יורדים'!A11,הפניקס!A:K,9,0)+VLOOKUP('עולים יורדים'!A11,כלל!A:K,9,0)+VLOOKUP('עולים יורדים'!A11,מור!A:K,9,0)+VLOOKUP('עולים יורדים'!A11,'אלטשולר שחם'!A:K,9,0)+VLOOKUP('עולים יורדים'!A11,'מדיהו '!A:K,9,0)+VLOOKUP('עולים יורדים'!A11,'אנליסט '!A:K,9,0)+VLOOKUP('עולים יורדים'!A11,'מיטב דש'!A:K,9,0)+VLOOKUP('עולים יורדים'!A11,אינפניטי!A:K,9,0),0)</f>
        <v>876.88</v>
      </c>
    </row>
    <row r="12" spans="1:5" x14ac:dyDescent="0.25">
      <c r="A12" s="27" t="s">
        <v>93</v>
      </c>
      <c r="B12" s="20">
        <f t="shared" si="0"/>
        <v>0</v>
      </c>
      <c r="C12" s="21">
        <f t="shared" si="1"/>
        <v>-7347.69</v>
      </c>
      <c r="D12" s="22">
        <f>IFERROR(VLOOKUP(A12,הכשרה!A:K,5,0)+VLOOKUP('עולים יורדים'!A12,מגדל!A:G,5,0)+VLOOKUP('עולים יורדים'!A12,מנורה!A:G,5,0)+VLOOKUP('עולים יורדים'!A12,איילון!A:G,5,0)+VLOOKUP('עולים יורדים'!A12,הראל!A:G,5,0)+VLOOKUP('עולים יורדים'!A12,הפניקס!A:G,5,0)+VLOOKUP('עולים יורדים'!A12,כלל!A:G,5,0)+VLOOKUP('עולים יורדים'!A12,מור!A:G,5,0)+VLOOKUP('עולים יורדים'!A12,'אלטשולר שחם'!A:G,5,0)+VLOOKUP('עולים יורדים'!A12,'מדיהו '!A:G,5,0)+VLOOKUP('עולים יורדים'!A12,'אנליסט '!A:G,5,0)+VLOOKUP('עולים יורדים'!A12,'מיטב דש'!A:G,5,0)+VLOOKUP('עולים יורדים'!A12,אינפניטי!A:G,5,0),0)</f>
        <v>0</v>
      </c>
      <c r="E12" s="23">
        <f>IFERROR(VLOOKUP(A12,הכשרה!A:K,9,0)+VLOOKUP('עולים יורדים'!A12,מגדל!A:K,9,0)+VLOOKUP('עולים יורדים'!A12,מנורה!A:K,9,0)+VLOOKUP('עולים יורדים'!A12,איילון!A:K,9,0)+VLOOKUP('עולים יורדים'!A12,הראל!A:K,9,0)+VLOOKUP('עולים יורדים'!A12,הפניקס!A:K,9,0)+VLOOKUP('עולים יורדים'!A12,כלל!A:K,9,0)+VLOOKUP('עולים יורדים'!A12,מור!A:K,9,0)+VLOOKUP('עולים יורדים'!A12,'אלטשולר שחם'!A:K,9,0)+VLOOKUP('עולים יורדים'!A12,'מדיהו '!A:K,9,0)+VLOOKUP('עולים יורדים'!A12,'אנליסט '!A:K,9,0)+VLOOKUP('עולים יורדים'!A12,'מיטב דש'!A:K,9,0)+VLOOKUP('עולים יורדים'!A12,אינפניטי!A:K,9,0),0)</f>
        <v>7347.69</v>
      </c>
    </row>
    <row r="13" spans="1:5" x14ac:dyDescent="0.25">
      <c r="A13" s="27" t="s">
        <v>21</v>
      </c>
      <c r="B13" s="20">
        <f t="shared" si="0"/>
        <v>0.18024691358024714</v>
      </c>
      <c r="C13" s="21">
        <f t="shared" si="1"/>
        <v>1.4600000000000009</v>
      </c>
      <c r="D13" s="22">
        <f>IFERROR(VLOOKUP(A13,הכשרה!A:K,5,0)+VLOOKUP('עולים יורדים'!A13,מגדל!A:G,5,0)+VLOOKUP('עולים יורדים'!A13,מנורה!A:G,5,0)+VLOOKUP('עולים יורדים'!A13,איילון!A:G,5,0)+VLOOKUP('עולים יורדים'!A13,הראל!A:G,5,0)+VLOOKUP('עולים יורדים'!A13,הפניקס!A:G,5,0)+VLOOKUP('עולים יורדים'!A13,כלל!A:G,5,0)+VLOOKUP('עולים יורדים'!A13,מור!A:G,5,0)+VLOOKUP('עולים יורדים'!A13,'אלטשולר שחם'!A:G,5,0)+VLOOKUP('עולים יורדים'!A13,'מדיהו '!A:G,5,0)+VLOOKUP('עולים יורדים'!A13,'אנליסט '!A:G,5,0)+VLOOKUP('עולים יורדים'!A13,'מיטב דש'!A:G,5,0)+VLOOKUP('עולים יורדים'!A13,אינפניטי!A:G,5,0),0)</f>
        <v>9.56</v>
      </c>
      <c r="E13" s="23">
        <f>IFERROR(VLOOKUP(A13,הכשרה!A:K,9,0)+VLOOKUP('עולים יורדים'!A13,מגדל!A:K,9,0)+VLOOKUP('עולים יורדים'!A13,מנורה!A:K,9,0)+VLOOKUP('עולים יורדים'!A13,איילון!A:K,9,0)+VLOOKUP('עולים יורדים'!A13,הראל!A:K,9,0)+VLOOKUP('עולים יורדים'!A13,הפניקס!A:K,9,0)+VLOOKUP('עולים יורדים'!A13,כלל!A:K,9,0)+VLOOKUP('עולים יורדים'!A13,מור!A:K,9,0)+VLOOKUP('עולים יורדים'!A13,'אלטשולר שחם'!A:K,9,0)+VLOOKUP('עולים יורדים'!A13,'מדיהו '!A:K,9,0)+VLOOKUP('עולים יורדים'!A13,'אנליסט '!A:K,9,0)+VLOOKUP('עולים יורדים'!A13,'מיטב דש'!A:K,9,0)+VLOOKUP('עולים יורדים'!A13,אינפניטי!A:K,9,0),0)</f>
        <v>8.1</v>
      </c>
    </row>
    <row r="14" spans="1:5" x14ac:dyDescent="0.25">
      <c r="A14" s="27" t="s">
        <v>22</v>
      </c>
      <c r="B14" s="20">
        <f t="shared" si="0"/>
        <v>0</v>
      </c>
      <c r="C14" s="21">
        <f t="shared" si="1"/>
        <v>-3674.18</v>
      </c>
      <c r="D14" s="22">
        <f>IFERROR(VLOOKUP(A14,הכשרה!A:K,5,0)+VLOOKUP('עולים יורדים'!A14,מגדל!A:G,5,0)+VLOOKUP('עולים יורדים'!A14,מנורה!A:G,5,0)+VLOOKUP('עולים יורדים'!A14,איילון!A:G,5,0)+VLOOKUP('עולים יורדים'!A14,הראל!A:G,5,0)+VLOOKUP('עולים יורדים'!A14,הפניקס!A:G,5,0)+VLOOKUP('עולים יורדים'!A14,כלל!A:G,5,0)+VLOOKUP('עולים יורדים'!A14,מור!A:G,5,0)+VLOOKUP('עולים יורדים'!A14,'אלטשולר שחם'!A:G,5,0)+VLOOKUP('עולים יורדים'!A14,'מדיהו '!A:G,5,0)+VLOOKUP('עולים יורדים'!A14,'אנליסט '!A:G,5,0)+VLOOKUP('עולים יורדים'!A14,'מיטב דש'!A:G,5,0)+VLOOKUP('עולים יורדים'!A14,אינפניטי!A:G,5,0),0)</f>
        <v>0</v>
      </c>
      <c r="E14" s="23">
        <f>IFERROR(VLOOKUP(A14,הכשרה!A:K,9,0)+VLOOKUP('עולים יורדים'!A14,מגדל!A:K,9,0)+VLOOKUP('עולים יורדים'!A14,מנורה!A:K,9,0)+VLOOKUP('עולים יורדים'!A14,איילון!A:K,9,0)+VLOOKUP('עולים יורדים'!A14,הראל!A:K,9,0)+VLOOKUP('עולים יורדים'!A14,הפניקס!A:K,9,0)+VLOOKUP('עולים יורדים'!A14,כלל!A:K,9,0)+VLOOKUP('עולים יורדים'!A14,מור!A:K,9,0)+VLOOKUP('עולים יורדים'!A14,'אלטשולר שחם'!A:K,9,0)+VLOOKUP('עולים יורדים'!A14,'מדיהו '!A:K,9,0)+VLOOKUP('עולים יורדים'!A14,'אנליסט '!A:K,9,0)+VLOOKUP('עולים יורדים'!A14,'מיטב דש'!A:K,9,0)+VLOOKUP('עולים יורדים'!A14,אינפניטי!A:K,9,0),0)</f>
        <v>3674.18</v>
      </c>
    </row>
    <row r="15" spans="1:5" x14ac:dyDescent="0.25">
      <c r="A15" s="27" t="s">
        <v>24</v>
      </c>
      <c r="B15" s="20">
        <f t="shared" si="0"/>
        <v>-0.82091126943876391</v>
      </c>
      <c r="C15" s="21">
        <f t="shared" si="1"/>
        <v>-13917.911466000003</v>
      </c>
      <c r="D15" s="22">
        <f>IFERROR(VLOOKUP(A15,הכשרה!A:K,5,0)+VLOOKUP('עולים יורדים'!A15,מגדל!A:G,5,0)+VLOOKUP('עולים יורדים'!A15,מנורה!A:G,5,0)+VLOOKUP('עולים יורדים'!A15,איילון!A:G,5,0)+VLOOKUP('עולים יורדים'!A15,הראל!A:G,5,0)+VLOOKUP('עולים יורדים'!A15,הפניקס!A:G,5,0)+VLOOKUP('עולים יורדים'!A15,כלל!A:G,5,0)+VLOOKUP('עולים יורדים'!A15,מור!A:G,5,0)+VLOOKUP('עולים יורדים'!A15,'אלטשולר שחם'!A:G,5,0)+VLOOKUP('עולים יורדים'!A15,'מדיהו '!A:G,5,0)+VLOOKUP('עולים יורדים'!A15,'אנליסט '!A:G,5,0)+VLOOKUP('עולים יורדים'!A15,'מיטב דש'!A:G,5,0)+VLOOKUP('עולים יורדים'!A15,אינפניטי!A:G,5,0),0)</f>
        <v>3036.31</v>
      </c>
      <c r="E15" s="23">
        <f>IFERROR(VLOOKUP(A15,הכשרה!A:K,9,0)+VLOOKUP('עולים יורדים'!A15,מגדל!A:K,9,0)+VLOOKUP('עולים יורדים'!A15,מנורה!A:K,9,0)+VLOOKUP('עולים יורדים'!A15,איילון!A:K,9,0)+VLOOKUP('עולים יורדים'!A15,הראל!A:K,9,0)+VLOOKUP('עולים יורדים'!A15,הפניקס!A:K,9,0)+VLOOKUP('עולים יורדים'!A15,כלל!A:K,9,0)+VLOOKUP('עולים יורדים'!A15,מור!A:K,9,0)+VLOOKUP('עולים יורדים'!A15,'אלטשולר שחם'!A:K,9,0)+VLOOKUP('עולים יורדים'!A15,'מדיהו '!A:K,9,0)+VLOOKUP('עולים יורדים'!A15,'אנליסט '!A:K,9,0)+VLOOKUP('עולים יורדים'!A15,'מיטב דש'!A:K,9,0)+VLOOKUP('עולים יורדים'!A15,אינפניטי!A:K,9,0),0)</f>
        <v>16954.221466000003</v>
      </c>
    </row>
    <row r="16" spans="1:5" x14ac:dyDescent="0.25">
      <c r="A16" s="27" t="s">
        <v>42</v>
      </c>
      <c r="B16" s="20">
        <f t="shared" si="0"/>
        <v>1.431505321081465</v>
      </c>
      <c r="C16" s="21">
        <f t="shared" si="1"/>
        <v>33515.847227687525</v>
      </c>
      <c r="D16" s="22">
        <f>IFERROR(VLOOKUP(A16,הכשרה!A:K,5,0)+VLOOKUP('עולים יורדים'!A16,מגדל!A:G,5,0)+VLOOKUP('עולים יורדים'!A16,מנורה!A:G,5,0)+VLOOKUP('עולים יורדים'!A16,איילון!A:G,5,0)+VLOOKUP('עולים יורדים'!A16,הראל!A:G,5,0)+VLOOKUP('עולים יורדים'!A16,הפניקס!A:G,5,0)+VLOOKUP('עולים יורדים'!A16,כלל!A:G,5,0)+VLOOKUP('עולים יורדים'!A16,מור!A:G,5,0)+VLOOKUP('עולים יורדים'!A16,'אלטשולר שחם'!A:G,5,0)+VLOOKUP('עולים יורדים'!A16,'מדיהו '!A:G,5,0)+VLOOKUP('עולים יורדים'!A16,'אנליסט '!A:G,5,0)+VLOOKUP('עולים יורדים'!A16,'מיטב דש'!A:G,5,0)+VLOOKUP('עולים יורדים'!A16,אינפניטי!A:G,5,0),0)</f>
        <v>56928.856410473643</v>
      </c>
      <c r="E16" s="23">
        <f>IFERROR(VLOOKUP(A16,הכשרה!A:K,9,0)+VLOOKUP('עולים יורדים'!A16,מגדל!A:K,9,0)+VLOOKUP('עולים יורדים'!A16,מנורה!A:K,9,0)+VLOOKUP('עולים יורדים'!A16,איילון!A:K,9,0)+VLOOKUP('עולים יורדים'!A16,הראל!A:K,9,0)+VLOOKUP('עולים יורדים'!A16,הפניקס!A:K,9,0)+VLOOKUP('עולים יורדים'!A16,כלל!A:K,9,0)+VLOOKUP('עולים יורדים'!A16,מור!A:K,9,0)+VLOOKUP('עולים יורדים'!A16,'אלטשולר שחם'!A:K,9,0)+VLOOKUP('עולים יורדים'!A16,'מדיהו '!A:K,9,0)+VLOOKUP('עולים יורדים'!A16,'אנליסט '!A:K,9,0)+VLOOKUP('עולים יורדים'!A16,'מיטב דש'!A:K,9,0)+VLOOKUP('עולים יורדים'!A16,אינפניטי!A:K,9,0),0)</f>
        <v>23413.009182786118</v>
      </c>
    </row>
    <row r="17" spans="1:5" x14ac:dyDescent="0.25">
      <c r="A17" s="28" t="s">
        <v>8</v>
      </c>
      <c r="B17" s="20">
        <f t="shared" si="0"/>
        <v>-0.91876122137335869</v>
      </c>
      <c r="C17" s="21">
        <f t="shared" si="1"/>
        <v>-162116.67030473024</v>
      </c>
      <c r="D17" s="22">
        <f>IFERROR(VLOOKUP(A17,הכשרה!A:K,5,0)+VLOOKUP('עולים יורדים'!A17,מגדל!A:G,5,0)+VLOOKUP('עולים יורדים'!A17,מנורה!A:G,5,0)+VLOOKUP('עולים יורדים'!A17,איילון!A:G,5,0)+VLOOKUP('עולים יורדים'!A17,הראל!A:G,5,0)+VLOOKUP('עולים יורדים'!A17,הפניקס!A:G,5,0)+VLOOKUP('עולים יורדים'!A17,כלל!A:G,5,0)+VLOOKUP('עולים יורדים'!A17,מור!A:G,5,0)+VLOOKUP('עולים יורדים'!A17,'אלטשולר שחם'!A:G,5,0)+VLOOKUP('עולים יורדים'!A17,'מדיהו '!A:G,5,0)+VLOOKUP('עולים יורדים'!A17,'אנליסט '!A:G,5,0)+VLOOKUP('עולים יורדים'!A17,'מיטב דש'!A:G,5,0)+VLOOKUP('עולים יורדים'!A17,אינפניטי!A:G,5,0),0)</f>
        <v>14334.693263269754</v>
      </c>
      <c r="E17" s="23">
        <f>IFERROR(VLOOKUP(A17,הכשרה!A:K,9,0)+VLOOKUP('עולים יורדים'!A17,מגדל!A:K,9,0)+VLOOKUP('עולים יורדים'!A17,מנורה!A:K,9,0)+VLOOKUP('עולים יורדים'!A17,איילון!A:K,9,0)+VLOOKUP('עולים יורדים'!A17,הראל!A:K,9,0)+VLOOKUP('עולים יורדים'!A17,הפניקס!A:K,9,0)+VLOOKUP('עולים יורדים'!A17,כלל!A:K,9,0)+VLOOKUP('עולים יורדים'!A17,מור!A:K,9,0)+VLOOKUP('עולים יורדים'!A17,'אלטשולר שחם'!A:K,9,0)+VLOOKUP('עולים יורדים'!A17,'מדיהו '!A:K,9,0)+VLOOKUP('עולים יורדים'!A17,'אנליסט '!A:K,9,0)+VLOOKUP('עולים יורדים'!A17,'מיטב דש'!A:K,9,0)+VLOOKUP('עולים יורדים'!A17,אינפניטי!A:K,9,0),0)</f>
        <v>176451.363568</v>
      </c>
    </row>
    <row r="18" spans="1:5" x14ac:dyDescent="0.25">
      <c r="A18" s="27" t="s">
        <v>34</v>
      </c>
      <c r="B18" s="20">
        <f t="shared" si="0"/>
        <v>0</v>
      </c>
      <c r="C18" s="21">
        <f t="shared" si="1"/>
        <v>-2168.76341</v>
      </c>
      <c r="D18" s="22">
        <f>IFERROR(VLOOKUP(A18,הכשרה!A:K,5,0)+VLOOKUP('עולים יורדים'!A18,מגדל!A:G,5,0)+VLOOKUP('עולים יורדים'!A18,מנורה!A:G,5,0)+VLOOKUP('עולים יורדים'!A18,איילון!A:G,5,0)+VLOOKUP('עולים יורדים'!A18,הראל!A:G,5,0)+VLOOKUP('עולים יורדים'!A18,הפניקס!A:G,5,0)+VLOOKUP('עולים יורדים'!A18,כלל!A:G,5,0)+VLOOKUP('עולים יורדים'!A18,מור!A:G,5,0)+VLOOKUP('עולים יורדים'!A18,'אלטשולר שחם'!A:G,5,0)+VLOOKUP('עולים יורדים'!A18,'מדיהו '!A:G,5,0)+VLOOKUP('עולים יורדים'!A18,'אנליסט '!A:G,5,0)+VLOOKUP('עולים יורדים'!A18,'מיטב דש'!A:G,5,0)+VLOOKUP('עולים יורדים'!A18,אינפניטי!A:G,5,0),0)</f>
        <v>0</v>
      </c>
      <c r="E18" s="23">
        <f>IFERROR(VLOOKUP(A18,הכשרה!A:K,9,0)+VLOOKUP('עולים יורדים'!A18,מגדל!A:K,9,0)+VLOOKUP('עולים יורדים'!A18,מנורה!A:K,9,0)+VLOOKUP('עולים יורדים'!A18,איילון!A:K,9,0)+VLOOKUP('עולים יורדים'!A18,הראל!A:K,9,0)+VLOOKUP('עולים יורדים'!A18,הפניקס!A:K,9,0)+VLOOKUP('עולים יורדים'!A18,כלל!A:K,9,0)+VLOOKUP('עולים יורדים'!A18,מור!A:K,9,0)+VLOOKUP('עולים יורדים'!A18,'אלטשולר שחם'!A:K,9,0)+VLOOKUP('עולים יורדים'!A18,'מדיהו '!A:K,9,0)+VLOOKUP('עולים יורדים'!A18,'אנליסט '!A:K,9,0)+VLOOKUP('עולים יורדים'!A18,'מיטב דש'!A:K,9,0)+VLOOKUP('עולים יורדים'!A18,אינפניטי!A:K,9,0),0)</f>
        <v>2168.76341</v>
      </c>
    </row>
    <row r="19" spans="1:5" x14ac:dyDescent="0.25">
      <c r="A19" s="27" t="s">
        <v>2</v>
      </c>
      <c r="B19" s="20">
        <f t="shared" si="0"/>
        <v>25.109473131573569</v>
      </c>
      <c r="C19" s="21">
        <f t="shared" si="1"/>
        <v>240424.93126000001</v>
      </c>
      <c r="D19" s="22">
        <f>IFERROR(VLOOKUP(A19,הכשרה!A:K,5,0)+VLOOKUP('עולים יורדים'!A19,מגדל!A:G,5,0)+VLOOKUP('עולים יורדים'!A19,מנורה!A:G,5,0)+VLOOKUP('עולים יורדים'!A19,איילון!A:G,5,0)+VLOOKUP('עולים יורדים'!A19,הראל!A:G,5,0)+VLOOKUP('עולים יורדים'!A19,הפניקס!A:G,5,0)+VLOOKUP('עולים יורדים'!A19,כלל!A:G,5,0)+VLOOKUP('עולים יורדים'!A19,מור!A:G,5,0)+VLOOKUP('עולים יורדים'!A19,'אלטשולר שחם'!A:G,5,0)+VLOOKUP('עולים יורדים'!A19,'מדיהו '!A:G,5,0)+VLOOKUP('עולים יורדים'!A19,'אנליסט '!A:G,5,0)+VLOOKUP('עולים יורדים'!A19,'מיטב דש'!A:G,5,0)+VLOOKUP('עולים יורדים'!A19,אינפניטי!A:G,5,0),0)</f>
        <v>250000</v>
      </c>
      <c r="E19" s="23">
        <f>IFERROR(VLOOKUP(A19,הכשרה!A:K,9,0)+VLOOKUP('עולים יורדים'!A19,מגדל!A:K,9,0)+VLOOKUP('עולים יורדים'!A19,מנורה!A:K,9,0)+VLOOKUP('עולים יורדים'!A19,איילון!A:K,9,0)+VLOOKUP('עולים יורדים'!A19,הראל!A:K,9,0)+VLOOKUP('עולים יורדים'!A19,הפניקס!A:K,9,0)+VLOOKUP('עולים יורדים'!A19,כלל!A:K,9,0)+VLOOKUP('עולים יורדים'!A19,מור!A:K,9,0)+VLOOKUP('עולים יורדים'!A19,'אלטשולר שחם'!A:K,9,0)+VLOOKUP('עולים יורדים'!A19,'מדיהו '!A:K,9,0)+VLOOKUP('עולים יורדים'!A19,'אנליסט '!A:K,9,0)+VLOOKUP('עולים יורדים'!A19,'מיטב דש'!A:K,9,0)+VLOOKUP('עולים יורדים'!A19,אינפניטי!A:K,9,0),0)</f>
        <v>9575.0687400000006</v>
      </c>
    </row>
    <row r="20" spans="1:5" x14ac:dyDescent="0.25">
      <c r="A20" s="27" t="s">
        <v>1</v>
      </c>
      <c r="B20" s="20">
        <f t="shared" si="0"/>
        <v>-0.71514745042009487</v>
      </c>
      <c r="C20" s="21">
        <f t="shared" si="1"/>
        <v>-335668.37961452466</v>
      </c>
      <c r="D20" s="22">
        <f>IFERROR(VLOOKUP(A20,הכשרה!A:K,5,0)+VLOOKUP('עולים יורדים'!A20,מגדל!A:G,5,0)+VLOOKUP('עולים יורדים'!A20,מנורה!A:G,5,0)+VLOOKUP('עולים יורדים'!A20,איילון!A:G,5,0)+VLOOKUP('עולים יורדים'!A20,הראל!A:G,5,0)+VLOOKUP('עולים יורדים'!A20,הפניקס!A:G,5,0)+VLOOKUP('עולים יורדים'!A20,כלל!A:G,5,0)+VLOOKUP('עולים יורדים'!A20,מור!A:G,5,0)+VLOOKUP('עולים יורדים'!A20,'אלטשולר שחם'!A:G,5,0)+VLOOKUP('עולים יורדים'!A20,'מדיהו '!A:G,5,0)+VLOOKUP('עולים יורדים'!A20,'אנליסט '!A:G,5,0)+VLOOKUP('עולים יורדים'!A20,'מיטב דש'!A:G,5,0)+VLOOKUP('עולים יורדים'!A20,אינפניטי!A:G,5,0),0)</f>
        <v>133701.0901603378</v>
      </c>
      <c r="E20" s="23">
        <f>IFERROR(VLOOKUP(A20,הכשרה!A:K,9,0)+VLOOKUP('עולים יורדים'!A20,מגדל!A:K,9,0)+VLOOKUP('עולים יורדים'!A20,מנורה!A:K,9,0)+VLOOKUP('עולים יורדים'!A20,איילון!A:K,9,0)+VLOOKUP('עולים יורדים'!A20,הראל!A:K,9,0)+VLOOKUP('עולים יורדים'!A20,הפניקס!A:K,9,0)+VLOOKUP('עולים יורדים'!A20,כלל!A:K,9,0)+VLOOKUP('עולים יורדים'!A20,מור!A:K,9,0)+VLOOKUP('עולים יורדים'!A20,'אלטשולר שחם'!A:K,9,0)+VLOOKUP('עולים יורדים'!A20,'מדיהו '!A:K,9,0)+VLOOKUP('עולים יורדים'!A20,'אנליסט '!A:K,9,0)+VLOOKUP('עולים יורדים'!A20,'מיטב דש'!A:K,9,0)+VLOOKUP('עולים יורדים'!A20,אינפניטי!A:K,9,0),0)</f>
        <v>469369.46977486246</v>
      </c>
    </row>
    <row r="21" spans="1:5" x14ac:dyDescent="0.25">
      <c r="A21" s="27" t="s">
        <v>89</v>
      </c>
      <c r="B21" s="20">
        <f t="shared" si="0"/>
        <v>11.462926957830426</v>
      </c>
      <c r="C21" s="21">
        <f t="shared" si="1"/>
        <v>647099.99935000006</v>
      </c>
      <c r="D21" s="22">
        <f>IFERROR(VLOOKUP(A21,הכשרה!A:K,5,0)+VLOOKUP('עולים יורדים'!A21,מגדל!A:G,5,0)+VLOOKUP('עולים יורדים'!A21,מנורה!A:G,5,0)+VLOOKUP('עולים יורדים'!A21,איילון!A:G,5,0)+VLOOKUP('עולים יורדים'!A21,הראל!A:G,5,0)+VLOOKUP('עולים יורדים'!A21,הפניקס!A:G,5,0)+VLOOKUP('עולים יורדים'!A21,כלל!A:G,5,0)+VLOOKUP('עולים יורדים'!A21,מור!A:G,5,0)+VLOOKUP('עולים יורדים'!A21,'אלטשולר שחם'!A:G,5,0)+VLOOKUP('עולים יורדים'!A21,'מדיהו '!A:G,5,0)+VLOOKUP('עולים יורדים'!A21,'אנליסט '!A:G,5,0)+VLOOKUP('עולים יורדים'!A21,'מיטב דש'!A:G,5,0)+VLOOKUP('עולים יורדים'!A21,אינפניטי!A:G,5,0),0)</f>
        <v>703551.54979000008</v>
      </c>
      <c r="E21" s="23">
        <f>IFERROR(VLOOKUP(A21,הכשרה!A:K,9,0)+VLOOKUP('עולים יורדים'!A21,מגדל!A:K,9,0)+VLOOKUP('עולים יורדים'!A21,מנורה!A:K,9,0)+VLOOKUP('עולים יורדים'!A21,איילון!A:K,9,0)+VLOOKUP('עולים יורדים'!A21,הראל!A:K,9,0)+VLOOKUP('עולים יורדים'!A21,הפניקס!A:K,9,0)+VLOOKUP('עולים יורדים'!A21,כלל!A:K,9,0)+VLOOKUP('עולים יורדים'!A21,מור!A:K,9,0)+VLOOKUP('עולים יורדים'!A21,'אלטשולר שחם'!A:K,9,0)+VLOOKUP('עולים יורדים'!A21,'מדיהו '!A:K,9,0)+VLOOKUP('עולים יורדים'!A21,'אנליסט '!A:K,9,0)+VLOOKUP('עולים יורדים'!A21,'מיטב דש'!A:K,9,0)+VLOOKUP('עולים יורדים'!A21,אינפניטי!A:K,9,0),0)</f>
        <v>56451.550439999999</v>
      </c>
    </row>
    <row r="22" spans="1:5" x14ac:dyDescent="0.25">
      <c r="A22" s="27" t="s">
        <v>84</v>
      </c>
      <c r="B22" s="20">
        <f t="shared" si="0"/>
        <v>-0.91522197460609866</v>
      </c>
      <c r="C22" s="21">
        <f t="shared" si="1"/>
        <v>-20250.756408727982</v>
      </c>
      <c r="D22" s="22">
        <f>IFERROR(VLOOKUP(A22,הכשרה!A:K,5,0)+VLOOKUP('עולים יורדים'!A22,מגדל!A:G,5,0)+VLOOKUP('עולים יורדים'!A22,מנורה!A:G,5,0)+VLOOKUP('עולים יורדים'!A22,איילון!A:G,5,0)+VLOOKUP('עולים יורדים'!A22,הראל!A:G,5,0)+VLOOKUP('עולים יורדים'!A22,הפניקס!A:G,5,0)+VLOOKUP('עולים יורדים'!A22,כלל!A:G,5,0)+VLOOKUP('עולים יורדים'!A22,מור!A:G,5,0)+VLOOKUP('עולים יורדים'!A22,'אלטשולר שחם'!A:G,5,0)+VLOOKUP('עולים יורדים'!A22,'מדיהו '!A:G,5,0)+VLOOKUP('עולים יורדים'!A22,'אנליסט '!A:G,5,0)+VLOOKUP('עולים יורדים'!A22,'מיטב דש'!A:G,5,0)+VLOOKUP('עולים יורדים'!A22,אינפניטי!A:G,5,0),0)</f>
        <v>1875.85</v>
      </c>
      <c r="E22" s="23">
        <f>IFERROR(VLOOKUP(A22,הכשרה!A:K,9,0)+VLOOKUP('עולים יורדים'!A22,מגדל!A:K,9,0)+VLOOKUP('עולים יורדים'!A22,מנורה!A:K,9,0)+VLOOKUP('עולים יורדים'!A22,איילון!A:K,9,0)+VLOOKUP('עולים יורדים'!A22,הראל!A:K,9,0)+VLOOKUP('עולים יורדים'!A22,הפניקס!A:K,9,0)+VLOOKUP('עולים יורדים'!A22,כלל!A:K,9,0)+VLOOKUP('עולים יורדים'!A22,מור!A:K,9,0)+VLOOKUP('עולים יורדים'!A22,'אלטשולר שחם'!A:K,9,0)+VLOOKUP('עולים יורדים'!A22,'מדיהו '!A:K,9,0)+VLOOKUP('עולים יורדים'!A22,'אנליסט '!A:K,9,0)+VLOOKUP('עולים יורדים'!A22,'מיטב דש'!A:K,9,0)+VLOOKUP('עולים יורדים'!A22,אינפניטי!A:K,9,0),0)</f>
        <v>22126.606408727981</v>
      </c>
    </row>
    <row r="23" spans="1:5" x14ac:dyDescent="0.25">
      <c r="A23" s="27" t="s">
        <v>19</v>
      </c>
      <c r="B23" s="20">
        <f t="shared" si="0"/>
        <v>-0.81649796352434645</v>
      </c>
      <c r="C23" s="21">
        <f t="shared" si="1"/>
        <v>-84712.242647000006</v>
      </c>
      <c r="D23" s="22">
        <f>IFERROR(VLOOKUP(A23,הכשרה!A:K,5,0)+VLOOKUP('עולים יורדים'!A23,מגדל!A:G,5,0)+VLOOKUP('עולים יורדים'!A23,מנורה!A:G,5,0)+VLOOKUP('עולים יורדים'!A23,איילון!A:G,5,0)+VLOOKUP('עולים יורדים'!A23,הראל!A:G,5,0)+VLOOKUP('עולים יורדים'!A23,הפניקס!A:G,5,0)+VLOOKUP('עולים יורדים'!A23,כלל!A:G,5,0)+VLOOKUP('עולים יורדים'!A23,מור!A:G,5,0)+VLOOKUP('עולים יורדים'!A23,'אלטשולר שחם'!A:G,5,0)+VLOOKUP('עולים יורדים'!A23,'מדיהו '!A:G,5,0)+VLOOKUP('עולים יורדים'!A23,'אנליסט '!A:G,5,0)+VLOOKUP('עולים יורדים'!A23,'מיטב דש'!A:G,5,0)+VLOOKUP('עולים יורדים'!A23,אינפניטי!A:G,5,0),0)</f>
        <v>19038.466394999999</v>
      </c>
      <c r="E23" s="23">
        <f>IFERROR(VLOOKUP(A23,הכשרה!A:K,9,0)+VLOOKUP('עולים יורדים'!A23,מגדל!A:K,9,0)+VLOOKUP('עולים יורדים'!A23,מנורה!A:K,9,0)+VLOOKUP('עולים יורדים'!A23,איילון!A:K,9,0)+VLOOKUP('עולים יורדים'!A23,הראל!A:K,9,0)+VLOOKUP('עולים יורדים'!A23,הפניקס!A:K,9,0)+VLOOKUP('עולים יורדים'!A23,כלל!A:K,9,0)+VLOOKUP('עולים יורדים'!A23,מור!A:K,9,0)+VLOOKUP('עולים יורדים'!A23,'אלטשולר שחם'!A:K,9,0)+VLOOKUP('עולים יורדים'!A23,'מדיהו '!A:K,9,0)+VLOOKUP('עולים יורדים'!A23,'אנליסט '!A:K,9,0)+VLOOKUP('עולים יורדים'!A23,'מיטב דש'!A:K,9,0)+VLOOKUP('עולים יורדים'!A23,אינפניטי!A:K,9,0),0)</f>
        <v>103750.709042</v>
      </c>
    </row>
    <row r="24" spans="1:5" x14ac:dyDescent="0.25">
      <c r="A24" s="31" t="s">
        <v>15</v>
      </c>
      <c r="B24" s="20">
        <f t="shared" si="0"/>
        <v>-0.97000540506302046</v>
      </c>
      <c r="C24" s="21">
        <f t="shared" si="1"/>
        <v>-141047.70819600002</v>
      </c>
      <c r="D24" s="22">
        <f>IFERROR(VLOOKUP(A24,הכשרה!A:K,5,0)+VLOOKUP('עולים יורדים'!A24,מגדל!A:G,5,0)+VLOOKUP('עולים יורדים'!A24,מנורה!A:G,5,0)+VLOOKUP('עולים יורדים'!A24,איילון!A:G,5,0)+VLOOKUP('עולים יורדים'!A24,הראל!A:G,5,0)+VLOOKUP('עולים יורדים'!A24,הפניקס!A:G,5,0)+VLOOKUP('עולים יורדים'!A24,כלל!A:G,5,0)+VLOOKUP('עולים יורדים'!A24,מור!A:G,5,0)+VLOOKUP('עולים יורדים'!A24,'אלטשולר שחם'!A:G,5,0)+VLOOKUP('עולים יורדים'!A24,'מדיהו '!A:G,5,0)+VLOOKUP('עולים יורדים'!A24,'אנליסט '!A:G,5,0)+VLOOKUP('עולים יורדים'!A24,'מיטב דש'!A:G,5,0)+VLOOKUP('עולים יורדים'!A24,אינפניטי!A:G,5,0),0)</f>
        <v>4361.49</v>
      </c>
      <c r="E24" s="23">
        <f>IFERROR(VLOOKUP(A24,הכשרה!A:K,9,0)+VLOOKUP('עולים יורדים'!A24,מגדל!A:K,9,0)+VLOOKUP('עולים יורדים'!A24,מנורה!A:K,9,0)+VLOOKUP('עולים יורדים'!A24,איילון!A:K,9,0)+VLOOKUP('עולים יורדים'!A24,הראל!A:K,9,0)+VLOOKUP('עולים יורדים'!A24,הפניקס!A:K,9,0)+VLOOKUP('עולים יורדים'!A24,כלל!A:K,9,0)+VLOOKUP('עולים יורדים'!A24,מור!A:K,9,0)+VLOOKUP('עולים יורדים'!A24,'אלטשולר שחם'!A:K,9,0)+VLOOKUP('עולים יורדים'!A24,'מדיהו '!A:K,9,0)+VLOOKUP('עולים יורדים'!A24,'אנליסט '!A:K,9,0)+VLOOKUP('עולים יורדים'!A24,'מיטב דש'!A:K,9,0)+VLOOKUP('עולים יורדים'!A24,אינפניטי!A:K,9,0),0)</f>
        <v>145409.19819600001</v>
      </c>
    </row>
    <row r="25" spans="1:5" x14ac:dyDescent="0.25">
      <c r="A25" s="27" t="s">
        <v>29</v>
      </c>
      <c r="B25" s="20">
        <f t="shared" si="0"/>
        <v>0</v>
      </c>
      <c r="C25" s="21">
        <f t="shared" si="1"/>
        <v>-3788.13</v>
      </c>
      <c r="D25" s="22">
        <f>IFERROR(VLOOKUP(A25,הכשרה!A:K,5,0)+VLOOKUP('עולים יורדים'!A25,מגדל!A:G,5,0)+VLOOKUP('עולים יורדים'!A25,מנורה!A:G,5,0)+VLOOKUP('עולים יורדים'!A25,איילון!A:G,5,0)+VLOOKUP('עולים יורדים'!A25,הראל!A:G,5,0)+VLOOKUP('עולים יורדים'!A25,הפניקס!A:G,5,0)+VLOOKUP('עולים יורדים'!A25,כלל!A:G,5,0)+VLOOKUP('עולים יורדים'!A25,מור!A:G,5,0)+VLOOKUP('עולים יורדים'!A25,'אלטשולר שחם'!A:G,5,0)+VLOOKUP('עולים יורדים'!A25,'מדיהו '!A:G,5,0)+VLOOKUP('עולים יורדים'!A25,'אנליסט '!A:G,5,0)+VLOOKUP('עולים יורדים'!A25,'מיטב דש'!A:G,5,0)+VLOOKUP('עולים יורדים'!A25,אינפניטי!A:G,5,0),0)</f>
        <v>0</v>
      </c>
      <c r="E25" s="23">
        <f>IFERROR(VLOOKUP(A25,הכשרה!A:K,9,0)+VLOOKUP('עולים יורדים'!A25,מגדל!A:K,9,0)+VLOOKUP('עולים יורדים'!A25,מנורה!A:K,9,0)+VLOOKUP('עולים יורדים'!A25,איילון!A:K,9,0)+VLOOKUP('עולים יורדים'!A25,הראל!A:K,9,0)+VLOOKUP('עולים יורדים'!A25,הפניקס!A:K,9,0)+VLOOKUP('עולים יורדים'!A25,כלל!A:K,9,0)+VLOOKUP('עולים יורדים'!A25,מור!A:K,9,0)+VLOOKUP('עולים יורדים'!A25,'אלטשולר שחם'!A:K,9,0)+VLOOKUP('עולים יורדים'!A25,'מדיהו '!A:K,9,0)+VLOOKUP('עולים יורדים'!A25,'אנליסט '!A:K,9,0)+VLOOKUP('עולים יורדים'!A25,'מיטב דש'!A:K,9,0)+VLOOKUP('עולים יורדים'!A25,אינפניטי!A:K,9,0),0)</f>
        <v>3788.13</v>
      </c>
    </row>
    <row r="26" spans="1:5" x14ac:dyDescent="0.25">
      <c r="A26" s="27" t="s">
        <v>9</v>
      </c>
      <c r="B26" s="20">
        <f t="shared" si="0"/>
        <v>-0.97765705931029534</v>
      </c>
      <c r="C26" s="21">
        <f t="shared" si="1"/>
        <v>-10681.488531999999</v>
      </c>
      <c r="D26" s="22">
        <f>IFERROR(VLOOKUP(A26,הכשרה!A:K,5,0)+VLOOKUP('עולים יורדים'!A26,מגדל!A:G,5,0)+VLOOKUP('עולים יורדים'!A26,מנורה!A:G,5,0)+VLOOKUP('עולים יורדים'!A26,איילון!A:G,5,0)+VLOOKUP('עולים יורדים'!A26,הראל!A:G,5,0)+VLOOKUP('עולים יורדים'!A26,הפניקס!A:G,5,0)+VLOOKUP('עולים יורדים'!A26,כלל!A:G,5,0)+VLOOKUP('עולים יורדים'!A26,מור!A:G,5,0)+VLOOKUP('עולים יורדים'!A26,'אלטשולר שחם'!A:G,5,0)+VLOOKUP('עולים יורדים'!A26,'מדיהו '!A:G,5,0)+VLOOKUP('עולים יורדים'!A26,'אנליסט '!A:G,5,0)+VLOOKUP('עולים יורדים'!A26,'מיטב דש'!A:G,5,0)+VLOOKUP('עולים יורדים'!A26,אינפניטי!A:G,5,0),0)</f>
        <v>244.11</v>
      </c>
      <c r="E26" s="23">
        <f>IFERROR(VLOOKUP(A26,הכשרה!A:K,9,0)+VLOOKUP('עולים יורדים'!A26,מגדל!A:K,9,0)+VLOOKUP('עולים יורדים'!A26,מנורה!A:K,9,0)+VLOOKUP('עולים יורדים'!A26,איילון!A:K,9,0)+VLOOKUP('עולים יורדים'!A26,הראל!A:K,9,0)+VLOOKUP('עולים יורדים'!A26,הפניקס!A:K,9,0)+VLOOKUP('עולים יורדים'!A26,כלל!A:K,9,0)+VLOOKUP('עולים יורדים'!A26,מור!A:K,9,0)+VLOOKUP('עולים יורדים'!A26,'אלטשולר שחם'!A:K,9,0)+VLOOKUP('עולים יורדים'!A26,'מדיהו '!A:K,9,0)+VLOOKUP('עולים יורדים'!A26,'אנליסט '!A:K,9,0)+VLOOKUP('עולים יורדים'!A26,'מיטב דש'!A:K,9,0)+VLOOKUP('עולים יורדים'!A26,אינפניטי!A:K,9,0),0)</f>
        <v>10925.598532</v>
      </c>
    </row>
    <row r="27" spans="1:5" x14ac:dyDescent="0.25">
      <c r="A27" s="27" t="s">
        <v>20</v>
      </c>
      <c r="B27" s="20">
        <f t="shared" si="0"/>
        <v>-0.83342557406143358</v>
      </c>
      <c r="C27" s="21">
        <f t="shared" si="1"/>
        <v>-121945.73391035786</v>
      </c>
      <c r="D27" s="22">
        <f>IFERROR(VLOOKUP(A27,הכשרה!A:K,5,0)+VLOOKUP('עולים יורדים'!A27,מגדל!A:G,5,0)+VLOOKUP('עולים יורדים'!A27,מנורה!A:G,5,0)+VLOOKUP('עולים יורדים'!A27,איילון!A:G,5,0)+VLOOKUP('עולים יורדים'!A27,הראל!A:G,5,0)+VLOOKUP('עולים יורדים'!A27,הפניקס!A:G,5,0)+VLOOKUP('עולים יורדים'!A27,כלל!A:G,5,0)+VLOOKUP('עולים יורדים'!A27,מור!A:G,5,0)+VLOOKUP('עולים יורדים'!A27,'אלטשולר שחם'!A:G,5,0)+VLOOKUP('עולים יורדים'!A27,'מדיהו '!A:G,5,0)+VLOOKUP('עולים יורדים'!A27,'אנליסט '!A:G,5,0)+VLOOKUP('עולים יורדים'!A27,'מיטב דש'!A:G,5,0)+VLOOKUP('עולים יורדים'!A27,אינפניטי!A:G,5,0),0)</f>
        <v>24372.950931642165</v>
      </c>
      <c r="E27" s="23">
        <f>IFERROR(VLOOKUP(A27,הכשרה!A:K,9,0)+VLOOKUP('עולים יורדים'!A27,מגדל!A:K,9,0)+VLOOKUP('עולים יורדים'!A27,מנורה!A:K,9,0)+VLOOKUP('עולים יורדים'!A27,איילון!A:K,9,0)+VLOOKUP('עולים יורדים'!A27,הראל!A:K,9,0)+VLOOKUP('עולים יורדים'!A27,הפניקס!A:K,9,0)+VLOOKUP('עולים יורדים'!A27,כלל!A:K,9,0)+VLOOKUP('עולים יורדים'!A27,מור!A:K,9,0)+VLOOKUP('עולים יורדים'!A27,'אלטשולר שחם'!A:K,9,0)+VLOOKUP('עולים יורדים'!A27,'מדיהו '!A:K,9,0)+VLOOKUP('עולים יורדים'!A27,'אנליסט '!A:K,9,0)+VLOOKUP('עולים יורדים'!A27,'מיטב דש'!A:K,9,0)+VLOOKUP('עולים יורדים'!A27,אינפניטי!A:K,9,0),0)</f>
        <v>146318.68484200002</v>
      </c>
    </row>
    <row r="28" spans="1:5" x14ac:dyDescent="0.25">
      <c r="A28" s="31" t="s">
        <v>13</v>
      </c>
      <c r="B28" s="20">
        <f t="shared" si="0"/>
        <v>0</v>
      </c>
      <c r="C28" s="21">
        <f t="shared" si="1"/>
        <v>-31298.708321436425</v>
      </c>
      <c r="D28" s="22">
        <f>IFERROR(VLOOKUP(A28,הכשרה!A:K,5,0)+VLOOKUP('עולים יורדים'!A28,מגדל!A:G,5,0)+VLOOKUP('עולים יורדים'!A28,מנורה!A:G,5,0)+VLOOKUP('עולים יורדים'!A28,איילון!A:G,5,0)+VLOOKUP('עולים יורדים'!A28,הראל!A:G,5,0)+VLOOKUP('עולים יורדים'!A28,הפניקס!A:G,5,0)+VLOOKUP('עולים יורדים'!A28,כלל!A:G,5,0)+VLOOKUP('עולים יורדים'!A28,מור!A:G,5,0)+VLOOKUP('עולים יורדים'!A28,'אלטשולר שחם'!A:G,5,0)+VLOOKUP('עולים יורדים'!A28,'מדיהו '!A:G,5,0)+VLOOKUP('עולים יורדים'!A28,'אנליסט '!A:G,5,0)+VLOOKUP('עולים יורדים'!A28,'מיטב דש'!A:G,5,0)+VLOOKUP('עולים יורדים'!A28,אינפניטי!A:G,5,0),0)</f>
        <v>0</v>
      </c>
      <c r="E28" s="23">
        <f>IFERROR(VLOOKUP(A28,הכשרה!A:K,9,0)+VLOOKUP('עולים יורדים'!A28,מגדל!A:K,9,0)+VLOOKUP('עולים יורדים'!A28,מנורה!A:K,9,0)+VLOOKUP('עולים יורדים'!A28,איילון!A:K,9,0)+VLOOKUP('עולים יורדים'!A28,הראל!A:K,9,0)+VLOOKUP('עולים יורדים'!A28,הפניקס!A:K,9,0)+VLOOKUP('עולים יורדים'!A28,כלל!A:K,9,0)+VLOOKUP('עולים יורדים'!A28,מור!A:K,9,0)+VLOOKUP('עולים יורדים'!A28,'אלטשולר שחם'!A:K,9,0)+VLOOKUP('עולים יורדים'!A28,'מדיהו '!A:K,9,0)+VLOOKUP('עולים יורדים'!A28,'אנליסט '!A:K,9,0)+VLOOKUP('עולים יורדים'!A28,'מיטב דש'!A:K,9,0)+VLOOKUP('עולים יורדים'!A28,אינפניטי!A:K,9,0),0)</f>
        <v>31298.708321436425</v>
      </c>
    </row>
    <row r="29" spans="1:5" x14ac:dyDescent="0.25">
      <c r="A29" s="27" t="s">
        <v>91</v>
      </c>
      <c r="B29" s="20">
        <f t="shared" si="0"/>
        <v>-0.34649074735138297</v>
      </c>
      <c r="C29" s="21">
        <f t="shared" si="1"/>
        <v>-4566.137286000001</v>
      </c>
      <c r="D29" s="22">
        <f>IFERROR(VLOOKUP(A29,הכשרה!A:K,5,0)+VLOOKUP('עולים יורדים'!A29,מגדל!A:G,5,0)+VLOOKUP('עולים יורדים'!A29,מנורה!A:G,5,0)+VLOOKUP('עולים יורדים'!A29,איילון!A:G,5,0)+VLOOKUP('עולים יורדים'!A29,הראל!A:G,5,0)+VLOOKUP('עולים יורדים'!A29,הפניקס!A:G,5,0)+VLOOKUP('עולים יורדים'!A29,כלל!A:G,5,0)+VLOOKUP('עולים יורדים'!A29,מור!A:G,5,0)+VLOOKUP('עולים יורדים'!A29,'אלטשולר שחם'!A:G,5,0)+VLOOKUP('עולים יורדים'!A29,'מדיהו '!A:G,5,0)+VLOOKUP('עולים יורדים'!A29,'אנליסט '!A:G,5,0)+VLOOKUP('עולים יורדים'!A29,'מיטב דש'!A:G,5,0)+VLOOKUP('עולים יורדים'!A29,אינפניטי!A:G,5,0),0)</f>
        <v>8612.0999999999985</v>
      </c>
      <c r="E29" s="23">
        <f>IFERROR(VLOOKUP(A29,הכשרה!A:K,9,0)+VLOOKUP('עולים יורדים'!A29,מגדל!A:K,9,0)+VLOOKUP('עולים יורדים'!A29,מנורה!A:K,9,0)+VLOOKUP('עולים יורדים'!A29,איילון!A:K,9,0)+VLOOKUP('עולים יורדים'!A29,הראל!A:K,9,0)+VLOOKUP('עולים יורדים'!A29,הפניקס!A:K,9,0)+VLOOKUP('עולים יורדים'!A29,כלל!A:K,9,0)+VLOOKUP('עולים יורדים'!A29,מור!A:K,9,0)+VLOOKUP('עולים יורדים'!A29,'אלטשולר שחם'!A:K,9,0)+VLOOKUP('עולים יורדים'!A29,'מדיהו '!A:K,9,0)+VLOOKUP('עולים יורדים'!A29,'אנליסט '!A:K,9,0)+VLOOKUP('עולים יורדים'!A29,'מיטב דש'!A:K,9,0)+VLOOKUP('עולים יורדים'!A29,אינפניטי!A:K,9,0),0)</f>
        <v>13178.237286</v>
      </c>
    </row>
    <row r="30" spans="1:5" x14ac:dyDescent="0.25">
      <c r="A30" s="27" t="s">
        <v>37</v>
      </c>
      <c r="B30" s="20">
        <f t="shared" si="0"/>
        <v>-0.70101085448924416</v>
      </c>
      <c r="C30" s="21">
        <f t="shared" si="1"/>
        <v>-38609.88960200001</v>
      </c>
      <c r="D30" s="22">
        <f>IFERROR(VLOOKUP(A30,הכשרה!A:K,5,0)+VLOOKUP('עולים יורדים'!A30,מגדל!A:G,5,0)+VLOOKUP('עולים יורדים'!A30,מנורה!A:G,5,0)+VLOOKUP('עולים יורדים'!A30,איילון!A:G,5,0)+VLOOKUP('עולים יורדים'!A30,הראל!A:G,5,0)+VLOOKUP('עולים יורדים'!A30,הפניקס!A:G,5,0)+VLOOKUP('עולים יורדים'!A30,כלל!A:G,5,0)+VLOOKUP('עולים יורדים'!A30,מור!A:G,5,0)+VLOOKUP('עולים יורדים'!A30,'אלטשולר שחם'!A:G,5,0)+VLOOKUP('עולים יורדים'!A30,'מדיהו '!A:G,5,0)+VLOOKUP('עולים יורדים'!A30,'אנליסט '!A:G,5,0)+VLOOKUP('עולים יורדים'!A30,'מיטב דש'!A:G,5,0)+VLOOKUP('עולים יורדים'!A30,אינפניטי!A:G,5,0),0)</f>
        <v>16467.559420000001</v>
      </c>
      <c r="E30" s="23">
        <f>IFERROR(VLOOKUP(A30,הכשרה!A:K,9,0)+VLOOKUP('עולים יורדים'!A30,מגדל!A:K,9,0)+VLOOKUP('עולים יורדים'!A30,מנורה!A:K,9,0)+VLOOKUP('עולים יורדים'!A30,איילון!A:K,9,0)+VLOOKUP('עולים יורדים'!A30,הראל!A:K,9,0)+VLOOKUP('עולים יורדים'!A30,הפניקס!A:K,9,0)+VLOOKUP('עולים יורדים'!A30,כלל!A:K,9,0)+VLOOKUP('עולים יורדים'!A30,מור!A:K,9,0)+VLOOKUP('עולים יורדים'!A30,'אלטשולר שחם'!A:K,9,0)+VLOOKUP('עולים יורדים'!A30,'מדיהו '!A:K,9,0)+VLOOKUP('עולים יורדים'!A30,'אנליסט '!A:K,9,0)+VLOOKUP('עולים יורדים'!A30,'מיטב דש'!A:K,9,0)+VLOOKUP('עולים יורדים'!A30,אינפניטי!A:K,9,0),0)</f>
        <v>55077.449022000008</v>
      </c>
    </row>
    <row r="31" spans="1:5" x14ac:dyDescent="0.25">
      <c r="A31" s="27" t="s">
        <v>39</v>
      </c>
      <c r="B31" s="20">
        <f t="shared" si="0"/>
        <v>-0.84443326170334299</v>
      </c>
      <c r="C31" s="21">
        <f t="shared" si="1"/>
        <v>-3104.3900000000003</v>
      </c>
      <c r="D31" s="22">
        <f>IFERROR(VLOOKUP(A31,הכשרה!A:K,5,0)+VLOOKUP('עולים יורדים'!A31,מגדל!A:G,5,0)+VLOOKUP('עולים יורדים'!A31,מנורה!A:G,5,0)+VLOOKUP('עולים יורדים'!A31,איילון!A:G,5,0)+VLOOKUP('עולים יורדים'!A31,הראל!A:G,5,0)+VLOOKUP('עולים יורדים'!A31,הפניקס!A:G,5,0)+VLOOKUP('עולים יורדים'!A31,כלל!A:G,5,0)+VLOOKUP('עולים יורדים'!A31,מור!A:G,5,0)+VLOOKUP('עולים יורדים'!A31,'אלטשולר שחם'!A:G,5,0)+VLOOKUP('עולים יורדים'!A31,'מדיהו '!A:G,5,0)+VLOOKUP('עולים יורדים'!A31,'אנליסט '!A:G,5,0)+VLOOKUP('עולים יורדים'!A31,'מיטב דש'!A:G,5,0)+VLOOKUP('עולים יורדים'!A31,אינפניטי!A:G,5,0),0)</f>
        <v>571.91</v>
      </c>
      <c r="E31" s="23">
        <f>IFERROR(VLOOKUP(A31,הכשרה!A:K,9,0)+VLOOKUP('עולים יורדים'!A31,מגדל!A:K,9,0)+VLOOKUP('עולים יורדים'!A31,מנורה!A:K,9,0)+VLOOKUP('עולים יורדים'!A31,איילון!A:K,9,0)+VLOOKUP('עולים יורדים'!A31,הראל!A:K,9,0)+VLOOKUP('עולים יורדים'!A31,הפניקס!A:K,9,0)+VLOOKUP('עולים יורדים'!A31,כלל!A:K,9,0)+VLOOKUP('עולים יורדים'!A31,מור!A:K,9,0)+VLOOKUP('עולים יורדים'!A31,'אלטשולר שחם'!A:K,9,0)+VLOOKUP('עולים יורדים'!A31,'מדיהו '!A:K,9,0)+VLOOKUP('עולים יורדים'!A31,'אנליסט '!A:K,9,0)+VLOOKUP('עולים יורדים'!A31,'מיטב דש'!A:K,9,0)+VLOOKUP('עולים יורדים'!A31,אינפניטי!A:K,9,0),0)</f>
        <v>3676.3</v>
      </c>
    </row>
    <row r="32" spans="1:5" x14ac:dyDescent="0.25">
      <c r="A32" s="27" t="s">
        <v>108</v>
      </c>
      <c r="B32" s="20">
        <f t="shared" si="0"/>
        <v>-0.93314749602603186</v>
      </c>
      <c r="C32" s="21">
        <f t="shared" si="1"/>
        <v>-53185.720376000005</v>
      </c>
      <c r="D32" s="22">
        <f>IFERROR(VLOOKUP(A32,הכשרה!A:K,5,0)+VLOOKUP('עולים יורדים'!A32,מגדל!A:G,5,0)+VLOOKUP('עולים יורדים'!A32,מנורה!A:G,5,0)+VLOOKUP('עולים יורדים'!A32,איילון!A:G,5,0)+VLOOKUP('עולים יורדים'!A32,הראל!A:G,5,0)+VLOOKUP('עולים יורדים'!A32,הפניקס!A:G,5,0)+VLOOKUP('עולים יורדים'!A32,כלל!A:G,5,0)+VLOOKUP('עולים יורדים'!A32,מור!A:G,5,0)+VLOOKUP('עולים יורדים'!A32,'אלטשולר שחם'!A:G,5,0)+VLOOKUP('עולים יורדים'!A32,'מדיהו '!A:G,5,0)+VLOOKUP('עולים יורדים'!A32,'אנליסט '!A:G,5,0)+VLOOKUP('עולים יורדים'!A32,'מיטב דש'!A:G,5,0)+VLOOKUP('עולים יורדים'!A32,אינפניטי!A:G,5,0),0)</f>
        <v>3810.3285900000001</v>
      </c>
      <c r="E32" s="23">
        <f>IFERROR(VLOOKUP(A32,הכשרה!A:K,9,0)+VLOOKUP('עולים יורדים'!A32,מגדל!A:K,9,0)+VLOOKUP('עולים יורדים'!A32,מנורה!A:K,9,0)+VLOOKUP('עולים יורדים'!A32,איילון!A:K,9,0)+VLOOKUP('עולים יורדים'!A32,הראל!A:K,9,0)+VLOOKUP('עולים יורדים'!A32,הפניקס!A:K,9,0)+VLOOKUP('עולים יורדים'!A32,כלל!A:K,9,0)+VLOOKUP('עולים יורדים'!A32,מור!A:K,9,0)+VLOOKUP('עולים יורדים'!A32,'אלטשולר שחם'!A:K,9,0)+VLOOKUP('עולים יורדים'!A32,'מדיהו '!A:K,9,0)+VLOOKUP('עולים יורדים'!A32,'אנליסט '!A:K,9,0)+VLOOKUP('עולים יורדים'!A32,'מיטב דש'!A:K,9,0)+VLOOKUP('עולים יורדים'!A32,אינפניטי!A:K,9,0),0)</f>
        <v>56996.048966000002</v>
      </c>
    </row>
    <row r="33" spans="1:6" x14ac:dyDescent="0.25">
      <c r="A33" s="27" t="s">
        <v>31</v>
      </c>
      <c r="B33" s="20">
        <f t="shared" si="0"/>
        <v>0</v>
      </c>
      <c r="C33" s="21">
        <f t="shared" si="1"/>
        <v>0</v>
      </c>
      <c r="D33" s="22">
        <f>IFERROR(VLOOKUP(A33,הכשרה!A:K,5,0)+VLOOKUP('עולים יורדים'!A33,מגדל!A:G,5,0)+VLOOKUP('עולים יורדים'!A33,מנורה!A:G,5,0)+VLOOKUP('עולים יורדים'!A33,איילון!A:G,5,0)+VLOOKUP('עולים יורדים'!A33,הראל!A:G,5,0)+VLOOKUP('עולים יורדים'!A33,הפניקס!A:G,5,0)+VLOOKUP('עולים יורדים'!A33,כלל!A:G,5,0)+VLOOKUP('עולים יורדים'!A33,מור!A:G,5,0)+VLOOKUP('עולים יורדים'!A33,'אלטשולר שחם'!A:G,5,0)+VLOOKUP('עולים יורדים'!A33,'מדיהו '!A:G,5,0)+VLOOKUP('עולים יורדים'!A33,'אנליסט '!A:G,5,0)+VLOOKUP('עולים יורדים'!A33,'מיטב דש'!A:G,5,0)+VLOOKUP('עולים יורדים'!A33,אינפניטי!A:G,5,0),0)</f>
        <v>0</v>
      </c>
      <c r="E33" s="23">
        <f>IFERROR(VLOOKUP(A33,הכשרה!A:K,9,0)+VLOOKUP('עולים יורדים'!A33,מגדל!A:K,9,0)+VLOOKUP('עולים יורדים'!A33,מנורה!A:K,9,0)+VLOOKUP('עולים יורדים'!A33,איילון!A:K,9,0)+VLOOKUP('עולים יורדים'!A33,הראל!A:K,9,0)+VLOOKUP('עולים יורדים'!A33,הפניקס!A:K,9,0)+VLOOKUP('עולים יורדים'!A33,כלל!A:K,9,0)+VLOOKUP('עולים יורדים'!A33,מור!A:K,9,0)+VLOOKUP('עולים יורדים'!A33,'אלטשולר שחם'!A:K,9,0)+VLOOKUP('עולים יורדים'!A33,'מדיהו '!A:K,9,0)+VLOOKUP('עולים יורדים'!A33,'אנליסט '!A:K,9,0)+VLOOKUP('עולים יורדים'!A33,'מיטב דש'!A:K,9,0)+VLOOKUP('עולים יורדים'!A33,אינפניטי!A:K,9,0),0)</f>
        <v>0</v>
      </c>
    </row>
    <row r="34" spans="1:6" x14ac:dyDescent="0.25">
      <c r="A34" s="27" t="s">
        <v>43</v>
      </c>
      <c r="B34" s="20">
        <f t="shared" ref="B34:B65" si="2">IF(D34=0,0%,IF(E34=0,100%,D34/E34-1))</f>
        <v>1.1135078091676398</v>
      </c>
      <c r="C34" s="21">
        <f t="shared" ref="C34:C65" si="3">D34-E34</f>
        <v>55578.964900890038</v>
      </c>
      <c r="D34" s="22">
        <f>IFERROR(VLOOKUP(A34,הכשרה!A:K,5,0)+VLOOKUP('עולים יורדים'!A34,מגדל!A:G,5,0)+VLOOKUP('עולים יורדים'!A34,מנורה!A:G,5,0)+VLOOKUP('עולים יורדים'!A34,איילון!A:G,5,0)+VLOOKUP('עולים יורדים'!A34,הראל!A:G,5,0)+VLOOKUP('עולים יורדים'!A34,הפניקס!A:G,5,0)+VLOOKUP('עולים יורדים'!A34,כלל!A:G,5,0)+VLOOKUP('עולים יורדים'!A34,מור!A:G,5,0)+VLOOKUP('עולים יורדים'!A34,'אלטשולר שחם'!A:G,5,0)+VLOOKUP('עולים יורדים'!A34,'מדיהו '!A:G,5,0)+VLOOKUP('עולים יורדים'!A34,'אנליסט '!A:G,5,0)+VLOOKUP('עולים יורדים'!A34,'מיטב דש'!A:G,5,0)+VLOOKUP('עולים יורדים'!A34,אינפניטי!A:G,5,0),0)</f>
        <v>105492.36868962141</v>
      </c>
      <c r="E34" s="23">
        <f>IFERROR(VLOOKUP(A34,הכשרה!A:K,9,0)+VLOOKUP('עולים יורדים'!A34,מגדל!A:K,9,0)+VLOOKUP('עולים יורדים'!A34,מנורה!A:K,9,0)+VLOOKUP('עולים יורדים'!A34,איילון!A:K,9,0)+VLOOKUP('עולים יורדים'!A34,הראל!A:K,9,0)+VLOOKUP('עולים יורדים'!A34,הפניקס!A:K,9,0)+VLOOKUP('עולים יורדים'!A34,כלל!A:K,9,0)+VLOOKUP('עולים יורדים'!A34,מור!A:K,9,0)+VLOOKUP('עולים יורדים'!A34,'אלטשולר שחם'!A:K,9,0)+VLOOKUP('עולים יורדים'!A34,'מדיהו '!A:K,9,0)+VLOOKUP('עולים יורדים'!A34,'אנליסט '!A:K,9,0)+VLOOKUP('עולים יורדים'!A34,'מיטב דש'!A:K,9,0)+VLOOKUP('עולים יורדים'!A34,אינפניטי!A:K,9,0),0)</f>
        <v>49913.403788731368</v>
      </c>
    </row>
    <row r="35" spans="1:6" x14ac:dyDescent="0.25">
      <c r="A35" s="27" t="s">
        <v>11</v>
      </c>
      <c r="B35" s="20">
        <f t="shared" si="2"/>
        <v>-0.98777304880441785</v>
      </c>
      <c r="C35" s="21">
        <f t="shared" si="3"/>
        <v>-150420.49473800004</v>
      </c>
      <c r="D35" s="22">
        <f>IFERROR(VLOOKUP(A35,הכשרה!A:K,5,0)+VLOOKUP('עולים יורדים'!A35,מגדל!A:G,5,0)+VLOOKUP('עולים יורדים'!A35,מנורה!A:G,5,0)+VLOOKUP('עולים יורדים'!A35,איילון!A:G,5,0)+VLOOKUP('עולים יורדים'!A35,הראל!A:G,5,0)+VLOOKUP('עולים יורדים'!A35,הפניקס!A:G,5,0)+VLOOKUP('עולים יורדים'!A35,כלל!A:G,5,0)+VLOOKUP('עולים יורדים'!A35,מור!A:G,5,0)+VLOOKUP('עולים יורדים'!A35,'אלטשולר שחם'!A:G,5,0)+VLOOKUP('עולים יורדים'!A35,'מדיהו '!A:G,5,0)+VLOOKUP('עולים יורדים'!A35,'אנליסט '!A:G,5,0)+VLOOKUP('עולים יורדים'!A35,'מיטב דש'!A:G,5,0)+VLOOKUP('עולים יורדים'!A35,אינפניטי!A:G,5,0),0)</f>
        <v>1861.9500200000002</v>
      </c>
      <c r="E35" s="23">
        <f>IFERROR(VLOOKUP(A35,הכשרה!A:K,9,0)+VLOOKUP('עולים יורדים'!A35,מגדל!A:K,9,0)+VLOOKUP('עולים יורדים'!A35,מנורה!A:K,9,0)+VLOOKUP('עולים יורדים'!A35,איילון!A:K,9,0)+VLOOKUP('עולים יורדים'!A35,הראל!A:K,9,0)+VLOOKUP('עולים יורדים'!A35,הפניקס!A:K,9,0)+VLOOKUP('עולים יורדים'!A35,כלל!A:K,9,0)+VLOOKUP('עולים יורדים'!A35,מור!A:K,9,0)+VLOOKUP('עולים יורדים'!A35,'אלטשולר שחם'!A:K,9,0)+VLOOKUP('עולים יורדים'!A35,'מדיהו '!A:K,9,0)+VLOOKUP('עולים יורדים'!A35,'אנליסט '!A:K,9,0)+VLOOKUP('עולים יורדים'!A35,'מיטב דש'!A:K,9,0)+VLOOKUP('עולים יורדים'!A35,אינפניטי!A:K,9,0),0)</f>
        <v>152282.44475800003</v>
      </c>
    </row>
    <row r="36" spans="1:6" x14ac:dyDescent="0.25">
      <c r="A36" s="31" t="s">
        <v>16</v>
      </c>
      <c r="B36" s="20">
        <f t="shared" si="2"/>
        <v>0</v>
      </c>
      <c r="C36" s="21">
        <f t="shared" si="3"/>
        <v>0</v>
      </c>
      <c r="D36" s="22">
        <f>IFERROR(VLOOKUP(A36,הכשרה!A:K,5,0)+VLOOKUP('עולים יורדים'!A36,מגדל!A:G,5,0)+VLOOKUP('עולים יורדים'!A36,מנורה!A:G,5,0)+VLOOKUP('עולים יורדים'!A36,איילון!A:G,5,0)+VLOOKUP('עולים יורדים'!A36,הראל!A:G,5,0)+VLOOKUP('עולים יורדים'!A36,הפניקס!A:G,5,0)+VLOOKUP('עולים יורדים'!A36,כלל!A:G,5,0)+VLOOKUP('עולים יורדים'!A36,מור!A:G,5,0)+VLOOKUP('עולים יורדים'!A36,'אלטשולר שחם'!A:G,5,0)+VLOOKUP('עולים יורדים'!A36,'מדיהו '!A:G,5,0)+VLOOKUP('עולים יורדים'!A36,'אנליסט '!A:G,5,0)+VLOOKUP('עולים יורדים'!A36,'מיטב דש'!A:G,5,0)+VLOOKUP('עולים יורדים'!A36,אינפניטי!A:G,5,0),0)</f>
        <v>0</v>
      </c>
      <c r="E36" s="23">
        <f>IFERROR(VLOOKUP(A36,הכשרה!A:K,9,0)+VLOOKUP('עולים יורדים'!A36,מגדל!A:K,9,0)+VLOOKUP('עולים יורדים'!A36,מנורה!A:K,9,0)+VLOOKUP('עולים יורדים'!A36,איילון!A:K,9,0)+VLOOKUP('עולים יורדים'!A36,הראל!A:K,9,0)+VLOOKUP('עולים יורדים'!A36,הפניקס!A:K,9,0)+VLOOKUP('עולים יורדים'!A36,כלל!A:K,9,0)+VLOOKUP('עולים יורדים'!A36,מור!A:K,9,0)+VLOOKUP('עולים יורדים'!A36,'אלטשולר שחם'!A:K,9,0)+VLOOKUP('עולים יורדים'!A36,'מדיהו '!A:K,9,0)+VLOOKUP('עולים יורדים'!A36,'אנליסט '!A:K,9,0)+VLOOKUP('עולים יורדים'!A36,'מיטב דש'!A:K,9,0)+VLOOKUP('עולים יורדים'!A36,אינפניטי!A:K,9,0),0)</f>
        <v>0</v>
      </c>
    </row>
    <row r="37" spans="1:6" x14ac:dyDescent="0.25">
      <c r="A37" s="27" t="s">
        <v>14</v>
      </c>
      <c r="B37" s="20">
        <f t="shared" si="2"/>
        <v>0</v>
      </c>
      <c r="C37" s="21">
        <f t="shared" si="3"/>
        <v>0</v>
      </c>
      <c r="D37" s="22">
        <f>IFERROR(VLOOKUP(A37,הכשרה!A:K,5,0)+VLOOKUP('עולים יורדים'!A37,מגדל!A:G,5,0)+VLOOKUP('עולים יורדים'!A37,מנורה!A:G,5,0)+VLOOKUP('עולים יורדים'!A37,איילון!A:G,5,0)+VLOOKUP('עולים יורדים'!A37,הראל!A:G,5,0)+VLOOKUP('עולים יורדים'!A37,הפניקס!A:G,5,0)+VLOOKUP('עולים יורדים'!A37,כלל!A:G,5,0)+VLOOKUP('עולים יורדים'!A37,מור!A:G,5,0)+VLOOKUP('עולים יורדים'!A37,'אלטשולר שחם'!A:G,5,0)+VLOOKUP('עולים יורדים'!A37,'מדיהו '!A:G,5,0)+VLOOKUP('עולים יורדים'!A37,'אנליסט '!A:G,5,0)+VLOOKUP('עולים יורדים'!A37,'מיטב דש'!A:G,5,0)+VLOOKUP('עולים יורדים'!A37,אינפניטי!A:G,5,0),0)</f>
        <v>0</v>
      </c>
      <c r="E37" s="23">
        <f>IFERROR(VLOOKUP(A37,הכשרה!A:K,9,0)+VLOOKUP('עולים יורדים'!A37,מגדל!A:K,9,0)+VLOOKUP('עולים יורדים'!A37,מנורה!A:K,9,0)+VLOOKUP('עולים יורדים'!A37,איילון!A:K,9,0)+VLOOKUP('עולים יורדים'!A37,הראל!A:K,9,0)+VLOOKUP('עולים יורדים'!A37,הפניקס!A:K,9,0)+VLOOKUP('עולים יורדים'!A37,כלל!A:K,9,0)+VLOOKUP('עולים יורדים'!A37,מור!A:K,9,0)+VLOOKUP('עולים יורדים'!A37,'אלטשולר שחם'!A:K,9,0)+VLOOKUP('עולים יורדים'!A37,'מדיהו '!A:K,9,0)+VLOOKUP('עולים יורדים'!A37,'אנליסט '!A:K,9,0)+VLOOKUP('עולים יורדים'!A37,'מיטב דש'!A:K,9,0)+VLOOKUP('עולים יורדים'!A37,אינפניטי!A:K,9,0),0)</f>
        <v>0</v>
      </c>
    </row>
    <row r="38" spans="1:6" x14ac:dyDescent="0.25">
      <c r="A38" s="27" t="s">
        <v>28</v>
      </c>
      <c r="B38" s="20">
        <f t="shared" si="2"/>
        <v>0</v>
      </c>
      <c r="C38" s="21">
        <f t="shared" si="3"/>
        <v>0</v>
      </c>
      <c r="D38" s="22">
        <f>IFERROR(VLOOKUP(A38,הכשרה!A:K,5,0)+VLOOKUP('עולים יורדים'!A38,מגדל!A:G,5,0)+VLOOKUP('עולים יורדים'!A38,מנורה!A:G,5,0)+VLOOKUP('עולים יורדים'!A38,איילון!A:G,5,0)+VLOOKUP('עולים יורדים'!A38,הראל!A:G,5,0)+VLOOKUP('עולים יורדים'!A38,הפניקס!A:G,5,0)+VLOOKUP('עולים יורדים'!A38,כלל!A:G,5,0)+VLOOKUP('עולים יורדים'!A38,מור!A:G,5,0)+VLOOKUP('עולים יורדים'!A38,'אלטשולר שחם'!A:G,5,0)+VLOOKUP('עולים יורדים'!A38,'מדיהו '!A:G,5,0)+VLOOKUP('עולים יורדים'!A38,'אנליסט '!A:G,5,0)+VLOOKUP('עולים יורדים'!A38,'מיטב דש'!A:G,5,0)+VLOOKUP('עולים יורדים'!A38,אינפניטי!A:G,5,0),0)</f>
        <v>0</v>
      </c>
      <c r="E38" s="23">
        <f>IFERROR(VLOOKUP(A38,הכשרה!A:K,9,0)+VLOOKUP('עולים יורדים'!A38,מגדל!A:K,9,0)+VLOOKUP('עולים יורדים'!A38,מנורה!A:K,9,0)+VLOOKUP('עולים יורדים'!A38,איילון!A:K,9,0)+VLOOKUP('עולים יורדים'!A38,הראל!A:K,9,0)+VLOOKUP('עולים יורדים'!A38,הפניקס!A:K,9,0)+VLOOKUP('עולים יורדים'!A38,כלל!A:K,9,0)+VLOOKUP('עולים יורדים'!A38,מור!A:K,9,0)+VLOOKUP('עולים יורדים'!A38,'אלטשולר שחם'!A:K,9,0)+VLOOKUP('עולים יורדים'!A38,'מדיהו '!A:K,9,0)+VLOOKUP('עולים יורדים'!A38,'אנליסט '!A:K,9,0)+VLOOKUP('עולים יורדים'!A38,'מיטב דש'!A:K,9,0)+VLOOKUP('עולים יורדים'!A38,אינפניטי!A:K,9,0),0)</f>
        <v>0</v>
      </c>
    </row>
    <row r="39" spans="1:6" x14ac:dyDescent="0.25">
      <c r="A39" s="27" t="s">
        <v>5</v>
      </c>
      <c r="B39" s="20">
        <f t="shared" si="2"/>
        <v>-0.73012604354008237</v>
      </c>
      <c r="C39" s="21">
        <f t="shared" si="3"/>
        <v>-237828.26070406754</v>
      </c>
      <c r="D39" s="22">
        <f>IFERROR(VLOOKUP(A39,הכשרה!A:K,5,0)+VLOOKUP('עולים יורדים'!A39,מגדל!A:G,5,0)+VLOOKUP('עולים יורדים'!A39,מנורה!A:G,5,0)+VLOOKUP('עולים יורדים'!A39,איילון!A:G,5,0)+VLOOKUP('עולים יורדים'!A39,הראל!A:G,5,0)+VLOOKUP('עולים יורדים'!A39,הפניקס!A:G,5,0)+VLOOKUP('עולים יורדים'!A39,כלל!A:G,5,0)+VLOOKUP('עולים יורדים'!A39,מור!A:G,5,0)+VLOOKUP('עולים יורדים'!A39,'אלטשולר שחם'!A:G,5,0)+VLOOKUP('עולים יורדים'!A39,'מדיהו '!A:G,5,0)+VLOOKUP('עולים יורדים'!A39,'אנליסט '!A:G,5,0)+VLOOKUP('עולים יורדים'!A39,'מיטב דש'!A:G,5,0)+VLOOKUP('עולים יורדים'!A39,אינפניטי!A:G,5,0),0)</f>
        <v>87907.634910524765</v>
      </c>
      <c r="E39" s="23">
        <f>IFERROR(VLOOKUP(A39,הכשרה!A:K,9,0)+VLOOKUP('עולים יורדים'!A39,מגדל!A:K,9,0)+VLOOKUP('עולים יורדים'!A39,מנורה!A:K,9,0)+VLOOKUP('עולים יורדים'!A39,איילון!A:K,9,0)+VLOOKUP('עולים יורדים'!A39,הראל!A:K,9,0)+VLOOKUP('עולים יורדים'!A39,הפניקס!A:K,9,0)+VLOOKUP('עולים יורדים'!A39,כלל!A:K,9,0)+VLOOKUP('עולים יורדים'!A39,מור!A:K,9,0)+VLOOKUP('עולים יורדים'!A39,'אלטשולר שחם'!A:K,9,0)+VLOOKUP('עולים יורדים'!A39,'מדיהו '!A:K,9,0)+VLOOKUP('עולים יורדים'!A39,'אנליסט '!A:K,9,0)+VLOOKUP('עולים יורדים'!A39,'מיטב דש'!A:K,9,0)+VLOOKUP('עולים יורדים'!A39,אינפניטי!A:K,9,0),0)</f>
        <v>325735.8956145923</v>
      </c>
    </row>
    <row r="40" spans="1:6" ht="15" x14ac:dyDescent="0.25">
      <c r="A40" s="139" t="s">
        <v>109</v>
      </c>
      <c r="B40" s="20">
        <f t="shared" si="2"/>
        <v>-0.79107963918224455</v>
      </c>
      <c r="C40" s="21">
        <f t="shared" si="3"/>
        <v>-123581.65436979009</v>
      </c>
      <c r="D40" s="22">
        <f>IFERROR(VLOOKUP(A40,הכשרה!A:K,5,0)+VLOOKUP('עולים יורדים'!A40,מגדל!A:G,5,0)+VLOOKUP('עולים יורדים'!A40,מנורה!A:G,5,0)+VLOOKUP('עולים יורדים'!A40,איילון!A:G,5,0)+VLOOKUP('עולים יורדים'!A40,הראל!A:G,5,0)+VLOOKUP('עולים יורדים'!A40,הפניקס!A:G,5,0)+VLOOKUP('עולים יורדים'!A40,כלל!A:G,5,0)+VLOOKUP('עולים יורדים'!A40,מור!A:G,5,0)+VLOOKUP('עולים יורדים'!A40,'אלטשולר שחם'!A:G,5,0)+VLOOKUP('עולים יורדים'!A40,'מדיהו '!A:G,5,0)+VLOOKUP('עולים יורדים'!A40,'אנליסט '!A:G,5,0)+VLOOKUP('עולים יורדים'!A40,'מיטב דש'!A:G,5,0)+VLOOKUP('עולים יורדים'!A40,אינפניטי!A:G,5,0),0)</f>
        <v>32637.325678209905</v>
      </c>
      <c r="E40" s="23">
        <f>IFERROR(VLOOKUP(A40,הכשרה!A:K,9,0)+VLOOKUP('עולים יורדים'!A40,מגדל!A:K,9,0)+VLOOKUP('עולים יורדים'!A40,מנורה!A:K,9,0)+VLOOKUP('עולים יורדים'!A40,איילון!A:K,9,0)+VLOOKUP('עולים יורדים'!A40,הראל!A:K,9,0)+VLOOKUP('עולים יורדים'!A40,הפניקס!A:K,9,0)+VLOOKUP('עולים יורדים'!A40,כלל!A:K,9,0)+VLOOKUP('עולים יורדים'!A40,מור!A:K,9,0)+VLOOKUP('עולים יורדים'!A40,'אלטשולר שחם'!A:K,9,0)+VLOOKUP('עולים יורדים'!A40,'מדיהו '!A:K,9,0)+VLOOKUP('עולים יורדים'!A40,'אנליסט '!A:K,9,0)+VLOOKUP('עולים יורדים'!A40,'מיטב דש'!A:K,9,0)+VLOOKUP('עולים יורדים'!A40,אינפניטי!A:K,9,0),0)</f>
        <v>156218.980048</v>
      </c>
    </row>
    <row r="41" spans="1:6" x14ac:dyDescent="0.25">
      <c r="A41" s="31" t="s">
        <v>12</v>
      </c>
      <c r="B41" s="20">
        <f t="shared" si="2"/>
        <v>-0.74261360014793443</v>
      </c>
      <c r="C41" s="21">
        <f t="shared" si="3"/>
        <v>-13664.989908701984</v>
      </c>
      <c r="D41" s="22">
        <f>IFERROR(VLOOKUP(A41,הכשרה!A:K,5,0)+VLOOKUP('עולים יורדים'!A41,מגדל!A:G,5,0)+VLOOKUP('עולים יורדים'!A41,מנורה!A:G,5,0)+VLOOKUP('עולים יורדים'!A41,איילון!A:G,5,0)+VLOOKUP('עולים יורדים'!A41,הראל!A:G,5,0)+VLOOKUP('עולים יורדים'!A41,הפניקס!A:G,5,0)+VLOOKUP('עולים יורדים'!A41,כלל!A:G,5,0)+VLOOKUP('עולים יורדים'!A41,מור!A:G,5,0)+VLOOKUP('עולים יורדים'!A41,'אלטשולר שחם'!A:G,5,0)+VLOOKUP('עולים יורדים'!A41,'מדיהו '!A:G,5,0)+VLOOKUP('עולים יורדים'!A41,'אנליסט '!A:G,5,0)+VLOOKUP('עולים יורדים'!A41,'מיטב דש'!A:G,5,0)+VLOOKUP('עולים יורדים'!A41,אינפניטי!A:G,5,0),0)</f>
        <v>4736.2215772980189</v>
      </c>
      <c r="E41" s="23">
        <f>IFERROR(VLOOKUP(A41,הכשרה!A:K,9,0)+VLOOKUP('עולים יורדים'!A41,מגדל!A:K,9,0)+VLOOKUP('עולים יורדים'!A41,מנורה!A:K,9,0)+VLOOKUP('עולים יורדים'!A41,איילון!A:K,9,0)+VLOOKUP('עולים יורדים'!A41,הראל!A:K,9,0)+VLOOKUP('עולים יורדים'!A41,הפניקס!A:K,9,0)+VLOOKUP('עולים יורדים'!A41,כלל!A:K,9,0)+VLOOKUP('עולים יורדים'!A41,מור!A:K,9,0)+VLOOKUP('עולים יורדים'!A41,'אלטשולר שחם'!A:K,9,0)+VLOOKUP('עולים יורדים'!A41,'מדיהו '!A:K,9,0)+VLOOKUP('עולים יורדים'!A41,'אנליסט '!A:K,9,0)+VLOOKUP('עולים יורדים'!A41,'מיטב דש'!A:K,9,0)+VLOOKUP('עולים יורדים'!A41,אינפניטי!A:K,9,0),0)</f>
        <v>18401.211486000004</v>
      </c>
    </row>
    <row r="42" spans="1:6" x14ac:dyDescent="0.25">
      <c r="A42" s="27" t="s">
        <v>92</v>
      </c>
      <c r="B42" s="20">
        <f t="shared" si="2"/>
        <v>-0.85364285496460424</v>
      </c>
      <c r="C42" s="21">
        <f t="shared" si="3"/>
        <v>-19622.87582509797</v>
      </c>
      <c r="D42" s="22">
        <f>IFERROR(VLOOKUP(A42,הכשרה!A:K,5,0)+VLOOKUP('עולים יורדים'!A42,מגדל!A:G,5,0)+VLOOKUP('עולים יורדים'!A42,מנורה!A:G,5,0)+VLOOKUP('עולים יורדים'!A42,איילון!A:G,5,0)+VLOOKUP('עולים יורדים'!A42,הראל!A:G,5,0)+VLOOKUP('עולים יורדים'!A42,הפניקס!A:G,5,0)+VLOOKUP('עולים יורדים'!A42,כלל!A:G,5,0)+VLOOKUP('עולים יורדים'!A42,מור!A:G,5,0)+VLOOKUP('עולים יורדים'!A42,'אלטשולר שחם'!A:G,5,0)+VLOOKUP('עולים יורדים'!A42,'מדיהו '!A:G,5,0)+VLOOKUP('עולים יורדים'!A42,'אנליסט '!A:G,5,0)+VLOOKUP('עולים יורדים'!A42,'מיטב דש'!A:G,5,0)+VLOOKUP('עולים יורדים'!A42,אינפניטי!A:G,5,0),0)</f>
        <v>3364.3438429113389</v>
      </c>
      <c r="E42" s="23">
        <f>IFERROR(VLOOKUP(A42,הכשרה!A:K,9,0)+VLOOKUP('עולים יורדים'!A42,מגדל!A:K,9,0)+VLOOKUP('עולים יורדים'!A42,מנורה!A:K,9,0)+VLOOKUP('עולים יורדים'!A42,איילון!A:K,9,0)+VLOOKUP('עולים יורדים'!A42,הראל!A:K,9,0)+VLOOKUP('עולים יורדים'!A42,הפניקס!A:K,9,0)+VLOOKUP('עולים יורדים'!A42,כלל!A:K,9,0)+VLOOKUP('עולים יורדים'!A42,מור!A:K,9,0)+VLOOKUP('עולים יורדים'!A42,'אלטשולר שחם'!A:K,9,0)+VLOOKUP('עולים יורדים'!A42,'מדיהו '!A:K,9,0)+VLOOKUP('עולים יורדים'!A42,'אנליסט '!A:K,9,0)+VLOOKUP('עולים יורדים'!A42,'מיטב דש'!A:K,9,0)+VLOOKUP('עולים יורדים'!A42,אינפניטי!A:K,9,0),0)</f>
        <v>22987.219668009307</v>
      </c>
    </row>
    <row r="43" spans="1:6" x14ac:dyDescent="0.25">
      <c r="A43" s="28" t="s">
        <v>6</v>
      </c>
      <c r="B43" s="20">
        <f t="shared" si="2"/>
        <v>-0.91184423819823435</v>
      </c>
      <c r="C43" s="21">
        <f t="shared" si="3"/>
        <v>-10385.833273863333</v>
      </c>
      <c r="D43" s="22">
        <f>IFERROR(VLOOKUP(A43,הכשרה!A:K,5,0)+VLOOKUP('עולים יורדים'!A43,מגדל!A:G,5,0)+VLOOKUP('עולים יורדים'!A43,מנורה!A:G,5,0)+VLOOKUP('עולים יורדים'!A43,איילון!A:G,5,0)+VLOOKUP('עולים יורדים'!A43,הראל!A:G,5,0)+VLOOKUP('עולים יורדים'!A43,הפניקס!A:G,5,0)+VLOOKUP('עולים יורדים'!A43,כלל!A:G,5,0)+VLOOKUP('עולים יורדים'!A43,מור!A:G,5,0)+VLOOKUP('עולים יורדים'!A43,'אלטשולר שחם'!A:G,5,0)+VLOOKUP('עולים יורדים'!A43,'מדיהו '!A:G,5,0)+VLOOKUP('עולים יורדים'!A43,'אנליסט '!A:G,5,0)+VLOOKUP('עולים יורדים'!A43,'מיטב דש'!A:G,5,0)+VLOOKUP('עולים יורדים'!A43,אינפניטי!A:G,5,0),0)</f>
        <v>1004.087108136668</v>
      </c>
      <c r="E43" s="23">
        <f>IFERROR(VLOOKUP(A43,הכשרה!A:K,9,0)+VLOOKUP('עולים יורדים'!A43,מגדל!A:K,9,0)+VLOOKUP('עולים יורדים'!A43,מנורה!A:K,9,0)+VLOOKUP('עולים יורדים'!A43,איילון!A:K,9,0)+VLOOKUP('עולים יורדים'!A43,הראל!A:K,9,0)+VLOOKUP('עולים יורדים'!A43,הפניקס!A:K,9,0)+VLOOKUP('עולים יורדים'!A43,כלל!A:K,9,0)+VLOOKUP('עולים יורדים'!A43,מור!A:K,9,0)+VLOOKUP('עולים יורדים'!A43,'אלטשולר שחם'!A:K,9,0)+VLOOKUP('עולים יורדים'!A43,'מדיהו '!A:K,9,0)+VLOOKUP('עולים יורדים'!A43,'אנליסט '!A:K,9,0)+VLOOKUP('עולים יורדים'!A43,'מיטב דש'!A:K,9,0)+VLOOKUP('עולים יורדים'!A43,אינפניטי!A:K,9,0),0)</f>
        <v>11389.920382</v>
      </c>
    </row>
    <row r="44" spans="1:6" x14ac:dyDescent="0.25">
      <c r="A44" s="31" t="s">
        <v>40</v>
      </c>
      <c r="B44" s="20">
        <f t="shared" si="2"/>
        <v>-0.84044943776552872</v>
      </c>
      <c r="C44" s="21">
        <f t="shared" si="3"/>
        <v>-430418.51451299997</v>
      </c>
      <c r="D44" s="22">
        <f>IFERROR(VLOOKUP(A44,הכשרה!A:K,5,0)+VLOOKUP('עולים יורדים'!A44,מגדל!A:G,5,0)+VLOOKUP('עולים יורדים'!A44,מנורה!A:G,5,0)+VLOOKUP('עולים יורדים'!A44,איילון!A:G,5,0)+VLOOKUP('עולים יורדים'!A44,הראל!A:G,5,0)+VLOOKUP('עולים יורדים'!A44,הפניקס!A:G,5,0)+VLOOKUP('עולים יורדים'!A44,כלל!A:G,5,0)+VLOOKUP('עולים יורדים'!A44,מור!A:G,5,0)+VLOOKUP('עולים יורדים'!A44,'אלטשולר שחם'!A:G,5,0)+VLOOKUP('עולים יורדים'!A44,'מדיהו '!A:G,5,0)+VLOOKUP('עולים יורדים'!A44,'אנליסט '!A:G,5,0)+VLOOKUP('עולים יורדים'!A44,'מיטב דש'!A:G,5,0)+VLOOKUP('עולים יורדים'!A44,אינפניטי!A:G,5,0),0)</f>
        <v>81710.466925000001</v>
      </c>
      <c r="E44" s="23">
        <f>IFERROR(VLOOKUP(A44,הכשרה!A:K,9,0)+VLOOKUP('עולים יורדים'!A44,מגדל!A:K,9,0)+VLOOKUP('עולים יורדים'!A44,מנורה!A:K,9,0)+VLOOKUP('עולים יורדים'!A44,איילון!A:K,9,0)+VLOOKUP('עולים יורדים'!A44,הראל!A:K,9,0)+VLOOKUP('עולים יורדים'!A44,הפניקס!A:K,9,0)+VLOOKUP('עולים יורדים'!A44,כלל!A:K,9,0)+VLOOKUP('עולים יורדים'!A44,מור!A:K,9,0)+VLOOKUP('עולים יורדים'!A44,'אלטשולר שחם'!A:K,9,0)+VLOOKUP('עולים יורדים'!A44,'מדיהו '!A:K,9,0)+VLOOKUP('עולים יורדים'!A44,'אנליסט '!A:K,9,0)+VLOOKUP('עולים יורדים'!A44,'מיטב דש'!A:K,9,0)+VLOOKUP('עולים יורדים'!A44,אינפניטי!A:K,9,0),0)</f>
        <v>512128.98143799999</v>
      </c>
    </row>
    <row r="45" spans="1:6" x14ac:dyDescent="0.25">
      <c r="A45" s="27" t="s">
        <v>95</v>
      </c>
      <c r="B45" s="20">
        <f t="shared" si="2"/>
        <v>0</v>
      </c>
      <c r="C45" s="21">
        <f t="shared" si="3"/>
        <v>-714.32</v>
      </c>
      <c r="D45" s="22">
        <f>IFERROR(VLOOKUP(A45,הכשרה!A:K,5,0)+VLOOKUP('עולים יורדים'!A45,מגדל!A:G,5,0)+VLOOKUP('עולים יורדים'!A45,מנורה!A:G,5,0)+VLOOKUP('עולים יורדים'!A45,איילון!A:G,5,0)+VLOOKUP('עולים יורדים'!A45,הראל!A:G,5,0)+VLOOKUP('עולים יורדים'!A45,הפניקס!A:G,5,0)+VLOOKUP('עולים יורדים'!A45,כלל!A:G,5,0)+VLOOKUP('עולים יורדים'!A45,מור!A:G,5,0)+VLOOKUP('עולים יורדים'!A45,'אלטשולר שחם'!A:G,5,0)+VLOOKUP('עולים יורדים'!A45,'מדיהו '!A:G,5,0)+VLOOKUP('עולים יורדים'!A45,'אנליסט '!A:G,5,0)+VLOOKUP('עולים יורדים'!A45,'מיטב דש'!A:G,5,0)+VLOOKUP('עולים יורדים'!A45,אינפניטי!A:G,5,0),0)</f>
        <v>0</v>
      </c>
      <c r="E45" s="23">
        <f>IFERROR(VLOOKUP(A45,הכשרה!A:K,9,0)+VLOOKUP('עולים יורדים'!A45,מגדל!A:K,9,0)+VLOOKUP('עולים יורדים'!A45,מנורה!A:K,9,0)+VLOOKUP('עולים יורדים'!A45,איילון!A:K,9,0)+VLOOKUP('עולים יורדים'!A45,הראל!A:K,9,0)+VLOOKUP('עולים יורדים'!A45,הפניקס!A:K,9,0)+VLOOKUP('עולים יורדים'!A45,כלל!A:K,9,0)+VLOOKUP('עולים יורדים'!A45,מור!A:K,9,0)+VLOOKUP('עולים יורדים'!A45,'אלטשולר שחם'!A:K,9,0)+VLOOKUP('עולים יורדים'!A45,'מדיהו '!A:K,9,0)+VLOOKUP('עולים יורדים'!A45,'אנליסט '!A:K,9,0)+VLOOKUP('עולים יורדים'!A45,'מיטב דש'!A:K,9,0)+VLOOKUP('עולים יורדים'!A45,אינפניטי!A:K,9,0),0)</f>
        <v>714.32</v>
      </c>
      <c r="F45" s="7"/>
    </row>
    <row r="46" spans="1:6" x14ac:dyDescent="0.25">
      <c r="A46" s="31" t="s">
        <v>18</v>
      </c>
      <c r="B46" s="20">
        <f t="shared" si="2"/>
        <v>-0.91150335698564444</v>
      </c>
      <c r="C46" s="21">
        <f t="shared" si="3"/>
        <v>-71121.219996</v>
      </c>
      <c r="D46" s="22">
        <f>IFERROR(VLOOKUP(A46,הכשרה!A:K,5,0)+VLOOKUP('עולים יורדים'!A46,מגדל!A:G,5,0)+VLOOKUP('עולים יורדים'!A46,מנורה!A:G,5,0)+VLOOKUP('עולים יורדים'!A46,איילון!A:G,5,0)+VLOOKUP('עולים יורדים'!A46,הראל!A:G,5,0)+VLOOKUP('עולים יורדים'!A46,הפניקס!A:G,5,0)+VLOOKUP('עולים יורדים'!A46,כלל!A:G,5,0)+VLOOKUP('עולים יורדים'!A46,מור!A:G,5,0)+VLOOKUP('עולים יורדים'!A46,'אלטשולר שחם'!A:G,5,0)+VLOOKUP('עולים יורדים'!A46,'מדיהו '!A:G,5,0)+VLOOKUP('עולים יורדים'!A46,'אנליסט '!A:G,5,0)+VLOOKUP('עולים יורדים'!A46,'מיטב דש'!A:G,5,0)+VLOOKUP('עולים יורדים'!A46,אינפניטי!A:G,5,0),0)</f>
        <v>6905.0642199999993</v>
      </c>
      <c r="E46" s="23">
        <f>IFERROR(VLOOKUP(A46,הכשרה!A:K,9,0)+VLOOKUP('עולים יורדים'!A46,מגדל!A:K,9,0)+VLOOKUP('עולים יורדים'!A46,מנורה!A:K,9,0)+VLOOKUP('עולים יורדים'!A46,איילון!A:K,9,0)+VLOOKUP('עולים יורדים'!A46,הראל!A:K,9,0)+VLOOKUP('עולים יורדים'!A46,הפניקס!A:K,9,0)+VLOOKUP('עולים יורדים'!A46,כלל!A:K,9,0)+VLOOKUP('עולים יורדים'!A46,מור!A:K,9,0)+VLOOKUP('עולים יורדים'!A46,'אלטשולר שחם'!A:K,9,0)+VLOOKUP('עולים יורדים'!A46,'מדיהו '!A:K,9,0)+VLOOKUP('עולים יורדים'!A46,'אנליסט '!A:K,9,0)+VLOOKUP('עולים יורדים'!A46,'מיטב דש'!A:K,9,0)+VLOOKUP('עולים יורדים'!A46,אינפניטי!A:K,9,0),0)</f>
        <v>78026.284216</v>
      </c>
    </row>
    <row r="47" spans="1:6" x14ac:dyDescent="0.25">
      <c r="A47" s="27" t="s">
        <v>112</v>
      </c>
      <c r="B47" s="20">
        <f t="shared" si="2"/>
        <v>-0.45965967024292809</v>
      </c>
      <c r="C47" s="21">
        <f t="shared" si="3"/>
        <v>-33215.779999999992</v>
      </c>
      <c r="D47" s="22">
        <f>IFERROR(VLOOKUP(A47,הכשרה!A:K,5,0)+VLOOKUP('עולים יורדים'!A47,מגדל!A:G,5,0)+VLOOKUP('עולים יורדים'!A47,מנורה!A:G,5,0)+VLOOKUP('עולים יורדים'!A47,איילון!A:G,5,0)+VLOOKUP('עולים יורדים'!A47,הראל!A:G,5,0)+VLOOKUP('עולים יורדים'!A47,הפניקס!A:G,5,0)+VLOOKUP('עולים יורדים'!A47,כלל!A:G,5,0)+VLOOKUP('עולים יורדים'!A47,מור!A:G,5,0)+VLOOKUP('עולים יורדים'!A47,'אלטשולר שחם'!A:G,5,0)+VLOOKUP('עולים יורדים'!A47,'מדיהו '!A:G,5,0)+VLOOKUP('עולים יורדים'!A47,'אנליסט '!A:G,5,0)+VLOOKUP('עולים יורדים'!A47,'מיטב דש'!A:G,5,0)+VLOOKUP('עולים יורדים'!A47,אינפניטי!A:G,5,0),0)</f>
        <v>39045.9</v>
      </c>
      <c r="E47" s="23">
        <f>IFERROR(VLOOKUP(A47,הכשרה!A:K,9,0)+VLOOKUP('עולים יורדים'!A47,מגדל!A:K,9,0)+VLOOKUP('עולים יורדים'!A47,מנורה!A:K,9,0)+VLOOKUP('עולים יורדים'!A47,איילון!A:K,9,0)+VLOOKUP('עולים יורדים'!A47,הראל!A:K,9,0)+VLOOKUP('עולים יורדים'!A47,הפניקס!A:K,9,0)+VLOOKUP('עולים יורדים'!A47,כלל!A:K,9,0)+VLOOKUP('עולים יורדים'!A47,מור!A:K,9,0)+VLOOKUP('עולים יורדים'!A47,'אלטשולר שחם'!A:K,9,0)+VLOOKUP('עולים יורדים'!A47,'מדיהו '!A:K,9,0)+VLOOKUP('עולים יורדים'!A47,'אנליסט '!A:K,9,0)+VLOOKUP('עולים יורדים'!A47,'מיטב דש'!A:K,9,0)+VLOOKUP('עולים יורדים'!A47,אינפניטי!A:K,9,0),0)</f>
        <v>72261.679999999993</v>
      </c>
    </row>
    <row r="48" spans="1:6" x14ac:dyDescent="0.25">
      <c r="A48" s="27" t="s">
        <v>113</v>
      </c>
      <c r="B48" s="20">
        <f t="shared" si="2"/>
        <v>-0.70802319074698739</v>
      </c>
      <c r="C48" s="21">
        <f t="shared" si="3"/>
        <v>-19421.988192000001</v>
      </c>
      <c r="D48" s="22">
        <f>IFERROR(VLOOKUP(A48,הכשרה!A:K,5,0)+VLOOKUP('עולים יורדים'!A48,מגדל!A:G,5,0)+VLOOKUP('עולים יורדים'!A48,מנורה!A:G,5,0)+VLOOKUP('עולים יורדים'!A48,איילון!A:G,5,0)+VLOOKUP('עולים יורדים'!A48,הראל!A:G,5,0)+VLOOKUP('עולים יורדים'!A48,הפניקס!A:G,5,0)+VLOOKUP('עולים יורדים'!A48,כלל!A:G,5,0)+VLOOKUP('עולים יורדים'!A48,מור!A:G,5,0)+VLOOKUP('עולים יורדים'!A48,'אלטשולר שחם'!A:G,5,0)+VLOOKUP('עולים יורדים'!A48,'מדיהו '!A:G,5,0)+VLOOKUP('עולים יורדים'!A48,'אנליסט '!A:G,5,0)+VLOOKUP('עולים יורדים'!A48,'מיטב דש'!A:G,5,0)+VLOOKUP('עולים יורדים'!A48,אינפניטי!A:G,5,0),0)</f>
        <v>8009.2999999999993</v>
      </c>
      <c r="E48" s="23">
        <f>IFERROR(VLOOKUP(A48,הכשרה!A:K,9,0)+VLOOKUP('עולים יורדים'!A48,מגדל!A:K,9,0)+VLOOKUP('עולים יורדים'!A48,מנורה!A:K,9,0)+VLOOKUP('עולים יורדים'!A48,איילון!A:K,9,0)+VLOOKUP('עולים יורדים'!A48,הראל!A:K,9,0)+VLOOKUP('עולים יורדים'!A48,הפניקס!A:K,9,0)+VLOOKUP('עולים יורדים'!A48,כלל!A:K,9,0)+VLOOKUP('עולים יורדים'!A48,מור!A:K,9,0)+VLOOKUP('עולים יורדים'!A48,'אלטשולר שחם'!A:K,9,0)+VLOOKUP('עולים יורדים'!A48,'מדיהו '!A:K,9,0)+VLOOKUP('עולים יורדים'!A48,'אנליסט '!A:K,9,0)+VLOOKUP('עולים יורדים'!A48,'מיטב דש'!A:K,9,0)+VLOOKUP('עולים יורדים'!A48,אינפניטי!A:K,9,0),0)</f>
        <v>27431.288192</v>
      </c>
    </row>
    <row r="49" spans="1:5" x14ac:dyDescent="0.25">
      <c r="A49" s="180" t="s">
        <v>103</v>
      </c>
      <c r="B49" s="20">
        <f t="shared" si="2"/>
        <v>-0.56786067723529698</v>
      </c>
      <c r="C49" s="21">
        <f t="shared" si="3"/>
        <v>-10884.88425659596</v>
      </c>
      <c r="D49" s="22">
        <f>IFERROR(VLOOKUP(A49,הכשרה!A:K,5,0)+VLOOKUP('עולים יורדים'!A49,מגדל!A:G,5,0)+VLOOKUP('עולים יורדים'!A49,מנורה!A:G,5,0)+VLOOKUP('עולים יורדים'!A49,איילון!A:G,5,0)+VLOOKUP('עולים יורדים'!A49,הראל!A:G,5,0)+VLOOKUP('עולים יורדים'!A49,הפניקס!A:G,5,0)+VLOOKUP('עולים יורדים'!A49,כלל!A:G,5,0)+VLOOKUP('עולים יורדים'!A49,מור!A:G,5,0)+VLOOKUP('עולים יורדים'!A49,'אלטשולר שחם'!A:G,5,0)+VLOOKUP('עולים יורדים'!A49,'מדיהו '!A:G,5,0)+VLOOKUP('עולים יורדים'!A49,'אנליסט '!A:G,5,0)+VLOOKUP('עולים יורדים'!A49,'מיטב דש'!A:G,5,0)+VLOOKUP('עולים יורדים'!A49,אינפניטי!A:G,5,0),0)</f>
        <v>8283.3460734040382</v>
      </c>
      <c r="E49" s="23">
        <f>IFERROR(VLOOKUP(A49,הכשרה!A:K,9,0)+VLOOKUP('עולים יורדים'!A49,מגדל!A:K,9,0)+VLOOKUP('עולים יורדים'!A49,מנורה!A:K,9,0)+VLOOKUP('עולים יורדים'!A49,איילון!A:K,9,0)+VLOOKUP('עולים יורדים'!A49,הראל!A:K,9,0)+VLOOKUP('עולים יורדים'!A49,הפניקס!A:K,9,0)+VLOOKUP('עולים יורדים'!A49,כלל!A:K,9,0)+VLOOKUP('עולים יורדים'!A49,מור!A:K,9,0)+VLOOKUP('עולים יורדים'!A49,'אלטשולר שחם'!A:K,9,0)+VLOOKUP('עולים יורדים'!A49,'מדיהו '!A:K,9,0)+VLOOKUP('עולים יורדים'!A49,'אנליסט '!A:K,9,0)+VLOOKUP('עולים יורדים'!A49,'מיטב דש'!A:K,9,0)+VLOOKUP('עולים יורדים'!A49,אינפניטי!A:K,9,0),0)</f>
        <v>19168.230329999999</v>
      </c>
    </row>
    <row r="50" spans="1:5" x14ac:dyDescent="0.25">
      <c r="A50" s="29" t="s">
        <v>101</v>
      </c>
      <c r="B50" s="20">
        <f t="shared" si="2"/>
        <v>-0.34088270028337142</v>
      </c>
      <c r="C50" s="21">
        <f t="shared" si="3"/>
        <v>-7741.249775000002</v>
      </c>
      <c r="D50" s="22">
        <f>IFERROR(VLOOKUP(A50,הכשרה!A:K,5,0)+VLOOKUP('עולים יורדים'!A50,מגדל!A:G,5,0)+VLOOKUP('עולים יורדים'!A50,מנורה!A:G,5,0)+VLOOKUP('עולים יורדים'!A50,איילון!A:G,5,0)+VLOOKUP('עולים יורדים'!A50,הראל!A:G,5,0)+VLOOKUP('עולים יורדים'!A50,הפניקס!A:G,5,0)+VLOOKUP('עולים יורדים'!A50,כלל!A:G,5,0)+VLOOKUP('עולים יורדים'!A50,מור!A:G,5,0)+VLOOKUP('עולים יורדים'!A50,'אלטשולר שחם'!A:G,5,0)+VLOOKUP('עולים יורדים'!A50,'מדיהו '!A:G,5,0)+VLOOKUP('עולים יורדים'!A50,'אנליסט '!A:G,5,0)+VLOOKUP('עולים יורדים'!A50,'מיטב דש'!A:G,5,0)+VLOOKUP('עולים יורדים'!A50,אינפניטי!A:G,5,0),0)</f>
        <v>14968.174225000001</v>
      </c>
      <c r="E50" s="23">
        <f>IFERROR(VLOOKUP(A50,הכשרה!A:K,9,0)+VLOOKUP('עולים יורדים'!A50,מגדל!A:K,9,0)+VLOOKUP('עולים יורדים'!A50,מנורה!A:K,9,0)+VLOOKUP('עולים יורדים'!A50,איילון!A:K,9,0)+VLOOKUP('עולים יורדים'!A50,הראל!A:K,9,0)+VLOOKUP('עולים יורדים'!A50,הפניקס!A:K,9,0)+VLOOKUP('עולים יורדים'!A50,כלל!A:K,9,0)+VLOOKUP('עולים יורדים'!A50,מור!A:K,9,0)+VLOOKUP('עולים יורדים'!A50,'אלטשולר שחם'!A:K,9,0)+VLOOKUP('עולים יורדים'!A50,'מדיהו '!A:K,9,0)+VLOOKUP('עולים יורדים'!A50,'אנליסט '!A:K,9,0)+VLOOKUP('עולים יורדים'!A50,'מיטב דש'!A:K,9,0)+VLOOKUP('עולים יורדים'!A50,אינפניטי!A:K,9,0),0)</f>
        <v>22709.424000000003</v>
      </c>
    </row>
    <row r="51" spans="1:5" x14ac:dyDescent="0.25">
      <c r="A51" s="27" t="s">
        <v>99</v>
      </c>
      <c r="B51" s="20">
        <f t="shared" si="2"/>
        <v>0</v>
      </c>
      <c r="C51" s="21">
        <f t="shared" si="3"/>
        <v>-12621.658049999998</v>
      </c>
      <c r="D51" s="22">
        <f>IFERROR(VLOOKUP(A51,הכשרה!A:K,5,0)+VLOOKUP('עולים יורדים'!A51,מגדל!A:G,5,0)+VLOOKUP('עולים יורדים'!A51,מנורה!A:G,5,0)+VLOOKUP('עולים יורדים'!A51,איילון!A:G,5,0)+VLOOKUP('עולים יורדים'!A51,הראל!A:G,5,0)+VLOOKUP('עולים יורדים'!A51,הפניקס!A:G,5,0)+VLOOKUP('עולים יורדים'!A51,כלל!A:G,5,0)+VLOOKUP('עולים יורדים'!A51,מור!A:G,5,0)+VLOOKUP('עולים יורדים'!A51,'אלטשולר שחם'!A:G,5,0)+VLOOKUP('עולים יורדים'!A51,'מדיהו '!A:G,5,0)+VLOOKUP('עולים יורדים'!A51,'אנליסט '!A:G,5,0)+VLOOKUP('עולים יורדים'!A51,'מיטב דש'!A:G,5,0)+VLOOKUP('עולים יורדים'!A51,אינפניטי!A:G,5,0),0)</f>
        <v>0</v>
      </c>
      <c r="E51" s="23">
        <f>IFERROR(VLOOKUP(A51,הכשרה!A:K,9,0)+VLOOKUP('עולים יורדים'!A51,מגדל!A:K,9,0)+VLOOKUP('עולים יורדים'!A51,מנורה!A:K,9,0)+VLOOKUP('עולים יורדים'!A51,איילון!A:K,9,0)+VLOOKUP('עולים יורדים'!A51,הראל!A:K,9,0)+VLOOKUP('עולים יורדים'!A51,הפניקס!A:K,9,0)+VLOOKUP('עולים יורדים'!A51,כלל!A:K,9,0)+VLOOKUP('עולים יורדים'!A51,מור!A:K,9,0)+VLOOKUP('עולים יורדים'!A51,'אלטשולר שחם'!A:K,9,0)+VLOOKUP('עולים יורדים'!A51,'מדיהו '!A:K,9,0)+VLOOKUP('עולים יורדים'!A51,'אנליסט '!A:K,9,0)+VLOOKUP('עולים יורדים'!A51,'מיטב דש'!A:K,9,0)+VLOOKUP('עולים יורדים'!A51,אינפניטי!A:K,9,0),0)</f>
        <v>12621.658049999998</v>
      </c>
    </row>
    <row r="52" spans="1:5" x14ac:dyDescent="0.25">
      <c r="A52" s="27" t="s">
        <v>104</v>
      </c>
      <c r="B52" s="20">
        <f t="shared" si="2"/>
        <v>-0.73455328886209914</v>
      </c>
      <c r="C52" s="21">
        <f t="shared" si="3"/>
        <v>-28138.099450000002</v>
      </c>
      <c r="D52" s="22">
        <f>IFERROR(VLOOKUP(A52,הכשרה!A:K,5,0)+VLOOKUP('עולים יורדים'!A52,מגדל!A:G,5,0)+VLOOKUP('עולים יורדים'!A52,מנורה!A:G,5,0)+VLOOKUP('עולים יורדים'!A52,איילון!A:G,5,0)+VLOOKUP('עולים יורדים'!A52,הראל!A:G,5,0)+VLOOKUP('עולים יורדים'!A52,הפניקס!A:G,5,0)+VLOOKUP('עולים יורדים'!A52,כלל!A:G,5,0)+VLOOKUP('עולים יורדים'!A52,מור!A:G,5,0)+VLOOKUP('עולים יורדים'!A52,'אלטשולר שחם'!A:G,5,0)+VLOOKUP('עולים יורדים'!A52,'מדיהו '!A:G,5,0)+VLOOKUP('עולים יורדים'!A52,'אנליסט '!A:G,5,0)+VLOOKUP('עולים יורדים'!A52,'מיטב דש'!A:G,5,0)+VLOOKUP('עולים יורדים'!A52,אינפניטי!A:G,5,0),0)</f>
        <v>10168.31055</v>
      </c>
      <c r="E52" s="23">
        <f>IFERROR(VLOOKUP(A52,הכשרה!A:K,9,0)+VLOOKUP('עולים יורדים'!A52,מגדל!A:K,9,0)+VLOOKUP('עולים יורדים'!A52,מנורה!A:K,9,0)+VLOOKUP('עולים יורדים'!A52,איילון!A:K,9,0)+VLOOKUP('עולים יורדים'!A52,הראל!A:K,9,0)+VLOOKUP('עולים יורדים'!A52,הפניקס!A:K,9,0)+VLOOKUP('עולים יורדים'!A52,כלל!A:K,9,0)+VLOOKUP('עולים יורדים'!A52,מור!A:K,9,0)+VLOOKUP('עולים יורדים'!A52,'אלטשולר שחם'!A:K,9,0)+VLOOKUP('עולים יורדים'!A52,'מדיהו '!A:K,9,0)+VLOOKUP('עולים יורדים'!A52,'אנליסט '!A:K,9,0)+VLOOKUP('עולים יורדים'!A52,'מיטב דש'!A:K,9,0)+VLOOKUP('עולים יורדים'!A52,אינפניטי!A:K,9,0),0)</f>
        <v>38306.410000000003</v>
      </c>
    </row>
    <row r="53" spans="1:5" x14ac:dyDescent="0.25">
      <c r="A53" s="27" t="s">
        <v>98</v>
      </c>
      <c r="B53" s="20">
        <f t="shared" si="2"/>
        <v>0</v>
      </c>
      <c r="C53" s="21">
        <f t="shared" si="3"/>
        <v>-16705.963</v>
      </c>
      <c r="D53" s="22">
        <f>IFERROR(VLOOKUP(A53,הכשרה!A:K,5,0)+VLOOKUP('עולים יורדים'!A53,מגדל!A:G,5,0)+VLOOKUP('עולים יורדים'!A53,מנורה!A:G,5,0)+VLOOKUP('עולים יורדים'!A53,איילון!A:G,5,0)+VLOOKUP('עולים יורדים'!A53,הראל!A:G,5,0)+VLOOKUP('עולים יורדים'!A53,הפניקס!A:G,5,0)+VLOOKUP('עולים יורדים'!A53,כלל!A:G,5,0)+VLOOKUP('עולים יורדים'!A53,מור!A:G,5,0)+VLOOKUP('עולים יורדים'!A53,'אלטשולר שחם'!A:G,5,0)+VLOOKUP('עולים יורדים'!A53,'מדיהו '!A:G,5,0)+VLOOKUP('עולים יורדים'!A53,'אנליסט '!A:G,5,0)+VLOOKUP('עולים יורדים'!A53,'מיטב דש'!A:G,5,0)+VLOOKUP('עולים יורדים'!A53,אינפניטי!A:G,5,0),0)</f>
        <v>0</v>
      </c>
      <c r="E53" s="23">
        <f>IFERROR(VLOOKUP(A53,הכשרה!A:K,9,0)+VLOOKUP('עולים יורדים'!A53,מגדל!A:K,9,0)+VLOOKUP('עולים יורדים'!A53,מנורה!A:K,9,0)+VLOOKUP('עולים יורדים'!A53,איילון!A:K,9,0)+VLOOKUP('עולים יורדים'!A53,הראל!A:K,9,0)+VLOOKUP('עולים יורדים'!A53,הפניקס!A:K,9,0)+VLOOKUP('עולים יורדים'!A53,כלל!A:K,9,0)+VLOOKUP('עולים יורדים'!A53,מור!A:K,9,0)+VLOOKUP('עולים יורדים'!A53,'אלטשולר שחם'!A:K,9,0)+VLOOKUP('עולים יורדים'!A53,'מדיהו '!A:K,9,0)+VLOOKUP('עולים יורדים'!A53,'אנליסט '!A:K,9,0)+VLOOKUP('עולים יורדים'!A53,'מיטב דש'!A:K,9,0)+VLOOKUP('עולים יורדים'!A53,אינפניטי!A:K,9,0),0)</f>
        <v>16705.963</v>
      </c>
    </row>
    <row r="54" spans="1:5" ht="15" x14ac:dyDescent="0.25">
      <c r="A54" s="138" t="s">
        <v>107</v>
      </c>
      <c r="B54" s="20">
        <f t="shared" si="2"/>
        <v>-0.35961280783475857</v>
      </c>
      <c r="C54" s="21">
        <f t="shared" si="3"/>
        <v>-2249.8712219999998</v>
      </c>
      <c r="D54" s="22">
        <f>IFERROR(VLOOKUP(A54,הכשרה!A:K,5,0)+VLOOKUP('עולים יורדים'!A54,מגדל!A:G,5,0)+VLOOKUP('עולים יורדים'!A54,מנורה!A:G,5,0)+VLOOKUP('עולים יורדים'!A54,איילון!A:G,5,0)+VLOOKUP('עולים יורדים'!A54,הראל!A:G,5,0)+VLOOKUP('עולים יורדים'!A54,הפניקס!A:G,5,0)+VLOOKUP('עולים יורדים'!A54,כלל!A:G,5,0)+VLOOKUP('עולים יורדים'!A54,מור!A:G,5,0)+VLOOKUP('עולים יורדים'!A54,'אלטשולר שחם'!A:G,5,0)+VLOOKUP('עולים יורדים'!A54,'מדיהו '!A:G,5,0)+VLOOKUP('עולים יורדים'!A54,'אנליסט '!A:G,5,0)+VLOOKUP('עולים יורדים'!A54,'מיטב דש'!A:G,5,0)+VLOOKUP('עולים יורדים'!A54,אינפניטי!A:G,5,0),0)</f>
        <v>4006.5</v>
      </c>
      <c r="E54" s="23">
        <f>IFERROR(VLOOKUP(A54,הכשרה!A:K,9,0)+VLOOKUP('עולים יורדים'!A54,מגדל!A:K,9,0)+VLOOKUP('עולים יורדים'!A54,מנורה!A:K,9,0)+VLOOKUP('עולים יורדים'!A54,איילון!A:K,9,0)+VLOOKUP('עולים יורדים'!A54,הראל!A:K,9,0)+VLOOKUP('עולים יורדים'!A54,הפניקס!A:K,9,0)+VLOOKUP('עולים יורדים'!A54,כלל!A:K,9,0)+VLOOKUP('עולים יורדים'!A54,מור!A:K,9,0)+VLOOKUP('עולים יורדים'!A54,'אלטשולר שחם'!A:K,9,0)+VLOOKUP('עולים יורדים'!A54,'מדיהו '!A:K,9,0)+VLOOKUP('עולים יורדים'!A54,'אנליסט '!A:K,9,0)+VLOOKUP('עולים יורדים'!A54,'מיטב דש'!A:K,9,0)+VLOOKUP('עולים יורדים'!A54,אינפניטי!A:K,9,0),0)</f>
        <v>6256.3712219999998</v>
      </c>
    </row>
    <row r="55" spans="1:5" x14ac:dyDescent="0.25">
      <c r="A55" s="27" t="s">
        <v>100</v>
      </c>
      <c r="B55" s="20">
        <f t="shared" si="2"/>
        <v>0</v>
      </c>
      <c r="C55" s="21">
        <f t="shared" si="3"/>
        <v>0</v>
      </c>
      <c r="D55" s="22">
        <f>IFERROR(VLOOKUP(A55,הכשרה!A:K,5,0)+VLOOKUP('עולים יורדים'!A55,מגדל!A:G,5,0)+VLOOKUP('עולים יורדים'!A55,מנורה!A:G,5,0)+VLOOKUP('עולים יורדים'!A55,איילון!A:G,5,0)+VLOOKUP('עולים יורדים'!A55,הראל!A:G,5,0)+VLOOKUP('עולים יורדים'!A55,הפניקס!A:G,5,0)+VLOOKUP('עולים יורדים'!A55,כלל!A:G,5,0)+VLOOKUP('עולים יורדים'!A55,מור!A:G,5,0)+VLOOKUP('עולים יורדים'!A55,'אלטשולר שחם'!A:G,5,0)+VLOOKUP('עולים יורדים'!A55,'מדיהו '!A:G,5,0)+VLOOKUP('עולים יורדים'!A55,'אנליסט '!A:G,5,0)+VLOOKUP('עולים יורדים'!A55,'מיטב דש'!A:G,5,0)+VLOOKUP('עולים יורדים'!A55,אינפניטי!A:G,5,0),0)</f>
        <v>0</v>
      </c>
      <c r="E55" s="23">
        <f>IFERROR(VLOOKUP(A55,הכשרה!A:K,9,0)+VLOOKUP('עולים יורדים'!A55,מגדל!A:K,9,0)+VLOOKUP('עולים יורדים'!A55,מנורה!A:K,9,0)+VLOOKUP('עולים יורדים'!A55,איילון!A:K,9,0)+VLOOKUP('עולים יורדים'!A55,הראל!A:K,9,0)+VLOOKUP('עולים יורדים'!A55,הפניקס!A:K,9,0)+VLOOKUP('עולים יורדים'!A55,כלל!A:K,9,0)+VLOOKUP('עולים יורדים'!A55,מור!A:K,9,0)+VLOOKUP('עולים יורדים'!A55,'אלטשולר שחם'!A:K,9,0)+VLOOKUP('עולים יורדים'!A55,'מדיהו '!A:K,9,0)+VLOOKUP('עולים יורדים'!A55,'אנליסט '!A:K,9,0)+VLOOKUP('עולים יורדים'!A55,'מיטב דש'!A:K,9,0)+VLOOKUP('עולים יורדים'!A55,אינפניטי!A:K,9,0),0)</f>
        <v>0</v>
      </c>
    </row>
    <row r="56" spans="1:5" x14ac:dyDescent="0.25">
      <c r="A56" s="27" t="s">
        <v>106</v>
      </c>
      <c r="B56" s="20">
        <f t="shared" si="2"/>
        <v>0</v>
      </c>
      <c r="C56" s="21">
        <f t="shared" si="3"/>
        <v>-12917.18</v>
      </c>
      <c r="D56" s="22">
        <f>IFERROR(VLOOKUP(A56,הכשרה!A:K,5,0)+VLOOKUP('עולים יורדים'!A56,מגדל!A:G,5,0)+VLOOKUP('עולים יורדים'!A56,מנורה!A:G,5,0)+VLOOKUP('עולים יורדים'!A56,איילון!A:G,5,0)+VLOOKUP('עולים יורדים'!A56,הראל!A:G,5,0)+VLOOKUP('עולים יורדים'!A56,הפניקס!A:G,5,0)+VLOOKUP('עולים יורדים'!A56,כלל!A:G,5,0)+VLOOKUP('עולים יורדים'!A56,מור!A:G,5,0)+VLOOKUP('עולים יורדים'!A56,'אלטשולר שחם'!A:G,5,0)+VLOOKUP('עולים יורדים'!A56,'מדיהו '!A:G,5,0)+VLOOKUP('עולים יורדים'!A56,'אנליסט '!A:G,5,0)+VLOOKUP('עולים יורדים'!A56,'מיטב דש'!A:G,5,0)+VLOOKUP('עולים יורדים'!A56,אינפניטי!A:G,5,0),0)</f>
        <v>0</v>
      </c>
      <c r="E56" s="23">
        <f>IFERROR(VLOOKUP(A56,הכשרה!A:K,9,0)+VLOOKUP('עולים יורדים'!A56,מגדל!A:K,9,0)+VLOOKUP('עולים יורדים'!A56,מנורה!A:K,9,0)+VLOOKUP('עולים יורדים'!A56,איילון!A:K,9,0)+VLOOKUP('עולים יורדים'!A56,הראל!A:K,9,0)+VLOOKUP('עולים יורדים'!A56,הפניקס!A:K,9,0)+VLOOKUP('עולים יורדים'!A56,כלל!A:K,9,0)+VLOOKUP('עולים יורדים'!A56,מור!A:K,9,0)+VLOOKUP('עולים יורדים'!A56,'אלטשולר שחם'!A:K,9,0)+VLOOKUP('עולים יורדים'!A56,'מדיהו '!A:K,9,0)+VLOOKUP('עולים יורדים'!A56,'אנליסט '!A:K,9,0)+VLOOKUP('עולים יורדים'!A56,'מיטב דש'!A:K,9,0)+VLOOKUP('עולים יורדים'!A56,אינפניטי!A:K,9,0),0)</f>
        <v>12917.18</v>
      </c>
    </row>
    <row r="57" spans="1:5" x14ac:dyDescent="0.25">
      <c r="A57" s="27" t="s">
        <v>102</v>
      </c>
      <c r="B57" s="20">
        <f t="shared" si="2"/>
        <v>0</v>
      </c>
      <c r="C57" s="21">
        <f t="shared" si="3"/>
        <v>-5944.7195119999997</v>
      </c>
      <c r="D57" s="22">
        <f>IFERROR(VLOOKUP(A57,הכשרה!A:K,5,0)+VLOOKUP('עולים יורדים'!A57,מגדל!A:G,5,0)+VLOOKUP('עולים יורדים'!A57,מנורה!A:G,5,0)+VLOOKUP('עולים יורדים'!A57,איילון!A:G,5,0)+VLOOKUP('עולים יורדים'!A57,הראל!A:G,5,0)+VLOOKUP('עולים יורדים'!A57,הפניקס!A:G,5,0)+VLOOKUP('עולים יורדים'!A57,כלל!A:G,5,0)+VLOOKUP('עולים יורדים'!A57,מור!A:G,5,0)+VLOOKUP('עולים יורדים'!A57,'אלטשולר שחם'!A:G,5,0)+VLOOKUP('עולים יורדים'!A57,'מדיהו '!A:G,5,0)+VLOOKUP('עולים יורדים'!A57,'אנליסט '!A:G,5,0)+VLOOKUP('עולים יורדים'!A57,'מיטב דש'!A:G,5,0)+VLOOKUP('עולים יורדים'!A57,אינפניטי!A:G,5,0),0)</f>
        <v>0</v>
      </c>
      <c r="E57" s="23">
        <f>IFERROR(VLOOKUP(A57,הכשרה!A:K,9,0)+VLOOKUP('עולים יורדים'!A57,מגדל!A:K,9,0)+VLOOKUP('עולים יורדים'!A57,מנורה!A:K,9,0)+VLOOKUP('עולים יורדים'!A57,איילון!A:K,9,0)+VLOOKUP('עולים יורדים'!A57,הראל!A:K,9,0)+VLOOKUP('עולים יורדים'!A57,הפניקס!A:K,9,0)+VLOOKUP('עולים יורדים'!A57,כלל!A:K,9,0)+VLOOKUP('עולים יורדים'!A57,מור!A:K,9,0)+VLOOKUP('עולים יורדים'!A57,'אלטשולר שחם'!A:K,9,0)+VLOOKUP('עולים יורדים'!A57,'מדיהו '!A:K,9,0)+VLOOKUP('עולים יורדים'!A57,'אנליסט '!A:K,9,0)+VLOOKUP('עולים יורדים'!A57,'מיטב דש'!A:K,9,0)+VLOOKUP('עולים יורדים'!A57,אינפניטי!A:K,9,0),0)</f>
        <v>5944.7195119999997</v>
      </c>
    </row>
    <row r="58" spans="1:5" x14ac:dyDescent="0.25">
      <c r="A58" s="27" t="s">
        <v>105</v>
      </c>
      <c r="B58" s="20">
        <f t="shared" si="2"/>
        <v>81.363485630066322</v>
      </c>
      <c r="C58" s="21">
        <f t="shared" si="3"/>
        <v>198738.44999999998</v>
      </c>
      <c r="D58" s="22">
        <f>IFERROR(VLOOKUP(A58,הכשרה!A:K,5,0)+VLOOKUP('עולים יורדים'!A58,מגדל!A:G,5,0)+VLOOKUP('עולים יורדים'!A58,מנורה!A:G,5,0)+VLOOKUP('עולים יורדים'!A58,איילון!A:G,5,0)+VLOOKUP('עולים יורדים'!A58,הראל!A:G,5,0)+VLOOKUP('עולים יורדים'!A58,הפניקס!A:G,5,0)+VLOOKUP('עולים יורדים'!A58,כלל!A:G,5,0)+VLOOKUP('עולים יורדים'!A58,מור!A:G,5,0)+VLOOKUP('עולים יורדים'!A58,'אלטשולר שחם'!A:G,5,0)+VLOOKUP('עולים יורדים'!A58,'מדיהו '!A:G,5,0)+VLOOKUP('עולים יורדים'!A58,'אנליסט '!A:G,5,0)+VLOOKUP('עולים יורדים'!A58,'מיטב דש'!A:G,5,0)+VLOOKUP('עולים יורדים'!A58,אינפניטי!A:G,5,0),0)</f>
        <v>201181.05</v>
      </c>
      <c r="E58" s="23">
        <f>IFERROR(VLOOKUP(A58,הכשרה!A:K,9,0)+VLOOKUP('עולים יורדים'!A58,מגדל!A:K,9,0)+VLOOKUP('עולים יורדים'!A58,מנורה!A:K,9,0)+VLOOKUP('עולים יורדים'!A58,איילון!A:K,9,0)+VLOOKUP('עולים יורדים'!A58,הראל!A:K,9,0)+VLOOKUP('עולים יורדים'!A58,הפניקס!A:K,9,0)+VLOOKUP('עולים יורדים'!A58,כלל!A:K,9,0)+VLOOKUP('עולים יורדים'!A58,מור!A:K,9,0)+VLOOKUP('עולים יורדים'!A58,'אלטשולר שחם'!A:K,9,0)+VLOOKUP('עולים יורדים'!A58,'מדיהו '!A:K,9,0)+VLOOKUP('עולים יורדים'!A58,'אנליסט '!A:K,9,0)+VLOOKUP('עולים יורדים'!A58,'מיטב דש'!A:K,9,0)+VLOOKUP('עולים יורדים'!A58,אינפניטי!A:K,9,0),0)</f>
        <v>2442.6</v>
      </c>
    </row>
    <row r="59" spans="1:5" x14ac:dyDescent="0.25">
      <c r="A59" s="27" t="s">
        <v>36</v>
      </c>
      <c r="B59" s="20">
        <f t="shared" si="2"/>
        <v>0</v>
      </c>
      <c r="C59" s="21">
        <f t="shared" si="3"/>
        <v>0</v>
      </c>
      <c r="D59" s="22">
        <f>IFERROR(VLOOKUP(A59,הכשרה!A:K,5,0)+VLOOKUP('עולים יורדים'!A59,מגדל!A:G,5,0)+VLOOKUP('עולים יורדים'!A59,מנורה!A:G,5,0)+VLOOKUP('עולים יורדים'!A59,איילון!A:G,5,0)+VLOOKUP('עולים יורדים'!A59,הראל!A:G,5,0)+VLOOKUP('עולים יורדים'!A59,הפניקס!A:G,5,0)+VLOOKUP('עולים יורדים'!A59,כלל!A:G,5,0)+VLOOKUP('עולים יורדים'!A59,מור!A:G,5,0)+VLOOKUP('עולים יורדים'!A59,'אלטשולר שחם'!A:G,5,0)+VLOOKUP('עולים יורדים'!A59,'מדיהו '!A:G,5,0)+VLOOKUP('עולים יורדים'!A59,'אנליסט '!A:G,5,0)+VLOOKUP('עולים יורדים'!A59,'מיטב דש'!A:G,5,0)+VLOOKUP('עולים יורדים'!A59,אינפניטי!A:G,5,0),0)</f>
        <v>0</v>
      </c>
      <c r="E59" s="23">
        <f>IFERROR(VLOOKUP(A59,הכשרה!A:K,9,0)+VLOOKUP('עולים יורדים'!A59,מגדל!A:K,9,0)+VLOOKUP('עולים יורדים'!A59,מנורה!A:K,9,0)+VLOOKUP('עולים יורדים'!A59,איילון!A:K,9,0)+VLOOKUP('עולים יורדים'!A59,הראל!A:K,9,0)+VLOOKUP('עולים יורדים'!A59,הפניקס!A:K,9,0)+VLOOKUP('עולים יורדים'!A59,כלל!A:K,9,0)+VLOOKUP('עולים יורדים'!A59,מור!A:K,9,0)+VLOOKUP('עולים יורדים'!A59,'אלטשולר שחם'!A:K,9,0)+VLOOKUP('עולים יורדים'!A59,'מדיהו '!A:K,9,0)+VLOOKUP('עולים יורדים'!A59,'אנליסט '!A:K,9,0)+VLOOKUP('עולים יורדים'!A59,'מיטב דש'!A:K,9,0)+VLOOKUP('עולים יורדים'!A59,אינפניטי!A:K,9,0),0)</f>
        <v>0</v>
      </c>
    </row>
    <row r="60" spans="1:5" x14ac:dyDescent="0.25">
      <c r="A60" s="27" t="s">
        <v>32</v>
      </c>
      <c r="B60" s="20">
        <f t="shared" si="2"/>
        <v>0</v>
      </c>
      <c r="C60" s="21">
        <f t="shared" si="3"/>
        <v>-30</v>
      </c>
      <c r="D60" s="22">
        <f>IFERROR(VLOOKUP(A60,הכשרה!A:K,5,0)+VLOOKUP('עולים יורדים'!A60,מגדל!A:G,5,0)+VLOOKUP('עולים יורדים'!A60,מנורה!A:G,5,0)+VLOOKUP('עולים יורדים'!A60,איילון!A:G,5,0)+VLOOKUP('עולים יורדים'!A60,הראל!A:G,5,0)+VLOOKUP('עולים יורדים'!A60,הפניקס!A:G,5,0)+VLOOKUP('עולים יורדים'!A60,כלל!A:G,5,0)+VLOOKUP('עולים יורדים'!A60,מור!A:G,5,0)+VLOOKUP('עולים יורדים'!A60,'אלטשולר שחם'!A:G,5,0)+VLOOKUP('עולים יורדים'!A60,'מדיהו '!A:G,5,0)+VLOOKUP('עולים יורדים'!A60,'אנליסט '!A:G,5,0)+VLOOKUP('עולים יורדים'!A60,'מיטב דש'!A:G,5,0)+VLOOKUP('עולים יורדים'!A60,אינפניטי!A:G,5,0),0)</f>
        <v>0</v>
      </c>
      <c r="E60" s="23">
        <f>IFERROR(VLOOKUP(A60,הכשרה!A:K,9,0)+VLOOKUP('עולים יורדים'!A60,מגדל!A:K,9,0)+VLOOKUP('עולים יורדים'!A60,מנורה!A:K,9,0)+VLOOKUP('עולים יורדים'!A60,איילון!A:K,9,0)+VLOOKUP('עולים יורדים'!A60,הראל!A:K,9,0)+VLOOKUP('עולים יורדים'!A60,הפניקס!A:K,9,0)+VLOOKUP('עולים יורדים'!A60,כלל!A:K,9,0)+VLOOKUP('עולים יורדים'!A60,מור!A:K,9,0)+VLOOKUP('עולים יורדים'!A60,'אלטשולר שחם'!A:K,9,0)+VLOOKUP('עולים יורדים'!A60,'מדיהו '!A:K,9,0)+VLOOKUP('עולים יורדים'!A60,'אנליסט '!A:K,9,0)+VLOOKUP('עולים יורדים'!A60,'מיטב דש'!A:K,9,0)+VLOOKUP('עולים יורדים'!A60,אינפניטי!A:K,9,0),0)</f>
        <v>30</v>
      </c>
    </row>
    <row r="61" spans="1:5" x14ac:dyDescent="0.25">
      <c r="A61" s="27" t="s">
        <v>94</v>
      </c>
      <c r="B61" s="20">
        <f t="shared" si="2"/>
        <v>-0.73965790095321382</v>
      </c>
      <c r="C61" s="21">
        <f t="shared" si="3"/>
        <v>-28535.317780891837</v>
      </c>
      <c r="D61" s="22">
        <f>IFERROR(VLOOKUP(A61,הכשרה!A:K,5,0)+VLOOKUP('עולים יורדים'!A61,מגדל!A:G,5,0)+VLOOKUP('עולים יורדים'!A61,מנורה!A:G,5,0)+VLOOKUP('עולים יורדים'!A61,איילון!A:G,5,0)+VLOOKUP('עולים יורדים'!A61,הראל!A:G,5,0)+VLOOKUP('עולים יורדים'!A61,הפניקס!A:G,5,0)+VLOOKUP('עולים יורדים'!A61,כלל!A:G,5,0)+VLOOKUP('עולים יורדים'!A61,מור!A:G,5,0)+VLOOKUP('עולים יורדים'!A61,'אלטשולר שחם'!A:G,5,0)+VLOOKUP('עולים יורדים'!A61,'מדיהו '!A:G,5,0)+VLOOKUP('עולים יורדים'!A61,'אנליסט '!A:G,5,0)+VLOOKUP('עולים יורדים'!A61,'מיטב דש'!A:G,5,0)+VLOOKUP('עולים יורדים'!A61,אינפניטי!A:G,5,0),0)</f>
        <v>10043.75741605763</v>
      </c>
      <c r="E61" s="23">
        <f>IFERROR(VLOOKUP(A61,הכשרה!A:K,9,0)+VLOOKUP('עולים יורדים'!A61,מגדל!A:K,9,0)+VLOOKUP('עולים יורדים'!A61,מנורה!A:K,9,0)+VLOOKUP('עולים יורדים'!A61,איילון!A:K,9,0)+VLOOKUP('עולים יורדים'!A61,הראל!A:K,9,0)+VLOOKUP('עולים יורדים'!A61,הפניקס!A:K,9,0)+VLOOKUP('עולים יורדים'!A61,כלל!A:K,9,0)+VLOOKUP('עולים יורדים'!A61,מור!A:K,9,0)+VLOOKUP('עולים יורדים'!A61,'אלטשולר שחם'!A:K,9,0)+VLOOKUP('עולים יורדים'!A61,'מדיהו '!A:K,9,0)+VLOOKUP('עולים יורדים'!A61,'אנליסט '!A:K,9,0)+VLOOKUP('עולים יורדים'!A61,'מיטב דש'!A:K,9,0)+VLOOKUP('עולים יורדים'!A61,אינפניטי!A:K,9,0),0)</f>
        <v>38579.075196949467</v>
      </c>
    </row>
    <row r="62" spans="1:5" x14ac:dyDescent="0.25">
      <c r="A62" s="27" t="s">
        <v>90</v>
      </c>
      <c r="B62" s="20">
        <f t="shared" si="2"/>
        <v>0</v>
      </c>
      <c r="C62" s="21">
        <f t="shared" si="3"/>
        <v>-609.14569800000004</v>
      </c>
      <c r="D62" s="22">
        <f>IFERROR(VLOOKUP(A62,הכשרה!A:K,5,0)+VLOOKUP('עולים יורדים'!A62,מגדל!A:G,5,0)+VLOOKUP('עולים יורדים'!A62,מנורה!A:G,5,0)+VLOOKUP('עולים יורדים'!A62,איילון!A:G,5,0)+VLOOKUP('עולים יורדים'!A62,הראל!A:G,5,0)+VLOOKUP('עולים יורדים'!A62,הפניקס!A:G,5,0)+VLOOKUP('עולים יורדים'!A62,כלל!A:G,5,0)+VLOOKUP('עולים יורדים'!A62,מור!A:G,5,0)+VLOOKUP('עולים יורדים'!A62,'אלטשולר שחם'!A:G,5,0)+VLOOKUP('עולים יורדים'!A62,'מדיהו '!A:G,5,0)+VLOOKUP('עולים יורדים'!A62,'אנליסט '!A:G,5,0)+VLOOKUP('עולים יורדים'!A62,'מיטב דש'!A:G,5,0)+VLOOKUP('עולים יורדים'!A62,אינפניטי!A:G,5,0),0)</f>
        <v>0</v>
      </c>
      <c r="E62" s="23">
        <f>IFERROR(VLOOKUP(A62,הכשרה!A:K,9,0)+VLOOKUP('עולים יורדים'!A62,מגדל!A:K,9,0)+VLOOKUP('עולים יורדים'!A62,מנורה!A:K,9,0)+VLOOKUP('עולים יורדים'!A62,איילון!A:K,9,0)+VLOOKUP('עולים יורדים'!A62,הראל!A:K,9,0)+VLOOKUP('עולים יורדים'!A62,הפניקס!A:K,9,0)+VLOOKUP('עולים יורדים'!A62,כלל!A:K,9,0)+VLOOKUP('עולים יורדים'!A62,מור!A:K,9,0)+VLOOKUP('עולים יורדים'!A62,'אלטשולר שחם'!A:K,9,0)+VLOOKUP('עולים יורדים'!A62,'מדיהו '!A:K,9,0)+VLOOKUP('עולים יורדים'!A62,'אנליסט '!A:K,9,0)+VLOOKUP('עולים יורדים'!A62,'מיטב דש'!A:K,9,0)+VLOOKUP('עולים יורדים'!A62,אינפניטי!A:K,9,0),0)</f>
        <v>609.14569800000004</v>
      </c>
    </row>
    <row r="63" spans="1:5" x14ac:dyDescent="0.25">
      <c r="A63" s="237" t="s">
        <v>30</v>
      </c>
      <c r="B63" s="20">
        <f t="shared" si="2"/>
        <v>0</v>
      </c>
      <c r="C63" s="21">
        <f t="shared" si="3"/>
        <v>-891.41106400000001</v>
      </c>
      <c r="D63" s="22">
        <f>IFERROR(VLOOKUP(A63,הכשרה!A:K,5,0)+VLOOKUP('עולים יורדים'!A63,מגדל!A:G,5,0)+VLOOKUP('עולים יורדים'!A63,מנורה!A:G,5,0)+VLOOKUP('עולים יורדים'!A63,איילון!A:G,5,0)+VLOOKUP('עולים יורדים'!A63,הראל!A:G,5,0)+VLOOKUP('עולים יורדים'!A63,הפניקס!A:G,5,0)+VLOOKUP('עולים יורדים'!A63,כלל!A:G,5,0)+VLOOKUP('עולים יורדים'!A63,מור!A:G,5,0)+VLOOKUP('עולים יורדים'!A63,'אלטשולר שחם'!A:G,5,0)+VLOOKUP('עולים יורדים'!A63,'מדיהו '!A:G,5,0)+VLOOKUP('עולים יורדים'!A63,'אנליסט '!A:G,5,0)+VLOOKUP('עולים יורדים'!A63,'מיטב דש'!A:G,5,0)+VLOOKUP('עולים יורדים'!A63,אינפניטי!A:G,5,0),0)</f>
        <v>0</v>
      </c>
      <c r="E63" s="23">
        <f>IFERROR(VLOOKUP(A63,הכשרה!A:K,9,0)+VLOOKUP('עולים יורדים'!A63,מגדל!A:K,9,0)+VLOOKUP('עולים יורדים'!A63,מנורה!A:K,9,0)+VLOOKUP('עולים יורדים'!A63,איילון!A:K,9,0)+VLOOKUP('עולים יורדים'!A63,הראל!A:K,9,0)+VLOOKUP('עולים יורדים'!A63,הפניקס!A:K,9,0)+VLOOKUP('עולים יורדים'!A63,כלל!A:K,9,0)+VLOOKUP('עולים יורדים'!A63,מור!A:K,9,0)+VLOOKUP('עולים יורדים'!A63,'אלטשולר שחם'!A:K,9,0)+VLOOKUP('עולים יורדים'!A63,'מדיהו '!A:K,9,0)+VLOOKUP('עולים יורדים'!A63,'אנליסט '!A:K,9,0)+VLOOKUP('עולים יורדים'!A63,'מיטב דש'!A:K,9,0)+VLOOKUP('עולים יורדים'!A63,אינפניטי!A:K,9,0),0)</f>
        <v>891.41106400000001</v>
      </c>
    </row>
    <row r="64" spans="1:5" x14ac:dyDescent="0.25">
      <c r="A64" s="31" t="s">
        <v>25</v>
      </c>
      <c r="B64" s="20">
        <f t="shared" si="2"/>
        <v>-0.57417024561840035</v>
      </c>
      <c r="C64" s="21">
        <f t="shared" si="3"/>
        <v>-13843.689296410919</v>
      </c>
      <c r="D64" s="22">
        <f>IFERROR(VLOOKUP(A64,הכשרה!A:K,5,0)+VLOOKUP('עולים יורדים'!A64,מגדל!A:G,5,0)+VLOOKUP('עולים יורדים'!A64,מנורה!A:G,5,0)+VLOOKUP('עולים יורדים'!A64,איילון!A:G,5,0)+VLOOKUP('עולים יורדים'!A64,הראל!A:G,5,0)+VLOOKUP('עולים יורדים'!A64,הפניקס!A:G,5,0)+VLOOKUP('עולים יורדים'!A64,כלל!A:G,5,0)+VLOOKUP('עולים יורדים'!A64,מור!A:G,5,0)+VLOOKUP('עולים יורדים'!A64,'אלטשולר שחם'!A:G,5,0)+VLOOKUP('עולים יורדים'!A64,'מדיהו '!A:G,5,0)+VLOOKUP('עולים יורדים'!A64,'אנליסט '!A:G,5,0)+VLOOKUP('עולים יורדים'!A64,'מיטב דש'!A:G,5,0)+VLOOKUP('עולים יורדים'!A64,אינפניטי!A:G,5,0),0)</f>
        <v>10267.085168226842</v>
      </c>
      <c r="E64" s="23">
        <f>IFERROR(VLOOKUP(A64,הכשרה!A:K,9,0)+VLOOKUP('עולים יורדים'!A64,מגדל!A:K,9,0)+VLOOKUP('עולים יורדים'!A64,מנורה!A:K,9,0)+VLOOKUP('עולים יורדים'!A64,איילון!A:K,9,0)+VLOOKUP('עולים יורדים'!A64,הראל!A:K,9,0)+VLOOKUP('עולים יורדים'!A64,הפניקס!A:K,9,0)+VLOOKUP('עולים יורדים'!A64,כלל!A:K,9,0)+VLOOKUP('עולים יורדים'!A64,מור!A:K,9,0)+VLOOKUP('עולים יורדים'!A64,'אלטשולר שחם'!A:K,9,0)+VLOOKUP('עולים יורדים'!A64,'מדיהו '!A:K,9,0)+VLOOKUP('עולים יורדים'!A64,'אנליסט '!A:K,9,0)+VLOOKUP('עולים יורדים'!A64,'מיטב דש'!A:K,9,0)+VLOOKUP('עולים יורדים'!A64,אינפניטי!A:K,9,0),0)</f>
        <v>24110.774464637761</v>
      </c>
    </row>
    <row r="65" spans="1:5" x14ac:dyDescent="0.25">
      <c r="A65" s="27" t="s">
        <v>38</v>
      </c>
      <c r="B65" s="20">
        <f t="shared" si="2"/>
        <v>0</v>
      </c>
      <c r="C65" s="21">
        <f t="shared" si="3"/>
        <v>-1119.3150000000001</v>
      </c>
      <c r="D65" s="22">
        <f>IFERROR(VLOOKUP(A65,הכשרה!A:K,5,0)+VLOOKUP('עולים יורדים'!A65,מגדל!A:G,5,0)+VLOOKUP('עולים יורדים'!A65,מנורה!A:G,5,0)+VLOOKUP('עולים יורדים'!A65,איילון!A:G,5,0)+VLOOKUP('עולים יורדים'!A65,הראל!A:G,5,0)+VLOOKUP('עולים יורדים'!A65,הפניקס!A:G,5,0)+VLOOKUP('עולים יורדים'!A65,כלל!A:G,5,0)+VLOOKUP('עולים יורדים'!A65,מור!A:G,5,0)+VLOOKUP('עולים יורדים'!A65,'אלטשולר שחם'!A:G,5,0)+VLOOKUP('עולים יורדים'!A65,'מדיהו '!A:G,5,0)+VLOOKUP('עולים יורדים'!A65,'אנליסט '!A:G,5,0)+VLOOKUP('עולים יורדים'!A65,'מיטב דש'!A:G,5,0)+VLOOKUP('עולים יורדים'!A65,אינפניטי!A:G,5,0),0)</f>
        <v>0</v>
      </c>
      <c r="E65" s="23">
        <f>IFERROR(VLOOKUP(A65,הכשרה!A:K,9,0)+VLOOKUP('עולים יורדים'!A65,מגדל!A:K,9,0)+VLOOKUP('עולים יורדים'!A65,מנורה!A:K,9,0)+VLOOKUP('עולים יורדים'!A65,איילון!A:K,9,0)+VLOOKUP('עולים יורדים'!A65,הראל!A:K,9,0)+VLOOKUP('עולים יורדים'!A65,הפניקס!A:K,9,0)+VLOOKUP('עולים יורדים'!A65,כלל!A:K,9,0)+VLOOKUP('עולים יורדים'!A65,מור!A:K,9,0)+VLOOKUP('עולים יורדים'!A65,'אלטשולר שחם'!A:K,9,0)+VLOOKUP('עולים יורדים'!A65,'מדיהו '!A:K,9,0)+VLOOKUP('עולים יורדים'!A65,'אנליסט '!A:K,9,0)+VLOOKUP('עולים יורדים'!A65,'מיטב דש'!A:K,9,0)+VLOOKUP('עולים יורדים'!A65,אינפניטי!A:K,9,0),0)</f>
        <v>1119.3150000000001</v>
      </c>
    </row>
  </sheetData>
  <autoFilter ref="A1:F65" xr:uid="{86B556E0-BEA5-4A33-8A86-06A0464561C3}"/>
  <sortState xmlns:xlrd2="http://schemas.microsoft.com/office/spreadsheetml/2017/richdata2" ref="A2:E67">
    <sortCondition ref="B1:B67"/>
  </sortState>
  <conditionalFormatting sqref="A1:A16">
    <cfRule type="duplicateValues" dxfId="239" priority="168"/>
    <cfRule type="duplicateValues" dxfId="238" priority="169"/>
  </conditionalFormatting>
  <conditionalFormatting sqref="A45">
    <cfRule type="duplicateValues" dxfId="237" priority="1"/>
    <cfRule type="duplicateValues" dxfId="236" priority="2"/>
  </conditionalFormatting>
  <conditionalFormatting sqref="A46:A57 A17:A44">
    <cfRule type="duplicateValues" dxfId="235" priority="11"/>
    <cfRule type="duplicateValues" dxfId="234" priority="12"/>
  </conditionalFormatting>
  <conditionalFormatting sqref="A64">
    <cfRule type="duplicateValues" dxfId="233" priority="5"/>
    <cfRule type="duplicateValues" dxfId="232" priority="6"/>
  </conditionalFormatting>
  <conditionalFormatting sqref="A65 A58:A63">
    <cfRule type="duplicateValues" dxfId="231" priority="9"/>
    <cfRule type="duplicateValues" dxfId="230" priority="10"/>
  </conditionalFormatting>
  <conditionalFormatting sqref="B2:B65">
    <cfRule type="cellIs" dxfId="229" priority="24" operator="lessThan">
      <formula>-0.0001</formula>
    </cfRule>
    <cfRule type="cellIs" dxfId="228" priority="25" operator="greaterThan">
      <formula>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3476-94B3-4EB2-924E-A95904F321CF}">
  <sheetPr>
    <tabColor theme="0"/>
  </sheetPr>
  <dimension ref="A1:K74"/>
  <sheetViews>
    <sheetView rightToLeft="1" workbookViewId="0">
      <selection activeCell="H4" sqref="H4"/>
    </sheetView>
  </sheetViews>
  <sheetFormatPr defaultColWidth="22.42578125" defaultRowHeight="15" x14ac:dyDescent="0.25"/>
  <cols>
    <col min="1" max="1" width="30" style="33" bestFit="1" customWidth="1"/>
    <col min="2" max="2" width="10.7109375" style="33" bestFit="1" customWidth="1"/>
    <col min="3" max="3" width="11.7109375" style="33" bestFit="1" customWidth="1"/>
    <col min="4" max="4" width="14.42578125" bestFit="1" customWidth="1"/>
    <col min="5" max="5" width="14.7109375" bestFit="1" customWidth="1"/>
    <col min="6" max="6" width="15.42578125" bestFit="1" customWidth="1"/>
    <col min="7" max="7" width="19" bestFit="1" customWidth="1"/>
    <col min="8" max="8" width="14.42578125" style="3" bestFit="1" customWidth="1"/>
    <col min="9" max="9" width="14.7109375" style="3" bestFit="1" customWidth="1"/>
    <col min="10" max="10" width="15.4257812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6186.95</v>
      </c>
      <c r="E3" s="14">
        <v>20332.21</v>
      </c>
      <c r="F3" s="14"/>
      <c r="G3" s="14">
        <v>1760783.33</v>
      </c>
      <c r="H3" s="110"/>
      <c r="I3" s="110">
        <v>10811</v>
      </c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5">
      <c r="A8" s="143" t="s">
        <v>3</v>
      </c>
      <c r="B8" s="142"/>
      <c r="C8" s="142"/>
      <c r="D8" s="227">
        <f>SUM(D3:D7)</f>
        <v>6186.95</v>
      </c>
      <c r="E8" s="227">
        <f t="shared" ref="E8:K8" si="0">SUM(E3:E7)</f>
        <v>20332.21</v>
      </c>
      <c r="F8" s="227">
        <f t="shared" si="0"/>
        <v>0</v>
      </c>
      <c r="G8" s="227">
        <f t="shared" si="0"/>
        <v>1760783.33</v>
      </c>
      <c r="H8" s="227">
        <f t="shared" si="0"/>
        <v>0</v>
      </c>
      <c r="I8" s="227">
        <f t="shared" si="0"/>
        <v>10811</v>
      </c>
      <c r="J8" s="227">
        <f t="shared" si="0"/>
        <v>0</v>
      </c>
      <c r="K8" s="227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141">
        <f>SUM(D9:D20)</f>
        <v>0</v>
      </c>
      <c r="E21" s="141">
        <f t="shared" ref="E21:K21" si="1">SUM(E9:E20)</f>
        <v>0</v>
      </c>
      <c r="F21" s="141">
        <f t="shared" si="1"/>
        <v>0</v>
      </c>
      <c r="G21" s="141">
        <f>SUM(G9:G20)</f>
        <v>0</v>
      </c>
      <c r="H21" s="141">
        <f t="shared" si="1"/>
        <v>0</v>
      </c>
      <c r="I21" s="141">
        <f t="shared" si="1"/>
        <v>0</v>
      </c>
      <c r="J21" s="141">
        <f t="shared" si="1"/>
        <v>0</v>
      </c>
      <c r="K21" s="141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31.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1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1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1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1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1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1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1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1" ht="31.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1" ht="31.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1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1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1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1" ht="31.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1" ht="31.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</row>
    <row r="47" spans="1:11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1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1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1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1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1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1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1" ht="21.75" thickBot="1" x14ac:dyDescent="0.3">
      <c r="A54" s="144" t="s">
        <v>130</v>
      </c>
      <c r="B54" s="142"/>
      <c r="C54" s="142"/>
      <c r="D54" s="141">
        <f t="shared" ref="D54:K54" ca="1" si="2">SUM(D21:D56)</f>
        <v>0</v>
      </c>
      <c r="E54" s="141">
        <f t="shared" ca="1" si="2"/>
        <v>0</v>
      </c>
      <c r="F54" s="141">
        <f t="shared" ca="1" si="2"/>
        <v>0</v>
      </c>
      <c r="G54" s="141">
        <f t="shared" ca="1" si="2"/>
        <v>0</v>
      </c>
      <c r="H54" s="141">
        <f t="shared" ca="1" si="2"/>
        <v>0</v>
      </c>
      <c r="I54" s="141">
        <f t="shared" ca="1" si="2"/>
        <v>0</v>
      </c>
      <c r="J54" s="141">
        <f t="shared" ca="1" si="2"/>
        <v>0</v>
      </c>
      <c r="K54" s="141">
        <f t="shared" ca="1" si="2"/>
        <v>0</v>
      </c>
    </row>
    <row r="55" spans="1:11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1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1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</row>
    <row r="58" spans="1:11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</row>
    <row r="59" spans="1:11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</row>
    <row r="60" spans="1:11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1" ht="15.75" customHeight="1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1" ht="21.75" thickBot="1" x14ac:dyDescent="0.3">
      <c r="A62" s="144" t="s">
        <v>131</v>
      </c>
      <c r="B62" s="142"/>
      <c r="C62" s="142"/>
      <c r="D62" s="141">
        <f t="shared" ref="D62:K62" si="3">SUM(D22:D53)</f>
        <v>0</v>
      </c>
      <c r="E62" s="141">
        <f t="shared" si="3"/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1">
        <f t="shared" si="3"/>
        <v>0</v>
      </c>
      <c r="K62" s="141">
        <f t="shared" si="3"/>
        <v>0</v>
      </c>
    </row>
    <row r="63" spans="1:11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40"/>
      <c r="K63" s="140"/>
    </row>
    <row r="64" spans="1:11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1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1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1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1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</row>
    <row r="69" spans="1:11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1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1" ht="21.75" thickBot="1" x14ac:dyDescent="0.3">
      <c r="A71" s="143" t="s">
        <v>44</v>
      </c>
      <c r="B71" s="142"/>
      <c r="C71" s="142"/>
      <c r="D71" s="152">
        <f t="shared" ref="D71:K71" si="4">SUM(D63:D70)</f>
        <v>0</v>
      </c>
      <c r="E71" s="152">
        <f t="shared" si="4"/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1" ht="21.75" thickBot="1" x14ac:dyDescent="0.4">
      <c r="A72" s="143" t="s">
        <v>45</v>
      </c>
      <c r="B72" s="142"/>
      <c r="C72" s="142"/>
      <c r="D72" s="226">
        <f t="shared" ref="D72:K72" si="5">D71+D62+D21+D8</f>
        <v>6186.95</v>
      </c>
      <c r="E72" s="226">
        <f t="shared" si="5"/>
        <v>20332.21</v>
      </c>
      <c r="F72" s="226">
        <f t="shared" si="5"/>
        <v>0</v>
      </c>
      <c r="G72" s="226">
        <f t="shared" si="5"/>
        <v>1760783.33</v>
      </c>
      <c r="H72" s="226">
        <f t="shared" si="5"/>
        <v>0</v>
      </c>
      <c r="I72" s="226">
        <f t="shared" si="5"/>
        <v>10811</v>
      </c>
      <c r="J72" s="153">
        <f t="shared" si="5"/>
        <v>0</v>
      </c>
      <c r="K72" s="153">
        <f t="shared" si="5"/>
        <v>0</v>
      </c>
    </row>
    <row r="73" spans="1:11" x14ac:dyDescent="0.25">
      <c r="H73" s="10"/>
      <c r="I73" s="10"/>
      <c r="J73" s="10"/>
    </row>
    <row r="74" spans="1:11" x14ac:dyDescent="0.25">
      <c r="F74" s="6"/>
    </row>
  </sheetData>
  <autoFilter ref="A2:K72" xr:uid="{DD7F3476-94B3-4EB2-924E-A95904F321CF}"/>
  <mergeCells count="2">
    <mergeCell ref="D1:G1"/>
    <mergeCell ref="H1:K1"/>
  </mergeCells>
  <conditionalFormatting sqref="A14">
    <cfRule type="duplicateValues" dxfId="227" priority="3"/>
    <cfRule type="duplicateValues" dxfId="226" priority="4"/>
  </conditionalFormatting>
  <conditionalFormatting sqref="A55">
    <cfRule type="duplicateValues" dxfId="225" priority="7"/>
    <cfRule type="duplicateValues" dxfId="224" priority="8"/>
  </conditionalFormatting>
  <conditionalFormatting sqref="A56:A58 A7 A22:A53 A60">
    <cfRule type="duplicateValues" dxfId="223" priority="264"/>
    <cfRule type="duplicateValues" dxfId="222" priority="265"/>
  </conditionalFormatting>
  <conditionalFormatting sqref="A59">
    <cfRule type="duplicateValues" dxfId="221" priority="1"/>
    <cfRule type="duplicateValues" dxfId="220" priority="2"/>
  </conditionalFormatting>
  <conditionalFormatting sqref="A63:A70">
    <cfRule type="duplicateValues" dxfId="219" priority="11"/>
    <cfRule type="duplicateValues" dxfId="218" priority="12"/>
  </conditionalFormatting>
  <conditionalFormatting sqref="A71:A72 A1:A6 A8:A13 A15:A21 A54 A62">
    <cfRule type="duplicateValues" dxfId="217" priority="9"/>
    <cfRule type="duplicateValues" dxfId="216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8A06-4D4B-4B30-A1A2-FA16B619E891}">
  <sheetPr>
    <tabColor theme="0"/>
  </sheetPr>
  <dimension ref="A1:M78"/>
  <sheetViews>
    <sheetView rightToLeft="1" zoomScaleNormal="100" workbookViewId="0">
      <pane ySplit="3" topLeftCell="A38" activePane="bottomLeft" state="frozen"/>
      <selection pane="bottomLeft" activeCell="D73" sqref="D73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8" width="16.85546875" style="3" bestFit="1" customWidth="1"/>
    <col min="9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712184.49</v>
      </c>
      <c r="E3" s="14">
        <v>31033.57</v>
      </c>
      <c r="F3" s="14">
        <v>453336.72</v>
      </c>
      <c r="G3" s="14">
        <v>4955502.4800000004</v>
      </c>
      <c r="H3" s="110">
        <f>VLOOKUP(A3,[3]מגדל!$A:$K,4,0)</f>
        <v>4548117.0599999996</v>
      </c>
      <c r="I3" s="110">
        <f>VLOOKUP(A3,[3]מגדל!$1:$1048576,5,0)</f>
        <v>208241.6</v>
      </c>
      <c r="J3" s="110">
        <f>VLOOKUP(A3,[3]מגדל!$1:$1048576,6,0)</f>
        <v>5897539</v>
      </c>
      <c r="K3" s="110">
        <f>VLOOKUP(A3,[3]מגדל!$1:$1048576,7,0)</f>
        <v>32752822.359999999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>
        <v>17268.48</v>
      </c>
      <c r="E4" s="14"/>
      <c r="F4" s="14">
        <v>265925.52</v>
      </c>
      <c r="G4" s="14">
        <v>63306.21</v>
      </c>
      <c r="H4" s="110">
        <f>VLOOKUP(A4,[3]מגדל!$A:$K,4,0)</f>
        <v>1804863.09</v>
      </c>
      <c r="I4" s="110">
        <f>VLOOKUP(A4,[3]מגדל!$1:$1048576,5,0)</f>
        <v>1499.94</v>
      </c>
      <c r="J4" s="110">
        <f>VLOOKUP(A4,[3]מגדל!$1:$1048576,6,0)</f>
        <v>10264216</v>
      </c>
      <c r="K4" s="110">
        <f>VLOOKUP(A4,[3]מגדל!$1:$1048576,7,0)</f>
        <v>10795632.9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>
        <v>2534.6999999999998</v>
      </c>
      <c r="F5" s="14"/>
      <c r="G5" s="14"/>
      <c r="H5" s="110">
        <f>VLOOKUP(A5,[3]מגדל!$A:$K,4,0)</f>
        <v>0</v>
      </c>
      <c r="I5" s="110">
        <f>VLOOKUP(A5,[3]מגדל!$1:$1048576,5,0)</f>
        <v>72261.679999999993</v>
      </c>
      <c r="J5" s="110">
        <f>VLOOKUP(A5,[3]מגדל!$1:$1048576,6,0)</f>
        <v>0</v>
      </c>
      <c r="K5" s="110">
        <f>VLOOKUP(A5,[3]מגדל!$1:$1048576,7,0)</f>
        <v>0</v>
      </c>
    </row>
    <row r="6" spans="1:11" ht="15.75" x14ac:dyDescent="0.25">
      <c r="A6" s="29" t="s">
        <v>113</v>
      </c>
      <c r="B6" s="27" t="s">
        <v>116</v>
      </c>
      <c r="C6" s="29" t="s">
        <v>58</v>
      </c>
      <c r="D6" s="15">
        <v>900.75</v>
      </c>
      <c r="E6" s="15">
        <v>559.24</v>
      </c>
      <c r="F6" s="15"/>
      <c r="G6" s="15"/>
      <c r="H6" s="110">
        <f>VLOOKUP(A6,[3]מגדל!$A:$K,4,0)</f>
        <v>29842.95</v>
      </c>
      <c r="I6" s="110">
        <f>VLOOKUP(A6,[3]מגדל!$1:$1048576,5,0)</f>
        <v>25460.05</v>
      </c>
      <c r="J6" s="110">
        <f>VLOOKUP(A6,[3]מגדל!$1:$1048576,6,0)</f>
        <v>0</v>
      </c>
      <c r="K6" s="110">
        <f>VLOOKUP(A6,[3]מגדל!$1:$1048576,7,0)</f>
        <v>0</v>
      </c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VLOOKUP(A7,[3]מגדל!$A:$K,4,0)</f>
        <v>41343.480000000003</v>
      </c>
      <c r="I7" s="110">
        <f>VLOOKUP(A7,[3]מגדל!$1:$1048576,5,0)</f>
        <v>0</v>
      </c>
      <c r="J7" s="110">
        <f>VLOOKUP(A7,[3]מגדל!$1:$1048576,6,0)</f>
        <v>42338.01</v>
      </c>
      <c r="K7" s="110">
        <f>VLOOKUP(A7,[3]מגדל!$1:$1048576,7,0)</f>
        <v>131949.32</v>
      </c>
    </row>
    <row r="8" spans="1:11" ht="21.75" thickBot="1" x14ac:dyDescent="0.4">
      <c r="A8" s="143" t="s">
        <v>3</v>
      </c>
      <c r="B8" s="142"/>
      <c r="C8" s="142"/>
      <c r="D8" s="220">
        <f>SUM(D3:D7)</f>
        <v>730353.72</v>
      </c>
      <c r="E8" s="220">
        <f t="shared" ref="E8:K8" si="0">SUM(E3:E7)</f>
        <v>34127.509999999995</v>
      </c>
      <c r="F8" s="220">
        <f t="shared" si="0"/>
        <v>719262.24</v>
      </c>
      <c r="G8" s="220">
        <f t="shared" si="0"/>
        <v>5018808.6900000004</v>
      </c>
      <c r="H8" s="220">
        <f t="shared" si="0"/>
        <v>6424166.5800000001</v>
      </c>
      <c r="I8" s="220">
        <f t="shared" si="0"/>
        <v>307463.26999999996</v>
      </c>
      <c r="J8" s="220">
        <f t="shared" si="0"/>
        <v>16204093.01</v>
      </c>
      <c r="K8" s="220">
        <f t="shared" si="0"/>
        <v>43680404.579999998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>
        <v>128.56</v>
      </c>
      <c r="E9" s="18"/>
      <c r="F9" s="18"/>
      <c r="G9" s="18"/>
      <c r="H9" s="110">
        <f>VLOOKUP(A9,[3]מגדל!$A:$K,4,0)</f>
        <v>0</v>
      </c>
      <c r="I9" s="110">
        <f>VLOOKUP(A9,[3]מגדל!$1:$1048576,5,0)</f>
        <v>83.03</v>
      </c>
      <c r="J9" s="110">
        <f>VLOOKUP(A9,[3]מגדל!$1:$1048576,6,0)</f>
        <v>0</v>
      </c>
      <c r="K9" s="110">
        <f>VLOOKUP(A9,[3]מגדל!$1:$1048576,7,0)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>
        <v>8220.42</v>
      </c>
      <c r="F10" s="14"/>
      <c r="G10" s="14"/>
      <c r="H10" s="110">
        <f>VLOOKUP(A10,[3]מגדל!$A:$K,4,0)</f>
        <v>156.82</v>
      </c>
      <c r="I10" s="110">
        <f>VLOOKUP(A10,[3]מגדל!$1:$1048576,5,0)</f>
        <v>10198.719999999999</v>
      </c>
      <c r="J10" s="110">
        <f>VLOOKUP(A10,[3]מגדל!$1:$1048576,6,0)</f>
        <v>142.91999999999999</v>
      </c>
      <c r="K10" s="110">
        <f>VLOOKUP(A10,[3]מגדל!$1:$1048576,7,0)</f>
        <v>29386.959999999999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>
        <v>9178.7900000000009</v>
      </c>
      <c r="E11" s="14"/>
      <c r="F11" s="14"/>
      <c r="G11" s="14"/>
      <c r="H11" s="110">
        <f>VLOOKUP(A11,[3]מגדל!$A:$K,4,0)</f>
        <v>140429.65</v>
      </c>
      <c r="I11" s="110">
        <f>VLOOKUP(A11,[3]מגדל!$1:$1048576,5,0)</f>
        <v>9119.27</v>
      </c>
      <c r="J11" s="110">
        <f>VLOOKUP(A11,[3]מגדל!$1:$1048576,6,0)</f>
        <v>106225</v>
      </c>
      <c r="K11" s="110">
        <f>VLOOKUP(A11,[3]מגדל!$1:$1048576,7,0)</f>
        <v>322475.23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>
        <v>55.61</v>
      </c>
      <c r="F12" s="14"/>
      <c r="G12" s="14"/>
      <c r="H12" s="110">
        <f>VLOOKUP(A12,[3]מגדל!$A:$K,4,0)</f>
        <v>140.38</v>
      </c>
      <c r="I12" s="110">
        <f>VLOOKUP(A12,[3]מגדל!$1:$1048576,5,0)</f>
        <v>879.33</v>
      </c>
      <c r="J12" s="110">
        <f>VLOOKUP(A12,[3]מגדל!$1:$1048576,6,0)</f>
        <v>0</v>
      </c>
      <c r="K12" s="110">
        <f>VLOOKUP(A12,[3]מגדל!$1:$1048576,7,0)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>
        <f>VLOOKUP(A13,[3]מגדל!$A:$K,4,0)</f>
        <v>0</v>
      </c>
      <c r="I13" s="110">
        <f>VLOOKUP(A13,[3]מגדל!$1:$1048576,5,0)</f>
        <v>5972.62</v>
      </c>
      <c r="J13" s="110">
        <f>VLOOKUP(A13,[3]מגדל!$1:$1048576,6,0)</f>
        <v>888809.12</v>
      </c>
      <c r="K13" s="110">
        <f>VLOOKUP(A13,[3]מגדל!$1:$1048576,7,0)</f>
        <v>111191.62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>
        <v>244.11</v>
      </c>
      <c r="F14" s="14"/>
      <c r="G14" s="14">
        <v>296066.19</v>
      </c>
      <c r="H14" s="110">
        <f>VLOOKUP(A14,[3]מגדל!$A:$K,4,0)</f>
        <v>676730.93</v>
      </c>
      <c r="I14" s="110">
        <f>VLOOKUP(A14,[3]מגדל!$1:$1048576,5,0)</f>
        <v>7613.13</v>
      </c>
      <c r="J14" s="110">
        <f>VLOOKUP(A14,[3]מגדל!$1:$1048576,6,0)</f>
        <v>238904.88</v>
      </c>
      <c r="K14" s="110">
        <f>VLOOKUP(A14,[3]מגדל!$1:$1048576,7,0)</f>
        <v>5635297.5300000003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>
        <v>214091.17</v>
      </c>
      <c r="G15" s="14"/>
      <c r="H15" s="110">
        <f>VLOOKUP(A15,[3]מגדל!$A:$K,4,0)</f>
        <v>137.84</v>
      </c>
      <c r="I15" s="110">
        <f>VLOOKUP(A15,[3]מגדל!$1:$1048576,5,0)</f>
        <v>0</v>
      </c>
      <c r="J15" s="110">
        <f>VLOOKUP(A15,[3]מגדל!$1:$1048576,6,0)</f>
        <v>0</v>
      </c>
      <c r="K15" s="110">
        <f>VLOOKUP(A15,[3]מגדל!$1:$1048576,7,0)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>
        <v>7226.6</v>
      </c>
      <c r="F16" s="14">
        <v>5983.56</v>
      </c>
      <c r="G16" s="14"/>
      <c r="H16" s="110">
        <f>VLOOKUP(A16,[3]מגדל!$A:$K,4,0)</f>
        <v>14247.98</v>
      </c>
      <c r="I16" s="110">
        <f>VLOOKUP(A16,[3]מגדל!$1:$1048576,5,0)</f>
        <v>38306.410000000003</v>
      </c>
      <c r="J16" s="110">
        <f>VLOOKUP(A16,[3]מגדל!$1:$1048576,6,0)</f>
        <v>5000</v>
      </c>
      <c r="K16" s="110">
        <f>VLOOKUP(A16,[3]מגדל!$1:$1048576,7,0)</f>
        <v>0</v>
      </c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>
        <v>76851.789999999994</v>
      </c>
      <c r="E17" s="14">
        <v>8772.52</v>
      </c>
      <c r="F17" s="14">
        <v>221192.47</v>
      </c>
      <c r="G17" s="14"/>
      <c r="H17" s="110">
        <f>VLOOKUP(A17,[3]מגדל!$A:$K,4,0)</f>
        <v>602705.56999999995</v>
      </c>
      <c r="I17" s="110">
        <f>VLOOKUP(A17,[3]מגדל!$1:$1048576,5,0)</f>
        <v>14091.71</v>
      </c>
      <c r="J17" s="110">
        <f>VLOOKUP(A17,[3]מגדל!$1:$1048576,6,0)</f>
        <v>479309.99</v>
      </c>
      <c r="K17" s="110">
        <f>VLOOKUP(A17,[3]מגדל!$1:$1048576,7,0)</f>
        <v>2763744.4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>
        <v>1806.46</v>
      </c>
      <c r="F18" s="14">
        <v>476933.77</v>
      </c>
      <c r="G18" s="14"/>
      <c r="H18" s="110">
        <f>VLOOKUP(A18,[3]מגדל!$A:$K,4,0)</f>
        <v>193328.87</v>
      </c>
      <c r="I18" s="110">
        <f>VLOOKUP(A18,[3]מגדל!$1:$1048576,5,0)</f>
        <v>23978.375</v>
      </c>
      <c r="J18" s="110">
        <f>VLOOKUP(A18,[3]מגדל!$1:$1048576,6,0)</f>
        <v>6922638</v>
      </c>
      <c r="K18" s="110">
        <f>VLOOKUP(A18,[3]מגדל!$1:$1048576,7,0)</f>
        <v>1368729.26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>
        <v>460.93</v>
      </c>
      <c r="E19" s="14"/>
      <c r="F19" s="14"/>
      <c r="G19" s="14"/>
      <c r="H19" s="110">
        <f>VLOOKUP(A19,[3]מגדל!$A:$K,4,0)</f>
        <v>597.88</v>
      </c>
      <c r="I19" s="110">
        <f>VLOOKUP(A19,[3]מגדל!$1:$1048576,5,0)</f>
        <v>517.47</v>
      </c>
      <c r="J19" s="110">
        <f>VLOOKUP(A19,[3]מגדל!$1:$1048576,6,0)</f>
        <v>19012</v>
      </c>
      <c r="K19" s="110">
        <f>VLOOKUP(A19,[3]מגדל!$1:$1048576,7,0)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>
        <f>VLOOKUP(A20,[3]מגדל!$A:$K,4,0)</f>
        <v>0</v>
      </c>
      <c r="I20" s="110">
        <f>VLOOKUP(A20,[3]מגדל!$1:$1048576,5,0)</f>
        <v>1119.3150000000001</v>
      </c>
      <c r="J20" s="110">
        <f>VLOOKUP(A20,[3]מגדל!$1:$1048576,6,0)</f>
        <v>0</v>
      </c>
      <c r="K20" s="110">
        <f>VLOOKUP(A20,[3]מגדל!$1:$1048576,7,0)</f>
        <v>0</v>
      </c>
    </row>
    <row r="21" spans="1:11" ht="21.75" thickBot="1" x14ac:dyDescent="0.4">
      <c r="A21" s="143" t="s">
        <v>10</v>
      </c>
      <c r="B21" s="142"/>
      <c r="C21" s="142"/>
      <c r="D21" s="220">
        <f>SUM(D9:D20)</f>
        <v>86620.069999999992</v>
      </c>
      <c r="E21" s="220">
        <f t="shared" ref="E21:K21" si="1">SUM(E9:E20)</f>
        <v>26325.72</v>
      </c>
      <c r="F21" s="220">
        <f t="shared" si="1"/>
        <v>918200.97</v>
      </c>
      <c r="G21" s="220">
        <f t="shared" si="1"/>
        <v>296066.19</v>
      </c>
      <c r="H21" s="220">
        <f t="shared" si="1"/>
        <v>1628475.92</v>
      </c>
      <c r="I21" s="220">
        <f t="shared" si="1"/>
        <v>111879.38</v>
      </c>
      <c r="J21" s="220">
        <f t="shared" si="1"/>
        <v>8660041.9100000001</v>
      </c>
      <c r="K21" s="220">
        <f t="shared" si="1"/>
        <v>10230825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>
        <v>67.98</v>
      </c>
      <c r="F22" s="18"/>
      <c r="G22" s="18"/>
      <c r="H22" s="110">
        <f>VLOOKUP(A22,[3]מגדל!$A:$K,4,0)</f>
        <v>375311.64</v>
      </c>
      <c r="I22" s="110">
        <f>VLOOKUP(A22,[3]מגדל!$1:$1048576,5,0)</f>
        <v>33523.83</v>
      </c>
      <c r="J22" s="110">
        <f>VLOOKUP(A22,[3]מגדל!$1:$1048576,6,0)</f>
        <v>447353.42</v>
      </c>
      <c r="K22" s="110">
        <f>VLOOKUP(A22,[3]מגדל!$1:$1048576,7,0)</f>
        <v>2853897.09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>
        <f>VLOOKUP(A23,[3]מגדל!$A:$K,4,0)</f>
        <v>0</v>
      </c>
      <c r="I23" s="110">
        <f>VLOOKUP(A23,[3]מגדל!$1:$1048576,5,0)</f>
        <v>0</v>
      </c>
      <c r="J23" s="110">
        <f>VLOOKUP(A23,[3]מגדל!$1:$1048576,6,0)</f>
        <v>227.25</v>
      </c>
      <c r="K23" s="110">
        <f>VLOOKUP(A23,[3]מגדל!$1:$1048576,7,0)</f>
        <v>0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>
        <f>VLOOKUP(A24,[3]מגדל!$A:$K,4,0)</f>
        <v>4442.57</v>
      </c>
      <c r="I24" s="110">
        <f>VLOOKUP(A24,[3]מגדל!$1:$1048576,5,0)</f>
        <v>11765.71</v>
      </c>
      <c r="J24" s="110">
        <f>VLOOKUP(A24,[3]מגדל!$1:$1048576,6,0)</f>
        <v>0</v>
      </c>
      <c r="K24" s="110">
        <f>VLOOKUP(A24,[3]מגדל!$1:$1048576,7,0)</f>
        <v>0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VLOOKUP(A25,[3]מגדל!$A:$K,4,0)</f>
        <v>0</v>
      </c>
      <c r="I25" s="110">
        <f>VLOOKUP(A25,[3]מגדל!$1:$1048576,5,0)</f>
        <v>0</v>
      </c>
      <c r="J25" s="110">
        <f>VLOOKUP(A25,[3]מגדל!$1:$1048576,6,0)</f>
        <v>0</v>
      </c>
      <c r="K25" s="110">
        <f>VLOOKUP(A25,[3]מגדל!$1:$1048576,7,0)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>
        <v>1106.96</v>
      </c>
      <c r="E26" s="14">
        <v>114.29</v>
      </c>
      <c r="F26" s="14">
        <v>44725.36</v>
      </c>
      <c r="G26" s="14"/>
      <c r="H26" s="110">
        <f>VLOOKUP(A26,[3]מגדל!$A:$K,4,0)</f>
        <v>536312.42000000004</v>
      </c>
      <c r="I26" s="110">
        <f>VLOOKUP(A26,[3]מגדל!$1:$1048576,5,0)</f>
        <v>77505.27</v>
      </c>
      <c r="J26" s="110">
        <f>VLOOKUP(A26,[3]מגדל!$1:$1048576,6,0)</f>
        <v>2189781.25</v>
      </c>
      <c r="K26" s="110">
        <f>VLOOKUP(A26,[3]מגדל!$1:$1048576,7,0)</f>
        <v>3110947.37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>
        <f>VLOOKUP(A27,[3]מגדל!$A:$K,4,0)</f>
        <v>0</v>
      </c>
      <c r="I27" s="110">
        <f>VLOOKUP(A27,[3]מגדל!$1:$1048576,5,0)</f>
        <v>0</v>
      </c>
      <c r="J27" s="110">
        <f>VLOOKUP(A27,[3]מגדל!$1:$1048576,6,0)</f>
        <v>0</v>
      </c>
      <c r="K27" s="110">
        <f>VLOOKUP(A27,[3]מגדל!$1:$1048576,7,0)</f>
        <v>0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>
        <v>832.5</v>
      </c>
      <c r="F28" s="14">
        <v>1495.53</v>
      </c>
      <c r="G28" s="14"/>
      <c r="H28" s="110">
        <f>VLOOKUP(A28,[3]מגדל!$A:$K,4,0)</f>
        <v>100290.03</v>
      </c>
      <c r="I28" s="110">
        <f>VLOOKUP(A28,[3]מגדל!$1:$1048576,5,0)</f>
        <v>47131.56</v>
      </c>
      <c r="J28" s="110">
        <f>VLOOKUP(A28,[3]מגדל!$1:$1048576,6,0)</f>
        <v>14588.59</v>
      </c>
      <c r="K28" s="110">
        <f>VLOOKUP(A28,[3]מגדל!$1:$1048576,7,0)</f>
        <v>310614.69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>
        <v>59841.440000000002</v>
      </c>
      <c r="E29" s="14">
        <v>16341.97</v>
      </c>
      <c r="F29" s="14">
        <v>184056.73</v>
      </c>
      <c r="G29" s="14">
        <v>191596.57</v>
      </c>
      <c r="H29" s="110">
        <f>VLOOKUP(A29,[3]מגדל!$A:$K,4,0)</f>
        <v>1530161.84</v>
      </c>
      <c r="I29" s="110">
        <f>VLOOKUP(A29,[3]מגדל!$1:$1048576,5,0)</f>
        <v>91840.51</v>
      </c>
      <c r="J29" s="110">
        <f>VLOOKUP(A29,[3]מגדל!$1:$1048576,6,0)</f>
        <v>2388443.64</v>
      </c>
      <c r="K29" s="110">
        <f>VLOOKUP(A29,[3]מגדל!$1:$1048576,7,0)</f>
        <v>7705582.2699999996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>
        <v>29219.75</v>
      </c>
      <c r="E30" s="14">
        <v>3057.75</v>
      </c>
      <c r="F30" s="14"/>
      <c r="G30" s="14">
        <v>734175.45</v>
      </c>
      <c r="H30" s="110">
        <f>VLOOKUP(A30,[3]מגדל!$A:$K,4,0)</f>
        <v>344567.28</v>
      </c>
      <c r="I30" s="110">
        <f>VLOOKUP(A30,[3]מגדל!$1:$1048576,5,0)</f>
        <v>13085.82</v>
      </c>
      <c r="J30" s="110">
        <f>VLOOKUP(A30,[3]מגדל!$1:$1048576,6,0)</f>
        <v>23381.5</v>
      </c>
      <c r="K30" s="110">
        <f>VLOOKUP(A30,[3]מגדל!$1:$1048576,7,0)</f>
        <v>1308566.2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>
        <v>4487.67</v>
      </c>
      <c r="E31" s="14">
        <v>9.56</v>
      </c>
      <c r="F31" s="14"/>
      <c r="G31" s="14"/>
      <c r="H31" s="110">
        <f>VLOOKUP(A31,[3]מגדל!$A:$K,4,0)</f>
        <v>0</v>
      </c>
      <c r="I31" s="110">
        <f>VLOOKUP(A31,[3]מגדל!$1:$1048576,5,0)</f>
        <v>8.1</v>
      </c>
      <c r="J31" s="110">
        <f>VLOOKUP(A31,[3]מגדל!$1:$1048576,6,0)</f>
        <v>14500.7</v>
      </c>
      <c r="K31" s="110">
        <f>VLOOKUP(A31,[3]מגדל!$1:$1048576,7,0)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VLOOKUP(A32,[3]מגדל!$A:$K,4,0)</f>
        <v>1040.8900000000001</v>
      </c>
      <c r="I32" s="110">
        <f>VLOOKUP(A32,[3]מגדל!$1:$1048576,5,0)</f>
        <v>3674.18</v>
      </c>
      <c r="J32" s="110">
        <f>VLOOKUP(A32,[3]מגדל!$1:$1048576,6,0)</f>
        <v>31086.42</v>
      </c>
      <c r="K32" s="110">
        <f>VLOOKUP(A32,[3]מגדל!$1:$1048576,7,0)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VLOOKUP(A33,[3]מגדל!$A:$K,4,0)</f>
        <v>0</v>
      </c>
      <c r="I33" s="110">
        <f>VLOOKUP(A33,[3]מגדל!$1:$1048576,5,0)</f>
        <v>876.88</v>
      </c>
      <c r="J33" s="110">
        <f>VLOOKUP(A33,[3]מגדל!$1:$1048576,6,0)</f>
        <v>0</v>
      </c>
      <c r="K33" s="110">
        <f>VLOOKUP(A33,[3]מגדל!$1:$1048576,7,0)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VLOOKUP(A34,[3]מגדל!$A:$K,4,0)</f>
        <v>0</v>
      </c>
      <c r="I34" s="110">
        <f>VLOOKUP(A34,[3]מגדל!$1:$1048576,5,0)</f>
        <v>0</v>
      </c>
      <c r="J34" s="110">
        <f>VLOOKUP(A34,[3]מגדל!$1:$1048576,6,0)</f>
        <v>0</v>
      </c>
      <c r="K34" s="110">
        <f>VLOOKUP(A34,[3]מגדל!$1:$1048576,7,0)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>
        <v>2862.47</v>
      </c>
      <c r="G35" s="14"/>
      <c r="H35" s="110">
        <f>VLOOKUP(A35,[3]מגדל!$A:$K,4,0)</f>
        <v>2931.65</v>
      </c>
      <c r="I35" s="110">
        <f>VLOOKUP(A35,[3]מגדל!$1:$1048576,5,0)</f>
        <v>738.21</v>
      </c>
      <c r="J35" s="110">
        <f>VLOOKUP(A35,[3]מגדל!$1:$1048576,6,0)</f>
        <v>39004</v>
      </c>
      <c r="K35" s="110">
        <f>VLOOKUP(A35,[3]מגדל!$1:$1048576,7,0)</f>
        <v>0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VLOOKUP(A36,[3]מגדל!$A:$K,4,0)</f>
        <v>4623.51</v>
      </c>
      <c r="I36" s="110">
        <f>VLOOKUP(A36,[3]מגדל!$1:$1048576,5,0)</f>
        <v>2433.31</v>
      </c>
      <c r="J36" s="110">
        <f>VLOOKUP(A36,[3]מגדל!$1:$1048576,6,0)</f>
        <v>0</v>
      </c>
      <c r="K36" s="110">
        <f>VLOOKUP(A36,[3]מגדל!$1:$1048576,7,0)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VLOOKUP(A37,[3]מגדל!$A:$K,4,0)</f>
        <v>3.78</v>
      </c>
      <c r="I37" s="110">
        <f>VLOOKUP(A37,[3]מגדל!$1:$1048576,5,0)</f>
        <v>1.44</v>
      </c>
      <c r="J37" s="110">
        <f>VLOOKUP(A37,[3]מגדל!$1:$1048576,6,0)</f>
        <v>0</v>
      </c>
      <c r="K37" s="110">
        <f>VLOOKUP(A37,[3]מגדל!$1:$1048576,7,0)</f>
        <v>0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VLOOKUP(A38,[3]מגדל!$A:$K,4,0)</f>
        <v>0</v>
      </c>
      <c r="I38" s="110">
        <f>VLOOKUP(A38,[3]מגדל!$1:$1048576,5,0)</f>
        <v>0</v>
      </c>
      <c r="J38" s="110">
        <f>VLOOKUP(A38,[3]מגדל!$1:$1048576,6,0)</f>
        <v>0</v>
      </c>
      <c r="K38" s="110">
        <f>VLOOKUP(A38,[3]מגדל!$1:$1048576,7,0)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>
        <v>6810.26</v>
      </c>
      <c r="E39" s="14"/>
      <c r="F39" s="14">
        <v>247379.26</v>
      </c>
      <c r="G39" s="14"/>
      <c r="H39" s="110">
        <f>VLOOKUP(A39,[3]מגדל!$A:$K,4,0)</f>
        <v>17098.46</v>
      </c>
      <c r="I39" s="110">
        <f>VLOOKUP(A39,[3]מגדל!$1:$1048576,5,0)</f>
        <v>3788.13</v>
      </c>
      <c r="J39" s="110">
        <f>VLOOKUP(A39,[3]מגדל!$1:$1048576,6,0)</f>
        <v>832.34</v>
      </c>
      <c r="K39" s="110">
        <f>VLOOKUP(A39,[3]מגדל!$1:$1048576,7,0)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>
        <f>VLOOKUP(A40,[3]מגדל!$A:$K,4,0)</f>
        <v>46947.519999999997</v>
      </c>
      <c r="I40" s="110">
        <f>VLOOKUP(A40,[3]מגדל!$1:$1048576,5,0)</f>
        <v>12917.18</v>
      </c>
      <c r="J40" s="110">
        <f>VLOOKUP(A40,[3]מגדל!$1:$1048576,6,0)</f>
        <v>17522.52</v>
      </c>
      <c r="K40" s="110">
        <f>VLOOKUP(A40,[3]מגדל!$1:$1048576,7,0)</f>
        <v>0</v>
      </c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>
        <f>VLOOKUP(A41,[3]מגדל!$A:$K,4,0)</f>
        <v>128.1</v>
      </c>
      <c r="I41" s="110">
        <f>VLOOKUP(A41,[3]מגדל!$1:$1048576,5,0)</f>
        <v>0</v>
      </c>
      <c r="J41" s="110">
        <f>VLOOKUP(A41,[3]מגדל!$1:$1048576,6,0)</f>
        <v>0</v>
      </c>
      <c r="K41" s="110">
        <f>VLOOKUP(A41,[3]מגדל!$1:$1048576,7,0)</f>
        <v>0</v>
      </c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>
        <f>VLOOKUP(A42,[3]מגדל!$A:$K,4,0)</f>
        <v>97185.23</v>
      </c>
      <c r="I42" s="110">
        <f>VLOOKUP(A42,[3]מגדל!$1:$1048576,5,0)</f>
        <v>0</v>
      </c>
      <c r="J42" s="110">
        <f>VLOOKUP(A42,[3]מגדל!$1:$1048576,6,0)</f>
        <v>0</v>
      </c>
      <c r="K42" s="110">
        <f>VLOOKUP(A42,[3]מגדל!$1:$1048576,7,0)</f>
        <v>651397.26</v>
      </c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>
        <f>VLOOKUP(A43,[3]מגדל!$A:$K,4,0)</f>
        <v>0</v>
      </c>
      <c r="I43" s="110">
        <f>VLOOKUP(A43,[3]מגדל!$1:$1048576,5,0)</f>
        <v>0</v>
      </c>
      <c r="J43" s="110">
        <f>VLOOKUP(A43,[3]מגדל!$1:$1048576,6,0)</f>
        <v>0</v>
      </c>
      <c r="K43" s="110">
        <f>VLOOKUP(A43,[3]מגדל!$1:$1048576,7,0)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>
        <f>VLOOKUP(A44,[3]מגדל!$A:$K,4,0)</f>
        <v>0</v>
      </c>
      <c r="I44" s="110">
        <f>VLOOKUP(A44,[3]מגדל!$1:$1048576,5,0)</f>
        <v>185.23</v>
      </c>
      <c r="J44" s="110">
        <f>VLOOKUP(A44,[3]מגדל!$1:$1048576,6,0)</f>
        <v>0</v>
      </c>
      <c r="K44" s="110">
        <f>VLOOKUP(A44,[3]מגדל!$1:$1048576,7,0)</f>
        <v>0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>
        <f>VLOOKUP(A45,[3]מגדל!$A:$K,4,0)</f>
        <v>0</v>
      </c>
      <c r="I45" s="110">
        <f>VLOOKUP(A45,[3]מגדל!$1:$1048576,5,0)</f>
        <v>0</v>
      </c>
      <c r="J45" s="110">
        <f>VLOOKUP(A45,[3]מגדל!$1:$1048576,6,0)</f>
        <v>0</v>
      </c>
      <c r="K45" s="110">
        <f>VLOOKUP(A45,[3]מגדל!$1:$1048576,7,0)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>
        <f>VLOOKUP(A46,[3]מגדל!$A:$K,4,0)</f>
        <v>473.39</v>
      </c>
      <c r="I46" s="110">
        <f>VLOOKUP(A46,[3]מגדל!$1:$1048576,5,0)</f>
        <v>3774.49</v>
      </c>
      <c r="J46" s="110">
        <f>VLOOKUP(A46,[3]מגדל!$1:$1048576,6,0)</f>
        <v>0</v>
      </c>
      <c r="K46" s="110">
        <f>VLOOKUP(A46,[3]מגדל!$1:$1048576,7,0)</f>
        <v>0</v>
      </c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>
        <f>VLOOKUP(A47,[3]מגדל!$A:$K,4,0)</f>
        <v>0</v>
      </c>
      <c r="I47" s="110">
        <f>VLOOKUP(A47,[3]מגדל!$1:$1048576,5,0)</f>
        <v>7347.69</v>
      </c>
      <c r="J47" s="110">
        <f>VLOOKUP(A47,[3]מגדל!$1:$1048576,6,0)</f>
        <v>17994.53</v>
      </c>
      <c r="K47" s="110">
        <f>VLOOKUP(A47,[3]מגדל!$1:$1048576,7,0)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>
        <f>VLOOKUP(A48,[3]מגדל!$A:$K,4,0)</f>
        <v>14017.31</v>
      </c>
      <c r="I48" s="110">
        <f>VLOOKUP(A48,[3]מגדל!$1:$1048576,5,0)</f>
        <v>714.32</v>
      </c>
      <c r="J48" s="110">
        <f>VLOOKUP(A48,[3]מגדל!$1:$1048576,6,0)</f>
        <v>254214.89</v>
      </c>
      <c r="K48" s="110">
        <f>VLOOKUP(A48,[3]מגדל!$1:$1048576,7,0)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>
        <v>1181.05</v>
      </c>
      <c r="F49" s="14"/>
      <c r="G49" s="14"/>
      <c r="H49" s="110">
        <f>VLOOKUP(A49,[3]מגדל!$A:$K,4,0)</f>
        <v>146737.63</v>
      </c>
      <c r="I49" s="110">
        <f>VLOOKUP(A49,[3]מגדל!$1:$1048576,5,0)</f>
        <v>2442.6</v>
      </c>
      <c r="J49" s="110">
        <f>VLOOKUP(A49,[3]מגדל!$1:$1048576,6,0)</f>
        <v>318697.62</v>
      </c>
      <c r="K49" s="110">
        <f>VLOOKUP(A49,[3]מגדל!$1:$1048576,7,0)</f>
        <v>938893.53</v>
      </c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>
        <v>6810.26</v>
      </c>
      <c r="E50" s="14">
        <v>571.91</v>
      </c>
      <c r="F50" s="14"/>
      <c r="G50" s="14"/>
      <c r="H50" s="110">
        <f>VLOOKUP(A50,[3]מגדל!$A:$K,4,0)</f>
        <v>78906.47</v>
      </c>
      <c r="I50" s="110">
        <f>VLOOKUP(A50,[3]מגדל!$1:$1048576,5,0)</f>
        <v>3676.3</v>
      </c>
      <c r="J50" s="110">
        <f>VLOOKUP(A50,[3]מגדל!$1:$1048576,6,0)</f>
        <v>20329</v>
      </c>
      <c r="K50" s="110">
        <f>VLOOKUP(A50,[3]מגדל!$1:$1048576,7,0)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>
        <v>4317.1400000000003</v>
      </c>
      <c r="E51" s="14"/>
      <c r="F51" s="14">
        <v>6482.19</v>
      </c>
      <c r="G51" s="14"/>
      <c r="H51" s="110">
        <f>VLOOKUP(A51,[3]מגדל!$A:$K,4,0)</f>
        <v>148337.67000000001</v>
      </c>
      <c r="I51" s="110">
        <f>VLOOKUP(A51,[3]מגדל!$1:$1048576,5,0)</f>
        <v>8375.2999999999993</v>
      </c>
      <c r="J51" s="110">
        <f>VLOOKUP(A51,[3]מגדל!$1:$1048576,6,0)</f>
        <v>978543</v>
      </c>
      <c r="K51" s="110">
        <f>VLOOKUP(A51,[3]מגדל!$1:$1048576,7,0)</f>
        <v>2586567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VLOOKUP(A52,[3]מגדל!$A:$K,4,0)</f>
        <v>0</v>
      </c>
      <c r="I52" s="110">
        <f>VLOOKUP(A52,[3]מגדל!$1:$1048576,5,0)</f>
        <v>1057.6400000000001</v>
      </c>
      <c r="J52" s="110">
        <f>VLOOKUP(A52,[3]מגדל!$1:$1048576,6,0)</f>
        <v>0</v>
      </c>
      <c r="K52" s="110">
        <f>VLOOKUP(A52,[3]מגדל!$1:$1048576,7,0)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>
        <f>VLOOKUP(A53,[3]מגדל!$A:$K,4,0)</f>
        <v>33310.21</v>
      </c>
      <c r="I53" s="110">
        <f>VLOOKUP(A53,[3]מגדל!$1:$1048576,5,0)</f>
        <v>0</v>
      </c>
      <c r="J53" s="110">
        <f>VLOOKUP(A53,[3]מגדל!$1:$1048576,6,0)</f>
        <v>0</v>
      </c>
      <c r="K53" s="110">
        <f>VLOOKUP(A53,[3]מגדל!$1:$1048576,7,0)</f>
        <v>45819.25</v>
      </c>
    </row>
    <row r="54" spans="1:13" ht="21.75" thickBot="1" x14ac:dyDescent="0.4">
      <c r="A54" s="144" t="s">
        <v>130</v>
      </c>
      <c r="B54" s="142"/>
      <c r="C54" s="142"/>
      <c r="D54" s="220">
        <f>SUM(D22:D53)</f>
        <v>112593.47999999998</v>
      </c>
      <c r="E54" s="220">
        <f t="shared" ref="E54:K54" si="2">SUM(E22:E53)</f>
        <v>22177.01</v>
      </c>
      <c r="F54" s="220">
        <f t="shared" si="2"/>
        <v>487001.54</v>
      </c>
      <c r="G54" s="220">
        <f t="shared" si="2"/>
        <v>925772.02</v>
      </c>
      <c r="H54" s="220">
        <f>SUM(H22:H53)</f>
        <v>3482827.6</v>
      </c>
      <c r="I54" s="220">
        <f t="shared" si="2"/>
        <v>326863.69999999995</v>
      </c>
      <c r="J54" s="220">
        <f t="shared" si="2"/>
        <v>6756500.6699999999</v>
      </c>
      <c r="K54" s="220">
        <f t="shared" si="2"/>
        <v>19512284.66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>
        <v>528851.47</v>
      </c>
      <c r="G55" s="14"/>
      <c r="H55" s="110">
        <f>VLOOKUP(A55,[3]מגדל!$A:$K,4,0)</f>
        <v>61692.66</v>
      </c>
      <c r="I55" s="110">
        <f>VLOOKUP(A55,[3]מגדל!$1:$1048576,5,0)</f>
        <v>8653.85</v>
      </c>
      <c r="J55" s="110">
        <f>VLOOKUP(A55,[3]מגדל!$1:$1048576,6,0)</f>
        <v>2552751.02</v>
      </c>
      <c r="K55" s="110">
        <f>VLOOKUP(A55,[3]מגדל!$1:$1048576,7,0)</f>
        <v>700623.18</v>
      </c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>
        <v>81210.820000000007</v>
      </c>
      <c r="E56" s="14">
        <v>2184.39</v>
      </c>
      <c r="F56" s="14">
        <v>272240.95</v>
      </c>
      <c r="G56" s="14"/>
      <c r="H56" s="110">
        <f>VLOOKUP(A56,[3]מגדל!$A:$K,4,0)</f>
        <v>725082.85</v>
      </c>
      <c r="I56" s="110">
        <f>VLOOKUP(A56,[3]מגדל!$1:$1048576,5,0)</f>
        <v>16052.36</v>
      </c>
      <c r="J56" s="110">
        <f>VLOOKUP(A56,[3]מגדל!$1:$1048576,6,0)</f>
        <v>969195.89</v>
      </c>
      <c r="K56" s="110">
        <f>VLOOKUP(A56,[3]מגדל!$1:$1048576,7,0)</f>
        <v>2463693.27</v>
      </c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>
        <f>VLOOKUP(A57,[3]מגדל!$A:$K,4,0)</f>
        <v>5230.66</v>
      </c>
      <c r="I57" s="110">
        <f>VLOOKUP(A57,[3]מגדל!$1:$1048576,5,0)</f>
        <v>4879.2</v>
      </c>
      <c r="J57" s="110">
        <f>VLOOKUP(A57,[3]מגדל!$1:$1048576,6,0)</f>
        <v>1035.28</v>
      </c>
      <c r="K57" s="110">
        <f>VLOOKUP(A57,[3]מגדל!$1:$1048576,7,0)</f>
        <v>0</v>
      </c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>
        <v>7638.05</v>
      </c>
      <c r="E58" s="14"/>
      <c r="F58" s="14"/>
      <c r="G58" s="14"/>
      <c r="H58" s="110">
        <f>VLOOKUP(A58,[3]מגדל!$A:$K,4,0)</f>
        <v>82758.14</v>
      </c>
      <c r="I58" s="110">
        <f>VLOOKUP(A58,[3]מגדל!$1:$1048576,5,0)</f>
        <v>2637.85</v>
      </c>
      <c r="J58" s="110">
        <f>VLOOKUP(A58,[3]מגדל!$1:$1048576,6,0)</f>
        <v>139502.82</v>
      </c>
      <c r="K58" s="110">
        <f>VLOOKUP(A58,[3]מגדל!$1:$1048576,7,0)</f>
        <v>0</v>
      </c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>
        <v>12951.42</v>
      </c>
      <c r="E59" s="14"/>
      <c r="F59" s="14"/>
      <c r="G59" s="14">
        <v>307379.49</v>
      </c>
      <c r="H59" s="110">
        <f>VLOOKUP(A59,[3]מגדל!$A:$K,4,0)</f>
        <v>1191760.25</v>
      </c>
      <c r="I59" s="110">
        <f>VLOOKUP(A59,[3]מגדל!$1:$1048576,5,0)</f>
        <v>5381.06</v>
      </c>
      <c r="J59" s="110">
        <f>VLOOKUP(A59,[3]מגדל!$1:$1048576,6,0)</f>
        <v>779211.36</v>
      </c>
      <c r="K59" s="110">
        <f>VLOOKUP(A59,[3]מגדל!$1:$1048576,7,0)</f>
        <v>3818671.65</v>
      </c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>
        <f>VLOOKUP(A60,[3]מגדל!$A:$K,4,0)</f>
        <v>0</v>
      </c>
      <c r="I60" s="110">
        <f>VLOOKUP(A60,[3]מגדל!$1:$1048576,5,0)</f>
        <v>0</v>
      </c>
      <c r="J60" s="110">
        <f>VLOOKUP(A60,[3]מגדל!$1:$1048576,6,0)</f>
        <v>0</v>
      </c>
      <c r="K60" s="110">
        <f>VLOOKUP(A60,[3]מגדל!$1:$1048576,7,0)</f>
        <v>0</v>
      </c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>
        <v>1758.42</v>
      </c>
      <c r="F61" s="14"/>
      <c r="G61" s="14"/>
      <c r="H61" s="110">
        <f>VLOOKUP(A61,[3]מגדל!$A:$K,4,0)</f>
        <v>0</v>
      </c>
      <c r="I61" s="110">
        <f>VLOOKUP(A61,[3]מגדל!$1:$1048576,5,0)</f>
        <v>6045.95</v>
      </c>
      <c r="J61" s="110">
        <f>VLOOKUP(A61,[3]מגדל!$1:$1048576,6,0)</f>
        <v>0</v>
      </c>
      <c r="K61" s="110">
        <f>VLOOKUP(A61,[3]מגדל!$1:$1048576,7,0)</f>
        <v>0</v>
      </c>
    </row>
    <row r="62" spans="1:13" ht="21.75" thickBot="1" x14ac:dyDescent="0.4">
      <c r="A62" s="144" t="s">
        <v>131</v>
      </c>
      <c r="B62" s="142"/>
      <c r="C62" s="142"/>
      <c r="D62" s="220">
        <f>SUM(D55:D61)</f>
        <v>101800.29000000001</v>
      </c>
      <c r="E62" s="220">
        <f t="shared" ref="E62:K62" si="3">SUM(E55:E61)</f>
        <v>3942.81</v>
      </c>
      <c r="F62" s="220">
        <f t="shared" si="3"/>
        <v>801092.41999999993</v>
      </c>
      <c r="G62" s="220">
        <f t="shared" si="3"/>
        <v>307379.49</v>
      </c>
      <c r="H62" s="220">
        <f t="shared" si="3"/>
        <v>2066524.56</v>
      </c>
      <c r="I62" s="220">
        <f t="shared" si="3"/>
        <v>43650.27</v>
      </c>
      <c r="J62" s="220">
        <f t="shared" si="3"/>
        <v>4441696.37</v>
      </c>
      <c r="K62" s="220">
        <f t="shared" si="3"/>
        <v>6982988.0999999996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>
        <v>766.85</v>
      </c>
      <c r="F63" s="18">
        <f>177276.97+34904.1</f>
        <v>212181.07</v>
      </c>
      <c r="G63" s="18">
        <v>244388.15</v>
      </c>
      <c r="H63" s="110">
        <f>VLOOKUP(A63,[3]מגדל!$A:$K,4,0)</f>
        <v>525125.12</v>
      </c>
      <c r="I63" s="110">
        <f>VLOOKUP(A63,[3]מגדל!$1:$1048576,5,0)</f>
        <v>11261.17</v>
      </c>
      <c r="J63" s="110">
        <f>VLOOKUP(A63,[3]מגדל!$1:$1048576,6,0)</f>
        <v>2045173</v>
      </c>
      <c r="K63" s="110">
        <f>VLOOKUP(A63,[3]מגדל!$1:$1048576,7,0)</f>
        <v>2929015.95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>
        <v>108622.12</v>
      </c>
      <c r="E64" s="14">
        <v>19522.64</v>
      </c>
      <c r="F64" s="14">
        <v>343029.35</v>
      </c>
      <c r="G64" s="14">
        <v>511284.99</v>
      </c>
      <c r="H64" s="110">
        <f>VLOOKUP(A64,[3]מגדל!$A:$K,4,0)</f>
        <v>1657076.1</v>
      </c>
      <c r="I64" s="110">
        <f>VLOOKUP(A64,[3]מגדל!$1:$1048576,5,0)</f>
        <v>139788.14000000001</v>
      </c>
      <c r="J64" s="110">
        <f>VLOOKUP(A64,[3]מגדל!$1:$1048576,6,0)</f>
        <v>3972476.92</v>
      </c>
      <c r="K64" s="110">
        <f>VLOOKUP(A64,[3]מגדל!$1:$1048576,7,0)</f>
        <v>12220746.82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f>VLOOKUP(A65,[3]מגדל!$A:$K,4,0)</f>
        <v>181710.16</v>
      </c>
      <c r="I65" s="110">
        <f>VLOOKUP(A65,[3]מגדל!$1:$1048576,5,0)</f>
        <v>4211.68</v>
      </c>
      <c r="J65" s="110">
        <f>VLOOKUP(A65,[3]מגדל!$1:$1048576,6,0)</f>
        <v>0</v>
      </c>
      <c r="K65" s="110">
        <f>VLOOKUP(A65,[3]מגדל!$1:$1048576,7,0)</f>
        <v>1299666.3899999999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>
        <v>33642.58</v>
      </c>
      <c r="E66" s="14"/>
      <c r="F66" s="14"/>
      <c r="G66" s="14">
        <v>398417.22</v>
      </c>
      <c r="H66" s="110">
        <f>VLOOKUP(A66,[3]מגדל!$A:$K,4,0)</f>
        <v>116219.22</v>
      </c>
      <c r="I66" s="110">
        <f>VLOOKUP(A66,[3]מגדל!$1:$1048576,5,0)</f>
        <v>0</v>
      </c>
      <c r="J66" s="110">
        <f>VLOOKUP(A66,[3]מגדל!$1:$1048576,6,0)</f>
        <v>107596.02</v>
      </c>
      <c r="K66" s="110">
        <f>VLOOKUP(A66,[3]מגדל!$1:$1048576,7,0)</f>
        <v>292379.49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>
        <f>VLOOKUP(A67,[3]מגדל!$A:$K,4,0)</f>
        <v>0</v>
      </c>
      <c r="I67" s="110">
        <f>VLOOKUP(A67,[3]מגדל!$1:$1048576,5,0)</f>
        <v>1764.75</v>
      </c>
      <c r="J67" s="110">
        <f>VLOOKUP(A67,[3]מגדל!$1:$1048576,6,0)</f>
        <v>0</v>
      </c>
      <c r="K67" s="110">
        <f>VLOOKUP(A67,[3]מגדל!$1:$1048576,7,0)</f>
        <v>0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>
        <v>8634.2800000000007</v>
      </c>
      <c r="E68" s="14">
        <v>884.37</v>
      </c>
      <c r="F68" s="14">
        <v>111015.19</v>
      </c>
      <c r="G68" s="14">
        <v>75016.179999999993</v>
      </c>
      <c r="H68" s="110">
        <f>VLOOKUP(A68,[3]מגדל!$A:$K,4,0)</f>
        <v>373813.08</v>
      </c>
      <c r="I68" s="110">
        <f>VLOOKUP(A68,[3]מגדל!$1:$1048576,5,0)</f>
        <v>39928.03</v>
      </c>
      <c r="J68" s="110">
        <f>VLOOKUP(A68,[3]מגדל!$1:$1048576,6,0)</f>
        <v>4051264.92</v>
      </c>
      <c r="K68" s="110">
        <f>VLOOKUP(A68,[3]מגדל!$1:$1048576,7,0)</f>
        <v>4037541.94</v>
      </c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>
        <v>113624.67</v>
      </c>
      <c r="E69" s="14">
        <v>5214.08</v>
      </c>
      <c r="F69" s="14">
        <v>532979.81000000006</v>
      </c>
      <c r="G69" s="14">
        <v>1748134.03</v>
      </c>
      <c r="H69" s="110">
        <f>VLOOKUP(A69,[3]מגדל!$A:$K,4,0)</f>
        <v>2031035.51</v>
      </c>
      <c r="I69" s="110">
        <f>VLOOKUP(A69,[3]מגדל!$1:$1048576,5,0)</f>
        <v>33958.58</v>
      </c>
      <c r="J69" s="110">
        <f>VLOOKUP(A69,[3]מגדל!$1:$1048576,6,0)</f>
        <v>11661940</v>
      </c>
      <c r="K69" s="110">
        <f>VLOOKUP(A69,[3]מגדל!$1:$1048576,7,0)</f>
        <v>12951576.99</v>
      </c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>
        <v>19446.54</v>
      </c>
      <c r="E70" s="15">
        <v>5744.92</v>
      </c>
      <c r="F70" s="15"/>
      <c r="G70" s="15"/>
      <c r="H70" s="110">
        <f>VLOOKUP(A70,[3]מגדל!$A:$K,4,0)</f>
        <v>37877.620000000003</v>
      </c>
      <c r="I70" s="110">
        <f>VLOOKUP(A70,[3]מגדל!$1:$1048576,5,0)</f>
        <v>4761.95</v>
      </c>
      <c r="J70" s="110">
        <f>VLOOKUP(A70,[3]מגדל!$1:$1048576,6,0)</f>
        <v>0</v>
      </c>
      <c r="K70" s="110">
        <f>VLOOKUP(A70,[3]מגדל!$1:$1048576,7,0)</f>
        <v>0</v>
      </c>
    </row>
    <row r="71" spans="1:12" ht="21.75" thickBot="1" x14ac:dyDescent="0.3">
      <c r="A71" s="143" t="s">
        <v>44</v>
      </c>
      <c r="B71" s="142"/>
      <c r="C71" s="142"/>
      <c r="D71" s="152">
        <f>SUM(D63:D70)</f>
        <v>283970.19</v>
      </c>
      <c r="E71" s="152">
        <f t="shared" ref="E71:K71" si="4">SUM(E63:E70)</f>
        <v>32132.859999999993</v>
      </c>
      <c r="F71" s="152">
        <f t="shared" si="4"/>
        <v>1199205.42</v>
      </c>
      <c r="G71" s="152">
        <f t="shared" si="4"/>
        <v>2977240.57</v>
      </c>
      <c r="H71" s="152">
        <f t="shared" si="4"/>
        <v>4922856.8100000005</v>
      </c>
      <c r="I71" s="152">
        <f t="shared" si="4"/>
        <v>235674.30000000005</v>
      </c>
      <c r="J71" s="152">
        <f t="shared" si="4"/>
        <v>21838450.859999999</v>
      </c>
      <c r="K71" s="152">
        <f t="shared" si="4"/>
        <v>33730927.579999998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1315337.75</v>
      </c>
      <c r="E72" s="152">
        <f t="shared" ref="E72:K72" si="5">E71+E62+E54+E21+E8</f>
        <v>118705.90999999999</v>
      </c>
      <c r="F72" s="152">
        <f t="shared" si="5"/>
        <v>4124762.59</v>
      </c>
      <c r="G72" s="152">
        <f t="shared" si="5"/>
        <v>9525266.9600000009</v>
      </c>
      <c r="H72" s="152">
        <f t="shared" si="5"/>
        <v>18524851.469999999</v>
      </c>
      <c r="I72" s="152">
        <f t="shared" si="5"/>
        <v>1025530.9199999999</v>
      </c>
      <c r="J72" s="152">
        <f t="shared" si="5"/>
        <v>57900782.82</v>
      </c>
      <c r="K72" s="152">
        <f t="shared" si="5"/>
        <v>114137429.92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M72" xr:uid="{548B8A06-4D4B-4B30-A1A2-FA16B619E891}"/>
  <mergeCells count="2">
    <mergeCell ref="D1:G1"/>
    <mergeCell ref="H1:K1"/>
  </mergeCells>
  <conditionalFormatting sqref="A1">
    <cfRule type="duplicateValues" dxfId="215" priority="21"/>
    <cfRule type="duplicateValues" dxfId="214" priority="22"/>
  </conditionalFormatting>
  <conditionalFormatting sqref="A14">
    <cfRule type="duplicateValues" dxfId="213" priority="3"/>
    <cfRule type="duplicateValues" dxfId="212" priority="4"/>
  </conditionalFormatting>
  <conditionalFormatting sqref="A55">
    <cfRule type="duplicateValues" dxfId="211" priority="5"/>
    <cfRule type="duplicateValues" dxfId="210" priority="6"/>
  </conditionalFormatting>
  <conditionalFormatting sqref="A56:A58 A7 A22:A53 A60">
    <cfRule type="duplicateValues" dxfId="209" priority="11"/>
    <cfRule type="duplicateValues" dxfId="208" priority="12"/>
  </conditionalFormatting>
  <conditionalFormatting sqref="A59">
    <cfRule type="duplicateValues" dxfId="207" priority="1"/>
    <cfRule type="duplicateValues" dxfId="206" priority="2"/>
  </conditionalFormatting>
  <conditionalFormatting sqref="A63:A70">
    <cfRule type="duplicateValues" dxfId="205" priority="9"/>
    <cfRule type="duplicateValues" dxfId="204" priority="10"/>
  </conditionalFormatting>
  <conditionalFormatting sqref="A71:A72 A2:A6 A8:A13 A15:A21 A54 A62">
    <cfRule type="duplicateValues" dxfId="203" priority="7"/>
    <cfRule type="duplicateValues" dxfId="202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A6CA-D251-4DF4-BDA3-15E6C5643ED5}">
  <sheetPr>
    <tabColor theme="0"/>
  </sheetPr>
  <dimension ref="A1:M80"/>
  <sheetViews>
    <sheetView rightToLeft="1" zoomScaleNormal="100" workbookViewId="0">
      <pane ySplit="3" topLeftCell="A46" activePane="bottomLeft" state="frozen"/>
      <selection pane="bottomLeft" activeCell="H78" sqref="H78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109970.40907516651</v>
      </c>
      <c r="E3" s="14">
        <v>-4106.9648396622106</v>
      </c>
      <c r="F3" s="14">
        <v>4.0115217085850779E-2</v>
      </c>
      <c r="G3" s="14"/>
      <c r="H3" s="110">
        <f>VLOOKUP(A3,[4]מנורה!$A:$I,2,0)</f>
        <v>23014.892350747839</v>
      </c>
      <c r="I3" s="110">
        <f>VLOOKUP(A3,[4]מנורה!$A:$E,3,0)</f>
        <v>-7353.9631351374337</v>
      </c>
      <c r="J3" s="110">
        <f>VLOOKUP(A3,[4]מנורה!$A:$E,4,0)</f>
        <v>43415.010143874439</v>
      </c>
      <c r="K3" s="110">
        <f>VLOOKUP(A3,[4]מנורה!$A:$E,5,0)</f>
        <v>771397.34000000008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>
        <f>VLOOKUP(A4,[4]מנורה!$A:$I,2,0)</f>
        <v>0</v>
      </c>
      <c r="I4" s="110">
        <f>VLOOKUP(A4,[4]מנורה!$A:$E,3,0)</f>
        <v>0</v>
      </c>
      <c r="J4" s="110">
        <f>VLOOKUP(A4,[4]מנורה!$A:$E,4,0)</f>
        <v>0</v>
      </c>
      <c r="K4" s="110">
        <f>VLOOKUP(A4,[4]מנורה!$A:$E,5,0)</f>
        <v>0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10"/>
      <c r="I6" s="110"/>
      <c r="J6" s="110"/>
      <c r="K6" s="110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VLOOKUP(A7,[4]מנורה!$A:$I,2,0)</f>
        <v>0</v>
      </c>
      <c r="I7" s="110">
        <f>VLOOKUP(A7,[4]מנורה!$A:$E,3,0)</f>
        <v>0</v>
      </c>
      <c r="J7" s="110">
        <f>VLOOKUP(A7,[4]מנורה!$A:$E,4,0)</f>
        <v>0</v>
      </c>
      <c r="K7" s="110">
        <f>VLOOKUP(A7,[4]מנורה!$A:$E,5,0)</f>
        <v>0</v>
      </c>
    </row>
    <row r="8" spans="1:11" ht="21.75" thickBot="1" x14ac:dyDescent="0.3">
      <c r="A8" s="143" t="s">
        <v>3</v>
      </c>
      <c r="B8" s="142"/>
      <c r="C8" s="142"/>
      <c r="D8" s="145">
        <f>SUM(D3:D6)</f>
        <v>109970.40907516651</v>
      </c>
      <c r="E8" s="145">
        <f t="shared" ref="E8:G8" si="0">SUM(E3:E6)</f>
        <v>-4106.9648396622106</v>
      </c>
      <c r="F8" s="145">
        <f t="shared" si="0"/>
        <v>4.0115217085850779E-2</v>
      </c>
      <c r="G8" s="143">
        <f t="shared" si="0"/>
        <v>0</v>
      </c>
      <c r="H8" s="230">
        <f>SUM(H3:H7)</f>
        <v>23014.892350747839</v>
      </c>
      <c r="I8" s="230">
        <f t="shared" ref="I8:K8" si="1">SUM(I3:I7)</f>
        <v>-7353.9631351374337</v>
      </c>
      <c r="J8" s="230">
        <f t="shared" si="1"/>
        <v>43415.010143874439</v>
      </c>
      <c r="K8" s="230">
        <f t="shared" si="1"/>
        <v>771397.34000000008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54">
        <v>3845.2596160619942</v>
      </c>
      <c r="E9" s="18">
        <v>0</v>
      </c>
      <c r="F9" s="18">
        <v>0</v>
      </c>
      <c r="G9" s="18"/>
      <c r="H9" s="110">
        <f>VLOOKUP(A9,[4]מנורה!$A:$I,2,0)</f>
        <v>0</v>
      </c>
      <c r="I9" s="110">
        <f>VLOOKUP(A9,[4]מנורה!$A:$E,3,0)</f>
        <v>0</v>
      </c>
      <c r="J9" s="110">
        <f>VLOOKUP(A9,[4]מנורה!$A:$E,4,0)</f>
        <v>0</v>
      </c>
      <c r="K9" s="110">
        <f>VLOOKUP(A9,[4]מנורה!$A:$E,5,0)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>
        <v>16540.361041410881</v>
      </c>
      <c r="E10" s="14">
        <v>10722.9780455248</v>
      </c>
      <c r="F10" s="14">
        <v>0</v>
      </c>
      <c r="G10" s="14"/>
      <c r="H10" s="110">
        <f>VLOOKUP(A10,[4]מנורה!$A:$I,2,0)</f>
        <v>-52919.882268814203</v>
      </c>
      <c r="I10" s="110">
        <f>VLOOKUP(A10,[4]מנורה!$A:$E,3,0)</f>
        <v>6763.1364045923547</v>
      </c>
      <c r="J10" s="110">
        <f>VLOOKUP(A10,[4]מנורה!$A:$E,4,0)</f>
        <v>0</v>
      </c>
      <c r="K10" s="110">
        <f>VLOOKUP(A10,[4]מנורה!$A:$E,5,0)</f>
        <v>-539.03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>
        <v>0</v>
      </c>
      <c r="E11" s="14">
        <v>1004.087108136668</v>
      </c>
      <c r="F11" s="14">
        <v>0</v>
      </c>
      <c r="G11" s="14"/>
      <c r="H11" s="110">
        <f>VLOOKUP(A11,[4]מנורה!$A:$I,2,0)</f>
        <v>0</v>
      </c>
      <c r="I11" s="110">
        <f>VLOOKUP(A11,[4]מנורה!$A:$E,3,0)</f>
        <v>0</v>
      </c>
      <c r="J11" s="110">
        <f>VLOOKUP(A11,[4]מנורה!$A:$E,4,0)</f>
        <v>0</v>
      </c>
      <c r="K11" s="110">
        <f>VLOOKUP(A11,[4]מנורה!$A:$E,5,0)</f>
        <v>-914042.04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>
        <f>VLOOKUP(A12,[4]מנורה!$A:$I,2,0)</f>
        <v>0</v>
      </c>
      <c r="I12" s="110">
        <f>VLOOKUP(A12,[4]מנורה!$A:$E,3,0)</f>
        <v>0</v>
      </c>
      <c r="J12" s="110">
        <f>VLOOKUP(A12,[4]מנורה!$A:$E,4,0)</f>
        <v>0</v>
      </c>
      <c r="K12" s="110">
        <f>VLOOKUP(A12,[4]מנורה!$A:$E,5,0)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>
        <v>0</v>
      </c>
      <c r="E13" s="14">
        <v>-925.40711173024715</v>
      </c>
      <c r="F13" s="14">
        <v>0</v>
      </c>
      <c r="G13" s="14"/>
      <c r="H13" s="110">
        <f>VLOOKUP(A13,[4]מנורה!$A:$I,2,0)</f>
        <v>4679.7647434965857</v>
      </c>
      <c r="I13" s="110">
        <f>VLOOKUP(A13,[4]מנורה!$A:$E,3,0)</f>
        <v>0</v>
      </c>
      <c r="J13" s="110">
        <f>VLOOKUP(A13,[4]מנורה!$A:$E,4,0)</f>
        <v>0</v>
      </c>
      <c r="K13" s="110">
        <f>VLOOKUP(A13,[4]מנורה!$A:$E,5,0)</f>
        <v>0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>
        <f>VLOOKUP(A14,[4]מנורה!$A:$I,2,0)</f>
        <v>0</v>
      </c>
      <c r="I14" s="110">
        <f>VLOOKUP(A14,[4]מנורה!$A:$E,3,0)</f>
        <v>0</v>
      </c>
      <c r="J14" s="110">
        <f>VLOOKUP(A14,[4]מנורה!$A:$E,4,0)</f>
        <v>0</v>
      </c>
      <c r="K14" s="110">
        <f>VLOOKUP(A14,[4]מנורה!$A:$E,5,0)</f>
        <v>-16765.080000000002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>
        <f>VLOOKUP(A15,[4]מנורה!$A:$I,2,0)</f>
        <v>0</v>
      </c>
      <c r="I15" s="110">
        <f>VLOOKUP(A15,[4]מנורה!$A:$E,3,0)</f>
        <v>0</v>
      </c>
      <c r="J15" s="110">
        <f>VLOOKUP(A15,[4]מנורה!$A:$E,4,0)</f>
        <v>0</v>
      </c>
      <c r="K15" s="110">
        <f>VLOOKUP(A15,[4]מנורה!$A:$E,5,0)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>
        <v>17948.350428551359</v>
      </c>
      <c r="E17" s="14">
        <v>8502.0514104736485</v>
      </c>
      <c r="F17">
        <v>0</v>
      </c>
      <c r="G17" s="14"/>
      <c r="H17" s="110">
        <f>VLOOKUP(A17,[4]מנורה!$A:$I,2,0)</f>
        <v>19143.056252717</v>
      </c>
      <c r="I17" s="110">
        <f>VLOOKUP(A17,[4]מנורה!$A:$E,3,0)</f>
        <v>-3378.0220152138768</v>
      </c>
      <c r="J17" s="110">
        <f>VLOOKUP(A17,[4]מנורה!$A:$E,4,0)</f>
        <v>0</v>
      </c>
      <c r="K17" s="110">
        <f>VLOOKUP(A17,[4]מנורה!$A:$E,5,0)</f>
        <v>354232.24999999994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>
        <v>148674.23092377151</v>
      </c>
      <c r="E18" s="14">
        <v>4118.2236896214099</v>
      </c>
      <c r="F18" s="14">
        <v>0</v>
      </c>
      <c r="G18" s="14"/>
      <c r="H18" s="110">
        <f>VLOOKUP(A18,[4]מנורה!$A:$I,2,0)</f>
        <v>114689.32378896324</v>
      </c>
      <c r="I18" s="110">
        <f>VLOOKUP(A18,[4]מנורה!$A:$E,3,0)</f>
        <v>-4477.182461268636</v>
      </c>
      <c r="J18" s="110">
        <f>VLOOKUP(A18,[4]מנורה!$A:$E,4,0)</f>
        <v>2914.7630187381792</v>
      </c>
      <c r="K18" s="110">
        <f>VLOOKUP(A18,[4]מנורה!$A:$E,5,0)</f>
        <v>-156647.75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>
        <f>VLOOKUP(A19,[4]מנורה!$A:$I,2,0)</f>
        <v>0</v>
      </c>
      <c r="I19" s="110">
        <f>VLOOKUP(A19,[4]מנורה!$A:$E,3,0)</f>
        <v>0</v>
      </c>
      <c r="J19" s="110">
        <f>VLOOKUP(A19,[4]מנורה!$A:$E,4,0)</f>
        <v>0</v>
      </c>
      <c r="K19" s="110">
        <f>VLOOKUP(A19,[4]מנורה!$A:$E,5,0)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>
        <f>VLOOKUP(A20,[4]מנורה!$A:$I,2,0)</f>
        <v>0</v>
      </c>
      <c r="I20" s="110">
        <f>VLOOKUP(A20,[4]מנורה!$A:$E,3,0)</f>
        <v>0</v>
      </c>
      <c r="J20" s="110">
        <f>VLOOKUP(A20,[4]מנורה!$A:$E,4,0)</f>
        <v>0</v>
      </c>
      <c r="K20" s="110">
        <f>VLOOKUP(A20,[4]מנורה!$A:$E,5,0)</f>
        <v>0</v>
      </c>
    </row>
    <row r="21" spans="1:11" ht="21.75" thickBot="1" x14ac:dyDescent="0.3">
      <c r="A21" s="143" t="s">
        <v>10</v>
      </c>
      <c r="B21" s="142"/>
      <c r="C21" s="142"/>
      <c r="D21" s="145">
        <f>SUM(D9:D20)</f>
        <v>187008.20200979576</v>
      </c>
      <c r="E21" s="145">
        <f t="shared" ref="E21:J21" si="2">SUM(E9:E20)</f>
        <v>23421.933142026279</v>
      </c>
      <c r="F21" s="145">
        <f t="shared" si="2"/>
        <v>0</v>
      </c>
      <c r="G21" s="145">
        <f t="shared" si="2"/>
        <v>0</v>
      </c>
      <c r="H21" s="145">
        <f t="shared" si="2"/>
        <v>85592.262516362622</v>
      </c>
      <c r="I21" s="145">
        <f t="shared" si="2"/>
        <v>-1092.0680718901581</v>
      </c>
      <c r="J21" s="145">
        <f t="shared" si="2"/>
        <v>2914.7630187381792</v>
      </c>
      <c r="K21" s="145">
        <f>SUM(K9:K20)</f>
        <v>-733761.65000000014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10">
        <f>VLOOKUP(A22,[4]מנורה!$A:$I,2,0)</f>
        <v>0</v>
      </c>
      <c r="I22" s="110">
        <f>VLOOKUP(A22,[4]מנורה!$A:$E,3,0)</f>
        <v>0</v>
      </c>
      <c r="J22" s="110">
        <f>VLOOKUP(A22,[4]מנורה!$A:$E,4,0)</f>
        <v>0</v>
      </c>
      <c r="K22" s="110">
        <f>VLOOKUP(A22,[4]מנורה!$A:$E,5,0)</f>
        <v>0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>
        <v>0</v>
      </c>
      <c r="E23" s="14">
        <v>3024.2761872980191</v>
      </c>
      <c r="F23" s="14">
        <v>0</v>
      </c>
      <c r="G23" s="14"/>
      <c r="H23" s="110">
        <f>VLOOKUP(A23,[4]מנורה!$A:$I,2,0)</f>
        <v>0</v>
      </c>
      <c r="I23" s="110">
        <f>VLOOKUP(A23,[4]מנורה!$A:$E,3,0)</f>
        <v>0</v>
      </c>
      <c r="J23" s="110">
        <f>VLOOKUP(A23,[4]מנורה!$A:$E,4,0)</f>
        <v>0</v>
      </c>
      <c r="K23" s="110">
        <f>VLOOKUP(A23,[4]מנורה!$A:$E,5,0)</f>
        <v>-125703.22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>
        <v>-12200.034119864669</v>
      </c>
      <c r="E24" s="14">
        <v>0</v>
      </c>
      <c r="F24" s="14">
        <v>0</v>
      </c>
      <c r="G24" s="14"/>
      <c r="H24" s="110">
        <f>VLOOKUP(A24,[4]מנורה!$A:$I,2,0)</f>
        <v>0</v>
      </c>
      <c r="I24" s="110">
        <f>VLOOKUP(A24,[4]מנורה!$A:$E,3,0)</f>
        <v>-1253.126478563576</v>
      </c>
      <c r="J24" s="110">
        <f>VLOOKUP(A24,[4]מנורה!$A:$E,4,0)</f>
        <v>0</v>
      </c>
      <c r="K24" s="110">
        <f>VLOOKUP(A24,[4]מנורה!$A:$E,5,0)</f>
        <v>0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VLOOKUP(A25,[4]מנורה!$A:$I,2,0)</f>
        <v>0</v>
      </c>
      <c r="I25" s="110">
        <f>VLOOKUP(A25,[4]מנורה!$A:$E,3,0)</f>
        <v>0</v>
      </c>
      <c r="J25" s="110">
        <f>VLOOKUP(A25,[4]מנורה!$A:$E,4,0)</f>
        <v>0</v>
      </c>
      <c r="K25" s="110">
        <f>VLOOKUP(A25,[4]מנורה!$A:$E,5,0)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>
        <f>VLOOKUP(A26,[4]מנורה!$A:$I,2,0)</f>
        <v>36203.448775539779</v>
      </c>
      <c r="I26" s="110">
        <f>VLOOKUP(A26,[4]מנורה!$A:$E,3,0)</f>
        <v>0</v>
      </c>
      <c r="J26" s="110">
        <f>VLOOKUP(A26,[4]מנורה!$A:$E,4,0)</f>
        <v>42787.245709379829</v>
      </c>
      <c r="K26" s="110">
        <f>VLOOKUP(A26,[4]מנורה!$A:$E,5,0)</f>
        <v>0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>
        <v>14218.47765912604</v>
      </c>
      <c r="E27" s="14">
        <v>14497.468965153859</v>
      </c>
      <c r="F27" s="14">
        <v>0</v>
      </c>
      <c r="G27" s="14"/>
      <c r="H27" s="110">
        <f>VLOOKUP(A27,[4]מנורה!$A:$I,2,0)</f>
        <v>0</v>
      </c>
      <c r="I27" s="110">
        <f>VLOOKUP(A27,[4]מנורה!$A:$E,3,0)</f>
        <v>6423.847469038792</v>
      </c>
      <c r="J27" s="110">
        <f>VLOOKUP(A27,[4]מנורה!$A:$E,4,0)</f>
        <v>0</v>
      </c>
      <c r="K27" s="110">
        <f>VLOOKUP(A27,[4]מנורה!$A:$E,5,0)</f>
        <v>0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>
        <f>VLOOKUP(A28,[4]מנורה!$A:$I,2,0)</f>
        <v>0</v>
      </c>
      <c r="I28" s="110">
        <f>VLOOKUP(A28,[4]מנורה!$A:$E,3,0)</f>
        <v>0</v>
      </c>
      <c r="J28" s="110">
        <f>VLOOKUP(A28,[4]מנורה!$A:$E,4,0)</f>
        <v>0</v>
      </c>
      <c r="K28" s="110">
        <f>VLOOKUP(A28,[4]מנורה!$A:$E,5,0)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>
        <v>2567.2134326261071</v>
      </c>
      <c r="E29" s="14">
        <v>0</v>
      </c>
      <c r="F29" s="14">
        <v>0</v>
      </c>
      <c r="G29" s="14"/>
      <c r="H29" s="110">
        <f>VLOOKUP(A29,[4]מנורה!$A:$I,2,0)</f>
        <v>0</v>
      </c>
      <c r="I29" s="110">
        <f>VLOOKUP(A29,[4]מנורה!$A:$E,3,0)</f>
        <v>0</v>
      </c>
      <c r="J29" s="110">
        <f>VLOOKUP(A29,[4]מנורה!$A:$E,4,0)</f>
        <v>0</v>
      </c>
      <c r="K29" s="110">
        <f>VLOOKUP(A29,[4]מנורה!$A:$E,5,0)</f>
        <v>-384475.39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>
        <v>0</v>
      </c>
      <c r="E30" s="14">
        <v>2040.167891642167</v>
      </c>
      <c r="F30" s="14">
        <v>0</v>
      </c>
      <c r="G30" s="14"/>
      <c r="H30" s="110">
        <f>VLOOKUP(A30,[4]מנורה!$A:$I,2,0)</f>
        <v>-4806.1356224332658</v>
      </c>
      <c r="I30" s="110">
        <f>VLOOKUP(A30,[4]מנורה!$A:$E,3,0)</f>
        <v>0</v>
      </c>
      <c r="J30" s="110">
        <f>VLOOKUP(A30,[4]מנורה!$A:$E,4,0)</f>
        <v>0</v>
      </c>
      <c r="K30" s="110">
        <f>VLOOKUP(A30,[4]מנורה!$A:$E,5,0)</f>
        <v>-145443.79999999999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8"/>
      <c r="F31" s="14"/>
      <c r="G31" s="14"/>
      <c r="H31" s="110">
        <f>VLOOKUP(A31,[4]מנורה!$A:$I,2,0)</f>
        <v>0</v>
      </c>
      <c r="I31" s="110">
        <f>VLOOKUP(A31,[4]מנורה!$A:$E,3,0)</f>
        <v>0</v>
      </c>
      <c r="J31" s="110">
        <f>VLOOKUP(A31,[4]מנורה!$A:$E,4,0)</f>
        <v>0</v>
      </c>
      <c r="K31" s="110">
        <f>VLOOKUP(A31,[4]מנורה!$A:$E,5,0)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VLOOKUP(A32,[4]מנורה!$A:$I,2,0)</f>
        <v>0</v>
      </c>
      <c r="I32" s="110">
        <f>VLOOKUP(A32,[4]מנורה!$A:$E,3,0)</f>
        <v>0</v>
      </c>
      <c r="J32" s="110">
        <f>VLOOKUP(A32,[4]מנורה!$A:$E,4,0)</f>
        <v>0</v>
      </c>
      <c r="K32" s="110">
        <f>VLOOKUP(A32,[4]מנורה!$A:$E,5,0)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VLOOKUP(A33,[4]מנורה!$A:$I,2,0)</f>
        <v>0</v>
      </c>
      <c r="I33" s="110">
        <f>VLOOKUP(A33,[4]מנורה!$A:$E,3,0)</f>
        <v>0</v>
      </c>
      <c r="J33" s="110">
        <f>VLOOKUP(A33,[4]מנורה!$A:$E,4,0)</f>
        <v>0</v>
      </c>
      <c r="K33" s="110">
        <f>VLOOKUP(A33,[4]מנורה!$A:$E,5,0)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VLOOKUP(A34,[4]מנורה!$A:$I,2,0)</f>
        <v>0</v>
      </c>
      <c r="I34" s="110">
        <f>VLOOKUP(A34,[4]מנורה!$A:$E,3,0)</f>
        <v>0</v>
      </c>
      <c r="J34" s="110">
        <f>VLOOKUP(A34,[4]מנורה!$A:$E,4,0)</f>
        <v>0</v>
      </c>
      <c r="K34" s="110">
        <f>VLOOKUP(A34,[4]מנורה!$A:$E,5,0)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>
        <v>215049.87278416491</v>
      </c>
      <c r="E35" s="14">
        <v>10267.085168226842</v>
      </c>
      <c r="F35" s="14">
        <v>749112.79453539883</v>
      </c>
      <c r="G35" s="14"/>
      <c r="H35" s="110">
        <f>VLOOKUP(A35,[4]מנורה!$A:$I,2,0)</f>
        <v>485094.57035249844</v>
      </c>
      <c r="I35" s="110">
        <f>VLOOKUP(A35,[4]מנורה!$A:$E,3,0)</f>
        <v>23372.564464637762</v>
      </c>
      <c r="J35" s="110">
        <f>VLOOKUP(A35,[4]מנורה!$A:$E,4,0)</f>
        <v>2496347.3221667712</v>
      </c>
      <c r="K35" s="110">
        <f>VLOOKUP(A35,[4]מנורה!$A:$E,5,0)</f>
        <v>4417544.9400000023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VLOOKUP(A36,[4]מנורה!$A:$I,2,0)</f>
        <v>0</v>
      </c>
      <c r="I36" s="110">
        <f>VLOOKUP(A36,[4]מנורה!$A:$E,3,0)</f>
        <v>0</v>
      </c>
      <c r="J36" s="110">
        <f>VLOOKUP(A36,[4]מנורה!$A:$E,4,0)</f>
        <v>0</v>
      </c>
      <c r="K36" s="110">
        <f>VLOOKUP(A36,[4]מנורה!$A:$E,5,0)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VLOOKUP(A37,[4]מנורה!$A:$I,2,0)</f>
        <v>0</v>
      </c>
      <c r="I37" s="110">
        <f>VLOOKUP(A37,[4]מנורה!$A:$E,3,0)</f>
        <v>0</v>
      </c>
      <c r="J37" s="110">
        <f>VLOOKUP(A37,[4]מנורה!$A:$E,4,0)</f>
        <v>0</v>
      </c>
      <c r="K37" s="110">
        <f>VLOOKUP(A37,[4]מנורה!$A:$E,5,0)</f>
        <v>0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VLOOKUP(A38,[4]מנורה!$A:$I,2,0)</f>
        <v>-17187.722184039711</v>
      </c>
      <c r="I38" s="110">
        <f>VLOOKUP(A38,[4]מנורה!$A:$E,3,0)</f>
        <v>0</v>
      </c>
      <c r="J38" s="110">
        <f>VLOOKUP(A38,[4]מנורה!$A:$E,4,0)</f>
        <v>0</v>
      </c>
      <c r="K38" s="110">
        <f>VLOOKUP(A38,[4]מנורה!$A:$E,5,0)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VLOOKUP(A39,[4]מנורה!$A:$I,2,0)</f>
        <v>0</v>
      </c>
      <c r="I39" s="110">
        <f>VLOOKUP(A39,[4]מנורה!$A:$E,3,0)</f>
        <v>0</v>
      </c>
      <c r="J39" s="110">
        <f>VLOOKUP(A39,[4]מנורה!$A:$E,4,0)</f>
        <v>0</v>
      </c>
      <c r="K39" s="110">
        <f>VLOOKUP(A39,[4]מנורה!$A:$E,5,0)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>
        <v>14249.90506996695</v>
      </c>
      <c r="E42" s="14">
        <v>8283.3460734040382</v>
      </c>
      <c r="F42" s="14">
        <v>10857.994620159579</v>
      </c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>
        <v>-79.231654047757715</v>
      </c>
      <c r="E43" s="14">
        <v>0</v>
      </c>
      <c r="F43" s="14">
        <v>0</v>
      </c>
      <c r="G43" s="14"/>
      <c r="H43" s="110">
        <f>VLOOKUP(A43,[4]מנורה!$A:$I,2,0)</f>
        <v>0</v>
      </c>
      <c r="I43" s="110">
        <f>VLOOKUP(A43,[4]מנורה!$A:$E,3,0)</f>
        <v>0</v>
      </c>
      <c r="J43" s="110">
        <f>VLOOKUP(A43,[4]מנורה!$A:$E,4,0)</f>
        <v>0</v>
      </c>
      <c r="K43" s="110">
        <f>VLOOKUP(A43,[4]מנורה!$A:$E,5,0)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>
        <f>VLOOKUP(A44,[4]מנורה!$A:$I,2,0)</f>
        <v>0</v>
      </c>
      <c r="I44" s="110">
        <f>VLOOKUP(A44,[4]מנורה!$A:$E,3,0)</f>
        <v>0</v>
      </c>
      <c r="J44" s="110">
        <f>VLOOKUP(A44,[4]מנורה!$A:$E,4,0)</f>
        <v>0</v>
      </c>
      <c r="K44" s="110">
        <f>VLOOKUP(A44,[4]מנורה!$A:$E,5,0)</f>
        <v>0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>
        <f>VLOOKUP(A45,[4]מנורה!$A:$I,2,0)</f>
        <v>0</v>
      </c>
      <c r="I45" s="110">
        <f>VLOOKUP(A45,[4]מנורה!$A:$E,3,0)</f>
        <v>0</v>
      </c>
      <c r="J45" s="110">
        <f>VLOOKUP(A45,[4]מנורה!$A:$E,4,0)</f>
        <v>0</v>
      </c>
      <c r="K45" s="110">
        <f>VLOOKUP(A45,[4]מנורה!$A:$E,5,0)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>
        <f>VLOOKUP(A47,[4]מנורה!$A:$I,2,0)</f>
        <v>0</v>
      </c>
      <c r="I47" s="110">
        <f>VLOOKUP(A47,[4]מנורה!$A:$E,3,0)</f>
        <v>0</v>
      </c>
      <c r="J47" s="110">
        <f>VLOOKUP(A47,[4]מנורה!$A:$E,4,0)</f>
        <v>0</v>
      </c>
      <c r="K47" s="110">
        <f>VLOOKUP(A47,[4]מנורה!$A:$E,5,0)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>
        <f>VLOOKUP(A48,[4]מנורה!$A:$I,2,0)</f>
        <v>0</v>
      </c>
      <c r="I48" s="110">
        <f>VLOOKUP(A48,[4]מנורה!$A:$E,3,0)</f>
        <v>0</v>
      </c>
      <c r="J48" s="110">
        <f>VLOOKUP(A48,[4]מנורה!$A:$E,4,0)</f>
        <v>0</v>
      </c>
      <c r="K48" s="110">
        <f>VLOOKUP(A48,[4]מנורה!$A:$E,5,0)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VLOOKUP(A50,[4]מנורה!$A:$I,2,0)</f>
        <v>0</v>
      </c>
      <c r="I50" s="110">
        <f>VLOOKUP(A50,[4]מנורה!$A:$E,3,0)</f>
        <v>0</v>
      </c>
      <c r="J50" s="110">
        <f>VLOOKUP(A50,[4]מנורה!$A:$E,4,0)</f>
        <v>0</v>
      </c>
      <c r="K50" s="110">
        <f>VLOOKUP(A50,[4]מנורה!$A:$E,5,0)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>
        <f>VLOOKUP(A51,[4]מנורה!$A:$I,2,0)</f>
        <v>0</v>
      </c>
      <c r="I51" s="110">
        <f>VLOOKUP(A51,[4]מנורה!$A:$E,3,0)</f>
        <v>0</v>
      </c>
      <c r="J51" s="110">
        <f>VLOOKUP(A51,[4]מנורה!$A:$E,4,0)</f>
        <v>0</v>
      </c>
      <c r="K51" s="110">
        <f>VLOOKUP(A51,[4]מנורה!$A:$E,5,0)</f>
        <v>0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VLOOKUP(A52,[4]מנורה!$A:$I,2,0)</f>
        <v>0</v>
      </c>
      <c r="I52" s="110">
        <f>VLOOKUP(A52,[4]מנורה!$A:$E,3,0)</f>
        <v>-12759.834664712351</v>
      </c>
      <c r="J52" s="110">
        <f>VLOOKUP(A52,[4]מנורה!$A:$E,4,0)</f>
        <v>0</v>
      </c>
      <c r="K52" s="110">
        <f>VLOOKUP(A52,[4]מנורה!$A:$E,5,0)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4"/>
      <c r="F53" s="15"/>
      <c r="G53" s="15"/>
      <c r="H53" s="110">
        <f>VLOOKUP(A53,[4]מנורה!$A:$I,2,0)</f>
        <v>0</v>
      </c>
      <c r="I53" s="110">
        <f>VLOOKUP(A53,[4]מנורה!$A:$E,3,0)</f>
        <v>0</v>
      </c>
      <c r="J53" s="110">
        <f>VLOOKUP(A53,[4]מנורה!$A:$E,4,0)</f>
        <v>0</v>
      </c>
      <c r="K53" s="110">
        <f>VLOOKUP(A53,[4]מנורה!$A:$E,5,0)</f>
        <v>0</v>
      </c>
    </row>
    <row r="54" spans="1:13" ht="21.75" thickBot="1" x14ac:dyDescent="0.3">
      <c r="A54" s="144" t="s">
        <v>130</v>
      </c>
      <c r="B54" s="142"/>
      <c r="C54" s="142"/>
      <c r="D54" s="144">
        <f>SUM(D22:D53)</f>
        <v>233806.20317197157</v>
      </c>
      <c r="E54" s="144">
        <f t="shared" ref="E54:J54" si="3">SUM(E22:E53)</f>
        <v>38112.344285724917</v>
      </c>
      <c r="F54" s="144">
        <f t="shared" si="3"/>
        <v>759970.78915555845</v>
      </c>
      <c r="G54" s="144">
        <f t="shared" si="3"/>
        <v>0</v>
      </c>
      <c r="H54" s="144">
        <f t="shared" si="3"/>
        <v>499304.16132156522</v>
      </c>
      <c r="I54" s="144">
        <f t="shared" si="3"/>
        <v>15783.450790400628</v>
      </c>
      <c r="J54" s="144">
        <f t="shared" si="3"/>
        <v>2539134.5678761508</v>
      </c>
      <c r="K54" s="144">
        <f>SUM(K22:K53)</f>
        <v>3761922.5300000021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>
        <f>VLOOKUP(A55,[4]מנורה!$A:$I,2,0)</f>
        <v>-8275.6618113491168</v>
      </c>
      <c r="I55" s="110">
        <f>VLOOKUP(A55,[4]מנורה!$A:$E,3,0)</f>
        <v>0</v>
      </c>
      <c r="J55" s="110">
        <f>VLOOKUP(A55,[4]מנורה!$A:$E,4,0)</f>
        <v>4538.5845080656882</v>
      </c>
      <c r="K55" s="110">
        <f>VLOOKUP(A55,[4]מנורה!$A:$E,5,0)</f>
        <v>0</v>
      </c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>
        <v>0</v>
      </c>
      <c r="E56" s="154">
        <v>359.95384291133911</v>
      </c>
      <c r="F56" s="14">
        <v>0</v>
      </c>
      <c r="G56" s="14"/>
      <c r="H56" s="110">
        <f>VLOOKUP(A56,[4]מנורה!$A:$I,2,0)</f>
        <v>846.59729690451979</v>
      </c>
      <c r="I56" s="110">
        <f>VLOOKUP(A56,[4]מנורה!$A:$E,3,0)</f>
        <v>346.60665600930122</v>
      </c>
      <c r="J56" s="110">
        <f>VLOOKUP(A56,[4]מנורה!$A:$E,4,0)</f>
        <v>0</v>
      </c>
      <c r="K56" s="110">
        <f>VLOOKUP(A56,[4]מנורה!$A:$E,5,0)</f>
        <v>-11013.78</v>
      </c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>
        <f>VLOOKUP(A57,[4]מנורה!$A:$I,2,0)</f>
        <v>0</v>
      </c>
      <c r="I57" s="110">
        <f>VLOOKUP(A57,[4]מנורה!$A:$E,3,0)</f>
        <v>0</v>
      </c>
      <c r="J57" s="110">
        <f>VLOOKUP(A57,[4]מנורה!$A:$E,4,0)</f>
        <v>0</v>
      </c>
      <c r="K57" s="110">
        <f>VLOOKUP(A57,[4]מנורה!$A:$E,5,0)</f>
        <v>0</v>
      </c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>
        <f>VLOOKUP(A58,[4]מנורה!$A:$I,2,0)</f>
        <v>0</v>
      </c>
      <c r="I58" s="110">
        <f>VLOOKUP(A58,[4]מנורה!$A:$E,3,0)</f>
        <v>0</v>
      </c>
      <c r="J58" s="110">
        <f>VLOOKUP(A58,[4]מנורה!$A:$E,4,0)</f>
        <v>0</v>
      </c>
      <c r="K58" s="110">
        <f>VLOOKUP(A58,[4]מנורה!$A:$E,5,0)</f>
        <v>0</v>
      </c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>
        <v>169699.49361559071</v>
      </c>
      <c r="E59" s="14">
        <v>10043.75741605763</v>
      </c>
      <c r="F59" s="14">
        <v>0</v>
      </c>
      <c r="G59" s="14"/>
      <c r="H59" s="110">
        <f>VLOOKUP(A59,[4]מנורה!$A:$I,2,0)</f>
        <v>30526.14461672222</v>
      </c>
      <c r="I59" s="110">
        <f>VLOOKUP(A59,[4]מנורה!$A:$E,3,0)</f>
        <v>30890.444322949468</v>
      </c>
      <c r="J59" s="110">
        <f>VLOOKUP(A59,[4]מנורה!$A:$E,4,0)</f>
        <v>1186143.198132616</v>
      </c>
      <c r="K59" s="110">
        <f>VLOOKUP(A59,[4]מנורה!$A:$E,5,0)</f>
        <v>1674481.3800000004</v>
      </c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>
        <f>VLOOKUP(A60,[4]מנורה!$A:$I,2,0)</f>
        <v>0</v>
      </c>
      <c r="I60" s="110">
        <f>VLOOKUP(A60,[4]מנורה!$A:$E,3,0)</f>
        <v>0</v>
      </c>
      <c r="J60" s="110">
        <f>VLOOKUP(A60,[4]מנורה!$A:$E,4,0)</f>
        <v>0</v>
      </c>
      <c r="K60" s="110">
        <f>VLOOKUP(A60,[4]מנורה!$A:$E,5,0)</f>
        <v>0</v>
      </c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131</v>
      </c>
      <c r="B62" s="142"/>
      <c r="C62" s="142"/>
      <c r="D62" s="144">
        <f>SUM(D55:D61)</f>
        <v>169699.49361559071</v>
      </c>
      <c r="E62" s="144">
        <f t="shared" ref="E62:K62" si="4">SUM(E55:E61)</f>
        <v>10403.71125896897</v>
      </c>
      <c r="F62" s="144">
        <f t="shared" si="4"/>
        <v>0</v>
      </c>
      <c r="G62" s="144">
        <f t="shared" si="4"/>
        <v>0</v>
      </c>
      <c r="H62" s="144">
        <f t="shared" si="4"/>
        <v>23097.080102277621</v>
      </c>
      <c r="I62" s="144">
        <f t="shared" si="4"/>
        <v>31237.05097895877</v>
      </c>
      <c r="J62" s="144">
        <f t="shared" si="4"/>
        <v>1190681.7826406816</v>
      </c>
      <c r="K62" s="144">
        <f t="shared" si="4"/>
        <v>1663467.6000000003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10">
        <f>VLOOKUP(A63,[4]מנורה!$A:$I,2,0)</f>
        <v>0</v>
      </c>
      <c r="I63" s="110">
        <f>VLOOKUP(A63,[4]מנורה!$A:$E,3,0)</f>
        <v>8413.1931187279843</v>
      </c>
      <c r="J63" s="110">
        <f>VLOOKUP(A63,[4]מנורה!$A:$E,4,0)</f>
        <v>0</v>
      </c>
      <c r="K63" s="110">
        <f>VLOOKUP(A63,[4]מנורה!$A:$E,5,0)</f>
        <v>0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>
        <v>11062.92142042213</v>
      </c>
      <c r="E64" s="14">
        <v>0</v>
      </c>
      <c r="F64" s="14">
        <v>0</v>
      </c>
      <c r="G64" s="14"/>
      <c r="H64" s="110">
        <f>VLOOKUP(A64,[4]מנורה!$A:$I,2,0)</f>
        <v>0</v>
      </c>
      <c r="I64" s="110">
        <f>VLOOKUP(A64,[4]מנורה!$A:$E,3,0)</f>
        <v>0</v>
      </c>
      <c r="J64" s="110">
        <f>VLOOKUP(A64,[4]מנורה!$A:$E,4,0)</f>
        <v>0</v>
      </c>
      <c r="K64" s="110">
        <f>VLOOKUP(A64,[4]מנורה!$A:$E,5,0)</f>
        <v>-177565.77999999997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f>VLOOKUP(A65,[4]מנורה!$A:$I,2,0)</f>
        <v>0</v>
      </c>
      <c r="I65" s="110">
        <f>VLOOKUP(A65,[4]מנורה!$A:$E,3,0)</f>
        <v>0</v>
      </c>
      <c r="J65" s="110">
        <f>VLOOKUP(A65,[4]מנורה!$A:$E,4,0)</f>
        <v>0</v>
      </c>
      <c r="K65" s="110">
        <f>VLOOKUP(A65,[4]מנורה!$A:$E,5,0)</f>
        <v>0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>
        <f>VLOOKUP(A66,[4]מנורה!$A:$I,2,0)</f>
        <v>0</v>
      </c>
      <c r="I66" s="110">
        <f>VLOOKUP(A66,[4]מנורה!$A:$E,3,0)</f>
        <v>0</v>
      </c>
      <c r="J66" s="110">
        <f>VLOOKUP(A66,[4]מנורה!$A:$E,4,0)</f>
        <v>0</v>
      </c>
      <c r="K66" s="110">
        <f>VLOOKUP(A66,[4]מנורה!$A:$E,5,0)</f>
        <v>0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>
        <f>VLOOKUP(A67,[4]מנורה!$A:$I,2,0)</f>
        <v>0</v>
      </c>
      <c r="I67" s="110">
        <f>VLOOKUP(A67,[4]מנורה!$A:$E,3,0)</f>
        <v>0</v>
      </c>
      <c r="J67" s="110">
        <f>VLOOKUP(A67,[4]מנורה!$A:$E,4,0)</f>
        <v>0</v>
      </c>
      <c r="K67" s="110">
        <f>VLOOKUP(A67,[4]מנורה!$A:$E,5,0)</f>
        <v>0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>
        <v>5752.5221301110014</v>
      </c>
      <c r="E68" s="14">
        <v>0</v>
      </c>
      <c r="F68" s="14">
        <v>0</v>
      </c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>
        <v>-1408.20131406523</v>
      </c>
      <c r="E69" s="229">
        <v>5864.0106782099047</v>
      </c>
      <c r="F69" s="14">
        <v>0</v>
      </c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228"/>
      <c r="F70" s="15"/>
      <c r="G70" s="15"/>
      <c r="H70" s="110">
        <f>VLOOKUP(A70,[4]מנורה!$A:$I,2,0)</f>
        <v>0</v>
      </c>
      <c r="I70" s="110">
        <f>VLOOKUP(A70,[4]מנורה!$A:$E,3,0)</f>
        <v>0</v>
      </c>
      <c r="J70" s="110">
        <f>VLOOKUP(A70,[4]מנורה!$A:$E,4,0)</f>
        <v>0</v>
      </c>
      <c r="K70" s="110">
        <f>VLOOKUP(A70,[4]מנורה!$A:$E,5,0)</f>
        <v>0</v>
      </c>
    </row>
    <row r="71" spans="1:12" ht="21.75" thickBot="1" x14ac:dyDescent="0.3">
      <c r="A71" s="143" t="s">
        <v>44</v>
      </c>
      <c r="B71" s="142"/>
      <c r="C71" s="142"/>
      <c r="D71" s="152">
        <f>SUM(D63:D70)</f>
        <v>15407.242236467901</v>
      </c>
      <c r="E71" s="152">
        <f t="shared" ref="E71:K71" si="5">SUM(E63:E70)</f>
        <v>5864.0106782099047</v>
      </c>
      <c r="F71" s="152">
        <f t="shared" si="5"/>
        <v>0</v>
      </c>
      <c r="G71" s="152">
        <f t="shared" si="5"/>
        <v>0</v>
      </c>
      <c r="H71" s="152">
        <f t="shared" si="5"/>
        <v>0</v>
      </c>
      <c r="I71" s="152">
        <f t="shared" si="5"/>
        <v>8413.1931187279843</v>
      </c>
      <c r="J71" s="152">
        <f t="shared" si="5"/>
        <v>0</v>
      </c>
      <c r="K71" s="152">
        <f t="shared" si="5"/>
        <v>-177565.77999999997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715891.55010899249</v>
      </c>
      <c r="E72" s="152">
        <f t="shared" ref="E72:J72" si="6">E71+E62+E54+E21+E8</f>
        <v>73695.034525267867</v>
      </c>
      <c r="F72" s="152">
        <f t="shared" si="6"/>
        <v>759970.82927077555</v>
      </c>
      <c r="G72" s="152">
        <f t="shared" si="6"/>
        <v>0</v>
      </c>
      <c r="H72" s="152">
        <f t="shared" si="6"/>
        <v>631008.39629095327</v>
      </c>
      <c r="I72" s="152">
        <f t="shared" si="6"/>
        <v>46987.663681059792</v>
      </c>
      <c r="J72" s="152">
        <f t="shared" si="6"/>
        <v>3776146.1236794447</v>
      </c>
      <c r="K72" s="152">
        <f>K71+K62+K54+K21+K8</f>
        <v>5285460.0400000019</v>
      </c>
    </row>
    <row r="73" spans="1:12" x14ac:dyDescent="0.25">
      <c r="C73"/>
      <c r="F73" s="3"/>
      <c r="H73"/>
      <c r="I73"/>
      <c r="J73" s="10"/>
    </row>
    <row r="74" spans="1:12" x14ac:dyDescent="0.25">
      <c r="C74"/>
      <c r="F74" s="3"/>
      <c r="H74"/>
      <c r="I74"/>
    </row>
    <row r="75" spans="1:12" x14ac:dyDescent="0.25">
      <c r="C75"/>
      <c r="F75" s="3"/>
      <c r="H75"/>
      <c r="I75"/>
    </row>
    <row r="76" spans="1:12" x14ac:dyDescent="0.25">
      <c r="C76"/>
      <c r="F76" s="3"/>
      <c r="H76"/>
      <c r="I76"/>
    </row>
    <row r="77" spans="1:12" x14ac:dyDescent="0.25">
      <c r="C77"/>
      <c r="F77" s="3"/>
      <c r="H77"/>
      <c r="I77"/>
    </row>
    <row r="78" spans="1:12" x14ac:dyDescent="0.25">
      <c r="C78"/>
      <c r="F78" s="3"/>
      <c r="H78"/>
      <c r="I78"/>
    </row>
    <row r="79" spans="1:12" x14ac:dyDescent="0.25">
      <c r="C79"/>
      <c r="F79" s="3"/>
      <c r="H79"/>
      <c r="I79"/>
    </row>
    <row r="80" spans="1:12" x14ac:dyDescent="0.25">
      <c r="C80"/>
      <c r="F80" s="3"/>
      <c r="H80"/>
      <c r="I80"/>
    </row>
  </sheetData>
  <autoFilter ref="A2:L72" xr:uid="{4219A6CA-D251-4DF4-BDA3-15E6C5643ED5}"/>
  <mergeCells count="2">
    <mergeCell ref="D1:G1"/>
    <mergeCell ref="H1:K1"/>
  </mergeCells>
  <conditionalFormatting sqref="A1">
    <cfRule type="duplicateValues" dxfId="201" priority="23"/>
    <cfRule type="duplicateValues" dxfId="200" priority="24"/>
  </conditionalFormatting>
  <conditionalFormatting sqref="A14">
    <cfRule type="duplicateValues" dxfId="199" priority="13"/>
    <cfRule type="duplicateValues" dxfId="198" priority="14"/>
  </conditionalFormatting>
  <conditionalFormatting sqref="A55">
    <cfRule type="duplicateValues" dxfId="197" priority="15"/>
    <cfRule type="duplicateValues" dxfId="196" priority="16"/>
  </conditionalFormatting>
  <conditionalFormatting sqref="A56:A58 A7 A22:A53 A60">
    <cfRule type="duplicateValues" dxfId="195" priority="21"/>
    <cfRule type="duplicateValues" dxfId="194" priority="22"/>
  </conditionalFormatting>
  <conditionalFormatting sqref="A59">
    <cfRule type="duplicateValues" dxfId="193" priority="11"/>
    <cfRule type="duplicateValues" dxfId="192" priority="12"/>
  </conditionalFormatting>
  <conditionalFormatting sqref="A63:A70">
    <cfRule type="duplicateValues" dxfId="191" priority="19"/>
    <cfRule type="duplicateValues" dxfId="190" priority="20"/>
  </conditionalFormatting>
  <conditionalFormatting sqref="A71:A72 A2:A6 A8:A13 A15:A21 A54 A62">
    <cfRule type="duplicateValues" dxfId="189" priority="17"/>
    <cfRule type="duplicateValues" dxfId="188" priority="18"/>
  </conditionalFormatting>
  <conditionalFormatting sqref="D8:F8">
    <cfRule type="duplicateValues" dxfId="187" priority="1"/>
    <cfRule type="duplicateValues" dxfId="186" priority="2"/>
  </conditionalFormatting>
  <conditionalFormatting sqref="D21:K21">
    <cfRule type="duplicateValues" dxfId="185" priority="7"/>
    <cfRule type="duplicateValues" dxfId="184" priority="8"/>
  </conditionalFormatting>
  <conditionalFormatting sqref="D54:K54">
    <cfRule type="duplicateValues" dxfId="183" priority="5"/>
    <cfRule type="duplicateValues" dxfId="182" priority="6"/>
  </conditionalFormatting>
  <conditionalFormatting sqref="D62:K62">
    <cfRule type="duplicateValues" dxfId="181" priority="3"/>
    <cfRule type="duplicateValues" dxfId="180" priority="4"/>
  </conditionalFormatting>
  <conditionalFormatting sqref="G8:K8">
    <cfRule type="duplicateValues" dxfId="179" priority="9"/>
    <cfRule type="duplicateValues" dxfId="178" priority="1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2088-57B0-4CA1-9D21-345272FEC0C7}">
  <sheetPr>
    <tabColor theme="0"/>
  </sheetPr>
  <dimension ref="A1:M72"/>
  <sheetViews>
    <sheetView rightToLeft="1" zoomScaleNormal="100" workbookViewId="0">
      <pane ySplit="3" topLeftCell="A38" activePane="bottomLeft" state="frozen"/>
      <selection pane="bottomLeft" activeCell="G71" sqref="G71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>
        <v>19988.8</v>
      </c>
      <c r="F3" s="14"/>
      <c r="G3" s="14"/>
      <c r="H3" s="110"/>
      <c r="I3" s="110">
        <f>VLOOKUP(A3,[4]איילון!$A:$E,3,0)</f>
        <v>23925.17</v>
      </c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>
        <f>VLOOKUP(A4,[4]איילון!$A:$E,3,0)</f>
        <v>0</v>
      </c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>
        <f>35327.8+1183.4</f>
        <v>36511.200000000004</v>
      </c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10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>
        <f>VLOOKUP(A7,[4]איילון!$A:$E,3,0)</f>
        <v>0</v>
      </c>
      <c r="J7" s="110"/>
      <c r="K7" s="110"/>
    </row>
    <row r="8" spans="1:11" ht="21.75" thickBot="1" x14ac:dyDescent="0.3">
      <c r="A8" s="143" t="s">
        <v>3</v>
      </c>
      <c r="B8" s="142"/>
      <c r="C8" s="142"/>
      <c r="D8" s="230">
        <f>SUM(D3:D7)</f>
        <v>0</v>
      </c>
      <c r="E8" s="230">
        <f t="shared" ref="E8:K8" si="0">SUM(E3:E7)</f>
        <v>56500</v>
      </c>
      <c r="F8" s="230">
        <f t="shared" si="0"/>
        <v>0</v>
      </c>
      <c r="G8" s="230">
        <f t="shared" si="0"/>
        <v>0</v>
      </c>
      <c r="H8" s="230">
        <f t="shared" si="0"/>
        <v>0</v>
      </c>
      <c r="I8" s="230">
        <f t="shared" si="0"/>
        <v>23925.17</v>
      </c>
      <c r="J8" s="230">
        <f t="shared" si="0"/>
        <v>0</v>
      </c>
      <c r="K8" s="230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10">
        <f>VLOOKUP(A9,[4]איילון!$A:$E,3,0)</f>
        <v>0</v>
      </c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>
        <f>VLOOKUP(A10,[4]איילון!$A:$E,3,0)</f>
        <v>0</v>
      </c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>
        <f>VLOOKUP(A11,[4]איילון!$A:$E,3,0)</f>
        <v>0</v>
      </c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>
        <f>VLOOKUP(A12,[4]איילון!$A:$E,3,0)</f>
        <v>0</v>
      </c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>
        <v>7195.3</v>
      </c>
      <c r="F13" s="14"/>
      <c r="G13" s="14"/>
      <c r="H13" s="110"/>
      <c r="I13" s="110">
        <f>VLOOKUP(A13,[4]איילון!$A:$E,3,0)</f>
        <v>4856.829999999999</v>
      </c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>
        <f>VLOOKUP(A14,[4]איילון!$A:$E,3,0)</f>
        <v>1281.3899999999999</v>
      </c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>
        <f>VLOOKUP(A15,[4]איילון!$A:$E,3,0)</f>
        <v>0</v>
      </c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>
        <v>22429.17</v>
      </c>
      <c r="F17" s="14"/>
      <c r="G17" s="14"/>
      <c r="H17" s="110"/>
      <c r="I17" s="110">
        <f>VLOOKUP(A17,[4]איילון!$A:$E,3,0)</f>
        <v>1769.38</v>
      </c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>
        <f>VLOOKUP(A18,[4]איילון!$A:$E,3,0)</f>
        <v>1162.51</v>
      </c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>
        <f>VLOOKUP(A19,[4]איילון!$A:$E,3,0)</f>
        <v>0</v>
      </c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10">
        <f>VLOOKUP(A20,[4]איילון!$A:$E,3,0)</f>
        <v>0</v>
      </c>
      <c r="J20" s="137"/>
      <c r="K20" s="137"/>
    </row>
    <row r="21" spans="1:11" ht="21.75" thickBot="1" x14ac:dyDescent="0.3">
      <c r="A21" s="143" t="s">
        <v>10</v>
      </c>
      <c r="B21" s="142"/>
      <c r="C21" s="142"/>
      <c r="D21" s="230">
        <f>SUM(D9:D20)</f>
        <v>0</v>
      </c>
      <c r="E21" s="230">
        <f t="shared" ref="E21:K21" si="1">SUM(E9:E20)</f>
        <v>29624.469999999998</v>
      </c>
      <c r="F21" s="230">
        <f t="shared" si="1"/>
        <v>0</v>
      </c>
      <c r="G21" s="230">
        <f t="shared" si="1"/>
        <v>0</v>
      </c>
      <c r="H21" s="230">
        <f t="shared" si="1"/>
        <v>0</v>
      </c>
      <c r="I21" s="230">
        <f t="shared" si="1"/>
        <v>9070.1099999999988</v>
      </c>
      <c r="J21" s="230">
        <f t="shared" si="1"/>
        <v>0</v>
      </c>
      <c r="K21" s="230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10">
        <f>VLOOKUP(A22,[4]איילון!$A:$E,3,0)</f>
        <v>0</v>
      </c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>
        <f>VLOOKUP(A23,[4]איילון!$A:$E,3,0)</f>
        <v>0</v>
      </c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>
        <f>VLOOKUP(A24,[4]איילון!$A:$E,3,0)</f>
        <v>0</v>
      </c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>
        <f>VLOOKUP(A25,[4]איילון!$A:$E,3,0)</f>
        <v>0</v>
      </c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>
        <v>4247.2</v>
      </c>
      <c r="F26" s="14"/>
      <c r="G26" s="14"/>
      <c r="H26" s="110"/>
      <c r="I26" s="110">
        <f>VLOOKUP(A26,[4]איילון!$A:$E,3,0)</f>
        <v>9695.5499999999975</v>
      </c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>
        <f>VLOOKUP(A27,[4]איילון!$A:$E,3,0)</f>
        <v>0</v>
      </c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>
        <f>VLOOKUP(A28,[4]איילון!$A:$E,3,0)</f>
        <v>0</v>
      </c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>
        <f>VLOOKUP(A29,[4]איילון!$A:$E,3,0)</f>
        <v>0</v>
      </c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>
        <f>VLOOKUP(A30,[4]איילון!$A:$E,3,0)</f>
        <v>0</v>
      </c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>
        <f>VLOOKUP(A31,[4]איילון!$A:$E,3,0)</f>
        <v>0</v>
      </c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>
        <f>VLOOKUP(A32,[4]איילון!$A:$E,3,0)</f>
        <v>0</v>
      </c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>
        <f>VLOOKUP(A33,[4]איילון!$A:$E,3,0)</f>
        <v>0</v>
      </c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>
        <f>VLOOKUP(A34,[4]איילון!$A:$E,3,0)</f>
        <v>0</v>
      </c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>
        <f>VLOOKUP(A35,[4]איילון!$A:$E,3,0)</f>
        <v>0</v>
      </c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>
        <f>VLOOKUP(A36,[4]איילון!$A:$E,3,0)</f>
        <v>0</v>
      </c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>
        <f>VLOOKUP(A37,[4]איילון!$A:$E,3,0)</f>
        <v>0</v>
      </c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>
        <f>VLOOKUP(A38,[4]איילון!$A:$E,3,0)</f>
        <v>0</v>
      </c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>
        <f>VLOOKUP(A39,[4]איילון!$A:$E,3,0)</f>
        <v>0</v>
      </c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>
        <f>VLOOKUP(A47,[4]איילון!$A:$E,3,0)</f>
        <v>0</v>
      </c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>
        <f>VLOOKUP(A48,[4]איילון!$A:$E,3,0)</f>
        <v>0</v>
      </c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>
        <f>VLOOKUP(A50,[4]איילון!$A:$E,3,0)</f>
        <v>0</v>
      </c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>
        <f>VLOOKUP(A51,[4]איילון!$A:$E,3,0)</f>
        <v>0</v>
      </c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>
        <f>VLOOKUP(A52,[4]איילון!$A:$E,3,0)</f>
        <v>0</v>
      </c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10">
        <f>VLOOKUP(A53,[4]איילון!$A:$E,3,0)</f>
        <v>0</v>
      </c>
      <c r="J53" s="137"/>
      <c r="K53" s="137"/>
    </row>
    <row r="54" spans="1:13" ht="21.75" thickBot="1" x14ac:dyDescent="0.3">
      <c r="A54" s="144" t="s">
        <v>130</v>
      </c>
      <c r="B54" s="142"/>
      <c r="C54" s="142"/>
      <c r="D54" s="230">
        <f>SUM(D22:D53)</f>
        <v>0</v>
      </c>
      <c r="E54" s="230">
        <f t="shared" ref="E54:K54" si="2">SUM(E22:E53)</f>
        <v>4247.2</v>
      </c>
      <c r="F54" s="230">
        <f t="shared" si="2"/>
        <v>0</v>
      </c>
      <c r="G54" s="230">
        <f t="shared" si="2"/>
        <v>0</v>
      </c>
      <c r="H54" s="230">
        <f t="shared" si="2"/>
        <v>0</v>
      </c>
      <c r="I54" s="230">
        <f t="shared" si="2"/>
        <v>9695.5499999999975</v>
      </c>
      <c r="J54" s="230">
        <f t="shared" si="2"/>
        <v>0</v>
      </c>
      <c r="K54" s="230">
        <f t="shared" si="2"/>
        <v>0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/>
      <c r="I55" s="110">
        <f>VLOOKUP(A55,[4]איילון!$A:$E,3,0)</f>
        <v>0</v>
      </c>
      <c r="J55" s="110"/>
      <c r="K55" s="110"/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/>
      <c r="G56" s="14"/>
      <c r="H56" s="110"/>
      <c r="I56" s="110">
        <f>VLOOKUP(A56,[4]איילון!$A:$E,3,0)</f>
        <v>2268.2200000000003</v>
      </c>
      <c r="J56" s="110"/>
      <c r="K56" s="110"/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/>
      <c r="I57" s="110">
        <f>VLOOKUP(A57,[4]איילון!$A:$E,3,0)</f>
        <v>0</v>
      </c>
      <c r="J57" s="110"/>
      <c r="K57" s="110"/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/>
      <c r="I58" s="110">
        <f>VLOOKUP(A58,[4]איילון!$A:$E,3,0)</f>
        <v>0</v>
      </c>
      <c r="J58" s="110"/>
      <c r="K58" s="110"/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/>
      <c r="I59" s="110">
        <f>VLOOKUP(A59,[4]איילון!$A:$E,3,0)</f>
        <v>0</v>
      </c>
      <c r="J59" s="110"/>
      <c r="K59" s="110"/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/>
      <c r="I60" s="110">
        <f>VLOOKUP(A60,[4]איילון!$A:$E,3,0)</f>
        <v>0</v>
      </c>
      <c r="J60" s="110"/>
      <c r="K60" s="110"/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>
        <v>2248.08</v>
      </c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131</v>
      </c>
      <c r="B62" s="142"/>
      <c r="C62" s="142"/>
      <c r="D62" s="230">
        <f>SUM(D55:D61)</f>
        <v>0</v>
      </c>
      <c r="E62" s="230">
        <f t="shared" ref="E62:K62" si="3">SUM(E55:E61)</f>
        <v>2248.08</v>
      </c>
      <c r="F62" s="230">
        <f t="shared" si="3"/>
        <v>0</v>
      </c>
      <c r="G62" s="230">
        <f t="shared" si="3"/>
        <v>0</v>
      </c>
      <c r="H62" s="230">
        <f t="shared" si="3"/>
        <v>0</v>
      </c>
      <c r="I62" s="230">
        <f t="shared" si="3"/>
        <v>2268.2200000000003</v>
      </c>
      <c r="J62" s="230">
        <f t="shared" si="3"/>
        <v>0</v>
      </c>
      <c r="K62" s="230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>
        <v>659</v>
      </c>
      <c r="F63" s="18"/>
      <c r="G63" s="18"/>
      <c r="H63" s="140"/>
      <c r="I63" s="110">
        <f>VLOOKUP(A63,[4]איילון!$A:$E,3,0)</f>
        <v>1566.4699999999998</v>
      </c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>
        <f>VLOOKUP(A64,[4]איילון!$A:$E,3,0)</f>
        <v>0</v>
      </c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>
        <f>VLOOKUP(A65,[4]איילון!$A:$E,3,0)</f>
        <v>0</v>
      </c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>
        <f>VLOOKUP(A66,[4]איילון!$A:$E,3,0)</f>
        <v>0</v>
      </c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>
        <f>VLOOKUP(A67,[4]איילון!$A:$E,3,0)</f>
        <v>16011.65</v>
      </c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>
        <v>479.28</v>
      </c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10">
        <f>VLOOKUP(A70,[4]איילון!$A:$E,3,0)</f>
        <v>0</v>
      </c>
      <c r="J70" s="137"/>
      <c r="K70" s="137"/>
    </row>
    <row r="71" spans="1:12" ht="21.75" thickBot="1" x14ac:dyDescent="0.3">
      <c r="A71" s="143" t="s">
        <v>44</v>
      </c>
      <c r="B71" s="142"/>
      <c r="C71" s="142"/>
      <c r="D71" s="143">
        <f t="shared" ref="D71:K71" si="4">SUM(D63:D70)</f>
        <v>0</v>
      </c>
      <c r="E71" s="143">
        <f t="shared" si="4"/>
        <v>1138.28</v>
      </c>
      <c r="F71" s="143">
        <f t="shared" si="4"/>
        <v>0</v>
      </c>
      <c r="G71" s="143">
        <f t="shared" si="4"/>
        <v>0</v>
      </c>
      <c r="H71" s="143">
        <f t="shared" si="4"/>
        <v>0</v>
      </c>
      <c r="I71" s="143">
        <f t="shared" si="4"/>
        <v>17578.12</v>
      </c>
      <c r="J71" s="143">
        <f t="shared" si="4"/>
        <v>0</v>
      </c>
      <c r="K71" s="143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230">
        <f>D71+D62+D54+D8</f>
        <v>0</v>
      </c>
      <c r="E72" s="230">
        <f t="shared" ref="E72:K72" si="5">E71+E62+E54+E8</f>
        <v>64133.56</v>
      </c>
      <c r="F72" s="230">
        <f t="shared" si="5"/>
        <v>0</v>
      </c>
      <c r="G72" s="230">
        <f t="shared" si="5"/>
        <v>0</v>
      </c>
      <c r="H72" s="230">
        <f t="shared" si="5"/>
        <v>0</v>
      </c>
      <c r="I72" s="230">
        <f t="shared" si="5"/>
        <v>53467.06</v>
      </c>
      <c r="J72" s="230">
        <f t="shared" si="5"/>
        <v>0</v>
      </c>
      <c r="K72" s="230">
        <f t="shared" si="5"/>
        <v>0</v>
      </c>
    </row>
  </sheetData>
  <autoFilter ref="A2:N72" xr:uid="{A0592088-57B0-4CA1-9D21-345272FEC0C7}"/>
  <mergeCells count="2">
    <mergeCell ref="D1:G1"/>
    <mergeCell ref="H1:K1"/>
  </mergeCells>
  <conditionalFormatting sqref="A1">
    <cfRule type="duplicateValues" dxfId="177" priority="23"/>
    <cfRule type="duplicateValues" dxfId="176" priority="24"/>
  </conditionalFormatting>
  <conditionalFormatting sqref="A14">
    <cfRule type="duplicateValues" dxfId="175" priority="13"/>
    <cfRule type="duplicateValues" dxfId="174" priority="14"/>
  </conditionalFormatting>
  <conditionalFormatting sqref="A55">
    <cfRule type="duplicateValues" dxfId="173" priority="15"/>
    <cfRule type="duplicateValues" dxfId="172" priority="16"/>
  </conditionalFormatting>
  <conditionalFormatting sqref="A56:A58 A7 A22:A53 A60">
    <cfRule type="duplicateValues" dxfId="171" priority="21"/>
    <cfRule type="duplicateValues" dxfId="170" priority="22"/>
  </conditionalFormatting>
  <conditionalFormatting sqref="A59">
    <cfRule type="duplicateValues" dxfId="169" priority="11"/>
    <cfRule type="duplicateValues" dxfId="168" priority="12"/>
  </conditionalFormatting>
  <conditionalFormatting sqref="A63:A70">
    <cfRule type="duplicateValues" dxfId="167" priority="19"/>
    <cfRule type="duplicateValues" dxfId="166" priority="20"/>
  </conditionalFormatting>
  <conditionalFormatting sqref="A71:A72 A2:A6 A8:A13 A15:A21 A54 A62">
    <cfRule type="duplicateValues" dxfId="165" priority="17"/>
    <cfRule type="duplicateValues" dxfId="164" priority="18"/>
  </conditionalFormatting>
  <conditionalFormatting sqref="D8:K8">
    <cfRule type="duplicateValues" dxfId="163" priority="9"/>
    <cfRule type="duplicateValues" dxfId="162" priority="10"/>
  </conditionalFormatting>
  <conditionalFormatting sqref="D21:K21">
    <cfRule type="duplicateValues" dxfId="161" priority="7"/>
    <cfRule type="duplicateValues" dxfId="160" priority="8"/>
  </conditionalFormatting>
  <conditionalFormatting sqref="D54:K54">
    <cfRule type="duplicateValues" dxfId="159" priority="5"/>
    <cfRule type="duplicateValues" dxfId="158" priority="6"/>
  </conditionalFormatting>
  <conditionalFormatting sqref="D62:K62">
    <cfRule type="duplicateValues" dxfId="157" priority="3"/>
    <cfRule type="duplicateValues" dxfId="156" priority="4"/>
  </conditionalFormatting>
  <conditionalFormatting sqref="D71:K72">
    <cfRule type="duplicateValues" dxfId="155" priority="1"/>
    <cfRule type="duplicateValues" dxfId="154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1D0-2B28-494D-BDF1-4E5175A67A8E}">
  <sheetPr>
    <tabColor theme="0" tint="-4.9989318521683403E-2"/>
  </sheetPr>
  <dimension ref="A1:M78"/>
  <sheetViews>
    <sheetView rightToLeft="1" zoomScaleNormal="100" workbookViewId="0">
      <pane ySplit="3" topLeftCell="A43" activePane="bottomLeft" state="frozen"/>
      <selection pane="bottomLeft" activeCell="M11" sqref="M11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>
        <f>VLOOKUP(A3,[3]הראל!$1:$1048576,8,0)</f>
        <v>100267.36701799999</v>
      </c>
      <c r="I3" s="110">
        <f>VLOOKUP(A3,[3]הראל!$1:$1048576,9,0)</f>
        <v>91435.342409999925</v>
      </c>
      <c r="J3" s="110">
        <f>VLOOKUP(A3,[3]הראל!$1:$1048576,10,0)</f>
        <v>8613.7391019999341</v>
      </c>
      <c r="K3" s="110">
        <f>VLOOKUP(A3,[3]הראל!$1:$1048576,11,0)</f>
        <v>13721.622292000335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>
        <f>VLOOKUP(A4,[3]הראל!$1:$1048576,8,0)</f>
        <v>0</v>
      </c>
      <c r="I4" s="110">
        <f>VLOOKUP(A4,[3]הראל!$1:$1048576,9,0)</f>
        <v>8075.1287400000001</v>
      </c>
      <c r="J4" s="110">
        <f>VLOOKUP(A4,[3]הראל!$1:$1048576,10,0)</f>
        <v>12001.661294000001</v>
      </c>
      <c r="K4" s="110">
        <f>VLOOKUP(A4,[3]הראל!$1:$1048576,11,0)</f>
        <v>0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>
        <f>VLOOKUP(A5,[3]הראל!$1:$1048576,8,0)</f>
        <v>0</v>
      </c>
      <c r="I5" s="110">
        <f>VLOOKUP(A5,[3]הראל!$1:$1048576,9,0)</f>
        <v>0</v>
      </c>
      <c r="J5" s="110">
        <f>VLOOKUP(A5,[3]הראל!$1:$1048576,10,0)</f>
        <v>0</v>
      </c>
      <c r="K5" s="110">
        <f>VLOOKUP(A5,[3]הראל!$1:$1048576,11,0)</f>
        <v>0</v>
      </c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10">
        <f>VLOOKUP(A6,[3]הראל!$1:$1048576,8,0)</f>
        <v>0</v>
      </c>
      <c r="I6" s="110">
        <f>VLOOKUP(A6,[3]הראל!$1:$1048576,9,0)</f>
        <v>0</v>
      </c>
      <c r="J6" s="110">
        <f>VLOOKUP(A6,[3]הראל!$1:$1048576,10,0)</f>
        <v>0</v>
      </c>
      <c r="K6" s="110">
        <f>VLOOKUP(A6,[3]הראל!$1:$1048576,11,0)</f>
        <v>0</v>
      </c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VLOOKUP(A7,[3]הראל!$1:$1048576,8,0)</f>
        <v>0</v>
      </c>
      <c r="I7" s="110">
        <f>VLOOKUP(A7,[3]הראל!$1:$1048576,9,0)</f>
        <v>0</v>
      </c>
      <c r="J7" s="110">
        <f>VLOOKUP(A7,[3]הראל!$1:$1048576,10,0)</f>
        <v>0</v>
      </c>
      <c r="K7" s="110">
        <f>VLOOKUP(A7,[3]הראל!$1:$1048576,11,0)</f>
        <v>0</v>
      </c>
    </row>
    <row r="8" spans="1:11" ht="21.75" thickBot="1" x14ac:dyDescent="0.3">
      <c r="A8" s="143" t="s">
        <v>3</v>
      </c>
      <c r="B8" s="142"/>
      <c r="C8" s="142"/>
      <c r="D8" s="152">
        <f>SUM(D3:D7)</f>
        <v>0</v>
      </c>
      <c r="E8" s="152">
        <f t="shared" ref="E8:K8" si="0">SUM(E3:E7)</f>
        <v>0</v>
      </c>
      <c r="F8" s="152">
        <f t="shared" si="0"/>
        <v>0</v>
      </c>
      <c r="G8" s="152">
        <f t="shared" si="0"/>
        <v>0</v>
      </c>
      <c r="H8" s="152">
        <f>SUM(H3:H7)</f>
        <v>100267.36701799999</v>
      </c>
      <c r="I8" s="152">
        <f t="shared" si="0"/>
        <v>99510.471149999925</v>
      </c>
      <c r="J8" s="152">
        <f t="shared" si="0"/>
        <v>20615.400395999935</v>
      </c>
      <c r="K8" s="152">
        <f t="shared" si="0"/>
        <v>13721.622292000335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223"/>
      <c r="E9" s="18"/>
      <c r="F9" s="18"/>
      <c r="G9" s="18"/>
      <c r="H9" s="110">
        <f>VLOOKUP(A9,[3]הראל!$1:$1048576,8,0)</f>
        <v>0</v>
      </c>
      <c r="I9" s="110">
        <f>VLOOKUP(A9,[3]הראל!$1:$1048576,9,0)</f>
        <v>0</v>
      </c>
      <c r="J9" s="110">
        <f>VLOOKUP(A9,[3]הראל!$1:$1048576,10,0)</f>
        <v>0</v>
      </c>
      <c r="K9" s="110">
        <f>VLOOKUP(A9,[3]הראל!$1:$1048576,11,0)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224">
        <v>0</v>
      </c>
      <c r="E10" s="219">
        <v>34960.964864999973</v>
      </c>
      <c r="F10" s="14"/>
      <c r="G10" s="14"/>
      <c r="H10" s="110">
        <f>VLOOKUP(A10,[3]הראל!$1:$1048576,8,0)</f>
        <v>75018.918967999998</v>
      </c>
      <c r="I10" s="110">
        <f>VLOOKUP(A10,[3]הראל!$1:$1048576,9,0)</f>
        <v>258219.22720999995</v>
      </c>
      <c r="J10" s="110">
        <f>VLOOKUP(A10,[3]הראל!$1:$1048576,10,0)</f>
        <v>59153.493602000002</v>
      </c>
      <c r="K10" s="110">
        <f>VLOOKUP(A10,[3]הראל!$1:$1048576,11,0)</f>
        <v>306903.37564600003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224"/>
      <c r="E11" s="14"/>
      <c r="F11" s="14"/>
      <c r="G11" s="14"/>
      <c r="H11" s="110">
        <f>VLOOKUP(A11,[3]הראל!$1:$1048576,8,0)</f>
        <v>0</v>
      </c>
      <c r="I11" s="110">
        <f>VLOOKUP(A11,[3]הראל!$1:$1048576,9,0)</f>
        <v>0</v>
      </c>
      <c r="J11" s="110">
        <f>VLOOKUP(A11,[3]הראל!$1:$1048576,10,0)</f>
        <v>0</v>
      </c>
      <c r="K11" s="110">
        <f>VLOOKUP(A11,[3]הראל!$1:$1048576,11,0)</f>
        <v>0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224"/>
      <c r="E12" s="14"/>
      <c r="F12" s="14"/>
      <c r="G12" s="14"/>
      <c r="H12" s="110">
        <f>VLOOKUP(A12,[3]הראל!$1:$1048576,8,0)</f>
        <v>0</v>
      </c>
      <c r="I12" s="110">
        <f>VLOOKUP(A12,[3]הראל!$1:$1048576,9,0)</f>
        <v>0</v>
      </c>
      <c r="J12" s="110">
        <f>VLOOKUP(A12,[3]הראל!$1:$1048576,10,0)</f>
        <v>0</v>
      </c>
      <c r="K12" s="110">
        <f>VLOOKUP(A12,[3]הראל!$1:$1048576,11,0)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224"/>
      <c r="E13" s="14"/>
      <c r="F13" s="14"/>
      <c r="G13" s="14"/>
      <c r="H13" s="110">
        <f>VLOOKUP(A13,[3]הראל!$1:$1048576,8,0)</f>
        <v>0</v>
      </c>
      <c r="I13" s="110">
        <f>VLOOKUP(A13,[3]הראל!$1:$1048576,9,0)</f>
        <v>67566.795968000006</v>
      </c>
      <c r="J13" s="110">
        <f>VLOOKUP(A13,[3]הראל!$1:$1048576,10,0)</f>
        <v>0</v>
      </c>
      <c r="K13" s="110">
        <f>VLOOKUP(A13,[3]הראל!$1:$1048576,11,0)</f>
        <v>0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224"/>
      <c r="E14" s="14"/>
      <c r="F14" s="14">
        <v>79780.811470000001</v>
      </c>
      <c r="G14" s="14"/>
      <c r="H14" s="110">
        <f>VLOOKUP(A14,[3]הראל!$1:$1048576,8,0)</f>
        <v>0</v>
      </c>
      <c r="I14" s="110">
        <f>VLOOKUP(A14,[3]הראל!$1:$1048576,9,0)</f>
        <v>2031.078532</v>
      </c>
      <c r="J14" s="110">
        <f>VLOOKUP(A14,[3]הראל!$1:$1048576,10,0)</f>
        <v>55131.741770000001</v>
      </c>
      <c r="K14" s="110">
        <f>VLOOKUP(A14,[3]הראל!$1:$1048576,11,0)</f>
        <v>0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224"/>
      <c r="E15" s="14"/>
      <c r="F15" s="14"/>
      <c r="G15" s="14"/>
      <c r="H15" s="110">
        <f>VLOOKUP(A15,[3]הראל!$1:$1048576,8,0)</f>
        <v>0</v>
      </c>
      <c r="I15" s="110">
        <f>VLOOKUP(A15,[3]הראל!$1:$1048576,9,0)</f>
        <v>0</v>
      </c>
      <c r="J15" s="110">
        <f>VLOOKUP(A15,[3]הראל!$1:$1048576,10,0)</f>
        <v>0</v>
      </c>
      <c r="K15" s="110">
        <f>VLOOKUP(A15,[3]הראל!$1:$1048576,11,0)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224"/>
      <c r="E16" s="14">
        <v>1809.72055</v>
      </c>
      <c r="F16" s="14"/>
      <c r="G16" s="14"/>
      <c r="H16" s="110">
        <f>VLOOKUP(A16,[3]הראל!$1:$1048576,8,0)</f>
        <v>0</v>
      </c>
      <c r="I16" s="110">
        <f>VLOOKUP(A16,[3]הראל!$1:$1048576,9,0)</f>
        <v>0</v>
      </c>
      <c r="J16" s="110">
        <f>VLOOKUP(A16,[3]הראל!$1:$1048576,10,0)</f>
        <v>0</v>
      </c>
      <c r="K16" s="110">
        <f>VLOOKUP(A16,[3]הראל!$1:$1048576,11,0)</f>
        <v>0</v>
      </c>
    </row>
    <row r="17" spans="1:11" ht="15.75" x14ac:dyDescent="0.25">
      <c r="A17" s="27" t="s">
        <v>42</v>
      </c>
      <c r="B17" s="27" t="s">
        <v>116</v>
      </c>
      <c r="C17" s="27" t="s">
        <v>114</v>
      </c>
      <c r="D17" s="224">
        <v>18818.297305</v>
      </c>
      <c r="E17" s="14">
        <v>0</v>
      </c>
      <c r="F17" s="14"/>
      <c r="G17" s="14"/>
      <c r="H17" s="110">
        <f>VLOOKUP(A17,[3]הראל!$1:$1048576,8,0)</f>
        <v>33794.104820000008</v>
      </c>
      <c r="I17" s="110">
        <f>VLOOKUP(A17,[3]הראל!$1:$1048576,9,0)</f>
        <v>2593.6415679999996</v>
      </c>
      <c r="J17" s="110">
        <f>VLOOKUP(A17,[3]הראל!$1:$1048576,10,0)</f>
        <v>38348.542386000001</v>
      </c>
      <c r="K17" s="110">
        <f>VLOOKUP(A17,[3]הראל!$1:$1048576,11,0)</f>
        <v>0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224"/>
      <c r="E18" s="14">
        <v>0</v>
      </c>
      <c r="F18" s="14">
        <v>997.25553000000002</v>
      </c>
      <c r="G18" s="14"/>
      <c r="H18" s="110">
        <f>VLOOKUP(A18,[3]הראל!$1:$1048576,8,0)</f>
        <v>94625.409738000002</v>
      </c>
      <c r="I18" s="110">
        <f>VLOOKUP(A18,[3]הראל!$1:$1048576,9,0)</f>
        <v>-69.136400000001004</v>
      </c>
      <c r="J18" s="110">
        <f>VLOOKUP(A18,[3]הראל!$1:$1048576,10,0)</f>
        <v>318473.29160400003</v>
      </c>
      <c r="K18" s="110">
        <f>VLOOKUP(A18,[3]הראל!$1:$1048576,11,0)</f>
        <v>25177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224"/>
      <c r="E19" s="14"/>
      <c r="F19" s="14"/>
      <c r="G19" s="14"/>
      <c r="H19" s="110">
        <f>VLOOKUP(A19,[3]הראל!$1:$1048576,8,0)</f>
        <v>18867.096471999997</v>
      </c>
      <c r="I19" s="110">
        <f>VLOOKUP(A19,[3]הראל!$1:$1048576,9,0)</f>
        <v>373.94106399999998</v>
      </c>
      <c r="J19" s="110">
        <f>VLOOKUP(A19,[3]הראל!$1:$1048576,10,0)</f>
        <v>5193.7375139999995</v>
      </c>
      <c r="K19" s="110">
        <f>VLOOKUP(A19,[3]הראל!$1:$1048576,11,0)</f>
        <v>25176.68447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225"/>
      <c r="E20" s="15"/>
      <c r="F20" s="15"/>
      <c r="G20" s="15"/>
      <c r="H20" s="110">
        <f>VLOOKUP(A20,[3]הראל!$1:$1048576,8,0)</f>
        <v>74770.666249999995</v>
      </c>
      <c r="I20" s="110">
        <f>VLOOKUP(A20,[3]הראל!$1:$1048576,9,0)</f>
        <v>0</v>
      </c>
      <c r="J20" s="110">
        <f>VLOOKUP(A20,[3]הראל!$1:$1048576,10,0)</f>
        <v>11990.183786</v>
      </c>
      <c r="K20" s="110">
        <f>VLOOKUP(A20,[3]הראל!$1:$1048576,11,0)</f>
        <v>0</v>
      </c>
    </row>
    <row r="21" spans="1:11" ht="21.75" thickBot="1" x14ac:dyDescent="0.3">
      <c r="A21" s="143" t="s">
        <v>10</v>
      </c>
      <c r="B21" s="142"/>
      <c r="C21" s="142"/>
      <c r="D21" s="152">
        <f>SUM(D9:D20)</f>
        <v>18818.297305</v>
      </c>
      <c r="E21" s="152">
        <f t="shared" ref="E21:K21" si="1">SUM(E9:E20)</f>
        <v>36770.685414999971</v>
      </c>
      <c r="F21" s="152">
        <f t="shared" si="1"/>
        <v>80778.066999999995</v>
      </c>
      <c r="G21" s="152">
        <f t="shared" si="1"/>
        <v>0</v>
      </c>
      <c r="H21" s="152">
        <f t="shared" si="1"/>
        <v>297076.19624800002</v>
      </c>
      <c r="I21" s="152">
        <f>SUM(I9:I20)</f>
        <v>330715.54794199998</v>
      </c>
      <c r="J21" s="152">
        <f t="shared" si="1"/>
        <v>488290.99066200003</v>
      </c>
      <c r="K21" s="152">
        <f t="shared" si="1"/>
        <v>357257.06011600001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>
        <v>101088.542705</v>
      </c>
      <c r="E22" s="18">
        <v>1649.9700200000002</v>
      </c>
      <c r="F22" s="18">
        <v>27061.149270000002</v>
      </c>
      <c r="G22" s="18"/>
      <c r="H22" s="110">
        <f>VLOOKUP(A22,[3]הראל!$1:$1048576,8,0)</f>
        <v>1142209.5307</v>
      </c>
      <c r="I22" s="110">
        <f>VLOOKUP(A22,[3]הראל!$1:$1048576,9,0)</f>
        <v>118758.61475800001</v>
      </c>
      <c r="J22" s="110">
        <f>VLOOKUP(A22,[3]הראל!$1:$1048576,10,0)</f>
        <v>332240.16722400003</v>
      </c>
      <c r="K22" s="110">
        <f>VLOOKUP(A22,[3]הראל!$1:$1048576,11,0)</f>
        <v>3308287.9292819998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>
        <v>1711.9453900000001</v>
      </c>
      <c r="F23" s="14">
        <v>34106.283915</v>
      </c>
      <c r="G23" s="14"/>
      <c r="H23" s="110">
        <f>VLOOKUP(A23,[3]הראל!$1:$1048576,8,0)</f>
        <v>221666.44691800003</v>
      </c>
      <c r="I23" s="110">
        <f>VLOOKUP(A23,[3]הראל!$1:$1048576,9,0)</f>
        <v>18401.211486000004</v>
      </c>
      <c r="J23" s="110">
        <f>VLOOKUP(A23,[3]הראל!$1:$1048576,10,0)</f>
        <v>275565.37496600003</v>
      </c>
      <c r="K23" s="110">
        <f>VLOOKUP(A23,[3]הראל!$1:$1048576,11,0)</f>
        <v>318893.75209999998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>
        <f>VLOOKUP(A24,[3]הראל!$1:$1048576,8,0)</f>
        <v>36524.898480000003</v>
      </c>
      <c r="I24" s="110">
        <f>VLOOKUP(A24,[3]הראל!$1:$1048576,9,0)</f>
        <v>20786.124800000001</v>
      </c>
      <c r="J24" s="110">
        <f>VLOOKUP(A24,[3]הראל!$1:$1048576,10,0)</f>
        <v>54423.810728000011</v>
      </c>
      <c r="K24" s="110">
        <f>VLOOKUP(A24,[3]הראל!$1:$1048576,11,0)</f>
        <v>24488.653279999999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VLOOKUP(A25,[3]הראל!$1:$1048576,8,0)</f>
        <v>0</v>
      </c>
      <c r="I25" s="110">
        <f>VLOOKUP(A25,[3]הראל!$1:$1048576,9,0)</f>
        <v>0</v>
      </c>
      <c r="J25" s="110">
        <f>VLOOKUP(A25,[3]הראל!$1:$1048576,10,0)</f>
        <v>0</v>
      </c>
      <c r="K25" s="110">
        <f>VLOOKUP(A25,[3]הראל!$1:$1048576,11,0)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>
        <f>VLOOKUP(A26,[3]הראל!$1:$1048576,8,0)</f>
        <v>0</v>
      </c>
      <c r="I26" s="110">
        <f>VLOOKUP(A26,[3]הראל!$1:$1048576,9,0)</f>
        <v>48098.781766</v>
      </c>
      <c r="J26" s="110">
        <f>VLOOKUP(A26,[3]הראל!$1:$1048576,10,0)</f>
        <v>0</v>
      </c>
      <c r="K26" s="110">
        <f>VLOOKUP(A26,[3]הראל!$1:$1048576,11,0)</f>
        <v>0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>
        <v>2627.6222550000002</v>
      </c>
      <c r="F27" s="14">
        <v>17950.684710000001</v>
      </c>
      <c r="G27" s="14"/>
      <c r="H27" s="110">
        <f>VLOOKUP(A27,[3]הראל!$1:$1048576,8,0)</f>
        <v>429306.18176600005</v>
      </c>
      <c r="I27" s="110">
        <f>VLOOKUP(A27,[3]הראל!$1:$1048576,9,0)</f>
        <v>138425.57243200002</v>
      </c>
      <c r="J27" s="110">
        <f>VLOOKUP(A27,[3]הראל!$1:$1048576,10,0)</f>
        <v>119951.55996599999</v>
      </c>
      <c r="K27" s="110">
        <f>VLOOKUP(A27,[3]הראל!$1:$1048576,11,0)</f>
        <v>1122341.7166360002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>
        <v>6072.5642199999993</v>
      </c>
      <c r="F28" s="14"/>
      <c r="G28" s="14"/>
      <c r="H28" s="110">
        <f>VLOOKUP(A28,[3]הראל!$1:$1048576,8,0)</f>
        <v>0</v>
      </c>
      <c r="I28" s="110">
        <f>VLOOKUP(A28,[3]הראל!$1:$1048576,9,0)</f>
        <v>25972.582216000003</v>
      </c>
      <c r="J28" s="110">
        <f>VLOOKUP(A28,[3]הראל!$1:$1048576,10,0)</f>
        <v>0</v>
      </c>
      <c r="K28" s="110">
        <f>VLOOKUP(A28,[3]הראל!$1:$1048576,11,0)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>
        <v>2696.4963949999997</v>
      </c>
      <c r="F29" s="14">
        <v>19945.195769999998</v>
      </c>
      <c r="G29" s="14"/>
      <c r="H29" s="110">
        <f>VLOOKUP(A29,[3]הראל!$1:$1048576,8,0)</f>
        <v>8848.800855999998</v>
      </c>
      <c r="I29" s="110">
        <f>VLOOKUP(A29,[3]הראל!$1:$1048576,9,0)</f>
        <v>11910.199042</v>
      </c>
      <c r="J29" s="110">
        <f>VLOOKUP(A29,[3]הראל!$1:$1048576,10,0)</f>
        <v>0</v>
      </c>
      <c r="K29" s="110">
        <f>VLOOKUP(A29,[3]הראל!$1:$1048576,11,0)</f>
        <v>0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>
        <v>29917.807850000001</v>
      </c>
      <c r="E30" s="14">
        <v>13869.537039999997</v>
      </c>
      <c r="F30" s="14">
        <v>137032.51131999996</v>
      </c>
      <c r="G30" s="14"/>
      <c r="H30" s="110">
        <f>VLOOKUP(A30,[3]הראל!$1:$1048576,8,0)</f>
        <v>346597.53886799997</v>
      </c>
      <c r="I30" s="110">
        <f>VLOOKUP(A30,[3]הראל!$1:$1048576,9,0)</f>
        <v>122484.48359</v>
      </c>
      <c r="J30" s="110">
        <f>VLOOKUP(A30,[3]הראל!$1:$1048576,10,0)</f>
        <v>587410.91876599996</v>
      </c>
      <c r="K30" s="110">
        <f>VLOOKUP(A30,[3]הראל!$1:$1048576,11,0)</f>
        <v>945334.83134999988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>
        <f>VLOOKUP(A31,[3]הראל!$1:$1048576,8,0)</f>
        <v>0</v>
      </c>
      <c r="I31" s="110">
        <f>VLOOKUP(A31,[3]הראל!$1:$1048576,9,0)</f>
        <v>0</v>
      </c>
      <c r="J31" s="110">
        <f>VLOOKUP(A31,[3]הראל!$1:$1048576,10,0)</f>
        <v>0</v>
      </c>
      <c r="K31" s="110">
        <f>VLOOKUP(A31,[3]הראל!$1:$1048576,11,0)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VLOOKUP(A32,[3]הראל!$1:$1048576,8,0)</f>
        <v>0</v>
      </c>
      <c r="I32" s="110">
        <f>VLOOKUP(A32,[3]הראל!$1:$1048576,9,0)</f>
        <v>0</v>
      </c>
      <c r="J32" s="110">
        <f>VLOOKUP(A32,[3]הראל!$1:$1048576,10,0)</f>
        <v>0</v>
      </c>
      <c r="K32" s="110">
        <f>VLOOKUP(A32,[3]הראל!$1:$1048576,11,0)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VLOOKUP(A33,[3]הראל!$1:$1048576,8,0)</f>
        <v>0</v>
      </c>
      <c r="I33" s="110">
        <f>VLOOKUP(A33,[3]הראל!$1:$1048576,9,0)</f>
        <v>0</v>
      </c>
      <c r="J33" s="110">
        <f>VLOOKUP(A33,[3]הראל!$1:$1048576,10,0)</f>
        <v>0</v>
      </c>
      <c r="K33" s="110">
        <f>VLOOKUP(A33,[3]הראל!$1:$1048576,11,0)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VLOOKUP(A34,[3]הראל!$1:$1048576,8,0)</f>
        <v>0</v>
      </c>
      <c r="I34" s="110">
        <f>VLOOKUP(A34,[3]הראל!$1:$1048576,9,0)</f>
        <v>17476.267466000001</v>
      </c>
      <c r="J34" s="110">
        <f>VLOOKUP(A34,[3]הראל!$1:$1048576,10,0)</f>
        <v>0</v>
      </c>
      <c r="K34" s="110">
        <f>VLOOKUP(A34,[3]הראל!$1:$1048576,11,0)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>
        <f>VLOOKUP(A35,[3]הראל!$1:$1048576,8,0)</f>
        <v>0</v>
      </c>
      <c r="I35" s="110">
        <f>VLOOKUP(A35,[3]הראל!$1:$1048576,9,0)</f>
        <v>0</v>
      </c>
      <c r="J35" s="110">
        <f>VLOOKUP(A35,[3]הראל!$1:$1048576,10,0)</f>
        <v>0</v>
      </c>
      <c r="K35" s="110">
        <f>VLOOKUP(A35,[3]הראל!$1:$1048576,11,0)</f>
        <v>0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VLOOKUP(A36,[3]הראל!$1:$1048576,8,0)</f>
        <v>0</v>
      </c>
      <c r="I36" s="110">
        <f>VLOOKUP(A36,[3]הראל!$1:$1048576,9,0)</f>
        <v>0</v>
      </c>
      <c r="J36" s="110">
        <f>VLOOKUP(A36,[3]הראל!$1:$1048576,10,0)</f>
        <v>0</v>
      </c>
      <c r="K36" s="110">
        <f>VLOOKUP(A36,[3]הראל!$1:$1048576,11,0)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VLOOKUP(A37,[3]הראל!$1:$1048576,8,0)</f>
        <v>47860.878072000007</v>
      </c>
      <c r="I37" s="110">
        <f>VLOOKUP(A37,[3]הראל!$1:$1048576,9,0)</f>
        <v>0</v>
      </c>
      <c r="J37" s="110">
        <f>VLOOKUP(A37,[3]הראל!$1:$1048576,10,0)</f>
        <v>39067.716981999998</v>
      </c>
      <c r="K37" s="110">
        <f>VLOOKUP(A37,[3]הראל!$1:$1048576,11,0)</f>
        <v>194387.28665999998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VLOOKUP(A38,[3]הראל!$1:$1048576,8,0)</f>
        <v>0</v>
      </c>
      <c r="I38" s="110">
        <f>VLOOKUP(A38,[3]הראל!$1:$1048576,9,0)</f>
        <v>0</v>
      </c>
      <c r="J38" s="110">
        <f>VLOOKUP(A38,[3]הראל!$1:$1048576,10,0)</f>
        <v>0</v>
      </c>
      <c r="K38" s="110">
        <f>VLOOKUP(A38,[3]הראל!$1:$1048576,11,0)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VLOOKUP(A39,[3]הראל!$1:$1048576,8,0)</f>
        <v>0</v>
      </c>
      <c r="I39" s="110">
        <f>VLOOKUP(A39,[3]הראל!$1:$1048576,9,0)</f>
        <v>0</v>
      </c>
      <c r="J39" s="110">
        <f>VLOOKUP(A39,[3]הראל!$1:$1048576,10,0)</f>
        <v>0</v>
      </c>
      <c r="K39" s="110">
        <f>VLOOKUP(A39,[3]הראל!$1:$1048576,11,0)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>
        <f>VLOOKUP(A40,[3]הראל!$1:$1048576,8,0)</f>
        <v>0</v>
      </c>
      <c r="I40" s="110">
        <f>VLOOKUP(A40,[3]הראל!$1:$1048576,9,0)</f>
        <v>0</v>
      </c>
      <c r="J40" s="110">
        <f>VLOOKUP(A40,[3]הראל!$1:$1048576,10,0)</f>
        <v>0</v>
      </c>
      <c r="K40" s="110">
        <f>VLOOKUP(A40,[3]הראל!$1:$1048576,11,0)</f>
        <v>0</v>
      </c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>
        <f>VLOOKUP(A41,[3]הראל!$1:$1048576,8,0)</f>
        <v>0</v>
      </c>
      <c r="I41" s="110">
        <f>VLOOKUP(A41,[3]הראל!$1:$1048576,9,0)</f>
        <v>0</v>
      </c>
      <c r="J41" s="110">
        <f>VLOOKUP(A41,[3]הראל!$1:$1048576,10,0)</f>
        <v>0</v>
      </c>
      <c r="K41" s="110">
        <f>VLOOKUP(A41,[3]הראל!$1:$1048576,11,0)</f>
        <v>0</v>
      </c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>
        <v>58650.617100000003</v>
      </c>
      <c r="E42" s="14"/>
      <c r="F42" s="14">
        <v>18947.94024</v>
      </c>
      <c r="G42" s="14"/>
      <c r="H42" s="110">
        <f>VLOOKUP(A42,[3]הראל!$1:$1048576,8,0)</f>
        <v>0</v>
      </c>
      <c r="I42" s="110">
        <f>VLOOKUP(A42,[3]הראל!$1:$1048576,9,0)</f>
        <v>0</v>
      </c>
      <c r="J42" s="110">
        <f>VLOOKUP(A42,[3]הראל!$1:$1048576,10,0)</f>
        <v>0</v>
      </c>
      <c r="K42" s="110">
        <f>VLOOKUP(A42,[3]הראל!$1:$1048576,11,0)</f>
        <v>0</v>
      </c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>
        <f>VLOOKUP(A43,[3]הראל!$1:$1048576,8,0)</f>
        <v>15494.966087999999</v>
      </c>
      <c r="I43" s="110">
        <f>VLOOKUP(A43,[3]הראל!$1:$1048576,9,0)</f>
        <v>8202.1932859999997</v>
      </c>
      <c r="J43" s="110">
        <f>VLOOKUP(A43,[3]הראל!$1:$1048576,10,0)</f>
        <v>0</v>
      </c>
      <c r="K43" s="110">
        <f>VLOOKUP(A43,[3]הראל!$1:$1048576,11,0)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>
        <f>VLOOKUP(A44,[3]הראל!$1:$1048576,8,0)</f>
        <v>0</v>
      </c>
      <c r="I44" s="110">
        <f>VLOOKUP(A44,[3]הראל!$1:$1048576,9,0)</f>
        <v>0</v>
      </c>
      <c r="J44" s="110">
        <f>VLOOKUP(A44,[3]הראל!$1:$1048576,10,0)</f>
        <v>0</v>
      </c>
      <c r="K44" s="110">
        <f>VLOOKUP(A44,[3]הראל!$1:$1048576,11,0)</f>
        <v>0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>
        <v>15497.41964</v>
      </c>
      <c r="E45" s="14"/>
      <c r="F45" s="14"/>
      <c r="G45" s="14"/>
      <c r="H45" s="110">
        <f>VLOOKUP(A45,[3]הראל!$1:$1048576,8,0)</f>
        <v>0</v>
      </c>
      <c r="I45" s="110">
        <f>VLOOKUP(A45,[3]הראל!$1:$1048576,9,0)</f>
        <v>0</v>
      </c>
      <c r="J45" s="110">
        <f>VLOOKUP(A45,[3]הראל!$1:$1048576,10,0)</f>
        <v>0</v>
      </c>
      <c r="K45" s="110">
        <f>VLOOKUP(A45,[3]הראל!$1:$1048576,11,0)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>
        <f>VLOOKUP(A46,[3]הראל!$1:$1048576,8,0)</f>
        <v>0</v>
      </c>
      <c r="I46" s="110">
        <f>VLOOKUP(A46,[3]הראל!$1:$1048576,9,0)</f>
        <v>0</v>
      </c>
      <c r="J46" s="110">
        <f>VLOOKUP(A46,[3]הראל!$1:$1048576,10,0)</f>
        <v>0</v>
      </c>
      <c r="K46" s="110">
        <f>VLOOKUP(A46,[3]הראל!$1:$1048576,11,0)</f>
        <v>0</v>
      </c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>
        <f>VLOOKUP(A47,[3]הראל!$1:$1048576,8,0)</f>
        <v>0</v>
      </c>
      <c r="I47" s="110">
        <f>VLOOKUP(A47,[3]הראל!$1:$1048576,9,0)</f>
        <v>0</v>
      </c>
      <c r="J47" s="110">
        <f>VLOOKUP(A47,[3]הראל!$1:$1048576,10,0)</f>
        <v>0</v>
      </c>
      <c r="K47" s="110">
        <f>VLOOKUP(A47,[3]הראל!$1:$1048576,11,0)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>
        <f>VLOOKUP(A48,[3]הראל!$1:$1048576,8,0)</f>
        <v>0</v>
      </c>
      <c r="I48" s="110">
        <f>VLOOKUP(A48,[3]הראל!$1:$1048576,9,0)</f>
        <v>0</v>
      </c>
      <c r="J48" s="110">
        <f>VLOOKUP(A48,[3]הראל!$1:$1048576,10,0)</f>
        <v>0</v>
      </c>
      <c r="K48" s="110">
        <f>VLOOKUP(A48,[3]הראל!$1:$1048576,11,0)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>
        <f>VLOOKUP(A49,[3]הראל!$1:$1048576,8,0)</f>
        <v>0</v>
      </c>
      <c r="I49" s="110">
        <f>VLOOKUP(A49,[3]הראל!$1:$1048576,9,0)</f>
        <v>0</v>
      </c>
      <c r="J49" s="110">
        <f>VLOOKUP(A49,[3]הראל!$1:$1048576,10,0)</f>
        <v>0</v>
      </c>
      <c r="K49" s="110">
        <f>VLOOKUP(A49,[3]הראל!$1:$1048576,11,0)</f>
        <v>0</v>
      </c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VLOOKUP(A50,[3]הראל!$1:$1048576,8,0)</f>
        <v>0</v>
      </c>
      <c r="I50" s="110">
        <f>VLOOKUP(A50,[3]הראל!$1:$1048576,9,0)</f>
        <v>0</v>
      </c>
      <c r="J50" s="110">
        <f>VLOOKUP(A50,[3]הראל!$1:$1048576,10,0)</f>
        <v>0</v>
      </c>
      <c r="K50" s="110">
        <f>VLOOKUP(A50,[3]הראל!$1:$1048576,11,0)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>
        <v>19942.016090000001</v>
      </c>
      <c r="E51" s="14">
        <v>0</v>
      </c>
      <c r="F51" s="14"/>
      <c r="G51" s="14"/>
      <c r="H51" s="110">
        <f>VLOOKUP(A51,[3]הראל!$1:$1048576,8,0)</f>
        <v>0</v>
      </c>
      <c r="I51" s="110">
        <f>VLOOKUP(A51,[3]הראל!$1:$1048576,9,0)</f>
        <v>0</v>
      </c>
      <c r="J51" s="110">
        <f>VLOOKUP(A51,[3]הראל!$1:$1048576,10,0)</f>
        <v>0</v>
      </c>
      <c r="K51" s="110">
        <f>VLOOKUP(A51,[3]הראל!$1:$1048576,11,0)</f>
        <v>0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VLOOKUP(A52,[3]הראל!$1:$1048576,8,0)</f>
        <v>27563.964847999996</v>
      </c>
      <c r="I52" s="110">
        <f>VLOOKUP(A52,[3]הראל!$1:$1048576,9,0)</f>
        <v>0</v>
      </c>
      <c r="J52" s="110">
        <f>VLOOKUP(A52,[3]הראל!$1:$1048576,10,0)</f>
        <v>0</v>
      </c>
      <c r="K52" s="110">
        <f>VLOOKUP(A52,[3]הראל!$1:$1048576,11,0)</f>
        <v>28656.598838000002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>
        <f>VLOOKUP(A53,[3]הראל!$1:$1048576,8,0)</f>
        <v>0</v>
      </c>
      <c r="I53" s="110">
        <f>VLOOKUP(A53,[3]הראל!$1:$1048576,9,0)</f>
        <v>4456.9888439999995</v>
      </c>
      <c r="J53" s="110">
        <f>VLOOKUP(A53,[3]הראל!$1:$1048576,10,0)</f>
        <v>0</v>
      </c>
      <c r="K53" s="110">
        <f>VLOOKUP(A53,[3]הראל!$1:$1048576,11,0)</f>
        <v>0</v>
      </c>
    </row>
    <row r="54" spans="1:13" ht="21.75" thickBot="1" x14ac:dyDescent="0.3">
      <c r="A54" s="144" t="s">
        <v>130</v>
      </c>
      <c r="B54" s="142"/>
      <c r="C54" s="142"/>
      <c r="D54" s="152">
        <f>SUM(D22:D53)</f>
        <v>225096.40338499998</v>
      </c>
      <c r="E54" s="152">
        <f t="shared" ref="E54:K54" si="2">SUM(E22:E53)</f>
        <v>28628.135319999998</v>
      </c>
      <c r="F54" s="152">
        <f t="shared" si="2"/>
        <v>255043.76522499995</v>
      </c>
      <c r="G54" s="152">
        <f t="shared" si="2"/>
        <v>0</v>
      </c>
      <c r="H54" s="152">
        <f t="shared" si="2"/>
        <v>2276073.2065960006</v>
      </c>
      <c r="I54" s="152">
        <f t="shared" si="2"/>
        <v>534973.01968600007</v>
      </c>
      <c r="J54" s="152">
        <f t="shared" si="2"/>
        <v>1408659.5486320001</v>
      </c>
      <c r="K54" s="152">
        <f t="shared" si="2"/>
        <v>5942390.7681459989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>
        <f>VLOOKUP(A55,[3]הראל!$1:$1048576,8,0)</f>
        <v>0</v>
      </c>
      <c r="I55" s="110">
        <f>VLOOKUP(A55,[3]הראל!$1:$1048576,9,0)</f>
        <v>0</v>
      </c>
      <c r="J55" s="110">
        <f>VLOOKUP(A55,[3]הראל!$1:$1048576,10,0)</f>
        <v>0</v>
      </c>
      <c r="K55" s="110">
        <f>VLOOKUP(A55,[3]הראל!$1:$1048576,11,0)</f>
        <v>0</v>
      </c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>
        <v>23934.246279999999</v>
      </c>
      <c r="G56" s="14"/>
      <c r="H56" s="110">
        <f>VLOOKUP(A56,[3]הראל!$1:$1048576,8,0)</f>
        <v>11067.827021999999</v>
      </c>
      <c r="I56" s="110">
        <f>VLOOKUP(A56,[3]הראל!$1:$1048576,9,0)</f>
        <v>1975.7140060000002</v>
      </c>
      <c r="J56" s="110">
        <f>VLOOKUP(A56,[3]הראל!$1:$1048576,10,0)</f>
        <v>37518.790119999998</v>
      </c>
      <c r="K56" s="110">
        <f>VLOOKUP(A56,[3]הראל!$1:$1048576,11,0)</f>
        <v>115156.686498</v>
      </c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>
        <v>139151.76804</v>
      </c>
      <c r="E57" s="14">
        <v>2730.4934199999998</v>
      </c>
      <c r="F57" s="14"/>
      <c r="G57" s="14"/>
      <c r="H57" s="110">
        <f>VLOOKUP(A57,[3]הראל!$1:$1048576,8,0)</f>
        <v>173623.26363199999</v>
      </c>
      <c r="I57" s="110">
        <f>VLOOKUP(A57,[3]הראל!$1:$1048576,9,0)</f>
        <v>29495.145022000008</v>
      </c>
      <c r="J57" s="110">
        <f>VLOOKUP(A57,[3]הראל!$1:$1048576,10,0)</f>
        <v>59785.609786000001</v>
      </c>
      <c r="K57" s="110">
        <f>VLOOKUP(A57,[3]הראל!$1:$1048576,11,0)</f>
        <v>182315.57678600002</v>
      </c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>
        <f>VLOOKUP(A58,[3]הראל!$1:$1048576,8,0)</f>
        <v>0</v>
      </c>
      <c r="I58" s="110">
        <f>VLOOKUP(A58,[3]הראל!$1:$1048576,9,0)</f>
        <v>0</v>
      </c>
      <c r="J58" s="110">
        <f>VLOOKUP(A58,[3]הראל!$1:$1048576,10,0)</f>
        <v>0</v>
      </c>
      <c r="K58" s="110">
        <f>VLOOKUP(A58,[3]הראל!$1:$1048576,11,0)</f>
        <v>0</v>
      </c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>
        <f>VLOOKUP(A59,[3]הראל!$1:$1048576,8,0)</f>
        <v>2465.1870599999997</v>
      </c>
      <c r="I59" s="110">
        <f>VLOOKUP(A59,[3]הראל!$1:$1048576,9,0)</f>
        <v>2307.570874</v>
      </c>
      <c r="J59" s="110">
        <f>VLOOKUP(A59,[3]הראל!$1:$1048576,10,0)</f>
        <v>0</v>
      </c>
      <c r="K59" s="110">
        <f>VLOOKUP(A59,[3]הראל!$1:$1048576,11,0)</f>
        <v>0</v>
      </c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>
        <f>VLOOKUP(A60,[3]הראל!$1:$1048576,8,0)</f>
        <v>0</v>
      </c>
      <c r="I60" s="110">
        <f>VLOOKUP(A60,[3]הראל!$1:$1048576,9,0)</f>
        <v>0</v>
      </c>
      <c r="J60" s="110">
        <f>VLOOKUP(A60,[3]הראל!$1:$1048576,10,0)</f>
        <v>0</v>
      </c>
      <c r="K60" s="110">
        <f>VLOOKUP(A60,[3]הראל!$1:$1048576,11,0)</f>
        <v>0</v>
      </c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>
        <v>0</v>
      </c>
      <c r="F61" s="14">
        <v>29863.540365000001</v>
      </c>
      <c r="G61" s="14"/>
      <c r="H61" s="110">
        <f>VLOOKUP(A61,[3]הראל!$1:$1048576,8,0)</f>
        <v>0</v>
      </c>
      <c r="I61" s="110">
        <f>VLOOKUP(A61,[3]הראל!$1:$1048576,9,0)</f>
        <v>0</v>
      </c>
      <c r="J61" s="110">
        <f>VLOOKUP(A61,[3]הראל!$1:$1048576,10,0)</f>
        <v>0</v>
      </c>
      <c r="K61" s="110">
        <f>VLOOKUP(A61,[3]הראל!$1:$1048576,11,0)</f>
        <v>0</v>
      </c>
    </row>
    <row r="62" spans="1:13" ht="21.75" thickBot="1" x14ac:dyDescent="0.3">
      <c r="A62" s="144" t="s">
        <v>131</v>
      </c>
      <c r="B62" s="142"/>
      <c r="C62" s="142"/>
      <c r="D62" s="152">
        <f>SUM(D55:D61)</f>
        <v>139151.76804</v>
      </c>
      <c r="E62" s="152">
        <f t="shared" ref="E62:K62" si="3">SUM(E55:E61)</f>
        <v>2730.4934199999998</v>
      </c>
      <c r="F62" s="152">
        <f t="shared" si="3"/>
        <v>53797.786645</v>
      </c>
      <c r="G62" s="152">
        <f t="shared" si="3"/>
        <v>0</v>
      </c>
      <c r="H62" s="152">
        <f t="shared" si="3"/>
        <v>187156.277714</v>
      </c>
      <c r="I62" s="152">
        <f t="shared" si="3"/>
        <v>33778.429902000003</v>
      </c>
      <c r="J62" s="152">
        <f>SUM(J55:J61)</f>
        <v>97304.399906000006</v>
      </c>
      <c r="K62" s="152">
        <f t="shared" si="3"/>
        <v>297472.26328399999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10">
        <f>VLOOKUP(A63,[3]הראל!$1:$1048576,8,0)</f>
        <v>0</v>
      </c>
      <c r="I63" s="110">
        <f>VLOOKUP(A63,[3]הראל!$1:$1048576,9,0)</f>
        <v>2436.4932899999999</v>
      </c>
      <c r="J63" s="110">
        <f>VLOOKUP(A63,[3]הראל!$1:$1048576,10,0)</f>
        <v>0</v>
      </c>
      <c r="K63" s="110">
        <f>VLOOKUP(A63,[3]הראל!$1:$1048576,11,0)</f>
        <v>74677.800273999994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>
        <v>27751.750215</v>
      </c>
      <c r="E64" s="14">
        <v>26340.454924999998</v>
      </c>
      <c r="F64" s="14">
        <v>241124.88636499998</v>
      </c>
      <c r="G64" s="14"/>
      <c r="H64" s="110">
        <f>VLOOKUP(A64,[3]הראל!$1:$1048576,8,0)</f>
        <v>474296.10737400001</v>
      </c>
      <c r="I64" s="110">
        <f>VLOOKUP(A64,[3]הראל!$1:$1048576,9,0)</f>
        <v>352725.17474400002</v>
      </c>
      <c r="J64" s="110">
        <f>VLOOKUP(A64,[3]הראל!$1:$1048576,10,0)</f>
        <v>94586.898518000002</v>
      </c>
      <c r="K64" s="110">
        <f>VLOOKUP(A64,[3]הראל!$1:$1048576,11,0)</f>
        <v>844549.80145200004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f>VLOOKUP(A65,[3]הראל!$1:$1048576,8,0)</f>
        <v>0</v>
      </c>
      <c r="I65" s="110">
        <f>VLOOKUP(A65,[3]הראל!$1:$1048576,9,0)</f>
        <v>0</v>
      </c>
      <c r="J65" s="110">
        <f>VLOOKUP(A65,[3]הראל!$1:$1048576,10,0)</f>
        <v>0</v>
      </c>
      <c r="K65" s="110">
        <f>VLOOKUP(A65,[3]הראל!$1:$1048576,11,0)</f>
        <v>0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>
        <f>VLOOKUP(A66,[3]הראל!$1:$1048576,8,0)</f>
        <v>0</v>
      </c>
      <c r="I66" s="110">
        <f>VLOOKUP(A66,[3]הראל!$1:$1048576,9,0)</f>
        <v>0</v>
      </c>
      <c r="J66" s="110">
        <f>VLOOKUP(A66,[3]הראל!$1:$1048576,10,0)</f>
        <v>0</v>
      </c>
      <c r="K66" s="110">
        <f>VLOOKUP(A66,[3]הראל!$1:$1048576,11,0)</f>
        <v>0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>
        <v>3468.6192250000004</v>
      </c>
      <c r="F67" s="14"/>
      <c r="G67" s="14"/>
      <c r="H67" s="110">
        <f>VLOOKUP(A67,[3]הראל!$1:$1048576,8,0)</f>
        <v>0</v>
      </c>
      <c r="I67" s="110">
        <f>VLOOKUP(A67,[3]הראל!$1:$1048576,9,0)</f>
        <v>0</v>
      </c>
      <c r="J67" s="110">
        <f>VLOOKUP(A67,[3]הראל!$1:$1048576,10,0)</f>
        <v>0</v>
      </c>
      <c r="K67" s="110">
        <f>VLOOKUP(A67,[3]הראל!$1:$1048576,11,0)</f>
        <v>0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>
        <v>785.86359000000004</v>
      </c>
      <c r="F68" s="14"/>
      <c r="G68" s="14"/>
      <c r="H68" s="110">
        <f>VLOOKUP(A68,[3]הראל!$1:$1048576,8,0)</f>
        <v>3.4808000000339234E-2</v>
      </c>
      <c r="I68" s="110">
        <f>VLOOKUP(A68,[3]הראל!$1:$1048576,9,0)</f>
        <v>12865.928656</v>
      </c>
      <c r="J68" s="110">
        <f>VLOOKUP(A68,[3]הראל!$1:$1048576,10,0)</f>
        <v>0</v>
      </c>
      <c r="K68" s="110">
        <f>VLOOKUP(A68,[3]הראל!$1:$1048576,11,0)</f>
        <v>0</v>
      </c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>
        <f>VLOOKUP(A69,[3]הראל!$1:$1048576,8,0)</f>
        <v>569751.83689200005</v>
      </c>
      <c r="I69" s="110">
        <f>VLOOKUP(A69,[3]הראל!$1:$1048576,9,0)</f>
        <v>115953.69896600001</v>
      </c>
      <c r="J69" s="110">
        <f>VLOOKUP(A69,[3]הראל!$1:$1048576,10,0)</f>
        <v>27336.960658000025</v>
      </c>
      <c r="K69" s="110">
        <f>VLOOKUP(A69,[3]הראל!$1:$1048576,11,0)</f>
        <v>2423484.5943559995</v>
      </c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>
        <v>8423.6252899999999</v>
      </c>
      <c r="F70" s="15"/>
      <c r="G70" s="15"/>
      <c r="H70" s="110">
        <f>VLOOKUP(A70,[3]הראל!$1:$1048576,8,0)</f>
        <v>0</v>
      </c>
      <c r="I70" s="110">
        <f>VLOOKUP(A70,[3]הראל!$1:$1048576,9,0)</f>
        <v>42643.208440000002</v>
      </c>
      <c r="J70" s="110">
        <f>VLOOKUP(A70,[3]הראל!$1:$1048576,10,0)</f>
        <v>10778.797498</v>
      </c>
      <c r="K70" s="110">
        <f>VLOOKUP(A70,[3]הראל!$1:$1048576,11,0)</f>
        <v>68665.223759999993</v>
      </c>
    </row>
    <row r="71" spans="1:12" ht="21.75" thickBot="1" x14ac:dyDescent="0.3">
      <c r="A71" s="143" t="s">
        <v>44</v>
      </c>
      <c r="B71" s="142"/>
      <c r="C71" s="142"/>
      <c r="D71" s="152">
        <f>SUM(D63:D70)</f>
        <v>27751.750215</v>
      </c>
      <c r="E71" s="152">
        <f t="shared" ref="E71:K71" si="4">SUM(E63:E70)</f>
        <v>39018.563030000005</v>
      </c>
      <c r="F71" s="152">
        <f t="shared" si="4"/>
        <v>241124.88636499998</v>
      </c>
      <c r="G71" s="152">
        <f t="shared" si="4"/>
        <v>0</v>
      </c>
      <c r="H71" s="152">
        <f t="shared" si="4"/>
        <v>1044047.9790740001</v>
      </c>
      <c r="I71" s="152">
        <f t="shared" si="4"/>
        <v>526624.50409599999</v>
      </c>
      <c r="J71" s="152">
        <f t="shared" si="4"/>
        <v>132702.65667400003</v>
      </c>
      <c r="K71" s="152">
        <f t="shared" si="4"/>
        <v>3411377.4198419997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410818.21894499997</v>
      </c>
      <c r="E72" s="152">
        <f t="shared" ref="E72:K72" si="5">E71+E62+E54+E21+E8</f>
        <v>107147.87718499998</v>
      </c>
      <c r="F72" s="152">
        <f t="shared" si="5"/>
        <v>630744.50523499993</v>
      </c>
      <c r="G72" s="152">
        <f t="shared" si="5"/>
        <v>0</v>
      </c>
      <c r="H72" s="152">
        <f t="shared" si="5"/>
        <v>3904621.0266500004</v>
      </c>
      <c r="I72" s="152">
        <f t="shared" si="5"/>
        <v>1525601.9727759999</v>
      </c>
      <c r="J72" s="152">
        <f t="shared" si="5"/>
        <v>2147572.9962700005</v>
      </c>
      <c r="K72" s="152">
        <f t="shared" si="5"/>
        <v>10022219.133680001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P72" xr:uid="{8F9671D0-2B28-494D-BDF1-4E5175A67A8E}"/>
  <mergeCells count="2">
    <mergeCell ref="D1:G1"/>
    <mergeCell ref="H1:K1"/>
  </mergeCells>
  <conditionalFormatting sqref="A1">
    <cfRule type="duplicateValues" dxfId="153" priority="15"/>
    <cfRule type="duplicateValues" dxfId="152" priority="16"/>
  </conditionalFormatting>
  <conditionalFormatting sqref="A14">
    <cfRule type="duplicateValues" dxfId="151" priority="5"/>
    <cfRule type="duplicateValues" dxfId="150" priority="6"/>
  </conditionalFormatting>
  <conditionalFormatting sqref="A55">
    <cfRule type="duplicateValues" dxfId="149" priority="7"/>
    <cfRule type="duplicateValues" dxfId="148" priority="8"/>
  </conditionalFormatting>
  <conditionalFormatting sqref="A56:A58 A7 A22:A53 A60">
    <cfRule type="duplicateValues" dxfId="147" priority="13"/>
    <cfRule type="duplicateValues" dxfId="146" priority="14"/>
  </conditionalFormatting>
  <conditionalFormatting sqref="A59">
    <cfRule type="duplicateValues" dxfId="145" priority="3"/>
    <cfRule type="duplicateValues" dxfId="144" priority="4"/>
  </conditionalFormatting>
  <conditionalFormatting sqref="A63:A70">
    <cfRule type="duplicateValues" dxfId="143" priority="11"/>
    <cfRule type="duplicateValues" dxfId="142" priority="12"/>
  </conditionalFormatting>
  <conditionalFormatting sqref="A71:A72 A2:A6 A8:A13 A15:A21 A54 A62">
    <cfRule type="duplicateValues" dxfId="141" priority="9"/>
    <cfRule type="duplicateValues" dxfId="140" priority="10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D32-F11B-4794-BC1B-20DC7255B5B1}">
  <sheetPr>
    <tabColor theme="0"/>
  </sheetPr>
  <dimension ref="A1:M78"/>
  <sheetViews>
    <sheetView rightToLeft="1" zoomScaleNormal="100" workbookViewId="0">
      <pane ySplit="3" topLeftCell="A48" activePane="bottomLeft" state="frozen"/>
      <selection pane="bottomLeft" activeCell="D73" sqref="D73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f>260630-101779</f>
        <v>158851</v>
      </c>
      <c r="E3" s="14">
        <v>62380</v>
      </c>
      <c r="F3" s="14">
        <v>515321.67</v>
      </c>
      <c r="G3" s="14">
        <v>101779</v>
      </c>
      <c r="H3" s="110">
        <f>VLOOKUP(A3,[3]הפניקס!$1:$1048576,4,0)</f>
        <v>1003625.718</v>
      </c>
      <c r="I3" s="110">
        <f>VLOOKUP(A3,[3]הפניקס!$1:$1048576,5,0)</f>
        <v>131253.26550000001</v>
      </c>
      <c r="J3" s="110">
        <f>VLOOKUP(A3,[3]הפניקס!$1:$1048576,6,0)</f>
        <v>2027232.5789999999</v>
      </c>
      <c r="K3" s="110">
        <f>VLOOKUP(A3,[3]הפניקס!$1:$1048576,7,0)</f>
        <v>3800139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221">
        <v>250000</v>
      </c>
      <c r="F4" s="14">
        <v>6300</v>
      </c>
      <c r="G4" s="14"/>
      <c r="H4" s="110">
        <f>VLOOKUP(A4,[3]הפניקס!$1:$1048576,4,0)</f>
        <v>0</v>
      </c>
      <c r="I4" s="110">
        <f>VLOOKUP(A4,[3]הפניקס!$1:$1048576,5,0)</f>
        <v>0</v>
      </c>
      <c r="J4" s="110">
        <f>VLOOKUP(A4,[3]הפניקס!$1:$1048576,6,0)</f>
        <v>1149478.23</v>
      </c>
      <c r="K4" s="110">
        <f>VLOOKUP(A4,[3]הפניקס!$1:$1048576,7,0)</f>
        <v>0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>
        <f>VLOOKUP(A5,[3]הפניקס!$1:$1048576,4,0)</f>
        <v>0</v>
      </c>
      <c r="I5" s="110">
        <f>VLOOKUP(A5,[3]הפניקס!$1:$1048576,5,0)</f>
        <v>0</v>
      </c>
      <c r="J5" s="110">
        <f>VLOOKUP(A5,[3]הפניקס!$1:$1048576,6,0)</f>
        <v>0</v>
      </c>
      <c r="K5" s="110">
        <f>VLOOKUP(A5,[3]הפניקס!$1:$1048576,7,0)</f>
        <v>0</v>
      </c>
    </row>
    <row r="6" spans="1:11" ht="15.75" x14ac:dyDescent="0.25">
      <c r="A6" s="29" t="s">
        <v>113</v>
      </c>
      <c r="B6" s="27" t="s">
        <v>116</v>
      </c>
      <c r="C6" s="29" t="s">
        <v>58</v>
      </c>
      <c r="D6" s="15">
        <v>8637.0329199999996</v>
      </c>
      <c r="E6" s="15">
        <v>5917</v>
      </c>
      <c r="F6" s="15">
        <v>6000</v>
      </c>
      <c r="G6" s="15"/>
      <c r="H6" s="110">
        <f>VLOOKUP(A6,[3]הפניקס!$1:$1048576,4,0)</f>
        <v>0</v>
      </c>
      <c r="I6" s="110">
        <f>VLOOKUP(A6,[3]הפניקס!$1:$1048576,5,0)</f>
        <v>1971.238192</v>
      </c>
      <c r="J6" s="110">
        <f>VLOOKUP(A6,[3]הפניקס!$1:$1048576,6,0)</f>
        <v>827779.17</v>
      </c>
      <c r="K6" s="110">
        <f>VLOOKUP(A6,[3]הפניקס!$1:$1048576,7,0)</f>
        <v>0</v>
      </c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VLOOKUP(A7,[3]הפניקס!$1:$1048576,4,0)</f>
        <v>0</v>
      </c>
      <c r="I7" s="110">
        <f>VLOOKUP(A7,[3]הפניקס!$1:$1048576,5,0)</f>
        <v>2168.76341</v>
      </c>
      <c r="J7" s="110">
        <f>VLOOKUP(A7,[3]הפניקס!$1:$1048576,6,0)</f>
        <v>0</v>
      </c>
      <c r="K7" s="110">
        <f>VLOOKUP(A7,[3]הפניקס!$1:$1048576,7,0)</f>
        <v>0</v>
      </c>
    </row>
    <row r="8" spans="1:11" ht="21.75" thickBot="1" x14ac:dyDescent="0.4">
      <c r="A8" s="143" t="s">
        <v>3</v>
      </c>
      <c r="B8" s="142"/>
      <c r="C8" s="142"/>
      <c r="D8" s="220">
        <f>SUM(D3:D7)</f>
        <v>167488.03292</v>
      </c>
      <c r="E8" s="220">
        <f t="shared" ref="E8:K8" si="0">SUM(E3:E7)</f>
        <v>318297</v>
      </c>
      <c r="F8" s="220">
        <f t="shared" si="0"/>
        <v>527621.66999999993</v>
      </c>
      <c r="G8" s="220">
        <f t="shared" si="0"/>
        <v>101779</v>
      </c>
      <c r="H8" s="220">
        <f t="shared" si="0"/>
        <v>1003625.718</v>
      </c>
      <c r="I8" s="220">
        <f t="shared" si="0"/>
        <v>135393.26710200001</v>
      </c>
      <c r="J8" s="220">
        <f t="shared" si="0"/>
        <v>4004489.9789999998</v>
      </c>
      <c r="K8" s="220">
        <f t="shared" si="0"/>
        <v>3800139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10">
        <f>VLOOKUP(A9,[3]הפניקס!$1:$1048576,4,0)</f>
        <v>0</v>
      </c>
      <c r="I9" s="110">
        <f>VLOOKUP(A9,[3]הפניקס!$1:$1048576,5,0)</f>
        <v>0</v>
      </c>
      <c r="J9" s="110">
        <f>VLOOKUP(A9,[3]הפניקס!$1:$1048576,6,0)</f>
        <v>0</v>
      </c>
      <c r="K9" s="110">
        <f>VLOOKUP(A9,[3]הפניקס!$1:$1048576,7,0)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>
        <f>VLOOKUP(A10,[3]הפניקס!$1:$1048576,4,0)</f>
        <v>4643.500884</v>
      </c>
      <c r="I10" s="110">
        <f>VLOOKUP(A10,[3]הפניקס!$1:$1048576,5,0)</f>
        <v>0</v>
      </c>
      <c r="J10" s="110">
        <f>VLOOKUP(A10,[3]הפניקס!$1:$1048576,6,0)</f>
        <v>0</v>
      </c>
      <c r="K10" s="110">
        <f>VLOOKUP(A10,[3]הפניקס!$1:$1048576,7,0)</f>
        <v>0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>
        <f>VLOOKUP(A11,[3]הפניקס!$1:$1048576,4,0)</f>
        <v>0</v>
      </c>
      <c r="I11" s="110">
        <f>VLOOKUP(A11,[3]הפניקס!$1:$1048576,5,0)</f>
        <v>2270.6503819999998</v>
      </c>
      <c r="J11" s="110">
        <f>VLOOKUP(A11,[3]הפניקס!$1:$1048576,6,0)</f>
        <v>0</v>
      </c>
      <c r="K11" s="110">
        <f>VLOOKUP(A11,[3]הפניקס!$1:$1048576,7,0)</f>
        <v>0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>
        <f>VLOOKUP(A12,[3]הפניקס!$1:$1048576,4,0)</f>
        <v>0</v>
      </c>
      <c r="I12" s="110">
        <f>VLOOKUP(A12,[3]הפניקס!$1:$1048576,5,0)</f>
        <v>0</v>
      </c>
      <c r="J12" s="110">
        <f>VLOOKUP(A12,[3]הפניקס!$1:$1048576,6,0)</f>
        <v>0</v>
      </c>
      <c r="K12" s="110">
        <f>VLOOKUP(A12,[3]הפניקס!$1:$1048576,7,0)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>
        <v>4311.3763749999998</v>
      </c>
      <c r="F13" s="14"/>
      <c r="G13" s="14"/>
      <c r="H13" s="110">
        <f>VLOOKUP(A13,[3]הפניקס!$1:$1048576,4,0)</f>
        <v>0</v>
      </c>
      <c r="I13" s="110">
        <f>VLOOKUP(A13,[3]הפניקס!$1:$1048576,5,0)</f>
        <v>82399.202600000004</v>
      </c>
      <c r="J13" s="110">
        <f>VLOOKUP(A13,[3]הפניקס!$1:$1048576,6,0)</f>
        <v>154743</v>
      </c>
      <c r="K13" s="110">
        <f>VLOOKUP(A13,[3]הפניקס!$1:$1048576,7,0)</f>
        <v>0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>
        <f>VLOOKUP(A14,[3]הפניקס!$1:$1048576,4,0)</f>
        <v>0</v>
      </c>
      <c r="I14" s="110">
        <f>VLOOKUP(A14,[3]הפניקס!$1:$1048576,5,0)</f>
        <v>0</v>
      </c>
      <c r="J14" s="110">
        <f>VLOOKUP(A14,[3]הפניקס!$1:$1048576,6,0)</f>
        <v>488678.2133</v>
      </c>
      <c r="K14" s="110">
        <f>VLOOKUP(A14,[3]הפניקס!$1:$1048576,7,0)</f>
        <v>0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>
        <f>VLOOKUP(A15,[3]הפניקס!$1:$1048576,4,0)</f>
        <v>0</v>
      </c>
      <c r="I15" s="110">
        <f>VLOOKUP(A15,[3]הפניקס!$1:$1048576,5,0)</f>
        <v>0</v>
      </c>
      <c r="J15" s="110">
        <f>VLOOKUP(A15,[3]הפניקס!$1:$1048576,6,0)</f>
        <v>0</v>
      </c>
      <c r="K15" s="110">
        <f>VLOOKUP(A15,[3]הפניקס!$1:$1048576,7,0)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>
        <f>VLOOKUP(A16,[3]הפניקס!$1:$1048576,4,0)</f>
        <v>46240.131150000001</v>
      </c>
      <c r="I16" s="110">
        <f>VLOOKUP(A16,[3]הפניקס!$1:$1048576,5,0)</f>
        <v>0</v>
      </c>
      <c r="J16" s="110">
        <f>VLOOKUP(A16,[3]הפניקס!$1:$1048576,6,0)</f>
        <v>0</v>
      </c>
      <c r="K16" s="110">
        <f>VLOOKUP(A16,[3]הפניקס!$1:$1048576,7,0)</f>
        <v>0</v>
      </c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>
        <v>21799</v>
      </c>
      <c r="E17" s="14">
        <v>2221</v>
      </c>
      <c r="F17" s="14"/>
      <c r="G17" s="14"/>
      <c r="H17" s="110">
        <f>VLOOKUP(A17,[3]הפניקס!$1:$1048576,4,0)</f>
        <v>54797.142220000002</v>
      </c>
      <c r="I17" s="110">
        <f>VLOOKUP(A17,[3]הפניקס!$1:$1048576,5,0)</f>
        <v>1226.8996299999999</v>
      </c>
      <c r="J17" s="110">
        <f>VLOOKUP(A17,[3]הפניקס!$1:$1048576,6,0)</f>
        <v>557695.43000000005</v>
      </c>
      <c r="K17" s="110">
        <f>VLOOKUP(A17,[3]הפניקס!$1:$1048576,7,0)</f>
        <v>310384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221">
        <v>100000</v>
      </c>
      <c r="F18" s="14"/>
      <c r="G18" s="14"/>
      <c r="H18" s="110">
        <f>VLOOKUP(A18,[3]הפניקס!$1:$1048576,4,0)</f>
        <v>74921.456099999996</v>
      </c>
      <c r="I18" s="110">
        <f>VLOOKUP(A18,[3]הפניקס!$1:$1048576,5,0)</f>
        <v>29509.61565</v>
      </c>
      <c r="J18" s="110">
        <f>VLOOKUP(A18,[3]הפניקס!$1:$1048576,6,0)</f>
        <v>4951841.415</v>
      </c>
      <c r="K18" s="110">
        <f>VLOOKUP(A18,[3]הפניקס!$1:$1048576,7,0)</f>
        <v>3342820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>
        <f>VLOOKUP(A19,[3]הפניקס!$1:$1048576,4,0)</f>
        <v>0</v>
      </c>
      <c r="I19" s="110">
        <f>VLOOKUP(A19,[3]הפניקס!$1:$1048576,5,0)</f>
        <v>0</v>
      </c>
      <c r="J19" s="110">
        <f>VLOOKUP(A19,[3]הפניקס!$1:$1048576,6,0)</f>
        <v>0</v>
      </c>
      <c r="K19" s="110">
        <f>VLOOKUP(A19,[3]הפניקס!$1:$1048576,7,0)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>
        <f>VLOOKUP(A20,[3]הפניקס!$1:$1048576,4,0)</f>
        <v>0</v>
      </c>
      <c r="I20" s="110">
        <f>VLOOKUP(A20,[3]הפניקס!$1:$1048576,5,0)</f>
        <v>0</v>
      </c>
      <c r="J20" s="110">
        <f>VLOOKUP(A20,[3]הפניקס!$1:$1048576,6,0)</f>
        <v>0</v>
      </c>
      <c r="K20" s="110">
        <f>VLOOKUP(A20,[3]הפניקס!$1:$1048576,7,0)</f>
        <v>0</v>
      </c>
    </row>
    <row r="21" spans="1:11" ht="21.75" thickBot="1" x14ac:dyDescent="0.4">
      <c r="A21" s="143" t="s">
        <v>10</v>
      </c>
      <c r="B21" s="142"/>
      <c r="C21" s="142"/>
      <c r="D21" s="220">
        <f>SUM(D9:D20)</f>
        <v>21799</v>
      </c>
      <c r="E21" s="220">
        <f t="shared" ref="E21:K21" si="1">SUM(E9:E20)</f>
        <v>106532.37637499999</v>
      </c>
      <c r="F21" s="220">
        <f t="shared" si="1"/>
        <v>0</v>
      </c>
      <c r="G21" s="220">
        <f t="shared" si="1"/>
        <v>0</v>
      </c>
      <c r="H21" s="220">
        <f t="shared" si="1"/>
        <v>180602.230354</v>
      </c>
      <c r="I21" s="220">
        <f t="shared" si="1"/>
        <v>115406.368262</v>
      </c>
      <c r="J21" s="220">
        <f t="shared" si="1"/>
        <v>6152958.0582999997</v>
      </c>
      <c r="K21" s="220">
        <f t="shared" si="1"/>
        <v>3653204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>
        <f>SUM(F9:F21)</f>
        <v>0</v>
      </c>
      <c r="G22" s="18"/>
      <c r="H22" s="110">
        <f>VLOOKUP(A22,[3]הפניקס!$1:$1048576,4,0)</f>
        <v>0</v>
      </c>
      <c r="I22" s="110">
        <f>VLOOKUP(A22,[3]הפניקס!$1:$1048576,5,0)</f>
        <v>0</v>
      </c>
      <c r="J22" s="110">
        <f>VLOOKUP(A22,[3]הפניקס!$1:$1048576,6,0)</f>
        <v>0</v>
      </c>
      <c r="K22" s="110">
        <f>VLOOKUP(A22,[3]הפניקס!$1:$1048576,7,0)</f>
        <v>2595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>
        <f>VLOOKUP(A23,[3]הפניקס!$1:$1048576,4,0)</f>
        <v>0</v>
      </c>
      <c r="I23" s="110">
        <f>VLOOKUP(A23,[3]הפניקס!$1:$1048576,5,0)</f>
        <v>0</v>
      </c>
      <c r="J23" s="110">
        <f>VLOOKUP(A23,[3]הפניקס!$1:$1048576,6,0)</f>
        <v>0</v>
      </c>
      <c r="K23" s="110">
        <f>VLOOKUP(A23,[3]הפניקס!$1:$1048576,7,0)</f>
        <v>0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>
        <f>VLOOKUP(A24,[3]הפניקס!$1:$1048576,4,0)</f>
        <v>0</v>
      </c>
      <c r="I24" s="110">
        <f>VLOOKUP(A24,[3]הפניקס!$1:$1048576,5,0)</f>
        <v>0</v>
      </c>
      <c r="J24" s="110">
        <f>VLOOKUP(A24,[3]הפניקס!$1:$1048576,6,0)</f>
        <v>0</v>
      </c>
      <c r="K24" s="110">
        <f>VLOOKUP(A24,[3]הפניקס!$1:$1048576,7,0)</f>
        <v>0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VLOOKUP(A25,[3]הפניקס!$1:$1048576,4,0)</f>
        <v>0</v>
      </c>
      <c r="I25" s="110">
        <f>VLOOKUP(A25,[3]הפניקס!$1:$1048576,5,0)</f>
        <v>0</v>
      </c>
      <c r="J25" s="110">
        <f>VLOOKUP(A25,[3]הפניקס!$1:$1048576,6,0)</f>
        <v>0</v>
      </c>
      <c r="K25" s="110">
        <f>VLOOKUP(A25,[3]הפניקס!$1:$1048576,7,0)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>
        <f>VLOOKUP(A26,[3]הפניקס!$1:$1048576,4,0)</f>
        <v>1362637.8870000001</v>
      </c>
      <c r="I26" s="110">
        <f>VLOOKUP(A26,[3]הפניקס!$1:$1048576,5,0)</f>
        <v>10109.59643</v>
      </c>
      <c r="J26" s="110">
        <f>VLOOKUP(A26,[3]הפניקס!$1:$1048576,6,0)</f>
        <v>0</v>
      </c>
      <c r="K26" s="110">
        <f>VLOOKUP(A26,[3]הפניקס!$1:$1048576,7,0)</f>
        <v>1163727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>
        <f>VLOOKUP(A27,[3]הפניקס!$1:$1048576,4,0)</f>
        <v>8908.0784540000004</v>
      </c>
      <c r="I27" s="110">
        <f>VLOOKUP(A27,[3]הפניקס!$1:$1048576,5,0)</f>
        <v>33186.806949999998</v>
      </c>
      <c r="J27" s="110">
        <f>VLOOKUP(A27,[3]הפניקס!$1:$1048576,6,0)</f>
        <v>4473</v>
      </c>
      <c r="K27" s="110">
        <f>VLOOKUP(A27,[3]הפניקס!$1:$1048576,7,0)</f>
        <v>0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>
        <f>VLOOKUP(A28,[3]הפניקס!$1:$1048576,4,0)</f>
        <v>0</v>
      </c>
      <c r="I28" s="110">
        <f>VLOOKUP(A28,[3]הפניקס!$1:$1048576,5,0)</f>
        <v>0</v>
      </c>
      <c r="J28" s="110">
        <f>VLOOKUP(A28,[3]הפניקס!$1:$1048576,6,0)</f>
        <v>0</v>
      </c>
      <c r="K28" s="110">
        <f>VLOOKUP(A28,[3]הפניקס!$1:$1048576,7,0)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>
        <f>VLOOKUP(A29,[3]הפניקס!$1:$1048576,4,0)</f>
        <v>0</v>
      </c>
      <c r="I29" s="110">
        <f>VLOOKUP(A29,[3]הפניקס!$1:$1048576,5,0)</f>
        <v>0</v>
      </c>
      <c r="J29" s="110">
        <f>VLOOKUP(A29,[3]הפניקס!$1:$1048576,6,0)</f>
        <v>0</v>
      </c>
      <c r="K29" s="110">
        <f>VLOOKUP(A29,[3]הפניקס!$1:$1048576,7,0)</f>
        <v>0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>
        <f>VLOOKUP(A30,[3]הפניקס!$1:$1048576,4,0)</f>
        <v>8356.553656</v>
      </c>
      <c r="I30" s="110">
        <f>VLOOKUP(A30,[3]הפניקס!$1:$1048576,5,0)</f>
        <v>1040.1922520000001</v>
      </c>
      <c r="J30" s="110">
        <f>VLOOKUP(A30,[3]הפניקס!$1:$1048576,6,0)</f>
        <v>21709.11</v>
      </c>
      <c r="K30" s="110">
        <f>VLOOKUP(A30,[3]הפניקס!$1:$1048576,7,0)</f>
        <v>0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>
        <f>VLOOKUP(A31,[3]הפניקס!$1:$1048576,4,0)</f>
        <v>0</v>
      </c>
      <c r="I31" s="110">
        <f>VLOOKUP(A31,[3]הפניקס!$1:$1048576,5,0)</f>
        <v>0</v>
      </c>
      <c r="J31" s="110">
        <f>VLOOKUP(A31,[3]הפניקס!$1:$1048576,6,0)</f>
        <v>0</v>
      </c>
      <c r="K31" s="110">
        <f>VLOOKUP(A31,[3]הפניקס!$1:$1048576,7,0)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VLOOKUP(A32,[3]הפניקס!$1:$1048576,4,0)</f>
        <v>0</v>
      </c>
      <c r="I32" s="110">
        <f>VLOOKUP(A32,[3]הפניקס!$1:$1048576,5,0)</f>
        <v>0</v>
      </c>
      <c r="J32" s="110">
        <f>VLOOKUP(A32,[3]הפניקס!$1:$1048576,6,0)</f>
        <v>0</v>
      </c>
      <c r="K32" s="110">
        <f>VLOOKUP(A32,[3]הפניקס!$1:$1048576,7,0)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VLOOKUP(A33,[3]הפניקס!$1:$1048576,4,0)</f>
        <v>0</v>
      </c>
      <c r="I33" s="110">
        <f>VLOOKUP(A33,[3]הפניקס!$1:$1048576,5,0)</f>
        <v>0</v>
      </c>
      <c r="J33" s="110">
        <f>VLOOKUP(A33,[3]הפניקס!$1:$1048576,6,0)</f>
        <v>0</v>
      </c>
      <c r="K33" s="110">
        <f>VLOOKUP(A33,[3]הפניקס!$1:$1048576,7,0)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VLOOKUP(A34,[3]הפניקס!$1:$1048576,4,0)</f>
        <v>0</v>
      </c>
      <c r="I34" s="110">
        <f>VLOOKUP(A34,[3]הפניקס!$1:$1048576,5,0)</f>
        <v>0</v>
      </c>
      <c r="J34" s="110">
        <f>VLOOKUP(A34,[3]הפניקס!$1:$1048576,6,0)</f>
        <v>0</v>
      </c>
      <c r="K34" s="110">
        <f>VLOOKUP(A34,[3]הפניקס!$1:$1048576,7,0)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>
        <f>VLOOKUP(A35,[3]הפניקס!$1:$1048576,4,0)</f>
        <v>0</v>
      </c>
      <c r="I35" s="110">
        <f>VLOOKUP(A35,[3]הפניקס!$1:$1048576,5,0)</f>
        <v>0</v>
      </c>
      <c r="J35" s="110">
        <f>VLOOKUP(A35,[3]הפניקס!$1:$1048576,6,0)</f>
        <v>0</v>
      </c>
      <c r="K35" s="110">
        <f>VLOOKUP(A35,[3]הפניקס!$1:$1048576,7,0)</f>
        <v>0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VLOOKUP(A36,[3]הפניקס!$1:$1048576,4,0)</f>
        <v>0</v>
      </c>
      <c r="I36" s="110">
        <f>VLOOKUP(A36,[3]הפניקס!$1:$1048576,5,0)</f>
        <v>0</v>
      </c>
      <c r="J36" s="110">
        <f>VLOOKUP(A36,[3]הפניקס!$1:$1048576,6,0)</f>
        <v>0</v>
      </c>
      <c r="K36" s="110">
        <f>VLOOKUP(A36,[3]הפניקס!$1:$1048576,7,0)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VLOOKUP(A37,[3]הפניקס!$1:$1048576,4,0)</f>
        <v>0</v>
      </c>
      <c r="I37" s="110">
        <f>VLOOKUP(A37,[3]הפניקס!$1:$1048576,5,0)</f>
        <v>0</v>
      </c>
      <c r="J37" s="110">
        <f>VLOOKUP(A37,[3]הפניקס!$1:$1048576,6,0)</f>
        <v>0</v>
      </c>
      <c r="K37" s="110">
        <f>VLOOKUP(A37,[3]הפניקס!$1:$1048576,7,0)</f>
        <v>0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VLOOKUP(A38,[3]הפניקס!$1:$1048576,4,0)</f>
        <v>0</v>
      </c>
      <c r="I38" s="110">
        <f>VLOOKUP(A38,[3]הפניקס!$1:$1048576,5,0)</f>
        <v>0</v>
      </c>
      <c r="J38" s="110">
        <f>VLOOKUP(A38,[3]הפניקס!$1:$1048576,6,0)</f>
        <v>0</v>
      </c>
      <c r="K38" s="110">
        <f>VLOOKUP(A38,[3]הפניקס!$1:$1048576,7,0)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VLOOKUP(A39,[3]הפניקס!$1:$1048576,4,0)</f>
        <v>0</v>
      </c>
      <c r="I39" s="110">
        <f>VLOOKUP(A39,[3]הפניקס!$1:$1048576,5,0)</f>
        <v>0</v>
      </c>
      <c r="J39" s="110">
        <f>VLOOKUP(A39,[3]הפניקס!$1:$1048576,6,0)</f>
        <v>0</v>
      </c>
      <c r="K39" s="110">
        <f>VLOOKUP(A39,[3]הפניקס!$1:$1048576,7,0)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>
        <f>VLOOKUP(A40,[3]הפניקס!$1:$1048576,4,0)</f>
        <v>0</v>
      </c>
      <c r="I40" s="110">
        <f>VLOOKUP(A40,[3]הפניקס!$1:$1048576,5,0)</f>
        <v>0</v>
      </c>
      <c r="J40" s="110">
        <f>VLOOKUP(A40,[3]הפניקס!$1:$1048576,6,0)</f>
        <v>0</v>
      </c>
      <c r="K40" s="110">
        <f>VLOOKUP(A40,[3]הפניקס!$1:$1048576,7,0)</f>
        <v>0</v>
      </c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>
        <f>VLOOKUP(A41,[3]הפניקס!$1:$1048576,4,0)</f>
        <v>0</v>
      </c>
      <c r="I41" s="110">
        <f>VLOOKUP(A41,[3]הפניקס!$1:$1048576,5,0)</f>
        <v>30</v>
      </c>
      <c r="J41" s="110">
        <f>VLOOKUP(A41,[3]הפניקס!$1:$1048576,6,0)</f>
        <v>0</v>
      </c>
      <c r="K41" s="110">
        <f>VLOOKUP(A41,[3]הפניקס!$1:$1048576,7,0)</f>
        <v>0</v>
      </c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>
        <f>VLOOKUP(A42,[3]הפניקס!$1:$1048576,4,0)</f>
        <v>1738.939312</v>
      </c>
      <c r="I42" s="110">
        <f>VLOOKUP(A42,[3]הפניקס!$1:$1048576,5,0)</f>
        <v>19168.230329999999</v>
      </c>
      <c r="J42" s="110">
        <f>VLOOKUP(A42,[3]הפניקס!$1:$1048576,6,0)</f>
        <v>0</v>
      </c>
      <c r="K42" s="110">
        <f>VLOOKUP(A42,[3]הפניקס!$1:$1048576,7,0)</f>
        <v>0</v>
      </c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>
        <v>9373.58</v>
      </c>
      <c r="G43" s="14"/>
      <c r="H43" s="110">
        <f>VLOOKUP(A43,[3]הפניקס!$1:$1048576,4,0)</f>
        <v>0</v>
      </c>
      <c r="I43" s="110">
        <f>VLOOKUP(A43,[3]הפניקס!$1:$1048576,5,0)</f>
        <v>0</v>
      </c>
      <c r="J43" s="110">
        <f>VLOOKUP(A43,[3]הפניקס!$1:$1048576,6,0)</f>
        <v>30000</v>
      </c>
      <c r="K43" s="110">
        <f>VLOOKUP(A43,[3]הפניקס!$1:$1048576,7,0)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>
        <f>VLOOKUP(A44,[3]הפניקס!$1:$1048576,4,0)</f>
        <v>0</v>
      </c>
      <c r="I44" s="110">
        <f>VLOOKUP(A44,[3]הפניקס!$1:$1048576,5,0)</f>
        <v>1248.8556980000001</v>
      </c>
      <c r="J44" s="110">
        <f>VLOOKUP(A44,[3]הפניקס!$1:$1048576,6,0)</f>
        <v>118725.02</v>
      </c>
      <c r="K44" s="110">
        <f>VLOOKUP(A44,[3]הפניקס!$1:$1048576,7,0)</f>
        <v>43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>
        <f>VLOOKUP(A45,[3]הפניקס!$1:$1048576,4,0)</f>
        <v>0</v>
      </c>
      <c r="I45" s="110">
        <f>VLOOKUP(A45,[3]הפניקס!$1:$1048576,5,0)</f>
        <v>0</v>
      </c>
      <c r="J45" s="110">
        <f>VLOOKUP(A45,[3]הפניקס!$1:$1048576,6,0)</f>
        <v>0</v>
      </c>
      <c r="K45" s="110">
        <f>VLOOKUP(A45,[3]הפניקס!$1:$1048576,7,0)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>
        <f>VLOOKUP(A46,[3]הפניקס!$1:$1048576,4,0)</f>
        <v>182.721858</v>
      </c>
      <c r="I46" s="110">
        <f>VLOOKUP(A46,[3]הפניקס!$1:$1048576,5,0)</f>
        <v>2170.2295119999999</v>
      </c>
      <c r="J46" s="110">
        <f>VLOOKUP(A46,[3]הפניקס!$1:$1048576,6,0)</f>
        <v>0</v>
      </c>
      <c r="K46" s="110">
        <f>VLOOKUP(A46,[3]הפניקס!$1:$1048576,7,0)</f>
        <v>0</v>
      </c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>
        <f>VLOOKUP(A47,[3]הפניקס!$1:$1048576,4,0)</f>
        <v>0</v>
      </c>
      <c r="I47" s="110">
        <f>VLOOKUP(A47,[3]הפניקס!$1:$1048576,5,0)</f>
        <v>0</v>
      </c>
      <c r="J47" s="110">
        <f>VLOOKUP(A47,[3]הפניקס!$1:$1048576,6,0)</f>
        <v>0</v>
      </c>
      <c r="K47" s="110">
        <f>VLOOKUP(A47,[3]הפניקס!$1:$1048576,7,0)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>
        <v>79000</v>
      </c>
      <c r="G48" s="14"/>
      <c r="H48" s="110">
        <f>VLOOKUP(A48,[3]הפניקס!$1:$1048576,4,0)</f>
        <v>0</v>
      </c>
      <c r="I48" s="110">
        <f>VLOOKUP(A48,[3]הפניקס!$1:$1048576,5,0)</f>
        <v>0</v>
      </c>
      <c r="J48" s="110">
        <f>VLOOKUP(A48,[3]הפניקס!$1:$1048576,6,0)</f>
        <v>79000</v>
      </c>
      <c r="K48" s="110">
        <f>VLOOKUP(A48,[3]הפניקס!$1:$1048576,7,0)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>
        <v>200000</v>
      </c>
      <c r="F49" s="14">
        <v>259590</v>
      </c>
      <c r="G49" s="14"/>
      <c r="H49" s="110">
        <f>VLOOKUP(A49,[3]הפניקס!$1:$1048576,4,0)</f>
        <v>104570.3941</v>
      </c>
      <c r="I49" s="110">
        <f>VLOOKUP(A49,[3]הפניקס!$1:$1048576,5,0)</f>
        <v>0</v>
      </c>
      <c r="J49" s="110">
        <f>VLOOKUP(A49,[3]הפניקס!$1:$1048576,6,0)</f>
        <v>209920.22</v>
      </c>
      <c r="K49" s="110">
        <f>VLOOKUP(A49,[3]הפניקס!$1:$1048576,7,0)</f>
        <v>955015</v>
      </c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VLOOKUP(A50,[3]הפניקס!$1:$1048576,4,0)</f>
        <v>0</v>
      </c>
      <c r="I50" s="110">
        <f>VLOOKUP(A50,[3]הפניקס!$1:$1048576,5,0)</f>
        <v>0</v>
      </c>
      <c r="J50" s="110">
        <f>VLOOKUP(A50,[3]הפניקס!$1:$1048576,6,0)</f>
        <v>0</v>
      </c>
      <c r="K50" s="110">
        <f>VLOOKUP(A50,[3]הפניקס!$1:$1048576,7,0)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>
        <f>VLOOKUP(A51,[3]הפניקס!$1:$1048576,4,0)</f>
        <v>9306.0183919999999</v>
      </c>
      <c r="I51" s="110">
        <f>VLOOKUP(A51,[3]הפניקס!$1:$1048576,5,0)</f>
        <v>4246.3580499999998</v>
      </c>
      <c r="J51" s="110">
        <f>VLOOKUP(A51,[3]הפניקס!$1:$1048576,6,0)</f>
        <v>0</v>
      </c>
      <c r="K51" s="110">
        <f>VLOOKUP(A51,[3]הפניקס!$1:$1048576,7,0)</f>
        <v>55089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VLOOKUP(A52,[3]הפניקס!$1:$1048576,4,0)</f>
        <v>0</v>
      </c>
      <c r="I52" s="110">
        <f>VLOOKUP(A52,[3]הפניקס!$1:$1048576,5,0)</f>
        <v>0</v>
      </c>
      <c r="J52" s="110">
        <f>VLOOKUP(A52,[3]הפניקס!$1:$1048576,6,0)</f>
        <v>0</v>
      </c>
      <c r="K52" s="110">
        <f>VLOOKUP(A52,[3]הפניקס!$1:$1048576,7,0)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>
        <f>VLOOKUP(A53,[3]הפניקס!$1:$1048576,4,0)</f>
        <v>0</v>
      </c>
      <c r="I53" s="110">
        <f>VLOOKUP(A53,[3]הפניקס!$1:$1048576,5,0)</f>
        <v>0</v>
      </c>
      <c r="J53" s="110">
        <f>VLOOKUP(A53,[3]הפניקס!$1:$1048576,6,0)</f>
        <v>0</v>
      </c>
      <c r="K53" s="110">
        <f>VLOOKUP(A53,[3]הפניקס!$1:$1048576,7,0)</f>
        <v>0</v>
      </c>
    </row>
    <row r="54" spans="1:13" ht="21.75" thickBot="1" x14ac:dyDescent="0.4">
      <c r="A54" s="144" t="s">
        <v>130</v>
      </c>
      <c r="B54" s="142"/>
      <c r="C54" s="142"/>
      <c r="D54" s="220">
        <f>SUM(D22:D53)</f>
        <v>0</v>
      </c>
      <c r="E54" s="220">
        <f t="shared" ref="E54:K54" si="2">SUM(E22:E53)</f>
        <v>200000</v>
      </c>
      <c r="F54" s="220">
        <f t="shared" si="2"/>
        <v>347963.58</v>
      </c>
      <c r="G54" s="220">
        <f t="shared" si="2"/>
        <v>0</v>
      </c>
      <c r="H54" s="220">
        <f t="shared" si="2"/>
        <v>1495700.592772</v>
      </c>
      <c r="I54" s="220">
        <f t="shared" si="2"/>
        <v>71200.269221999988</v>
      </c>
      <c r="J54" s="220">
        <f t="shared" si="2"/>
        <v>463827.35</v>
      </c>
      <c r="K54" s="220">
        <f t="shared" si="2"/>
        <v>2176469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>
        <f>VLOOKUP(A55,[3]הפניקס!$1:$1048576,4,0)</f>
        <v>0</v>
      </c>
      <c r="I55" s="110">
        <f>VLOOKUP(A55,[3]הפניקס!$1:$1048576,5,0)</f>
        <v>0</v>
      </c>
      <c r="J55" s="110">
        <f>VLOOKUP(A55,[3]הפניקס!$1:$1048576,6,0)</f>
        <v>0</v>
      </c>
      <c r="K55" s="110">
        <f>VLOOKUP(A55,[3]הפניקס!$1:$1048576,7,0)</f>
        <v>0</v>
      </c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>
        <v>820</v>
      </c>
      <c r="F56" s="14"/>
      <c r="G56" s="14"/>
      <c r="H56" s="110">
        <f>VLOOKUP(A56,[3]הפניקס!$1:$1048576,4,0)</f>
        <v>0</v>
      </c>
      <c r="I56" s="110">
        <f>VLOOKUP(A56,[3]הפניקס!$1:$1048576,5,0)</f>
        <v>332.492006</v>
      </c>
      <c r="J56" s="110">
        <f>VLOOKUP(A56,[3]הפניקס!$1:$1048576,6,0)</f>
        <v>0</v>
      </c>
      <c r="K56" s="110">
        <f>VLOOKUP(A56,[3]הפניקס!$1:$1048576,7,0)</f>
        <v>571902</v>
      </c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>
        <f>VLOOKUP(A57,[3]הפניקס!$1:$1048576,4,0)</f>
        <v>0</v>
      </c>
      <c r="I57" s="110">
        <f>VLOOKUP(A57,[3]הפניקס!$1:$1048576,5,0)</f>
        <v>0</v>
      </c>
      <c r="J57" s="110">
        <f>VLOOKUP(A57,[3]הפניקס!$1:$1048576,6,0)</f>
        <v>0</v>
      </c>
      <c r="K57" s="110">
        <f>VLOOKUP(A57,[3]הפניקס!$1:$1048576,7,0)</f>
        <v>0</v>
      </c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>
        <f>VLOOKUP(A58,[3]הפניקס!$1:$1048576,4,0)</f>
        <v>0</v>
      </c>
      <c r="I58" s="110">
        <f>VLOOKUP(A58,[3]הפניקס!$1:$1048576,5,0)</f>
        <v>0</v>
      </c>
      <c r="J58" s="110">
        <f>VLOOKUP(A58,[3]הפניקס!$1:$1048576,6,0)</f>
        <v>0</v>
      </c>
      <c r="K58" s="110">
        <f>VLOOKUP(A58,[3]הפניקס!$1:$1048576,7,0)</f>
        <v>0</v>
      </c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>
        <f>VLOOKUP(A59,[3]הפניקס!$1:$1048576,4,0)</f>
        <v>0</v>
      </c>
      <c r="I59" s="110">
        <f>VLOOKUP(A59,[3]הפניקס!$1:$1048576,5,0)</f>
        <v>0</v>
      </c>
      <c r="J59" s="110">
        <f>VLOOKUP(A59,[3]הפניקס!$1:$1048576,6,0)</f>
        <v>236026.47020000001</v>
      </c>
      <c r="K59" s="110">
        <f>VLOOKUP(A59,[3]הפניקס!$1:$1048576,7,0)</f>
        <v>1066</v>
      </c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>
        <f>VLOOKUP(A60,[3]הפניקס!$1:$1048576,4,0)</f>
        <v>0</v>
      </c>
      <c r="I60" s="110">
        <f>VLOOKUP(A60,[3]הפניקס!$1:$1048576,5,0)</f>
        <v>0</v>
      </c>
      <c r="J60" s="110">
        <f>VLOOKUP(A60,[3]הפניקס!$1:$1048576,6,0)</f>
        <v>0</v>
      </c>
      <c r="K60" s="110">
        <f>VLOOKUP(A60,[3]הפניקס!$1:$1048576,7,0)</f>
        <v>0</v>
      </c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>
        <v>23000</v>
      </c>
      <c r="G61" s="14"/>
      <c r="H61" s="110">
        <f>VLOOKUP(A61,[3]הפניקס!$1:$1048576,4,0)</f>
        <v>0</v>
      </c>
      <c r="I61" s="110">
        <f>VLOOKUP(A61,[3]הפניקס!$1:$1048576,5,0)</f>
        <v>210.421222</v>
      </c>
      <c r="J61" s="110">
        <f>VLOOKUP(A61,[3]הפניקס!$1:$1048576,6,0)</f>
        <v>60520</v>
      </c>
      <c r="K61" s="110">
        <f>VLOOKUP(A61,[3]הפניקס!$1:$1048576,7,0)</f>
        <v>0</v>
      </c>
    </row>
    <row r="62" spans="1:13" ht="21.75" thickBot="1" x14ac:dyDescent="0.4">
      <c r="A62" s="144" t="s">
        <v>131</v>
      </c>
      <c r="B62" s="143"/>
      <c r="C62" s="143"/>
      <c r="D62" s="220">
        <f>SUM(D55:D61)</f>
        <v>0</v>
      </c>
      <c r="E62" s="220">
        <f t="shared" ref="E62:K62" si="3">SUM(E55:E61)</f>
        <v>820</v>
      </c>
      <c r="F62" s="220">
        <f t="shared" si="3"/>
        <v>23000</v>
      </c>
      <c r="G62" s="220">
        <f t="shared" si="3"/>
        <v>0</v>
      </c>
      <c r="H62" s="220">
        <f t="shared" si="3"/>
        <v>0</v>
      </c>
      <c r="I62" s="220">
        <f t="shared" si="3"/>
        <v>542.913228</v>
      </c>
      <c r="J62" s="220">
        <f t="shared" si="3"/>
        <v>296546.47019999998</v>
      </c>
      <c r="K62" s="220">
        <f t="shared" si="3"/>
        <v>572968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10">
        <f>VLOOKUP(A63,[3]הפניקס!$1:$1048576,4,0)</f>
        <v>37831</v>
      </c>
      <c r="I63" s="110">
        <f>VLOOKUP(A63,[3]הפניקס!$1:$1048576,5,0)</f>
        <v>2710</v>
      </c>
      <c r="J63" s="110">
        <f>VLOOKUP(A63,[3]הפניקס!$1:$1048576,6,0)</f>
        <v>1876659</v>
      </c>
      <c r="K63" s="110">
        <f>VLOOKUP(A63,[3]הפניקס!$1:$1048576,7,0)</f>
        <v>262685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>
        <f>VLOOKUP(A64,[3]הפניקס!$1:$1048576,4,0)</f>
        <v>23323.533490000002</v>
      </c>
      <c r="I64" s="110">
        <f>VLOOKUP(A64,[3]הפניקס!$1:$1048576,5,0)</f>
        <v>2280.1586940000002</v>
      </c>
      <c r="J64" s="110">
        <f>VLOOKUP(A64,[3]הפניקס!$1:$1048576,6,0)</f>
        <v>34850</v>
      </c>
      <c r="K64" s="110">
        <f>VLOOKUP(A64,[3]הפניקס!$1:$1048576,7,0)</f>
        <v>0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f>VLOOKUP(A65,[3]הפניקס!$1:$1048576,4,0)</f>
        <v>0</v>
      </c>
      <c r="I65" s="110">
        <f>VLOOKUP(A65,[3]הפניקס!$1:$1048576,5,0)</f>
        <v>0</v>
      </c>
      <c r="J65" s="110">
        <f>VLOOKUP(A65,[3]הפניקס!$1:$1048576,6,0)</f>
        <v>237632.82320000001</v>
      </c>
      <c r="K65" s="110">
        <f>VLOOKUP(A65,[3]הפניקס!$1:$1048576,7,0)</f>
        <v>0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>
        <v>2000</v>
      </c>
      <c r="G66" s="14"/>
      <c r="H66" s="110">
        <f>VLOOKUP(A66,[3]הפניקס!$1:$1048576,4,0)</f>
        <v>0</v>
      </c>
      <c r="I66" s="110">
        <f>VLOOKUP(A66,[3]הפניקס!$1:$1048576,5,0)</f>
        <v>0</v>
      </c>
      <c r="J66" s="110">
        <f>VLOOKUP(A66,[3]הפניקס!$1:$1048576,6,0)</f>
        <v>0</v>
      </c>
      <c r="K66" s="110">
        <f>VLOOKUP(A66,[3]הפניקס!$1:$1048576,7,0)</f>
        <v>0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>
        <f>VLOOKUP(A67,[3]הפניקס!$1:$1048576,4,0)</f>
        <v>0</v>
      </c>
      <c r="I67" s="110">
        <f>VLOOKUP(A67,[3]הפניקס!$1:$1048576,5,0)</f>
        <v>0</v>
      </c>
      <c r="J67" s="110">
        <f>VLOOKUP(A67,[3]הפניקס!$1:$1048576,6,0)</f>
        <v>0</v>
      </c>
      <c r="K67" s="110">
        <f>VLOOKUP(A67,[3]הפניקס!$1:$1048576,7,0)</f>
        <v>90372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>
        <f>VLOOKUP(A68,[3]הפניקס!$1:$1048576,4,0)</f>
        <v>17712.547620000001</v>
      </c>
      <c r="I68" s="110">
        <f>VLOOKUP(A68,[3]הפניקס!$1:$1048576,5,0)</f>
        <v>4202.0903099999996</v>
      </c>
      <c r="J68" s="110">
        <f>VLOOKUP(A68,[3]הפניקס!$1:$1048576,6,0)</f>
        <v>67347</v>
      </c>
      <c r="K68" s="110">
        <f>VLOOKUP(A68,[3]הפניקס!$1:$1048576,7,0)</f>
        <v>0</v>
      </c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>
        <f>VLOOKUP(A69,[3]הפניקס!$1:$1048576,4,0)</f>
        <v>39808.540950000002</v>
      </c>
      <c r="I69" s="110">
        <f>VLOOKUP(A69,[3]הפניקס!$1:$1048576,5,0)</f>
        <v>6306.7010819999996</v>
      </c>
      <c r="J69" s="110">
        <f>VLOOKUP(A69,[3]הפניקס!$1:$1048576,6,0)</f>
        <v>1559895.0390000001</v>
      </c>
      <c r="K69" s="110">
        <f>VLOOKUP(A69,[3]הפניקס!$1:$1048576,7,0)</f>
        <v>22444</v>
      </c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>
        <v>688465.94850000006</v>
      </c>
      <c r="F70" s="15">
        <v>139367.24</v>
      </c>
      <c r="G70" s="15"/>
      <c r="H70" s="110">
        <f>VLOOKUP(A70,[3]הפניקס!$1:$1048576,4,0)</f>
        <v>0</v>
      </c>
      <c r="I70" s="110">
        <f>VLOOKUP(A70,[3]הפניקס!$1:$1048576,5,0)</f>
        <v>0</v>
      </c>
      <c r="J70" s="110">
        <f>VLOOKUP(A70,[3]הפניקס!$1:$1048576,6,0)</f>
        <v>0</v>
      </c>
      <c r="K70" s="110">
        <f>VLOOKUP(A70,[3]הפניקס!$1:$1048576,7,0)</f>
        <v>0</v>
      </c>
    </row>
    <row r="71" spans="1:12" ht="21.75" thickBot="1" x14ac:dyDescent="0.3">
      <c r="A71" s="143" t="s">
        <v>44</v>
      </c>
      <c r="B71" s="142"/>
      <c r="C71" s="142"/>
      <c r="D71" s="152">
        <f>SUM(D63:D70)</f>
        <v>0</v>
      </c>
      <c r="E71" s="152">
        <f t="shared" ref="E71:K71" si="4">SUM(E63:E70)</f>
        <v>688465.94850000006</v>
      </c>
      <c r="F71" s="152">
        <f t="shared" si="4"/>
        <v>141367.24</v>
      </c>
      <c r="G71" s="152">
        <f t="shared" si="4"/>
        <v>0</v>
      </c>
      <c r="H71" s="152">
        <f t="shared" si="4"/>
        <v>118675.62205999999</v>
      </c>
      <c r="I71" s="152">
        <f t="shared" si="4"/>
        <v>15498.950085999999</v>
      </c>
      <c r="J71" s="152">
        <f t="shared" si="4"/>
        <v>3776383.8622000003</v>
      </c>
      <c r="K71" s="152">
        <f t="shared" si="4"/>
        <v>375501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189287.03292</v>
      </c>
      <c r="E72" s="152">
        <f t="shared" ref="E72:J72" si="5">E71+E62+E54+E21+E8</f>
        <v>1314115.3248749999</v>
      </c>
      <c r="F72" s="152">
        <f t="shared" si="5"/>
        <v>1039952.49</v>
      </c>
      <c r="G72" s="152">
        <f t="shared" si="5"/>
        <v>101779</v>
      </c>
      <c r="H72" s="152">
        <f t="shared" si="5"/>
        <v>2798604.1631859997</v>
      </c>
      <c r="I72" s="152">
        <f t="shared" si="5"/>
        <v>338041.76789999998</v>
      </c>
      <c r="J72" s="152">
        <f t="shared" si="5"/>
        <v>14694205.719699999</v>
      </c>
      <c r="K72" s="152">
        <f>K71+K62+K54+K21+K8</f>
        <v>10578281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K72" xr:uid="{C38FFD32-F11B-4794-BC1B-20DC7255B5B1}"/>
  <mergeCells count="2">
    <mergeCell ref="D1:G1"/>
    <mergeCell ref="H1:K1"/>
  </mergeCells>
  <conditionalFormatting sqref="A1">
    <cfRule type="duplicateValues" dxfId="139" priority="19"/>
    <cfRule type="duplicateValues" dxfId="138" priority="20"/>
  </conditionalFormatting>
  <conditionalFormatting sqref="A14">
    <cfRule type="duplicateValues" dxfId="137" priority="9"/>
    <cfRule type="duplicateValues" dxfId="136" priority="10"/>
  </conditionalFormatting>
  <conditionalFormatting sqref="A55">
    <cfRule type="duplicateValues" dxfId="135" priority="11"/>
    <cfRule type="duplicateValues" dxfId="134" priority="12"/>
  </conditionalFormatting>
  <conditionalFormatting sqref="A56:A58 A7 A22:A53 A60">
    <cfRule type="duplicateValues" dxfId="133" priority="17"/>
    <cfRule type="duplicateValues" dxfId="132" priority="18"/>
  </conditionalFormatting>
  <conditionalFormatting sqref="A59">
    <cfRule type="duplicateValues" dxfId="131" priority="7"/>
    <cfRule type="duplicateValues" dxfId="130" priority="8"/>
  </conditionalFormatting>
  <conditionalFormatting sqref="A63:A70">
    <cfRule type="duplicateValues" dxfId="129" priority="15"/>
    <cfRule type="duplicateValues" dxfId="128" priority="16"/>
  </conditionalFormatting>
  <conditionalFormatting sqref="A71:A72 A2:A6 A8:A13 A15:A21 A54 A62">
    <cfRule type="duplicateValues" dxfId="127" priority="13"/>
    <cfRule type="duplicateValues" dxfId="126" priority="1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1864-30CD-4899-A197-CCB85FE84C05}">
  <sheetPr>
    <tabColor theme="0"/>
  </sheetPr>
  <dimension ref="A1:M72"/>
  <sheetViews>
    <sheetView rightToLeft="1" zoomScaleNormal="100" workbookViewId="0">
      <pane ySplit="3" topLeftCell="A49" activePane="bottomLeft" state="frozen"/>
      <selection pane="bottomLeft" activeCell="G16" sqref="G16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85256.4</v>
      </c>
      <c r="E3" s="14">
        <f>1490.475+2583</f>
        <v>4073.4749999999999</v>
      </c>
      <c r="F3" s="14">
        <v>26702</v>
      </c>
      <c r="G3" s="14">
        <f>-100413.87+325877.86</f>
        <v>225463.99</v>
      </c>
      <c r="H3" s="110">
        <f>VLOOKUP(A3,[4]כלל!$A:$E,2,0)</f>
        <v>186713.63999999998</v>
      </c>
      <c r="I3" s="110">
        <f>VLOOKUP(A3,[4]כלל!$A:$E,3,0)</f>
        <v>11057.055</v>
      </c>
      <c r="J3" s="110">
        <f>VLOOKUP(A3,[4]כלל!$A:$E,4,0)</f>
        <v>529072.55000000005</v>
      </c>
      <c r="K3" s="110">
        <f>VLOOKUP(A3,[4]כלל!$A:$E,5,0)</f>
        <v>0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>
        <v>-70713.23</v>
      </c>
      <c r="H4" s="110">
        <f>VLOOKUP(A4,[4]כלל!$A:$E,2,0)</f>
        <v>179750.39999999999</v>
      </c>
      <c r="I4" s="110">
        <f>VLOOKUP(A4,[4]כלל!$A:$E,3,0)</f>
        <v>0</v>
      </c>
      <c r="J4" s="110">
        <f>VLOOKUP(A4,[4]כלל!$A:$E,4,0)</f>
        <v>520226.54</v>
      </c>
      <c r="K4" s="110">
        <f>VLOOKUP(A4,[4]כלל!$A:$E,5,0)</f>
        <v>0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>
        <v>30000</v>
      </c>
      <c r="E6" s="15">
        <v>1533.06</v>
      </c>
      <c r="F6" s="15">
        <v>1000</v>
      </c>
      <c r="G6" s="15">
        <v>202054.22</v>
      </c>
      <c r="H6" s="110"/>
      <c r="I6" s="110"/>
      <c r="J6" s="110"/>
      <c r="K6" s="110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VLOOKUP(A7,[4]כלל!$A:$E,2,0)</f>
        <v>0</v>
      </c>
      <c r="I7" s="110">
        <f>VLOOKUP(A7,[4]כלל!$A:$E,3,0)</f>
        <v>0</v>
      </c>
      <c r="J7" s="110">
        <f>VLOOKUP(A7,[4]כלל!$A:$E,4,0)</f>
        <v>0</v>
      </c>
      <c r="K7" s="110">
        <f>VLOOKUP(A7,[4]כלל!$A:$E,5,0)</f>
        <v>0</v>
      </c>
    </row>
    <row r="8" spans="1:11" ht="21.75" thickBot="1" x14ac:dyDescent="0.3">
      <c r="A8" s="143" t="s">
        <v>3</v>
      </c>
      <c r="B8" s="142"/>
      <c r="C8" s="142"/>
      <c r="D8" s="145">
        <f>SUM(D3:D7)</f>
        <v>115256.4</v>
      </c>
      <c r="E8" s="145">
        <f t="shared" ref="E8:K8" si="0">SUM(E3:E7)</f>
        <v>5606.5349999999999</v>
      </c>
      <c r="F8" s="145">
        <f t="shared" si="0"/>
        <v>27702</v>
      </c>
      <c r="G8" s="145">
        <f t="shared" si="0"/>
        <v>356804.98</v>
      </c>
      <c r="H8" s="145">
        <f t="shared" si="0"/>
        <v>366464.04</v>
      </c>
      <c r="I8" s="145">
        <f t="shared" si="0"/>
        <v>11057.055</v>
      </c>
      <c r="J8" s="145">
        <f>SUM(J3:J7)</f>
        <v>1049299.0900000001</v>
      </c>
      <c r="K8" s="145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>
        <v>-133113.14000000001</v>
      </c>
      <c r="H9" s="110">
        <f>VLOOKUP(A9,[4]כלל!$A:$E,2,0)</f>
        <v>0</v>
      </c>
      <c r="I9" s="110">
        <f>VLOOKUP(A9,[4]כלל!$A:$E,3,0)</f>
        <v>0</v>
      </c>
      <c r="J9" s="110">
        <f>VLOOKUP(A9,[4]כלל!$A:$E,4,0)</f>
        <v>0</v>
      </c>
      <c r="K9" s="110">
        <f>VLOOKUP(A9,[4]כלל!$A:$E,5,0)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>
        <v>24371.16</v>
      </c>
      <c r="E10" s="14">
        <v>34003.271999999997</v>
      </c>
      <c r="F10" s="14">
        <v>65973</v>
      </c>
      <c r="G10" s="14">
        <v>231357.75</v>
      </c>
      <c r="H10" s="110">
        <f>VLOOKUP(A10,[4]כלל!$A:$E,2,0)</f>
        <v>58536.36</v>
      </c>
      <c r="I10" s="110">
        <f>VLOOKUP(A10,[4]כלל!$A:$E,3,0)</f>
        <v>50554.811999999998</v>
      </c>
      <c r="J10" s="110">
        <f>VLOOKUP(A10,[4]כלל!$A:$E,4,0)</f>
        <v>23316.04</v>
      </c>
      <c r="K10" s="110">
        <f>VLOOKUP(A10,[4]כלל!$A:$E,5,0)</f>
        <v>0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>
        <f>VLOOKUP(A11,[4]כלל!$A:$E,2,0)</f>
        <v>0</v>
      </c>
      <c r="I11" s="110">
        <f>VLOOKUP(A11,[4]כלל!$A:$E,3,0)</f>
        <v>0</v>
      </c>
      <c r="J11" s="110">
        <f>VLOOKUP(A11,[4]כלל!$A:$E,4,0)</f>
        <v>0</v>
      </c>
      <c r="K11" s="110">
        <f>VLOOKUP(A11,[4]כלל!$A:$E,5,0)</f>
        <v>0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>
        <f>VLOOKUP(A12,[4]כלל!$A:$E,2,0)</f>
        <v>0</v>
      </c>
      <c r="I12" s="110">
        <f>VLOOKUP(A12,[4]כלל!$A:$E,3,0)</f>
        <v>0</v>
      </c>
      <c r="J12" s="110">
        <f>VLOOKUP(A12,[4]כלל!$A:$E,4,0)</f>
        <v>0</v>
      </c>
      <c r="K12" s="110">
        <f>VLOOKUP(A12,[4]כלל!$A:$E,5,0)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>
        <v>0</v>
      </c>
      <c r="E13" s="14">
        <v>3753.424</v>
      </c>
      <c r="F13" s="14"/>
      <c r="G13" s="14"/>
      <c r="H13" s="110">
        <f>VLOOKUP(A13,[4]כלל!$A:$E,2,0)</f>
        <v>0</v>
      </c>
      <c r="I13" s="110">
        <f>VLOOKUP(A13,[4]כלל!$A:$E,3,0)</f>
        <v>15655.915000000001</v>
      </c>
      <c r="J13" s="110">
        <f>VLOOKUP(A13,[4]כלל!$A:$E,4,0)</f>
        <v>1200</v>
      </c>
      <c r="K13" s="110">
        <f>VLOOKUP(A13,[4]כלל!$A:$E,5,0)</f>
        <v>0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>
        <v>11700</v>
      </c>
      <c r="G14" s="14"/>
      <c r="H14" s="110">
        <f>VLOOKUP(A14,[4]כלל!$A:$E,2,0)</f>
        <v>54234.48</v>
      </c>
      <c r="I14" s="110">
        <f>VLOOKUP(A14,[4]כלל!$A:$E,3,0)</f>
        <v>0</v>
      </c>
      <c r="J14" s="110">
        <f>VLOOKUP(A14,[4]כלל!$A:$E,4,0)</f>
        <v>17912</v>
      </c>
      <c r="K14" s="110">
        <f>VLOOKUP(A14,[4]כלל!$A:$E,5,0)</f>
        <v>0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>
        <f>VLOOKUP(A15,[4]כלל!$A:$E,2,0)</f>
        <v>0</v>
      </c>
      <c r="I15" s="110">
        <f>VLOOKUP(A15,[4]כלל!$A:$E,3,0)</f>
        <v>0</v>
      </c>
      <c r="J15" s="110">
        <f>VLOOKUP(A15,[4]כלל!$A:$E,4,0)</f>
        <v>0</v>
      </c>
      <c r="K15" s="110">
        <f>VLOOKUP(A15,[4]כלל!$A:$E,5,0)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>
        <v>0</v>
      </c>
      <c r="E16" s="14">
        <v>1131.99</v>
      </c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>
        <v>0</v>
      </c>
      <c r="E17" s="14">
        <v>15004.115</v>
      </c>
      <c r="F17" s="14">
        <v>1000</v>
      </c>
      <c r="G17" s="14"/>
      <c r="H17" s="110">
        <f>VLOOKUP(A17,[4]כלל!$A:$E,2,0)</f>
        <v>0</v>
      </c>
      <c r="I17" s="110">
        <f>VLOOKUP(A17,[4]כלל!$A:$E,3,0)</f>
        <v>7109.4</v>
      </c>
      <c r="J17" s="110">
        <f>VLOOKUP(A17,[4]כלל!$A:$E,4,0)</f>
        <v>12600</v>
      </c>
      <c r="K17" s="110">
        <f>VLOOKUP(A17,[4]כלל!$A:$E,5,0)</f>
        <v>0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>
        <v>19980</v>
      </c>
      <c r="E18" s="14">
        <v>-432.31500000000005</v>
      </c>
      <c r="F18" s="14">
        <v>157587</v>
      </c>
      <c r="G18" s="14">
        <v>5256.77</v>
      </c>
      <c r="H18" s="110">
        <f>VLOOKUP(A18,[4]כלל!$A:$E,2,0)</f>
        <v>42331.199999999997</v>
      </c>
      <c r="I18" s="110">
        <f>VLOOKUP(A18,[4]כלל!$A:$E,3,0)</f>
        <v>-190.77800000000002</v>
      </c>
      <c r="J18" s="110">
        <f>VLOOKUP(A18,[4]כלל!$A:$E,4,0)</f>
        <v>210277.97</v>
      </c>
      <c r="K18" s="110">
        <f>VLOOKUP(A18,[4]כלל!$A:$E,5,0)</f>
        <v>0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G19" s="14"/>
      <c r="H19" s="110">
        <f>VLOOKUP(A19,[4]כלל!$A:$E,2,0)</f>
        <v>0</v>
      </c>
      <c r="I19" s="110">
        <f>VLOOKUP(A19,[4]כלל!$A:$E,3,0)</f>
        <v>0</v>
      </c>
      <c r="J19" s="110">
        <f>VLOOKUP(A19,[4]כלל!$A:$E,4,0)</f>
        <v>0</v>
      </c>
      <c r="K19" s="110">
        <f>VLOOKUP(A19,[4]כלל!$A:$E,5,0)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>
        <f>VLOOKUP(A20,[4]כלל!$A:$E,2,0)</f>
        <v>0</v>
      </c>
      <c r="I20" s="110">
        <f>VLOOKUP(A20,[4]כלל!$A:$E,3,0)</f>
        <v>0</v>
      </c>
      <c r="J20" s="110">
        <f>VLOOKUP(A20,[4]כלל!$A:$E,4,0)</f>
        <v>0</v>
      </c>
      <c r="K20" s="110">
        <f>VLOOKUP(A20,[4]כלל!$A:$E,5,0)</f>
        <v>0</v>
      </c>
    </row>
    <row r="21" spans="1:11" ht="21.75" thickBot="1" x14ac:dyDescent="0.3">
      <c r="A21" s="143" t="s">
        <v>10</v>
      </c>
      <c r="B21" s="142"/>
      <c r="C21" s="142"/>
      <c r="D21" s="145">
        <f>SUM(D9:D20)</f>
        <v>44351.16</v>
      </c>
      <c r="E21" s="145">
        <f t="shared" ref="E21:K21" si="1">SUM(E9:E20)</f>
        <v>53460.48599999999</v>
      </c>
      <c r="F21" s="145">
        <f t="shared" si="1"/>
        <v>236260</v>
      </c>
      <c r="G21" s="145">
        <f>SUM(G9:G20)</f>
        <v>103501.37999999999</v>
      </c>
      <c r="H21" s="145">
        <f t="shared" si="1"/>
        <v>155102.03999999998</v>
      </c>
      <c r="I21" s="145">
        <f t="shared" si="1"/>
        <v>73129.348999999987</v>
      </c>
      <c r="J21" s="145">
        <f t="shared" si="1"/>
        <v>265306.01</v>
      </c>
      <c r="K21" s="145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10">
        <f>VLOOKUP(A22,[4]כלל!$A:$E,2,0)</f>
        <v>0</v>
      </c>
      <c r="I22" s="110">
        <f>VLOOKUP(A22,[4]כלל!$A:$E,3,0)</f>
        <v>0</v>
      </c>
      <c r="J22" s="110">
        <f>VLOOKUP(A22,[4]כלל!$A:$E,4,0)</f>
        <v>0</v>
      </c>
      <c r="K22" s="110">
        <f>VLOOKUP(A22,[4]כלל!$A:$E,5,0)</f>
        <v>0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>
        <f>VLOOKUP(A23,[4]כלל!$A:$E,2,0)</f>
        <v>0</v>
      </c>
      <c r="I23" s="110">
        <f>VLOOKUP(A23,[4]כלל!$A:$E,3,0)</f>
        <v>0</v>
      </c>
      <c r="J23" s="110">
        <f>VLOOKUP(A23,[4]כלל!$A:$E,4,0)</f>
        <v>0</v>
      </c>
      <c r="K23" s="110">
        <f>VLOOKUP(A23,[4]כלל!$A:$E,5,0)</f>
        <v>0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>
        <f>VLOOKUP(A24,[4]כלל!$A:$E,2,0)</f>
        <v>0</v>
      </c>
      <c r="I24" s="110">
        <f>VLOOKUP(A24,[4]כלל!$A:$E,3,0)</f>
        <v>0</v>
      </c>
      <c r="J24" s="110">
        <f>VLOOKUP(A24,[4]כלל!$A:$E,4,0)</f>
        <v>0</v>
      </c>
      <c r="K24" s="110">
        <f>VLOOKUP(A24,[4]כלל!$A:$E,5,0)</f>
        <v>0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VLOOKUP(A25,[4]כלל!$A:$E,2,0)</f>
        <v>0</v>
      </c>
      <c r="I25" s="110">
        <f>VLOOKUP(A25,[4]כלל!$A:$E,3,0)</f>
        <v>0</v>
      </c>
      <c r="J25" s="110">
        <f>VLOOKUP(A25,[4]כלל!$A:$E,4,0)</f>
        <v>0</v>
      </c>
      <c r="K25" s="110">
        <f>VLOOKUP(A25,[4]כלל!$A:$E,5,0)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>
        <f>VLOOKUP(A26,[4]כלל!$A:$E,2,0)</f>
        <v>11248.2</v>
      </c>
      <c r="I26" s="110">
        <f>VLOOKUP(A26,[4]כלל!$A:$E,3,0)</f>
        <v>0</v>
      </c>
      <c r="J26" s="110">
        <f>VLOOKUP(A26,[4]כלל!$A:$E,4,0)</f>
        <v>0</v>
      </c>
      <c r="K26" s="110">
        <f>VLOOKUP(A26,[4]כלל!$A:$E,5,0)</f>
        <v>0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>
        <f>VLOOKUP(A27,[4]כלל!$A:$E,2,0)</f>
        <v>0</v>
      </c>
      <c r="I27" s="110">
        <f>VLOOKUP(A27,[4]כלל!$A:$E,3,0)</f>
        <v>0</v>
      </c>
      <c r="J27" s="110">
        <f>VLOOKUP(A27,[4]כלל!$A:$E,4,0)</f>
        <v>0</v>
      </c>
      <c r="K27" s="110">
        <f>VLOOKUP(A27,[4]כלל!$A:$E,5,0)</f>
        <v>0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>
        <v>24348</v>
      </c>
      <c r="G28" s="14"/>
      <c r="H28" s="110">
        <f>VLOOKUP(A28,[4]כלל!$A:$E,2,0)</f>
        <v>0</v>
      </c>
      <c r="I28" s="110">
        <f>VLOOKUP(A28,[4]כלל!$A:$E,3,0)</f>
        <v>4922.1419999999998</v>
      </c>
      <c r="J28" s="110">
        <f>VLOOKUP(A28,[4]כלל!$A:$E,4,0)</f>
        <v>80412.53</v>
      </c>
      <c r="K28" s="110">
        <f>VLOOKUP(A28,[4]כלל!$A:$E,5,0)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>
        <f>VLOOKUP(A29,[4]כלל!$A:$E,2,0)</f>
        <v>0</v>
      </c>
      <c r="I29" s="110">
        <f>VLOOKUP(A29,[4]כלל!$A:$E,3,0)</f>
        <v>0</v>
      </c>
      <c r="J29" s="110">
        <f>VLOOKUP(A29,[4]כלל!$A:$E,4,0)</f>
        <v>0</v>
      </c>
      <c r="K29" s="110">
        <f>VLOOKUP(A29,[4]כלל!$A:$E,5,0)</f>
        <v>0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>
        <v>0</v>
      </c>
      <c r="E30" s="14">
        <v>5279.4960000000001</v>
      </c>
      <c r="F30" s="14"/>
      <c r="G30" s="14">
        <v>-68885.649999999994</v>
      </c>
      <c r="H30" s="110">
        <f>VLOOKUP(A30,[4]כלל!$A:$E,2,0)</f>
        <v>23976</v>
      </c>
      <c r="I30" s="110">
        <f>VLOOKUP(A30,[4]כלל!$A:$E,3,0)</f>
        <v>9708.1890000000003</v>
      </c>
      <c r="J30" s="110">
        <f>VLOOKUP(A30,[4]כלל!$A:$E,4,0)</f>
        <v>3254.44</v>
      </c>
      <c r="K30" s="110">
        <f>VLOOKUP(A30,[4]כלל!$A:$E,5,0)</f>
        <v>0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>
        <f>VLOOKUP(A31,[4]כלל!$A:$E,2,0)</f>
        <v>0</v>
      </c>
      <c r="I31" s="110">
        <f>VLOOKUP(A31,[4]כלל!$A:$E,3,0)</f>
        <v>0</v>
      </c>
      <c r="J31" s="110">
        <f>VLOOKUP(A31,[4]כלל!$A:$E,4,0)</f>
        <v>0</v>
      </c>
      <c r="K31" s="110">
        <f>VLOOKUP(A31,[4]כלל!$A:$E,5,0)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VLOOKUP(A32,[4]כלל!$A:$E,2,0)</f>
        <v>0</v>
      </c>
      <c r="I32" s="110">
        <f>VLOOKUP(A32,[4]כלל!$A:$E,3,0)</f>
        <v>0</v>
      </c>
      <c r="J32" s="110">
        <f>VLOOKUP(A32,[4]כלל!$A:$E,4,0)</f>
        <v>0</v>
      </c>
      <c r="K32" s="110">
        <f>VLOOKUP(A32,[4]כלל!$A:$E,5,0)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VLOOKUP(A33,[4]כלל!$A:$E,2,0)</f>
        <v>0</v>
      </c>
      <c r="I33" s="110">
        <f>VLOOKUP(A33,[4]כלל!$A:$E,3,0)</f>
        <v>0</v>
      </c>
      <c r="J33" s="110">
        <f>VLOOKUP(A33,[4]כלל!$A:$E,4,0)</f>
        <v>0</v>
      </c>
      <c r="K33" s="110">
        <f>VLOOKUP(A33,[4]כלל!$A:$E,5,0)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>
        <v>0</v>
      </c>
      <c r="E34" s="14">
        <v>3036.31</v>
      </c>
      <c r="F34" s="14"/>
      <c r="G34" s="14"/>
      <c r="H34" s="110">
        <f>VLOOKUP(A34,[4]כלל!$A:$E,2,0)</f>
        <v>0</v>
      </c>
      <c r="I34" s="110">
        <f>VLOOKUP(A34,[4]כלל!$A:$E,3,0)</f>
        <v>-522.04600000000005</v>
      </c>
      <c r="J34" s="110">
        <f>VLOOKUP(A34,[4]כלל!$A:$E,4,0)</f>
        <v>0</v>
      </c>
      <c r="K34" s="110">
        <f>VLOOKUP(A34,[4]כלל!$A:$E,5,0)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>
        <f>VLOOKUP(A35,[4]כלל!$A:$E,2,0)</f>
        <v>0</v>
      </c>
      <c r="I35" s="110">
        <f>VLOOKUP(A35,[4]כלל!$A:$E,3,0)</f>
        <v>0</v>
      </c>
      <c r="J35" s="110">
        <f>VLOOKUP(A35,[4]כלל!$A:$E,4,0)</f>
        <v>0</v>
      </c>
      <c r="K35" s="110">
        <f>VLOOKUP(A35,[4]כלל!$A:$E,5,0)</f>
        <v>0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VLOOKUP(A36,[4]כלל!$A:$E,2,0)</f>
        <v>0</v>
      </c>
      <c r="I36" s="110">
        <f>VLOOKUP(A36,[4]כלל!$A:$E,3,0)</f>
        <v>0</v>
      </c>
      <c r="J36" s="110">
        <f>VLOOKUP(A36,[4]כלל!$A:$E,4,0)</f>
        <v>0</v>
      </c>
      <c r="K36" s="110">
        <f>VLOOKUP(A36,[4]כלל!$A:$E,5,0)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>
        <v>0</v>
      </c>
      <c r="E37" s="14">
        <v>-851.7</v>
      </c>
      <c r="F37" s="14">
        <v>11000</v>
      </c>
      <c r="G37" s="14">
        <v>-224014.96</v>
      </c>
      <c r="H37" s="110">
        <f>VLOOKUP(A37,[4]כלל!$A:$E,2,0)</f>
        <v>0</v>
      </c>
      <c r="I37" s="110">
        <f>VLOOKUP(A37,[4]כלל!$A:$E,3,0)</f>
        <v>0</v>
      </c>
      <c r="J37" s="110">
        <f>VLOOKUP(A37,[4]כלל!$A:$E,4,0)</f>
        <v>0</v>
      </c>
      <c r="K37" s="110">
        <f>VLOOKUP(A37,[4]כלל!$A:$E,5,0)</f>
        <v>0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VLOOKUP(A38,[4]כלל!$A:$E,2,0)</f>
        <v>0</v>
      </c>
      <c r="I38" s="110">
        <f>VLOOKUP(A38,[4]כלל!$A:$E,3,0)</f>
        <v>0</v>
      </c>
      <c r="J38" s="110">
        <f>VLOOKUP(A38,[4]כלל!$A:$E,4,0)</f>
        <v>0</v>
      </c>
      <c r="K38" s="110">
        <f>VLOOKUP(A38,[4]כלל!$A:$E,5,0)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VLOOKUP(A39,[4]כלל!$A:$E,2,0)</f>
        <v>0</v>
      </c>
      <c r="I39" s="110">
        <f>VLOOKUP(A39,[4]כלל!$A:$E,3,0)</f>
        <v>0</v>
      </c>
      <c r="J39" s="110">
        <f>VLOOKUP(A39,[4]כלל!$A:$E,4,0)</f>
        <v>0</v>
      </c>
      <c r="K39" s="110">
        <f>VLOOKUP(A39,[4]כלל!$A:$E,5,0)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>
        <v>0</v>
      </c>
      <c r="E43" s="14">
        <v>8612.0999999999985</v>
      </c>
      <c r="F43" s="14"/>
      <c r="G43" s="14"/>
      <c r="H43" s="110">
        <f>VLOOKUP(A43,[4]כלל!$A:$E,2,0)</f>
        <v>0</v>
      </c>
      <c r="I43" s="110">
        <f>VLOOKUP(A43,[4]כלל!$A:$E,3,0)</f>
        <v>4976.0439999999999</v>
      </c>
      <c r="J43" s="110">
        <f>VLOOKUP(A43,[4]כלל!$A:$E,4,0)</f>
        <v>1600</v>
      </c>
      <c r="K43" s="110">
        <f>VLOOKUP(A43,[4]כלל!$A:$E,5,0)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>
        <v>600</v>
      </c>
      <c r="G44" s="14">
        <f>816.74+731967.86</f>
        <v>732784.6</v>
      </c>
      <c r="H44" s="110">
        <f>VLOOKUP(A44,[4]כלל!$A:$E,2,0)</f>
        <v>0</v>
      </c>
      <c r="I44" s="110">
        <f>VLOOKUP(A44,[4]כלל!$A:$E,3,0)</f>
        <v>-824.94</v>
      </c>
      <c r="J44" s="110">
        <f>VLOOKUP(A44,[4]כלל!$A:$E,4,0)</f>
        <v>0</v>
      </c>
      <c r="K44" s="110">
        <f>VLOOKUP(A44,[4]כלל!$A:$E,5,0)</f>
        <v>0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>
        <f>VLOOKUP(A45,[4]כלל!$A:$E,2,0)</f>
        <v>0</v>
      </c>
      <c r="I45" s="110">
        <f>VLOOKUP(A45,[4]כלל!$A:$E,3,0)</f>
        <v>0</v>
      </c>
      <c r="J45" s="110">
        <f>VLOOKUP(A45,[4]כלל!$A:$E,4,0)</f>
        <v>0</v>
      </c>
      <c r="K45" s="110">
        <f>VLOOKUP(A45,[4]כלל!$A:$E,5,0)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>
        <f>VLOOKUP(A47,[4]כלל!$A:$E,2,0)</f>
        <v>0</v>
      </c>
      <c r="I47" s="110">
        <f>VLOOKUP(A47,[4]כלל!$A:$E,3,0)</f>
        <v>0</v>
      </c>
      <c r="J47" s="110">
        <f>VLOOKUP(A47,[4]כלל!$A:$E,4,0)</f>
        <v>0</v>
      </c>
      <c r="K47" s="110">
        <f>VLOOKUP(A47,[4]כלל!$A:$E,5,0)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>
        <v>24466</v>
      </c>
      <c r="G48" s="14">
        <v>658338.96</v>
      </c>
      <c r="H48" s="110">
        <f>VLOOKUP(A48,[4]כלל!$A:$E,2,0)</f>
        <v>0</v>
      </c>
      <c r="I48" s="110">
        <f>VLOOKUP(A48,[4]כלל!$A:$E,3,0)</f>
        <v>0</v>
      </c>
      <c r="J48" s="110">
        <f>VLOOKUP(A48,[4]כלל!$A:$E,4,0)</f>
        <v>8820</v>
      </c>
      <c r="K48" s="110">
        <f>VLOOKUP(A48,[4]כלל!$A:$E,5,0)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VLOOKUP(A50,[4]כלל!$A:$E,2,0)</f>
        <v>0</v>
      </c>
      <c r="I50" s="110">
        <f>VLOOKUP(A50,[4]כלל!$A:$E,3,0)</f>
        <v>0</v>
      </c>
      <c r="J50" s="110">
        <f>VLOOKUP(A50,[4]כלל!$A:$E,4,0)</f>
        <v>0</v>
      </c>
      <c r="K50" s="110">
        <f>VLOOKUP(A50,[4]כלל!$A:$E,5,0)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>
        <v>41988</v>
      </c>
      <c r="E51" s="14">
        <v>0</v>
      </c>
      <c r="F51" s="14"/>
      <c r="G51" s="14">
        <v>324423.5</v>
      </c>
      <c r="H51" s="110">
        <f>VLOOKUP(A51,[4]כלל!$A:$E,2,0)</f>
        <v>0</v>
      </c>
      <c r="I51" s="110">
        <f>VLOOKUP(A51,[4]כלל!$A:$E,3,0)</f>
        <v>0</v>
      </c>
      <c r="J51" s="110">
        <f>VLOOKUP(A51,[4]כלל!$A:$E,4,0)</f>
        <v>0</v>
      </c>
      <c r="K51" s="110">
        <f>VLOOKUP(A51,[4]כלל!$A:$E,5,0)</f>
        <v>0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VLOOKUP(A52,[4]כלל!$A:$E,2,0)</f>
        <v>0</v>
      </c>
      <c r="I52" s="110">
        <f>VLOOKUP(A52,[4]כלל!$A:$E,3,0)</f>
        <v>0</v>
      </c>
      <c r="J52" s="110">
        <f>VLOOKUP(A52,[4]כלל!$A:$E,4,0)</f>
        <v>0</v>
      </c>
      <c r="K52" s="110">
        <f>VLOOKUP(A52,[4]כלל!$A:$E,5,0)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>
        <f>VLOOKUP(A53,[4]כלל!$A:$E,2,0)</f>
        <v>0</v>
      </c>
      <c r="I53" s="110">
        <f>VLOOKUP(A53,[4]כלל!$A:$E,3,0)</f>
        <v>0</v>
      </c>
      <c r="J53" s="110">
        <f>VLOOKUP(A53,[4]כלל!$A:$E,4,0)</f>
        <v>0</v>
      </c>
      <c r="K53" s="110">
        <f>VLOOKUP(A53,[4]כלל!$A:$E,5,0)</f>
        <v>0</v>
      </c>
    </row>
    <row r="54" spans="1:13" ht="21.75" thickBot="1" x14ac:dyDescent="0.3">
      <c r="A54" s="144" t="s">
        <v>130</v>
      </c>
      <c r="B54" s="142"/>
      <c r="C54" s="142"/>
      <c r="D54" s="145">
        <f>SUM(D22:D53)</f>
        <v>41988</v>
      </c>
      <c r="E54" s="145">
        <f t="shared" ref="E54:K54" si="2">SUM(E22:E53)</f>
        <v>16076.205999999998</v>
      </c>
      <c r="F54" s="145">
        <f t="shared" si="2"/>
        <v>60414</v>
      </c>
      <c r="G54" s="145">
        <f t="shared" si="2"/>
        <v>1422646.45</v>
      </c>
      <c r="H54" s="145">
        <f t="shared" si="2"/>
        <v>35224.199999999997</v>
      </c>
      <c r="I54" s="145">
        <f t="shared" si="2"/>
        <v>18259.388999999999</v>
      </c>
      <c r="J54" s="145">
        <f>SUM(J22:J53)</f>
        <v>94086.97</v>
      </c>
      <c r="K54" s="145">
        <f t="shared" si="2"/>
        <v>0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>
        <f>VLOOKUP(A55,[4]כלל!$A:$E,2,0)</f>
        <v>0</v>
      </c>
      <c r="I55" s="110">
        <f>VLOOKUP(A55,[4]כלל!$A:$E,3,0)</f>
        <v>0</v>
      </c>
      <c r="J55" s="110">
        <f>VLOOKUP(A55,[4]כלל!$A:$E,4,0)</f>
        <v>0</v>
      </c>
      <c r="K55" s="110">
        <f>VLOOKUP(A55,[4]כלל!$A:$E,5,0)</f>
        <v>0</v>
      </c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>
        <v>134334</v>
      </c>
      <c r="G56" s="14">
        <v>68346.13</v>
      </c>
      <c r="H56" s="110">
        <f>VLOOKUP(A56,[4]כלל!$A:$E,2,0)</f>
        <v>17635.2</v>
      </c>
      <c r="I56" s="110">
        <f>VLOOKUP(A56,[4]כלל!$A:$E,3,0)</f>
        <v>2011.827</v>
      </c>
      <c r="J56" s="110">
        <f>VLOOKUP(A56,[4]כלל!$A:$E,4,0)</f>
        <v>43860</v>
      </c>
      <c r="K56" s="110">
        <f>VLOOKUP(A56,[4]כלל!$A:$E,5,0)</f>
        <v>0</v>
      </c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>
        <v>160292.4</v>
      </c>
      <c r="E57" s="14">
        <v>13737.066000000001</v>
      </c>
      <c r="F57" s="14">
        <v>443553</v>
      </c>
      <c r="G57" s="14">
        <v>418853.22</v>
      </c>
      <c r="H57" s="110">
        <f>VLOOKUP(A57,[4]כלל!$A:$E,2,0)</f>
        <v>189605.88</v>
      </c>
      <c r="I57" s="110">
        <f>VLOOKUP(A57,[4]כלל!$A:$E,3,0)</f>
        <v>20703.103999999999</v>
      </c>
      <c r="J57" s="110">
        <f>VLOOKUP(A57,[4]כלל!$A:$E,4,0)</f>
        <v>146405.03</v>
      </c>
      <c r="K57" s="110">
        <f>VLOOKUP(A57,[4]כלל!$A:$E,5,0)</f>
        <v>0</v>
      </c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>
        <f>VLOOKUP(A58,[4]כלל!$A:$E,2,0)</f>
        <v>0</v>
      </c>
      <c r="I58" s="110">
        <f>VLOOKUP(A58,[4]כלל!$A:$E,3,0)</f>
        <v>0</v>
      </c>
      <c r="J58" s="110">
        <f>VLOOKUP(A58,[4]כלל!$A:$E,4,0)</f>
        <v>0</v>
      </c>
      <c r="K58" s="110">
        <f>VLOOKUP(A58,[4]כלל!$A:$E,5,0)</f>
        <v>0</v>
      </c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>
        <v>-176375.11</v>
      </c>
      <c r="H59" s="110">
        <f>VLOOKUP(A59,[4]כלל!$A:$E,2,0)</f>
        <v>0</v>
      </c>
      <c r="I59" s="110">
        <f>VLOOKUP(A59,[4]כלל!$A:$E,3,0)</f>
        <v>0</v>
      </c>
      <c r="J59" s="110">
        <f>VLOOKUP(A59,[4]כלל!$A:$E,4,0)</f>
        <v>0</v>
      </c>
      <c r="K59" s="110">
        <f>VLOOKUP(A59,[4]כלל!$A:$E,5,0)</f>
        <v>0</v>
      </c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>
        <f>VLOOKUP(A60,[4]כלל!$A:$E,2,0)</f>
        <v>0</v>
      </c>
      <c r="I60" s="110">
        <f>VLOOKUP(A60,[4]כלל!$A:$E,3,0)</f>
        <v>0</v>
      </c>
      <c r="J60" s="110">
        <f>VLOOKUP(A60,[4]כלל!$A:$E,4,0)</f>
        <v>0</v>
      </c>
      <c r="K60" s="110">
        <f>VLOOKUP(A60,[4]כלל!$A:$E,5,0)</f>
        <v>0</v>
      </c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131</v>
      </c>
      <c r="B62" s="142"/>
      <c r="C62" s="142"/>
      <c r="D62" s="145">
        <f>SUM(D55:D61)</f>
        <v>160292.4</v>
      </c>
      <c r="E62" s="145">
        <f t="shared" ref="E62:K62" si="3">SUM(E55:E61)</f>
        <v>13737.066000000001</v>
      </c>
      <c r="F62" s="145">
        <f t="shared" si="3"/>
        <v>577887</v>
      </c>
      <c r="G62" s="145">
        <f>SUM(G55:G61)</f>
        <v>310824.24</v>
      </c>
      <c r="H62" s="145">
        <f t="shared" si="3"/>
        <v>207241.08000000002</v>
      </c>
      <c r="I62" s="145">
        <f t="shared" si="3"/>
        <v>22714.931</v>
      </c>
      <c r="J62" s="145">
        <f>SUM(J55:J61)</f>
        <v>190265.03</v>
      </c>
      <c r="K62" s="145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>
        <v>833693.01</v>
      </c>
      <c r="H63" s="110">
        <f>VLOOKUP(A63,[4]כלל!$A:$E,2,0)</f>
        <v>0</v>
      </c>
      <c r="I63" s="110">
        <f>VLOOKUP(A63,[4]כלל!$A:$E,3,0)</f>
        <v>-4260.72</v>
      </c>
      <c r="J63" s="110">
        <f>VLOOKUP(A63,[4]כלל!$A:$E,4,0)</f>
        <v>1395</v>
      </c>
      <c r="K63" s="110">
        <f>VLOOKUP(A63,[4]כלל!$A:$E,5,0)</f>
        <v>0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>
        <v>35913.119999999995</v>
      </c>
      <c r="E64" s="14">
        <v>34482.372000000003</v>
      </c>
      <c r="F64" s="14">
        <v>547677</v>
      </c>
      <c r="G64" s="14">
        <v>-277.64999999999998</v>
      </c>
      <c r="H64" s="110">
        <f>VLOOKUP(A64,[4]כלל!$A:$E,2,0)</f>
        <v>43530.12</v>
      </c>
      <c r="I64" s="110">
        <f>VLOOKUP(A64,[4]כלל!$A:$E,3,0)</f>
        <v>17335.508000000002</v>
      </c>
      <c r="J64" s="110">
        <f>VLOOKUP(A64,[4]כלל!$A:$E,4,0)</f>
        <v>72550.38</v>
      </c>
      <c r="K64" s="110">
        <f>VLOOKUP(A64,[4]כלל!$A:$E,5,0)</f>
        <v>0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f>VLOOKUP(A65,[4]כלל!$A:$E,2,0)</f>
        <v>0</v>
      </c>
      <c r="I65" s="110">
        <f>VLOOKUP(A65,[4]כלל!$A:$E,3,0)</f>
        <v>12494.282999999999</v>
      </c>
      <c r="J65" s="110">
        <f>VLOOKUP(A65,[4]כלל!$A:$E,4,0)</f>
        <v>0</v>
      </c>
      <c r="K65" s="110">
        <f>VLOOKUP(A65,[4]כלל!$A:$E,5,0)</f>
        <v>0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>
        <f>VLOOKUP(A66,[4]כלל!$A:$E,2,0)</f>
        <v>0</v>
      </c>
      <c r="I66" s="110">
        <f>VLOOKUP(A66,[4]כלל!$A:$E,3,0)</f>
        <v>0</v>
      </c>
      <c r="J66" s="110">
        <f>VLOOKUP(A66,[4]כלל!$A:$E,4,0)</f>
        <v>0</v>
      </c>
      <c r="K66" s="110">
        <f>VLOOKUP(A66,[4]כלל!$A:$E,5,0)</f>
        <v>0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>
        <v>0</v>
      </c>
      <c r="E67" s="14">
        <v>11499.555</v>
      </c>
      <c r="F67" s="14"/>
      <c r="G67" s="14"/>
      <c r="H67" s="110">
        <f>VLOOKUP(A67,[4]כלל!$A:$E,2,0)</f>
        <v>0</v>
      </c>
      <c r="I67" s="110">
        <f>VLOOKUP(A67,[4]כלל!$A:$E,3,0)</f>
        <v>4933.0240000000003</v>
      </c>
      <c r="J67" s="110">
        <f>VLOOKUP(A67,[4]כלל!$A:$E,4,0)</f>
        <v>0</v>
      </c>
      <c r="K67" s="110">
        <f>VLOOKUP(A67,[4]כלל!$A:$E,5,0)</f>
        <v>0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>
        <v>4920</v>
      </c>
      <c r="E68" s="14">
        <v>1660.8150000000001</v>
      </c>
      <c r="F68" s="14">
        <v>2000</v>
      </c>
      <c r="G68" s="14">
        <v>20078.14</v>
      </c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>
        <v>211555.68</v>
      </c>
      <c r="E69" s="14">
        <v>21487.235000000001</v>
      </c>
      <c r="F69" s="14">
        <v>1022509.64</v>
      </c>
      <c r="G69" s="14">
        <v>1947878.28</v>
      </c>
      <c r="H69" s="110"/>
      <c r="I69" s="110"/>
      <c r="J69" s="110"/>
      <c r="K69" s="110"/>
    </row>
    <row r="70" spans="1:12" ht="15.75" x14ac:dyDescent="0.25">
      <c r="A70" s="27" t="s">
        <v>89</v>
      </c>
      <c r="B70" s="27" t="s">
        <v>56</v>
      </c>
      <c r="C70" s="27" t="s">
        <v>111</v>
      </c>
      <c r="D70" s="14">
        <v>0</v>
      </c>
      <c r="E70" s="14">
        <v>917.05600000000004</v>
      </c>
      <c r="F70" s="14"/>
      <c r="G70" s="14"/>
      <c r="H70" s="110">
        <f>VLOOKUP(A70,[4]כלל!$A:$E,2,0)</f>
        <v>0</v>
      </c>
      <c r="I70" s="110">
        <f>VLOOKUP(A70,[4]כלל!$A:$E,3,0)</f>
        <v>9046.3919999999998</v>
      </c>
      <c r="J70" s="110">
        <f>VLOOKUP(A70,[4]כלל!$A:$E,4,0)</f>
        <v>0</v>
      </c>
      <c r="K70" s="110">
        <f>VLOOKUP(A70,[4]כלל!$A:$E,5,0)</f>
        <v>0</v>
      </c>
    </row>
    <row r="71" spans="1:12" ht="21.75" thickBot="1" x14ac:dyDescent="0.3">
      <c r="A71" s="231" t="s">
        <v>44</v>
      </c>
      <c r="B71" s="232"/>
      <c r="C71" s="232"/>
      <c r="D71" s="233">
        <f>SUM(D63:D70)</f>
        <v>252388.8</v>
      </c>
      <c r="E71" s="233">
        <f t="shared" ref="E71:K71" si="4">SUM(E63:E70)</f>
        <v>70047.03300000001</v>
      </c>
      <c r="F71" s="233">
        <f t="shared" si="4"/>
        <v>1572186.6400000001</v>
      </c>
      <c r="G71" s="233">
        <f t="shared" si="4"/>
        <v>2801371.7800000003</v>
      </c>
      <c r="H71" s="233">
        <f t="shared" si="4"/>
        <v>43530.12</v>
      </c>
      <c r="I71" s="233">
        <f t="shared" si="4"/>
        <v>39548.487000000001</v>
      </c>
      <c r="J71" s="233">
        <f t="shared" si="4"/>
        <v>73945.38</v>
      </c>
      <c r="K71" s="233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233">
        <f>D71+D62+D54+D21+D8</f>
        <v>614276.76</v>
      </c>
      <c r="E72" s="233">
        <f t="shared" ref="E72:K72" si="5">E71+E62+E54+E21+E8</f>
        <v>158927.32600000003</v>
      </c>
      <c r="F72" s="233">
        <f t="shared" si="5"/>
        <v>2474449.64</v>
      </c>
      <c r="G72" s="233">
        <f t="shared" si="5"/>
        <v>4995148.83</v>
      </c>
      <c r="H72" s="233">
        <f t="shared" si="5"/>
        <v>807561.48</v>
      </c>
      <c r="I72" s="233">
        <f t="shared" si="5"/>
        <v>164709.21099999998</v>
      </c>
      <c r="J72" s="233">
        <f t="shared" si="5"/>
        <v>1672902.48</v>
      </c>
      <c r="K72" s="233">
        <f t="shared" si="5"/>
        <v>0</v>
      </c>
    </row>
  </sheetData>
  <autoFilter ref="A2:L72" xr:uid="{B42F1864-30CD-4899-A197-CCB85FE84C05}"/>
  <mergeCells count="2">
    <mergeCell ref="D1:G1"/>
    <mergeCell ref="H1:K1"/>
  </mergeCells>
  <conditionalFormatting sqref="A1">
    <cfRule type="duplicateValues" dxfId="125" priority="21"/>
    <cfRule type="duplicateValues" dxfId="124" priority="22"/>
  </conditionalFormatting>
  <conditionalFormatting sqref="A14">
    <cfRule type="duplicateValues" dxfId="123" priority="11"/>
    <cfRule type="duplicateValues" dxfId="122" priority="12"/>
  </conditionalFormatting>
  <conditionalFormatting sqref="A55">
    <cfRule type="duplicateValues" dxfId="121" priority="13"/>
    <cfRule type="duplicateValues" dxfId="120" priority="14"/>
  </conditionalFormatting>
  <conditionalFormatting sqref="A56:A58 A7 A22:A53 A60">
    <cfRule type="duplicateValues" dxfId="119" priority="19"/>
    <cfRule type="duplicateValues" dxfId="118" priority="20"/>
  </conditionalFormatting>
  <conditionalFormatting sqref="A59">
    <cfRule type="duplicateValues" dxfId="117" priority="9"/>
    <cfRule type="duplicateValues" dxfId="116" priority="10"/>
  </conditionalFormatting>
  <conditionalFormatting sqref="A63:A70">
    <cfRule type="duplicateValues" dxfId="115" priority="17"/>
    <cfRule type="duplicateValues" dxfId="114" priority="18"/>
  </conditionalFormatting>
  <conditionalFormatting sqref="A71:A72 A2:A6 A8:A13 A15:A21 A54 A62">
    <cfRule type="duplicateValues" dxfId="113" priority="15"/>
    <cfRule type="duplicateValues" dxfId="112" priority="16"/>
  </conditionalFormatting>
  <conditionalFormatting sqref="D8:K8">
    <cfRule type="duplicateValues" dxfId="111" priority="7"/>
    <cfRule type="duplicateValues" dxfId="110" priority="8"/>
  </conditionalFormatting>
  <conditionalFormatting sqref="D21:K21">
    <cfRule type="duplicateValues" dxfId="109" priority="5"/>
    <cfRule type="duplicateValues" dxfId="108" priority="6"/>
  </conditionalFormatting>
  <conditionalFormatting sqref="D54:K54">
    <cfRule type="duplicateValues" dxfId="107" priority="3"/>
    <cfRule type="duplicateValues" dxfId="106" priority="4"/>
  </conditionalFormatting>
  <conditionalFormatting sqref="D62:K62">
    <cfRule type="duplicateValues" dxfId="105" priority="1"/>
    <cfRule type="duplicateValues" dxfId="104" priority="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E8AC-DFB4-481F-BF31-12F2118B912A}">
  <sheetPr>
    <tabColor theme="0"/>
  </sheetPr>
  <dimension ref="A1:M72"/>
  <sheetViews>
    <sheetView rightToLeft="1" workbookViewId="0">
      <pane ySplit="3" topLeftCell="A59" activePane="bottomLeft" state="frozen"/>
      <selection pane="bottomLeft" activeCell="A73" sqref="A73:XFD85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>
        <v>67245</v>
      </c>
      <c r="G3" s="14"/>
      <c r="H3" s="110">
        <f>VLOOKUP(A3,[3]מור!$1:$1048576,4,0)</f>
        <v>0</v>
      </c>
      <c r="I3" s="110">
        <f>VLOOKUP(A3,[3]מור!$1:$1048576,5,0)</f>
        <v>0</v>
      </c>
      <c r="J3" s="110">
        <f>VLOOKUP(A3,[3]מור!$1:$1048576,6,0)</f>
        <v>840757.6</v>
      </c>
      <c r="K3" s="110">
        <f>VLOOKUP(A3,[3]מור!$1:$1048576,8,0)</f>
        <v>0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>
        <f>VLOOKUP(A4,[3]מור!$1:$1048576,4,0)</f>
        <v>0</v>
      </c>
      <c r="I4" s="110">
        <f>VLOOKUP(A4,[3]מור!$1:$1048576,5,0)</f>
        <v>0</v>
      </c>
      <c r="J4" s="110">
        <f>VLOOKUP(A4,[3]מור!$1:$1048576,6,0)</f>
        <v>189399.24</v>
      </c>
      <c r="K4" s="110">
        <f>VLOOKUP(A4,[3]מור!$1:$1048576,8,0)</f>
        <v>0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>
        <f>VLOOKUP(A5,[3]מור!$1:$1048576,4,0)</f>
        <v>0</v>
      </c>
      <c r="I5" s="110">
        <f>VLOOKUP(A5,[3]מור!$1:$1048576,5,0)</f>
        <v>0</v>
      </c>
      <c r="J5" s="110">
        <f>VLOOKUP(A5,[3]מור!$1:$1048576,6,0)</f>
        <v>0</v>
      </c>
      <c r="K5" s="110">
        <f>VLOOKUP(A5,[3]מור!$1:$1048576,8,0)</f>
        <v>0</v>
      </c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10">
        <f>VLOOKUP(A6,[3]מור!$1:$1048576,4,0)</f>
        <v>0</v>
      </c>
      <c r="I6" s="110">
        <f>VLOOKUP(A6,[3]מור!$1:$1048576,5,0)</f>
        <v>0</v>
      </c>
      <c r="J6" s="110">
        <f>VLOOKUP(A6,[3]מור!$1:$1048576,6,0)</f>
        <v>0</v>
      </c>
      <c r="K6" s="110">
        <f>VLOOKUP(A6,[3]מור!$1:$1048576,8,0)</f>
        <v>0</v>
      </c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VLOOKUP(A7,[3]מור!$1:$1048576,4,0)</f>
        <v>0</v>
      </c>
      <c r="I7" s="110">
        <f>VLOOKUP(A7,[3]מור!$1:$1048576,5,0)</f>
        <v>0</v>
      </c>
      <c r="J7" s="110">
        <f>VLOOKUP(A7,[3]מור!$1:$1048576,6,0)</f>
        <v>0</v>
      </c>
      <c r="K7" s="110">
        <f>VLOOKUP(A7,[3]מור!$1:$1048576,8,0)</f>
        <v>0</v>
      </c>
    </row>
    <row r="8" spans="1:11" ht="21.75" thickBot="1" x14ac:dyDescent="0.4">
      <c r="A8" s="143" t="s">
        <v>3</v>
      </c>
      <c r="B8" s="142"/>
      <c r="C8" s="142"/>
      <c r="D8" s="220">
        <f>SUM(D3:D7)</f>
        <v>0</v>
      </c>
      <c r="E8" s="220">
        <f t="shared" ref="E8:K8" si="0">SUM(E3:E7)</f>
        <v>0</v>
      </c>
      <c r="F8" s="220">
        <f t="shared" si="0"/>
        <v>67245</v>
      </c>
      <c r="G8" s="220">
        <f t="shared" si="0"/>
        <v>0</v>
      </c>
      <c r="H8" s="220">
        <f t="shared" si="0"/>
        <v>0</v>
      </c>
      <c r="I8" s="220">
        <f t="shared" si="0"/>
        <v>0</v>
      </c>
      <c r="J8" s="220">
        <f t="shared" si="0"/>
        <v>1030156.84</v>
      </c>
      <c r="K8" s="220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10">
        <f>VLOOKUP(A9,[3]מור!$1:$1048576,4,0)</f>
        <v>0</v>
      </c>
      <c r="I9" s="110">
        <f>VLOOKUP(A9,[3]מור!$1:$1048576,5,0)</f>
        <v>0</v>
      </c>
      <c r="J9" s="110">
        <f>VLOOKUP(A9,[3]מור!$1:$1048576,6,0)</f>
        <v>0</v>
      </c>
      <c r="K9" s="110">
        <f>VLOOKUP(A9,[3]מור!$1:$1048576,8,0)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>
        <f>VLOOKUP(A10,[3]מור!$1:$1048576,4,0)</f>
        <v>0</v>
      </c>
      <c r="I10" s="110">
        <f>VLOOKUP(A10,[3]מור!$1:$1048576,5,0)</f>
        <v>0</v>
      </c>
      <c r="J10" s="110">
        <f>VLOOKUP(A10,[3]מור!$1:$1048576,6,0)</f>
        <v>0</v>
      </c>
      <c r="K10" s="110">
        <f>VLOOKUP(A10,[3]מור!$1:$1048576,8,0)</f>
        <v>0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>
        <v>80000</v>
      </c>
      <c r="G11" s="14"/>
      <c r="H11" s="110">
        <f>VLOOKUP(A11,[3]מור!$1:$1048576,4,0)</f>
        <v>0</v>
      </c>
      <c r="I11" s="110">
        <f>VLOOKUP(A11,[3]מור!$1:$1048576,5,0)</f>
        <v>0</v>
      </c>
      <c r="J11" s="110">
        <f>VLOOKUP(A11,[3]מור!$1:$1048576,6,0)</f>
        <v>363690.87</v>
      </c>
      <c r="K11" s="110">
        <f>VLOOKUP(A11,[3]מור!$1:$1048576,8,0)</f>
        <v>0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>
        <f>VLOOKUP(A12,[3]מור!$1:$1048576,4,0)</f>
        <v>0</v>
      </c>
      <c r="I12" s="110">
        <f>VLOOKUP(A12,[3]מור!$1:$1048576,5,0)</f>
        <v>0</v>
      </c>
      <c r="J12" s="110">
        <f>VLOOKUP(A12,[3]מור!$1:$1048576,6,0)</f>
        <v>0</v>
      </c>
      <c r="K12" s="110">
        <f>VLOOKUP(A12,[3]מור!$1:$1048576,8,0)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>
        <f>VLOOKUP(A13,[3]מור!$1:$1048576,4,0)</f>
        <v>0</v>
      </c>
      <c r="I13" s="110">
        <f>VLOOKUP(A13,[3]מור!$1:$1048576,5,0)</f>
        <v>0</v>
      </c>
      <c r="J13" s="110">
        <f>VLOOKUP(A13,[3]מור!$1:$1048576,6,0)</f>
        <v>0</v>
      </c>
      <c r="K13" s="110">
        <f>VLOOKUP(A13,[3]מור!$1:$1048576,8,0)</f>
        <v>0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>
        <f>VLOOKUP(A14,[3]מור!$1:$1048576,4,0)</f>
        <v>0</v>
      </c>
      <c r="I14" s="110">
        <f>VLOOKUP(A14,[3]מור!$1:$1048576,5,0)</f>
        <v>0</v>
      </c>
      <c r="J14" s="110">
        <f>VLOOKUP(A14,[3]מור!$1:$1048576,6,0)</f>
        <v>0</v>
      </c>
      <c r="K14" s="110">
        <f>VLOOKUP(A14,[3]מור!$1:$1048576,8,0)</f>
        <v>0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>
        <f>VLOOKUP(A15,[3]מור!$1:$1048576,4,0)</f>
        <v>0</v>
      </c>
      <c r="I15" s="110">
        <f>VLOOKUP(A15,[3]מור!$1:$1048576,5,0)</f>
        <v>0</v>
      </c>
      <c r="J15" s="110">
        <f>VLOOKUP(A15,[3]מור!$1:$1048576,6,0)</f>
        <v>0</v>
      </c>
      <c r="K15" s="110">
        <f>VLOOKUP(A15,[3]מור!$1:$1048576,8,0)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>
        <f>VLOOKUP(A16,[3]מור!$1:$1048576,4,0)</f>
        <v>0</v>
      </c>
      <c r="I16" s="110">
        <f>VLOOKUP(A16,[3]מור!$1:$1048576,5,0)</f>
        <v>0</v>
      </c>
      <c r="J16" s="110">
        <f>VLOOKUP(A16,[3]מור!$1:$1048576,6,0)</f>
        <v>0</v>
      </c>
      <c r="K16" s="110">
        <f>VLOOKUP(A16,[3]מור!$1:$1048576,8,0)</f>
        <v>0</v>
      </c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>
        <v>28000</v>
      </c>
      <c r="G17" s="14"/>
      <c r="H17" s="110">
        <f>VLOOKUP(A17,[3]מור!$1:$1048576,4,0)</f>
        <v>0</v>
      </c>
      <c r="I17" s="110">
        <f>VLOOKUP(A17,[3]מור!$1:$1048576,5,0)</f>
        <v>0</v>
      </c>
      <c r="J17" s="110">
        <f>VLOOKUP(A17,[3]מור!$1:$1048576,6,0)</f>
        <v>6697946.6799999997</v>
      </c>
      <c r="K17" s="110">
        <f>VLOOKUP(A17,[3]מור!$1:$1048576,8,0)</f>
        <v>0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>
        <f>VLOOKUP(A18,[3]מור!$1:$1048576,4,0)</f>
        <v>0</v>
      </c>
      <c r="I18" s="110">
        <f>VLOOKUP(A18,[3]מור!$1:$1048576,5,0)</f>
        <v>0</v>
      </c>
      <c r="J18" s="110">
        <f>VLOOKUP(A18,[3]מור!$1:$1048576,6,0)</f>
        <v>360852.25</v>
      </c>
      <c r="K18" s="110">
        <f>VLOOKUP(A18,[3]מור!$1:$1048576,8,0)</f>
        <v>0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>
        <f>VLOOKUP(A19,[3]מור!$1:$1048576,4,0)</f>
        <v>0</v>
      </c>
      <c r="I19" s="110">
        <f>VLOOKUP(A19,[3]מור!$1:$1048576,5,0)</f>
        <v>0</v>
      </c>
      <c r="J19" s="110">
        <f>VLOOKUP(A19,[3]מור!$1:$1048576,6,0)</f>
        <v>0</v>
      </c>
      <c r="K19" s="110">
        <f>VLOOKUP(A19,[3]מור!$1:$1048576,8,0)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>
        <f>VLOOKUP(A20,[3]מור!$1:$1048576,4,0)</f>
        <v>0</v>
      </c>
      <c r="I20" s="110">
        <f>VLOOKUP(A20,[3]מור!$1:$1048576,5,0)</f>
        <v>0</v>
      </c>
      <c r="J20" s="110">
        <f>VLOOKUP(A20,[3]מור!$1:$1048576,6,0)</f>
        <v>0</v>
      </c>
      <c r="K20" s="110">
        <f>VLOOKUP(A20,[3]מור!$1:$1048576,8,0)</f>
        <v>0</v>
      </c>
    </row>
    <row r="21" spans="1:11" ht="21.75" thickBot="1" x14ac:dyDescent="0.4">
      <c r="A21" s="143" t="s">
        <v>10</v>
      </c>
      <c r="B21" s="142"/>
      <c r="C21" s="142"/>
      <c r="D21" s="220">
        <f>SUM(D9:D20)</f>
        <v>0</v>
      </c>
      <c r="E21" s="220">
        <f t="shared" ref="E21:K21" si="1">SUM(E9:E20)</f>
        <v>0</v>
      </c>
      <c r="F21" s="220">
        <f t="shared" si="1"/>
        <v>108000</v>
      </c>
      <c r="G21" s="220">
        <f t="shared" si="1"/>
        <v>0</v>
      </c>
      <c r="H21" s="220">
        <f t="shared" si="1"/>
        <v>0</v>
      </c>
      <c r="I21" s="220">
        <f t="shared" si="1"/>
        <v>0</v>
      </c>
      <c r="J21" s="220">
        <f t="shared" si="1"/>
        <v>7422489.7999999998</v>
      </c>
      <c r="K21" s="220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10">
        <f>VLOOKUP(A22,[3]מור!$1:$1048576,4,0)</f>
        <v>0</v>
      </c>
      <c r="I22" s="110">
        <f>VLOOKUP(A22,[3]מור!$1:$1048576,5,0)</f>
        <v>0</v>
      </c>
      <c r="J22" s="110">
        <f>VLOOKUP(A22,[3]מור!$1:$1048576,6,0)</f>
        <v>0</v>
      </c>
      <c r="K22" s="110">
        <f>VLOOKUP(A22,[3]מור!$1:$1048576,8,0)</f>
        <v>0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>
        <f>VLOOKUP(A23,[3]מור!$1:$1048576,4,0)</f>
        <v>0</v>
      </c>
      <c r="I23" s="110">
        <f>VLOOKUP(A23,[3]מור!$1:$1048576,5,0)</f>
        <v>0</v>
      </c>
      <c r="J23" s="110">
        <f>VLOOKUP(A23,[3]מור!$1:$1048576,6,0)</f>
        <v>0</v>
      </c>
      <c r="K23" s="110">
        <f>VLOOKUP(A23,[3]מור!$1:$1048576,8,0)</f>
        <v>0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>
        <f>VLOOKUP(A24,[3]מור!$1:$1048576,4,0)</f>
        <v>0</v>
      </c>
      <c r="I24" s="110">
        <f>VLOOKUP(A24,[3]מור!$1:$1048576,5,0)</f>
        <v>0</v>
      </c>
      <c r="J24" s="110">
        <f>VLOOKUP(A24,[3]מור!$1:$1048576,6,0)</f>
        <v>0</v>
      </c>
      <c r="K24" s="110">
        <f>VLOOKUP(A24,[3]מור!$1:$1048576,8,0)</f>
        <v>0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VLOOKUP(A25,[3]מור!$1:$1048576,4,0)</f>
        <v>0</v>
      </c>
      <c r="I25" s="110">
        <f>VLOOKUP(A25,[3]מור!$1:$1048576,5,0)</f>
        <v>0</v>
      </c>
      <c r="J25" s="110">
        <f>VLOOKUP(A25,[3]מור!$1:$1048576,6,0)</f>
        <v>0</v>
      </c>
      <c r="K25" s="110">
        <f>VLOOKUP(A25,[3]מור!$1:$1048576,8,0)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>
        <f>VLOOKUP(A26,[3]מור!$1:$1048576,4,0)</f>
        <v>0</v>
      </c>
      <c r="I26" s="110">
        <f>VLOOKUP(A26,[3]מור!$1:$1048576,5,0)</f>
        <v>0</v>
      </c>
      <c r="J26" s="110">
        <f>VLOOKUP(A26,[3]מור!$1:$1048576,6,0)</f>
        <v>0</v>
      </c>
      <c r="K26" s="110">
        <f>VLOOKUP(A26,[3]מור!$1:$1048576,8,0)</f>
        <v>0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>
        <f>VLOOKUP(A27,[3]מור!$1:$1048576,4,0)</f>
        <v>0</v>
      </c>
      <c r="I27" s="110">
        <f>VLOOKUP(A27,[3]מור!$1:$1048576,5,0)</f>
        <v>0</v>
      </c>
      <c r="J27" s="110">
        <f>VLOOKUP(A27,[3]מור!$1:$1048576,6,0)</f>
        <v>0</v>
      </c>
      <c r="K27" s="110">
        <f>VLOOKUP(A27,[3]מור!$1:$1048576,8,0)</f>
        <v>0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>
        <f>VLOOKUP(A28,[3]מור!$1:$1048576,4,0)</f>
        <v>0</v>
      </c>
      <c r="I28" s="110">
        <f>VLOOKUP(A28,[3]מור!$1:$1048576,5,0)</f>
        <v>0</v>
      </c>
      <c r="J28" s="110">
        <f>VLOOKUP(A28,[3]מור!$1:$1048576,6,0)</f>
        <v>0</v>
      </c>
      <c r="K28" s="110">
        <f>VLOOKUP(A28,[3]מור!$1:$1048576,8,0)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>
        <f>VLOOKUP(A29,[3]מור!$1:$1048576,4,0)</f>
        <v>0</v>
      </c>
      <c r="I29" s="110">
        <f>VLOOKUP(A29,[3]מור!$1:$1048576,5,0)</f>
        <v>0</v>
      </c>
      <c r="J29" s="110">
        <f>VLOOKUP(A29,[3]מור!$1:$1048576,6,0)</f>
        <v>0</v>
      </c>
      <c r="K29" s="110">
        <f>VLOOKUP(A29,[3]מור!$1:$1048576,8,0)</f>
        <v>0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>
        <f>VLOOKUP(A30,[3]מור!$1:$1048576,4,0)</f>
        <v>0</v>
      </c>
      <c r="I30" s="110">
        <f>VLOOKUP(A30,[3]מור!$1:$1048576,5,0)</f>
        <v>0</v>
      </c>
      <c r="J30" s="110">
        <f>VLOOKUP(A30,[3]מור!$1:$1048576,6,0)</f>
        <v>0</v>
      </c>
      <c r="K30" s="110">
        <f>VLOOKUP(A30,[3]מור!$1:$1048576,8,0)</f>
        <v>0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>
        <f>VLOOKUP(A31,[3]מור!$1:$1048576,4,0)</f>
        <v>0</v>
      </c>
      <c r="I31" s="110">
        <f>VLOOKUP(A31,[3]מור!$1:$1048576,5,0)</f>
        <v>0</v>
      </c>
      <c r="J31" s="110">
        <f>VLOOKUP(A31,[3]מור!$1:$1048576,6,0)</f>
        <v>0</v>
      </c>
      <c r="K31" s="110">
        <f>VLOOKUP(A31,[3]מור!$1:$1048576,8,0)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VLOOKUP(A32,[3]מור!$1:$1048576,4,0)</f>
        <v>0</v>
      </c>
      <c r="I32" s="110">
        <f>VLOOKUP(A32,[3]מור!$1:$1048576,5,0)</f>
        <v>0</v>
      </c>
      <c r="J32" s="110">
        <f>VLOOKUP(A32,[3]מור!$1:$1048576,6,0)</f>
        <v>0</v>
      </c>
      <c r="K32" s="110">
        <f>VLOOKUP(A32,[3]מור!$1:$1048576,8,0)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VLOOKUP(A33,[3]מור!$1:$1048576,4,0)</f>
        <v>0</v>
      </c>
      <c r="I33" s="110">
        <f>VLOOKUP(A33,[3]מור!$1:$1048576,5,0)</f>
        <v>0</v>
      </c>
      <c r="J33" s="110">
        <f>VLOOKUP(A33,[3]מור!$1:$1048576,6,0)</f>
        <v>0</v>
      </c>
      <c r="K33" s="110">
        <f>VLOOKUP(A33,[3]מור!$1:$1048576,8,0)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VLOOKUP(A34,[3]מור!$1:$1048576,4,0)</f>
        <v>0</v>
      </c>
      <c r="I34" s="110">
        <f>VLOOKUP(A34,[3]מור!$1:$1048576,5,0)</f>
        <v>0</v>
      </c>
      <c r="J34" s="110">
        <f>VLOOKUP(A34,[3]מור!$1:$1048576,6,0)</f>
        <v>0</v>
      </c>
      <c r="K34" s="110">
        <f>VLOOKUP(A34,[3]מור!$1:$1048576,8,0)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>
        <f>VLOOKUP(A35,[3]מור!$1:$1048576,4,0)</f>
        <v>0</v>
      </c>
      <c r="I35" s="110">
        <f>VLOOKUP(A35,[3]מור!$1:$1048576,5,0)</f>
        <v>0</v>
      </c>
      <c r="J35" s="110">
        <f>VLOOKUP(A35,[3]מור!$1:$1048576,6,0)</f>
        <v>0</v>
      </c>
      <c r="K35" s="110">
        <f>VLOOKUP(A35,[3]מור!$1:$1048576,8,0)</f>
        <v>0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VLOOKUP(A36,[3]מור!$1:$1048576,4,0)</f>
        <v>0</v>
      </c>
      <c r="I36" s="110">
        <f>VLOOKUP(A36,[3]מור!$1:$1048576,5,0)</f>
        <v>0</v>
      </c>
      <c r="J36" s="110">
        <f>VLOOKUP(A36,[3]מור!$1:$1048576,6,0)</f>
        <v>0</v>
      </c>
      <c r="K36" s="110">
        <f>VLOOKUP(A36,[3]מור!$1:$1048576,8,0)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VLOOKUP(A37,[3]מור!$1:$1048576,4,0)</f>
        <v>0</v>
      </c>
      <c r="I37" s="110">
        <f>VLOOKUP(A37,[3]מור!$1:$1048576,5,0)</f>
        <v>0</v>
      </c>
      <c r="J37" s="110">
        <f>VLOOKUP(A37,[3]מור!$1:$1048576,6,0)</f>
        <v>0</v>
      </c>
      <c r="K37" s="110">
        <f>VLOOKUP(A37,[3]מור!$1:$1048576,8,0)</f>
        <v>0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VLOOKUP(A38,[3]מור!$1:$1048576,4,0)</f>
        <v>0</v>
      </c>
      <c r="I38" s="110">
        <f>VLOOKUP(A38,[3]מור!$1:$1048576,5,0)</f>
        <v>0</v>
      </c>
      <c r="J38" s="110">
        <f>VLOOKUP(A38,[3]מור!$1:$1048576,6,0)</f>
        <v>0</v>
      </c>
      <c r="K38" s="110">
        <f>VLOOKUP(A38,[3]מור!$1:$1048576,8,0)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VLOOKUP(A39,[3]מור!$1:$1048576,4,0)</f>
        <v>0</v>
      </c>
      <c r="I39" s="110">
        <f>VLOOKUP(A39,[3]מור!$1:$1048576,5,0)</f>
        <v>0</v>
      </c>
      <c r="J39" s="110">
        <f>VLOOKUP(A39,[3]מור!$1:$1048576,6,0)</f>
        <v>0</v>
      </c>
      <c r="K39" s="110">
        <f>VLOOKUP(A39,[3]מור!$1:$1048576,8,0)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>
        <f>VLOOKUP(A40,[3]מור!$1:$1048576,4,0)</f>
        <v>0</v>
      </c>
      <c r="I40" s="110">
        <f>VLOOKUP(A40,[3]מור!$1:$1048576,5,0)</f>
        <v>0</v>
      </c>
      <c r="J40" s="110">
        <f>VLOOKUP(A40,[3]מור!$1:$1048576,6,0)</f>
        <v>0</v>
      </c>
      <c r="K40" s="110">
        <f>VLOOKUP(A40,[3]מור!$1:$1048576,8,0)</f>
        <v>0</v>
      </c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>
        <f>VLOOKUP(A41,[3]מור!$1:$1048576,4,0)</f>
        <v>0</v>
      </c>
      <c r="I41" s="110">
        <f>VLOOKUP(A41,[3]מור!$1:$1048576,5,0)</f>
        <v>0</v>
      </c>
      <c r="J41" s="110">
        <f>VLOOKUP(A41,[3]מור!$1:$1048576,6,0)</f>
        <v>0</v>
      </c>
      <c r="K41" s="110">
        <f>VLOOKUP(A41,[3]מור!$1:$1048576,8,0)</f>
        <v>0</v>
      </c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>
        <f>VLOOKUP(A42,[3]מור!$1:$1048576,4,0)</f>
        <v>0</v>
      </c>
      <c r="I42" s="110">
        <f>VLOOKUP(A42,[3]מור!$1:$1048576,5,0)</f>
        <v>0</v>
      </c>
      <c r="J42" s="110">
        <f>VLOOKUP(A42,[3]מור!$1:$1048576,6,0)</f>
        <v>0</v>
      </c>
      <c r="K42" s="110">
        <f>VLOOKUP(A42,[3]מור!$1:$1048576,8,0)</f>
        <v>0</v>
      </c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>
        <f>VLOOKUP(A43,[3]מור!$1:$1048576,4,0)</f>
        <v>0</v>
      </c>
      <c r="I43" s="110">
        <f>VLOOKUP(A43,[3]מור!$1:$1048576,5,0)</f>
        <v>0</v>
      </c>
      <c r="J43" s="110">
        <f>VLOOKUP(A43,[3]מור!$1:$1048576,6,0)</f>
        <v>0</v>
      </c>
      <c r="K43" s="110">
        <f>VLOOKUP(A43,[3]מור!$1:$1048576,8,0)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>
        <f>VLOOKUP(A44,[3]מור!$1:$1048576,4,0)</f>
        <v>0</v>
      </c>
      <c r="I44" s="110">
        <f>VLOOKUP(A44,[3]מור!$1:$1048576,5,0)</f>
        <v>0</v>
      </c>
      <c r="J44" s="110">
        <f>VLOOKUP(A44,[3]מור!$1:$1048576,6,0)</f>
        <v>0</v>
      </c>
      <c r="K44" s="110">
        <f>VLOOKUP(A44,[3]מור!$1:$1048576,8,0)</f>
        <v>0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>
        <f>VLOOKUP(A45,[3]מור!$1:$1048576,4,0)</f>
        <v>0</v>
      </c>
      <c r="I45" s="110">
        <f>VLOOKUP(A45,[3]מור!$1:$1048576,5,0)</f>
        <v>0</v>
      </c>
      <c r="J45" s="110">
        <f>VLOOKUP(A45,[3]מור!$1:$1048576,6,0)</f>
        <v>0</v>
      </c>
      <c r="K45" s="110">
        <f>VLOOKUP(A45,[3]מור!$1:$1048576,8,0)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>
        <f>VLOOKUP(A46,[3]מור!$1:$1048576,4,0)</f>
        <v>0</v>
      </c>
      <c r="I46" s="110">
        <f>VLOOKUP(A46,[3]מור!$1:$1048576,5,0)</f>
        <v>0</v>
      </c>
      <c r="J46" s="110">
        <f>VLOOKUP(A46,[3]מור!$1:$1048576,6,0)</f>
        <v>0</v>
      </c>
      <c r="K46" s="110">
        <f>VLOOKUP(A46,[3]מור!$1:$1048576,8,0)</f>
        <v>0</v>
      </c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>
        <f>VLOOKUP(A47,[3]מור!$1:$1048576,4,0)</f>
        <v>0</v>
      </c>
      <c r="I47" s="110">
        <f>VLOOKUP(A47,[3]מור!$1:$1048576,5,0)</f>
        <v>0</v>
      </c>
      <c r="J47" s="110">
        <f>VLOOKUP(A47,[3]מור!$1:$1048576,6,0)</f>
        <v>0</v>
      </c>
      <c r="K47" s="110">
        <f>VLOOKUP(A47,[3]מור!$1:$1048576,8,0)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>
        <f>VLOOKUP(A48,[3]מור!$1:$1048576,4,0)</f>
        <v>0</v>
      </c>
      <c r="I48" s="110">
        <f>VLOOKUP(A48,[3]מור!$1:$1048576,5,0)</f>
        <v>0</v>
      </c>
      <c r="J48" s="110">
        <f>VLOOKUP(A48,[3]מור!$1:$1048576,6,0)</f>
        <v>0</v>
      </c>
      <c r="K48" s="110">
        <f>VLOOKUP(A48,[3]מור!$1:$1048576,8,0)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>
        <f>VLOOKUP(A49,[3]מור!$1:$1048576,4,0)</f>
        <v>0</v>
      </c>
      <c r="I49" s="110">
        <f>VLOOKUP(A49,[3]מור!$1:$1048576,5,0)</f>
        <v>0</v>
      </c>
      <c r="J49" s="110">
        <f>VLOOKUP(A49,[3]מור!$1:$1048576,6,0)</f>
        <v>0</v>
      </c>
      <c r="K49" s="110">
        <f>VLOOKUP(A49,[3]מור!$1:$1048576,8,0)</f>
        <v>0</v>
      </c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VLOOKUP(A50,[3]מור!$1:$1048576,4,0)</f>
        <v>0</v>
      </c>
      <c r="I50" s="110">
        <f>VLOOKUP(A50,[3]מור!$1:$1048576,5,0)</f>
        <v>0</v>
      </c>
      <c r="J50" s="110">
        <f>VLOOKUP(A50,[3]מור!$1:$1048576,6,0)</f>
        <v>0</v>
      </c>
      <c r="K50" s="110">
        <f>VLOOKUP(A50,[3]מור!$1:$1048576,8,0)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>
        <f>VLOOKUP(A51,[3]מור!$1:$1048576,4,0)</f>
        <v>0</v>
      </c>
      <c r="I51" s="110">
        <f>VLOOKUP(A51,[3]מור!$1:$1048576,5,0)</f>
        <v>0</v>
      </c>
      <c r="J51" s="110">
        <f>VLOOKUP(A51,[3]מור!$1:$1048576,6,0)</f>
        <v>0</v>
      </c>
      <c r="K51" s="110">
        <f>VLOOKUP(A51,[3]מור!$1:$1048576,8,0)</f>
        <v>0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VLOOKUP(A52,[3]מור!$1:$1048576,4,0)</f>
        <v>0</v>
      </c>
      <c r="I52" s="110">
        <f>VLOOKUP(A52,[3]מור!$1:$1048576,5,0)</f>
        <v>0</v>
      </c>
      <c r="J52" s="110">
        <f>VLOOKUP(A52,[3]מור!$1:$1048576,6,0)</f>
        <v>0</v>
      </c>
      <c r="K52" s="110">
        <f>VLOOKUP(A52,[3]מור!$1:$1048576,8,0)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>
        <f>VLOOKUP(A53,[3]מור!$1:$1048576,4,0)</f>
        <v>0</v>
      </c>
      <c r="I53" s="110">
        <f>VLOOKUP(A53,[3]מור!$1:$1048576,5,0)</f>
        <v>0</v>
      </c>
      <c r="J53" s="110">
        <f>VLOOKUP(A53,[3]מור!$1:$1048576,6,0)</f>
        <v>0</v>
      </c>
      <c r="K53" s="110">
        <f>VLOOKUP(A53,[3]מור!$1:$1048576,8,0)</f>
        <v>0</v>
      </c>
    </row>
    <row r="54" spans="1:13" ht="21.75" thickBot="1" x14ac:dyDescent="0.4">
      <c r="A54" s="144" t="s">
        <v>130</v>
      </c>
      <c r="B54" s="142"/>
      <c r="C54" s="142"/>
      <c r="D54" s="220">
        <f>SUM(D22:D53)</f>
        <v>0</v>
      </c>
      <c r="E54" s="220">
        <f t="shared" ref="E54:K54" si="2">SUM(E22:E53)</f>
        <v>0</v>
      </c>
      <c r="F54" s="220">
        <f t="shared" si="2"/>
        <v>0</v>
      </c>
      <c r="G54" s="220">
        <f t="shared" si="2"/>
        <v>0</v>
      </c>
      <c r="H54" s="220">
        <f t="shared" si="2"/>
        <v>0</v>
      </c>
      <c r="I54" s="220">
        <f t="shared" si="2"/>
        <v>0</v>
      </c>
      <c r="J54" s="220">
        <f t="shared" si="2"/>
        <v>0</v>
      </c>
      <c r="K54" s="220">
        <f t="shared" si="2"/>
        <v>0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>
        <f>VLOOKUP(A55,[3]מור!$1:$1048576,4,0)</f>
        <v>0</v>
      </c>
      <c r="I55" s="110">
        <f>VLOOKUP(A55,[3]מור!$1:$1048576,5,0)</f>
        <v>0</v>
      </c>
      <c r="J55" s="110">
        <f>VLOOKUP(A55,[3]מור!$1:$1048576,6,0)</f>
        <v>0</v>
      </c>
      <c r="K55" s="110">
        <f>VLOOKUP(A55,[3]מור!$1:$1048576,8,0)</f>
        <v>0</v>
      </c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>
        <v>164024</v>
      </c>
      <c r="G56" s="14"/>
      <c r="H56" s="110">
        <f>VLOOKUP(A56,[3]מור!$1:$1048576,4,0)</f>
        <v>0</v>
      </c>
      <c r="I56" s="110">
        <f>VLOOKUP(A56,[3]מור!$1:$1048576,5,0)</f>
        <v>0</v>
      </c>
      <c r="J56" s="110">
        <f>VLOOKUP(A56,[3]מור!$1:$1048576,6,0)</f>
        <v>120104.22</v>
      </c>
      <c r="K56" s="110">
        <f>VLOOKUP(A56,[3]מור!$1:$1048576,8,0)</f>
        <v>0</v>
      </c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>
        <f>VLOOKUP(A57,[3]מור!$1:$1048576,4,0)</f>
        <v>0</v>
      </c>
      <c r="I57" s="110">
        <f>VLOOKUP(A57,[3]מור!$1:$1048576,5,0)</f>
        <v>0</v>
      </c>
      <c r="J57" s="110">
        <f>VLOOKUP(A57,[3]מור!$1:$1048576,6,0)</f>
        <v>30000</v>
      </c>
      <c r="K57" s="110">
        <f>VLOOKUP(A57,[3]מור!$1:$1048576,8,0)</f>
        <v>0</v>
      </c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>
        <f>VLOOKUP(A58,[3]מור!$1:$1048576,4,0)</f>
        <v>0</v>
      </c>
      <c r="I58" s="110">
        <f>VLOOKUP(A58,[3]מור!$1:$1048576,5,0)</f>
        <v>0</v>
      </c>
      <c r="J58" s="110">
        <f>VLOOKUP(A58,[3]מור!$1:$1048576,6,0)</f>
        <v>0</v>
      </c>
      <c r="K58" s="110">
        <f>VLOOKUP(A58,[3]מור!$1:$1048576,8,0)</f>
        <v>0</v>
      </c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>
        <f>VLOOKUP(A59,[3]מור!$1:$1048576,4,0)</f>
        <v>0</v>
      </c>
      <c r="I59" s="110">
        <f>VLOOKUP(A59,[3]מור!$1:$1048576,5,0)</f>
        <v>0</v>
      </c>
      <c r="J59" s="110">
        <f>VLOOKUP(A59,[3]מור!$1:$1048576,6,0)</f>
        <v>591461.71</v>
      </c>
      <c r="K59" s="110">
        <f>VLOOKUP(A59,[3]מור!$1:$1048576,8,0)</f>
        <v>0</v>
      </c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>
        <f>VLOOKUP(A60,[3]מור!$1:$1048576,4,0)</f>
        <v>0</v>
      </c>
      <c r="I60" s="110">
        <f>VLOOKUP(A60,[3]מור!$1:$1048576,5,0)</f>
        <v>0</v>
      </c>
      <c r="J60" s="110">
        <f>VLOOKUP(A60,[3]מור!$1:$1048576,6,0)</f>
        <v>0</v>
      </c>
      <c r="K60" s="110">
        <f>VLOOKUP(A60,[3]מור!$1:$1048576,8,0)</f>
        <v>0</v>
      </c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>
        <f>VLOOKUP(A61,[3]מור!$1:$1048576,4,0)</f>
        <v>0</v>
      </c>
      <c r="I61" s="110">
        <f>VLOOKUP(A61,[3]מור!$1:$1048576,5,0)</f>
        <v>0</v>
      </c>
      <c r="J61" s="110">
        <f>VLOOKUP(A61,[3]מור!$1:$1048576,6,0)</f>
        <v>0</v>
      </c>
      <c r="K61" s="110">
        <f>VLOOKUP(A61,[3]מור!$1:$1048576,8,0)</f>
        <v>0</v>
      </c>
    </row>
    <row r="62" spans="1:13" ht="21.75" thickBot="1" x14ac:dyDescent="0.4">
      <c r="A62" s="144" t="s">
        <v>131</v>
      </c>
      <c r="B62" s="142"/>
      <c r="C62" s="142"/>
      <c r="D62" s="220">
        <f>SUM(D55:D61)</f>
        <v>0</v>
      </c>
      <c r="E62" s="220">
        <f t="shared" ref="E62:K62" si="3">SUM(E55:E61)</f>
        <v>0</v>
      </c>
      <c r="F62" s="220">
        <f t="shared" si="3"/>
        <v>164024</v>
      </c>
      <c r="G62" s="220">
        <f t="shared" si="3"/>
        <v>0</v>
      </c>
      <c r="H62" s="220">
        <f t="shared" si="3"/>
        <v>0</v>
      </c>
      <c r="I62" s="220">
        <f t="shared" si="3"/>
        <v>0</v>
      </c>
      <c r="J62" s="220">
        <f t="shared" si="3"/>
        <v>741565.92999999993</v>
      </c>
      <c r="K62" s="220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10">
        <f>VLOOKUP(A63,[3]מור!$1:$1048576,4,0)</f>
        <v>0</v>
      </c>
      <c r="I63" s="110">
        <f>VLOOKUP(A63,[3]מור!$1:$1048576,5,0)</f>
        <v>0</v>
      </c>
      <c r="J63" s="110">
        <f>VLOOKUP(A63,[3]מור!$1:$1048576,6,0)</f>
        <v>0</v>
      </c>
      <c r="K63" s="110">
        <f>VLOOKUP(A63,[3]מור!$1:$1048576,8,0)</f>
        <v>0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>
        <f>VLOOKUP(A64,[3]מור!$1:$1048576,4,0)</f>
        <v>0</v>
      </c>
      <c r="I64" s="110">
        <f>VLOOKUP(A64,[3]מור!$1:$1048576,5,0)</f>
        <v>0</v>
      </c>
      <c r="J64" s="110">
        <f>VLOOKUP(A64,[3]מור!$1:$1048576,6,0)</f>
        <v>488859.09</v>
      </c>
      <c r="K64" s="110">
        <f>VLOOKUP(A64,[3]מור!$1:$1048576,8,0)</f>
        <v>0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f>VLOOKUP(A65,[3]מור!$1:$1048576,4,0)</f>
        <v>0</v>
      </c>
      <c r="I65" s="110">
        <f>VLOOKUP(A65,[3]מור!$1:$1048576,5,0)</f>
        <v>0</v>
      </c>
      <c r="J65" s="110">
        <f>VLOOKUP(A65,[3]מור!$1:$1048576,6,0)</f>
        <v>0</v>
      </c>
      <c r="K65" s="110">
        <f>VLOOKUP(A65,[3]מור!$1:$1048576,8,0)</f>
        <v>0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>
        <f>VLOOKUP(A66,[3]מור!$1:$1048576,4,0)</f>
        <v>0</v>
      </c>
      <c r="I66" s="110">
        <f>VLOOKUP(A66,[3]מור!$1:$1048576,5,0)</f>
        <v>0</v>
      </c>
      <c r="J66" s="110">
        <f>VLOOKUP(A66,[3]מור!$1:$1048576,6,0)</f>
        <v>0</v>
      </c>
      <c r="K66" s="110">
        <f>VLOOKUP(A66,[3]מור!$1:$1048576,8,0)</f>
        <v>0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>
        <f>VLOOKUP(A67,[3]מור!$1:$1048576,4,0)</f>
        <v>0</v>
      </c>
      <c r="I67" s="110">
        <f>VLOOKUP(A67,[3]מור!$1:$1048576,5,0)</f>
        <v>0</v>
      </c>
      <c r="J67" s="110">
        <f>VLOOKUP(A67,[3]מור!$1:$1048576,6,0)</f>
        <v>0</v>
      </c>
      <c r="K67" s="110">
        <f>VLOOKUP(A67,[3]מור!$1:$1048576,8,0)</f>
        <v>0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>
        <f>VLOOKUP(A68,[3]מור!$1:$1048576,4,0)</f>
        <v>0</v>
      </c>
      <c r="I68" s="110">
        <f>VLOOKUP(A68,[3]מור!$1:$1048576,5,0)</f>
        <v>0</v>
      </c>
      <c r="J68" s="110">
        <f>VLOOKUP(A68,[3]מור!$1:$1048576,6,0)</f>
        <v>0</v>
      </c>
      <c r="K68" s="110">
        <f>VLOOKUP(A68,[3]מור!$1:$1048576,8,0)</f>
        <v>0</v>
      </c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>
        <v>5200</v>
      </c>
      <c r="G69" s="14"/>
      <c r="H69" s="110">
        <f>VLOOKUP(A69,[3]מור!$1:$1048576,4,0)</f>
        <v>0</v>
      </c>
      <c r="I69" s="110">
        <f>VLOOKUP(A69,[3]מור!$1:$1048576,5,0)</f>
        <v>0</v>
      </c>
      <c r="J69" s="110">
        <f>VLOOKUP(A69,[3]מור!$1:$1048576,6,0)</f>
        <v>629203.72</v>
      </c>
      <c r="K69" s="110">
        <f>VLOOKUP(A69,[3]מור!$1:$1048576,8,0)</f>
        <v>0</v>
      </c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10">
        <f>VLOOKUP(A70,[3]מור!$1:$1048576,4,0)</f>
        <v>0</v>
      </c>
      <c r="I70" s="110">
        <f>VLOOKUP(A70,[3]מור!$1:$1048576,5,0)</f>
        <v>0</v>
      </c>
      <c r="J70" s="110">
        <f>VLOOKUP(A70,[3]מור!$1:$1048576,6,0)</f>
        <v>0</v>
      </c>
      <c r="K70" s="110">
        <f>VLOOKUP(A70,[3]מור!$1:$1048576,8,0)</f>
        <v>0</v>
      </c>
    </row>
    <row r="71" spans="1:12" ht="21.75" thickBot="1" x14ac:dyDescent="0.4">
      <c r="A71" s="143" t="s">
        <v>44</v>
      </c>
      <c r="B71" s="142"/>
      <c r="C71" s="142"/>
      <c r="D71" s="220">
        <f>SUM(D63:D70)</f>
        <v>0</v>
      </c>
      <c r="E71" s="220">
        <f t="shared" ref="E71:K71" si="4">SUM(E63:E70)</f>
        <v>0</v>
      </c>
      <c r="F71" s="220">
        <f t="shared" si="4"/>
        <v>5200</v>
      </c>
      <c r="G71" s="220">
        <f t="shared" si="4"/>
        <v>0</v>
      </c>
      <c r="H71" s="220">
        <f t="shared" si="4"/>
        <v>0</v>
      </c>
      <c r="I71" s="220">
        <f t="shared" si="4"/>
        <v>0</v>
      </c>
      <c r="J71" s="220">
        <f t="shared" si="4"/>
        <v>1118062.81</v>
      </c>
      <c r="K71" s="220">
        <f t="shared" si="4"/>
        <v>0</v>
      </c>
    </row>
    <row r="72" spans="1:12" ht="21.75" thickBot="1" x14ac:dyDescent="0.4">
      <c r="A72" s="143" t="s">
        <v>45</v>
      </c>
      <c r="B72" s="142"/>
      <c r="C72" s="142"/>
      <c r="D72" s="220">
        <f>D71+D62+D54+D21+D8</f>
        <v>0</v>
      </c>
      <c r="E72" s="220">
        <f t="shared" ref="E72:K72" si="5">E71+E62+E54+E21+E8</f>
        <v>0</v>
      </c>
      <c r="F72" s="220">
        <f t="shared" si="5"/>
        <v>344469</v>
      </c>
      <c r="G72" s="220">
        <f t="shared" si="5"/>
        <v>0</v>
      </c>
      <c r="H72" s="220">
        <f t="shared" si="5"/>
        <v>0</v>
      </c>
      <c r="I72" s="220">
        <f t="shared" si="5"/>
        <v>0</v>
      </c>
      <c r="J72" s="220">
        <f t="shared" si="5"/>
        <v>10312275.379999999</v>
      </c>
      <c r="K72" s="220">
        <f t="shared" si="5"/>
        <v>0</v>
      </c>
    </row>
  </sheetData>
  <autoFilter ref="A2:O72" xr:uid="{EDBCE8AC-DFB4-481F-BF31-12F2118B912A}"/>
  <mergeCells count="2">
    <mergeCell ref="D1:G1"/>
    <mergeCell ref="H1:K1"/>
  </mergeCells>
  <conditionalFormatting sqref="A1">
    <cfRule type="duplicateValues" dxfId="103" priority="13"/>
    <cfRule type="duplicateValues" dxfId="102" priority="14"/>
  </conditionalFormatting>
  <conditionalFormatting sqref="A14">
    <cfRule type="duplicateValues" dxfId="101" priority="3"/>
    <cfRule type="duplicateValues" dxfId="100" priority="4"/>
  </conditionalFormatting>
  <conditionalFormatting sqref="A55">
    <cfRule type="duplicateValues" dxfId="99" priority="5"/>
    <cfRule type="duplicateValues" dxfId="98" priority="6"/>
  </conditionalFormatting>
  <conditionalFormatting sqref="A56:A58 A7 A22:A53 A60">
    <cfRule type="duplicateValues" dxfId="97" priority="11"/>
    <cfRule type="duplicateValues" dxfId="96" priority="12"/>
  </conditionalFormatting>
  <conditionalFormatting sqref="A59">
    <cfRule type="duplicateValues" dxfId="95" priority="1"/>
    <cfRule type="duplicateValues" dxfId="94" priority="2"/>
  </conditionalFormatting>
  <conditionalFormatting sqref="A63:A70">
    <cfRule type="duplicateValues" dxfId="93" priority="9"/>
    <cfRule type="duplicateValues" dxfId="92" priority="10"/>
  </conditionalFormatting>
  <conditionalFormatting sqref="A71:A72 A2:A6 A8:A13 A15:A21 A54 A62">
    <cfRule type="duplicateValues" dxfId="91" priority="7"/>
    <cfRule type="duplicateValues" dxfId="90" priority="8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42E4-EDC3-4912-B68F-202C63AD69E3}">
  <sheetPr>
    <tabColor theme="0"/>
  </sheetPr>
  <dimension ref="A1:M78"/>
  <sheetViews>
    <sheetView rightToLeft="1" zoomScaleNormal="100" workbookViewId="0">
      <pane ySplit="3" topLeftCell="A66" activePane="bottomLeft" state="frozen"/>
      <selection pane="bottomLeft" activeCell="A73" sqref="A73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/>
      <c r="I3" s="110"/>
      <c r="J3" s="110">
        <f>VLOOKUP(A3,'[4]אלטשולר שחם'!$A:$E,4,0)</f>
        <v>1600</v>
      </c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>
        <f>VLOOKUP(A4,'[4]אלטשולר שחם'!$A:$E,4,0)</f>
        <v>0</v>
      </c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10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1">
        <f>SUM(D3:D6)</f>
        <v>0</v>
      </c>
      <c r="E8" s="141">
        <f t="shared" ref="E8:K8" si="0">SUM(E3:E6)</f>
        <v>0</v>
      </c>
      <c r="F8" s="141">
        <f t="shared" si="0"/>
        <v>0</v>
      </c>
      <c r="G8" s="141">
        <f t="shared" si="0"/>
        <v>0</v>
      </c>
      <c r="H8" s="141">
        <f t="shared" si="0"/>
        <v>0</v>
      </c>
      <c r="I8" s="141">
        <f t="shared" si="0"/>
        <v>0</v>
      </c>
      <c r="J8" s="143">
        <f>VLOOKUP(A8,'[4]אלטשולר שחם'!$A:$E,4,0)</f>
        <v>1600</v>
      </c>
      <c r="K8" s="141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10">
        <f>VLOOKUP(A9,'[4]אלטשולר שחם'!$A:$E,4,0)</f>
        <v>0</v>
      </c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>
        <f>VLOOKUP(A10,'[4]אלטשולר שחם'!$A:$E,4,0)</f>
        <v>0</v>
      </c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>
        <f>VLOOKUP(A11,'[4]אלטשולר שחם'!$A:$E,4,0)</f>
        <v>0</v>
      </c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>
        <f>VLOOKUP(A12,'[4]אלטשולר שחם'!$A:$E,4,0)</f>
        <v>0</v>
      </c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>
        <f>VLOOKUP(A13,'[4]אלטשולר שחם'!$A:$E,4,0)</f>
        <v>0</v>
      </c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>
        <f>VLOOKUP(A14,'[4]אלטשולר שחם'!$A:$E,4,0)</f>
        <v>0</v>
      </c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>
        <f>VLOOKUP(A15,'[4]אלטשולר שחם'!$A:$E,4,0)</f>
        <v>0</v>
      </c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>
        <f>VLOOKUP(A17,'[4]אלטשולר שחם'!$A:$E,4,0)</f>
        <v>2100</v>
      </c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>
        <f>VLOOKUP(A18,'[4]אלטשולר שחם'!$A:$E,4,0)</f>
        <v>0</v>
      </c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>
        <f>VLOOKUP(A19,'[4]אלטשולר שחם'!$A:$E,4,0)</f>
        <v>0</v>
      </c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10">
        <f>VLOOKUP(A20,'[4]אלטשולר שחם'!$A:$E,4,0)</f>
        <v>0</v>
      </c>
      <c r="K20" s="137"/>
    </row>
    <row r="21" spans="1:11" ht="21.75" thickBot="1" x14ac:dyDescent="0.3">
      <c r="A21" s="143" t="s">
        <v>10</v>
      </c>
      <c r="B21" s="142"/>
      <c r="C21" s="142"/>
      <c r="D21" s="141">
        <f>SUM(D9:D20)</f>
        <v>0</v>
      </c>
      <c r="E21" s="141">
        <f t="shared" ref="E21:K21" si="1">SUM(E9:E20)</f>
        <v>0</v>
      </c>
      <c r="F21" s="141">
        <f t="shared" si="1"/>
        <v>0</v>
      </c>
      <c r="G21" s="141">
        <f>SUM(G9:G20)</f>
        <v>0</v>
      </c>
      <c r="H21" s="141">
        <f t="shared" si="1"/>
        <v>0</v>
      </c>
      <c r="I21" s="141">
        <f t="shared" si="1"/>
        <v>0</v>
      </c>
      <c r="J21" s="230">
        <f>SUM(J9:J20)</f>
        <v>2100</v>
      </c>
      <c r="K21" s="141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10">
        <f>VLOOKUP(A22,'[4]אלטשולר שחם'!$A:$E,4,0)</f>
        <v>0</v>
      </c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>
        <f>VLOOKUP(A23,'[4]אלטשולר שחם'!$A:$E,4,0)</f>
        <v>0</v>
      </c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>
        <f>VLOOKUP(A24,'[4]אלטשולר שחם'!$A:$E,4,0)</f>
        <v>0</v>
      </c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>
        <f>VLOOKUP(A25,'[4]אלטשולר שחם'!$A:$E,4,0)</f>
        <v>0</v>
      </c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>
        <f>VLOOKUP(A26,'[4]אלטשולר שחם'!$A:$E,4,0)</f>
        <v>0</v>
      </c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>
        <f>VLOOKUP(A27,'[4]אלטשולר שחם'!$A:$E,4,0)</f>
        <v>0</v>
      </c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>
        <f>VLOOKUP(A28,'[4]אלטשולר שחם'!$A:$E,4,0)</f>
        <v>0</v>
      </c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>
        <f>VLOOKUP(A29,'[4]אלטשולר שחם'!$A:$E,4,0)</f>
        <v>0</v>
      </c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>
        <f>VLOOKUP(A30,'[4]אלטשולר שחם'!$A:$E,4,0)</f>
        <v>200</v>
      </c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>
        <f>VLOOKUP(A31,'[4]אלטשולר שחם'!$A:$E,4,0)</f>
        <v>0</v>
      </c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>
        <f>VLOOKUP(A32,'[4]אלטשולר שחם'!$A:$E,4,0)</f>
        <v>0</v>
      </c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>
        <f>VLOOKUP(A33,'[4]אלטשולר שחם'!$A:$E,4,0)</f>
        <v>0</v>
      </c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>
        <f>VLOOKUP(A34,'[4]אלטשולר שחם'!$A:$E,4,0)</f>
        <v>0</v>
      </c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>
        <f>VLOOKUP(A35,'[4]אלטשולר שחם'!$A:$E,4,0)</f>
        <v>0</v>
      </c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>
        <f>VLOOKUP(A36,'[4]אלטשולר שחם'!$A:$E,4,0)</f>
        <v>0</v>
      </c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>
        <f>VLOOKUP(A37,'[4]אלטשולר שחם'!$A:$E,4,0)</f>
        <v>0</v>
      </c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>
        <f>VLOOKUP(A38,'[4]אלטשולר שחם'!$A:$E,4,0)</f>
        <v>0</v>
      </c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>
        <f>VLOOKUP(A50,'[4]אלטשולר שחם'!$A:$E,4,0)</f>
        <v>0</v>
      </c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>
        <f>VLOOKUP(A51,'[4]אלטשולר שחם'!$A:$E,4,0)</f>
        <v>0</v>
      </c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>
        <f>VLOOKUP(A52,'[4]אלטשולר שחם'!$A:$E,4,0)</f>
        <v>0</v>
      </c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10">
        <f>VLOOKUP(A53,'[4]אלטשולר שחם'!$A:$E,4,0)</f>
        <v>0</v>
      </c>
      <c r="K53" s="137"/>
    </row>
    <row r="54" spans="1:13" ht="21.75" thickBot="1" x14ac:dyDescent="0.3">
      <c r="A54" s="144" t="s">
        <v>130</v>
      </c>
      <c r="B54" s="142"/>
      <c r="C54" s="142"/>
      <c r="D54" s="141">
        <f t="shared" ref="D54:K54" ca="1" si="2">SUM(D21:D56)</f>
        <v>0</v>
      </c>
      <c r="E54" s="141">
        <f t="shared" ca="1" si="2"/>
        <v>0</v>
      </c>
      <c r="F54" s="141">
        <f t="shared" ca="1" si="2"/>
        <v>0</v>
      </c>
      <c r="G54" s="141">
        <f t="shared" ca="1" si="2"/>
        <v>0</v>
      </c>
      <c r="H54" s="141">
        <f t="shared" ca="1" si="2"/>
        <v>0</v>
      </c>
      <c r="I54" s="141">
        <f t="shared" ca="1" si="2"/>
        <v>0</v>
      </c>
      <c r="J54" s="144">
        <f>SUM(J22:J53)</f>
        <v>200</v>
      </c>
      <c r="K54" s="141">
        <f t="shared" ca="1" si="2"/>
        <v>0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/>
      <c r="I55" s="110"/>
      <c r="J55" s="110">
        <f>VLOOKUP(A55,'[4]אלטשולר שחם'!$A:$E,4,0)</f>
        <v>0</v>
      </c>
      <c r="K55" s="110"/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/>
      <c r="G56" s="14"/>
      <c r="H56" s="110"/>
      <c r="I56" s="110"/>
      <c r="J56" s="110">
        <f>VLOOKUP(A56,'[4]אלטשולר שחם'!$A:$E,4,0)</f>
        <v>0</v>
      </c>
      <c r="K56" s="110"/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/>
      <c r="I57" s="110"/>
      <c r="J57" s="110">
        <f>VLOOKUP(A57,'[4]אלטשולר שחם'!$A:$E,4,0)</f>
        <v>250</v>
      </c>
      <c r="K57" s="110"/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/>
      <c r="I58" s="110"/>
      <c r="J58" s="110">
        <f>VLOOKUP(A58,'[4]אלטשולר שחם'!$A:$E,4,0)</f>
        <v>0</v>
      </c>
      <c r="K58" s="110"/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131</v>
      </c>
      <c r="B62" s="142"/>
      <c r="C62" s="142"/>
      <c r="D62" s="141">
        <f t="shared" ref="D62:K62" si="3">SUM(D22:D53)</f>
        <v>0</v>
      </c>
      <c r="E62" s="141">
        <f t="shared" si="3"/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4">
        <f>SUM(J55:J61)</f>
        <v>250</v>
      </c>
      <c r="K62" s="141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1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10"/>
      <c r="K70" s="137"/>
    </row>
    <row r="71" spans="1:12" ht="21.75" thickBot="1" x14ac:dyDescent="0.3">
      <c r="A71" s="143" t="s">
        <v>44</v>
      </c>
      <c r="B71" s="142"/>
      <c r="C71" s="142"/>
      <c r="D71" s="152">
        <f t="shared" ref="D71:K71" si="4">SUM(D63:D70)</f>
        <v>0</v>
      </c>
      <c r="E71" s="152">
        <f t="shared" si="4"/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53">
        <f t="shared" ref="D72:K72" si="5">D71+D62+D21+D8</f>
        <v>0</v>
      </c>
      <c r="E72" s="153">
        <f t="shared" si="5"/>
        <v>0</v>
      </c>
      <c r="F72" s="153">
        <f t="shared" si="5"/>
        <v>0</v>
      </c>
      <c r="G72" s="153">
        <f t="shared" si="5"/>
        <v>0</v>
      </c>
      <c r="H72" s="153">
        <f t="shared" si="5"/>
        <v>0</v>
      </c>
      <c r="I72" s="153">
        <f t="shared" si="5"/>
        <v>0</v>
      </c>
      <c r="J72" s="144">
        <f>J71+J62+J54+J21+J8</f>
        <v>4150</v>
      </c>
      <c r="K72" s="153">
        <f t="shared" si="5"/>
        <v>0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K72" xr:uid="{885942E4-EDC3-4912-B68F-202C63AD69E3}"/>
  <mergeCells count="2">
    <mergeCell ref="D1:G1"/>
    <mergeCell ref="H1:K1"/>
  </mergeCells>
  <conditionalFormatting sqref="A1">
    <cfRule type="duplicateValues" dxfId="89" priority="23"/>
    <cfRule type="duplicateValues" dxfId="88" priority="24"/>
  </conditionalFormatting>
  <conditionalFormatting sqref="A14">
    <cfRule type="duplicateValues" dxfId="87" priority="13"/>
    <cfRule type="duplicateValues" dxfId="86" priority="14"/>
  </conditionalFormatting>
  <conditionalFormatting sqref="A55">
    <cfRule type="duplicateValues" dxfId="85" priority="15"/>
    <cfRule type="duplicateValues" dxfId="84" priority="16"/>
  </conditionalFormatting>
  <conditionalFormatting sqref="A56:A58 A7 A22:A53 A60">
    <cfRule type="duplicateValues" dxfId="83" priority="21"/>
    <cfRule type="duplicateValues" dxfId="82" priority="22"/>
  </conditionalFormatting>
  <conditionalFormatting sqref="A59">
    <cfRule type="duplicateValues" dxfId="81" priority="11"/>
    <cfRule type="duplicateValues" dxfId="80" priority="12"/>
  </conditionalFormatting>
  <conditionalFormatting sqref="A63:A70">
    <cfRule type="duplicateValues" dxfId="79" priority="19"/>
    <cfRule type="duplicateValues" dxfId="78" priority="20"/>
  </conditionalFormatting>
  <conditionalFormatting sqref="A71:A72 A2:A6 A8:A13 A15:A21 A54 A62">
    <cfRule type="duplicateValues" dxfId="77" priority="17"/>
    <cfRule type="duplicateValues" dxfId="76" priority="18"/>
  </conditionalFormatting>
  <conditionalFormatting sqref="J8">
    <cfRule type="duplicateValues" dxfId="75" priority="9"/>
    <cfRule type="duplicateValues" dxfId="74" priority="10"/>
  </conditionalFormatting>
  <conditionalFormatting sqref="J21">
    <cfRule type="duplicateValues" dxfId="73" priority="7"/>
    <cfRule type="duplicateValues" dxfId="72" priority="8"/>
  </conditionalFormatting>
  <conditionalFormatting sqref="J54">
    <cfRule type="duplicateValues" dxfId="71" priority="5"/>
    <cfRule type="duplicateValues" dxfId="70" priority="6"/>
  </conditionalFormatting>
  <conditionalFormatting sqref="J62">
    <cfRule type="duplicateValues" dxfId="69" priority="3"/>
    <cfRule type="duplicateValues" dxfId="68" priority="4"/>
  </conditionalFormatting>
  <conditionalFormatting sqref="J72">
    <cfRule type="duplicateValues" dxfId="67" priority="1"/>
    <cfRule type="duplicateValues" dxfId="6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526D-BE69-4CEF-9B1E-B00AE498E64D}">
  <sheetPr>
    <tabColor theme="0"/>
  </sheetPr>
  <dimension ref="A1:M72"/>
  <sheetViews>
    <sheetView rightToLeft="1" topLeftCell="A45" workbookViewId="0">
      <selection activeCell="D72" sqref="D72:K72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3">
        <f>SUM(D3:D7)</f>
        <v>0</v>
      </c>
      <c r="E8" s="143">
        <f t="shared" ref="E8:K8" si="0">SUM(E3:E7)</f>
        <v>0</v>
      </c>
      <c r="F8" s="143">
        <f t="shared" si="0"/>
        <v>0</v>
      </c>
      <c r="G8" s="143">
        <f t="shared" si="0"/>
        <v>0</v>
      </c>
      <c r="H8" s="143">
        <f t="shared" si="0"/>
        <v>0</v>
      </c>
      <c r="I8" s="143">
        <f t="shared" si="0"/>
        <v>0</v>
      </c>
      <c r="J8" s="143">
        <f t="shared" si="0"/>
        <v>0</v>
      </c>
      <c r="K8" s="143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143">
        <f>SUM(D9:D20)</f>
        <v>0</v>
      </c>
      <c r="E21" s="143">
        <f t="shared" ref="E21:K21" si="1">SUM(E9:E20)</f>
        <v>0</v>
      </c>
      <c r="F21" s="143">
        <f t="shared" si="1"/>
        <v>0</v>
      </c>
      <c r="G21" s="143">
        <f t="shared" si="1"/>
        <v>0</v>
      </c>
      <c r="H21" s="143">
        <f t="shared" si="1"/>
        <v>0</v>
      </c>
      <c r="I21" s="143">
        <f t="shared" si="1"/>
        <v>0</v>
      </c>
      <c r="J21" s="143">
        <f t="shared" si="1"/>
        <v>0</v>
      </c>
      <c r="K21" s="143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>
        <v>144</v>
      </c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>
        <v>126</v>
      </c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3" ht="21.75" thickBot="1" x14ac:dyDescent="0.3">
      <c r="A54" s="144" t="s">
        <v>130</v>
      </c>
      <c r="B54" s="142"/>
      <c r="C54" s="142"/>
      <c r="D54" s="144">
        <f>SUM(D22:D53)</f>
        <v>0</v>
      </c>
      <c r="E54" s="144">
        <f t="shared" ref="E54:K54" si="2">SUM(E22:E53)</f>
        <v>270</v>
      </c>
      <c r="F54" s="144">
        <f t="shared" si="2"/>
        <v>0</v>
      </c>
      <c r="G54" s="144">
        <f t="shared" si="2"/>
        <v>0</v>
      </c>
      <c r="H54" s="144">
        <f t="shared" si="2"/>
        <v>0</v>
      </c>
      <c r="I54" s="144">
        <f t="shared" si="2"/>
        <v>0</v>
      </c>
      <c r="J54" s="144">
        <f t="shared" si="2"/>
        <v>0</v>
      </c>
      <c r="K54" s="144">
        <f t="shared" si="2"/>
        <v>0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131</v>
      </c>
      <c r="B62" s="142"/>
      <c r="C62" s="142"/>
      <c r="D62" s="144">
        <f>D61+D60+D59+D58+D57+D56+D55</f>
        <v>0</v>
      </c>
      <c r="E62" s="144">
        <f t="shared" ref="E62:K62" si="3">E61+E60+E59+E58+E57+E56+E55</f>
        <v>0</v>
      </c>
      <c r="F62" s="144">
        <f t="shared" si="3"/>
        <v>0</v>
      </c>
      <c r="G62" s="144">
        <f t="shared" si="3"/>
        <v>0</v>
      </c>
      <c r="H62" s="144">
        <f t="shared" si="3"/>
        <v>0</v>
      </c>
      <c r="I62" s="144">
        <f t="shared" si="3"/>
        <v>0</v>
      </c>
      <c r="J62" s="144">
        <f t="shared" si="3"/>
        <v>0</v>
      </c>
      <c r="K62" s="144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>
        <v>450</v>
      </c>
      <c r="F63" s="18"/>
      <c r="G63" s="18"/>
      <c r="H63" s="140"/>
      <c r="I63" s="140"/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>
        <v>1365</v>
      </c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>
        <v>72</v>
      </c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2" ht="21.75" thickBot="1" x14ac:dyDescent="0.3">
      <c r="A71" s="143" t="s">
        <v>44</v>
      </c>
      <c r="B71" s="142"/>
      <c r="C71" s="142"/>
      <c r="D71" s="152">
        <f>D70+D69+D68+D67+D66+D65+D64+D63</f>
        <v>0</v>
      </c>
      <c r="E71" s="152">
        <f t="shared" ref="E71:K71" si="4">E70+E69+E68+E67+E66+E65+E64+E63</f>
        <v>1887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0</v>
      </c>
      <c r="E72" s="152">
        <f t="shared" ref="E72:K72" si="5">E71+E62+E54+E21+E8</f>
        <v>2157</v>
      </c>
      <c r="F72" s="152">
        <f t="shared" si="5"/>
        <v>0</v>
      </c>
      <c r="G72" s="152">
        <f t="shared" si="5"/>
        <v>0</v>
      </c>
      <c r="H72" s="152">
        <f t="shared" si="5"/>
        <v>0</v>
      </c>
      <c r="I72" s="152">
        <f t="shared" si="5"/>
        <v>0</v>
      </c>
      <c r="J72" s="152">
        <f t="shared" si="5"/>
        <v>0</v>
      </c>
      <c r="K72" s="152">
        <f t="shared" si="5"/>
        <v>0</v>
      </c>
    </row>
  </sheetData>
  <autoFilter ref="A2:K72" xr:uid="{E9F1526D-BE69-4CEF-9B1E-B00AE498E64D}"/>
  <mergeCells count="2">
    <mergeCell ref="D1:G1"/>
    <mergeCell ref="H1:K1"/>
  </mergeCells>
  <conditionalFormatting sqref="A1">
    <cfRule type="duplicateValues" dxfId="65" priority="21"/>
    <cfRule type="duplicateValues" dxfId="64" priority="22"/>
  </conditionalFormatting>
  <conditionalFormatting sqref="A14">
    <cfRule type="duplicateValues" dxfId="63" priority="11"/>
    <cfRule type="duplicateValues" dxfId="62" priority="12"/>
  </conditionalFormatting>
  <conditionalFormatting sqref="A55">
    <cfRule type="duplicateValues" dxfId="61" priority="13"/>
    <cfRule type="duplicateValues" dxfId="60" priority="14"/>
  </conditionalFormatting>
  <conditionalFormatting sqref="A56:A58 A7 A22:A53 A60">
    <cfRule type="duplicateValues" dxfId="59" priority="19"/>
    <cfRule type="duplicateValues" dxfId="58" priority="20"/>
  </conditionalFormatting>
  <conditionalFormatting sqref="A59">
    <cfRule type="duplicateValues" dxfId="57" priority="9"/>
    <cfRule type="duplicateValues" dxfId="56" priority="10"/>
  </conditionalFormatting>
  <conditionalFormatting sqref="A63:A70">
    <cfRule type="duplicateValues" dxfId="55" priority="17"/>
    <cfRule type="duplicateValues" dxfId="54" priority="18"/>
  </conditionalFormatting>
  <conditionalFormatting sqref="A71:A72 A2:A6 A8:A13 A15:A21 A54 A62">
    <cfRule type="duplicateValues" dxfId="53" priority="15"/>
    <cfRule type="duplicateValues" dxfId="52" priority="16"/>
  </conditionalFormatting>
  <conditionalFormatting sqref="D8:K8">
    <cfRule type="duplicateValues" dxfId="51" priority="7"/>
    <cfRule type="duplicateValues" dxfId="50" priority="8"/>
  </conditionalFormatting>
  <conditionalFormatting sqref="D21:K21">
    <cfRule type="duplicateValues" dxfId="49" priority="5"/>
    <cfRule type="duplicateValues" dxfId="48" priority="6"/>
  </conditionalFormatting>
  <conditionalFormatting sqref="D54:K54">
    <cfRule type="duplicateValues" dxfId="47" priority="3"/>
    <cfRule type="duplicateValues" dxfId="46" priority="4"/>
  </conditionalFormatting>
  <conditionalFormatting sqref="D62:K62">
    <cfRule type="duplicateValues" dxfId="45" priority="1"/>
    <cfRule type="duplicateValues" dxfId="44" priority="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15B-8C4D-479C-BAB3-74D7E7AAE8D7}">
  <sheetPr>
    <tabColor theme="0"/>
  </sheetPr>
  <dimension ref="A1:M78"/>
  <sheetViews>
    <sheetView rightToLeft="1" topLeftCell="A8" workbookViewId="0">
      <selection activeCell="E8" sqref="E8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7.14062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>
        <v>2076955.03</v>
      </c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1">
        <f>SUM(D3:D6)</f>
        <v>0</v>
      </c>
      <c r="E8" s="141">
        <f t="shared" ref="E8:K8" si="0">SUM(E3:E6)</f>
        <v>0</v>
      </c>
      <c r="F8" s="145">
        <f t="shared" si="0"/>
        <v>2076955.03</v>
      </c>
      <c r="G8" s="141">
        <f t="shared" si="0"/>
        <v>0</v>
      </c>
      <c r="H8" s="141">
        <f t="shared" si="0"/>
        <v>0</v>
      </c>
      <c r="I8" s="141">
        <f t="shared" si="0"/>
        <v>0</v>
      </c>
      <c r="J8" s="141">
        <f t="shared" si="0"/>
        <v>0</v>
      </c>
      <c r="K8" s="141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141">
        <f>SUM(D9:D20)</f>
        <v>0</v>
      </c>
      <c r="E21" s="141">
        <f t="shared" ref="E21:K21" si="1">SUM(E9:E20)</f>
        <v>0</v>
      </c>
      <c r="F21" s="141">
        <f t="shared" si="1"/>
        <v>0</v>
      </c>
      <c r="G21" s="141">
        <f>SUM(G9:G20)</f>
        <v>0</v>
      </c>
      <c r="H21" s="141">
        <f t="shared" si="1"/>
        <v>0</v>
      </c>
      <c r="I21" s="141">
        <f t="shared" si="1"/>
        <v>0</v>
      </c>
      <c r="J21" s="141">
        <f t="shared" si="1"/>
        <v>0</v>
      </c>
      <c r="K21" s="141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3" ht="21.75" thickBot="1" x14ac:dyDescent="0.3">
      <c r="A54" s="144" t="s">
        <v>130</v>
      </c>
      <c r="B54" s="142"/>
      <c r="C54" s="142"/>
      <c r="D54" s="141">
        <f t="shared" ref="D54:K54" ca="1" si="2">SUM(D21:D56)</f>
        <v>0</v>
      </c>
      <c r="E54" s="141">
        <f t="shared" ca="1" si="2"/>
        <v>0</v>
      </c>
      <c r="F54" s="141">
        <f t="shared" ca="1" si="2"/>
        <v>0</v>
      </c>
      <c r="G54" s="141">
        <f t="shared" ca="1" si="2"/>
        <v>0</v>
      </c>
      <c r="H54" s="141">
        <f t="shared" ca="1" si="2"/>
        <v>0</v>
      </c>
      <c r="I54" s="141">
        <f t="shared" ca="1" si="2"/>
        <v>0</v>
      </c>
      <c r="J54" s="141">
        <f t="shared" ca="1" si="2"/>
        <v>0</v>
      </c>
      <c r="K54" s="141">
        <f t="shared" ca="1" si="2"/>
        <v>0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131</v>
      </c>
      <c r="B62" s="142"/>
      <c r="C62" s="142"/>
      <c r="D62" s="141">
        <f t="shared" ref="D62:K62" si="3">SUM(D22:D53)</f>
        <v>0</v>
      </c>
      <c r="E62" s="141">
        <f t="shared" si="3"/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1">
        <f t="shared" si="3"/>
        <v>0</v>
      </c>
      <c r="K62" s="141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2" ht="21.75" thickBot="1" x14ac:dyDescent="0.3">
      <c r="A71" s="143" t="s">
        <v>44</v>
      </c>
      <c r="B71" s="142"/>
      <c r="C71" s="142"/>
      <c r="D71" s="152">
        <f t="shared" ref="D71:K71" si="4">SUM(D63:D70)</f>
        <v>0</v>
      </c>
      <c r="E71" s="152">
        <f t="shared" si="4"/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53">
        <f t="shared" ref="D72:K72" si="5">D71+D62+D21+D8</f>
        <v>0</v>
      </c>
      <c r="E72" s="153">
        <f t="shared" si="5"/>
        <v>0</v>
      </c>
      <c r="F72" s="153">
        <f t="shared" si="5"/>
        <v>2076955.03</v>
      </c>
      <c r="G72" s="153">
        <f t="shared" si="5"/>
        <v>0</v>
      </c>
      <c r="H72" s="153">
        <f t="shared" si="5"/>
        <v>0</v>
      </c>
      <c r="I72" s="153">
        <f t="shared" si="5"/>
        <v>0</v>
      </c>
      <c r="J72" s="153">
        <f t="shared" si="5"/>
        <v>0</v>
      </c>
      <c r="K72" s="153">
        <f t="shared" si="5"/>
        <v>0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K72" xr:uid="{6259A15B-8C4D-479C-BAB3-74D7E7AAE8D7}"/>
  <mergeCells count="2">
    <mergeCell ref="D1:G1"/>
    <mergeCell ref="H1:K1"/>
  </mergeCells>
  <conditionalFormatting sqref="A1">
    <cfRule type="duplicateValues" dxfId="43" priority="15"/>
    <cfRule type="duplicateValues" dxfId="42" priority="16"/>
  </conditionalFormatting>
  <conditionalFormatting sqref="A14">
    <cfRule type="duplicateValues" dxfId="41" priority="5"/>
    <cfRule type="duplicateValues" dxfId="40" priority="6"/>
  </conditionalFormatting>
  <conditionalFormatting sqref="A55">
    <cfRule type="duplicateValues" dxfId="39" priority="7"/>
    <cfRule type="duplicateValues" dxfId="38" priority="8"/>
  </conditionalFormatting>
  <conditionalFormatting sqref="A56:A58 A7 A22:A53 A60">
    <cfRule type="duplicateValues" dxfId="37" priority="13"/>
    <cfRule type="duplicateValues" dxfId="36" priority="14"/>
  </conditionalFormatting>
  <conditionalFormatting sqref="A59">
    <cfRule type="duplicateValues" dxfId="35" priority="3"/>
    <cfRule type="duplicateValues" dxfId="34" priority="4"/>
  </conditionalFormatting>
  <conditionalFormatting sqref="A63:A70">
    <cfRule type="duplicateValues" dxfId="33" priority="11"/>
    <cfRule type="duplicateValues" dxfId="32" priority="12"/>
  </conditionalFormatting>
  <conditionalFormatting sqref="A71:A72 A2:A6 A8:A13 A15:A21 A54 A62">
    <cfRule type="duplicateValues" dxfId="31" priority="9"/>
    <cfRule type="duplicateValues" dxfId="30" priority="10"/>
  </conditionalFormatting>
  <conditionalFormatting sqref="F8">
    <cfRule type="duplicateValues" dxfId="29" priority="1"/>
    <cfRule type="duplicateValues" dxfId="28" priority="2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5C06-AA81-4FF9-BC64-3A1C59A7D754}">
  <sheetPr>
    <tabColor theme="0"/>
  </sheetPr>
  <dimension ref="A1:M72"/>
  <sheetViews>
    <sheetView rightToLeft="1" topLeftCell="A58" workbookViewId="0">
      <selection activeCell="A73" sqref="A73:XFD81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70</v>
      </c>
      <c r="E3" s="14"/>
      <c r="F3" s="14"/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4" thickBot="1" x14ac:dyDescent="0.4">
      <c r="A8" s="143" t="s">
        <v>3</v>
      </c>
      <c r="B8" s="142"/>
      <c r="C8" s="142"/>
      <c r="D8" s="222">
        <f>SUM(D3:D7)</f>
        <v>70</v>
      </c>
      <c r="E8" s="222">
        <f t="shared" ref="E8:K8" si="0">SUM(E3:E7)</f>
        <v>0</v>
      </c>
      <c r="F8" s="222">
        <f t="shared" si="0"/>
        <v>0</v>
      </c>
      <c r="G8" s="222">
        <f t="shared" si="0"/>
        <v>0</v>
      </c>
      <c r="H8" s="222">
        <f t="shared" si="0"/>
        <v>0</v>
      </c>
      <c r="I8" s="222">
        <f t="shared" si="0"/>
        <v>0</v>
      </c>
      <c r="J8" s="222">
        <f t="shared" si="0"/>
        <v>0</v>
      </c>
      <c r="K8" s="222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4" thickBot="1" x14ac:dyDescent="0.4">
      <c r="A21" s="143" t="s">
        <v>10</v>
      </c>
      <c r="B21" s="142"/>
      <c r="C21" s="142"/>
      <c r="D21" s="222">
        <f>SUM(D9:D20)</f>
        <v>0</v>
      </c>
      <c r="E21" s="222">
        <f t="shared" ref="E21:K21" si="1">SUM(E9:E20)</f>
        <v>0</v>
      </c>
      <c r="F21" s="222">
        <f t="shared" si="1"/>
        <v>0</v>
      </c>
      <c r="G21" s="222">
        <f t="shared" si="1"/>
        <v>0</v>
      </c>
      <c r="H21" s="222">
        <f t="shared" si="1"/>
        <v>0</v>
      </c>
      <c r="I21" s="222">
        <f t="shared" si="1"/>
        <v>0</v>
      </c>
      <c r="J21" s="222">
        <f t="shared" si="1"/>
        <v>0</v>
      </c>
      <c r="K21" s="222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3" ht="21.75" thickBot="1" x14ac:dyDescent="0.3">
      <c r="A54" s="144" t="s">
        <v>130</v>
      </c>
      <c r="B54" s="142"/>
      <c r="C54" s="142"/>
      <c r="D54" s="141">
        <f>SUM(D22:D53)</f>
        <v>0</v>
      </c>
      <c r="E54" s="141">
        <f t="shared" ref="E54:K54" si="2">SUM(E22:E53)</f>
        <v>0</v>
      </c>
      <c r="F54" s="141">
        <f t="shared" si="2"/>
        <v>0</v>
      </c>
      <c r="G54" s="141">
        <f t="shared" si="2"/>
        <v>0</v>
      </c>
      <c r="H54" s="141">
        <f t="shared" si="2"/>
        <v>0</v>
      </c>
      <c r="I54" s="141">
        <f t="shared" si="2"/>
        <v>0</v>
      </c>
      <c r="J54" s="141">
        <f t="shared" si="2"/>
        <v>0</v>
      </c>
      <c r="K54" s="141">
        <f t="shared" si="2"/>
        <v>0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131</v>
      </c>
      <c r="B62" s="142"/>
      <c r="C62" s="142"/>
      <c r="D62" s="141">
        <f>SUM(D55:D61)</f>
        <v>0</v>
      </c>
      <c r="E62" s="141">
        <f t="shared" ref="E62:K62" si="3">SUM(E55:E61)</f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1">
        <f t="shared" si="3"/>
        <v>0</v>
      </c>
      <c r="K62" s="141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2" ht="21.75" thickBot="1" x14ac:dyDescent="0.3">
      <c r="A71" s="143" t="s">
        <v>44</v>
      </c>
      <c r="B71" s="142"/>
      <c r="C71" s="142"/>
      <c r="D71" s="152">
        <f>SUM(D63:D70)</f>
        <v>0</v>
      </c>
      <c r="E71" s="152">
        <f t="shared" ref="E71:K71" si="4">SUM(E63:E70)</f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4">
      <c r="A72" s="143" t="s">
        <v>45</v>
      </c>
      <c r="B72" s="142"/>
      <c r="C72" s="142"/>
      <c r="D72" s="226">
        <f>D71+D62+D54+D21+D8</f>
        <v>70</v>
      </c>
      <c r="E72" s="226">
        <f t="shared" ref="E72:K72" si="5">E71+E62+E54+E21+E8</f>
        <v>0</v>
      </c>
      <c r="F72" s="226">
        <f t="shared" si="5"/>
        <v>0</v>
      </c>
      <c r="G72" s="226">
        <f t="shared" si="5"/>
        <v>0</v>
      </c>
      <c r="H72" s="226">
        <f t="shared" si="5"/>
        <v>0</v>
      </c>
      <c r="I72" s="226">
        <f t="shared" si="5"/>
        <v>0</v>
      </c>
      <c r="J72" s="226">
        <f t="shared" si="5"/>
        <v>0</v>
      </c>
      <c r="K72" s="226">
        <f t="shared" si="5"/>
        <v>0</v>
      </c>
    </row>
  </sheetData>
  <autoFilter ref="A2:K72" xr:uid="{5BA15C06-AA81-4FF9-BC64-3A1C59A7D754}"/>
  <mergeCells count="2">
    <mergeCell ref="D1:G1"/>
    <mergeCell ref="H1:K1"/>
  </mergeCells>
  <conditionalFormatting sqref="A1">
    <cfRule type="duplicateValues" dxfId="27" priority="13"/>
    <cfRule type="duplicateValues" dxfId="26" priority="14"/>
  </conditionalFormatting>
  <conditionalFormatting sqref="A14">
    <cfRule type="duplicateValues" dxfId="25" priority="3"/>
    <cfRule type="duplicateValues" dxfId="24" priority="4"/>
  </conditionalFormatting>
  <conditionalFormatting sqref="A55">
    <cfRule type="duplicateValues" dxfId="23" priority="5"/>
    <cfRule type="duplicateValues" dxfId="22" priority="6"/>
  </conditionalFormatting>
  <conditionalFormatting sqref="A56:A58 A7 A22:A53 A60">
    <cfRule type="duplicateValues" dxfId="21" priority="11"/>
    <cfRule type="duplicateValues" dxfId="20" priority="12"/>
  </conditionalFormatting>
  <conditionalFormatting sqref="A59">
    <cfRule type="duplicateValues" dxfId="19" priority="1"/>
    <cfRule type="duplicateValues" dxfId="18" priority="2"/>
  </conditionalFormatting>
  <conditionalFormatting sqref="A63:A70">
    <cfRule type="duplicateValues" dxfId="17" priority="9"/>
    <cfRule type="duplicateValues" dxfId="16" priority="10"/>
  </conditionalFormatting>
  <conditionalFormatting sqref="A71:A72 A2:A6 A8:A13 A15:A21 A54 A62">
    <cfRule type="duplicateValues" dxfId="15" priority="7"/>
    <cfRule type="duplicateValues" dxfId="14" priority="8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96A7-850F-4ED5-BFFE-F950115F0DB8}">
  <dimension ref="A1:M78"/>
  <sheetViews>
    <sheetView rightToLeft="1" workbookViewId="0">
      <selection sqref="A1:XFD1048576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3">
        <v>2025</v>
      </c>
      <c r="E1" s="273"/>
      <c r="F1" s="273"/>
      <c r="G1" s="273"/>
      <c r="H1" s="274">
        <v>2024</v>
      </c>
      <c r="I1" s="274"/>
      <c r="J1" s="274"/>
      <c r="K1" s="274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1">
        <f>SUM(D3:D6)</f>
        <v>0</v>
      </c>
      <c r="E8" s="141">
        <f t="shared" ref="E8:K8" si="0">SUM(E3:E6)</f>
        <v>0</v>
      </c>
      <c r="F8" s="141">
        <f t="shared" si="0"/>
        <v>0</v>
      </c>
      <c r="G8" s="141">
        <f t="shared" si="0"/>
        <v>0</v>
      </c>
      <c r="H8" s="141">
        <f t="shared" si="0"/>
        <v>0</v>
      </c>
      <c r="I8" s="141">
        <f t="shared" si="0"/>
        <v>0</v>
      </c>
      <c r="J8" s="141">
        <f t="shared" si="0"/>
        <v>0</v>
      </c>
      <c r="K8" s="141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141">
        <f>SUM(D9:D20)</f>
        <v>0</v>
      </c>
      <c r="E21" s="141">
        <f t="shared" ref="E21:K21" si="1">SUM(E9:E20)</f>
        <v>0</v>
      </c>
      <c r="F21" s="141">
        <f t="shared" si="1"/>
        <v>0</v>
      </c>
      <c r="G21" s="141">
        <f>SUM(G9:G20)</f>
        <v>0</v>
      </c>
      <c r="H21" s="141">
        <f t="shared" si="1"/>
        <v>0</v>
      </c>
      <c r="I21" s="141">
        <f t="shared" si="1"/>
        <v>0</v>
      </c>
      <c r="J21" s="141">
        <f t="shared" si="1"/>
        <v>0</v>
      </c>
      <c r="K21" s="141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3" ht="21.75" thickBot="1" x14ac:dyDescent="0.3">
      <c r="A54" s="144" t="s">
        <v>130</v>
      </c>
      <c r="B54" s="142"/>
      <c r="C54" s="142"/>
      <c r="D54" s="141">
        <f t="shared" ref="D54:K54" ca="1" si="2">SUM(D21:D56)</f>
        <v>0</v>
      </c>
      <c r="E54" s="141">
        <f t="shared" ca="1" si="2"/>
        <v>0</v>
      </c>
      <c r="F54" s="141">
        <f t="shared" ca="1" si="2"/>
        <v>0</v>
      </c>
      <c r="G54" s="141">
        <f t="shared" ca="1" si="2"/>
        <v>0</v>
      </c>
      <c r="H54" s="141">
        <f t="shared" ca="1" si="2"/>
        <v>0</v>
      </c>
      <c r="I54" s="141">
        <f t="shared" ca="1" si="2"/>
        <v>0</v>
      </c>
      <c r="J54" s="141">
        <f t="shared" ca="1" si="2"/>
        <v>0</v>
      </c>
      <c r="K54" s="141">
        <f t="shared" ca="1" si="2"/>
        <v>0</v>
      </c>
    </row>
    <row r="55" spans="1:13" ht="15.75" x14ac:dyDescent="0.25">
      <c r="A55" s="31" t="s">
        <v>33</v>
      </c>
      <c r="B55" s="27" t="s">
        <v>129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129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129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129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129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129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129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131</v>
      </c>
      <c r="B62" s="142"/>
      <c r="C62" s="142"/>
      <c r="D62" s="141">
        <f t="shared" ref="D62:K62" si="3">SUM(D22:D53)</f>
        <v>0</v>
      </c>
      <c r="E62" s="141">
        <f t="shared" si="3"/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1">
        <f t="shared" si="3"/>
        <v>0</v>
      </c>
      <c r="K62" s="141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2" ht="21.75" thickBot="1" x14ac:dyDescent="0.3">
      <c r="A71" s="143" t="s">
        <v>44</v>
      </c>
      <c r="B71" s="142"/>
      <c r="C71" s="142"/>
      <c r="D71" s="152">
        <f t="shared" ref="D71:K71" si="4">SUM(D63:D70)</f>
        <v>0</v>
      </c>
      <c r="E71" s="152">
        <f t="shared" si="4"/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53">
        <f t="shared" ref="D72:K72" si="5">D71+D62+D21+D8</f>
        <v>0</v>
      </c>
      <c r="E72" s="153">
        <f t="shared" si="5"/>
        <v>0</v>
      </c>
      <c r="F72" s="153">
        <f t="shared" si="5"/>
        <v>0</v>
      </c>
      <c r="G72" s="153">
        <f t="shared" si="5"/>
        <v>0</v>
      </c>
      <c r="H72" s="153">
        <f t="shared" si="5"/>
        <v>0</v>
      </c>
      <c r="I72" s="153">
        <f t="shared" si="5"/>
        <v>0</v>
      </c>
      <c r="J72" s="153">
        <f t="shared" si="5"/>
        <v>0</v>
      </c>
      <c r="K72" s="153">
        <f t="shared" si="5"/>
        <v>0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K72" xr:uid="{999396A7-850F-4ED5-BFFE-F950115F0DB8}"/>
  <mergeCells count="2">
    <mergeCell ref="D1:G1"/>
    <mergeCell ref="H1:K1"/>
  </mergeCells>
  <conditionalFormatting sqref="A1">
    <cfRule type="duplicateValues" dxfId="13" priority="13"/>
    <cfRule type="duplicateValues" dxfId="12" priority="14"/>
  </conditionalFormatting>
  <conditionalFormatting sqref="A14">
    <cfRule type="duplicateValues" dxfId="11" priority="3"/>
    <cfRule type="duplicateValues" dxfId="10" priority="4"/>
  </conditionalFormatting>
  <conditionalFormatting sqref="A55">
    <cfRule type="duplicateValues" dxfId="9" priority="5"/>
    <cfRule type="duplicateValues" dxfId="8" priority="6"/>
  </conditionalFormatting>
  <conditionalFormatting sqref="A56:A58 A7 A22:A53 A60">
    <cfRule type="duplicateValues" dxfId="7" priority="11"/>
    <cfRule type="duplicateValues" dxfId="6" priority="12"/>
  </conditionalFormatting>
  <conditionalFormatting sqref="A59">
    <cfRule type="duplicateValues" dxfId="5" priority="1"/>
    <cfRule type="duplicateValues" dxfId="4" priority="2"/>
  </conditionalFormatting>
  <conditionalFormatting sqref="A63:A70">
    <cfRule type="duplicateValues" dxfId="3" priority="9"/>
    <cfRule type="duplicateValues" dxfId="2" priority="10"/>
  </conditionalFormatting>
  <conditionalFormatting sqref="A71:A72 A2:A6 A8:A13 A15:A21 A54 A62">
    <cfRule type="duplicateValues" dxfId="1" priority="7"/>
    <cfRule type="duplicateValues" dxfId="0" priority="8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דוח הנהלה</vt:lpstr>
      <vt:lpstr>תפוקה מצטברת מול אשתקד</vt:lpstr>
      <vt:lpstr>תפוקה מצטברת מול יעד מצטבר</vt:lpstr>
      <vt:lpstr>תפוקה מול יעד חודשי</vt:lpstr>
      <vt:lpstr>עולים יורדים</vt:lpstr>
      <vt:lpstr>הכשרה</vt:lpstr>
      <vt:lpstr>מגדל</vt:lpstr>
      <vt:lpstr>מנורה</vt:lpstr>
      <vt:lpstr>איילון</vt:lpstr>
      <vt:lpstr>הראל</vt:lpstr>
      <vt:lpstr>הפניקס</vt:lpstr>
      <vt:lpstr>כלל</vt:lpstr>
      <vt:lpstr>מור</vt:lpstr>
      <vt:lpstr>אלטשולר שחם</vt:lpstr>
      <vt:lpstr>מדיהו </vt:lpstr>
      <vt:lpstr>אנליסט </vt:lpstr>
      <vt:lpstr>מיטב דש</vt:lpstr>
      <vt:lpstr>אינפניטי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office 9</cp:lastModifiedBy>
  <cp:lastPrinted>2024-04-20T19:16:09Z</cp:lastPrinted>
  <dcterms:created xsi:type="dcterms:W3CDTF">2023-08-01T07:26:23Z</dcterms:created>
  <dcterms:modified xsi:type="dcterms:W3CDTF">2025-05-06T10:20:51Z</dcterms:modified>
</cp:coreProperties>
</file>