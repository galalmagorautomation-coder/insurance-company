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"/>
    </mc:Choice>
  </mc:AlternateContent>
  <xr:revisionPtr revIDLastSave="0" documentId="13_ncr:1_{B3E47CA7-43C0-402A-B957-A38CF3168C6F}" xr6:coauthVersionLast="47" xr6:coauthVersionMax="47" xr10:uidLastSave="{00000000-0000-0000-0000-000000000000}"/>
  <bookViews>
    <workbookView xWindow="28680" yWindow="-120" windowWidth="29040" windowHeight="15720" xr2:uid="{71B2EDE1-3A50-475D-A73C-BCBD9451F78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" l="1"/>
  <c r="F48" i="1"/>
  <c r="F14" i="1"/>
  <c r="E70" i="1"/>
  <c r="E48" i="1"/>
  <c r="E14" i="1"/>
  <c r="D70" i="1"/>
  <c r="D48" i="1"/>
  <c r="D14" i="1"/>
  <c r="C70" i="1"/>
  <c r="C48" i="1"/>
  <c r="C14" i="1"/>
  <c r="C7" i="1"/>
  <c r="F7" i="1" l="1"/>
  <c r="F71" i="1" s="1"/>
  <c r="E7" i="1"/>
  <c r="E71" i="1" s="1"/>
  <c r="D7" i="1"/>
  <c r="D71" i="1" s="1"/>
  <c r="C71" i="1"/>
  <c r="N35" i="1" l="1"/>
  <c r="N47" i="1"/>
  <c r="N17" i="1"/>
  <c r="N25" i="1"/>
  <c r="N26" i="1"/>
  <c r="N27" i="1"/>
  <c r="N28" i="1"/>
  <c r="N30" i="1"/>
  <c r="N32" i="1"/>
  <c r="N61" i="1"/>
  <c r="N45" i="1"/>
  <c r="N68" i="1"/>
  <c r="N60" i="1"/>
  <c r="N18" i="1"/>
  <c r="N42" i="1"/>
  <c r="N43" i="1"/>
  <c r="N39" i="1"/>
  <c r="N36" i="1"/>
  <c r="N41" i="1"/>
  <c r="N37" i="1"/>
  <c r="N20" i="1"/>
  <c r="N53" i="1"/>
  <c r="N56" i="1"/>
  <c r="N59" i="1"/>
  <c r="M18" i="1"/>
  <c r="K18" i="1"/>
  <c r="K43" i="1" l="1"/>
  <c r="K22" i="1"/>
  <c r="K52" i="1"/>
  <c r="K50" i="1"/>
  <c r="K36" i="1"/>
  <c r="K51" i="1"/>
  <c r="K32" i="1"/>
  <c r="K24" i="1"/>
  <c r="K47" i="1"/>
  <c r="K11" i="1"/>
  <c r="L50" i="1"/>
  <c r="L36" i="1"/>
  <c r="L68" i="1"/>
  <c r="L31" i="1"/>
  <c r="L23" i="1"/>
  <c r="L34" i="1"/>
  <c r="L10" i="1"/>
  <c r="M59" i="1"/>
  <c r="M20" i="1"/>
  <c r="M39" i="1"/>
  <c r="M68" i="1"/>
  <c r="M31" i="1"/>
  <c r="M23" i="1"/>
  <c r="M69" i="1"/>
  <c r="N31" i="1"/>
  <c r="N23" i="1"/>
  <c r="N34" i="1"/>
  <c r="N10" i="1"/>
  <c r="K20" i="1"/>
  <c r="K68" i="1"/>
  <c r="K31" i="1"/>
  <c r="K23" i="1"/>
  <c r="K34" i="1"/>
  <c r="K10" i="1"/>
  <c r="L59" i="1"/>
  <c r="L20" i="1"/>
  <c r="L39" i="1"/>
  <c r="L46" i="1"/>
  <c r="L30" i="1"/>
  <c r="L22" i="1"/>
  <c r="L69" i="1"/>
  <c r="L9" i="1"/>
  <c r="M64" i="1"/>
  <c r="M67" i="1"/>
  <c r="M43" i="1"/>
  <c r="M46" i="1"/>
  <c r="M30" i="1"/>
  <c r="M22" i="1"/>
  <c r="M66" i="1"/>
  <c r="M8" i="1"/>
  <c r="N64" i="1"/>
  <c r="N67" i="1"/>
  <c r="N46" i="1"/>
  <c r="N22" i="1"/>
  <c r="N69" i="1"/>
  <c r="N9" i="1"/>
  <c r="L29" i="1"/>
  <c r="L21" i="1"/>
  <c r="L66" i="1"/>
  <c r="L8" i="1"/>
  <c r="M58" i="1"/>
  <c r="M62" i="1"/>
  <c r="M42" i="1"/>
  <c r="M45" i="1"/>
  <c r="M29" i="1"/>
  <c r="M21" i="1"/>
  <c r="M57" i="1"/>
  <c r="M40" i="1"/>
  <c r="N58" i="1"/>
  <c r="N62" i="1"/>
  <c r="N29" i="1"/>
  <c r="N21" i="1"/>
  <c r="N66" i="1"/>
  <c r="K64" i="1"/>
  <c r="L67" i="1"/>
  <c r="K58" i="1"/>
  <c r="K42" i="1"/>
  <c r="K21" i="1"/>
  <c r="K8" i="1"/>
  <c r="L42" i="1"/>
  <c r="L65" i="1"/>
  <c r="L28" i="1"/>
  <c r="L19" i="1"/>
  <c r="L57" i="1"/>
  <c r="L40" i="1"/>
  <c r="M56" i="1"/>
  <c r="M37" i="1"/>
  <c r="M65" i="1"/>
  <c r="M28" i="1"/>
  <c r="M19" i="1"/>
  <c r="M35" i="1"/>
  <c r="M5" i="1"/>
  <c r="N65" i="1"/>
  <c r="N19" i="1"/>
  <c r="N57" i="1"/>
  <c r="N40" i="1"/>
  <c r="K67" i="1"/>
  <c r="K30" i="1"/>
  <c r="L45" i="1"/>
  <c r="K45" i="1"/>
  <c r="L58" i="1"/>
  <c r="K56" i="1"/>
  <c r="K37" i="1"/>
  <c r="K65" i="1"/>
  <c r="K28" i="1"/>
  <c r="K19" i="1"/>
  <c r="K57" i="1"/>
  <c r="K40" i="1"/>
  <c r="L56" i="1"/>
  <c r="L37" i="1"/>
  <c r="L18" i="1"/>
  <c r="L61" i="1"/>
  <c r="L27" i="1"/>
  <c r="L17" i="1"/>
  <c r="L35" i="1"/>
  <c r="L5" i="1"/>
  <c r="M55" i="1"/>
  <c r="M44" i="1"/>
  <c r="M63" i="1"/>
  <c r="M61" i="1"/>
  <c r="M27" i="1"/>
  <c r="M17" i="1"/>
  <c r="M13" i="1"/>
  <c r="M4" i="1"/>
  <c r="N55" i="1"/>
  <c r="N44" i="1"/>
  <c r="N63" i="1"/>
  <c r="N5" i="1"/>
  <c r="K59" i="1"/>
  <c r="K46" i="1"/>
  <c r="K69" i="1"/>
  <c r="K9" i="1"/>
  <c r="L43" i="1"/>
  <c r="K62" i="1"/>
  <c r="K29" i="1"/>
  <c r="K66" i="1"/>
  <c r="L62" i="1"/>
  <c r="K55" i="1"/>
  <c r="K44" i="1"/>
  <c r="K63" i="1"/>
  <c r="K61" i="1"/>
  <c r="K27" i="1"/>
  <c r="K17" i="1"/>
  <c r="K35" i="1"/>
  <c r="K5" i="1"/>
  <c r="L55" i="1"/>
  <c r="L44" i="1"/>
  <c r="L63" i="1"/>
  <c r="L38" i="1"/>
  <c r="L26" i="1"/>
  <c r="L16" i="1"/>
  <c r="L13" i="1"/>
  <c r="L4" i="1"/>
  <c r="M53" i="1"/>
  <c r="M60" i="1"/>
  <c r="M38" i="1"/>
  <c r="M26" i="1"/>
  <c r="M16" i="1"/>
  <c r="M12" i="1"/>
  <c r="M6" i="1"/>
  <c r="N38" i="1"/>
  <c r="N16" i="1"/>
  <c r="N13" i="1"/>
  <c r="N4" i="1"/>
  <c r="K39" i="1"/>
  <c r="K53" i="1"/>
  <c r="K60" i="1"/>
  <c r="K26" i="1"/>
  <c r="K13" i="1"/>
  <c r="K4" i="1"/>
  <c r="L53" i="1"/>
  <c r="L60" i="1"/>
  <c r="L33" i="1"/>
  <c r="L25" i="1"/>
  <c r="L6" i="1"/>
  <c r="M52" i="1"/>
  <c r="M41" i="1"/>
  <c r="M54" i="1"/>
  <c r="M33" i="1"/>
  <c r="M25" i="1"/>
  <c r="M47" i="1"/>
  <c r="M11" i="1"/>
  <c r="L51" i="1"/>
  <c r="N52" i="1"/>
  <c r="N54" i="1"/>
  <c r="N33" i="1"/>
  <c r="N12" i="1"/>
  <c r="N6" i="1"/>
  <c r="L64" i="1"/>
  <c r="K38" i="1"/>
  <c r="K16" i="1"/>
  <c r="K41" i="1"/>
  <c r="K54" i="1"/>
  <c r="K33" i="1"/>
  <c r="K25" i="1"/>
  <c r="K6" i="1"/>
  <c r="L52" i="1"/>
  <c r="L41" i="1"/>
  <c r="L54" i="1"/>
  <c r="L32" i="1"/>
  <c r="L24" i="1"/>
  <c r="L47" i="1"/>
  <c r="L11" i="1"/>
  <c r="M50" i="1"/>
  <c r="M36" i="1"/>
  <c r="M51" i="1"/>
  <c r="M32" i="1"/>
  <c r="M24" i="1"/>
  <c r="M34" i="1"/>
  <c r="M10" i="1"/>
  <c r="N50" i="1"/>
  <c r="N51" i="1"/>
  <c r="N24" i="1"/>
  <c r="N11" i="1"/>
  <c r="G14" i="1" l="1"/>
  <c r="K12" i="1"/>
  <c r="K14" i="1" s="1"/>
  <c r="J14" i="1"/>
  <c r="N8" i="1"/>
  <c r="N14" i="1" s="1"/>
  <c r="I14" i="1"/>
  <c r="M9" i="1"/>
  <c r="M14" i="1" s="1"/>
  <c r="G48" i="1"/>
  <c r="K15" i="1"/>
  <c r="K48" i="1" s="1"/>
  <c r="I70" i="1"/>
  <c r="M49" i="1"/>
  <c r="M70" i="1" s="1"/>
  <c r="G70" i="1"/>
  <c r="K49" i="1"/>
  <c r="K70" i="1" s="1"/>
  <c r="H70" i="1"/>
  <c r="L49" i="1"/>
  <c r="L70" i="1" s="1"/>
  <c r="H14" i="1"/>
  <c r="L12" i="1"/>
  <c r="L14" i="1" s="1"/>
  <c r="J70" i="1"/>
  <c r="N49" i="1"/>
  <c r="N70" i="1" s="1"/>
  <c r="H7" i="1"/>
  <c r="L3" i="1"/>
  <c r="L7" i="1" s="1"/>
  <c r="K3" i="1"/>
  <c r="K7" i="1" s="1"/>
  <c r="G7" i="1"/>
  <c r="J7" i="1"/>
  <c r="N3" i="1"/>
  <c r="N7" i="1" s="1"/>
  <c r="I7" i="1"/>
  <c r="M3" i="1"/>
  <c r="M7" i="1" s="1"/>
  <c r="J48" i="1"/>
  <c r="N15" i="1"/>
  <c r="N48" i="1" s="1"/>
  <c r="H48" i="1"/>
  <c r="L15" i="1"/>
  <c r="L48" i="1" s="1"/>
  <c r="G71" i="1" l="1"/>
  <c r="K71" i="1"/>
  <c r="H71" i="1"/>
  <c r="L71" i="1"/>
  <c r="N71" i="1"/>
  <c r="J71" i="1"/>
  <c r="I48" i="1" l="1"/>
  <c r="I71" i="1" s="1"/>
  <c r="M15" i="1"/>
  <c r="M48" i="1" s="1"/>
  <c r="M71" i="1" s="1"/>
</calcChain>
</file>

<file path=xl/sharedStrings.xml><?xml version="1.0" encoding="utf-8"?>
<sst xmlns="http://schemas.openxmlformats.org/spreadsheetml/2006/main" count="148" uniqueCount="81">
  <si>
    <t>שם סוכן</t>
  </si>
  <si>
    <t>פנסיוני</t>
  </si>
  <si>
    <t>סיכונים</t>
  </si>
  <si>
    <t>פיננסים</t>
  </si>
  <si>
    <t>גל אלמגור סוכ</t>
  </si>
  <si>
    <t>לא מפוקחים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</si>
  <si>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</si>
  <si>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</si>
  <si>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</si>
  <si>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</si>
  <si>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</si>
  <si>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מקסימום סוכנות לבטוח פ</t>
  </si>
  <si>
    <t>אלרם סוכנות לביטוח</t>
  </si>
  <si>
    <t>רכס אורן</t>
  </si>
  <si>
    <t>שלי מזרחי</t>
  </si>
  <si>
    <t>גרניק בנימין</t>
  </si>
  <si>
    <t>סאוסן שלבי</t>
  </si>
  <si>
    <t>דורי כדורי דאי</t>
  </si>
  <si>
    <t>סברא סמיר</t>
  </si>
  <si>
    <t>מועלם אלפרד</t>
  </si>
  <si>
    <t>מחמוד פארס</t>
  </si>
  <si>
    <t>ריזק חלבי</t>
  </si>
  <si>
    <t>שלבי מיסון</t>
  </si>
  <si>
    <t>בחוס יוסף</t>
  </si>
  <si>
    <t>רן בסין</t>
  </si>
  <si>
    <t>אלקרינאוי ראוף</t>
  </si>
  <si>
    <t>קליין סיון</t>
  </si>
  <si>
    <t>לוי חיים</t>
  </si>
  <si>
    <t>א.ד. אבידן ביטוחים בע"מ</t>
  </si>
  <si>
    <t>צקותאי אורי</t>
  </si>
  <si>
    <t>סמיר בלאן</t>
  </si>
  <si>
    <t>סטולרז אסף</t>
  </si>
  <si>
    <t>גול זאב</t>
  </si>
  <si>
    <t>גולדר אבי</t>
  </si>
  <si>
    <t>דאי גדי</t>
  </si>
  <si>
    <t>בדר צבי</t>
  </si>
  <si>
    <t>מכלול סוכנות לביטוח</t>
  </si>
  <si>
    <t>יתר הסוכנים</t>
  </si>
  <si>
    <t>תפוקה חודשית</t>
  </si>
  <si>
    <t>דני פחימה</t>
  </si>
  <si>
    <t>מילאד אבו שקארה</t>
  </si>
  <si>
    <t xml:space="preserve">ניוד פנסיה </t>
  </si>
  <si>
    <t xml:space="preserve">ניוד  פנסיה </t>
  </si>
  <si>
    <t>מטאנס זוהיר</t>
  </si>
  <si>
    <t>עאטף עדווי</t>
  </si>
  <si>
    <t>דראושה אדהם</t>
  </si>
  <si>
    <t>דניאלה אביב</t>
  </si>
  <si>
    <t>בדארנה עומר</t>
  </si>
  <si>
    <t>משה שטרן גל אלמגור</t>
  </si>
  <si>
    <t>יהונתן שיוביץ</t>
  </si>
  <si>
    <t>יונתן מנחם</t>
  </si>
  <si>
    <t>אריאל בר-חיים</t>
  </si>
  <si>
    <t>סה"כ חברות בנות</t>
  </si>
  <si>
    <t>נור אבו ראס</t>
  </si>
  <si>
    <t>לילי שרון</t>
  </si>
  <si>
    <t>סה"כ פרימיום</t>
  </si>
  <si>
    <t>סה"כ כולל</t>
  </si>
  <si>
    <t xml:space="preserve">ערן גירוני </t>
  </si>
  <si>
    <t>עבוד כיתי</t>
  </si>
  <si>
    <t>יעקב ישראל שטרן</t>
  </si>
  <si>
    <t>אחמד עלי אחמד</t>
  </si>
  <si>
    <t>שירלי בוכריס</t>
  </si>
  <si>
    <t>אביב מור יוסף</t>
  </si>
  <si>
    <t>סיון פיינרו</t>
  </si>
  <si>
    <t xml:space="preserve">מפקח </t>
  </si>
  <si>
    <t>דאי דניאל</t>
  </si>
  <si>
    <t>דורון ענק הביטוח</t>
  </si>
  <si>
    <t>חנה כצנלסון</t>
  </si>
  <si>
    <t>ינאי חיים בוני</t>
  </si>
  <si>
    <t xml:space="preserve">מיכאל וקסלר </t>
  </si>
  <si>
    <t xml:space="preserve">שני לוי </t>
  </si>
  <si>
    <t xml:space="preserve">ניר יבלונקה </t>
  </si>
  <si>
    <t xml:space="preserve">גל אלמגור -ראם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</si>
  <si>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</si>
  <si>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</si>
  <si>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</si>
  <si>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</si>
  <si>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 xml:space="preserve">רותי </t>
  </si>
  <si>
    <t xml:space="preserve">אילנית </t>
  </si>
  <si>
    <t>תפוקה מצטברת 6/2025</t>
  </si>
  <si>
    <t>תפוקה מצטברת 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</si>
</sst>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i/>
      <sz val="18"/>
      <color theme="1"/>
      <name val="Arial"/>
      <family val="2"/>
      <scheme val="minor"/>
    </font>
    <font>
      <b/>
      <sz val="11"/>
      <color theme="1"/>
      <name val="David"/>
      <family val="2"/>
      <charset val="177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2"/>
      <color rgb="FF333333"/>
      <name val="Calibri"/>
      <family val="2"/>
    </font>
    <font>
      <b/>
      <sz val="12"/>
      <color theme="1"/>
      <name val="Calibri"/>
      <family val="2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164" fontId="0" fillId="3" borderId="4" xfId="0" applyNumberFormat="1" applyFill="1" applyBorder="1" applyAlignment="1">
      <alignment readingOrder="1"/>
    </xf>
    <xf numFmtId="164" fontId="0" fillId="3" borderId="5" xfId="0" applyNumberFormat="1" applyFill="1" applyBorder="1" applyAlignment="1">
      <alignment readingOrder="1"/>
    </xf>
    <xf numFmtId="164" fontId="0" fillId="0" borderId="6" xfId="0" applyNumberFormat="1" applyBorder="1" applyAlignment="1">
      <alignment readingOrder="1"/>
    </xf>
    <xf numFmtId="164" fontId="8" fillId="4" borderId="9" xfId="0" applyNumberFormat="1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5" fillId="5" borderId="12" xfId="0" applyFont="1" applyFill="1" applyBorder="1" applyAlignment="1">
      <alignment horizontal="center" vertical="center" wrapText="1" readingOrder="1"/>
    </xf>
    <xf numFmtId="0" fontId="8" fillId="5" borderId="12" xfId="0" applyFont="1" applyFill="1" applyBorder="1" applyAlignment="1">
      <alignment horizontal="center" vertical="center" wrapText="1" readingOrder="1"/>
    </xf>
    <xf numFmtId="164" fontId="3" fillId="2" borderId="2" xfId="1" applyNumberFormat="1" applyFont="1" applyFill="1" applyBorder="1" applyAlignment="1">
      <alignment horizontal="center" vertical="center" readingOrder="1"/>
    </xf>
    <xf numFmtId="164" fontId="3" fillId="2" borderId="11" xfId="1" applyNumberFormat="1" applyFont="1" applyFill="1" applyBorder="1" applyAlignment="1">
      <alignment horizontal="center" vertical="center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8" fillId="4" borderId="9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164" fontId="5" fillId="4" borderId="7" xfId="1" applyNumberFormat="1" applyFont="1" applyFill="1" applyBorder="1" applyAlignment="1">
      <alignment horizontal="center" vertical="center" readingOrder="1"/>
    </xf>
    <xf numFmtId="164" fontId="0" fillId="0" borderId="0" xfId="1" applyNumberFormat="1" applyFont="1" applyBorder="1" applyAlignment="1">
      <alignment horizontal="center" vertical="center" readingOrder="1"/>
    </xf>
    <xf numFmtId="164" fontId="0" fillId="0" borderId="0" xfId="1" applyNumberFormat="1" applyFont="1" applyBorder="1" applyAlignment="1">
      <alignment horizontal="right" vertical="center" readingOrder="1"/>
    </xf>
    <xf numFmtId="164" fontId="0" fillId="0" borderId="0" xfId="0" applyNumberFormat="1" applyAlignment="1">
      <alignment readingOrder="1"/>
    </xf>
    <xf numFmtId="164" fontId="0" fillId="0" borderId="0" xfId="1" applyNumberFormat="1" applyFont="1" applyAlignment="1">
      <alignment horizontal="center" vertical="center" readingOrder="1"/>
    </xf>
    <xf numFmtId="164" fontId="0" fillId="0" borderId="0" xfId="1" applyNumberFormat="1" applyFont="1" applyAlignment="1">
      <alignment horizontal="right" vertical="center" readingOrder="1"/>
    </xf>
    <xf numFmtId="164" fontId="0" fillId="0" borderId="3" xfId="0" applyNumberFormat="1" applyBorder="1" applyAlignment="1">
      <alignment readingOrder="1"/>
    </xf>
    <xf numFmtId="164" fontId="0" fillId="0" borderId="1" xfId="0" applyNumberFormat="1" applyBorder="1" applyAlignment="1">
      <alignment readingOrder="1"/>
    </xf>
    <xf numFmtId="0" fontId="0" fillId="0" borderId="3" xfId="0" applyBorder="1" applyAlignment="1">
      <alignment readingOrder="1"/>
    </xf>
    <xf numFmtId="0" fontId="0" fillId="0" borderId="1" xfId="0" applyBorder="1" applyAlignment="1">
      <alignment readingOrder="1"/>
    </xf>
    <xf numFmtId="0" fontId="4" fillId="0" borderId="13" xfId="0" applyFont="1" applyBorder="1" applyAlignment="1">
      <alignment horizontal="center" vertical="center" wrapText="1" readingOrder="2"/>
    </xf>
    <xf numFmtId="0" fontId="7" fillId="0" borderId="12" xfId="0" applyFont="1" applyBorder="1" applyAlignment="1">
      <alignment horizontal="center" vertical="center" wrapText="1" readingOrder="2"/>
    </xf>
    <xf numFmtId="0" fontId="9" fillId="0" borderId="0" xfId="0" applyFont="1"/>
    <xf numFmtId="164" fontId="0" fillId="6" borderId="4" xfId="0" applyNumberFormat="1" applyFill="1" applyBorder="1" applyAlignment="1">
      <alignment readingOrder="1"/>
    </xf>
    <xf numFmtId="164" fontId="0" fillId="6" borderId="5" xfId="0" applyNumberFormat="1" applyFill="1" applyBorder="1" applyAlignment="1">
      <alignment readingOrder="1"/>
    </xf>
    <xf numFmtId="164" fontId="8" fillId="7" borderId="9" xfId="0" applyNumberFormat="1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164" fontId="0" fillId="8" borderId="6" xfId="0" applyNumberFormat="1" applyFill="1" applyBorder="1" applyAlignment="1">
      <alignment readingOrder="1"/>
    </xf>
    <xf numFmtId="164" fontId="10" fillId="3" borderId="4" xfId="0" applyNumberFormat="1" applyFont="1" applyFill="1" applyBorder="1" applyAlignment="1">
      <alignment readingOrder="1"/>
    </xf>
    <xf numFmtId="0" fontId="2" fillId="2" borderId="10" xfId="1" applyNumberFormat="1" applyFont="1" applyFill="1" applyBorder="1" applyAlignment="1">
      <alignment horizontal="center" vertical="center" readingOrder="1"/>
    </xf>
    <xf numFmtId="0" fontId="2" fillId="2" borderId="8" xfId="1" applyNumberFormat="1" applyFont="1" applyFill="1" applyBorder="1" applyAlignment="1">
      <alignment horizontal="center" vertical="center" readingOrder="1"/>
    </xf>
    <xf numFmtId="0" fontId="2" fillId="2" borderId="9" xfId="1" applyNumberFormat="1" applyFont="1" applyFill="1" applyBorder="1" applyAlignment="1">
      <alignment horizontal="center" vertical="center" readingOrder="1"/>
    </xf>
    <xf numFmtId="0" fontId="2" fillId="2" borderId="7" xfId="1" applyNumberFormat="1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D4F-9A29-4C6C-B489-7EA103CE463E}">
  <dimension ref="A1:N305"/>
  <sheetViews>
    <sheetView rightToLeft="1" tabSelected="1" workbookViewId="0">
      <selection sqref="A1:O1048576"/>
    </sheetView>
  </sheetViews>
  <sheetFormatPr defaultColWidth="9.3984375" defaultRowHeight="13.8" x14ac:dyDescent="0.25"/>
  <cols>
    <col min="1" max="1" width="26.69921875" style="20" bestFit="1" customWidth="1"/>
    <col min="2" max="2" width="13.69921875" style="21" customWidth="1"/>
    <col min="3" max="3" width="14.69921875" style="22" customWidth="1"/>
    <col min="4" max="4" width="13.3984375" style="19" customWidth="1"/>
    <col min="5" max="5" width="14.69921875" style="19" customWidth="1"/>
    <col min="6" max="6" width="14.69921875" style="23" customWidth="1"/>
    <col min="7" max="7" width="14.69921875" style="19" bestFit="1" customWidth="1"/>
    <col min="8" max="8" width="13.3984375" style="19" bestFit="1" customWidth="1"/>
    <col min="9" max="9" width="16.09765625" style="19" bestFit="1" customWidth="1"/>
    <col min="10" max="10" width="14.69921875" style="19" bestFit="1" customWidth="1"/>
    <col min="11" max="11" width="15.3984375" style="24" bestFit="1" customWidth="1"/>
    <col min="12" max="12" width="14.09765625" style="6" bestFit="1" customWidth="1"/>
    <col min="13" max="13" width="15.3984375" style="25" bestFit="1" customWidth="1"/>
    <col min="14" max="14" width="15.3984375" style="6" bestFit="1" customWidth="1"/>
    <col min="15" max="16384" width="9.3984375" style="6"/>
  </cols>
  <sheetData>
    <row r="1" spans="1:14" ht="23.4" thickBot="1" x14ac:dyDescent="0.3">
      <c r="A1" s="5"/>
      <c r="B1" s="5"/>
      <c r="C1" s="39" t="s">
        <v>79</v>
      </c>
      <c r="D1" s="37"/>
      <c r="E1" s="37"/>
      <c r="F1" s="38"/>
      <c r="G1" s="39" t="s">
        <v>80</v>
      </c>
      <c r="H1" s="37"/>
      <c r="I1" s="37"/>
      <c r="J1" s="38"/>
      <c r="K1" s="36" t="s">
        <v>38</v>
      </c>
      <c r="L1" s="37"/>
      <c r="M1" s="37"/>
      <c r="N1" s="38"/>
    </row>
    <row r="2" spans="1:14" ht="21.6" thickBot="1" x14ac:dyDescent="0.3">
      <c r="A2" s="7" t="s">
        <v>0</v>
      </c>
      <c r="B2" s="8" t="s">
        <v>64</v>
      </c>
      <c r="C2" s="9" t="s">
        <v>1</v>
      </c>
      <c r="D2" s="9" t="s">
        <v>2</v>
      </c>
      <c r="E2" s="9" t="s">
        <v>3</v>
      </c>
      <c r="F2" s="9" t="s">
        <v>42</v>
      </c>
      <c r="G2" s="9" t="s">
        <v>1</v>
      </c>
      <c r="H2" s="9" t="s">
        <v>2</v>
      </c>
      <c r="I2" s="9" t="s">
        <v>3</v>
      </c>
      <c r="J2" s="9" t="s">
        <v>41</v>
      </c>
      <c r="K2" s="10" t="s">
        <v>1</v>
      </c>
      <c r="L2" s="9" t="s">
        <v>2</v>
      </c>
      <c r="M2" s="9" t="s">
        <v>3</v>
      </c>
      <c r="N2" s="9" t="s">
        <v>41</v>
      </c>
    </row>
    <row r="3" spans="1:14" ht="15.6" x14ac:dyDescent="0.25">
      <c r="A3" s="5" t="s">
        <v>4</v>
      </c>
      <c r="B3" s="5" t="s">
        <v>5</v>
      </c>
      <c r="C3" s="35">
        <v>6757134.2162941284</v>
      </c>
      <c r="D3" s="1">
        <v>244728.17522679683</v>
      </c>
      <c r="E3" s="2">
        <v>18040300.901474498</v>
      </c>
      <c r="F3" s="2">
        <v>43938898.460000001</v>
      </c>
      <c r="G3" s="29">
        <v>7943583.205020383</v>
      </c>
      <c r="H3" s="29">
        <v>284148.81845817459</v>
      </c>
      <c r="I3" s="30">
        <v>19291897.509813704</v>
      </c>
      <c r="J3" s="30">
        <v>50754485.549999997</v>
      </c>
      <c r="K3" s="3">
        <f t="shared" ref="K3:N6" si="0">G3-C3</f>
        <v>1186448.9887262546</v>
      </c>
      <c r="L3" s="3">
        <f t="shared" si="0"/>
        <v>39420.643231377762</v>
      </c>
      <c r="M3" s="34">
        <f t="shared" si="0"/>
        <v>1251596.6083392054</v>
      </c>
      <c r="N3" s="3">
        <f>J3-F3</f>
        <v>6815587.0899999961</v>
      </c>
    </row>
    <row r="4" spans="1:14" ht="15.6" x14ac:dyDescent="0.25">
      <c r="A4" s="32" t="s">
        <v>77</v>
      </c>
      <c r="B4" s="5"/>
      <c r="C4" s="1">
        <v>0</v>
      </c>
      <c r="D4" s="1">
        <v>47762.663776774483</v>
      </c>
      <c r="E4" s="2">
        <v>300000</v>
      </c>
      <c r="F4" s="2">
        <v>0</v>
      </c>
      <c r="G4" s="29">
        <v>0</v>
      </c>
      <c r="H4" s="29">
        <v>53005.696160464096</v>
      </c>
      <c r="I4" s="30">
        <v>300000</v>
      </c>
      <c r="J4" s="30">
        <v>0</v>
      </c>
      <c r="K4" s="3">
        <f t="shared" si="0"/>
        <v>0</v>
      </c>
      <c r="L4" s="3">
        <f t="shared" si="0"/>
        <v>5243.0323836896132</v>
      </c>
      <c r="M4" s="34">
        <f t="shared" si="0"/>
        <v>0</v>
      </c>
      <c r="N4" s="3">
        <f t="shared" si="0"/>
        <v>0</v>
      </c>
    </row>
    <row r="5" spans="1:14" ht="15.6" x14ac:dyDescent="0.25">
      <c r="A5" s="26" t="s">
        <v>78</v>
      </c>
      <c r="B5" s="5"/>
      <c r="C5" s="1">
        <v>9117.1362674978809</v>
      </c>
      <c r="D5" s="1">
        <v>34130.668955372668</v>
      </c>
      <c r="E5" s="2">
        <v>515090.01</v>
      </c>
      <c r="F5" s="2">
        <v>-106250.98999999999</v>
      </c>
      <c r="G5" s="29">
        <v>94229.890540480919</v>
      </c>
      <c r="H5" s="29">
        <v>40998.678491696315</v>
      </c>
      <c r="I5" s="30">
        <v>785770.34470000002</v>
      </c>
      <c r="J5" s="30">
        <v>937262.65999999992</v>
      </c>
      <c r="K5" s="3">
        <f t="shared" si="0"/>
        <v>85112.754272983031</v>
      </c>
      <c r="L5" s="3">
        <f>H5-D5</f>
        <v>6868.0095363236469</v>
      </c>
      <c r="M5" s="34">
        <f t="shared" si="0"/>
        <v>270680.33470000001</v>
      </c>
      <c r="N5" s="3">
        <f t="shared" si="0"/>
        <v>1043513.6499999999</v>
      </c>
    </row>
    <row r="6" spans="1:14" ht="16.2" thickBot="1" x14ac:dyDescent="0.3">
      <c r="A6" s="5" t="s">
        <v>46</v>
      </c>
      <c r="B6" s="5" t="s">
        <v>5</v>
      </c>
      <c r="C6" s="1">
        <v>419302.96694589802</v>
      </c>
      <c r="D6" s="1">
        <v>3936.1091768826632</v>
      </c>
      <c r="E6" s="2">
        <v>2535750.2724563922</v>
      </c>
      <c r="F6" s="2">
        <v>1490442.5400000005</v>
      </c>
      <c r="G6" s="29">
        <v>430369.65191617189</v>
      </c>
      <c r="H6" s="29">
        <v>3951.306216462347</v>
      </c>
      <c r="I6" s="30">
        <v>2919924.9766628724</v>
      </c>
      <c r="J6" s="30">
        <v>1041834.1800000004</v>
      </c>
      <c r="K6" s="3">
        <f t="shared" si="0"/>
        <v>11066.684970273869</v>
      </c>
      <c r="L6" s="3">
        <f t="shared" si="0"/>
        <v>15.19703957968386</v>
      </c>
      <c r="M6" s="34">
        <f t="shared" si="0"/>
        <v>384174.70420648018</v>
      </c>
      <c r="N6" s="3">
        <f t="shared" si="0"/>
        <v>-448608.3600000001</v>
      </c>
    </row>
    <row r="7" spans="1:14" ht="21.6" thickBot="1" x14ac:dyDescent="0.3">
      <c r="A7" s="11" t="s">
        <v>6</v>
      </c>
      <c r="B7" s="12"/>
      <c r="C7" s="4">
        <f>SUM(C3:C6)</f>
        <v>7185554.3195075244</v>
      </c>
      <c r="D7" s="4">
        <f t="shared" ref="D7:J7" si="1">SUM(D3:D6)</f>
        <v>330557.61713582661</v>
      </c>
      <c r="E7" s="4">
        <f t="shared" si="1"/>
        <v>21391141.183930892</v>
      </c>
      <c r="F7" s="4">
        <f t="shared" si="1"/>
        <v>45323090.009999998</v>
      </c>
      <c r="G7" s="4">
        <f t="shared" si="1"/>
        <v>8468182.747477036</v>
      </c>
      <c r="H7" s="4">
        <f t="shared" si="1"/>
        <v>382104.49932679732</v>
      </c>
      <c r="I7" s="4">
        <f t="shared" si="1"/>
        <v>23297592.831176579</v>
      </c>
      <c r="J7" s="4">
        <f t="shared" si="1"/>
        <v>52733582.389999993</v>
      </c>
      <c r="K7" s="4">
        <f t="shared" ref="K7:N7" si="2">SUM(K3:K6)</f>
        <v>1282628.4279695114</v>
      </c>
      <c r="L7" s="4">
        <f t="shared" si="2"/>
        <v>51546.882190970704</v>
      </c>
      <c r="M7" s="4">
        <f t="shared" si="2"/>
        <v>1906451.6472456856</v>
      </c>
      <c r="N7" s="4">
        <f t="shared" si="2"/>
        <v>7410492.3799999962</v>
      </c>
    </row>
    <row r="8" spans="1:14" ht="15.6" x14ac:dyDescent="0.25">
      <c r="A8" s="13" t="s">
        <v>7</v>
      </c>
      <c r="B8" s="13" t="s">
        <v>5</v>
      </c>
      <c r="C8" s="1">
        <v>42413.399712023362</v>
      </c>
      <c r="D8" s="1">
        <v>1169.643</v>
      </c>
      <c r="E8" s="2">
        <v>0</v>
      </c>
      <c r="F8" s="2">
        <v>-312354.78999999998</v>
      </c>
      <c r="G8" s="29">
        <v>37973.944991582706</v>
      </c>
      <c r="H8" s="29">
        <v>1173.1300000000001</v>
      </c>
      <c r="I8" s="30">
        <v>0</v>
      </c>
      <c r="J8" s="30">
        <v>-321158.48</v>
      </c>
      <c r="K8" s="3">
        <f t="shared" ref="K8:K13" si="3">G8-C8</f>
        <v>-4439.4547204406554</v>
      </c>
      <c r="L8" s="3">
        <f t="shared" ref="L8:L13" si="4">H8-D8</f>
        <v>3.48700000000008</v>
      </c>
      <c r="M8" s="3">
        <f t="shared" ref="M8:M13" si="5">I8-E8</f>
        <v>0</v>
      </c>
      <c r="N8" s="3">
        <f t="shared" ref="N8:N13" si="6">J8-F8</f>
        <v>-8803.6900000000023</v>
      </c>
    </row>
    <row r="9" spans="1:14" ht="15.6" x14ac:dyDescent="0.25">
      <c r="A9" s="5" t="s">
        <v>8</v>
      </c>
      <c r="B9" s="5" t="s">
        <v>5</v>
      </c>
      <c r="C9" s="1">
        <v>672364.45269861864</v>
      </c>
      <c r="D9" s="1">
        <v>802166.97446134291</v>
      </c>
      <c r="E9" s="2">
        <v>324158.70893169875</v>
      </c>
      <c r="F9" s="2">
        <v>1237689.19</v>
      </c>
      <c r="G9" s="29">
        <v>802630.51415215083</v>
      </c>
      <c r="H9" s="29">
        <v>1023238.4302782579</v>
      </c>
      <c r="I9" s="30">
        <v>336893.64022136602</v>
      </c>
      <c r="J9" s="30">
        <v>1488051.84</v>
      </c>
      <c r="K9" s="3">
        <f t="shared" si="3"/>
        <v>130266.06145353219</v>
      </c>
      <c r="L9" s="3">
        <f t="shared" si="4"/>
        <v>221071.45581691503</v>
      </c>
      <c r="M9" s="3">
        <f t="shared" si="5"/>
        <v>12734.931289667264</v>
      </c>
      <c r="N9" s="3">
        <f t="shared" si="6"/>
        <v>250362.65000000014</v>
      </c>
    </row>
    <row r="10" spans="1:14" ht="15.6" x14ac:dyDescent="0.25">
      <c r="A10" s="5" t="s">
        <v>9</v>
      </c>
      <c r="B10" s="5" t="s">
        <v>5</v>
      </c>
      <c r="C10" s="1">
        <v>139066.90438237585</v>
      </c>
      <c r="D10" s="1">
        <v>40457.142237701526</v>
      </c>
      <c r="E10" s="2">
        <v>669332.15550265776</v>
      </c>
      <c r="F10" s="2">
        <v>-3933.5199999999022</v>
      </c>
      <c r="G10" s="29">
        <v>139802.97380681953</v>
      </c>
      <c r="H10" s="29">
        <v>40596.432158619551</v>
      </c>
      <c r="I10" s="30">
        <v>899639.48266723426</v>
      </c>
      <c r="J10" s="30">
        <v>81331.63</v>
      </c>
      <c r="K10" s="3">
        <f t="shared" si="3"/>
        <v>736.06942444367451</v>
      </c>
      <c r="L10" s="3">
        <f t="shared" si="4"/>
        <v>139.28992091802502</v>
      </c>
      <c r="M10" s="3">
        <f t="shared" si="5"/>
        <v>230307.32716457651</v>
      </c>
      <c r="N10" s="3">
        <f t="shared" si="6"/>
        <v>85265.149999999907</v>
      </c>
    </row>
    <row r="11" spans="1:14" ht="15.6" x14ac:dyDescent="0.25">
      <c r="A11" s="5" t="s">
        <v>10</v>
      </c>
      <c r="B11" s="5" t="s">
        <v>57</v>
      </c>
      <c r="C11" s="1">
        <v>162290.68980132451</v>
      </c>
      <c r="D11" s="1">
        <v>6576.3568879999993</v>
      </c>
      <c r="E11" s="2">
        <v>621438.05000000005</v>
      </c>
      <c r="F11" s="2">
        <v>125854.19</v>
      </c>
      <c r="G11" s="29">
        <v>225510.26701986758</v>
      </c>
      <c r="H11" s="29">
        <v>16003.136999999999</v>
      </c>
      <c r="I11" s="30">
        <v>1814271.11</v>
      </c>
      <c r="J11" s="30">
        <v>542020.65</v>
      </c>
      <c r="K11" s="3">
        <f t="shared" si="3"/>
        <v>63219.577218543069</v>
      </c>
      <c r="L11" s="3">
        <f t="shared" si="4"/>
        <v>9426.7801120000004</v>
      </c>
      <c r="M11" s="3">
        <f t="shared" si="5"/>
        <v>1192833.06</v>
      </c>
      <c r="N11" s="3">
        <f t="shared" si="6"/>
        <v>416166.46</v>
      </c>
    </row>
    <row r="12" spans="1:14" ht="15.6" x14ac:dyDescent="0.25">
      <c r="A12" s="5" t="s">
        <v>48</v>
      </c>
      <c r="B12" s="5" t="s">
        <v>5</v>
      </c>
      <c r="C12" s="1">
        <v>32425.803313</v>
      </c>
      <c r="D12" s="1">
        <v>138893.57862627396</v>
      </c>
      <c r="E12" s="2">
        <v>0</v>
      </c>
      <c r="F12" s="2">
        <v>0</v>
      </c>
      <c r="G12" s="29">
        <v>66506.982499999998</v>
      </c>
      <c r="H12" s="29">
        <v>142979.01717305681</v>
      </c>
      <c r="I12" s="30">
        <v>2349.83</v>
      </c>
      <c r="J12" s="30">
        <v>-4433.24</v>
      </c>
      <c r="K12" s="3">
        <f t="shared" si="3"/>
        <v>34081.179187000002</v>
      </c>
      <c r="L12" s="3">
        <f t="shared" si="4"/>
        <v>4085.4385467828542</v>
      </c>
      <c r="M12" s="3">
        <f t="shared" si="5"/>
        <v>2349.83</v>
      </c>
      <c r="N12" s="3">
        <f t="shared" si="6"/>
        <v>-4433.24</v>
      </c>
    </row>
    <row r="13" spans="1:14" ht="16.2" thickBot="1" x14ac:dyDescent="0.3">
      <c r="A13" s="14" t="s">
        <v>11</v>
      </c>
      <c r="B13" s="14" t="s">
        <v>5</v>
      </c>
      <c r="C13" s="1">
        <v>168257.3685276506</v>
      </c>
      <c r="D13" s="1">
        <v>28652.254000000001</v>
      </c>
      <c r="E13" s="2">
        <v>981090.90999999992</v>
      </c>
      <c r="F13" s="2">
        <v>867286.80999999994</v>
      </c>
      <c r="G13" s="29">
        <v>175246.45684748152</v>
      </c>
      <c r="H13" s="29">
        <v>44291.821000000004</v>
      </c>
      <c r="I13" s="30">
        <v>982065.14999999991</v>
      </c>
      <c r="J13" s="30">
        <v>287720.32999999996</v>
      </c>
      <c r="K13" s="3">
        <f t="shared" si="3"/>
        <v>6989.0883198309166</v>
      </c>
      <c r="L13" s="3">
        <f t="shared" si="4"/>
        <v>15639.567000000003</v>
      </c>
      <c r="M13" s="3">
        <f t="shared" si="5"/>
        <v>974.23999999999069</v>
      </c>
      <c r="N13" s="3">
        <f t="shared" si="6"/>
        <v>-579566.48</v>
      </c>
    </row>
    <row r="14" spans="1:14" ht="21.6" thickBot="1" x14ac:dyDescent="0.3">
      <c r="A14" s="11" t="s">
        <v>52</v>
      </c>
      <c r="B14" s="12"/>
      <c r="C14" s="4">
        <f>SUM(C8:C13)</f>
        <v>1216818.6184349931</v>
      </c>
      <c r="D14" s="4">
        <f t="shared" ref="D14:J14" si="7">SUM(D8:D13)</f>
        <v>1017915.9492133185</v>
      </c>
      <c r="E14" s="4">
        <f t="shared" si="7"/>
        <v>2596019.8244343568</v>
      </c>
      <c r="F14" s="4">
        <f t="shared" si="7"/>
        <v>1914541.88</v>
      </c>
      <c r="G14" s="4">
        <f t="shared" si="7"/>
        <v>1447671.139317902</v>
      </c>
      <c r="H14" s="4">
        <f t="shared" si="7"/>
        <v>1268281.9676099343</v>
      </c>
      <c r="I14" s="4">
        <f t="shared" si="7"/>
        <v>4035219.2128886003</v>
      </c>
      <c r="J14" s="4">
        <f t="shared" si="7"/>
        <v>2073532.73</v>
      </c>
      <c r="K14" s="4">
        <f t="shared" ref="K14" si="8">SUM(K8:K13)</f>
        <v>230852.52088290919</v>
      </c>
      <c r="L14" s="4">
        <f t="shared" ref="L14" si="9">SUM(L8:L13)</f>
        <v>250366.01839661592</v>
      </c>
      <c r="M14" s="4">
        <f t="shared" ref="M14" si="10">SUM(M8:M13)</f>
        <v>1439199.3884542438</v>
      </c>
      <c r="N14" s="4">
        <f t="shared" ref="N14" si="11">SUM(N8:N13)</f>
        <v>158990.85000000009</v>
      </c>
    </row>
    <row r="15" spans="1:14" ht="15.6" x14ac:dyDescent="0.25">
      <c r="A15" s="13" t="s">
        <v>19</v>
      </c>
      <c r="B15" s="13" t="s">
        <v>57</v>
      </c>
      <c r="C15" s="1">
        <v>569714.42222000007</v>
      </c>
      <c r="D15" s="1">
        <v>41556.39</v>
      </c>
      <c r="E15" s="2">
        <v>333369.83999999997</v>
      </c>
      <c r="F15" s="2">
        <v>2607548.9299999997</v>
      </c>
      <c r="G15" s="29">
        <v>809886.01149999991</v>
      </c>
      <c r="H15" s="29">
        <v>125595.537</v>
      </c>
      <c r="I15" s="30">
        <v>330864.83999999997</v>
      </c>
      <c r="J15" s="30">
        <v>2854242.49</v>
      </c>
      <c r="K15" s="34">
        <f t="shared" ref="K15:K47" si="12">G15-C15</f>
        <v>240171.58927999984</v>
      </c>
      <c r="L15" s="34">
        <f t="shared" ref="L15:L47" si="13">H15-D15</f>
        <v>84039.146999999997</v>
      </c>
      <c r="M15" s="34">
        <f t="shared" ref="M15:M47" si="14">I15-E15</f>
        <v>-2505</v>
      </c>
      <c r="N15" s="34">
        <f t="shared" ref="N15:N47" si="15">J15-F15</f>
        <v>246693.56000000052</v>
      </c>
    </row>
    <row r="16" spans="1:14" ht="15.6" x14ac:dyDescent="0.25">
      <c r="A16" s="15" t="s">
        <v>15</v>
      </c>
      <c r="B16" s="5" t="s">
        <v>57</v>
      </c>
      <c r="C16" s="1">
        <v>0</v>
      </c>
      <c r="D16" s="1">
        <v>3071.9442883237321</v>
      </c>
      <c r="E16" s="2">
        <v>0</v>
      </c>
      <c r="F16" s="2">
        <v>-11711.17</v>
      </c>
      <c r="G16" s="29">
        <v>0</v>
      </c>
      <c r="H16" s="29">
        <v>3083.8083490234649</v>
      </c>
      <c r="I16" s="30">
        <v>0</v>
      </c>
      <c r="J16" s="30">
        <v>-11711.17</v>
      </c>
      <c r="K16" s="34">
        <f t="shared" si="12"/>
        <v>0</v>
      </c>
      <c r="L16" s="34">
        <f t="shared" si="13"/>
        <v>11.864060699732818</v>
      </c>
      <c r="M16" s="34">
        <f t="shared" si="14"/>
        <v>0</v>
      </c>
      <c r="N16" s="34">
        <f t="shared" si="15"/>
        <v>0</v>
      </c>
    </row>
    <row r="17" spans="1:14" ht="15.6" x14ac:dyDescent="0.25">
      <c r="A17" s="15" t="s">
        <v>16</v>
      </c>
      <c r="B17" s="5" t="s">
        <v>57</v>
      </c>
      <c r="C17" s="1">
        <v>13040.009862627679</v>
      </c>
      <c r="D17" s="1">
        <v>11825</v>
      </c>
      <c r="E17" s="2">
        <v>3961.350288042715</v>
      </c>
      <c r="F17" s="2">
        <v>0</v>
      </c>
      <c r="G17" s="29">
        <v>28190.67325139153</v>
      </c>
      <c r="H17" s="29">
        <v>12804.424034031957</v>
      </c>
      <c r="I17" s="30">
        <v>3976.649296051708</v>
      </c>
      <c r="J17" s="30">
        <v>-14017.99</v>
      </c>
      <c r="K17" s="34">
        <f t="shared" si="12"/>
        <v>15150.663388763851</v>
      </c>
      <c r="L17" s="34">
        <f t="shared" si="13"/>
        <v>979.42403403195749</v>
      </c>
      <c r="M17" s="34">
        <f t="shared" si="14"/>
        <v>15.299008008993042</v>
      </c>
      <c r="N17" s="34">
        <f t="shared" si="15"/>
        <v>-14017.99</v>
      </c>
    </row>
    <row r="18" spans="1:14" ht="15.6" x14ac:dyDescent="0.25">
      <c r="A18" s="5" t="s">
        <v>17</v>
      </c>
      <c r="B18" s="5" t="s">
        <v>57</v>
      </c>
      <c r="C18" s="1">
        <v>0</v>
      </c>
      <c r="D18" s="1">
        <v>0</v>
      </c>
      <c r="E18" s="2">
        <v>0</v>
      </c>
      <c r="F18" s="2">
        <v>0</v>
      </c>
      <c r="G18" s="29">
        <v>0</v>
      </c>
      <c r="H18" s="29">
        <v>0</v>
      </c>
      <c r="I18" s="30">
        <v>0</v>
      </c>
      <c r="J18" s="30">
        <v>0</v>
      </c>
      <c r="K18" s="34">
        <f t="shared" si="12"/>
        <v>0</v>
      </c>
      <c r="L18" s="34">
        <f t="shared" si="13"/>
        <v>0</v>
      </c>
      <c r="M18" s="34">
        <f t="shared" si="14"/>
        <v>0</v>
      </c>
      <c r="N18" s="34">
        <f t="shared" si="15"/>
        <v>0</v>
      </c>
    </row>
    <row r="19" spans="1:14" ht="15.6" x14ac:dyDescent="0.25">
      <c r="A19" s="15" t="s">
        <v>18</v>
      </c>
      <c r="B19" s="5" t="s">
        <v>57</v>
      </c>
      <c r="C19" s="1">
        <v>878891.9224898424</v>
      </c>
      <c r="D19" s="1">
        <v>85777.39443</v>
      </c>
      <c r="E19" s="2">
        <v>611804.1764</v>
      </c>
      <c r="F19" s="2">
        <v>1524521.97</v>
      </c>
      <c r="G19" s="29">
        <v>1004008.8313400404</v>
      </c>
      <c r="H19" s="29">
        <v>105776.9615</v>
      </c>
      <c r="I19" s="30">
        <v>843545.73439999996</v>
      </c>
      <c r="J19" s="30">
        <v>2127579.39</v>
      </c>
      <c r="K19" s="34">
        <f t="shared" si="12"/>
        <v>125116.90885019803</v>
      </c>
      <c r="L19" s="34">
        <f t="shared" si="13"/>
        <v>19999.567070000005</v>
      </c>
      <c r="M19" s="34">
        <f t="shared" si="14"/>
        <v>231741.55799999996</v>
      </c>
      <c r="N19" s="34">
        <f t="shared" si="15"/>
        <v>603057.42000000016</v>
      </c>
    </row>
    <row r="20" spans="1:14" ht="15.6" x14ac:dyDescent="0.25">
      <c r="A20" s="15" t="s">
        <v>20</v>
      </c>
      <c r="B20" s="5" t="s">
        <v>57</v>
      </c>
      <c r="C20" s="1">
        <v>0</v>
      </c>
      <c r="D20" s="1">
        <v>0</v>
      </c>
      <c r="E20" s="2">
        <v>0</v>
      </c>
      <c r="F20" s="2">
        <v>0</v>
      </c>
      <c r="G20" s="29">
        <v>0</v>
      </c>
      <c r="H20" s="29">
        <v>0</v>
      </c>
      <c r="I20" s="30">
        <v>0</v>
      </c>
      <c r="J20" s="30">
        <v>0</v>
      </c>
      <c r="K20" s="34">
        <f t="shared" si="12"/>
        <v>0</v>
      </c>
      <c r="L20" s="34">
        <f t="shared" si="13"/>
        <v>0</v>
      </c>
      <c r="M20" s="34">
        <f t="shared" si="14"/>
        <v>0</v>
      </c>
      <c r="N20" s="34">
        <f t="shared" si="15"/>
        <v>0</v>
      </c>
    </row>
    <row r="21" spans="1:14" ht="15.6" x14ac:dyDescent="0.25">
      <c r="A21" s="15" t="s">
        <v>21</v>
      </c>
      <c r="B21" s="5" t="s">
        <v>57</v>
      </c>
      <c r="C21" s="1">
        <v>66178.085751183025</v>
      </c>
      <c r="D21" s="1">
        <v>58360.581820415682</v>
      </c>
      <c r="E21" s="2">
        <v>100590.01369959253</v>
      </c>
      <c r="F21" s="2">
        <v>190903.65</v>
      </c>
      <c r="G21" s="29">
        <v>102321.92694652559</v>
      </c>
      <c r="H21" s="29">
        <v>58156.03452856106</v>
      </c>
      <c r="I21" s="30">
        <v>200592.29237319095</v>
      </c>
      <c r="J21" s="30">
        <v>190904</v>
      </c>
      <c r="K21" s="34">
        <f t="shared" si="12"/>
        <v>36143.841195342568</v>
      </c>
      <c r="L21" s="34">
        <f t="shared" si="13"/>
        <v>-204.54729185462202</v>
      </c>
      <c r="M21" s="34">
        <f t="shared" si="14"/>
        <v>100002.27867359843</v>
      </c>
      <c r="N21" s="34">
        <f t="shared" si="15"/>
        <v>0.35000000000582077</v>
      </c>
    </row>
    <row r="22" spans="1:14" ht="15.6" x14ac:dyDescent="0.25">
      <c r="A22" s="15" t="s">
        <v>22</v>
      </c>
      <c r="B22" s="5" t="s">
        <v>57</v>
      </c>
      <c r="C22" s="1">
        <v>26923.31</v>
      </c>
      <c r="D22" s="1">
        <v>52483.182339999999</v>
      </c>
      <c r="E22" s="2">
        <v>174156.92</v>
      </c>
      <c r="F22" s="2">
        <v>58928.33</v>
      </c>
      <c r="G22" s="29">
        <v>27454.89</v>
      </c>
      <c r="H22" s="29">
        <v>49894.046999999999</v>
      </c>
      <c r="I22" s="30">
        <v>225184.05</v>
      </c>
      <c r="J22" s="30">
        <v>59103.61</v>
      </c>
      <c r="K22" s="34">
        <f t="shared" si="12"/>
        <v>531.57999999999811</v>
      </c>
      <c r="L22" s="34">
        <f t="shared" si="13"/>
        <v>-2589.1353400000007</v>
      </c>
      <c r="M22" s="34">
        <f t="shared" si="14"/>
        <v>51027.129999999976</v>
      </c>
      <c r="N22" s="34">
        <f t="shared" si="15"/>
        <v>175.27999999999884</v>
      </c>
    </row>
    <row r="23" spans="1:14" ht="15.6" x14ac:dyDescent="0.25">
      <c r="A23" s="5" t="s">
        <v>23</v>
      </c>
      <c r="B23" s="5" t="s">
        <v>57</v>
      </c>
      <c r="C23" s="1">
        <v>444458.69951124891</v>
      </c>
      <c r="D23" s="1">
        <v>61714.45</v>
      </c>
      <c r="E23" s="2">
        <v>803958.56</v>
      </c>
      <c r="F23" s="2">
        <v>1080443.93</v>
      </c>
      <c r="G23" s="29">
        <v>481769.02697970619</v>
      </c>
      <c r="H23" s="29">
        <v>72345.61</v>
      </c>
      <c r="I23" s="30">
        <v>1115202.1599999999</v>
      </c>
      <c r="J23" s="30">
        <v>911002.32000000007</v>
      </c>
      <c r="K23" s="34">
        <f t="shared" si="12"/>
        <v>37310.327468457283</v>
      </c>
      <c r="L23" s="34">
        <f t="shared" si="13"/>
        <v>10631.160000000003</v>
      </c>
      <c r="M23" s="34">
        <f t="shared" si="14"/>
        <v>311243.59999999986</v>
      </c>
      <c r="N23" s="34">
        <f t="shared" si="15"/>
        <v>-169441.60999999987</v>
      </c>
    </row>
    <row r="24" spans="1:14" ht="15.6" x14ac:dyDescent="0.25">
      <c r="A24" s="5" t="s">
        <v>26</v>
      </c>
      <c r="B24" s="5" t="s">
        <v>57</v>
      </c>
      <c r="C24" s="1">
        <v>782400.07000000007</v>
      </c>
      <c r="D24" s="1">
        <v>88150.442573954773</v>
      </c>
      <c r="E24" s="2">
        <v>2303815.0300000003</v>
      </c>
      <c r="F24" s="2">
        <v>1580825.8399999996</v>
      </c>
      <c r="G24" s="29">
        <v>882473.34513177013</v>
      </c>
      <c r="H24" s="29">
        <v>97901.515810199897</v>
      </c>
      <c r="I24" s="30">
        <v>2402710.0300000003</v>
      </c>
      <c r="J24" s="30">
        <v>-380692.29999999981</v>
      </c>
      <c r="K24" s="34">
        <f t="shared" si="12"/>
        <v>100073.27513177006</v>
      </c>
      <c r="L24" s="34">
        <f t="shared" si="13"/>
        <v>9751.0732362451236</v>
      </c>
      <c r="M24" s="34">
        <f t="shared" si="14"/>
        <v>98895</v>
      </c>
      <c r="N24" s="34">
        <f t="shared" si="15"/>
        <v>-1961518.1399999994</v>
      </c>
    </row>
    <row r="25" spans="1:14" ht="15.6" x14ac:dyDescent="0.25">
      <c r="A25" s="5" t="s">
        <v>29</v>
      </c>
      <c r="B25" s="5" t="s">
        <v>57</v>
      </c>
      <c r="C25" s="1">
        <v>0</v>
      </c>
      <c r="D25" s="1">
        <v>9.74</v>
      </c>
      <c r="E25" s="2">
        <v>0</v>
      </c>
      <c r="F25" s="2">
        <v>0</v>
      </c>
      <c r="G25" s="29">
        <v>0</v>
      </c>
      <c r="H25" s="29">
        <v>9.77</v>
      </c>
      <c r="I25" s="30">
        <v>0</v>
      </c>
      <c r="J25" s="30">
        <v>0</v>
      </c>
      <c r="K25" s="34">
        <f t="shared" si="12"/>
        <v>0</v>
      </c>
      <c r="L25" s="34">
        <f t="shared" si="13"/>
        <v>2.9999999999999361E-2</v>
      </c>
      <c r="M25" s="34">
        <f t="shared" si="14"/>
        <v>0</v>
      </c>
      <c r="N25" s="34">
        <f t="shared" si="15"/>
        <v>0</v>
      </c>
    </row>
    <row r="26" spans="1:14" ht="15.6" x14ac:dyDescent="0.25">
      <c r="A26" s="5" t="s">
        <v>30</v>
      </c>
      <c r="B26" s="5" t="s">
        <v>57</v>
      </c>
      <c r="C26" s="1">
        <v>40386.726434271317</v>
      </c>
      <c r="D26" s="1">
        <v>4862.865542000698</v>
      </c>
      <c r="E26" s="2">
        <v>47440.186354350124</v>
      </c>
      <c r="F26" s="2">
        <v>0</v>
      </c>
      <c r="G26" s="29">
        <v>41053.826915774822</v>
      </c>
      <c r="H26" s="29">
        <v>4875.2298668525636</v>
      </c>
      <c r="I26" s="30">
        <v>45585.683609235886</v>
      </c>
      <c r="J26" s="30">
        <v>14254.46</v>
      </c>
      <c r="K26" s="34">
        <f t="shared" si="12"/>
        <v>667.10048150350485</v>
      </c>
      <c r="L26" s="34">
        <f t="shared" si="13"/>
        <v>12.364324851865604</v>
      </c>
      <c r="M26" s="34">
        <f t="shared" si="14"/>
        <v>-1854.5027451142378</v>
      </c>
      <c r="N26" s="34">
        <f t="shared" si="15"/>
        <v>14254.46</v>
      </c>
    </row>
    <row r="27" spans="1:14" ht="15.6" x14ac:dyDescent="0.25">
      <c r="A27" s="5" t="s">
        <v>24</v>
      </c>
      <c r="B27" s="5" t="s">
        <v>57</v>
      </c>
      <c r="C27" s="1">
        <v>0</v>
      </c>
      <c r="D27" s="1">
        <v>0</v>
      </c>
      <c r="E27" s="2">
        <v>0</v>
      </c>
      <c r="F27" s="2">
        <v>0</v>
      </c>
      <c r="G27" s="29">
        <v>0</v>
      </c>
      <c r="H27" s="29">
        <v>0</v>
      </c>
      <c r="I27" s="30">
        <v>0</v>
      </c>
      <c r="J27" s="30">
        <v>0</v>
      </c>
      <c r="K27" s="34">
        <f t="shared" si="12"/>
        <v>0</v>
      </c>
      <c r="L27" s="34">
        <f t="shared" si="13"/>
        <v>0</v>
      </c>
      <c r="M27" s="34">
        <f t="shared" si="14"/>
        <v>0</v>
      </c>
      <c r="N27" s="34">
        <f t="shared" si="15"/>
        <v>0</v>
      </c>
    </row>
    <row r="28" spans="1:14" ht="15.6" x14ac:dyDescent="0.25">
      <c r="A28" s="5" t="s">
        <v>25</v>
      </c>
      <c r="B28" s="5" t="s">
        <v>57</v>
      </c>
      <c r="C28" s="1">
        <v>0</v>
      </c>
      <c r="D28" s="1">
        <v>6614.1689999999999</v>
      </c>
      <c r="E28" s="2">
        <v>0</v>
      </c>
      <c r="F28" s="2">
        <v>0</v>
      </c>
      <c r="G28" s="29">
        <v>0</v>
      </c>
      <c r="H28" s="29">
        <v>6634.0779999999995</v>
      </c>
      <c r="I28" s="30">
        <v>0</v>
      </c>
      <c r="J28" s="30">
        <v>0</v>
      </c>
      <c r="K28" s="34">
        <f t="shared" si="12"/>
        <v>0</v>
      </c>
      <c r="L28" s="34">
        <f t="shared" si="13"/>
        <v>19.908999999999651</v>
      </c>
      <c r="M28" s="34">
        <f t="shared" si="14"/>
        <v>0</v>
      </c>
      <c r="N28" s="34">
        <f t="shared" si="15"/>
        <v>0</v>
      </c>
    </row>
    <row r="29" spans="1:14" ht="15.6" x14ac:dyDescent="0.25">
      <c r="A29" s="15" t="s">
        <v>34</v>
      </c>
      <c r="B29" s="5" t="s">
        <v>57</v>
      </c>
      <c r="C29" s="1">
        <v>1675101.9178027797</v>
      </c>
      <c r="D29" s="1">
        <v>191973.7551223443</v>
      </c>
      <c r="E29" s="2">
        <v>1826828.34938931</v>
      </c>
      <c r="F29" s="2">
        <v>2486019.21</v>
      </c>
      <c r="G29" s="29">
        <v>1954208.5290769357</v>
      </c>
      <c r="H29" s="29">
        <v>270048.03288136324</v>
      </c>
      <c r="I29" s="30">
        <v>2768253.3764824551</v>
      </c>
      <c r="J29" s="30">
        <v>2849610.87</v>
      </c>
      <c r="K29" s="34">
        <f t="shared" si="12"/>
        <v>279106.61127415602</v>
      </c>
      <c r="L29" s="34">
        <f t="shared" si="13"/>
        <v>78074.277759018936</v>
      </c>
      <c r="M29" s="34">
        <f t="shared" si="14"/>
        <v>941425.02709314507</v>
      </c>
      <c r="N29" s="34">
        <f t="shared" si="15"/>
        <v>363591.66000000015</v>
      </c>
    </row>
    <row r="30" spans="1:14" ht="15.6" x14ac:dyDescent="0.25">
      <c r="A30" s="5" t="s">
        <v>40</v>
      </c>
      <c r="B30" s="5" t="s">
        <v>57</v>
      </c>
      <c r="C30" s="1">
        <v>2262</v>
      </c>
      <c r="D30" s="1">
        <v>0</v>
      </c>
      <c r="E30" s="2">
        <v>0</v>
      </c>
      <c r="F30" s="2">
        <v>0</v>
      </c>
      <c r="G30" s="29">
        <v>2262</v>
      </c>
      <c r="H30" s="29">
        <v>0</v>
      </c>
      <c r="I30" s="30">
        <v>0</v>
      </c>
      <c r="J30" s="30">
        <v>0</v>
      </c>
      <c r="K30" s="34">
        <f t="shared" si="12"/>
        <v>0</v>
      </c>
      <c r="L30" s="34">
        <f t="shared" si="13"/>
        <v>0</v>
      </c>
      <c r="M30" s="34">
        <f t="shared" si="14"/>
        <v>0</v>
      </c>
      <c r="N30" s="34">
        <f t="shared" si="15"/>
        <v>0</v>
      </c>
    </row>
    <row r="31" spans="1:14" ht="15.6" x14ac:dyDescent="0.25">
      <c r="A31" s="5" t="s">
        <v>45</v>
      </c>
      <c r="B31" s="5" t="s">
        <v>57</v>
      </c>
      <c r="C31" s="1">
        <v>44755.199999999997</v>
      </c>
      <c r="D31" s="1">
        <v>-3440.7660000000001</v>
      </c>
      <c r="E31" s="2">
        <v>23102.44</v>
      </c>
      <c r="F31" s="2">
        <v>-580576.23</v>
      </c>
      <c r="G31" s="29">
        <v>44755.199999999997</v>
      </c>
      <c r="H31" s="29">
        <v>-3451</v>
      </c>
      <c r="I31" s="30">
        <v>24102.44</v>
      </c>
      <c r="J31" s="30">
        <v>-580576.23</v>
      </c>
      <c r="K31" s="34">
        <f t="shared" si="12"/>
        <v>0</v>
      </c>
      <c r="L31" s="34">
        <f t="shared" si="13"/>
        <v>-10.233999999999924</v>
      </c>
      <c r="M31" s="34">
        <f t="shared" si="14"/>
        <v>1000</v>
      </c>
      <c r="N31" s="34">
        <f t="shared" si="15"/>
        <v>0</v>
      </c>
    </row>
    <row r="32" spans="1:14" ht="15.6" x14ac:dyDescent="0.25">
      <c r="A32" s="5" t="s">
        <v>47</v>
      </c>
      <c r="B32" s="5" t="s">
        <v>57</v>
      </c>
      <c r="C32" s="1">
        <v>37915.581688366226</v>
      </c>
      <c r="D32" s="1">
        <v>0</v>
      </c>
      <c r="E32" s="2">
        <v>0</v>
      </c>
      <c r="F32" s="2">
        <v>0</v>
      </c>
      <c r="G32" s="29">
        <v>63754.879654273449</v>
      </c>
      <c r="H32" s="29">
        <v>0</v>
      </c>
      <c r="I32" s="30">
        <v>0</v>
      </c>
      <c r="J32" s="30">
        <v>0</v>
      </c>
      <c r="K32" s="34">
        <f t="shared" si="12"/>
        <v>25839.297965907223</v>
      </c>
      <c r="L32" s="34">
        <f t="shared" si="13"/>
        <v>0</v>
      </c>
      <c r="M32" s="34">
        <f t="shared" si="14"/>
        <v>0</v>
      </c>
      <c r="N32" s="34">
        <f t="shared" si="15"/>
        <v>0</v>
      </c>
    </row>
    <row r="33" spans="1:14" ht="15.6" x14ac:dyDescent="0.25">
      <c r="A33" s="5" t="s">
        <v>27</v>
      </c>
      <c r="B33" s="5" t="s">
        <v>57</v>
      </c>
      <c r="C33" s="1">
        <v>25403.37</v>
      </c>
      <c r="D33" s="1">
        <v>2606.25</v>
      </c>
      <c r="E33" s="2">
        <v>245920.63</v>
      </c>
      <c r="F33" s="2">
        <v>229331.73</v>
      </c>
      <c r="G33" s="29">
        <v>23585.8</v>
      </c>
      <c r="H33" s="29">
        <v>2614</v>
      </c>
      <c r="I33" s="30">
        <v>246259.19</v>
      </c>
      <c r="J33" s="30">
        <v>230013.85</v>
      </c>
      <c r="K33" s="34">
        <f t="shared" si="12"/>
        <v>-1817.5699999999997</v>
      </c>
      <c r="L33" s="34">
        <f t="shared" si="13"/>
        <v>7.75</v>
      </c>
      <c r="M33" s="34">
        <f t="shared" si="14"/>
        <v>338.55999999999767</v>
      </c>
      <c r="N33" s="34">
        <f t="shared" si="15"/>
        <v>682.11999999999534</v>
      </c>
    </row>
    <row r="34" spans="1:14" ht="15.6" x14ac:dyDescent="0.25">
      <c r="A34" s="5" t="s">
        <v>33</v>
      </c>
      <c r="B34" s="5" t="s">
        <v>5</v>
      </c>
      <c r="C34" s="1">
        <v>1207136.3798248689</v>
      </c>
      <c r="D34" s="1">
        <v>61195.245999999992</v>
      </c>
      <c r="E34" s="2">
        <v>0</v>
      </c>
      <c r="F34" s="2">
        <v>-204933.06999999998</v>
      </c>
      <c r="G34" s="29">
        <v>8690.7636035026262</v>
      </c>
      <c r="H34" s="29">
        <v>9451.8135651150988</v>
      </c>
      <c r="I34" s="30">
        <v>0</v>
      </c>
      <c r="J34" s="30">
        <v>-204933.06999999998</v>
      </c>
      <c r="K34" s="34">
        <f t="shared" si="12"/>
        <v>-1198445.6162213662</v>
      </c>
      <c r="L34" s="34">
        <f t="shared" si="13"/>
        <v>-51743.43243488489</v>
      </c>
      <c r="M34" s="34">
        <f t="shared" si="14"/>
        <v>0</v>
      </c>
      <c r="N34" s="34">
        <f t="shared" si="15"/>
        <v>0</v>
      </c>
    </row>
    <row r="35" spans="1:14" ht="15.6" x14ac:dyDescent="0.25">
      <c r="A35" s="5" t="s">
        <v>28</v>
      </c>
      <c r="B35" s="5" t="s">
        <v>5</v>
      </c>
      <c r="C35" s="1">
        <v>130856.11</v>
      </c>
      <c r="D35" s="1">
        <v>0</v>
      </c>
      <c r="E35" s="2">
        <v>272934.96999999997</v>
      </c>
      <c r="F35" s="2">
        <v>113643.55</v>
      </c>
      <c r="G35" s="29">
        <v>122818.49</v>
      </c>
      <c r="H35" s="29">
        <v>0</v>
      </c>
      <c r="I35" s="30">
        <v>266565.67</v>
      </c>
      <c r="J35" s="30">
        <v>113981.56</v>
      </c>
      <c r="K35" s="34">
        <f t="shared" si="12"/>
        <v>-8037.6199999999953</v>
      </c>
      <c r="L35" s="34">
        <f t="shared" si="13"/>
        <v>0</v>
      </c>
      <c r="M35" s="34">
        <f t="shared" si="14"/>
        <v>-6369.2999999999884</v>
      </c>
      <c r="N35" s="34">
        <f t="shared" si="15"/>
        <v>338.00999999999476</v>
      </c>
    </row>
    <row r="36" spans="1:14" ht="15.6" x14ac:dyDescent="0.25">
      <c r="A36" s="5" t="s">
        <v>43</v>
      </c>
      <c r="B36" s="5" t="s">
        <v>5</v>
      </c>
      <c r="C36" s="1">
        <v>0</v>
      </c>
      <c r="D36" s="1">
        <v>0</v>
      </c>
      <c r="E36" s="2">
        <v>0</v>
      </c>
      <c r="F36" s="2">
        <v>0</v>
      </c>
      <c r="G36" s="29">
        <v>0</v>
      </c>
      <c r="H36" s="29">
        <v>0</v>
      </c>
      <c r="I36" s="30">
        <v>0</v>
      </c>
      <c r="J36" s="30">
        <v>0</v>
      </c>
      <c r="K36" s="34">
        <f t="shared" si="12"/>
        <v>0</v>
      </c>
      <c r="L36" s="34">
        <f t="shared" si="13"/>
        <v>0</v>
      </c>
      <c r="M36" s="34">
        <f t="shared" si="14"/>
        <v>0</v>
      </c>
      <c r="N36" s="34">
        <f t="shared" si="15"/>
        <v>0</v>
      </c>
    </row>
    <row r="37" spans="1:14" ht="15.6" x14ac:dyDescent="0.25">
      <c r="A37" s="15" t="s">
        <v>31</v>
      </c>
      <c r="B37" s="5" t="s">
        <v>5</v>
      </c>
      <c r="C37" s="1">
        <v>75128.759999999995</v>
      </c>
      <c r="D37" s="1">
        <v>4404.6317218543045</v>
      </c>
      <c r="E37" s="2">
        <v>991643.8637687302</v>
      </c>
      <c r="F37" s="2">
        <v>274690.93</v>
      </c>
      <c r="G37" s="29">
        <v>91933.31</v>
      </c>
      <c r="H37" s="29">
        <v>9337.316810591079</v>
      </c>
      <c r="I37" s="30">
        <v>1007906.659719837</v>
      </c>
      <c r="J37" s="30">
        <v>-766867.56</v>
      </c>
      <c r="K37" s="34">
        <f t="shared" si="12"/>
        <v>16804.550000000003</v>
      </c>
      <c r="L37" s="34">
        <f t="shared" si="13"/>
        <v>4932.6850887367746</v>
      </c>
      <c r="M37" s="34">
        <f t="shared" si="14"/>
        <v>16262.795951106818</v>
      </c>
      <c r="N37" s="34">
        <f t="shared" si="15"/>
        <v>-1041558.49</v>
      </c>
    </row>
    <row r="38" spans="1:14" ht="15.6" x14ac:dyDescent="0.25">
      <c r="A38" s="15" t="s">
        <v>65</v>
      </c>
      <c r="B38" s="5" t="s">
        <v>5</v>
      </c>
      <c r="C38" s="1">
        <v>292726.81280443771</v>
      </c>
      <c r="D38" s="1">
        <v>30300.5074922044</v>
      </c>
      <c r="E38" s="2">
        <v>504815.3653751447</v>
      </c>
      <c r="F38" s="2">
        <v>837097.91</v>
      </c>
      <c r="G38" s="29">
        <v>414338.30679207749</v>
      </c>
      <c r="H38" s="29">
        <v>43595.543740730893</v>
      </c>
      <c r="I38" s="30">
        <v>834959.46726859419</v>
      </c>
      <c r="J38" s="30">
        <v>1595065.21</v>
      </c>
      <c r="K38" s="34">
        <f t="shared" si="12"/>
        <v>121611.49398763978</v>
      </c>
      <c r="L38" s="34">
        <f t="shared" si="13"/>
        <v>13295.036248526492</v>
      </c>
      <c r="M38" s="34">
        <f t="shared" si="14"/>
        <v>330144.10189344949</v>
      </c>
      <c r="N38" s="34">
        <f t="shared" si="15"/>
        <v>757967.29999999993</v>
      </c>
    </row>
    <row r="39" spans="1:14" ht="15.6" x14ac:dyDescent="0.25">
      <c r="A39" s="32" t="s">
        <v>73</v>
      </c>
      <c r="B39" s="5" t="s">
        <v>5</v>
      </c>
      <c r="C39" s="1">
        <v>29942.03</v>
      </c>
      <c r="D39" s="1">
        <v>17842.41</v>
      </c>
      <c r="E39" s="2">
        <v>0</v>
      </c>
      <c r="F39" s="2">
        <v>0</v>
      </c>
      <c r="G39" s="29">
        <v>30045.09</v>
      </c>
      <c r="H39" s="29">
        <v>10877.9</v>
      </c>
      <c r="I39" s="30">
        <v>0</v>
      </c>
      <c r="J39" s="30">
        <v>0</v>
      </c>
      <c r="K39" s="34">
        <f t="shared" si="12"/>
        <v>103.06000000000131</v>
      </c>
      <c r="L39" s="34">
        <f t="shared" si="13"/>
        <v>-6964.51</v>
      </c>
      <c r="M39" s="34">
        <f t="shared" si="14"/>
        <v>0</v>
      </c>
      <c r="N39" s="34">
        <f t="shared" si="15"/>
        <v>0</v>
      </c>
    </row>
    <row r="40" spans="1:14" ht="15.6" x14ac:dyDescent="0.25">
      <c r="A40" s="5" t="s">
        <v>39</v>
      </c>
      <c r="B40" s="5" t="s">
        <v>5</v>
      </c>
      <c r="C40" s="1">
        <v>19363.97</v>
      </c>
      <c r="D40" s="1">
        <v>1253.06</v>
      </c>
      <c r="E40" s="2">
        <v>12192.71</v>
      </c>
      <c r="F40" s="2">
        <v>52996.639999999999</v>
      </c>
      <c r="G40" s="29">
        <v>19388.55</v>
      </c>
      <c r="H40" s="29">
        <v>1778.28</v>
      </c>
      <c r="I40" s="30">
        <v>12228.97</v>
      </c>
      <c r="J40" s="30">
        <v>53154.27</v>
      </c>
      <c r="K40" s="34">
        <f t="shared" si="12"/>
        <v>24.579999999998108</v>
      </c>
      <c r="L40" s="34">
        <f t="shared" si="13"/>
        <v>525.22</v>
      </c>
      <c r="M40" s="34">
        <f t="shared" si="14"/>
        <v>36.260000000000218</v>
      </c>
      <c r="N40" s="34">
        <f t="shared" si="15"/>
        <v>157.62999999999738</v>
      </c>
    </row>
    <row r="41" spans="1:14" ht="15.6" x14ac:dyDescent="0.25">
      <c r="A41" s="5" t="s">
        <v>44</v>
      </c>
      <c r="B41" s="5" t="s">
        <v>5</v>
      </c>
      <c r="C41" s="1">
        <v>17462.3</v>
      </c>
      <c r="D41" s="1">
        <v>0</v>
      </c>
      <c r="E41" s="2">
        <v>582.76</v>
      </c>
      <c r="F41" s="2">
        <v>0</v>
      </c>
      <c r="G41" s="29">
        <v>68824.19</v>
      </c>
      <c r="H41" s="29">
        <v>0</v>
      </c>
      <c r="I41" s="30">
        <v>584.49</v>
      </c>
      <c r="J41" s="30">
        <v>0</v>
      </c>
      <c r="K41" s="34">
        <f t="shared" si="12"/>
        <v>51361.89</v>
      </c>
      <c r="L41" s="34">
        <f t="shared" si="13"/>
        <v>0</v>
      </c>
      <c r="M41" s="34">
        <f t="shared" si="14"/>
        <v>1.7300000000000182</v>
      </c>
      <c r="N41" s="34">
        <f t="shared" si="15"/>
        <v>0</v>
      </c>
    </row>
    <row r="42" spans="1:14" ht="15.6" x14ac:dyDescent="0.25">
      <c r="A42" s="5" t="s">
        <v>36</v>
      </c>
      <c r="B42" s="5" t="s">
        <v>5</v>
      </c>
      <c r="C42" s="1">
        <v>0</v>
      </c>
      <c r="D42" s="1">
        <v>0</v>
      </c>
      <c r="E42" s="2">
        <v>0</v>
      </c>
      <c r="F42" s="2">
        <v>0</v>
      </c>
      <c r="G42" s="29">
        <v>0</v>
      </c>
      <c r="H42" s="29">
        <v>0</v>
      </c>
      <c r="I42" s="30">
        <v>0</v>
      </c>
      <c r="J42" s="30">
        <v>0</v>
      </c>
      <c r="K42" s="34">
        <f t="shared" si="12"/>
        <v>0</v>
      </c>
      <c r="L42" s="34">
        <f t="shared" si="13"/>
        <v>0</v>
      </c>
      <c r="M42" s="34">
        <f t="shared" si="14"/>
        <v>0</v>
      </c>
      <c r="N42" s="34">
        <f t="shared" si="15"/>
        <v>0</v>
      </c>
    </row>
    <row r="43" spans="1:14" ht="15.6" x14ac:dyDescent="0.25">
      <c r="A43" s="5" t="s">
        <v>66</v>
      </c>
      <c r="B43" s="5" t="s">
        <v>5</v>
      </c>
      <c r="C43" s="1">
        <v>0</v>
      </c>
      <c r="D43" s="1">
        <v>0</v>
      </c>
      <c r="E43" s="2">
        <v>0</v>
      </c>
      <c r="F43" s="2">
        <v>0</v>
      </c>
      <c r="G43" s="29">
        <v>0</v>
      </c>
      <c r="H43" s="29">
        <v>2305.5</v>
      </c>
      <c r="I43" s="30">
        <v>0</v>
      </c>
      <c r="J43" s="30">
        <v>0</v>
      </c>
      <c r="K43" s="34">
        <f t="shared" si="12"/>
        <v>0</v>
      </c>
      <c r="L43" s="34">
        <f t="shared" si="13"/>
        <v>2305.5</v>
      </c>
      <c r="M43" s="34">
        <f t="shared" si="14"/>
        <v>0</v>
      </c>
      <c r="N43" s="34">
        <f t="shared" si="15"/>
        <v>0</v>
      </c>
    </row>
    <row r="44" spans="1:14" ht="15.6" x14ac:dyDescent="0.25">
      <c r="A44" s="5" t="s">
        <v>32</v>
      </c>
      <c r="B44" s="5" t="s">
        <v>5</v>
      </c>
      <c r="C44" s="1">
        <v>32381.562009999998</v>
      </c>
      <c r="D44" s="1">
        <v>7967.03</v>
      </c>
      <c r="E44" s="2">
        <v>1106701</v>
      </c>
      <c r="F44" s="2">
        <v>389732.45</v>
      </c>
      <c r="G44" s="29">
        <v>1315491.5719999999</v>
      </c>
      <c r="H44" s="29">
        <v>103433.575</v>
      </c>
      <c r="I44" s="30">
        <v>1266927</v>
      </c>
      <c r="J44" s="30">
        <v>255444.06</v>
      </c>
      <c r="K44" s="34">
        <f t="shared" si="12"/>
        <v>1283110.0099899999</v>
      </c>
      <c r="L44" s="34">
        <f t="shared" si="13"/>
        <v>95466.544999999998</v>
      </c>
      <c r="M44" s="34">
        <f t="shared" si="14"/>
        <v>160226</v>
      </c>
      <c r="N44" s="34">
        <f t="shared" si="15"/>
        <v>-134288.39000000001</v>
      </c>
    </row>
    <row r="45" spans="1:14" ht="15.6" x14ac:dyDescent="0.25">
      <c r="A45" s="14" t="s">
        <v>58</v>
      </c>
      <c r="B45" s="5" t="s">
        <v>5</v>
      </c>
      <c r="C45" s="1">
        <v>0</v>
      </c>
      <c r="D45" s="1">
        <v>5594.8389999999999</v>
      </c>
      <c r="E45" s="2">
        <v>0</v>
      </c>
      <c r="F45" s="2">
        <v>0</v>
      </c>
      <c r="G45" s="29">
        <v>0</v>
      </c>
      <c r="H45" s="29">
        <v>5611.4780000000001</v>
      </c>
      <c r="I45" s="30">
        <v>0</v>
      </c>
      <c r="J45" s="30">
        <v>0</v>
      </c>
      <c r="K45" s="34">
        <f t="shared" si="12"/>
        <v>0</v>
      </c>
      <c r="L45" s="34">
        <f t="shared" si="13"/>
        <v>16.639000000000124</v>
      </c>
      <c r="M45" s="34">
        <f t="shared" si="14"/>
        <v>0</v>
      </c>
      <c r="N45" s="34">
        <f t="shared" si="15"/>
        <v>0</v>
      </c>
    </row>
    <row r="46" spans="1:14" ht="15.6" x14ac:dyDescent="0.25">
      <c r="A46" s="14" t="s">
        <v>59</v>
      </c>
      <c r="B46" s="5" t="s">
        <v>5</v>
      </c>
      <c r="C46" s="1">
        <v>3349.2</v>
      </c>
      <c r="D46" s="1">
        <v>-4033.5030000000002</v>
      </c>
      <c r="E46" s="2">
        <v>1022688.52</v>
      </c>
      <c r="F46" s="2">
        <v>955923.42</v>
      </c>
      <c r="G46" s="29">
        <v>10393.585999999999</v>
      </c>
      <c r="H46" s="29">
        <v>-4045.5</v>
      </c>
      <c r="I46" s="30">
        <v>1059086.69</v>
      </c>
      <c r="J46" s="30">
        <v>955923.42</v>
      </c>
      <c r="K46" s="34">
        <f t="shared" si="12"/>
        <v>7044.3859999999995</v>
      </c>
      <c r="L46" s="34">
        <f t="shared" si="13"/>
        <v>-11.996999999999844</v>
      </c>
      <c r="M46" s="34">
        <f t="shared" si="14"/>
        <v>36398.169999999925</v>
      </c>
      <c r="N46" s="34">
        <f t="shared" si="15"/>
        <v>0</v>
      </c>
    </row>
    <row r="47" spans="1:14" ht="16.2" thickBot="1" x14ac:dyDescent="0.3">
      <c r="A47" s="14" t="s">
        <v>35</v>
      </c>
      <c r="B47" s="14" t="s">
        <v>5</v>
      </c>
      <c r="C47" s="1">
        <v>0</v>
      </c>
      <c r="D47" s="1">
        <v>0</v>
      </c>
      <c r="E47" s="2">
        <v>0</v>
      </c>
      <c r="F47" s="2">
        <v>0</v>
      </c>
      <c r="G47" s="29">
        <v>0</v>
      </c>
      <c r="H47" s="29">
        <v>0</v>
      </c>
      <c r="I47" s="30">
        <v>0</v>
      </c>
      <c r="J47" s="30">
        <v>0</v>
      </c>
      <c r="K47" s="34">
        <f t="shared" si="12"/>
        <v>0</v>
      </c>
      <c r="L47" s="34">
        <f t="shared" si="13"/>
        <v>0</v>
      </c>
      <c r="M47" s="34">
        <f t="shared" si="14"/>
        <v>0</v>
      </c>
      <c r="N47" s="34">
        <f t="shared" si="15"/>
        <v>0</v>
      </c>
    </row>
    <row r="48" spans="1:14" ht="21.6" thickBot="1" x14ac:dyDescent="0.3">
      <c r="A48" s="16" t="s">
        <v>37</v>
      </c>
      <c r="B48" s="12"/>
      <c r="C48" s="4">
        <f>SUM(C15:C47)</f>
        <v>6415778.4403996253</v>
      </c>
      <c r="D48" s="4">
        <f t="shared" ref="D48:J48" si="16">SUM(D15:D47)</f>
        <v>730089.62033109809</v>
      </c>
      <c r="E48" s="4">
        <f t="shared" si="16"/>
        <v>10386506.685275171</v>
      </c>
      <c r="F48" s="4">
        <f t="shared" si="16"/>
        <v>11585388.02</v>
      </c>
      <c r="G48" s="4">
        <f t="shared" si="16"/>
        <v>7547648.7991919983</v>
      </c>
      <c r="H48" s="4">
        <f t="shared" si="16"/>
        <v>988633.95608646923</v>
      </c>
      <c r="I48" s="4">
        <f t="shared" si="16"/>
        <v>12654535.393149367</v>
      </c>
      <c r="J48" s="4">
        <f t="shared" si="16"/>
        <v>10251481.190000001</v>
      </c>
      <c r="K48" s="4">
        <f>SUM(K15:K47)</f>
        <v>1131870.358792372</v>
      </c>
      <c r="L48" s="4">
        <f>SUM(L15:L47)</f>
        <v>258544.33575537137</v>
      </c>
      <c r="M48" s="4">
        <f>SUM(M15:M47)</f>
        <v>2268028.7078741943</v>
      </c>
      <c r="N48" s="4">
        <f>SUM(N15:N47)</f>
        <v>-1333906.8299999987</v>
      </c>
    </row>
    <row r="49" spans="1:14" ht="15.6" x14ac:dyDescent="0.25">
      <c r="A49" s="13" t="s">
        <v>62</v>
      </c>
      <c r="B49" s="13" t="s">
        <v>5</v>
      </c>
      <c r="C49" s="1">
        <v>471194.69</v>
      </c>
      <c r="D49" s="1">
        <v>29133.71</v>
      </c>
      <c r="E49" s="2">
        <v>3570864.09</v>
      </c>
      <c r="F49" s="2">
        <v>4035286.1899999995</v>
      </c>
      <c r="G49" s="29">
        <v>488531.88</v>
      </c>
      <c r="H49" s="29">
        <v>29220.41</v>
      </c>
      <c r="I49" s="30">
        <v>3575860.19</v>
      </c>
      <c r="J49" s="30">
        <v>4048131.2699999996</v>
      </c>
      <c r="K49" s="34">
        <f t="shared" ref="K49:K69" si="17">G49-C49</f>
        <v>17337.190000000002</v>
      </c>
      <c r="L49" s="34">
        <f t="shared" ref="L49:L69" si="18">H49-D49</f>
        <v>86.700000000000728</v>
      </c>
      <c r="M49" s="34">
        <f t="shared" ref="M49:M69" si="19">I49-E49</f>
        <v>4996.1000000000931</v>
      </c>
      <c r="N49" s="34">
        <f t="shared" ref="N49:N69" si="20">J49-F49</f>
        <v>12845.080000000075</v>
      </c>
    </row>
    <row r="50" spans="1:14" ht="15.6" x14ac:dyDescent="0.25">
      <c r="A50" s="5" t="s">
        <v>51</v>
      </c>
      <c r="B50" s="5" t="s">
        <v>5</v>
      </c>
      <c r="C50" s="1">
        <v>337758.70693217567</v>
      </c>
      <c r="D50" s="1">
        <v>27736.969833197552</v>
      </c>
      <c r="E50" s="2">
        <v>4132463.1633651815</v>
      </c>
      <c r="F50" s="2">
        <v>4151926.9000000004</v>
      </c>
      <c r="G50" s="29">
        <v>501519.43998668785</v>
      </c>
      <c r="H50" s="29">
        <v>46681.636672859837</v>
      </c>
      <c r="I50" s="30">
        <v>5103128.9087241814</v>
      </c>
      <c r="J50" s="30">
        <v>4771453.93</v>
      </c>
      <c r="K50" s="34">
        <f t="shared" si="17"/>
        <v>163760.73305451218</v>
      </c>
      <c r="L50" s="34">
        <f t="shared" si="18"/>
        <v>18944.666839662284</v>
      </c>
      <c r="M50" s="34">
        <f t="shared" si="19"/>
        <v>970665.74535899982</v>
      </c>
      <c r="N50" s="34">
        <f t="shared" si="20"/>
        <v>619527.02999999933</v>
      </c>
    </row>
    <row r="51" spans="1:14" ht="15.6" x14ac:dyDescent="0.25">
      <c r="A51" s="5" t="s">
        <v>50</v>
      </c>
      <c r="B51" s="5" t="s">
        <v>57</v>
      </c>
      <c r="C51" s="1">
        <v>25403.37</v>
      </c>
      <c r="D51" s="1">
        <v>20522.29</v>
      </c>
      <c r="E51" s="2">
        <v>0</v>
      </c>
      <c r="F51" s="2">
        <v>140389.29</v>
      </c>
      <c r="G51" s="29">
        <v>23762.05</v>
      </c>
      <c r="H51" s="29">
        <v>22757.25</v>
      </c>
      <c r="I51" s="30">
        <v>0</v>
      </c>
      <c r="J51" s="30">
        <v>140806.85999999999</v>
      </c>
      <c r="K51" s="34">
        <f t="shared" si="17"/>
        <v>-1641.3199999999997</v>
      </c>
      <c r="L51" s="34">
        <f t="shared" si="18"/>
        <v>2234.9599999999991</v>
      </c>
      <c r="M51" s="34">
        <f t="shared" si="19"/>
        <v>0</v>
      </c>
      <c r="N51" s="34">
        <f t="shared" si="20"/>
        <v>417.56999999997788</v>
      </c>
    </row>
    <row r="52" spans="1:14" ht="15.6" x14ac:dyDescent="0.25">
      <c r="A52" s="15" t="s">
        <v>14</v>
      </c>
      <c r="B52" s="5" t="s">
        <v>57</v>
      </c>
      <c r="C52" s="1">
        <v>1719175.2290957137</v>
      </c>
      <c r="D52" s="1">
        <v>384962.8280000001</v>
      </c>
      <c r="E52" s="2">
        <v>4367398.33</v>
      </c>
      <c r="F52" s="2">
        <v>8179974.4100000001</v>
      </c>
      <c r="G52" s="29">
        <v>2062092.4200312339</v>
      </c>
      <c r="H52" s="29">
        <v>445195.05299999996</v>
      </c>
      <c r="I52" s="30">
        <v>5224929.6899999995</v>
      </c>
      <c r="J52" s="30">
        <v>8551547.6900000013</v>
      </c>
      <c r="K52" s="34">
        <f t="shared" si="17"/>
        <v>342917.19093552022</v>
      </c>
      <c r="L52" s="34">
        <f t="shared" si="18"/>
        <v>60232.22499999986</v>
      </c>
      <c r="M52" s="34">
        <f t="shared" si="19"/>
        <v>857531.3599999994</v>
      </c>
      <c r="N52" s="34">
        <f t="shared" si="20"/>
        <v>371573.28000000119</v>
      </c>
    </row>
    <row r="53" spans="1:14" ht="15.6" x14ac:dyDescent="0.25">
      <c r="A53" s="5" t="s">
        <v>67</v>
      </c>
      <c r="B53" s="5" t="s">
        <v>5</v>
      </c>
      <c r="C53" s="1">
        <v>0</v>
      </c>
      <c r="D53" s="1">
        <v>-1569.506516828294</v>
      </c>
      <c r="E53" s="2">
        <v>10532.36</v>
      </c>
      <c r="F53" s="2">
        <v>0</v>
      </c>
      <c r="G53" s="29">
        <v>1265.49</v>
      </c>
      <c r="H53" s="29">
        <v>-42.853283513977203</v>
      </c>
      <c r="I53" s="30">
        <v>27863.54</v>
      </c>
      <c r="J53" s="30">
        <v>0</v>
      </c>
      <c r="K53" s="34">
        <f t="shared" si="17"/>
        <v>1265.49</v>
      </c>
      <c r="L53" s="34">
        <f t="shared" si="18"/>
        <v>1526.6532333143168</v>
      </c>
      <c r="M53" s="34">
        <f t="shared" si="19"/>
        <v>17331.18</v>
      </c>
      <c r="N53" s="34">
        <f t="shared" si="20"/>
        <v>0</v>
      </c>
    </row>
    <row r="54" spans="1:14" ht="15.6" x14ac:dyDescent="0.25">
      <c r="A54" s="5" t="s">
        <v>68</v>
      </c>
      <c r="B54" s="5" t="s">
        <v>57</v>
      </c>
      <c r="C54" s="1">
        <v>178455.35940000002</v>
      </c>
      <c r="D54" s="1">
        <v>7373.1709999999994</v>
      </c>
      <c r="E54" s="2">
        <v>136950.97</v>
      </c>
      <c r="F54" s="2">
        <v>616216.09000000008</v>
      </c>
      <c r="G54" s="29">
        <v>180157.22100000002</v>
      </c>
      <c r="H54" s="29">
        <v>14237.655999999999</v>
      </c>
      <c r="I54" s="30">
        <v>145758.21000000002</v>
      </c>
      <c r="J54" s="30">
        <v>616583.69999999995</v>
      </c>
      <c r="K54" s="34">
        <f t="shared" si="17"/>
        <v>1701.8616000000038</v>
      </c>
      <c r="L54" s="34">
        <f t="shared" si="18"/>
        <v>6864.4849999999997</v>
      </c>
      <c r="M54" s="34">
        <f t="shared" si="19"/>
        <v>8807.2400000000198</v>
      </c>
      <c r="N54" s="34">
        <f t="shared" si="20"/>
        <v>367.60999999986961</v>
      </c>
    </row>
    <row r="55" spans="1:14" ht="15.6" x14ac:dyDescent="0.25">
      <c r="A55" s="5" t="s">
        <v>69</v>
      </c>
      <c r="B55" s="5" t="s">
        <v>57</v>
      </c>
      <c r="C55" s="1">
        <v>142420.15062000003</v>
      </c>
      <c r="D55" s="1">
        <v>-294.16349989090099</v>
      </c>
      <c r="E55" s="2">
        <v>44968.63</v>
      </c>
      <c r="F55" s="2">
        <v>1512770.67</v>
      </c>
      <c r="G55" s="29">
        <v>221736.30800000002</v>
      </c>
      <c r="H55" s="29">
        <v>-295.47004582151453</v>
      </c>
      <c r="I55" s="30">
        <v>77573.259999999995</v>
      </c>
      <c r="J55" s="30">
        <v>2185473.69</v>
      </c>
      <c r="K55" s="34">
        <f t="shared" si="17"/>
        <v>79316.15737999999</v>
      </c>
      <c r="L55" s="34">
        <f t="shared" si="18"/>
        <v>-1.3065459306135381</v>
      </c>
      <c r="M55" s="34">
        <f t="shared" si="19"/>
        <v>32604.629999999997</v>
      </c>
      <c r="N55" s="34">
        <f t="shared" si="20"/>
        <v>672703.02</v>
      </c>
    </row>
    <row r="56" spans="1:14" ht="15.6" x14ac:dyDescent="0.25">
      <c r="A56" s="5" t="s">
        <v>70</v>
      </c>
      <c r="B56" s="5" t="s">
        <v>57</v>
      </c>
      <c r="C56" s="1">
        <v>0</v>
      </c>
      <c r="D56" s="1">
        <v>75229.853999999992</v>
      </c>
      <c r="E56" s="2">
        <v>0</v>
      </c>
      <c r="F56" s="2">
        <v>0</v>
      </c>
      <c r="G56" s="29">
        <v>0</v>
      </c>
      <c r="H56" s="29">
        <v>77772.915999999997</v>
      </c>
      <c r="I56" s="30">
        <v>0</v>
      </c>
      <c r="J56" s="30">
        <v>0</v>
      </c>
      <c r="K56" s="34">
        <f t="shared" si="17"/>
        <v>0</v>
      </c>
      <c r="L56" s="34">
        <f t="shared" si="18"/>
        <v>2543.0620000000054</v>
      </c>
      <c r="M56" s="34">
        <f t="shared" si="19"/>
        <v>0</v>
      </c>
      <c r="N56" s="34">
        <f t="shared" si="20"/>
        <v>0</v>
      </c>
    </row>
    <row r="57" spans="1:14" ht="15.6" x14ac:dyDescent="0.25">
      <c r="A57" s="27" t="s">
        <v>72</v>
      </c>
      <c r="B57" s="5" t="s">
        <v>57</v>
      </c>
      <c r="C57" s="1">
        <v>114050.51759</v>
      </c>
      <c r="D57" s="1">
        <v>37296.549999999996</v>
      </c>
      <c r="E57" s="2">
        <v>6094</v>
      </c>
      <c r="F57" s="2">
        <v>103330.33</v>
      </c>
      <c r="G57" s="29">
        <v>130488.1085</v>
      </c>
      <c r="H57" s="29">
        <v>39357.477999999996</v>
      </c>
      <c r="I57" s="30">
        <v>25369.24</v>
      </c>
      <c r="J57" s="30">
        <v>118506.56</v>
      </c>
      <c r="K57" s="34">
        <f t="shared" si="17"/>
        <v>16437.590909999999</v>
      </c>
      <c r="L57" s="34">
        <f t="shared" si="18"/>
        <v>2060.9279999999999</v>
      </c>
      <c r="M57" s="34">
        <f t="shared" si="19"/>
        <v>19275.240000000002</v>
      </c>
      <c r="N57" s="34">
        <f t="shared" si="20"/>
        <v>15176.229999999996</v>
      </c>
    </row>
    <row r="58" spans="1:14" ht="15.6" x14ac:dyDescent="0.25">
      <c r="A58" s="32" t="s">
        <v>75</v>
      </c>
      <c r="B58" s="5" t="s">
        <v>57</v>
      </c>
      <c r="C58" s="1">
        <v>578985.75832632999</v>
      </c>
      <c r="D58" s="1">
        <v>61090.593406</v>
      </c>
      <c r="E58" s="2">
        <v>5121489.87</v>
      </c>
      <c r="F58" s="2">
        <v>3693094.53</v>
      </c>
      <c r="G58" s="29">
        <v>737380.15116818878</v>
      </c>
      <c r="H58" s="29">
        <v>73958.304499999998</v>
      </c>
      <c r="I58" s="30">
        <v>5743496</v>
      </c>
      <c r="J58" s="30">
        <v>7038733.2700000005</v>
      </c>
      <c r="K58" s="34">
        <f t="shared" si="17"/>
        <v>158394.39284185879</v>
      </c>
      <c r="L58" s="34">
        <f t="shared" si="18"/>
        <v>12867.711093999998</v>
      </c>
      <c r="M58" s="34">
        <f t="shared" si="19"/>
        <v>622006.12999999989</v>
      </c>
      <c r="N58" s="34">
        <f t="shared" si="20"/>
        <v>3345638.7400000007</v>
      </c>
    </row>
    <row r="59" spans="1:14" ht="15.6" x14ac:dyDescent="0.25">
      <c r="A59" s="5" t="s">
        <v>53</v>
      </c>
      <c r="B59" s="5" t="s">
        <v>57</v>
      </c>
      <c r="C59" s="1">
        <v>94091.69</v>
      </c>
      <c r="D59" s="1">
        <v>23157.643</v>
      </c>
      <c r="E59" s="2">
        <v>0</v>
      </c>
      <c r="F59" s="2">
        <v>0</v>
      </c>
      <c r="G59" s="29">
        <v>73312.320000000007</v>
      </c>
      <c r="H59" s="29">
        <v>25433.623</v>
      </c>
      <c r="I59" s="30">
        <v>0</v>
      </c>
      <c r="J59" s="30">
        <v>0</v>
      </c>
      <c r="K59" s="34">
        <f t="shared" si="17"/>
        <v>-20779.369999999995</v>
      </c>
      <c r="L59" s="34">
        <f t="shared" si="18"/>
        <v>2275.9799999999996</v>
      </c>
      <c r="M59" s="34">
        <f t="shared" si="19"/>
        <v>0</v>
      </c>
      <c r="N59" s="34">
        <f t="shared" si="20"/>
        <v>0</v>
      </c>
    </row>
    <row r="60" spans="1:14" ht="15.6" x14ac:dyDescent="0.25">
      <c r="A60" s="5" t="s">
        <v>49</v>
      </c>
      <c r="B60" s="5" t="s">
        <v>57</v>
      </c>
      <c r="C60" s="1">
        <v>12130</v>
      </c>
      <c r="D60" s="1">
        <v>867.42</v>
      </c>
      <c r="E60" s="2">
        <v>0</v>
      </c>
      <c r="F60" s="2">
        <v>0</v>
      </c>
      <c r="G60" s="29">
        <v>6018</v>
      </c>
      <c r="H60" s="29">
        <v>870</v>
      </c>
      <c r="I60" s="30">
        <v>0</v>
      </c>
      <c r="J60" s="30">
        <v>0</v>
      </c>
      <c r="K60" s="34">
        <f t="shared" si="17"/>
        <v>-6112</v>
      </c>
      <c r="L60" s="34">
        <f t="shared" si="18"/>
        <v>2.5800000000000409</v>
      </c>
      <c r="M60" s="34">
        <f t="shared" si="19"/>
        <v>0</v>
      </c>
      <c r="N60" s="34">
        <f t="shared" si="20"/>
        <v>0</v>
      </c>
    </row>
    <row r="61" spans="1:14" ht="15.6" x14ac:dyDescent="0.25">
      <c r="A61" s="5" t="s">
        <v>60</v>
      </c>
      <c r="B61" s="5" t="s">
        <v>57</v>
      </c>
      <c r="C61" s="1">
        <v>9990</v>
      </c>
      <c r="D61" s="1">
        <v>22361.585827814568</v>
      </c>
      <c r="E61" s="2">
        <v>9373.58</v>
      </c>
      <c r="F61" s="2">
        <v>0</v>
      </c>
      <c r="G61" s="29">
        <v>9990</v>
      </c>
      <c r="H61" s="29">
        <v>22432.74973032199</v>
      </c>
      <c r="I61" s="30">
        <v>9373.58</v>
      </c>
      <c r="J61" s="30">
        <v>0</v>
      </c>
      <c r="K61" s="34">
        <f t="shared" si="17"/>
        <v>0</v>
      </c>
      <c r="L61" s="34">
        <f t="shared" si="18"/>
        <v>71.163902507421881</v>
      </c>
      <c r="M61" s="34">
        <f t="shared" si="19"/>
        <v>0</v>
      </c>
      <c r="N61" s="34">
        <f t="shared" si="20"/>
        <v>0</v>
      </c>
    </row>
    <row r="62" spans="1:14" ht="15.6" x14ac:dyDescent="0.25">
      <c r="A62" s="5" t="s">
        <v>61</v>
      </c>
      <c r="B62" s="5" t="s">
        <v>57</v>
      </c>
      <c r="C62" s="1">
        <v>539750.06162269833</v>
      </c>
      <c r="D62" s="1">
        <v>31517.901581432918</v>
      </c>
      <c r="E62" s="2">
        <v>3456056.08</v>
      </c>
      <c r="F62" s="2">
        <v>1539604.63</v>
      </c>
      <c r="G62" s="29">
        <v>657680.42292373208</v>
      </c>
      <c r="H62" s="29">
        <v>24861.397612218865</v>
      </c>
      <c r="I62" s="30">
        <v>3336892.21</v>
      </c>
      <c r="J62" s="30">
        <v>2195353.19</v>
      </c>
      <c r="K62" s="34">
        <f t="shared" si="17"/>
        <v>117930.36130103376</v>
      </c>
      <c r="L62" s="34">
        <f t="shared" si="18"/>
        <v>-6656.5039692140526</v>
      </c>
      <c r="M62" s="34">
        <f t="shared" si="19"/>
        <v>-119163.87000000011</v>
      </c>
      <c r="N62" s="34">
        <f t="shared" si="20"/>
        <v>655748.56000000006</v>
      </c>
    </row>
    <row r="63" spans="1:14" ht="15.6" x14ac:dyDescent="0.25">
      <c r="A63" s="5" t="s">
        <v>63</v>
      </c>
      <c r="B63" s="5" t="s">
        <v>57</v>
      </c>
      <c r="C63" s="1">
        <v>0</v>
      </c>
      <c r="D63" s="1">
        <v>3267.65</v>
      </c>
      <c r="E63" s="2">
        <v>0</v>
      </c>
      <c r="F63" s="2">
        <v>-2038</v>
      </c>
      <c r="G63" s="29">
        <v>135960</v>
      </c>
      <c r="H63" s="29">
        <v>3272.9</v>
      </c>
      <c r="I63" s="30">
        <v>4501</v>
      </c>
      <c r="J63" s="30">
        <v>156597</v>
      </c>
      <c r="K63" s="34">
        <f t="shared" si="17"/>
        <v>135960</v>
      </c>
      <c r="L63" s="34">
        <f t="shared" si="18"/>
        <v>5.25</v>
      </c>
      <c r="M63" s="34">
        <f t="shared" si="19"/>
        <v>4501</v>
      </c>
      <c r="N63" s="34">
        <f t="shared" si="20"/>
        <v>158635</v>
      </c>
    </row>
    <row r="64" spans="1:14" ht="15.6" x14ac:dyDescent="0.25">
      <c r="A64" s="28" t="s">
        <v>76</v>
      </c>
      <c r="B64" s="5" t="s">
        <v>57</v>
      </c>
      <c r="C64" s="1">
        <v>1901458.5280148154</v>
      </c>
      <c r="D64" s="1">
        <v>198421.81710755598</v>
      </c>
      <c r="E64" s="2">
        <v>20001896.011716284</v>
      </c>
      <c r="F64" s="2">
        <v>16797376.100000001</v>
      </c>
      <c r="G64" s="29">
        <v>2202807.9326331457</v>
      </c>
      <c r="H64" s="29">
        <v>216033.19287659286</v>
      </c>
      <c r="I64" s="30">
        <v>22597765.312365673</v>
      </c>
      <c r="J64" s="30">
        <v>19101225.559999999</v>
      </c>
      <c r="K64" s="34">
        <f t="shared" si="17"/>
        <v>301349.4046183303</v>
      </c>
      <c r="L64" s="34">
        <f t="shared" si="18"/>
        <v>17611.37576903688</v>
      </c>
      <c r="M64" s="34">
        <f t="shared" si="19"/>
        <v>2595869.3006493896</v>
      </c>
      <c r="N64" s="34">
        <f t="shared" si="20"/>
        <v>2303849.4599999972</v>
      </c>
    </row>
    <row r="65" spans="1:14" ht="15.6" x14ac:dyDescent="0.25">
      <c r="A65" s="5" t="s">
        <v>54</v>
      </c>
      <c r="B65" s="5" t="s">
        <v>57</v>
      </c>
      <c r="C65" s="1">
        <v>7023.9139754816115</v>
      </c>
      <c r="D65" s="1">
        <v>24963.574239929949</v>
      </c>
      <c r="E65" s="2">
        <v>495701</v>
      </c>
      <c r="F65" s="2">
        <v>131441.16000000003</v>
      </c>
      <c r="G65" s="29">
        <v>7074.392520490368</v>
      </c>
      <c r="H65" s="29">
        <v>31558.838535201401</v>
      </c>
      <c r="I65" s="30">
        <v>604514</v>
      </c>
      <c r="J65" s="30">
        <v>178619.22999999998</v>
      </c>
      <c r="K65" s="34">
        <f t="shared" si="17"/>
        <v>50.478545008756555</v>
      </c>
      <c r="L65" s="34">
        <f t="shared" si="18"/>
        <v>6595.2642952714523</v>
      </c>
      <c r="M65" s="34">
        <f t="shared" si="19"/>
        <v>108813</v>
      </c>
      <c r="N65" s="34">
        <f t="shared" si="20"/>
        <v>47178.069999999949</v>
      </c>
    </row>
    <row r="66" spans="1:14" ht="17.25" customHeight="1" x14ac:dyDescent="0.25">
      <c r="A66" s="5" t="s">
        <v>12</v>
      </c>
      <c r="B66" s="5" t="s">
        <v>5</v>
      </c>
      <c r="C66" s="1">
        <v>439062.63631386042</v>
      </c>
      <c r="D66" s="1">
        <v>215792.45379526171</v>
      </c>
      <c r="E66" s="2">
        <v>2960340.5673905429</v>
      </c>
      <c r="F66" s="2">
        <v>1104728.0500000003</v>
      </c>
      <c r="G66" s="29">
        <v>489009.40553934476</v>
      </c>
      <c r="H66" s="29">
        <v>238894.25913885163</v>
      </c>
      <c r="I66" s="30">
        <v>3435204.0999525418</v>
      </c>
      <c r="J66" s="30">
        <v>839902.76000000024</v>
      </c>
      <c r="K66" s="34">
        <f t="shared" si="17"/>
        <v>49946.769225484342</v>
      </c>
      <c r="L66" s="34">
        <f t="shared" si="18"/>
        <v>23101.80534358992</v>
      </c>
      <c r="M66" s="34">
        <f t="shared" si="19"/>
        <v>474863.53256199881</v>
      </c>
      <c r="N66" s="34">
        <f t="shared" si="20"/>
        <v>-264825.29000000004</v>
      </c>
    </row>
    <row r="67" spans="1:14" ht="17.25" customHeight="1" x14ac:dyDescent="0.25">
      <c r="A67" s="33" t="s">
        <v>74</v>
      </c>
      <c r="B67" s="5" t="s">
        <v>5</v>
      </c>
      <c r="C67" s="1">
        <v>182410.61</v>
      </c>
      <c r="D67" s="1">
        <v>8491.5402379999996</v>
      </c>
      <c r="E67" s="2">
        <v>430407.29</v>
      </c>
      <c r="F67" s="2">
        <v>735052.54999999993</v>
      </c>
      <c r="G67" s="29">
        <v>136758.07</v>
      </c>
      <c r="H67" s="29">
        <v>7893.1615000000002</v>
      </c>
      <c r="I67" s="30">
        <v>515355.39</v>
      </c>
      <c r="J67" s="30">
        <v>-13484.839999999967</v>
      </c>
      <c r="K67" s="34">
        <f t="shared" si="17"/>
        <v>-45652.539999999979</v>
      </c>
      <c r="L67" s="34">
        <f t="shared" si="18"/>
        <v>-598.37873799999943</v>
      </c>
      <c r="M67" s="34">
        <f t="shared" si="19"/>
        <v>84948.100000000035</v>
      </c>
      <c r="N67" s="34">
        <f t="shared" si="20"/>
        <v>-748537.3899999999</v>
      </c>
    </row>
    <row r="68" spans="1:14" ht="17.25" customHeight="1" x14ac:dyDescent="0.25">
      <c r="A68" s="26" t="s">
        <v>71</v>
      </c>
      <c r="B68" s="5" t="s">
        <v>5</v>
      </c>
      <c r="C68" s="1">
        <v>120698.38178</v>
      </c>
      <c r="D68" s="1">
        <v>1656.24</v>
      </c>
      <c r="E68" s="2">
        <v>1489554.53</v>
      </c>
      <c r="F68" s="2">
        <v>378465.19</v>
      </c>
      <c r="G68" s="29">
        <v>119634.28049999999</v>
      </c>
      <c r="H68" s="29">
        <v>4022.72</v>
      </c>
      <c r="I68" s="30">
        <v>1496891.3800000001</v>
      </c>
      <c r="J68" s="30">
        <v>400297.28</v>
      </c>
      <c r="K68" s="34">
        <f t="shared" si="17"/>
        <v>-1064.1012800000026</v>
      </c>
      <c r="L68" s="34">
        <f t="shared" si="18"/>
        <v>2366.4799999999996</v>
      </c>
      <c r="M68" s="34">
        <f t="shared" si="19"/>
        <v>7336.8500000000931</v>
      </c>
      <c r="N68" s="34">
        <f t="shared" si="20"/>
        <v>21832.090000000026</v>
      </c>
    </row>
    <row r="69" spans="1:14" ht="16.2" thickBot="1" x14ac:dyDescent="0.3">
      <c r="A69" s="14" t="s">
        <v>13</v>
      </c>
      <c r="B69" s="14" t="s">
        <v>5</v>
      </c>
      <c r="C69" s="1">
        <v>750975.74596426194</v>
      </c>
      <c r="D69" s="1">
        <v>122769.48304648286</v>
      </c>
      <c r="E69" s="2">
        <v>6924348.9348207777</v>
      </c>
      <c r="F69" s="2">
        <v>2796838.6549999998</v>
      </c>
      <c r="G69" s="29">
        <v>824787.12935919873</v>
      </c>
      <c r="H69" s="29">
        <v>150515.79807578854</v>
      </c>
      <c r="I69" s="30">
        <v>8468202.71825362</v>
      </c>
      <c r="J69" s="30">
        <v>4199971.74</v>
      </c>
      <c r="K69" s="34">
        <f t="shared" si="17"/>
        <v>73811.383394936798</v>
      </c>
      <c r="L69" s="34">
        <f t="shared" si="18"/>
        <v>27746.315029305682</v>
      </c>
      <c r="M69" s="34">
        <f t="shared" si="19"/>
        <v>1543853.7834328422</v>
      </c>
      <c r="N69" s="34">
        <f t="shared" si="20"/>
        <v>1403133.0850000004</v>
      </c>
    </row>
    <row r="70" spans="1:14" ht="21.6" thickBot="1" x14ac:dyDescent="0.3">
      <c r="A70" s="11" t="s">
        <v>55</v>
      </c>
      <c r="B70" s="12"/>
      <c r="C70" s="4">
        <f>SUM(C49:C69)</f>
        <v>7625035.3496353375</v>
      </c>
      <c r="D70" s="4">
        <f t="shared" ref="D70:J70" si="21">SUM(D49:D69)</f>
        <v>1294749.6050589562</v>
      </c>
      <c r="E70" s="4">
        <f t="shared" si="21"/>
        <v>53158439.407292791</v>
      </c>
      <c r="F70" s="4">
        <f t="shared" si="21"/>
        <v>45914456.74499999</v>
      </c>
      <c r="G70" s="4">
        <f t="shared" si="21"/>
        <v>9009965.0221620239</v>
      </c>
      <c r="H70" s="4">
        <f t="shared" si="21"/>
        <v>1474631.0213124994</v>
      </c>
      <c r="I70" s="4">
        <f t="shared" si="21"/>
        <v>60392678.729296021</v>
      </c>
      <c r="J70" s="4">
        <f t="shared" si="21"/>
        <v>54529718.889999993</v>
      </c>
      <c r="K70" s="4">
        <f>SUM(K49:K69)</f>
        <v>1384929.6725266848</v>
      </c>
      <c r="L70" s="4">
        <f>SUM(L49:L69)</f>
        <v>179881.41625354317</v>
      </c>
      <c r="M70" s="4">
        <f>SUM(M49:M69)</f>
        <v>7234239.3220032295</v>
      </c>
      <c r="N70" s="4">
        <f>SUM(N49:N69)</f>
        <v>8615262.1449999996</v>
      </c>
    </row>
    <row r="71" spans="1:14" ht="21.6" thickBot="1" x14ac:dyDescent="0.3">
      <c r="A71" s="11" t="s">
        <v>56</v>
      </c>
      <c r="B71" s="12"/>
      <c r="C71" s="4">
        <f t="shared" ref="C71:J71" si="22">C7+C14+C48+C70</f>
        <v>22443186.727977481</v>
      </c>
      <c r="D71" s="4">
        <f t="shared" si="22"/>
        <v>3373312.7917391993</v>
      </c>
      <c r="E71" s="4">
        <f t="shared" si="22"/>
        <v>87532107.100933224</v>
      </c>
      <c r="F71" s="4">
        <f t="shared" si="22"/>
        <v>104737476.65499999</v>
      </c>
      <c r="G71" s="31">
        <f t="shared" si="22"/>
        <v>26473467.70814896</v>
      </c>
      <c r="H71" s="31">
        <f t="shared" si="22"/>
        <v>4113651.4443357005</v>
      </c>
      <c r="I71" s="31">
        <f t="shared" si="22"/>
        <v>100380026.16651057</v>
      </c>
      <c r="J71" s="31">
        <f t="shared" si="22"/>
        <v>119588315.19999999</v>
      </c>
      <c r="K71" s="4">
        <f>K70+K48+K14+K7</f>
        <v>4030280.9801714774</v>
      </c>
      <c r="L71" s="4">
        <f>L70+L48+L14+L7</f>
        <v>740338.65259650117</v>
      </c>
      <c r="M71" s="4">
        <f>M70+M48+M14+M7</f>
        <v>12847919.065577354</v>
      </c>
      <c r="N71" s="4">
        <f>N70+N48+N14+N7</f>
        <v>14850838.544999998</v>
      </c>
    </row>
    <row r="72" spans="1:14" x14ac:dyDescent="0.25">
      <c r="A72" s="17"/>
      <c r="B72" s="18"/>
      <c r="C72" s="19"/>
      <c r="F72" s="19"/>
      <c r="K72" s="6"/>
      <c r="M72" s="6"/>
    </row>
    <row r="73" spans="1:14" x14ac:dyDescent="0.25">
      <c r="A73" s="17"/>
      <c r="B73" s="18"/>
      <c r="C73" s="19"/>
      <c r="F73" s="19"/>
      <c r="K73" s="19"/>
      <c r="L73" s="19"/>
      <c r="M73" s="19"/>
      <c r="N73" s="19"/>
    </row>
    <row r="74" spans="1:14" x14ac:dyDescent="0.25">
      <c r="A74" s="17"/>
      <c r="B74" s="18"/>
      <c r="C74" s="19"/>
      <c r="F74" s="19"/>
      <c r="K74" s="6"/>
      <c r="N74" s="19"/>
    </row>
    <row r="75" spans="1:14" x14ac:dyDescent="0.25">
      <c r="A75" s="17"/>
      <c r="B75" s="18"/>
      <c r="C75" s="19"/>
      <c r="F75" s="19"/>
      <c r="K75" s="6"/>
      <c r="M75" s="6"/>
    </row>
    <row r="76" spans="1:14" x14ac:dyDescent="0.25">
      <c r="A76" s="17"/>
      <c r="B76" s="18"/>
      <c r="C76" s="19"/>
      <c r="F76" s="19"/>
      <c r="K76" s="6"/>
      <c r="M76" s="6"/>
    </row>
    <row r="77" spans="1:14" x14ac:dyDescent="0.25">
      <c r="A77" s="17"/>
      <c r="B77" s="18"/>
      <c r="C77" s="19"/>
      <c r="F77" s="19"/>
      <c r="K77" s="6"/>
      <c r="M77" s="6"/>
    </row>
    <row r="78" spans="1:14" x14ac:dyDescent="0.25">
      <c r="A78" s="17"/>
      <c r="B78" s="18"/>
      <c r="C78" s="19"/>
      <c r="F78" s="19"/>
      <c r="K78" s="6"/>
      <c r="M78" s="6"/>
    </row>
    <row r="79" spans="1:14" x14ac:dyDescent="0.25">
      <c r="A79" s="17"/>
      <c r="B79" s="18"/>
      <c r="C79" s="19"/>
      <c r="F79" s="19"/>
      <c r="K79" s="6"/>
      <c r="M79" s="6"/>
    </row>
    <row r="80" spans="1:14" x14ac:dyDescent="0.25">
      <c r="A80" s="17"/>
      <c r="B80" s="18"/>
      <c r="C80" s="19"/>
      <c r="F80" s="19"/>
      <c r="K80" s="6"/>
      <c r="M80" s="6"/>
    </row>
    <row r="81" spans="1:13" x14ac:dyDescent="0.25">
      <c r="A81" s="17"/>
      <c r="B81" s="18"/>
      <c r="C81" s="19"/>
      <c r="F81" s="19"/>
      <c r="K81" s="6"/>
      <c r="M81" s="6"/>
    </row>
    <row r="82" spans="1:13" x14ac:dyDescent="0.25">
      <c r="A82" s="17"/>
      <c r="B82" s="18"/>
      <c r="C82" s="19"/>
      <c r="F82" s="19"/>
      <c r="K82" s="6"/>
      <c r="M82" s="6"/>
    </row>
    <row r="83" spans="1:13" x14ac:dyDescent="0.25">
      <c r="A83" s="17"/>
      <c r="B83" s="18"/>
      <c r="C83" s="19"/>
      <c r="F83" s="19"/>
      <c r="K83" s="6"/>
      <c r="M83" s="6"/>
    </row>
    <row r="84" spans="1:13" x14ac:dyDescent="0.25">
      <c r="A84" s="17"/>
      <c r="B84" s="18"/>
      <c r="C84" s="19"/>
      <c r="F84" s="19"/>
      <c r="K84" s="6"/>
      <c r="M84" s="6"/>
    </row>
    <row r="85" spans="1:13" x14ac:dyDescent="0.25">
      <c r="A85" s="17"/>
      <c r="B85" s="18"/>
      <c r="C85" s="19"/>
      <c r="F85" s="19"/>
      <c r="K85" s="6"/>
      <c r="M85" s="6"/>
    </row>
    <row r="86" spans="1:13" x14ac:dyDescent="0.25">
      <c r="A86" s="17"/>
      <c r="B86" s="18"/>
      <c r="C86" s="19"/>
      <c r="F86" s="19"/>
      <c r="K86" s="6"/>
      <c r="M86" s="6"/>
    </row>
    <row r="87" spans="1:13" x14ac:dyDescent="0.25">
      <c r="A87" s="17"/>
      <c r="B87" s="18"/>
      <c r="C87" s="19"/>
      <c r="F87" s="19"/>
      <c r="K87" s="6"/>
      <c r="M87" s="6"/>
    </row>
    <row r="88" spans="1:13" x14ac:dyDescent="0.25">
      <c r="A88" s="17"/>
      <c r="B88" s="18"/>
      <c r="C88" s="19"/>
      <c r="F88" s="19"/>
      <c r="K88" s="6"/>
      <c r="M88" s="6"/>
    </row>
    <row r="89" spans="1:13" x14ac:dyDescent="0.25">
      <c r="A89" s="17"/>
      <c r="B89" s="18"/>
      <c r="C89" s="19"/>
      <c r="F89" s="19"/>
      <c r="K89" s="6"/>
      <c r="M89" s="6"/>
    </row>
    <row r="90" spans="1:13" x14ac:dyDescent="0.25">
      <c r="A90" s="17"/>
      <c r="B90" s="18"/>
      <c r="C90" s="19"/>
      <c r="F90" s="19"/>
      <c r="K90" s="6"/>
      <c r="M90" s="6"/>
    </row>
    <row r="91" spans="1:13" x14ac:dyDescent="0.25">
      <c r="A91" s="17"/>
      <c r="B91" s="18"/>
      <c r="C91" s="19"/>
      <c r="F91" s="19"/>
      <c r="K91" s="6"/>
      <c r="M91" s="6"/>
    </row>
    <row r="92" spans="1:13" x14ac:dyDescent="0.25">
      <c r="A92" s="17"/>
      <c r="B92" s="18"/>
      <c r="C92" s="19"/>
      <c r="F92" s="19"/>
      <c r="K92" s="6"/>
      <c r="M92" s="6"/>
    </row>
    <row r="93" spans="1:13" x14ac:dyDescent="0.25">
      <c r="A93" s="17"/>
      <c r="B93" s="18"/>
      <c r="C93" s="19"/>
      <c r="F93" s="19"/>
      <c r="K93" s="6"/>
      <c r="M93" s="6"/>
    </row>
    <row r="94" spans="1:13" x14ac:dyDescent="0.25">
      <c r="A94" s="17"/>
      <c r="B94" s="18"/>
      <c r="C94" s="19"/>
      <c r="F94" s="19"/>
      <c r="K94" s="6"/>
      <c r="M94" s="6"/>
    </row>
    <row r="95" spans="1:13" x14ac:dyDescent="0.25">
      <c r="A95" s="17"/>
      <c r="B95" s="18"/>
      <c r="C95" s="19"/>
      <c r="F95" s="19"/>
      <c r="K95" s="6"/>
      <c r="M95" s="6"/>
    </row>
    <row r="96" spans="1:13" x14ac:dyDescent="0.25">
      <c r="A96" s="17"/>
      <c r="B96" s="18"/>
      <c r="C96" s="19"/>
      <c r="F96" s="19"/>
      <c r="K96" s="6"/>
      <c r="M96" s="6"/>
    </row>
    <row r="97" spans="1:13" x14ac:dyDescent="0.25">
      <c r="A97" s="17"/>
      <c r="B97" s="18"/>
      <c r="C97" s="19"/>
      <c r="F97" s="19"/>
      <c r="K97" s="6"/>
      <c r="M97" s="6"/>
    </row>
    <row r="98" spans="1:13" x14ac:dyDescent="0.25">
      <c r="A98" s="17"/>
      <c r="B98" s="18"/>
      <c r="C98" s="19"/>
      <c r="F98" s="19"/>
      <c r="K98" s="6"/>
      <c r="M98" s="6"/>
    </row>
    <row r="99" spans="1:13" x14ac:dyDescent="0.25">
      <c r="A99" s="17"/>
      <c r="B99" s="18"/>
      <c r="C99" s="19"/>
      <c r="F99" s="19"/>
      <c r="K99" s="6"/>
      <c r="M99" s="6"/>
    </row>
    <row r="100" spans="1:13" x14ac:dyDescent="0.25">
      <c r="A100" s="17"/>
      <c r="B100" s="18"/>
      <c r="C100" s="19"/>
      <c r="F100" s="19"/>
      <c r="K100" s="6"/>
      <c r="M100" s="6"/>
    </row>
    <row r="101" spans="1:13" x14ac:dyDescent="0.25">
      <c r="A101" s="17"/>
      <c r="B101" s="18"/>
      <c r="C101" s="19"/>
      <c r="F101" s="19"/>
      <c r="K101" s="6"/>
      <c r="M101" s="6"/>
    </row>
    <row r="102" spans="1:13" x14ac:dyDescent="0.25">
      <c r="A102" s="17"/>
      <c r="B102" s="18"/>
      <c r="C102" s="19"/>
      <c r="F102" s="19"/>
      <c r="K102" s="6"/>
      <c r="M102" s="6"/>
    </row>
    <row r="103" spans="1:13" x14ac:dyDescent="0.25">
      <c r="A103" s="17"/>
      <c r="B103" s="18"/>
      <c r="C103" s="19"/>
      <c r="F103" s="19"/>
      <c r="K103" s="6"/>
      <c r="M103" s="6"/>
    </row>
    <row r="104" spans="1:13" x14ac:dyDescent="0.25">
      <c r="A104" s="17"/>
      <c r="B104" s="18"/>
      <c r="C104" s="19"/>
      <c r="F104" s="19"/>
      <c r="K104" s="6"/>
      <c r="M104" s="6"/>
    </row>
    <row r="105" spans="1:13" x14ac:dyDescent="0.25">
      <c r="A105" s="17"/>
      <c r="B105" s="18"/>
      <c r="C105" s="19"/>
      <c r="F105" s="19"/>
      <c r="K105" s="6"/>
      <c r="M105" s="6"/>
    </row>
    <row r="106" spans="1:13" x14ac:dyDescent="0.25">
      <c r="A106" s="17"/>
      <c r="B106" s="18"/>
      <c r="C106" s="19"/>
      <c r="F106" s="19"/>
      <c r="K106" s="6"/>
      <c r="M106" s="6"/>
    </row>
    <row r="107" spans="1:13" x14ac:dyDescent="0.25">
      <c r="A107" s="17"/>
      <c r="B107" s="18"/>
      <c r="C107" s="19"/>
      <c r="F107" s="19"/>
      <c r="K107" s="6"/>
      <c r="M107" s="6"/>
    </row>
    <row r="108" spans="1:13" x14ac:dyDescent="0.25">
      <c r="A108" s="17"/>
      <c r="B108" s="18"/>
      <c r="C108" s="19"/>
      <c r="F108" s="19"/>
      <c r="K108" s="6"/>
      <c r="M108" s="6"/>
    </row>
    <row r="109" spans="1:13" x14ac:dyDescent="0.25">
      <c r="A109" s="17"/>
      <c r="B109" s="18"/>
      <c r="C109" s="19"/>
      <c r="F109" s="19"/>
      <c r="K109" s="6"/>
      <c r="M109" s="6"/>
    </row>
    <row r="110" spans="1:13" x14ac:dyDescent="0.25">
      <c r="A110" s="17"/>
      <c r="B110" s="18"/>
      <c r="C110" s="19"/>
      <c r="F110" s="19"/>
      <c r="K110" s="6"/>
      <c r="M110" s="6"/>
    </row>
    <row r="111" spans="1:13" x14ac:dyDescent="0.25">
      <c r="A111" s="17"/>
      <c r="B111" s="18"/>
      <c r="C111" s="19"/>
      <c r="F111" s="19"/>
      <c r="K111" s="6"/>
      <c r="M111" s="6"/>
    </row>
    <row r="112" spans="1:13" x14ac:dyDescent="0.25">
      <c r="A112" s="17"/>
      <c r="B112" s="18"/>
      <c r="C112" s="19"/>
      <c r="F112" s="19"/>
      <c r="K112" s="6"/>
      <c r="M112" s="6"/>
    </row>
    <row r="113" spans="1:13" x14ac:dyDescent="0.25">
      <c r="A113" s="17"/>
      <c r="B113" s="18"/>
      <c r="C113" s="19"/>
      <c r="F113" s="19"/>
      <c r="K113" s="6"/>
      <c r="M113" s="6"/>
    </row>
    <row r="114" spans="1:13" x14ac:dyDescent="0.25">
      <c r="A114" s="17"/>
      <c r="B114" s="18"/>
      <c r="C114" s="19"/>
      <c r="F114" s="19"/>
      <c r="K114" s="6"/>
      <c r="M114" s="6"/>
    </row>
    <row r="115" spans="1:13" x14ac:dyDescent="0.25">
      <c r="A115" s="17"/>
      <c r="B115" s="18"/>
      <c r="C115" s="19"/>
      <c r="F115" s="19"/>
      <c r="K115" s="6"/>
      <c r="M115" s="6"/>
    </row>
    <row r="116" spans="1:13" x14ac:dyDescent="0.25">
      <c r="A116" s="17"/>
      <c r="B116" s="18"/>
      <c r="C116" s="19"/>
      <c r="F116" s="19"/>
      <c r="K116" s="6"/>
      <c r="M116" s="6"/>
    </row>
    <row r="117" spans="1:13" x14ac:dyDescent="0.25">
      <c r="A117" s="17"/>
      <c r="B117" s="18"/>
      <c r="C117" s="19"/>
      <c r="F117" s="19"/>
      <c r="K117" s="6"/>
      <c r="M117" s="6"/>
    </row>
    <row r="118" spans="1:13" x14ac:dyDescent="0.25">
      <c r="A118" s="17"/>
      <c r="B118" s="18"/>
      <c r="C118" s="19"/>
      <c r="F118" s="19"/>
      <c r="K118" s="6"/>
      <c r="M118" s="6"/>
    </row>
    <row r="119" spans="1:13" x14ac:dyDescent="0.25">
      <c r="A119" s="17"/>
      <c r="B119" s="18"/>
      <c r="C119" s="19"/>
      <c r="F119" s="19"/>
      <c r="K119" s="6"/>
      <c r="M119" s="6"/>
    </row>
    <row r="120" spans="1:13" x14ac:dyDescent="0.25">
      <c r="A120" s="17"/>
      <c r="B120" s="18"/>
      <c r="C120" s="19"/>
      <c r="F120" s="19"/>
      <c r="K120" s="6"/>
      <c r="M120" s="6"/>
    </row>
    <row r="121" spans="1:13" x14ac:dyDescent="0.25">
      <c r="A121" s="17"/>
      <c r="B121" s="18"/>
      <c r="C121" s="19"/>
      <c r="F121" s="19"/>
      <c r="K121" s="6"/>
      <c r="M121" s="6"/>
    </row>
    <row r="122" spans="1:13" x14ac:dyDescent="0.25">
      <c r="A122" s="17"/>
      <c r="B122" s="18"/>
      <c r="C122" s="19"/>
      <c r="F122" s="19"/>
      <c r="K122" s="6"/>
      <c r="M122" s="6"/>
    </row>
    <row r="123" spans="1:13" x14ac:dyDescent="0.25">
      <c r="A123" s="17"/>
      <c r="B123" s="18"/>
      <c r="C123" s="19"/>
      <c r="F123" s="19"/>
      <c r="K123" s="6"/>
      <c r="M123" s="6"/>
    </row>
    <row r="124" spans="1:13" x14ac:dyDescent="0.25">
      <c r="A124" s="17"/>
      <c r="B124" s="18"/>
      <c r="C124" s="19"/>
      <c r="F124" s="19"/>
      <c r="K124" s="6"/>
      <c r="M124" s="6"/>
    </row>
    <row r="125" spans="1:13" x14ac:dyDescent="0.25">
      <c r="A125" s="17"/>
      <c r="B125" s="18"/>
      <c r="C125" s="19"/>
      <c r="F125" s="19"/>
      <c r="K125" s="6"/>
      <c r="M125" s="6"/>
    </row>
    <row r="126" spans="1:13" x14ac:dyDescent="0.25">
      <c r="A126" s="17"/>
      <c r="B126" s="18"/>
      <c r="C126" s="19"/>
      <c r="F126" s="19"/>
      <c r="K126" s="6"/>
      <c r="M126" s="6"/>
    </row>
    <row r="127" spans="1:13" x14ac:dyDescent="0.25">
      <c r="A127" s="17"/>
      <c r="B127" s="18"/>
      <c r="C127" s="19"/>
      <c r="F127" s="19"/>
      <c r="K127" s="6"/>
      <c r="M127" s="6"/>
    </row>
    <row r="128" spans="1:13" x14ac:dyDescent="0.25">
      <c r="A128" s="17"/>
      <c r="B128" s="18"/>
      <c r="C128" s="19"/>
      <c r="F128" s="19"/>
      <c r="K128" s="6"/>
      <c r="M128" s="6"/>
    </row>
    <row r="129" spans="1:13" x14ac:dyDescent="0.25">
      <c r="A129" s="17"/>
      <c r="B129" s="18"/>
      <c r="C129" s="19"/>
      <c r="F129" s="19"/>
      <c r="K129" s="6"/>
      <c r="M129" s="6"/>
    </row>
    <row r="130" spans="1:13" x14ac:dyDescent="0.25">
      <c r="A130" s="17"/>
      <c r="B130" s="18"/>
      <c r="C130" s="19"/>
      <c r="F130" s="19"/>
      <c r="K130" s="6"/>
      <c r="M130" s="6"/>
    </row>
    <row r="131" spans="1:13" x14ac:dyDescent="0.25">
      <c r="A131" s="17"/>
      <c r="B131" s="18"/>
      <c r="C131" s="19"/>
      <c r="F131" s="19"/>
      <c r="K131" s="6"/>
      <c r="M131" s="6"/>
    </row>
    <row r="132" spans="1:13" x14ac:dyDescent="0.25">
      <c r="A132" s="17"/>
      <c r="B132" s="18"/>
      <c r="C132" s="19"/>
      <c r="F132" s="19"/>
      <c r="K132" s="6"/>
      <c r="M132" s="6"/>
    </row>
    <row r="133" spans="1:13" x14ac:dyDescent="0.25">
      <c r="A133" s="17"/>
      <c r="B133" s="18"/>
      <c r="C133" s="19"/>
      <c r="F133" s="19"/>
      <c r="K133" s="6"/>
      <c r="M133" s="6"/>
    </row>
    <row r="134" spans="1:13" x14ac:dyDescent="0.25">
      <c r="A134" s="17"/>
      <c r="B134" s="18"/>
      <c r="C134" s="19"/>
      <c r="F134" s="19"/>
      <c r="K134" s="6"/>
      <c r="M134" s="6"/>
    </row>
    <row r="135" spans="1:13" x14ac:dyDescent="0.25">
      <c r="A135" s="17"/>
      <c r="B135" s="18"/>
      <c r="C135" s="19"/>
      <c r="F135" s="19"/>
      <c r="K135" s="6"/>
      <c r="M135" s="6"/>
    </row>
    <row r="136" spans="1:13" x14ac:dyDescent="0.25">
      <c r="A136" s="17"/>
      <c r="B136" s="18"/>
      <c r="C136" s="19"/>
      <c r="F136" s="19"/>
      <c r="K136" s="6"/>
      <c r="M136" s="6"/>
    </row>
    <row r="137" spans="1:13" x14ac:dyDescent="0.25">
      <c r="A137" s="17"/>
      <c r="B137" s="18"/>
      <c r="C137" s="19"/>
      <c r="F137" s="19"/>
      <c r="K137" s="6"/>
      <c r="M137" s="6"/>
    </row>
    <row r="138" spans="1:13" x14ac:dyDescent="0.25">
      <c r="A138" s="17"/>
      <c r="B138" s="18"/>
      <c r="C138" s="19"/>
      <c r="F138" s="19"/>
      <c r="K138" s="6"/>
      <c r="M138" s="6"/>
    </row>
    <row r="139" spans="1:13" x14ac:dyDescent="0.25">
      <c r="A139" s="17"/>
      <c r="B139" s="18"/>
      <c r="C139" s="19"/>
      <c r="F139" s="19"/>
      <c r="K139" s="6"/>
      <c r="M139" s="6"/>
    </row>
    <row r="140" spans="1:13" x14ac:dyDescent="0.25">
      <c r="A140" s="17"/>
      <c r="B140" s="18"/>
      <c r="C140" s="19"/>
      <c r="F140" s="19"/>
      <c r="K140" s="6"/>
      <c r="M140" s="6"/>
    </row>
    <row r="141" spans="1:13" x14ac:dyDescent="0.25">
      <c r="A141" s="17"/>
      <c r="B141" s="18"/>
      <c r="C141" s="19"/>
      <c r="F141" s="19"/>
      <c r="K141" s="6"/>
      <c r="M141" s="6"/>
    </row>
    <row r="142" spans="1:13" x14ac:dyDescent="0.25">
      <c r="A142" s="17"/>
      <c r="B142" s="18"/>
      <c r="C142" s="19"/>
      <c r="F142" s="19"/>
      <c r="K142" s="6"/>
      <c r="M142" s="6"/>
    </row>
    <row r="143" spans="1:13" x14ac:dyDescent="0.25">
      <c r="A143" s="17"/>
      <c r="B143" s="18"/>
      <c r="C143" s="19"/>
      <c r="F143" s="19"/>
      <c r="K143" s="6"/>
      <c r="M143" s="6"/>
    </row>
    <row r="144" spans="1:13" x14ac:dyDescent="0.25">
      <c r="A144" s="17"/>
      <c r="B144" s="18"/>
      <c r="C144" s="19"/>
      <c r="F144" s="19"/>
      <c r="K144" s="6"/>
      <c r="M144" s="6"/>
    </row>
    <row r="145" spans="1:13" x14ac:dyDescent="0.25">
      <c r="A145" s="17"/>
      <c r="B145" s="18"/>
      <c r="C145" s="19"/>
      <c r="F145" s="19"/>
      <c r="K145" s="6"/>
      <c r="M145" s="6"/>
    </row>
    <row r="146" spans="1:13" x14ac:dyDescent="0.25">
      <c r="A146" s="17"/>
      <c r="B146" s="18"/>
      <c r="C146" s="19"/>
      <c r="F146" s="19"/>
      <c r="K146" s="6"/>
      <c r="M146" s="6"/>
    </row>
    <row r="147" spans="1:13" x14ac:dyDescent="0.25">
      <c r="A147" s="17"/>
      <c r="B147" s="18"/>
      <c r="C147" s="19"/>
      <c r="F147" s="19"/>
      <c r="K147" s="6"/>
      <c r="M147" s="6"/>
    </row>
    <row r="148" spans="1:13" x14ac:dyDescent="0.25">
      <c r="A148" s="17"/>
      <c r="B148" s="18"/>
      <c r="C148" s="19"/>
      <c r="F148" s="19"/>
      <c r="K148" s="6"/>
      <c r="M148" s="6"/>
    </row>
    <row r="149" spans="1:13" x14ac:dyDescent="0.25">
      <c r="A149" s="17"/>
      <c r="B149" s="18"/>
      <c r="C149" s="19"/>
      <c r="F149" s="19"/>
      <c r="K149" s="6"/>
      <c r="M149" s="6"/>
    </row>
    <row r="150" spans="1:13" x14ac:dyDescent="0.25">
      <c r="A150" s="17"/>
      <c r="B150" s="18"/>
      <c r="C150" s="19"/>
      <c r="F150" s="19"/>
      <c r="K150" s="6"/>
      <c r="M150" s="6"/>
    </row>
    <row r="151" spans="1:13" x14ac:dyDescent="0.25">
      <c r="A151" s="17"/>
      <c r="B151" s="18"/>
      <c r="C151" s="19"/>
      <c r="F151" s="19"/>
      <c r="K151" s="6"/>
      <c r="M151" s="6"/>
    </row>
    <row r="152" spans="1:13" x14ac:dyDescent="0.25">
      <c r="A152" s="17"/>
      <c r="B152" s="18"/>
      <c r="C152" s="19"/>
      <c r="F152" s="19"/>
      <c r="K152" s="6"/>
      <c r="M152" s="6"/>
    </row>
    <row r="153" spans="1:13" x14ac:dyDescent="0.25">
      <c r="A153" s="17"/>
      <c r="B153" s="18"/>
      <c r="C153" s="19"/>
      <c r="F153" s="19"/>
      <c r="K153" s="6"/>
      <c r="M153" s="6"/>
    </row>
    <row r="154" spans="1:13" x14ac:dyDescent="0.25">
      <c r="A154" s="17"/>
      <c r="B154" s="18"/>
      <c r="C154" s="19"/>
      <c r="F154" s="19"/>
      <c r="K154" s="6"/>
      <c r="M154" s="6"/>
    </row>
    <row r="155" spans="1:13" x14ac:dyDescent="0.25">
      <c r="A155" s="17"/>
      <c r="B155" s="18"/>
      <c r="C155" s="19"/>
      <c r="F155" s="19"/>
      <c r="K155" s="6"/>
      <c r="M155" s="6"/>
    </row>
    <row r="156" spans="1:13" x14ac:dyDescent="0.25">
      <c r="A156" s="17"/>
      <c r="B156" s="18"/>
      <c r="C156" s="19"/>
      <c r="F156" s="19"/>
      <c r="K156" s="6"/>
      <c r="M156" s="6"/>
    </row>
    <row r="157" spans="1:13" x14ac:dyDescent="0.25">
      <c r="A157" s="17"/>
      <c r="B157" s="18"/>
      <c r="C157" s="19"/>
      <c r="F157" s="19"/>
      <c r="K157" s="6"/>
      <c r="M157" s="6"/>
    </row>
    <row r="158" spans="1:13" x14ac:dyDescent="0.25">
      <c r="A158" s="17"/>
      <c r="B158" s="18"/>
      <c r="C158" s="19"/>
      <c r="F158" s="19"/>
      <c r="K158" s="6"/>
      <c r="M158" s="6"/>
    </row>
    <row r="159" spans="1:13" x14ac:dyDescent="0.25">
      <c r="A159" s="17"/>
      <c r="B159" s="18"/>
      <c r="C159" s="19"/>
      <c r="F159" s="19"/>
      <c r="K159" s="6"/>
      <c r="M159" s="6"/>
    </row>
    <row r="160" spans="1:13" x14ac:dyDescent="0.25">
      <c r="A160" s="17"/>
      <c r="B160" s="18"/>
      <c r="C160" s="19"/>
      <c r="F160" s="19"/>
      <c r="K160" s="6"/>
      <c r="M160" s="6"/>
    </row>
    <row r="161" spans="1:13" x14ac:dyDescent="0.25">
      <c r="A161" s="17"/>
      <c r="B161" s="18"/>
      <c r="C161" s="19"/>
      <c r="F161" s="19"/>
      <c r="K161" s="6"/>
      <c r="M161" s="6"/>
    </row>
    <row r="162" spans="1:13" x14ac:dyDescent="0.25">
      <c r="A162" s="17"/>
      <c r="B162" s="18"/>
      <c r="C162" s="19"/>
      <c r="F162" s="19"/>
      <c r="K162" s="6"/>
      <c r="M162" s="6"/>
    </row>
    <row r="163" spans="1:13" x14ac:dyDescent="0.25">
      <c r="A163" s="17"/>
      <c r="B163" s="18"/>
      <c r="C163" s="19"/>
      <c r="F163" s="19"/>
      <c r="K163" s="6"/>
      <c r="M163" s="6"/>
    </row>
    <row r="164" spans="1:13" x14ac:dyDescent="0.25">
      <c r="A164" s="17"/>
      <c r="B164" s="18"/>
      <c r="C164" s="19"/>
      <c r="F164" s="19"/>
      <c r="K164" s="6"/>
      <c r="M164" s="6"/>
    </row>
    <row r="165" spans="1:13" x14ac:dyDescent="0.25">
      <c r="A165" s="17"/>
      <c r="B165" s="18"/>
      <c r="C165" s="19"/>
      <c r="F165" s="19"/>
      <c r="K165" s="6"/>
      <c r="M165" s="6"/>
    </row>
    <row r="166" spans="1:13" x14ac:dyDescent="0.25">
      <c r="A166" s="17"/>
      <c r="B166" s="18"/>
      <c r="C166" s="19"/>
      <c r="F166" s="19"/>
      <c r="K166" s="6"/>
      <c r="M166" s="6"/>
    </row>
    <row r="167" spans="1:13" x14ac:dyDescent="0.25">
      <c r="A167" s="17"/>
      <c r="B167" s="18"/>
      <c r="C167" s="19"/>
      <c r="F167" s="19"/>
      <c r="K167" s="6"/>
      <c r="M167" s="6"/>
    </row>
    <row r="168" spans="1:13" x14ac:dyDescent="0.25">
      <c r="A168" s="17"/>
      <c r="B168" s="18"/>
      <c r="C168" s="19"/>
      <c r="F168" s="19"/>
      <c r="K168" s="6"/>
      <c r="M168" s="6"/>
    </row>
    <row r="169" spans="1:13" x14ac:dyDescent="0.25">
      <c r="A169" s="17"/>
      <c r="B169" s="18"/>
      <c r="C169" s="19"/>
      <c r="F169" s="19"/>
      <c r="K169" s="6"/>
      <c r="M169" s="6"/>
    </row>
    <row r="170" spans="1:13" x14ac:dyDescent="0.25">
      <c r="A170" s="17"/>
      <c r="B170" s="18"/>
      <c r="C170" s="19"/>
      <c r="F170" s="19"/>
      <c r="K170" s="6"/>
      <c r="M170" s="6"/>
    </row>
    <row r="171" spans="1:13" x14ac:dyDescent="0.25">
      <c r="A171" s="17"/>
      <c r="B171" s="18"/>
      <c r="C171" s="19"/>
      <c r="F171" s="19"/>
      <c r="K171" s="6"/>
      <c r="M171" s="6"/>
    </row>
    <row r="172" spans="1:13" x14ac:dyDescent="0.25">
      <c r="A172" s="17"/>
      <c r="B172" s="18"/>
      <c r="C172" s="19"/>
      <c r="F172" s="19"/>
      <c r="K172" s="6"/>
      <c r="M172" s="6"/>
    </row>
    <row r="173" spans="1:13" x14ac:dyDescent="0.25">
      <c r="A173" s="17"/>
      <c r="B173" s="18"/>
      <c r="C173" s="19"/>
      <c r="F173" s="19"/>
      <c r="K173" s="6"/>
      <c r="M173" s="6"/>
    </row>
    <row r="174" spans="1:13" x14ac:dyDescent="0.25">
      <c r="A174" s="17"/>
      <c r="B174" s="18"/>
      <c r="C174" s="19"/>
      <c r="F174" s="19"/>
      <c r="K174" s="6"/>
      <c r="M174" s="6"/>
    </row>
    <row r="175" spans="1:13" x14ac:dyDescent="0.25">
      <c r="A175" s="17"/>
      <c r="B175" s="18"/>
      <c r="C175" s="19"/>
      <c r="F175" s="19"/>
      <c r="K175" s="6"/>
      <c r="M175" s="6"/>
    </row>
    <row r="176" spans="1:13" x14ac:dyDescent="0.25">
      <c r="A176" s="17"/>
      <c r="B176" s="18"/>
      <c r="C176" s="19"/>
      <c r="F176" s="19"/>
      <c r="K176" s="6"/>
      <c r="M176" s="6"/>
    </row>
    <row r="177" spans="1:13" x14ac:dyDescent="0.25">
      <c r="A177" s="17"/>
      <c r="B177" s="18"/>
      <c r="C177" s="19"/>
      <c r="F177" s="19"/>
      <c r="K177" s="6"/>
      <c r="M177" s="6"/>
    </row>
    <row r="178" spans="1:13" x14ac:dyDescent="0.25">
      <c r="A178" s="17"/>
      <c r="B178" s="18"/>
      <c r="C178" s="19"/>
      <c r="F178" s="19"/>
      <c r="K178" s="6"/>
      <c r="M178" s="6"/>
    </row>
    <row r="179" spans="1:13" x14ac:dyDescent="0.25">
      <c r="A179" s="17"/>
      <c r="B179" s="18"/>
      <c r="C179" s="19"/>
      <c r="F179" s="19"/>
      <c r="K179" s="6"/>
      <c r="M179" s="6"/>
    </row>
    <row r="180" spans="1:13" x14ac:dyDescent="0.25">
      <c r="A180" s="17"/>
      <c r="B180" s="18"/>
      <c r="C180" s="19"/>
      <c r="F180" s="19"/>
      <c r="K180" s="6"/>
      <c r="M180" s="6"/>
    </row>
    <row r="181" spans="1:13" x14ac:dyDescent="0.25">
      <c r="A181" s="17"/>
      <c r="B181" s="18"/>
      <c r="C181" s="19"/>
      <c r="F181" s="19"/>
      <c r="K181" s="6"/>
      <c r="M181" s="6"/>
    </row>
    <row r="182" spans="1:13" x14ac:dyDescent="0.25">
      <c r="A182" s="17"/>
      <c r="B182" s="18"/>
      <c r="C182" s="19"/>
      <c r="F182" s="19"/>
      <c r="K182" s="6"/>
      <c r="M182" s="6"/>
    </row>
    <row r="183" spans="1:13" x14ac:dyDescent="0.25">
      <c r="A183" s="17"/>
      <c r="B183" s="18"/>
      <c r="C183" s="19"/>
      <c r="F183" s="19"/>
      <c r="K183" s="6"/>
      <c r="M183" s="6"/>
    </row>
    <row r="184" spans="1:13" x14ac:dyDescent="0.25">
      <c r="A184" s="17"/>
      <c r="B184" s="18"/>
      <c r="C184" s="19"/>
      <c r="F184" s="19"/>
      <c r="K184" s="6"/>
      <c r="M184" s="6"/>
    </row>
    <row r="185" spans="1:13" x14ac:dyDescent="0.25">
      <c r="A185" s="17"/>
      <c r="B185" s="18"/>
      <c r="C185" s="19"/>
      <c r="F185" s="19"/>
      <c r="K185" s="6"/>
      <c r="M185" s="6"/>
    </row>
    <row r="186" spans="1:13" x14ac:dyDescent="0.25">
      <c r="A186" s="17"/>
      <c r="B186" s="18"/>
      <c r="C186" s="19"/>
      <c r="F186" s="19"/>
      <c r="K186" s="6"/>
      <c r="M186" s="6"/>
    </row>
    <row r="187" spans="1:13" x14ac:dyDescent="0.25">
      <c r="A187" s="17"/>
      <c r="B187" s="18"/>
      <c r="C187" s="19"/>
      <c r="F187" s="19"/>
      <c r="K187" s="6"/>
      <c r="M187" s="6"/>
    </row>
    <row r="188" spans="1:13" x14ac:dyDescent="0.25">
      <c r="A188" s="17"/>
      <c r="B188" s="18"/>
      <c r="C188" s="19"/>
      <c r="F188" s="19"/>
      <c r="K188" s="6"/>
      <c r="M188" s="6"/>
    </row>
    <row r="189" spans="1:13" x14ac:dyDescent="0.25">
      <c r="A189" s="17"/>
      <c r="B189" s="18"/>
      <c r="C189" s="19"/>
      <c r="F189" s="19"/>
      <c r="K189" s="6"/>
      <c r="M189" s="6"/>
    </row>
    <row r="190" spans="1:13" x14ac:dyDescent="0.25">
      <c r="A190" s="17"/>
      <c r="B190" s="18"/>
      <c r="C190" s="19"/>
      <c r="F190" s="19"/>
      <c r="K190" s="6"/>
      <c r="M190" s="6"/>
    </row>
    <row r="191" spans="1:13" x14ac:dyDescent="0.25">
      <c r="A191" s="17"/>
      <c r="B191" s="18"/>
      <c r="C191" s="19"/>
      <c r="F191" s="19"/>
      <c r="K191" s="6"/>
      <c r="M191" s="6"/>
    </row>
    <row r="192" spans="1:13" x14ac:dyDescent="0.25">
      <c r="A192" s="17"/>
      <c r="B192" s="18"/>
      <c r="C192" s="19"/>
      <c r="F192" s="19"/>
      <c r="K192" s="6"/>
      <c r="M192" s="6"/>
    </row>
    <row r="193" spans="1:13" x14ac:dyDescent="0.25">
      <c r="A193" s="17"/>
      <c r="B193" s="18"/>
      <c r="C193" s="19"/>
      <c r="F193" s="19"/>
      <c r="K193" s="6"/>
      <c r="M193" s="6"/>
    </row>
    <row r="194" spans="1:13" x14ac:dyDescent="0.25">
      <c r="A194" s="17"/>
      <c r="B194" s="18"/>
      <c r="C194" s="19"/>
      <c r="F194" s="19"/>
      <c r="K194" s="6"/>
      <c r="M194" s="6"/>
    </row>
    <row r="195" spans="1:13" x14ac:dyDescent="0.25">
      <c r="A195" s="17"/>
      <c r="B195" s="18"/>
      <c r="C195" s="19"/>
      <c r="F195" s="19"/>
      <c r="K195" s="6"/>
      <c r="M195" s="6"/>
    </row>
    <row r="196" spans="1:13" x14ac:dyDescent="0.25">
      <c r="A196" s="17"/>
      <c r="B196" s="18"/>
      <c r="C196" s="19"/>
      <c r="F196" s="19"/>
      <c r="K196" s="6"/>
      <c r="M196" s="6"/>
    </row>
    <row r="197" spans="1:13" x14ac:dyDescent="0.25">
      <c r="A197" s="17"/>
      <c r="B197" s="18"/>
      <c r="C197" s="19"/>
      <c r="F197" s="19"/>
      <c r="K197" s="6"/>
      <c r="M197" s="6"/>
    </row>
    <row r="198" spans="1:13" x14ac:dyDescent="0.25">
      <c r="A198" s="17"/>
      <c r="B198" s="18"/>
      <c r="C198" s="19"/>
      <c r="F198" s="19"/>
      <c r="K198" s="6"/>
      <c r="M198" s="6"/>
    </row>
    <row r="199" spans="1:13" x14ac:dyDescent="0.25">
      <c r="A199" s="17"/>
      <c r="B199" s="18"/>
      <c r="C199" s="19"/>
      <c r="F199" s="19"/>
      <c r="K199" s="6"/>
      <c r="M199" s="6"/>
    </row>
    <row r="200" spans="1:13" x14ac:dyDescent="0.25">
      <c r="A200" s="17"/>
      <c r="B200" s="18"/>
      <c r="C200" s="19"/>
      <c r="F200" s="19"/>
      <c r="K200" s="6"/>
      <c r="M200" s="6"/>
    </row>
    <row r="201" spans="1:13" x14ac:dyDescent="0.25">
      <c r="A201" s="17"/>
      <c r="B201" s="18"/>
      <c r="C201" s="19"/>
      <c r="F201" s="19"/>
      <c r="K201" s="6"/>
      <c r="M201" s="6"/>
    </row>
    <row r="202" spans="1:13" x14ac:dyDescent="0.25">
      <c r="A202" s="17"/>
      <c r="B202" s="18"/>
      <c r="C202" s="19"/>
      <c r="F202" s="19"/>
      <c r="K202" s="6"/>
      <c r="M202" s="6"/>
    </row>
    <row r="203" spans="1:13" x14ac:dyDescent="0.25">
      <c r="A203" s="17"/>
      <c r="B203" s="18"/>
      <c r="C203" s="19"/>
      <c r="F203" s="19"/>
      <c r="K203" s="6"/>
      <c r="M203" s="6"/>
    </row>
    <row r="204" spans="1:13" x14ac:dyDescent="0.25">
      <c r="A204" s="17"/>
      <c r="B204" s="18"/>
      <c r="C204" s="19"/>
      <c r="F204" s="19"/>
      <c r="K204" s="6"/>
      <c r="M204" s="6"/>
    </row>
    <row r="205" spans="1:13" x14ac:dyDescent="0.25">
      <c r="A205" s="17"/>
      <c r="B205" s="18"/>
      <c r="C205" s="19"/>
      <c r="F205" s="19"/>
      <c r="K205" s="6"/>
      <c r="M205" s="6"/>
    </row>
    <row r="206" spans="1:13" x14ac:dyDescent="0.25">
      <c r="A206" s="17"/>
      <c r="B206" s="18"/>
      <c r="C206" s="19"/>
      <c r="F206" s="19"/>
      <c r="K206" s="6"/>
      <c r="M206" s="6"/>
    </row>
    <row r="207" spans="1:13" x14ac:dyDescent="0.25">
      <c r="A207" s="17"/>
      <c r="B207" s="18"/>
      <c r="C207" s="19"/>
      <c r="F207" s="19"/>
      <c r="K207" s="6"/>
      <c r="M207" s="6"/>
    </row>
    <row r="208" spans="1:13" x14ac:dyDescent="0.25">
      <c r="A208" s="17"/>
      <c r="B208" s="18"/>
      <c r="C208" s="19"/>
      <c r="F208" s="19"/>
      <c r="K208" s="6"/>
      <c r="M208" s="6"/>
    </row>
    <row r="209" spans="1:13" x14ac:dyDescent="0.25">
      <c r="A209" s="17"/>
      <c r="B209" s="18"/>
      <c r="C209" s="19"/>
      <c r="F209" s="19"/>
      <c r="K209" s="6"/>
      <c r="M209" s="6"/>
    </row>
    <row r="210" spans="1:13" x14ac:dyDescent="0.25">
      <c r="A210" s="17"/>
      <c r="B210" s="18"/>
      <c r="C210" s="19"/>
      <c r="F210" s="19"/>
      <c r="K210" s="6"/>
      <c r="M210" s="6"/>
    </row>
    <row r="211" spans="1:13" x14ac:dyDescent="0.25">
      <c r="A211" s="17"/>
      <c r="B211" s="18"/>
      <c r="C211" s="19"/>
      <c r="F211" s="19"/>
      <c r="K211" s="6"/>
      <c r="M211" s="6"/>
    </row>
    <row r="212" spans="1:13" x14ac:dyDescent="0.25">
      <c r="A212" s="17"/>
      <c r="B212" s="18"/>
      <c r="C212" s="19"/>
      <c r="F212" s="19"/>
      <c r="K212" s="6"/>
      <c r="M212" s="6"/>
    </row>
    <row r="213" spans="1:13" x14ac:dyDescent="0.25">
      <c r="A213" s="17"/>
      <c r="B213" s="18"/>
      <c r="C213" s="19"/>
      <c r="F213" s="19"/>
      <c r="K213" s="6"/>
      <c r="M213" s="6"/>
    </row>
    <row r="214" spans="1:13" x14ac:dyDescent="0.25">
      <c r="A214" s="17"/>
      <c r="B214" s="18"/>
      <c r="C214" s="19"/>
      <c r="F214" s="19"/>
      <c r="K214" s="6"/>
      <c r="M214" s="6"/>
    </row>
    <row r="215" spans="1:13" x14ac:dyDescent="0.25">
      <c r="A215" s="17"/>
      <c r="B215" s="18"/>
      <c r="C215" s="19"/>
      <c r="F215" s="19"/>
      <c r="K215" s="6"/>
      <c r="M215" s="6"/>
    </row>
    <row r="216" spans="1:13" x14ac:dyDescent="0.25">
      <c r="A216" s="17"/>
      <c r="B216" s="18"/>
      <c r="C216" s="19"/>
      <c r="F216" s="19"/>
      <c r="K216" s="6"/>
      <c r="M216" s="6"/>
    </row>
    <row r="217" spans="1:13" x14ac:dyDescent="0.25">
      <c r="A217" s="17"/>
      <c r="B217" s="18"/>
      <c r="C217" s="19"/>
      <c r="F217" s="19"/>
      <c r="K217" s="6"/>
      <c r="M217" s="6"/>
    </row>
    <row r="218" spans="1:13" x14ac:dyDescent="0.25">
      <c r="A218" s="17"/>
      <c r="B218" s="18"/>
      <c r="C218" s="19"/>
      <c r="F218" s="19"/>
      <c r="K218" s="6"/>
      <c r="M218" s="6"/>
    </row>
    <row r="219" spans="1:13" x14ac:dyDescent="0.25">
      <c r="A219" s="17"/>
      <c r="B219" s="18"/>
      <c r="C219" s="19"/>
      <c r="F219" s="19"/>
      <c r="K219" s="6"/>
      <c r="M219" s="6"/>
    </row>
    <row r="220" spans="1:13" x14ac:dyDescent="0.25">
      <c r="A220" s="17"/>
      <c r="B220" s="18"/>
      <c r="C220" s="19"/>
      <c r="F220" s="19"/>
      <c r="K220" s="6"/>
      <c r="M220" s="6"/>
    </row>
    <row r="221" spans="1:13" x14ac:dyDescent="0.25">
      <c r="A221" s="17"/>
      <c r="B221" s="18"/>
      <c r="C221" s="19"/>
      <c r="F221" s="19"/>
      <c r="K221" s="6"/>
      <c r="M221" s="6"/>
    </row>
    <row r="222" spans="1:13" x14ac:dyDescent="0.25">
      <c r="A222" s="17"/>
      <c r="B222" s="18"/>
      <c r="C222" s="19"/>
      <c r="F222" s="19"/>
      <c r="K222" s="6"/>
      <c r="M222" s="6"/>
    </row>
    <row r="223" spans="1:13" x14ac:dyDescent="0.25">
      <c r="A223" s="17"/>
      <c r="B223" s="18"/>
      <c r="C223" s="19"/>
      <c r="F223" s="19"/>
      <c r="K223" s="6"/>
      <c r="M223" s="6"/>
    </row>
    <row r="224" spans="1:13" x14ac:dyDescent="0.25">
      <c r="A224" s="17"/>
      <c r="B224" s="18"/>
      <c r="C224" s="19"/>
      <c r="F224" s="19"/>
      <c r="K224" s="6"/>
      <c r="M224" s="6"/>
    </row>
    <row r="225" spans="1:13" x14ac:dyDescent="0.25">
      <c r="A225" s="17"/>
      <c r="B225" s="18"/>
      <c r="C225" s="19"/>
      <c r="F225" s="19"/>
      <c r="K225" s="6"/>
      <c r="M225" s="6"/>
    </row>
    <row r="226" spans="1:13" x14ac:dyDescent="0.25">
      <c r="A226" s="17"/>
      <c r="B226" s="18"/>
      <c r="C226" s="19"/>
      <c r="F226" s="19"/>
      <c r="K226" s="6"/>
      <c r="M226" s="6"/>
    </row>
    <row r="227" spans="1:13" x14ac:dyDescent="0.25">
      <c r="A227" s="17"/>
      <c r="B227" s="18"/>
      <c r="C227" s="19"/>
      <c r="F227" s="19"/>
      <c r="K227" s="6"/>
      <c r="M227" s="6"/>
    </row>
    <row r="228" spans="1:13" x14ac:dyDescent="0.25">
      <c r="A228" s="17"/>
      <c r="B228" s="18"/>
      <c r="C228" s="19"/>
      <c r="F228" s="19"/>
      <c r="K228" s="6"/>
      <c r="M228" s="6"/>
    </row>
    <row r="229" spans="1:13" x14ac:dyDescent="0.25">
      <c r="A229" s="17"/>
      <c r="B229" s="18"/>
      <c r="C229" s="19"/>
      <c r="F229" s="19"/>
      <c r="K229" s="6"/>
      <c r="M229" s="6"/>
    </row>
    <row r="230" spans="1:13" x14ac:dyDescent="0.25">
      <c r="A230" s="17"/>
      <c r="B230" s="18"/>
      <c r="C230" s="19"/>
      <c r="F230" s="19"/>
      <c r="K230" s="6"/>
      <c r="M230" s="6"/>
    </row>
    <row r="231" spans="1:13" x14ac:dyDescent="0.25">
      <c r="A231" s="17"/>
      <c r="B231" s="18"/>
      <c r="C231" s="19"/>
      <c r="F231" s="19"/>
      <c r="K231" s="6"/>
      <c r="M231" s="6"/>
    </row>
    <row r="232" spans="1:13" x14ac:dyDescent="0.25">
      <c r="A232" s="17"/>
      <c r="B232" s="18"/>
      <c r="C232" s="19"/>
      <c r="F232" s="19"/>
      <c r="K232" s="6"/>
      <c r="M232" s="6"/>
    </row>
    <row r="233" spans="1:13" x14ac:dyDescent="0.25">
      <c r="A233" s="17"/>
      <c r="B233" s="18"/>
      <c r="C233" s="19"/>
      <c r="F233" s="19"/>
      <c r="K233" s="6"/>
      <c r="M233" s="6"/>
    </row>
    <row r="234" spans="1:13" x14ac:dyDescent="0.25">
      <c r="A234" s="17"/>
      <c r="B234" s="18"/>
      <c r="C234" s="19"/>
      <c r="F234" s="19"/>
      <c r="K234" s="6"/>
      <c r="M234" s="6"/>
    </row>
    <row r="235" spans="1:13" x14ac:dyDescent="0.25">
      <c r="A235" s="17"/>
      <c r="B235" s="18"/>
      <c r="C235" s="19"/>
      <c r="F235" s="19"/>
      <c r="K235" s="6"/>
      <c r="M235" s="6"/>
    </row>
    <row r="236" spans="1:13" x14ac:dyDescent="0.25">
      <c r="A236" s="17"/>
      <c r="B236" s="18"/>
      <c r="C236" s="19"/>
      <c r="F236" s="19"/>
      <c r="K236" s="6"/>
      <c r="M236" s="6"/>
    </row>
    <row r="237" spans="1:13" x14ac:dyDescent="0.25">
      <c r="A237" s="17"/>
      <c r="B237" s="18"/>
      <c r="C237" s="19"/>
      <c r="F237" s="19"/>
      <c r="K237" s="6"/>
      <c r="M237" s="6"/>
    </row>
    <row r="238" spans="1:13" x14ac:dyDescent="0.25">
      <c r="A238" s="17"/>
      <c r="B238" s="18"/>
      <c r="C238" s="19"/>
      <c r="F238" s="19"/>
      <c r="K238" s="6"/>
      <c r="M238" s="6"/>
    </row>
    <row r="239" spans="1:13" x14ac:dyDescent="0.25">
      <c r="A239" s="17"/>
      <c r="B239" s="18"/>
      <c r="C239" s="19"/>
      <c r="F239" s="19"/>
      <c r="K239" s="6"/>
      <c r="M239" s="6"/>
    </row>
    <row r="240" spans="1:13" x14ac:dyDescent="0.25">
      <c r="A240" s="17"/>
      <c r="B240" s="18"/>
      <c r="C240" s="19"/>
      <c r="F240" s="19"/>
      <c r="K240" s="6"/>
      <c r="M240" s="6"/>
    </row>
    <row r="241" spans="1:13" x14ac:dyDescent="0.25">
      <c r="A241" s="17"/>
      <c r="B241" s="18"/>
      <c r="C241" s="19"/>
      <c r="F241" s="19"/>
      <c r="K241" s="6"/>
      <c r="M241" s="6"/>
    </row>
    <row r="242" spans="1:13" x14ac:dyDescent="0.25">
      <c r="A242" s="17"/>
      <c r="B242" s="18"/>
      <c r="C242" s="19"/>
      <c r="F242" s="19"/>
      <c r="K242" s="6"/>
      <c r="M242" s="6"/>
    </row>
    <row r="243" spans="1:13" x14ac:dyDescent="0.25">
      <c r="A243" s="17"/>
      <c r="B243" s="18"/>
      <c r="C243" s="19"/>
      <c r="F243" s="19"/>
      <c r="K243" s="6"/>
      <c r="M243" s="6"/>
    </row>
    <row r="244" spans="1:13" x14ac:dyDescent="0.25">
      <c r="A244" s="17"/>
      <c r="B244" s="18"/>
      <c r="C244" s="19"/>
      <c r="F244" s="19"/>
      <c r="K244" s="6"/>
      <c r="M244" s="6"/>
    </row>
    <row r="245" spans="1:13" x14ac:dyDescent="0.25">
      <c r="A245" s="17"/>
      <c r="B245" s="18"/>
      <c r="C245" s="19"/>
      <c r="F245" s="19"/>
      <c r="K245" s="6"/>
      <c r="M245" s="6"/>
    </row>
    <row r="246" spans="1:13" x14ac:dyDescent="0.25">
      <c r="A246" s="17"/>
      <c r="B246" s="18"/>
      <c r="C246" s="19"/>
      <c r="F246" s="19"/>
      <c r="K246" s="6"/>
      <c r="M246" s="6"/>
    </row>
    <row r="247" spans="1:13" x14ac:dyDescent="0.25">
      <c r="A247" s="17"/>
      <c r="B247" s="18"/>
      <c r="C247" s="19"/>
      <c r="F247" s="19"/>
      <c r="K247" s="6"/>
      <c r="M247" s="6"/>
    </row>
    <row r="248" spans="1:13" x14ac:dyDescent="0.25">
      <c r="A248" s="17"/>
      <c r="B248" s="18"/>
      <c r="C248" s="19"/>
      <c r="F248" s="19"/>
      <c r="K248" s="6"/>
      <c r="M248" s="6"/>
    </row>
    <row r="249" spans="1:13" x14ac:dyDescent="0.25">
      <c r="A249" s="17"/>
      <c r="B249" s="18"/>
      <c r="C249" s="19"/>
      <c r="F249" s="19"/>
      <c r="K249" s="6"/>
      <c r="M249" s="6"/>
    </row>
    <row r="250" spans="1:13" x14ac:dyDescent="0.25">
      <c r="A250" s="17"/>
      <c r="B250" s="18"/>
      <c r="C250" s="19"/>
      <c r="F250" s="19"/>
      <c r="K250" s="6"/>
      <c r="M250" s="6"/>
    </row>
    <row r="251" spans="1:13" x14ac:dyDescent="0.25">
      <c r="A251" s="17"/>
      <c r="B251" s="18"/>
      <c r="C251" s="19"/>
      <c r="F251" s="19"/>
      <c r="K251" s="6"/>
      <c r="M251" s="6"/>
    </row>
    <row r="252" spans="1:13" x14ac:dyDescent="0.25">
      <c r="A252" s="17"/>
      <c r="B252" s="18"/>
      <c r="C252" s="19"/>
      <c r="F252" s="19"/>
      <c r="K252" s="6"/>
      <c r="M252" s="6"/>
    </row>
    <row r="253" spans="1:13" x14ac:dyDescent="0.25">
      <c r="A253" s="17"/>
      <c r="B253" s="18"/>
      <c r="C253" s="19"/>
      <c r="F253" s="19"/>
      <c r="K253" s="6"/>
      <c r="M253" s="6"/>
    </row>
    <row r="254" spans="1:13" x14ac:dyDescent="0.25">
      <c r="A254" s="17"/>
      <c r="B254" s="18"/>
      <c r="C254" s="19"/>
      <c r="F254" s="19"/>
      <c r="K254" s="6"/>
      <c r="M254" s="6"/>
    </row>
    <row r="255" spans="1:13" x14ac:dyDescent="0.25">
      <c r="A255" s="17"/>
      <c r="B255" s="18"/>
      <c r="C255" s="19"/>
      <c r="F255" s="19"/>
      <c r="K255" s="6"/>
      <c r="M255" s="6"/>
    </row>
    <row r="256" spans="1:13" x14ac:dyDescent="0.25">
      <c r="A256" s="17"/>
      <c r="B256" s="18"/>
      <c r="C256" s="19"/>
      <c r="F256" s="19"/>
      <c r="K256" s="6"/>
      <c r="M256" s="6"/>
    </row>
    <row r="257" spans="1:13" x14ac:dyDescent="0.25">
      <c r="A257" s="17"/>
      <c r="B257" s="18"/>
      <c r="C257" s="19"/>
      <c r="F257" s="19"/>
      <c r="K257" s="6"/>
      <c r="M257" s="6"/>
    </row>
    <row r="258" spans="1:13" x14ac:dyDescent="0.25">
      <c r="A258" s="17"/>
      <c r="B258" s="18"/>
      <c r="C258" s="19"/>
      <c r="F258" s="19"/>
      <c r="K258" s="6"/>
      <c r="M258" s="6"/>
    </row>
    <row r="259" spans="1:13" x14ac:dyDescent="0.25">
      <c r="A259" s="17"/>
      <c r="B259" s="18"/>
      <c r="C259" s="19"/>
      <c r="F259" s="19"/>
      <c r="K259" s="6"/>
      <c r="M259" s="6"/>
    </row>
    <row r="260" spans="1:13" x14ac:dyDescent="0.25">
      <c r="A260" s="17"/>
      <c r="B260" s="18"/>
      <c r="C260" s="19"/>
      <c r="F260" s="19"/>
      <c r="K260" s="6"/>
      <c r="M260" s="6"/>
    </row>
    <row r="261" spans="1:13" x14ac:dyDescent="0.25">
      <c r="A261" s="17"/>
      <c r="B261" s="18"/>
      <c r="C261" s="19"/>
      <c r="F261" s="19"/>
      <c r="K261" s="6"/>
      <c r="M261" s="6"/>
    </row>
    <row r="262" spans="1:13" x14ac:dyDescent="0.25">
      <c r="A262" s="17"/>
      <c r="B262" s="18"/>
      <c r="C262" s="19"/>
      <c r="F262" s="19"/>
      <c r="K262" s="6"/>
      <c r="M262" s="6"/>
    </row>
    <row r="263" spans="1:13" x14ac:dyDescent="0.25">
      <c r="A263" s="17"/>
      <c r="B263" s="18"/>
      <c r="C263" s="19"/>
      <c r="F263" s="19"/>
      <c r="K263" s="6"/>
      <c r="M263" s="6"/>
    </row>
    <row r="264" spans="1:13" x14ac:dyDescent="0.25">
      <c r="A264" s="17"/>
      <c r="B264" s="18"/>
      <c r="C264" s="19"/>
      <c r="F264" s="19"/>
      <c r="K264" s="6"/>
      <c r="M264" s="6"/>
    </row>
    <row r="265" spans="1:13" x14ac:dyDescent="0.25">
      <c r="A265" s="17"/>
      <c r="B265" s="18"/>
      <c r="C265" s="19"/>
      <c r="F265" s="19"/>
      <c r="K265" s="6"/>
      <c r="M265" s="6"/>
    </row>
    <row r="266" spans="1:13" x14ac:dyDescent="0.25">
      <c r="A266" s="17"/>
      <c r="B266" s="18"/>
      <c r="C266" s="19"/>
      <c r="F266" s="19"/>
      <c r="K266" s="6"/>
      <c r="M266" s="6"/>
    </row>
    <row r="267" spans="1:13" x14ac:dyDescent="0.25">
      <c r="A267" s="17"/>
      <c r="B267" s="18"/>
      <c r="C267" s="19"/>
      <c r="F267" s="19"/>
      <c r="K267" s="6"/>
      <c r="M267" s="6"/>
    </row>
    <row r="268" spans="1:13" x14ac:dyDescent="0.25">
      <c r="A268" s="17"/>
      <c r="B268" s="18"/>
      <c r="C268" s="19"/>
      <c r="F268" s="19"/>
      <c r="K268" s="6"/>
      <c r="M268" s="6"/>
    </row>
    <row r="269" spans="1:13" x14ac:dyDescent="0.25">
      <c r="A269" s="17"/>
      <c r="B269" s="18"/>
      <c r="C269" s="19"/>
      <c r="F269" s="19"/>
      <c r="K269" s="6"/>
      <c r="M269" s="6"/>
    </row>
    <row r="270" spans="1:13" x14ac:dyDescent="0.25">
      <c r="A270" s="17"/>
      <c r="B270" s="18"/>
      <c r="C270" s="19"/>
      <c r="F270" s="19"/>
      <c r="K270" s="6"/>
      <c r="M270" s="6"/>
    </row>
    <row r="271" spans="1:13" x14ac:dyDescent="0.25">
      <c r="A271" s="17"/>
      <c r="B271" s="18"/>
      <c r="C271" s="19"/>
      <c r="F271" s="19"/>
      <c r="K271" s="6"/>
      <c r="M271" s="6"/>
    </row>
    <row r="272" spans="1:13" x14ac:dyDescent="0.25">
      <c r="A272" s="17"/>
      <c r="B272" s="18"/>
      <c r="C272" s="19"/>
      <c r="F272" s="19"/>
      <c r="K272" s="6"/>
      <c r="M272" s="6"/>
    </row>
    <row r="273" spans="1:13" x14ac:dyDescent="0.25">
      <c r="A273" s="17"/>
      <c r="B273" s="18"/>
      <c r="C273" s="19"/>
      <c r="F273" s="19"/>
      <c r="K273" s="6"/>
      <c r="M273" s="6"/>
    </row>
    <row r="274" spans="1:13" x14ac:dyDescent="0.25">
      <c r="A274" s="17"/>
      <c r="B274" s="18"/>
      <c r="C274" s="19"/>
      <c r="F274" s="19"/>
      <c r="K274" s="6"/>
      <c r="M274" s="6"/>
    </row>
    <row r="275" spans="1:13" x14ac:dyDescent="0.25">
      <c r="A275" s="17"/>
      <c r="B275" s="18"/>
      <c r="C275" s="19"/>
      <c r="F275" s="19"/>
      <c r="K275" s="6"/>
      <c r="M275" s="6"/>
    </row>
    <row r="276" spans="1:13" x14ac:dyDescent="0.25">
      <c r="A276" s="17"/>
      <c r="B276" s="18"/>
      <c r="C276" s="19"/>
      <c r="F276" s="19"/>
      <c r="K276" s="6"/>
      <c r="M276" s="6"/>
    </row>
    <row r="277" spans="1:13" x14ac:dyDescent="0.25">
      <c r="A277" s="17"/>
      <c r="B277" s="18"/>
      <c r="C277" s="19"/>
      <c r="F277" s="19"/>
      <c r="K277" s="6"/>
      <c r="M277" s="6"/>
    </row>
    <row r="278" spans="1:13" x14ac:dyDescent="0.25">
      <c r="A278" s="17"/>
      <c r="B278" s="18"/>
      <c r="C278" s="19"/>
      <c r="F278" s="19"/>
      <c r="K278" s="6"/>
      <c r="M278" s="6"/>
    </row>
    <row r="279" spans="1:13" x14ac:dyDescent="0.25">
      <c r="A279" s="17"/>
      <c r="B279" s="18"/>
      <c r="C279" s="19"/>
      <c r="F279" s="19"/>
      <c r="K279" s="6"/>
      <c r="M279" s="6"/>
    </row>
    <row r="280" spans="1:13" x14ac:dyDescent="0.25">
      <c r="A280" s="17"/>
      <c r="B280" s="18"/>
      <c r="C280" s="19"/>
      <c r="F280" s="19"/>
      <c r="K280" s="6"/>
      <c r="M280" s="6"/>
    </row>
    <row r="281" spans="1:13" x14ac:dyDescent="0.25">
      <c r="A281" s="17"/>
      <c r="B281" s="18"/>
      <c r="C281" s="19"/>
      <c r="F281" s="19"/>
      <c r="K281" s="6"/>
      <c r="M281" s="6"/>
    </row>
    <row r="282" spans="1:13" x14ac:dyDescent="0.25">
      <c r="A282" s="17"/>
      <c r="B282" s="18"/>
      <c r="C282" s="19"/>
      <c r="F282" s="19"/>
      <c r="K282" s="6"/>
      <c r="M282" s="6"/>
    </row>
    <row r="283" spans="1:13" x14ac:dyDescent="0.25">
      <c r="A283" s="17"/>
      <c r="B283" s="18"/>
      <c r="C283" s="19"/>
      <c r="F283" s="19"/>
      <c r="K283" s="6"/>
      <c r="M283" s="6"/>
    </row>
    <row r="284" spans="1:13" x14ac:dyDescent="0.25">
      <c r="A284" s="17"/>
      <c r="B284" s="18"/>
      <c r="C284" s="19"/>
      <c r="F284" s="19"/>
      <c r="K284" s="6"/>
      <c r="M284" s="6"/>
    </row>
    <row r="285" spans="1:13" x14ac:dyDescent="0.25">
      <c r="A285" s="17"/>
      <c r="B285" s="18"/>
      <c r="C285" s="19"/>
      <c r="F285" s="19"/>
      <c r="K285" s="6"/>
      <c r="M285" s="6"/>
    </row>
    <row r="286" spans="1:13" x14ac:dyDescent="0.25">
      <c r="A286" s="17"/>
      <c r="B286" s="18"/>
      <c r="C286" s="19"/>
      <c r="F286" s="19"/>
      <c r="K286" s="6"/>
      <c r="M286" s="6"/>
    </row>
    <row r="287" spans="1:13" x14ac:dyDescent="0.25">
      <c r="A287" s="17"/>
      <c r="B287" s="18"/>
      <c r="C287" s="19"/>
      <c r="F287" s="19"/>
      <c r="K287" s="6"/>
      <c r="M287" s="6"/>
    </row>
    <row r="288" spans="1:13" x14ac:dyDescent="0.25">
      <c r="A288" s="17"/>
      <c r="B288" s="18"/>
      <c r="C288" s="19"/>
      <c r="F288" s="19"/>
      <c r="K288" s="6"/>
      <c r="M288" s="6"/>
    </row>
    <row r="289" spans="1:13" x14ac:dyDescent="0.25">
      <c r="A289" s="17"/>
      <c r="B289" s="18"/>
      <c r="C289" s="19"/>
      <c r="F289" s="19"/>
      <c r="K289" s="6"/>
      <c r="M289" s="6"/>
    </row>
    <row r="290" spans="1:13" x14ac:dyDescent="0.25">
      <c r="A290" s="17"/>
      <c r="B290" s="18"/>
      <c r="C290" s="19"/>
      <c r="F290" s="19"/>
      <c r="K290" s="6"/>
      <c r="M290" s="6"/>
    </row>
    <row r="291" spans="1:13" x14ac:dyDescent="0.25">
      <c r="A291" s="17"/>
      <c r="B291" s="18"/>
      <c r="C291" s="19"/>
      <c r="F291" s="19"/>
      <c r="K291" s="6"/>
      <c r="M291" s="6"/>
    </row>
    <row r="292" spans="1:13" x14ac:dyDescent="0.25">
      <c r="A292" s="17"/>
      <c r="B292" s="18"/>
      <c r="C292" s="19"/>
      <c r="F292" s="19"/>
      <c r="K292" s="6"/>
      <c r="M292" s="6"/>
    </row>
    <row r="293" spans="1:13" x14ac:dyDescent="0.25">
      <c r="A293" s="17"/>
      <c r="B293" s="18"/>
      <c r="C293" s="19"/>
      <c r="F293" s="19"/>
      <c r="K293" s="6"/>
      <c r="M293" s="6"/>
    </row>
    <row r="294" spans="1:13" x14ac:dyDescent="0.25">
      <c r="A294" s="17"/>
      <c r="B294" s="18"/>
      <c r="C294" s="19"/>
      <c r="F294" s="19"/>
      <c r="K294" s="6"/>
      <c r="M294" s="6"/>
    </row>
    <row r="295" spans="1:13" x14ac:dyDescent="0.25">
      <c r="A295" s="17"/>
      <c r="B295" s="18"/>
      <c r="C295" s="19"/>
      <c r="F295" s="19"/>
      <c r="K295" s="6"/>
      <c r="M295" s="6"/>
    </row>
    <row r="296" spans="1:13" x14ac:dyDescent="0.25">
      <c r="A296" s="17"/>
      <c r="B296" s="18"/>
      <c r="C296" s="19"/>
      <c r="F296" s="19"/>
      <c r="K296" s="6"/>
      <c r="M296" s="6"/>
    </row>
    <row r="297" spans="1:13" x14ac:dyDescent="0.25">
      <c r="A297" s="17"/>
      <c r="B297" s="18"/>
      <c r="C297" s="19"/>
      <c r="F297" s="19"/>
      <c r="K297" s="6"/>
      <c r="M297" s="6"/>
    </row>
    <row r="298" spans="1:13" x14ac:dyDescent="0.25">
      <c r="A298" s="17"/>
      <c r="B298" s="18"/>
      <c r="C298" s="19"/>
      <c r="F298" s="19"/>
      <c r="K298" s="6"/>
      <c r="M298" s="6"/>
    </row>
    <row r="299" spans="1:13" x14ac:dyDescent="0.25">
      <c r="A299" s="17"/>
      <c r="B299" s="18"/>
      <c r="C299" s="19"/>
      <c r="F299" s="19"/>
      <c r="K299" s="6"/>
      <c r="M299" s="6"/>
    </row>
    <row r="300" spans="1:13" x14ac:dyDescent="0.25">
      <c r="A300" s="17"/>
      <c r="B300" s="18"/>
      <c r="C300" s="19"/>
      <c r="F300" s="19"/>
      <c r="K300" s="6"/>
      <c r="M300" s="6"/>
    </row>
    <row r="301" spans="1:13" x14ac:dyDescent="0.25">
      <c r="A301" s="17"/>
      <c r="B301" s="18"/>
      <c r="C301" s="19"/>
      <c r="F301" s="19"/>
      <c r="K301" s="6"/>
      <c r="M301" s="6"/>
    </row>
    <row r="302" spans="1:13" x14ac:dyDescent="0.25">
      <c r="A302" s="17"/>
      <c r="B302" s="18"/>
      <c r="C302" s="19"/>
      <c r="F302" s="19"/>
      <c r="K302" s="6"/>
      <c r="M302" s="6"/>
    </row>
    <row r="303" spans="1:13" x14ac:dyDescent="0.25">
      <c r="A303" s="17"/>
      <c r="B303" s="18"/>
      <c r="C303" s="19"/>
      <c r="F303" s="19"/>
      <c r="K303" s="6"/>
      <c r="M303" s="6"/>
    </row>
    <row r="304" spans="1:13" x14ac:dyDescent="0.25">
      <c r="A304" s="17"/>
      <c r="B304" s="18"/>
      <c r="C304" s="19"/>
      <c r="F304" s="19"/>
      <c r="K304" s="6"/>
      <c r="M304" s="6"/>
    </row>
    <row r="305" spans="1:13" x14ac:dyDescent="0.25">
      <c r="A305" s="17"/>
      <c r="B305" s="18"/>
      <c r="C305" s="19"/>
      <c r="F305" s="19"/>
      <c r="K305" s="6"/>
      <c r="M305" s="6"/>
    </row>
  </sheetData>
  <mergeCells count="3">
    <mergeCell ref="K1:N1"/>
    <mergeCell ref="G1:J1"/>
    <mergeCell ref="C1:F1"/>
  </mergeCells>
  <conditionalFormatting sqref="A4:A5">
    <cfRule type="duplicateValues" dxfId="11" priority="1"/>
    <cfRule type="duplicateValues" dxfId="10" priority="2"/>
  </conditionalFormatting>
  <conditionalFormatting sqref="A39">
    <cfRule type="duplicateValues" dxfId="9" priority="7"/>
    <cfRule type="duplicateValues" dxfId="8" priority="8"/>
  </conditionalFormatting>
  <conditionalFormatting sqref="A57">
    <cfRule type="duplicateValues" dxfId="7" priority="11"/>
  </conditionalFormatting>
  <conditionalFormatting sqref="A58">
    <cfRule type="duplicateValues" dxfId="6" priority="5"/>
    <cfRule type="duplicateValues" dxfId="5" priority="6"/>
  </conditionalFormatting>
  <conditionalFormatting sqref="A64">
    <cfRule type="duplicateValues" dxfId="4" priority="3"/>
    <cfRule type="duplicateValues" dxfId="3" priority="4"/>
  </conditionalFormatting>
  <conditionalFormatting sqref="A68">
    <cfRule type="duplicateValues" dxfId="2" priority="12"/>
    <cfRule type="duplicateValues" dxfId="1" priority="13"/>
  </conditionalFormatting>
  <conditionalFormatting sqref="A69:A71 A1:A3 A59:A63 A40:A56 A65:A66 A6:A38"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גלית ואלצר | גל אלמגור ביטוח</cp:lastModifiedBy>
  <dcterms:created xsi:type="dcterms:W3CDTF">2021-03-11T06:37:00Z</dcterms:created>
  <dcterms:modified xsi:type="dcterms:W3CDTF">2025-08-24T03:16:56Z</dcterms:modified>
</cp:coreProperties>
</file>