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האחסון שלי\מאגר מידע של גל אלמגור\דוחות תפוקה\דוחות תפוקה ביטוח חיים\2025\"/>
    </mc:Choice>
  </mc:AlternateContent>
  <xr:revisionPtr revIDLastSave="0" documentId="13_ncr:1_{6760A73D-5570-42FF-965A-BE50E4F29E99}" xr6:coauthVersionLast="47" xr6:coauthVersionMax="47" xr10:uidLastSave="{00000000-0000-0000-0000-000000000000}"/>
  <bookViews>
    <workbookView xWindow="28680" yWindow="-120" windowWidth="29040" windowHeight="15720" xr2:uid="{4E8A0605-E5E2-4C30-9305-9A157A7339DD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" i="1" l="1"/>
  <c r="G14" i="1"/>
  <c r="G13" i="1"/>
  <c r="G12" i="1"/>
  <c r="G11" i="1"/>
  <c r="G10" i="1"/>
  <c r="G9" i="1"/>
  <c r="G8" i="1"/>
  <c r="G7" i="1"/>
  <c r="G6" i="1"/>
  <c r="G5" i="1"/>
  <c r="E14" i="1"/>
  <c r="E13" i="1"/>
  <c r="E12" i="1"/>
  <c r="E11" i="1"/>
  <c r="E10" i="1"/>
  <c r="E9" i="1"/>
  <c r="E8" i="1"/>
  <c r="E7" i="1"/>
  <c r="E6" i="1"/>
  <c r="E5" i="1"/>
  <c r="E15" i="1"/>
  <c r="C15" i="1"/>
  <c r="C14" i="1"/>
  <c r="C13" i="1"/>
  <c r="C12" i="1"/>
  <c r="C11" i="1"/>
  <c r="C10" i="1"/>
  <c r="C9" i="1"/>
  <c r="C8" i="1"/>
  <c r="C7" i="1"/>
  <c r="C6" i="1"/>
  <c r="C5" i="1"/>
</calcChain>
</file>

<file path=xl/sharedStrings.xml><?xml version="1.0" encoding="utf-8"?>
<sst xmlns="http://schemas.openxmlformats.org/spreadsheetml/2006/main" count="22" uniqueCount="18">
  <si>
    <t>סיכונים</t>
  </si>
  <si>
    <t>חא"ט</t>
  </si>
  <si>
    <t>פיננסים+ניוד פנסיה</t>
  </si>
  <si>
    <t>ינואר</t>
  </si>
  <si>
    <t>פברואר</t>
  </si>
  <si>
    <t>מרץ</t>
  </si>
  <si>
    <t>אפריל</t>
  </si>
  <si>
    <t>מאי</t>
  </si>
  <si>
    <t>יוני</t>
  </si>
  <si>
    <t>יולי</t>
  </si>
  <si>
    <t>אוגוסט</t>
  </si>
  <si>
    <t>ספטמבר</t>
  </si>
  <si>
    <t>אוקטובר</t>
  </si>
  <si>
    <t>נובמבר</t>
  </si>
  <si>
    <t>דצמבר</t>
  </si>
  <si>
    <t>מצטבר</t>
  </si>
  <si>
    <t>עונתיות יעדי שנת 2024</t>
  </si>
  <si>
    <t>שנת 2024: חודשי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</si>
</sst>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7"/>
      <scheme val="minor"/>
    </font>
    <font>
      <b/>
      <sz val="14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DCC5ED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10" fontId="0" fillId="0" borderId="0" xfId="0" applyNumberFormat="1"/>
    <xf numFmtId="0" fontId="3" fillId="0" borderId="1" xfId="0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10" fontId="2" fillId="4" borderId="1" xfId="0" applyNumberFormat="1" applyFont="1" applyFill="1" applyBorder="1" applyAlignment="1">
      <alignment horizontal="center" vertical="center"/>
    </xf>
    <xf numFmtId="10" fontId="2" fillId="5" borderId="1" xfId="0" applyNumberFormat="1" applyFont="1" applyFill="1" applyBorder="1" applyAlignment="1">
      <alignment horizontal="center" vertical="center"/>
    </xf>
    <xf numFmtId="10" fontId="2" fillId="6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10" fontId="2" fillId="0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DF7D1-ABF3-4B54-9261-129BC1F1BFD7}">
  <dimension ref="A1:I15"/>
  <sheetViews>
    <sheetView rightToLeft="1" tabSelected="1" workbookViewId="0">
      <selection activeCell="F10" sqref="F10:G10"/>
    </sheetView>
  </sheetViews>
  <sheetFormatPr defaultRowHeight="13.8" x14ac:dyDescent="0.25"/>
  <cols>
    <col min="1" max="1" width="12" customWidth="1"/>
    <col min="2" max="2" width="15.296875" bestFit="1" customWidth="1"/>
    <col min="3" max="3" width="8.09765625" bestFit="1" customWidth="1"/>
    <col min="4" max="4" width="15.296875" bestFit="1" customWidth="1"/>
    <col min="5" max="5" width="13.69921875" bestFit="1" customWidth="1"/>
    <col min="6" max="6" width="15.8984375" bestFit="1" customWidth="1"/>
    <col min="7" max="7" width="13.69921875" bestFit="1" customWidth="1"/>
    <col min="8" max="8" width="14.69921875" customWidth="1"/>
    <col min="9" max="9" width="15.8984375" bestFit="1" customWidth="1"/>
    <col min="10" max="10" width="14.69921875" bestFit="1" customWidth="1"/>
    <col min="12" max="12" width="14.296875" bestFit="1" customWidth="1"/>
  </cols>
  <sheetData>
    <row r="1" spans="1:9" ht="18" x14ac:dyDescent="0.35">
      <c r="A1" s="7" t="s">
        <v>16</v>
      </c>
      <c r="B1" s="7"/>
      <c r="C1" s="7"/>
      <c r="D1" s="7"/>
      <c r="E1" s="7"/>
      <c r="F1" s="7"/>
      <c r="G1" s="7"/>
    </row>
    <row r="2" spans="1:9" ht="14.4" x14ac:dyDescent="0.25">
      <c r="A2" s="9"/>
      <c r="B2" s="8" t="s">
        <v>1</v>
      </c>
      <c r="C2" s="8"/>
      <c r="D2" s="8" t="s">
        <v>0</v>
      </c>
      <c r="E2" s="8"/>
      <c r="F2" s="8" t="s">
        <v>2</v>
      </c>
      <c r="G2" s="8"/>
    </row>
    <row r="3" spans="1:9" ht="14.4" x14ac:dyDescent="0.25">
      <c r="A3" s="10"/>
      <c r="B3" s="2" t="s">
        <v>17</v>
      </c>
      <c r="C3" s="2" t="s">
        <v>15</v>
      </c>
      <c r="D3" s="2" t="s">
        <v>17</v>
      </c>
      <c r="E3" s="2" t="s">
        <v>15</v>
      </c>
      <c r="F3" s="2" t="s">
        <v>17</v>
      </c>
      <c r="G3" s="2" t="s">
        <v>15</v>
      </c>
    </row>
    <row r="4" spans="1:9" ht="14.4" x14ac:dyDescent="0.25">
      <c r="A4" s="2" t="s">
        <v>3</v>
      </c>
      <c r="B4" s="4">
        <v>8.5000000000000006E-2</v>
      </c>
      <c r="C4" s="4">
        <v>8.5000000000000006E-2</v>
      </c>
      <c r="D4" s="4">
        <v>9.1999999999999998E-2</v>
      </c>
      <c r="E4" s="4">
        <v>9.1999999999999998E-2</v>
      </c>
      <c r="F4" s="4">
        <v>8.5000000000000006E-2</v>
      </c>
      <c r="G4" s="4">
        <v>8.5000000000000006E-2</v>
      </c>
      <c r="I4" s="1"/>
    </row>
    <row r="5" spans="1:9" ht="14.4" x14ac:dyDescent="0.25">
      <c r="A5" s="2" t="s">
        <v>4</v>
      </c>
      <c r="B5" s="4">
        <v>8.4000000000000005E-2</v>
      </c>
      <c r="C5" s="4">
        <f>B4+B5</f>
        <v>0.16900000000000001</v>
      </c>
      <c r="D5" s="4">
        <v>8.5000000000000006E-2</v>
      </c>
      <c r="E5" s="4">
        <f>D4+D5</f>
        <v>0.17699999999999999</v>
      </c>
      <c r="F5" s="4">
        <v>8.3000000000000004E-2</v>
      </c>
      <c r="G5" s="4">
        <f>F4+F5</f>
        <v>0.16800000000000001</v>
      </c>
      <c r="I5" s="1"/>
    </row>
    <row r="6" spans="1:9" ht="14.4" x14ac:dyDescent="0.25">
      <c r="A6" s="2" t="s">
        <v>5</v>
      </c>
      <c r="B6" s="4">
        <v>8.2000000000000003E-2</v>
      </c>
      <c r="C6" s="4">
        <f>B4+B5+B6</f>
        <v>0.251</v>
      </c>
      <c r="D6" s="4">
        <v>9.0999999999999998E-2</v>
      </c>
      <c r="E6" s="4">
        <f>D4+D5+D6</f>
        <v>0.26800000000000002</v>
      </c>
      <c r="F6" s="4">
        <v>0.08</v>
      </c>
      <c r="G6" s="4">
        <f>F4+F5+F6</f>
        <v>0.248</v>
      </c>
      <c r="I6" s="1"/>
    </row>
    <row r="7" spans="1:9" ht="14.4" x14ac:dyDescent="0.25">
      <c r="A7" s="2" t="s">
        <v>6</v>
      </c>
      <c r="B7" s="4">
        <v>7.1999999999999995E-2</v>
      </c>
      <c r="C7" s="4">
        <f>B4+B5+B6+B7</f>
        <v>0.32300000000000001</v>
      </c>
      <c r="D7" s="4">
        <v>7.8E-2</v>
      </c>
      <c r="E7" s="4">
        <f>D4+D5+D6+D7</f>
        <v>0.34600000000000003</v>
      </c>
      <c r="F7" s="4">
        <v>7.0000000000000007E-2</v>
      </c>
      <c r="G7" s="4">
        <f>F4+F5+F6+F7</f>
        <v>0.318</v>
      </c>
      <c r="I7" s="1"/>
    </row>
    <row r="8" spans="1:9" ht="14.4" x14ac:dyDescent="0.25">
      <c r="A8" s="2" t="s">
        <v>7</v>
      </c>
      <c r="B8" s="5">
        <v>8.5000000000000006E-2</v>
      </c>
      <c r="C8" s="5">
        <f>B5+B6+B7+B8+B4</f>
        <v>0.40800000000000003</v>
      </c>
      <c r="D8" s="5">
        <v>8.8999999999999996E-2</v>
      </c>
      <c r="E8" s="5">
        <f>D5+D6+D7+D8+D4</f>
        <v>0.43499999999999994</v>
      </c>
      <c r="F8" s="5">
        <v>7.8E-2</v>
      </c>
      <c r="G8" s="5">
        <f>F5+F6+F7+F8+F4</f>
        <v>0.39600000000000002</v>
      </c>
      <c r="I8" s="1"/>
    </row>
    <row r="9" spans="1:9" ht="14.4" x14ac:dyDescent="0.25">
      <c r="A9" s="2" t="s">
        <v>8</v>
      </c>
      <c r="B9" s="5">
        <v>8.5000000000000006E-2</v>
      </c>
      <c r="C9" s="5">
        <f>B6+B7+B8+B9+B5+B4</f>
        <v>0.49300000000000005</v>
      </c>
      <c r="D9" s="5">
        <v>8.5000000000000006E-2</v>
      </c>
      <c r="E9" s="5">
        <f>D6+D7+D8+D9+D5+D4</f>
        <v>0.52</v>
      </c>
      <c r="F9" s="5">
        <v>0.08</v>
      </c>
      <c r="G9" s="5">
        <f>F6+F7+F8+F9+F5+F4</f>
        <v>0.47600000000000009</v>
      </c>
      <c r="I9" s="1"/>
    </row>
    <row r="10" spans="1:9" ht="14.4" x14ac:dyDescent="0.25">
      <c r="A10" s="2" t="s">
        <v>9</v>
      </c>
      <c r="B10" s="11">
        <v>8.5000000000000006E-2</v>
      </c>
      <c r="C10" s="11">
        <f>B7+B8+B9+B10+B6+B5+B4</f>
        <v>0.57800000000000007</v>
      </c>
      <c r="D10" s="11">
        <v>8.3000000000000004E-2</v>
      </c>
      <c r="E10" s="11">
        <f>D7+D8+D9+D10+D6+D5+D4</f>
        <v>0.60299999999999998</v>
      </c>
      <c r="F10" s="11">
        <v>8.2000000000000003E-2</v>
      </c>
      <c r="G10" s="11">
        <f>F7+F8+F9+F10+F6+F5+F4</f>
        <v>0.55800000000000005</v>
      </c>
      <c r="I10" s="1"/>
    </row>
    <row r="11" spans="1:9" ht="14.4" x14ac:dyDescent="0.25">
      <c r="A11" s="2" t="s">
        <v>10</v>
      </c>
      <c r="B11" s="4">
        <v>8.2000000000000003E-2</v>
      </c>
      <c r="C11" s="4">
        <f>B8+B9+B10+B11+B7+B6+B5+B4</f>
        <v>0.66</v>
      </c>
      <c r="D11" s="4">
        <v>8.4000000000000005E-2</v>
      </c>
      <c r="E11" s="4">
        <f>D8+D9+D10+D11+D7+D6+D5+D4</f>
        <v>0.68699999999999994</v>
      </c>
      <c r="F11" s="4">
        <v>8.3000000000000004E-2</v>
      </c>
      <c r="G11" s="4">
        <f>F8+F9+F10+F11+F7+F6+F5+F4</f>
        <v>0.64100000000000001</v>
      </c>
      <c r="I11" s="1"/>
    </row>
    <row r="12" spans="1:9" ht="14.4" x14ac:dyDescent="0.25">
      <c r="A12" s="2" t="s">
        <v>11</v>
      </c>
      <c r="B12" s="6">
        <v>7.0000000000000007E-2</v>
      </c>
      <c r="C12" s="6">
        <f>B9+B10+B11+B12+B8+B7+B6+B5+B4</f>
        <v>0.73</v>
      </c>
      <c r="D12" s="6">
        <v>7.4999999999999997E-2</v>
      </c>
      <c r="E12" s="6">
        <f>D9+D10+D11+D12+D8+D7+D6+D5+D4</f>
        <v>0.76200000000000001</v>
      </c>
      <c r="F12" s="6">
        <v>7.0000000000000007E-2</v>
      </c>
      <c r="G12" s="6">
        <f>F9+F10+F11+F12+F8+F7+F6+F5+F4</f>
        <v>0.71099999999999997</v>
      </c>
      <c r="I12" s="1"/>
    </row>
    <row r="13" spans="1:9" ht="14.4" x14ac:dyDescent="0.25">
      <c r="A13" s="2" t="s">
        <v>12</v>
      </c>
      <c r="B13" s="4">
        <v>0.05</v>
      </c>
      <c r="C13" s="4">
        <f>B10+B11+B12+B13+B9+B8+B7+B6+B5+B4</f>
        <v>0.77999999999999992</v>
      </c>
      <c r="D13" s="4">
        <v>0.05</v>
      </c>
      <c r="E13" s="4">
        <f>D10+D11+D12+D13+D9+D8+D7+D6+D5+D4</f>
        <v>0.81199999999999983</v>
      </c>
      <c r="F13" s="4">
        <v>5.3999999999999999E-2</v>
      </c>
      <c r="G13" s="4">
        <f>F10+F11+F12+F13+F9+F8+F7+F6+F5+F4</f>
        <v>0.76500000000000001</v>
      </c>
      <c r="I13" s="1"/>
    </row>
    <row r="14" spans="1:9" ht="14.4" x14ac:dyDescent="0.25">
      <c r="A14" s="2" t="s">
        <v>13</v>
      </c>
      <c r="B14" s="4">
        <v>0.1</v>
      </c>
      <c r="C14" s="4">
        <f>B11+B12+B13+B14+B10+B9+B8+B7+B6+B5+B4</f>
        <v>0.87999999999999989</v>
      </c>
      <c r="D14" s="4">
        <v>9.2999999999999999E-2</v>
      </c>
      <c r="E14" s="4">
        <f>D11+D12+D13+D14+D10+D9+D8+D7+D6+D5+D4</f>
        <v>0.90499999999999992</v>
      </c>
      <c r="F14" s="4">
        <v>9.7000000000000003E-2</v>
      </c>
      <c r="G14" s="4">
        <f>F11+F12+F13+F14+F10+F9+F8+F7+F6+F5+F4</f>
        <v>0.86199999999999999</v>
      </c>
      <c r="I14" s="1"/>
    </row>
    <row r="15" spans="1:9" ht="14.4" x14ac:dyDescent="0.25">
      <c r="A15" s="2" t="s">
        <v>14</v>
      </c>
      <c r="B15" s="3">
        <v>0.12</v>
      </c>
      <c r="C15" s="3">
        <f>B12+B13+B14+B15+B11+B10+B9+B8+B7+B6+B5+B4</f>
        <v>0.99999999999999978</v>
      </c>
      <c r="D15" s="3">
        <v>9.5000000000000001E-2</v>
      </c>
      <c r="E15" s="3">
        <f>D12+D13+D14+D15+D11+D10+D9+D8+D7+D6+D5+D4</f>
        <v>0.99999999999999989</v>
      </c>
      <c r="F15" s="3">
        <v>0.13800000000000001</v>
      </c>
      <c r="G15" s="3">
        <f>F12+F13+F14+F15+F11+F10+F9+F8+F7+F6+F5+F4</f>
        <v>0.99999999999999989</v>
      </c>
      <c r="I15" s="1"/>
    </row>
  </sheetData>
  <mergeCells count="5">
    <mergeCell ref="A1:G1"/>
    <mergeCell ref="B2:C2"/>
    <mergeCell ref="D2:E2"/>
    <mergeCell ref="F2:G2"/>
    <mergeCell ref="A2:A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User92</dc:creator>
  <cp:lastModifiedBy>גלית ואלצר | גל אלמגור ביטוח</cp:lastModifiedBy>
  <dcterms:created xsi:type="dcterms:W3CDTF">2023-01-10T09:36:22Z</dcterms:created>
  <dcterms:modified xsi:type="dcterms:W3CDTF">2025-08-20T15:44:43Z</dcterms:modified>
</cp:coreProperties>
</file>