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4"/>
    <sheet state="visible" name="גיליון2" sheetId="2" r:id="rId5"/>
  </sheets>
  <definedNames>
    <definedName hidden="1" localSheetId="0" name="_xlnm._FilterDatabase">'גיליון1'!$A$3:$W$75</definedName>
  </definedNames>
  <calcPr/>
  <extLst>
    <ext uri="GoogleSheetsCustomDataVersion2">
      <go:sheetsCustomData xmlns:go="http://customooxmlschemas.google.com/" r:id="rId6" roundtripDataChecksum="kWpXfkt3UOTUNpPk+7vroyFcJR03C4sCGYcJDUTQ1uQ="/>
    </ext>
  </extLst>
</workbook>
</file>

<file path=xl/sharedStrings.xml><?xml version="1.0" encoding="utf-8"?>
<sst xmlns="http://schemas.openxmlformats.org/spreadsheetml/2006/main" count="155" uniqueCount="89">
  <si>
    <t>שינוי מול אשתקד %</t>
  </si>
  <si>
    <t xml:space="preserve">תפוקה מצטברת </t>
  </si>
  <si>
    <t>יעד 2025</t>
  </si>
  <si>
    <t>התפלגות חודשית</t>
  </si>
  <si>
    <t>התפלגות שנתית (מצטבר)</t>
  </si>
  <si>
    <t>פנסיוני</t>
  </si>
  <si>
    <t>סיכונים</t>
  </si>
  <si>
    <t>פיננסים</t>
  </si>
  <si>
    <t>ניוד פנסיה</t>
  </si>
  <si>
    <t>שם סוכן</t>
  </si>
  <si>
    <t xml:space="preserve">מפקח </t>
  </si>
  <si>
    <t xml:space="preserve">פיננסים </t>
  </si>
  <si>
    <t xml:space="preserve">סיכונים </t>
  </si>
  <si>
    <t>גל אלמגור סוכ</t>
  </si>
  <si>
    <t>יוסי אביב</t>
  </si>
  <si>
    <t>דניאלה אביב</t>
  </si>
  <si>
    <t xml:space="preserve">רותי </t>
  </si>
  <si>
    <t xml:space="preserve">אילנית </t>
  </si>
  <si>
    <t>דני פחימה</t>
  </si>
  <si>
    <t>סה"כ ישיר</t>
  </si>
  <si>
    <t>בראשית סוכנות לביטוח</t>
  </si>
  <si>
    <t>גל אלמגור דאוד סוכ' לב</t>
  </si>
  <si>
    <t>גל אלמגור -וייס סוכנות</t>
  </si>
  <si>
    <t>משה שטרן גל אלמגור</t>
  </si>
  <si>
    <t>מקסימום סוכנות לבטוח פ</t>
  </si>
  <si>
    <t>א.ד. אבידן ביטוחים בע"מ</t>
  </si>
  <si>
    <t>גל אלמגור דרום סוכ ל</t>
  </si>
  <si>
    <t xml:space="preserve">גל אלמגור -ראם </t>
  </si>
  <si>
    <t>סה"כ חברות בנות</t>
  </si>
  <si>
    <t>מועלם אלפרד</t>
  </si>
  <si>
    <t xml:space="preserve">ערן גירוני </t>
  </si>
  <si>
    <t>גרניק בנימין</t>
  </si>
  <si>
    <t>יונתן מנחם</t>
  </si>
  <si>
    <t>שלי מזרחי</t>
  </si>
  <si>
    <t>אורטל / לנג ביג סוכנות לביטוח פנסיוני</t>
  </si>
  <si>
    <t>נעם הלשטוק</t>
  </si>
  <si>
    <t>נור אבו ראס</t>
  </si>
  <si>
    <t>יהונתן שיוביץ</t>
  </si>
  <si>
    <t>אחמד עלי אחמד</t>
  </si>
  <si>
    <t>סיון פיינרו</t>
  </si>
  <si>
    <t>לילי שרון</t>
  </si>
  <si>
    <t>סאוסן שלבי</t>
  </si>
  <si>
    <t>סברא סמיר</t>
  </si>
  <si>
    <t>ריזק חלבי</t>
  </si>
  <si>
    <t>שלבי מיסון</t>
  </si>
  <si>
    <t>בחוס יוסף</t>
  </si>
  <si>
    <t>קליין סיון</t>
  </si>
  <si>
    <t>צקותאי אורי</t>
  </si>
  <si>
    <t>סמיר בלאן</t>
  </si>
  <si>
    <t>אלקרינאוי ראוף</t>
  </si>
  <si>
    <t>דאי גדי</t>
  </si>
  <si>
    <t>מילאד אבו שקארה</t>
  </si>
  <si>
    <t>דראושה אדהם</t>
  </si>
  <si>
    <t>בדארנה עומר</t>
  </si>
  <si>
    <t>לוי חיים</t>
  </si>
  <si>
    <t>עבוד כיתי</t>
  </si>
  <si>
    <t>יעקב ישראל שטרן</t>
  </si>
  <si>
    <t xml:space="preserve">שני לוי </t>
  </si>
  <si>
    <t>דאי דניאל</t>
  </si>
  <si>
    <t xml:space="preserve">ניר יבלונקה </t>
  </si>
  <si>
    <t>דורי כדורי דאי</t>
  </si>
  <si>
    <t xml:space="preserve">אבו חיט ניזאם </t>
  </si>
  <si>
    <t>איתי אדן</t>
  </si>
  <si>
    <t>מטאנס זוהיר</t>
  </si>
  <si>
    <t>ינאי חיים בוני</t>
  </si>
  <si>
    <t>מכלול סוכנות לביטוח</t>
  </si>
  <si>
    <t>דורון ענק הביטוח</t>
  </si>
  <si>
    <t>חנה כצנלסון</t>
  </si>
  <si>
    <t xml:space="preserve">מיכאל וקסלר </t>
  </si>
  <si>
    <t>בדר צבי</t>
  </si>
  <si>
    <t>קבוצת סוכנים ערן גירוני</t>
  </si>
  <si>
    <t>אריאל בר-חיים</t>
  </si>
  <si>
    <t>אלרם סוכנות לביטוח</t>
  </si>
  <si>
    <t>רכס אורן</t>
  </si>
  <si>
    <t>גולדר אבי</t>
  </si>
  <si>
    <t>סה"כ פרימיום</t>
  </si>
  <si>
    <t>שירלי בוכריס</t>
  </si>
  <si>
    <t>אילנית כהן</t>
  </si>
  <si>
    <t>מחמוד פארס</t>
  </si>
  <si>
    <t>חאטר וסים</t>
  </si>
  <si>
    <t>סטולרז אסף</t>
  </si>
  <si>
    <t>עאטף עדווי</t>
  </si>
  <si>
    <t>גול זאב</t>
  </si>
  <si>
    <t>רן בסין</t>
  </si>
  <si>
    <t>אביב מור יוסף</t>
  </si>
  <si>
    <t>גל אלמגור קפיטל</t>
  </si>
  <si>
    <t>סה"כ גל אלמגור מרכז קפיטל</t>
  </si>
  <si>
    <t>סה"כ כולל</t>
  </si>
  <si>
    <t>בדיקה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</si>
</sst>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 * #,##0_ ;_ * \-#,##0_ ;_ * &quot;-&quot;??_ ;_ @_ "/>
    <numFmt numFmtId="165" formatCode="0.000%"/>
  </numFmts>
  <fonts count="7">
    <font>
      <sz val="11.0"/>
      <color theme="1"/>
      <name val="Arial"/>
      <scheme val="minor"/>
    </font>
    <font>
      <sz val="12.0"/>
      <color theme="1"/>
      <name val="Arial"/>
    </font>
    <font>
      <b/>
      <sz val="12.0"/>
      <color theme="1"/>
      <name val="Arial"/>
    </font>
    <font/>
    <font>
      <sz val="11.0"/>
      <color theme="1"/>
      <name val="Calibri"/>
    </font>
    <font>
      <sz val="12.0"/>
      <color theme="1"/>
      <name val="Calibri"/>
    </font>
    <font>
      <sz val="12.0"/>
      <color rgb="FF333333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1A983"/>
        <bgColor rgb="FFF1A983"/>
      </patternFill>
    </fill>
    <fill>
      <patternFill patternType="solid">
        <fgColor rgb="FF8ED873"/>
        <bgColor rgb="FF8ED873"/>
      </patternFill>
    </fill>
    <fill>
      <patternFill patternType="solid">
        <fgColor rgb="FFFAE2D5"/>
        <bgColor rgb="FFFAE2D5"/>
      </patternFill>
    </fill>
    <fill>
      <patternFill patternType="solid">
        <fgColor rgb="FFDBE9F7"/>
        <bgColor rgb="FFDBE9F7"/>
      </patternFill>
    </fill>
    <fill>
      <patternFill patternType="solid">
        <fgColor rgb="FFD9F2D0"/>
        <bgColor rgb="FFD9F2D0"/>
      </patternFill>
    </fill>
    <fill>
      <patternFill patternType="solid">
        <fgColor rgb="FFC1E4F5"/>
        <bgColor rgb="FFC1E4F5"/>
      </patternFill>
    </fill>
    <fill>
      <patternFill patternType="solid">
        <fgColor theme="0"/>
        <bgColor theme="0"/>
      </patternFill>
    </fill>
    <fill>
      <patternFill patternType="solid">
        <fgColor rgb="FFF1CEEE"/>
        <bgColor rgb="FFF1CEEE"/>
      </patternFill>
    </fill>
  </fills>
  <borders count="19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2" shrinkToFit="0" vertical="center" wrapText="1"/>
    </xf>
    <xf borderId="2" fillId="0" fontId="1" numFmtId="0" xfId="0" applyAlignment="1" applyBorder="1" applyFont="1">
      <alignment horizontal="center" readingOrder="2" shrinkToFit="0" vertical="center" wrapText="1"/>
    </xf>
    <xf borderId="3" fillId="2" fontId="2" numFmtId="0" xfId="0" applyAlignment="1" applyBorder="1" applyFill="1" applyFont="1">
      <alignment horizontal="center" readingOrder="0" vertical="center"/>
    </xf>
    <xf borderId="4" fillId="0" fontId="3" numFmtId="0" xfId="0" applyBorder="1" applyFont="1"/>
    <xf borderId="5" fillId="0" fontId="3" numFmtId="0" xfId="0" applyBorder="1" applyFont="1"/>
    <xf borderId="6" fillId="3" fontId="2" numFmtId="0" xfId="0" applyAlignment="1" applyBorder="1" applyFill="1" applyFont="1">
      <alignment horizontal="center" readingOrder="2" shrinkToFit="0" vertical="center" wrapText="1"/>
    </xf>
    <xf borderId="7" fillId="0" fontId="3" numFmtId="0" xfId="0" applyBorder="1" applyFont="1"/>
    <xf borderId="8" fillId="4" fontId="2" numFmtId="0" xfId="0" applyAlignment="1" applyBorder="1" applyFill="1" applyFont="1">
      <alignment horizontal="center" readingOrder="0" vertical="center"/>
    </xf>
    <xf borderId="9" fillId="0" fontId="3" numFmtId="0" xfId="0" applyBorder="1" applyFont="1"/>
    <xf borderId="10" fillId="0" fontId="3" numFmtId="0" xfId="0" applyBorder="1" applyFont="1"/>
    <xf borderId="8" fillId="0" fontId="2" numFmtId="0" xfId="0" applyAlignment="1" applyBorder="1" applyFont="1">
      <alignment horizontal="center" readingOrder="0"/>
    </xf>
    <xf borderId="0" fillId="0" fontId="1" numFmtId="0" xfId="0" applyAlignment="1" applyFont="1">
      <alignment horizontal="center" vertical="center"/>
    </xf>
    <xf borderId="11" fillId="0" fontId="1" numFmtId="0" xfId="0" applyAlignment="1" applyBorder="1" applyFont="1">
      <alignment horizontal="center" readingOrder="2" shrinkToFit="0" vertical="center" wrapText="1"/>
    </xf>
    <xf borderId="12" fillId="0" fontId="1" numFmtId="0" xfId="0" applyAlignment="1" applyBorder="1" applyFont="1">
      <alignment horizontal="center" readingOrder="2" shrinkToFit="0" vertical="center" wrapText="1"/>
    </xf>
    <xf borderId="13" fillId="2" fontId="2" numFmtId="0" xfId="0" applyAlignment="1" applyBorder="1" applyFont="1">
      <alignment horizontal="center" vertical="center"/>
    </xf>
    <xf borderId="14" fillId="2" fontId="2" numFmtId="0" xfId="0" applyAlignment="1" applyBorder="1" applyFont="1">
      <alignment horizontal="center" vertical="center"/>
    </xf>
    <xf borderId="14" fillId="3" fontId="2" numFmtId="0" xfId="0" applyAlignment="1" applyBorder="1" applyFont="1">
      <alignment horizontal="center" readingOrder="2" shrinkToFit="0" vertical="center" wrapText="1"/>
    </xf>
    <xf borderId="15" fillId="3" fontId="2" numFmtId="0" xfId="0" applyAlignment="1" applyBorder="1" applyFont="1">
      <alignment horizontal="center" readingOrder="2" shrinkToFit="0" vertical="center" wrapText="1"/>
    </xf>
    <xf borderId="11" fillId="5" fontId="2" numFmtId="0" xfId="0" applyAlignment="1" applyBorder="1" applyFill="1" applyFont="1">
      <alignment horizontal="center" readingOrder="0" vertical="center"/>
    </xf>
    <xf borderId="14" fillId="5" fontId="2" numFmtId="164" xfId="0" applyAlignment="1" applyBorder="1" applyFont="1" applyNumberFormat="1">
      <alignment horizontal="center" readingOrder="0" vertical="center"/>
    </xf>
    <xf borderId="14" fillId="5" fontId="2" numFmtId="0" xfId="0" applyAlignment="1" applyBorder="1" applyFont="1">
      <alignment horizontal="center" readingOrder="0" vertical="center"/>
    </xf>
    <xf borderId="12" fillId="5" fontId="2" numFmtId="0" xfId="0" applyAlignment="1" applyBorder="1" applyFont="1">
      <alignment horizontal="center" readingOrder="0" vertical="center"/>
    </xf>
    <xf borderId="11" fillId="5" fontId="2" numFmtId="164" xfId="0" applyAlignment="1" applyBorder="1" applyFont="1" applyNumberFormat="1">
      <alignment horizontal="center" readingOrder="0" vertical="center"/>
    </xf>
    <xf borderId="12" fillId="5" fontId="2" numFmtId="164" xfId="0" applyAlignment="1" applyBorder="1" applyFont="1" applyNumberFormat="1">
      <alignment horizontal="center" readingOrder="0" vertical="center"/>
    </xf>
    <xf borderId="11" fillId="4" fontId="2" numFmtId="0" xfId="0" applyAlignment="1" applyBorder="1" applyFont="1">
      <alignment horizontal="center" readingOrder="2" shrinkToFit="0" vertical="center" wrapText="1"/>
    </xf>
    <xf borderId="12" fillId="4" fontId="2" numFmtId="0" xfId="0" applyAlignment="1" applyBorder="1" applyFont="1">
      <alignment horizontal="center" readingOrder="2" shrinkToFit="0" vertical="center" wrapText="1"/>
    </xf>
    <xf borderId="13" fillId="2" fontId="2" numFmtId="164" xfId="0" applyAlignment="1" applyBorder="1" applyFont="1" applyNumberFormat="1">
      <alignment horizontal="center" readingOrder="0" vertical="center"/>
    </xf>
    <xf borderId="14" fillId="2" fontId="2" numFmtId="164" xfId="0" applyAlignment="1" applyBorder="1" applyFont="1" applyNumberFormat="1">
      <alignment horizontal="center" readingOrder="0" vertical="center"/>
    </xf>
    <xf borderId="14" fillId="3" fontId="2" numFmtId="164" xfId="0" applyAlignment="1" applyBorder="1" applyFont="1" applyNumberFormat="1">
      <alignment horizontal="center" readingOrder="2" shrinkToFit="0" vertical="center" wrapText="1"/>
    </xf>
    <xf borderId="15" fillId="3" fontId="2" numFmtId="164" xfId="0" applyAlignment="1" applyBorder="1" applyFont="1" applyNumberFormat="1">
      <alignment horizontal="center" readingOrder="2" shrinkToFit="0" vertical="center" wrapText="1"/>
    </xf>
    <xf borderId="14" fillId="0" fontId="1" numFmtId="0" xfId="0" applyAlignment="1" applyBorder="1" applyFont="1">
      <alignment horizontal="center" vertical="center"/>
    </xf>
    <xf borderId="14" fillId="2" fontId="4" numFmtId="10" xfId="0" applyAlignment="1" applyBorder="1" applyFont="1" applyNumberFormat="1">
      <alignment horizontal="center" vertical="center"/>
    </xf>
    <xf borderId="5" fillId="0" fontId="1" numFmtId="9" xfId="0" applyAlignment="1" applyBorder="1" applyFont="1" applyNumberFormat="1">
      <alignment horizontal="center" vertical="center"/>
    </xf>
    <xf borderId="14" fillId="0" fontId="1" numFmtId="9" xfId="0" applyAlignment="1" applyBorder="1" applyFont="1" applyNumberFormat="1">
      <alignment horizontal="center" vertical="center"/>
    </xf>
    <xf borderId="14" fillId="6" fontId="1" numFmtId="164" xfId="0" applyAlignment="1" applyBorder="1" applyFill="1" applyFont="1" applyNumberFormat="1">
      <alignment horizontal="center" vertical="center"/>
    </xf>
    <xf borderId="15" fillId="6" fontId="1" numFmtId="164" xfId="0" applyAlignment="1" applyBorder="1" applyFont="1" applyNumberFormat="1">
      <alignment horizontal="center" vertical="center"/>
    </xf>
    <xf borderId="11" fillId="0" fontId="1" numFmtId="164" xfId="0" applyAlignment="1" applyBorder="1" applyFont="1" applyNumberFormat="1">
      <alignment horizontal="center" vertical="center"/>
    </xf>
    <xf borderId="14" fillId="0" fontId="1" numFmtId="164" xfId="0" applyAlignment="1" applyBorder="1" applyFont="1" applyNumberFormat="1">
      <alignment horizontal="center" vertical="center"/>
    </xf>
    <xf borderId="12" fillId="0" fontId="1" numFmtId="164" xfId="0" applyAlignment="1" applyBorder="1" applyFont="1" applyNumberFormat="1">
      <alignment horizontal="center" vertical="center"/>
    </xf>
    <xf borderId="11" fillId="4" fontId="2" numFmtId="164" xfId="0" applyAlignment="1" applyBorder="1" applyFont="1" applyNumberFormat="1">
      <alignment horizontal="center" readingOrder="0" vertical="center"/>
    </xf>
    <xf borderId="12" fillId="4" fontId="2" numFmtId="164" xfId="0" applyAlignment="1" applyBorder="1" applyFont="1" applyNumberFormat="1">
      <alignment horizontal="center" vertical="center"/>
    </xf>
    <xf borderId="13" fillId="4" fontId="1" numFmtId="9" xfId="0" applyAlignment="1" applyBorder="1" applyFont="1" applyNumberFormat="1">
      <alignment horizontal="center" vertical="center"/>
    </xf>
    <xf borderId="14" fillId="4" fontId="1" numFmtId="9" xfId="0" applyAlignment="1" applyBorder="1" applyFont="1" applyNumberFormat="1">
      <alignment horizontal="center" vertical="center"/>
    </xf>
    <xf borderId="14" fillId="4" fontId="2" numFmtId="164" xfId="0" applyAlignment="1" applyBorder="1" applyFont="1" applyNumberFormat="1">
      <alignment horizontal="center" readingOrder="2" shrinkToFit="0" vertical="center" wrapText="1"/>
    </xf>
    <xf borderId="15" fillId="4" fontId="2" numFmtId="164" xfId="0" applyAlignment="1" applyBorder="1" applyFont="1" applyNumberFormat="1">
      <alignment horizontal="center" readingOrder="2" shrinkToFit="0" vertical="center" wrapText="1"/>
    </xf>
    <xf borderId="11" fillId="4" fontId="2" numFmtId="164" xfId="0" applyAlignment="1" applyBorder="1" applyFont="1" applyNumberFormat="1">
      <alignment horizontal="center" vertical="center"/>
    </xf>
    <xf borderId="14" fillId="0" fontId="5" numFmtId="0" xfId="0" applyAlignment="1" applyBorder="1" applyFont="1">
      <alignment horizontal="center" readingOrder="2" shrinkToFit="0" vertical="center" wrapText="1"/>
    </xf>
    <xf borderId="5" fillId="0" fontId="1" numFmtId="164" xfId="0" applyAlignment="1" applyBorder="1" applyFont="1" applyNumberFormat="1">
      <alignment horizontal="center" vertical="center"/>
    </xf>
    <xf borderId="4" fillId="0" fontId="1" numFmtId="164" xfId="0" applyAlignment="1" applyBorder="1" applyFont="1" applyNumberFormat="1">
      <alignment horizontal="center" vertical="center"/>
    </xf>
    <xf borderId="11" fillId="0" fontId="6" numFmtId="0" xfId="0" applyAlignment="1" applyBorder="1" applyFont="1">
      <alignment horizontal="center" readingOrder="2" shrinkToFit="0" vertical="center" wrapText="1"/>
    </xf>
    <xf borderId="11" fillId="0" fontId="1" numFmtId="0" xfId="0" applyAlignment="1" applyBorder="1" applyFont="1">
      <alignment readingOrder="0"/>
    </xf>
    <xf borderId="11" fillId="7" fontId="1" numFmtId="0" xfId="0" applyAlignment="1" applyBorder="1" applyFill="1" applyFont="1">
      <alignment horizontal="center" readingOrder="2" shrinkToFit="0" vertical="center" wrapText="1"/>
    </xf>
    <xf borderId="12" fillId="8" fontId="1" numFmtId="0" xfId="0" applyAlignment="1" applyBorder="1" applyFill="1" applyFont="1">
      <alignment horizontal="center" readingOrder="2" shrinkToFit="0" vertical="center" wrapText="1"/>
    </xf>
    <xf borderId="13" fillId="8" fontId="1" numFmtId="9" xfId="0" applyAlignment="1" applyBorder="1" applyFont="1" applyNumberFormat="1">
      <alignment horizontal="center" vertical="center"/>
    </xf>
    <xf borderId="14" fillId="8" fontId="1" numFmtId="9" xfId="0" applyAlignment="1" applyBorder="1" applyFont="1" applyNumberFormat="1">
      <alignment horizontal="center" vertical="center"/>
    </xf>
    <xf borderId="14" fillId="8" fontId="1" numFmtId="164" xfId="0" applyAlignment="1" applyBorder="1" applyFont="1" applyNumberFormat="1">
      <alignment horizontal="center" vertical="center"/>
    </xf>
    <xf borderId="15" fillId="8" fontId="1" numFmtId="164" xfId="0" applyAlignment="1" applyBorder="1" applyFont="1" applyNumberFormat="1">
      <alignment horizontal="center" vertical="center"/>
    </xf>
    <xf borderId="11" fillId="8" fontId="1" numFmtId="164" xfId="0" applyAlignment="1" applyBorder="1" applyFont="1" applyNumberFormat="1">
      <alignment horizontal="center" vertical="center"/>
    </xf>
    <xf borderId="12" fillId="8" fontId="1" numFmtId="164" xfId="0" applyAlignment="1" applyBorder="1" applyFont="1" applyNumberFormat="1">
      <alignment horizontal="center" vertical="center"/>
    </xf>
    <xf borderId="16" fillId="8" fontId="1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11" fillId="8" fontId="1" numFmtId="0" xfId="0" applyAlignment="1" applyBorder="1" applyFont="1">
      <alignment horizontal="center" readingOrder="2" shrinkToFit="0" vertical="center" wrapText="1"/>
    </xf>
    <xf borderId="11" fillId="8" fontId="1" numFmtId="164" xfId="0" applyAlignment="1" applyBorder="1" applyFont="1" applyNumberFormat="1">
      <alignment horizontal="center" readingOrder="0" vertical="center"/>
    </xf>
    <xf borderId="12" fillId="8" fontId="1" numFmtId="164" xfId="0" applyAlignment="1" applyBorder="1" applyFont="1" applyNumberFormat="1">
      <alignment horizontal="center" readingOrder="0" vertical="center"/>
    </xf>
    <xf borderId="14" fillId="8" fontId="1" numFmtId="164" xfId="0" applyAlignment="1" applyBorder="1" applyFont="1" applyNumberFormat="1">
      <alignment horizontal="center" readingOrder="2" shrinkToFit="0" vertical="center" wrapText="1"/>
    </xf>
    <xf borderId="15" fillId="8" fontId="1" numFmtId="164" xfId="0" applyAlignment="1" applyBorder="1" applyFont="1" applyNumberFormat="1">
      <alignment horizontal="center" readingOrder="2" shrinkToFit="0" vertical="center" wrapText="1"/>
    </xf>
    <xf borderId="11" fillId="5" fontId="1" numFmtId="0" xfId="0" applyAlignment="1" applyBorder="1" applyFont="1">
      <alignment horizontal="center" readingOrder="2" shrinkToFit="0" vertical="center" wrapText="1"/>
    </xf>
    <xf borderId="12" fillId="4" fontId="1" numFmtId="0" xfId="0" applyAlignment="1" applyBorder="1" applyFont="1">
      <alignment horizontal="center" readingOrder="2" shrinkToFit="0" vertical="center" wrapText="1"/>
    </xf>
    <xf borderId="14" fillId="4" fontId="1" numFmtId="164" xfId="0" applyAlignment="1" applyBorder="1" applyFont="1" applyNumberFormat="1">
      <alignment horizontal="center" vertical="center"/>
    </xf>
    <xf borderId="15" fillId="4" fontId="1" numFmtId="164" xfId="0" applyAlignment="1" applyBorder="1" applyFont="1" applyNumberFormat="1">
      <alignment horizontal="center" vertical="center"/>
    </xf>
    <xf borderId="11" fillId="4" fontId="1" numFmtId="164" xfId="0" applyAlignment="1" applyBorder="1" applyFont="1" applyNumberFormat="1">
      <alignment horizontal="center" vertical="center"/>
    </xf>
    <xf borderId="17" fillId="9" fontId="2" numFmtId="164" xfId="0" applyAlignment="1" applyBorder="1" applyFill="1" applyFont="1" applyNumberFormat="1">
      <alignment horizontal="center" readingOrder="0" vertical="center"/>
    </xf>
    <xf borderId="18" fillId="9" fontId="1" numFmtId="164" xfId="0" applyAlignment="1" applyBorder="1" applyFont="1" applyNumberFormat="1">
      <alignment horizontal="center" vertical="center"/>
    </xf>
    <xf borderId="13" fillId="9" fontId="1" numFmtId="9" xfId="0" applyAlignment="1" applyBorder="1" applyFont="1" applyNumberFormat="1">
      <alignment horizontal="center" vertical="center"/>
    </xf>
    <xf borderId="14" fillId="9" fontId="1" numFmtId="9" xfId="0" applyAlignment="1" applyBorder="1" applyFont="1" applyNumberFormat="1">
      <alignment horizontal="center" vertical="center"/>
    </xf>
    <xf borderId="14" fillId="9" fontId="2" numFmtId="164" xfId="0" applyAlignment="1" applyBorder="1" applyFont="1" applyNumberFormat="1">
      <alignment horizontal="center" readingOrder="2" shrinkToFit="0" vertical="center" wrapText="1"/>
    </xf>
    <xf borderId="15" fillId="9" fontId="2" numFmtId="164" xfId="0" applyAlignment="1" applyBorder="1" applyFont="1" applyNumberFormat="1">
      <alignment horizontal="center" readingOrder="2" shrinkToFit="0" vertical="center" wrapText="1"/>
    </xf>
    <xf borderId="17" fillId="9" fontId="2" numFmtId="164" xfId="0" applyAlignment="1" applyBorder="1" applyFont="1" applyNumberFormat="1">
      <alignment horizontal="center" vertical="center"/>
    </xf>
    <xf borderId="0" fillId="0" fontId="1" numFmtId="0" xfId="0" applyFont="1"/>
    <xf borderId="0" fillId="0" fontId="1" numFmtId="164" xfId="0" applyFont="1" applyNumberFormat="1"/>
    <xf borderId="0" fillId="0" fontId="1" numFmtId="0" xfId="0" applyAlignment="1" applyFont="1">
      <alignment readingOrder="0"/>
    </xf>
    <xf borderId="0" fillId="0" fontId="1" numFmtId="165" xfId="0" applyFont="1" applyNumberFormat="1"/>
    <xf borderId="0" fillId="0" fontId="1" numFmtId="10" xfId="0" applyFont="1" applyNumberFormat="1"/>
  </cellXfs>
  <cellStyles count="1">
    <cellStyle xfId="0" name="Normal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31.5"/>
    <col customWidth="1" min="2" max="2" width="9.88"/>
    <col customWidth="1" hidden="1" min="3" max="3" width="11.5"/>
    <col customWidth="1" hidden="1" min="4" max="4" width="11.88"/>
    <col customWidth="1" hidden="1" min="5" max="5" width="12.75"/>
    <col customWidth="1" hidden="1" min="6" max="6" width="11.0"/>
    <col customWidth="1" hidden="1" min="7" max="7" width="11.38"/>
    <col customWidth="1" min="8" max="8" width="0.63"/>
    <col customWidth="1" min="9" max="9" width="12.13"/>
    <col customWidth="1" min="10" max="10" width="11.0"/>
    <col customWidth="1" min="11" max="12" width="13.38"/>
    <col customWidth="1" min="13" max="13" width="12.13"/>
    <col customWidth="1" min="14" max="14" width="11.0"/>
    <col customWidth="1" min="15" max="16" width="12.13"/>
    <col customWidth="1" min="17" max="17" width="15.0"/>
    <col customWidth="1" min="18" max="18" width="13.25"/>
    <col customWidth="1" min="19" max="20" width="13.38"/>
    <col customWidth="1" min="21" max="26" width="8.5"/>
  </cols>
  <sheetData>
    <row r="1" ht="21.0" customHeight="1">
      <c r="A1" s="1"/>
      <c r="B1" s="2"/>
      <c r="C1" s="3" t="s">
        <v>0</v>
      </c>
      <c r="D1" s="4"/>
      <c r="E1" s="5"/>
      <c r="F1" s="6" t="s">
        <v>1</v>
      </c>
      <c r="G1" s="4"/>
      <c r="H1" s="7"/>
      <c r="I1" s="8" t="s">
        <v>2</v>
      </c>
      <c r="J1" s="9"/>
      <c r="K1" s="9"/>
      <c r="L1" s="10"/>
      <c r="M1" s="11" t="s">
        <v>3</v>
      </c>
      <c r="N1" s="9"/>
      <c r="O1" s="9"/>
      <c r="P1" s="10"/>
      <c r="Q1" s="11" t="s">
        <v>4</v>
      </c>
      <c r="R1" s="9"/>
      <c r="S1" s="9"/>
      <c r="T1" s="10"/>
      <c r="U1" s="12"/>
      <c r="V1" s="12"/>
      <c r="W1" s="12"/>
      <c r="X1" s="12"/>
      <c r="Y1" s="12"/>
      <c r="Z1" s="12"/>
    </row>
    <row r="2">
      <c r="A2" s="13"/>
      <c r="B2" s="14"/>
      <c r="C2" s="15"/>
      <c r="D2" s="16"/>
      <c r="E2" s="16"/>
      <c r="F2" s="17"/>
      <c r="G2" s="17"/>
      <c r="H2" s="18"/>
      <c r="I2" s="19" t="s">
        <v>5</v>
      </c>
      <c r="J2" s="20" t="s">
        <v>6</v>
      </c>
      <c r="K2" s="21" t="s">
        <v>7</v>
      </c>
      <c r="L2" s="22" t="s">
        <v>8</v>
      </c>
      <c r="M2" s="23" t="s">
        <v>5</v>
      </c>
      <c r="N2" s="20" t="s">
        <v>6</v>
      </c>
      <c r="O2" s="20" t="s">
        <v>7</v>
      </c>
      <c r="P2" s="24" t="s">
        <v>8</v>
      </c>
      <c r="Q2" s="23" t="s">
        <v>5</v>
      </c>
      <c r="R2" s="20" t="s">
        <v>6</v>
      </c>
      <c r="S2" s="20" t="s">
        <v>7</v>
      </c>
      <c r="T2" s="24" t="s">
        <v>8</v>
      </c>
      <c r="U2" s="12"/>
      <c r="V2" s="12"/>
      <c r="W2" s="12"/>
      <c r="X2" s="12"/>
      <c r="Y2" s="12"/>
      <c r="Z2" s="12"/>
    </row>
    <row r="3" ht="42.0" customHeight="1">
      <c r="A3" s="25" t="s">
        <v>9</v>
      </c>
      <c r="B3" s="26" t="s">
        <v>10</v>
      </c>
      <c r="C3" s="27" t="s">
        <v>5</v>
      </c>
      <c r="D3" s="28" t="s">
        <v>6</v>
      </c>
      <c r="E3" s="28" t="s">
        <v>11</v>
      </c>
      <c r="F3" s="29" t="s">
        <v>5</v>
      </c>
      <c r="G3" s="29" t="s">
        <v>12</v>
      </c>
      <c r="H3" s="30" t="s">
        <v>7</v>
      </c>
      <c r="I3" s="31"/>
      <c r="J3" s="31"/>
      <c r="K3" s="31"/>
      <c r="L3" s="31"/>
      <c r="M3" s="32">
        <v>0.085</v>
      </c>
      <c r="N3" s="32">
        <v>0.083</v>
      </c>
      <c r="O3" s="32">
        <v>0.082</v>
      </c>
      <c r="P3" s="32">
        <v>0.082</v>
      </c>
      <c r="Q3" s="32">
        <v>0.578</v>
      </c>
      <c r="R3" s="32">
        <v>0.603</v>
      </c>
      <c r="S3" s="32">
        <v>0.558</v>
      </c>
      <c r="T3" s="32">
        <v>0.558</v>
      </c>
      <c r="U3" s="12"/>
      <c r="V3" s="12"/>
      <c r="W3" s="12"/>
      <c r="X3" s="12"/>
      <c r="Y3" s="12"/>
      <c r="Z3" s="12"/>
    </row>
    <row r="4">
      <c r="A4" s="13" t="s">
        <v>13</v>
      </c>
      <c r="B4" s="14" t="s">
        <v>14</v>
      </c>
      <c r="C4" s="33" t="str">
        <f t="shared" ref="C4:E4" si="1">IF(#REF!=0,0%,IF(F4=0,100%,#REF!/F4-1))</f>
        <v>#REF!</v>
      </c>
      <c r="D4" s="34" t="str">
        <f t="shared" si="1"/>
        <v>#REF!</v>
      </c>
      <c r="E4" s="34" t="str">
        <f t="shared" si="1"/>
        <v>#REF!</v>
      </c>
      <c r="F4" s="35"/>
      <c r="G4" s="35"/>
      <c r="H4" s="36"/>
      <c r="I4" s="37">
        <v>1.8E7</v>
      </c>
      <c r="J4" s="38">
        <v>1300000.0</v>
      </c>
      <c r="K4" s="38">
        <v>5.0E7</v>
      </c>
      <c r="L4" s="39">
        <v>1.0E8</v>
      </c>
      <c r="M4" s="37">
        <f t="shared" ref="M4:M8" si="3">$M$3*I4</f>
        <v>1530000</v>
      </c>
      <c r="N4" s="38">
        <f t="shared" ref="N4:N8" si="4">$N$3*J4</f>
        <v>107900</v>
      </c>
      <c r="O4" s="38">
        <f t="shared" ref="O4:O8" si="5">$O$3*K4</f>
        <v>4100000</v>
      </c>
      <c r="P4" s="39">
        <f t="shared" ref="P4:P8" si="6">$P$3*L4</f>
        <v>8200000</v>
      </c>
      <c r="Q4" s="37">
        <f t="shared" ref="Q4:Q8" si="7">$Q$3*I4</f>
        <v>10404000</v>
      </c>
      <c r="R4" s="38">
        <f t="shared" ref="R4:R8" si="8">$R$3*J4</f>
        <v>783900</v>
      </c>
      <c r="S4" s="38">
        <f t="shared" ref="S4:S8" si="9">$S$3*K4</f>
        <v>27900000</v>
      </c>
      <c r="T4" s="39">
        <f t="shared" ref="T4:T8" si="10">$T$3*L4</f>
        <v>55800000</v>
      </c>
      <c r="U4" s="12"/>
      <c r="V4" s="12"/>
      <c r="W4" s="12"/>
      <c r="X4" s="12"/>
      <c r="Y4" s="12"/>
      <c r="Z4" s="12"/>
    </row>
    <row r="5">
      <c r="A5" s="13" t="s">
        <v>15</v>
      </c>
      <c r="B5" s="14" t="s">
        <v>14</v>
      </c>
      <c r="C5" s="33" t="str">
        <f t="shared" ref="C5:E5" si="2">IF(#REF!=0,0%,IF(F5=0,100%,#REF!/F5-1))</f>
        <v>#REF!</v>
      </c>
      <c r="D5" s="34" t="str">
        <f t="shared" si="2"/>
        <v>#REF!</v>
      </c>
      <c r="E5" s="34" t="str">
        <f t="shared" si="2"/>
        <v>#REF!</v>
      </c>
      <c r="F5" s="35"/>
      <c r="G5" s="35"/>
      <c r="H5" s="36"/>
      <c r="I5" s="37">
        <v>1500000.0</v>
      </c>
      <c r="J5" s="38">
        <v>0.0</v>
      </c>
      <c r="K5" s="38">
        <v>2.5E7</v>
      </c>
      <c r="L5" s="39">
        <v>2.0E7</v>
      </c>
      <c r="M5" s="37">
        <f t="shared" si="3"/>
        <v>127500</v>
      </c>
      <c r="N5" s="38">
        <f t="shared" si="4"/>
        <v>0</v>
      </c>
      <c r="O5" s="38">
        <f t="shared" si="5"/>
        <v>2050000</v>
      </c>
      <c r="P5" s="39">
        <f t="shared" si="6"/>
        <v>1640000</v>
      </c>
      <c r="Q5" s="37">
        <f t="shared" si="7"/>
        <v>867000</v>
      </c>
      <c r="R5" s="38">
        <f t="shared" si="8"/>
        <v>0</v>
      </c>
      <c r="S5" s="38">
        <f t="shared" si="9"/>
        <v>13950000</v>
      </c>
      <c r="T5" s="39">
        <f t="shared" si="10"/>
        <v>11160000</v>
      </c>
      <c r="U5" s="12"/>
      <c r="V5" s="12"/>
      <c r="W5" s="12"/>
      <c r="X5" s="12"/>
      <c r="Y5" s="12"/>
      <c r="Z5" s="12"/>
    </row>
    <row r="6">
      <c r="A6" s="13" t="s">
        <v>16</v>
      </c>
      <c r="B6" s="14" t="s">
        <v>14</v>
      </c>
      <c r="C6" s="33"/>
      <c r="D6" s="34"/>
      <c r="E6" s="34"/>
      <c r="F6" s="35"/>
      <c r="G6" s="35"/>
      <c r="H6" s="36"/>
      <c r="I6" s="37">
        <v>0.0</v>
      </c>
      <c r="J6" s="38">
        <v>300000.0</v>
      </c>
      <c r="K6" s="38">
        <v>0.0</v>
      </c>
      <c r="L6" s="39">
        <v>0.0</v>
      </c>
      <c r="M6" s="37">
        <f t="shared" si="3"/>
        <v>0</v>
      </c>
      <c r="N6" s="38">
        <f t="shared" si="4"/>
        <v>24900</v>
      </c>
      <c r="O6" s="38">
        <f t="shared" si="5"/>
        <v>0</v>
      </c>
      <c r="P6" s="39">
        <f t="shared" si="6"/>
        <v>0</v>
      </c>
      <c r="Q6" s="37">
        <f t="shared" si="7"/>
        <v>0</v>
      </c>
      <c r="R6" s="38">
        <f t="shared" si="8"/>
        <v>180900</v>
      </c>
      <c r="S6" s="38">
        <f t="shared" si="9"/>
        <v>0</v>
      </c>
      <c r="T6" s="39">
        <f t="shared" si="10"/>
        <v>0</v>
      </c>
      <c r="U6" s="12"/>
      <c r="V6" s="12"/>
      <c r="W6" s="12"/>
      <c r="X6" s="12"/>
      <c r="Y6" s="12"/>
      <c r="Z6" s="12"/>
    </row>
    <row r="7">
      <c r="A7" s="13" t="s">
        <v>17</v>
      </c>
      <c r="B7" s="14" t="s">
        <v>14</v>
      </c>
      <c r="C7" s="33"/>
      <c r="D7" s="34"/>
      <c r="E7" s="34"/>
      <c r="F7" s="35"/>
      <c r="G7" s="35"/>
      <c r="H7" s="36"/>
      <c r="I7" s="37">
        <v>500000.0</v>
      </c>
      <c r="J7" s="38">
        <v>250000.0</v>
      </c>
      <c r="K7" s="38">
        <v>2000000.0</v>
      </c>
      <c r="L7" s="39">
        <v>1000000.0</v>
      </c>
      <c r="M7" s="37">
        <f t="shared" si="3"/>
        <v>42500</v>
      </c>
      <c r="N7" s="38">
        <f t="shared" si="4"/>
        <v>20750</v>
      </c>
      <c r="O7" s="38">
        <f t="shared" si="5"/>
        <v>164000</v>
      </c>
      <c r="P7" s="39">
        <f t="shared" si="6"/>
        <v>82000</v>
      </c>
      <c r="Q7" s="37">
        <f t="shared" si="7"/>
        <v>289000</v>
      </c>
      <c r="R7" s="38">
        <f t="shared" si="8"/>
        <v>150750</v>
      </c>
      <c r="S7" s="38">
        <f t="shared" si="9"/>
        <v>1116000</v>
      </c>
      <c r="T7" s="39">
        <f t="shared" si="10"/>
        <v>558000</v>
      </c>
      <c r="U7" s="12"/>
      <c r="V7" s="12"/>
      <c r="W7" s="12"/>
      <c r="X7" s="12"/>
      <c r="Y7" s="12"/>
      <c r="Z7" s="12"/>
    </row>
    <row r="8">
      <c r="A8" s="13" t="s">
        <v>18</v>
      </c>
      <c r="B8" s="14" t="s">
        <v>14</v>
      </c>
      <c r="C8" s="33" t="str">
        <f t="shared" ref="C8:E8" si="11">IF(#REF!=0,0%,IF(F8=0,100%,#REF!/F8-1))</f>
        <v>#REF!</v>
      </c>
      <c r="D8" s="34" t="str">
        <f t="shared" si="11"/>
        <v>#REF!</v>
      </c>
      <c r="E8" s="34" t="str">
        <f t="shared" si="11"/>
        <v>#REF!</v>
      </c>
      <c r="F8" s="35"/>
      <c r="G8" s="35"/>
      <c r="H8" s="36"/>
      <c r="I8" s="37">
        <v>0.0</v>
      </c>
      <c r="J8" s="38">
        <v>0.0</v>
      </c>
      <c r="K8" s="38">
        <v>1000000.0</v>
      </c>
      <c r="L8" s="39">
        <v>500000.0</v>
      </c>
      <c r="M8" s="37">
        <f t="shared" si="3"/>
        <v>0</v>
      </c>
      <c r="N8" s="38">
        <f t="shared" si="4"/>
        <v>0</v>
      </c>
      <c r="O8" s="38">
        <f t="shared" si="5"/>
        <v>82000</v>
      </c>
      <c r="P8" s="39">
        <f t="shared" si="6"/>
        <v>41000</v>
      </c>
      <c r="Q8" s="37">
        <f t="shared" si="7"/>
        <v>0</v>
      </c>
      <c r="R8" s="38">
        <f t="shared" si="8"/>
        <v>0</v>
      </c>
      <c r="S8" s="38">
        <f t="shared" si="9"/>
        <v>558000</v>
      </c>
      <c r="T8" s="39">
        <f t="shared" si="10"/>
        <v>279000</v>
      </c>
      <c r="U8" s="12"/>
      <c r="V8" s="12"/>
      <c r="W8" s="12"/>
      <c r="X8" s="12"/>
      <c r="Y8" s="12"/>
      <c r="Z8" s="12"/>
    </row>
    <row r="9">
      <c r="A9" s="40" t="s">
        <v>19</v>
      </c>
      <c r="B9" s="41"/>
      <c r="C9" s="42" t="str">
        <f t="shared" ref="C9:E9" si="12">IF(#REF!=0,0%,IF(F9=0,100%,#REF!/F9-1))</f>
        <v>#REF!</v>
      </c>
      <c r="D9" s="43" t="str">
        <f t="shared" si="12"/>
        <v>#REF!</v>
      </c>
      <c r="E9" s="43" t="str">
        <f t="shared" si="12"/>
        <v>#REF!</v>
      </c>
      <c r="F9" s="44">
        <f t="shared" ref="F9:H9" si="13">SUM(F4:F5)</f>
        <v>0</v>
      </c>
      <c r="G9" s="44">
        <f t="shared" si="13"/>
        <v>0</v>
      </c>
      <c r="H9" s="45">
        <f t="shared" si="13"/>
        <v>0</v>
      </c>
      <c r="I9" s="46">
        <f t="shared" ref="I9:T9" si="14">SUM(I4:I8)</f>
        <v>20000000</v>
      </c>
      <c r="J9" s="46">
        <f t="shared" si="14"/>
        <v>1850000</v>
      </c>
      <c r="K9" s="46">
        <f t="shared" si="14"/>
        <v>78000000</v>
      </c>
      <c r="L9" s="46">
        <f t="shared" si="14"/>
        <v>121500000</v>
      </c>
      <c r="M9" s="46">
        <f t="shared" si="14"/>
        <v>1700000</v>
      </c>
      <c r="N9" s="46">
        <f t="shared" si="14"/>
        <v>153550</v>
      </c>
      <c r="O9" s="46">
        <f t="shared" si="14"/>
        <v>6396000</v>
      </c>
      <c r="P9" s="46">
        <f t="shared" si="14"/>
        <v>9963000</v>
      </c>
      <c r="Q9" s="46">
        <f t="shared" si="14"/>
        <v>11560000</v>
      </c>
      <c r="R9" s="46">
        <f t="shared" si="14"/>
        <v>1115550</v>
      </c>
      <c r="S9" s="46">
        <f t="shared" si="14"/>
        <v>43524000</v>
      </c>
      <c r="T9" s="46">
        <f t="shared" si="14"/>
        <v>67797000</v>
      </c>
      <c r="U9" s="12"/>
      <c r="V9" s="12"/>
      <c r="W9" s="12"/>
      <c r="X9" s="12"/>
      <c r="Y9" s="12"/>
      <c r="Z9" s="12"/>
    </row>
    <row r="10">
      <c r="A10" s="13" t="s">
        <v>20</v>
      </c>
      <c r="B10" s="14" t="s">
        <v>14</v>
      </c>
      <c r="C10" s="33" t="str">
        <f t="shared" ref="C10:E10" si="15">IF(#REF!=0,0%,IF(F10=0,100%,#REF!/F10-1))</f>
        <v>#REF!</v>
      </c>
      <c r="D10" s="34" t="str">
        <f t="shared" si="15"/>
        <v>#REF!</v>
      </c>
      <c r="E10" s="34" t="str">
        <f t="shared" si="15"/>
        <v>#REF!</v>
      </c>
      <c r="F10" s="35"/>
      <c r="G10" s="35"/>
      <c r="H10" s="36"/>
      <c r="I10" s="37">
        <v>0.0</v>
      </c>
      <c r="J10" s="38">
        <v>0.0</v>
      </c>
      <c r="K10" s="38">
        <v>0.0</v>
      </c>
      <c r="L10" s="39">
        <v>0.0</v>
      </c>
      <c r="M10" s="37">
        <f t="shared" ref="M10:M17" si="17">$M$3*I10</f>
        <v>0</v>
      </c>
      <c r="N10" s="38">
        <f t="shared" ref="N10:N17" si="18">$N$3*J10</f>
        <v>0</v>
      </c>
      <c r="O10" s="38">
        <f t="shared" ref="O10:O17" si="19">$O$3*K10</f>
        <v>0</v>
      </c>
      <c r="P10" s="39">
        <f t="shared" ref="P10:P17" si="20">$P$3*L10</f>
        <v>0</v>
      </c>
      <c r="Q10" s="37">
        <f t="shared" ref="Q10:Q17" si="21">$Q$3*I10</f>
        <v>0</v>
      </c>
      <c r="R10" s="38">
        <f t="shared" ref="R10:R17" si="22">$R$3*J10</f>
        <v>0</v>
      </c>
      <c r="S10" s="38">
        <f t="shared" ref="S10:S17" si="23">$S$3*K10</f>
        <v>0</v>
      </c>
      <c r="T10" s="39">
        <f t="shared" ref="T10:T17" si="24">$T$3*L10</f>
        <v>0</v>
      </c>
      <c r="U10" s="12"/>
      <c r="V10" s="12"/>
      <c r="W10" s="12"/>
      <c r="X10" s="12"/>
      <c r="Y10" s="12"/>
      <c r="Z10" s="12"/>
    </row>
    <row r="11">
      <c r="A11" s="13" t="s">
        <v>21</v>
      </c>
      <c r="B11" s="14" t="s">
        <v>14</v>
      </c>
      <c r="C11" s="33" t="str">
        <f t="shared" ref="C11:E11" si="16">IF(#REF!=0,0%,IF(F11=0,100%,#REF!/F11-1))</f>
        <v>#REF!</v>
      </c>
      <c r="D11" s="34" t="str">
        <f t="shared" si="16"/>
        <v>#REF!</v>
      </c>
      <c r="E11" s="34" t="str">
        <f t="shared" si="16"/>
        <v>#REF!</v>
      </c>
      <c r="F11" s="35"/>
      <c r="G11" s="35"/>
      <c r="H11" s="36"/>
      <c r="I11" s="37">
        <v>2500000.0</v>
      </c>
      <c r="J11" s="38">
        <v>1000000.0</v>
      </c>
      <c r="K11" s="38">
        <v>1000000.0</v>
      </c>
      <c r="L11" s="39">
        <v>2500000.0</v>
      </c>
      <c r="M11" s="37">
        <f t="shared" si="17"/>
        <v>212500</v>
      </c>
      <c r="N11" s="38">
        <f t="shared" si="18"/>
        <v>83000</v>
      </c>
      <c r="O11" s="38">
        <f t="shared" si="19"/>
        <v>82000</v>
      </c>
      <c r="P11" s="39">
        <f t="shared" si="20"/>
        <v>205000</v>
      </c>
      <c r="Q11" s="37">
        <f t="shared" si="21"/>
        <v>1445000</v>
      </c>
      <c r="R11" s="38">
        <f t="shared" si="22"/>
        <v>603000</v>
      </c>
      <c r="S11" s="38">
        <f t="shared" si="23"/>
        <v>558000</v>
      </c>
      <c r="T11" s="39">
        <f t="shared" si="24"/>
        <v>1395000</v>
      </c>
      <c r="U11" s="12"/>
      <c r="V11" s="12"/>
      <c r="W11" s="12"/>
      <c r="X11" s="12"/>
      <c r="Y11" s="12"/>
      <c r="Z11" s="12"/>
    </row>
    <row r="12">
      <c r="A12" s="13" t="s">
        <v>22</v>
      </c>
      <c r="B12" s="14" t="s">
        <v>14</v>
      </c>
      <c r="C12" s="33" t="str">
        <f t="shared" ref="C12:E12" si="25">IF(#REF!=0,0%,IF(F12=0,100%,#REF!/F12-1))</f>
        <v>#REF!</v>
      </c>
      <c r="D12" s="34" t="str">
        <f t="shared" si="25"/>
        <v>#REF!</v>
      </c>
      <c r="E12" s="34" t="str">
        <f t="shared" si="25"/>
        <v>#REF!</v>
      </c>
      <c r="F12" s="35"/>
      <c r="G12" s="35"/>
      <c r="H12" s="36"/>
      <c r="I12" s="37">
        <v>500000.0</v>
      </c>
      <c r="J12" s="38">
        <v>200000.0</v>
      </c>
      <c r="K12" s="38">
        <v>0.0</v>
      </c>
      <c r="L12" s="39">
        <v>0.0</v>
      </c>
      <c r="M12" s="37">
        <f t="shared" si="17"/>
        <v>42500</v>
      </c>
      <c r="N12" s="38">
        <f t="shared" si="18"/>
        <v>16600</v>
      </c>
      <c r="O12" s="38">
        <f t="shared" si="19"/>
        <v>0</v>
      </c>
      <c r="P12" s="39">
        <f t="shared" si="20"/>
        <v>0</v>
      </c>
      <c r="Q12" s="37">
        <f t="shared" si="21"/>
        <v>289000</v>
      </c>
      <c r="R12" s="38">
        <f t="shared" si="22"/>
        <v>120600</v>
      </c>
      <c r="S12" s="38">
        <f t="shared" si="23"/>
        <v>0</v>
      </c>
      <c r="T12" s="39">
        <f t="shared" si="24"/>
        <v>0</v>
      </c>
      <c r="U12" s="12"/>
      <c r="V12" s="12"/>
      <c r="W12" s="12"/>
      <c r="X12" s="12"/>
      <c r="Y12" s="12"/>
      <c r="Z12" s="12"/>
    </row>
    <row r="13">
      <c r="A13" s="13" t="s">
        <v>23</v>
      </c>
      <c r="B13" s="14" t="s">
        <v>14</v>
      </c>
      <c r="C13" s="33" t="str">
        <f t="shared" ref="C13:E13" si="26">IF(#REF!=0,0%,IF(F13=0,100%,#REF!/F13-1))</f>
        <v>#REF!</v>
      </c>
      <c r="D13" s="34" t="str">
        <f t="shared" si="26"/>
        <v>#REF!</v>
      </c>
      <c r="E13" s="34" t="str">
        <f t="shared" si="26"/>
        <v>#REF!</v>
      </c>
      <c r="F13" s="35"/>
      <c r="G13" s="35"/>
      <c r="H13" s="36"/>
      <c r="I13" s="37">
        <v>0.0</v>
      </c>
      <c r="J13" s="38">
        <v>600000.0</v>
      </c>
      <c r="K13" s="38">
        <v>0.0</v>
      </c>
      <c r="L13" s="39">
        <v>0.0</v>
      </c>
      <c r="M13" s="37">
        <f t="shared" si="17"/>
        <v>0</v>
      </c>
      <c r="N13" s="38">
        <f t="shared" si="18"/>
        <v>49800</v>
      </c>
      <c r="O13" s="38">
        <f t="shared" si="19"/>
        <v>0</v>
      </c>
      <c r="P13" s="39">
        <f t="shared" si="20"/>
        <v>0</v>
      </c>
      <c r="Q13" s="37">
        <f t="shared" si="21"/>
        <v>0</v>
      </c>
      <c r="R13" s="38">
        <f t="shared" si="22"/>
        <v>361800</v>
      </c>
      <c r="S13" s="38">
        <f t="shared" si="23"/>
        <v>0</v>
      </c>
      <c r="T13" s="39">
        <f t="shared" si="24"/>
        <v>0</v>
      </c>
      <c r="U13" s="12"/>
      <c r="V13" s="12"/>
      <c r="W13" s="12"/>
      <c r="X13" s="12"/>
      <c r="Y13" s="12"/>
      <c r="Z13" s="12"/>
    </row>
    <row r="14">
      <c r="A14" s="13" t="s">
        <v>24</v>
      </c>
      <c r="B14" s="14" t="s">
        <v>14</v>
      </c>
      <c r="C14" s="33" t="str">
        <f t="shared" ref="C14:E14" si="27">IF(#REF!=0,0%,IF(F14=0,100%,#REF!/F14-1))</f>
        <v>#REF!</v>
      </c>
      <c r="D14" s="34" t="str">
        <f t="shared" si="27"/>
        <v>#REF!</v>
      </c>
      <c r="E14" s="34" t="str">
        <f t="shared" si="27"/>
        <v>#REF!</v>
      </c>
      <c r="F14" s="35"/>
      <c r="G14" s="35"/>
      <c r="H14" s="36"/>
      <c r="I14" s="37">
        <v>300000.0</v>
      </c>
      <c r="J14" s="38">
        <v>150000.0</v>
      </c>
      <c r="K14" s="38">
        <v>4000000.0</v>
      </c>
      <c r="L14" s="39">
        <v>1.2E7</v>
      </c>
      <c r="M14" s="37">
        <f t="shared" si="17"/>
        <v>25500</v>
      </c>
      <c r="N14" s="38">
        <f t="shared" si="18"/>
        <v>12450</v>
      </c>
      <c r="O14" s="38">
        <f t="shared" si="19"/>
        <v>328000</v>
      </c>
      <c r="P14" s="39">
        <f t="shared" si="20"/>
        <v>984000</v>
      </c>
      <c r="Q14" s="37">
        <f t="shared" si="21"/>
        <v>173400</v>
      </c>
      <c r="R14" s="38">
        <f t="shared" si="22"/>
        <v>90450</v>
      </c>
      <c r="S14" s="38">
        <f t="shared" si="23"/>
        <v>2232000</v>
      </c>
      <c r="T14" s="39">
        <f t="shared" si="24"/>
        <v>6696000</v>
      </c>
      <c r="U14" s="12"/>
      <c r="V14" s="12"/>
      <c r="W14" s="12"/>
      <c r="X14" s="12"/>
      <c r="Y14" s="12"/>
      <c r="Z14" s="12"/>
    </row>
    <row r="15">
      <c r="A15" s="13" t="s">
        <v>25</v>
      </c>
      <c r="B15" s="14" t="s">
        <v>14</v>
      </c>
      <c r="C15" s="33" t="str">
        <f t="shared" ref="C15:E15" si="28">IF(#REF!=0,0%,IF(F15=0,100%,#REF!/F15-1))</f>
        <v>#REF!</v>
      </c>
      <c r="D15" s="34" t="str">
        <f t="shared" si="28"/>
        <v>#REF!</v>
      </c>
      <c r="E15" s="34" t="str">
        <f t="shared" si="28"/>
        <v>#REF!</v>
      </c>
      <c r="F15" s="35"/>
      <c r="G15" s="35"/>
      <c r="H15" s="36"/>
      <c r="I15" s="37">
        <v>0.0</v>
      </c>
      <c r="J15" s="38">
        <v>0.0</v>
      </c>
      <c r="K15" s="38">
        <v>0.0</v>
      </c>
      <c r="L15" s="39">
        <v>0.0</v>
      </c>
      <c r="M15" s="37">
        <f t="shared" si="17"/>
        <v>0</v>
      </c>
      <c r="N15" s="38">
        <f t="shared" si="18"/>
        <v>0</v>
      </c>
      <c r="O15" s="38">
        <f t="shared" si="19"/>
        <v>0</v>
      </c>
      <c r="P15" s="39">
        <f t="shared" si="20"/>
        <v>0</v>
      </c>
      <c r="Q15" s="37">
        <f t="shared" si="21"/>
        <v>0</v>
      </c>
      <c r="R15" s="38">
        <f t="shared" si="22"/>
        <v>0</v>
      </c>
      <c r="S15" s="38">
        <f t="shared" si="23"/>
        <v>0</v>
      </c>
      <c r="T15" s="39">
        <f t="shared" si="24"/>
        <v>0</v>
      </c>
      <c r="U15" s="12"/>
      <c r="V15" s="12"/>
      <c r="W15" s="12"/>
      <c r="X15" s="12"/>
      <c r="Y15" s="12"/>
      <c r="Z15" s="12"/>
    </row>
    <row r="16">
      <c r="A16" s="47" t="s">
        <v>26</v>
      </c>
      <c r="B16" s="14"/>
      <c r="C16" s="33"/>
      <c r="D16" s="34"/>
      <c r="E16" s="34"/>
      <c r="F16" s="35"/>
      <c r="G16" s="35"/>
      <c r="H16" s="36"/>
      <c r="I16" s="37"/>
      <c r="J16" s="48"/>
      <c r="K16" s="48"/>
      <c r="L16" s="49"/>
      <c r="M16" s="37">
        <f t="shared" si="17"/>
        <v>0</v>
      </c>
      <c r="N16" s="38">
        <f t="shared" si="18"/>
        <v>0</v>
      </c>
      <c r="O16" s="38">
        <f t="shared" si="19"/>
        <v>0</v>
      </c>
      <c r="P16" s="39">
        <f t="shared" si="20"/>
        <v>0</v>
      </c>
      <c r="Q16" s="37">
        <f t="shared" si="21"/>
        <v>0</v>
      </c>
      <c r="R16" s="38">
        <f t="shared" si="22"/>
        <v>0</v>
      </c>
      <c r="S16" s="38">
        <f t="shared" si="23"/>
        <v>0</v>
      </c>
      <c r="T16" s="39">
        <f t="shared" si="24"/>
        <v>0</v>
      </c>
      <c r="U16" s="12"/>
      <c r="V16" s="12"/>
      <c r="W16" s="12"/>
      <c r="X16" s="12"/>
      <c r="Y16" s="12"/>
      <c r="Z16" s="12"/>
    </row>
    <row r="17">
      <c r="A17" s="47" t="s">
        <v>27</v>
      </c>
      <c r="B17" s="14"/>
      <c r="C17" s="33"/>
      <c r="D17" s="34"/>
      <c r="E17" s="34"/>
      <c r="F17" s="35"/>
      <c r="G17" s="35"/>
      <c r="H17" s="36"/>
      <c r="I17" s="37"/>
      <c r="J17" s="48"/>
      <c r="K17" s="48"/>
      <c r="L17" s="49"/>
      <c r="M17" s="37">
        <f t="shared" si="17"/>
        <v>0</v>
      </c>
      <c r="N17" s="38">
        <f t="shared" si="18"/>
        <v>0</v>
      </c>
      <c r="O17" s="38">
        <f t="shared" si="19"/>
        <v>0</v>
      </c>
      <c r="P17" s="39">
        <f t="shared" si="20"/>
        <v>0</v>
      </c>
      <c r="Q17" s="37">
        <f t="shared" si="21"/>
        <v>0</v>
      </c>
      <c r="R17" s="38">
        <f t="shared" si="22"/>
        <v>0</v>
      </c>
      <c r="S17" s="38">
        <f t="shared" si="23"/>
        <v>0</v>
      </c>
      <c r="T17" s="39">
        <f t="shared" si="24"/>
        <v>0</v>
      </c>
      <c r="U17" s="12"/>
      <c r="V17" s="12"/>
      <c r="W17" s="12"/>
      <c r="X17" s="12"/>
      <c r="Y17" s="12"/>
      <c r="Z17" s="12"/>
    </row>
    <row r="18">
      <c r="A18" s="40" t="s">
        <v>28</v>
      </c>
      <c r="B18" s="41"/>
      <c r="C18" s="42" t="str">
        <f t="shared" ref="C18:E18" si="29">IF(#REF!=0,0%,IF(F18=0,100%,#REF!/F18-1))</f>
        <v>#REF!</v>
      </c>
      <c r="D18" s="43" t="str">
        <f t="shared" si="29"/>
        <v>#REF!</v>
      </c>
      <c r="E18" s="43" t="str">
        <f t="shared" si="29"/>
        <v>#REF!</v>
      </c>
      <c r="F18" s="44">
        <f t="shared" ref="F18:H18" si="30">SUM(F10:F14)</f>
        <v>0</v>
      </c>
      <c r="G18" s="44">
        <f t="shared" si="30"/>
        <v>0</v>
      </c>
      <c r="H18" s="45">
        <f t="shared" si="30"/>
        <v>0</v>
      </c>
      <c r="I18" s="46">
        <f t="shared" ref="I18:P18" si="31">SUM(I10:I15)</f>
        <v>3300000</v>
      </c>
      <c r="J18" s="46">
        <f t="shared" si="31"/>
        <v>1950000</v>
      </c>
      <c r="K18" s="46">
        <f t="shared" si="31"/>
        <v>5000000</v>
      </c>
      <c r="L18" s="46">
        <f t="shared" si="31"/>
        <v>14500000</v>
      </c>
      <c r="M18" s="46">
        <f t="shared" si="31"/>
        <v>280500</v>
      </c>
      <c r="N18" s="46">
        <f t="shared" si="31"/>
        <v>161850</v>
      </c>
      <c r="O18" s="46">
        <f t="shared" si="31"/>
        <v>410000</v>
      </c>
      <c r="P18" s="46">
        <f t="shared" si="31"/>
        <v>1189000</v>
      </c>
      <c r="Q18" s="46">
        <f t="shared" ref="Q18:T18" si="32">SUM(Q10:Q17)</f>
        <v>1907400</v>
      </c>
      <c r="R18" s="46">
        <f t="shared" si="32"/>
        <v>1175850</v>
      </c>
      <c r="S18" s="46">
        <f t="shared" si="32"/>
        <v>2790000</v>
      </c>
      <c r="T18" s="46">
        <f t="shared" si="32"/>
        <v>8091000</v>
      </c>
      <c r="U18" s="12"/>
      <c r="V18" s="12"/>
      <c r="W18" s="12"/>
      <c r="X18" s="12"/>
      <c r="Y18" s="12"/>
      <c r="Z18" s="12"/>
    </row>
    <row r="19">
      <c r="A19" s="13" t="s">
        <v>29</v>
      </c>
      <c r="B19" s="14" t="s">
        <v>30</v>
      </c>
      <c r="C19" s="33" t="str">
        <f t="shared" ref="C19:E19" si="33">IF(#REF!=0,0%,IF(F19=0,100%,#REF!/F19-1))</f>
        <v>#REF!</v>
      </c>
      <c r="D19" s="34" t="str">
        <f t="shared" si="33"/>
        <v>#REF!</v>
      </c>
      <c r="E19" s="34" t="str">
        <f t="shared" si="33"/>
        <v>#REF!</v>
      </c>
      <c r="F19" s="35"/>
      <c r="G19" s="35"/>
      <c r="H19" s="36"/>
      <c r="I19" s="37">
        <v>1600000.0</v>
      </c>
      <c r="J19" s="38">
        <v>170000.0</v>
      </c>
      <c r="K19" s="38">
        <v>2500000.0</v>
      </c>
      <c r="L19" s="39">
        <v>5000000.0</v>
      </c>
      <c r="M19" s="37">
        <f t="shared" ref="M19:M57" si="35">$M$3*I19</f>
        <v>136000</v>
      </c>
      <c r="N19" s="38">
        <f t="shared" ref="N19:N57" si="36">$N$3*J19</f>
        <v>14110</v>
      </c>
      <c r="O19" s="38">
        <f t="shared" ref="O19:O57" si="37">$O$3*K19</f>
        <v>205000</v>
      </c>
      <c r="P19" s="39">
        <f t="shared" ref="P19:P57" si="38">$P$3*L19</f>
        <v>410000</v>
      </c>
      <c r="Q19" s="37">
        <f t="shared" ref="Q19:Q57" si="39">$Q$3*I19</f>
        <v>924800</v>
      </c>
      <c r="R19" s="38">
        <f t="shared" ref="R19:R57" si="40">$R$3*J19</f>
        <v>102510</v>
      </c>
      <c r="S19" s="38">
        <f t="shared" ref="S19:S57" si="41">$S$3*K19</f>
        <v>1395000</v>
      </c>
      <c r="T19" s="39">
        <f t="shared" ref="T19:T57" si="42">$T$3*L19</f>
        <v>2790000</v>
      </c>
      <c r="U19" s="12"/>
      <c r="V19" s="12"/>
      <c r="W19" s="12"/>
      <c r="X19" s="12"/>
      <c r="Y19" s="12"/>
      <c r="Z19" s="12"/>
    </row>
    <row r="20">
      <c r="A20" s="50" t="s">
        <v>31</v>
      </c>
      <c r="B20" s="14" t="s">
        <v>30</v>
      </c>
      <c r="C20" s="33" t="str">
        <f t="shared" ref="C20:E20" si="34">IF(#REF!=0,0%,IF(F20=0,100%,#REF!/F20-1))</f>
        <v>#REF!</v>
      </c>
      <c r="D20" s="34" t="str">
        <f t="shared" si="34"/>
        <v>#REF!</v>
      </c>
      <c r="E20" s="34" t="str">
        <f t="shared" si="34"/>
        <v>#REF!</v>
      </c>
      <c r="F20" s="35"/>
      <c r="G20" s="35"/>
      <c r="H20" s="36"/>
      <c r="I20" s="37">
        <v>0.0</v>
      </c>
      <c r="J20" s="38">
        <v>0.0</v>
      </c>
      <c r="K20" s="38">
        <v>0.0</v>
      </c>
      <c r="L20" s="39">
        <v>0.0</v>
      </c>
      <c r="M20" s="37">
        <f t="shared" si="35"/>
        <v>0</v>
      </c>
      <c r="N20" s="38">
        <f t="shared" si="36"/>
        <v>0</v>
      </c>
      <c r="O20" s="38">
        <f t="shared" si="37"/>
        <v>0</v>
      </c>
      <c r="P20" s="39">
        <f t="shared" si="38"/>
        <v>0</v>
      </c>
      <c r="Q20" s="37">
        <f t="shared" si="39"/>
        <v>0</v>
      </c>
      <c r="R20" s="38">
        <f t="shared" si="40"/>
        <v>0</v>
      </c>
      <c r="S20" s="38">
        <f t="shared" si="41"/>
        <v>0</v>
      </c>
      <c r="T20" s="39">
        <f t="shared" si="42"/>
        <v>0</v>
      </c>
      <c r="U20" s="12"/>
      <c r="V20" s="12"/>
      <c r="W20" s="12"/>
      <c r="X20" s="12"/>
      <c r="Y20" s="12"/>
      <c r="Z20" s="12"/>
    </row>
    <row r="21" ht="15.75" customHeight="1">
      <c r="A21" s="13" t="s">
        <v>32</v>
      </c>
      <c r="B21" s="14" t="s">
        <v>30</v>
      </c>
      <c r="C21" s="33" t="str">
        <f t="shared" ref="C21:E21" si="43">IF(#REF!=0,0%,IF(F21=0,100%,#REF!/F21-1))</f>
        <v>#REF!</v>
      </c>
      <c r="D21" s="34" t="str">
        <f t="shared" si="43"/>
        <v>#REF!</v>
      </c>
      <c r="E21" s="34" t="str">
        <f t="shared" si="43"/>
        <v>#REF!</v>
      </c>
      <c r="F21" s="35"/>
      <c r="G21" s="35"/>
      <c r="H21" s="36"/>
      <c r="I21" s="37">
        <v>0.0</v>
      </c>
      <c r="J21" s="38">
        <v>0.0</v>
      </c>
      <c r="K21" s="38">
        <v>0.0</v>
      </c>
      <c r="L21" s="39">
        <v>0.0</v>
      </c>
      <c r="M21" s="37">
        <f t="shared" si="35"/>
        <v>0</v>
      </c>
      <c r="N21" s="38">
        <f t="shared" si="36"/>
        <v>0</v>
      </c>
      <c r="O21" s="38">
        <f t="shared" si="37"/>
        <v>0</v>
      </c>
      <c r="P21" s="39">
        <f t="shared" si="38"/>
        <v>0</v>
      </c>
      <c r="Q21" s="37">
        <f t="shared" si="39"/>
        <v>0</v>
      </c>
      <c r="R21" s="38">
        <f t="shared" si="40"/>
        <v>0</v>
      </c>
      <c r="S21" s="38">
        <f t="shared" si="41"/>
        <v>0</v>
      </c>
      <c r="T21" s="39">
        <f t="shared" si="42"/>
        <v>0</v>
      </c>
      <c r="U21" s="12"/>
      <c r="V21" s="12"/>
      <c r="W21" s="12"/>
      <c r="X21" s="12"/>
      <c r="Y21" s="12"/>
      <c r="Z21" s="12"/>
    </row>
    <row r="22" ht="15.75" customHeight="1">
      <c r="A22" s="50" t="s">
        <v>33</v>
      </c>
      <c r="B22" s="14" t="s">
        <v>30</v>
      </c>
      <c r="C22" s="33" t="str">
        <f t="shared" ref="C22:E22" si="44">IF(#REF!=0,0%,IF(F22=0,100%,#REF!/F22-1))</f>
        <v>#REF!</v>
      </c>
      <c r="D22" s="34" t="str">
        <f t="shared" si="44"/>
        <v>#REF!</v>
      </c>
      <c r="E22" s="34" t="str">
        <f t="shared" si="44"/>
        <v>#REF!</v>
      </c>
      <c r="F22" s="35"/>
      <c r="G22" s="35"/>
      <c r="H22" s="36"/>
      <c r="I22" s="37">
        <v>3000000.0</v>
      </c>
      <c r="J22" s="38">
        <v>600000.0</v>
      </c>
      <c r="K22" s="38">
        <v>1.0E7</v>
      </c>
      <c r="L22" s="39">
        <v>6000000.0</v>
      </c>
      <c r="M22" s="37">
        <f t="shared" si="35"/>
        <v>255000</v>
      </c>
      <c r="N22" s="38">
        <f t="shared" si="36"/>
        <v>49800</v>
      </c>
      <c r="O22" s="38">
        <f t="shared" si="37"/>
        <v>820000</v>
      </c>
      <c r="P22" s="39">
        <f t="shared" si="38"/>
        <v>492000</v>
      </c>
      <c r="Q22" s="37">
        <f t="shared" si="39"/>
        <v>1734000</v>
      </c>
      <c r="R22" s="38">
        <f t="shared" si="40"/>
        <v>361800</v>
      </c>
      <c r="S22" s="38">
        <f t="shared" si="41"/>
        <v>5580000</v>
      </c>
      <c r="T22" s="39">
        <f t="shared" si="42"/>
        <v>3348000</v>
      </c>
      <c r="U22" s="12"/>
      <c r="V22" s="12"/>
      <c r="W22" s="12"/>
      <c r="X22" s="12"/>
      <c r="Y22" s="12"/>
      <c r="Z22" s="12"/>
    </row>
    <row r="23" ht="15.75" customHeight="1">
      <c r="A23" s="51" t="s">
        <v>34</v>
      </c>
      <c r="B23" s="14" t="s">
        <v>30</v>
      </c>
      <c r="C23" s="33" t="str">
        <f t="shared" ref="C23:E23" si="45">IF(#REF!=0,0%,IF(F23=0,100%,#REF!/F23-1))</f>
        <v>#REF!</v>
      </c>
      <c r="D23" s="34" t="str">
        <f t="shared" si="45"/>
        <v>#REF!</v>
      </c>
      <c r="E23" s="34" t="str">
        <f t="shared" si="45"/>
        <v>#REF!</v>
      </c>
      <c r="F23" s="35"/>
      <c r="G23" s="35"/>
      <c r="H23" s="36"/>
      <c r="I23" s="37">
        <v>3000000.0</v>
      </c>
      <c r="J23" s="38">
        <v>250000.0</v>
      </c>
      <c r="K23" s="38">
        <v>2.0E7</v>
      </c>
      <c r="L23" s="39">
        <v>6000000.0</v>
      </c>
      <c r="M23" s="37">
        <f t="shared" si="35"/>
        <v>255000</v>
      </c>
      <c r="N23" s="38">
        <f t="shared" si="36"/>
        <v>20750</v>
      </c>
      <c r="O23" s="38">
        <f t="shared" si="37"/>
        <v>1640000</v>
      </c>
      <c r="P23" s="39">
        <f t="shared" si="38"/>
        <v>492000</v>
      </c>
      <c r="Q23" s="37">
        <f t="shared" si="39"/>
        <v>1734000</v>
      </c>
      <c r="R23" s="38">
        <f t="shared" si="40"/>
        <v>150750</v>
      </c>
      <c r="S23" s="38">
        <f t="shared" si="41"/>
        <v>11160000</v>
      </c>
      <c r="T23" s="39">
        <f t="shared" si="42"/>
        <v>3348000</v>
      </c>
      <c r="U23" s="12"/>
      <c r="V23" s="12"/>
      <c r="W23" s="12"/>
      <c r="X23" s="12"/>
      <c r="Y23" s="12"/>
      <c r="Z23" s="12"/>
    </row>
    <row r="24" ht="15.75" customHeight="1">
      <c r="A24" s="13" t="s">
        <v>35</v>
      </c>
      <c r="B24" s="14" t="s">
        <v>30</v>
      </c>
      <c r="C24" s="33" t="str">
        <f t="shared" ref="C24:E24" si="46">IF(#REF!=0,0%,IF(F24=0,100%,#REF!/F24-1))</f>
        <v>#REF!</v>
      </c>
      <c r="D24" s="34" t="str">
        <f t="shared" si="46"/>
        <v>#REF!</v>
      </c>
      <c r="E24" s="34" t="str">
        <f t="shared" si="46"/>
        <v>#REF!</v>
      </c>
      <c r="F24" s="35"/>
      <c r="G24" s="35"/>
      <c r="H24" s="36"/>
      <c r="I24" s="37">
        <v>1000000.0</v>
      </c>
      <c r="J24" s="38">
        <v>150000.0</v>
      </c>
      <c r="K24" s="38">
        <v>8000000.0</v>
      </c>
      <c r="L24" s="39">
        <v>6000000.0</v>
      </c>
      <c r="M24" s="37">
        <f t="shared" si="35"/>
        <v>85000</v>
      </c>
      <c r="N24" s="38">
        <f t="shared" si="36"/>
        <v>12450</v>
      </c>
      <c r="O24" s="38">
        <f t="shared" si="37"/>
        <v>656000</v>
      </c>
      <c r="P24" s="39">
        <f t="shared" si="38"/>
        <v>492000</v>
      </c>
      <c r="Q24" s="37">
        <f t="shared" si="39"/>
        <v>578000</v>
      </c>
      <c r="R24" s="38">
        <f t="shared" si="40"/>
        <v>90450</v>
      </c>
      <c r="S24" s="38">
        <f t="shared" si="41"/>
        <v>4464000</v>
      </c>
      <c r="T24" s="39">
        <f t="shared" si="42"/>
        <v>3348000</v>
      </c>
      <c r="U24" s="12"/>
      <c r="V24" s="12"/>
      <c r="W24" s="12"/>
      <c r="X24" s="12"/>
      <c r="Y24" s="12"/>
      <c r="Z24" s="12"/>
    </row>
    <row r="25" ht="15.75" customHeight="1">
      <c r="A25" s="13" t="s">
        <v>36</v>
      </c>
      <c r="B25" s="14" t="s">
        <v>30</v>
      </c>
      <c r="C25" s="33" t="str">
        <f t="shared" ref="C25:E25" si="47">IF(#REF!=0,0%,IF(F25=0,100%,#REF!/F25-1))</f>
        <v>#REF!</v>
      </c>
      <c r="D25" s="34" t="str">
        <f t="shared" si="47"/>
        <v>#REF!</v>
      </c>
      <c r="E25" s="34" t="str">
        <f t="shared" si="47"/>
        <v>#REF!</v>
      </c>
      <c r="F25" s="35"/>
      <c r="G25" s="35"/>
      <c r="H25" s="36"/>
      <c r="I25" s="37">
        <v>500000.0</v>
      </c>
      <c r="J25" s="38">
        <v>150000.0</v>
      </c>
      <c r="K25" s="38">
        <v>1000000.0</v>
      </c>
      <c r="L25" s="39">
        <v>2000000.0</v>
      </c>
      <c r="M25" s="37">
        <f t="shared" si="35"/>
        <v>42500</v>
      </c>
      <c r="N25" s="38">
        <f t="shared" si="36"/>
        <v>12450</v>
      </c>
      <c r="O25" s="38">
        <f t="shared" si="37"/>
        <v>82000</v>
      </c>
      <c r="P25" s="39">
        <f t="shared" si="38"/>
        <v>164000</v>
      </c>
      <c r="Q25" s="37">
        <f t="shared" si="39"/>
        <v>289000</v>
      </c>
      <c r="R25" s="38">
        <f t="shared" si="40"/>
        <v>90450</v>
      </c>
      <c r="S25" s="38">
        <f t="shared" si="41"/>
        <v>558000</v>
      </c>
      <c r="T25" s="39">
        <f t="shared" si="42"/>
        <v>1116000</v>
      </c>
      <c r="U25" s="12"/>
      <c r="V25" s="12"/>
      <c r="W25" s="12"/>
      <c r="X25" s="12"/>
      <c r="Y25" s="12"/>
      <c r="Z25" s="12"/>
    </row>
    <row r="26" ht="15.75" customHeight="1">
      <c r="A26" s="13" t="s">
        <v>37</v>
      </c>
      <c r="B26" s="14" t="s">
        <v>30</v>
      </c>
      <c r="C26" s="33" t="str">
        <f t="shared" ref="C26:E26" si="48">IF(#REF!=0,0%,IF(F26=0,100%,#REF!/F26-1))</f>
        <v>#REF!</v>
      </c>
      <c r="D26" s="34" t="str">
        <f t="shared" si="48"/>
        <v>#REF!</v>
      </c>
      <c r="E26" s="34" t="str">
        <f t="shared" si="48"/>
        <v>#REF!</v>
      </c>
      <c r="F26" s="35"/>
      <c r="G26" s="35"/>
      <c r="H26" s="36"/>
      <c r="I26" s="37">
        <v>0.0</v>
      </c>
      <c r="J26" s="38">
        <v>0.0</v>
      </c>
      <c r="K26" s="38">
        <v>0.0</v>
      </c>
      <c r="L26" s="39">
        <v>0.0</v>
      </c>
      <c r="M26" s="37">
        <f t="shared" si="35"/>
        <v>0</v>
      </c>
      <c r="N26" s="38">
        <f t="shared" si="36"/>
        <v>0</v>
      </c>
      <c r="O26" s="38">
        <f t="shared" si="37"/>
        <v>0</v>
      </c>
      <c r="P26" s="39">
        <f t="shared" si="38"/>
        <v>0</v>
      </c>
      <c r="Q26" s="37">
        <f t="shared" si="39"/>
        <v>0</v>
      </c>
      <c r="R26" s="38">
        <f t="shared" si="40"/>
        <v>0</v>
      </c>
      <c r="S26" s="38">
        <f t="shared" si="41"/>
        <v>0</v>
      </c>
      <c r="T26" s="39">
        <f t="shared" si="42"/>
        <v>0</v>
      </c>
      <c r="U26" s="12"/>
      <c r="V26" s="12"/>
      <c r="W26" s="12"/>
      <c r="X26" s="12"/>
      <c r="Y26" s="12"/>
      <c r="Z26" s="12"/>
    </row>
    <row r="27" ht="15.75" customHeight="1">
      <c r="A27" s="13" t="s">
        <v>38</v>
      </c>
      <c r="B27" s="14" t="s">
        <v>30</v>
      </c>
      <c r="C27" s="33" t="str">
        <f t="shared" ref="C27:E27" si="49">IF(#REF!=0,0%,IF(F27=0,100%,#REF!/F27-1))</f>
        <v>#REF!</v>
      </c>
      <c r="D27" s="34" t="str">
        <f t="shared" si="49"/>
        <v>#REF!</v>
      </c>
      <c r="E27" s="34" t="str">
        <f t="shared" si="49"/>
        <v>#REF!</v>
      </c>
      <c r="F27" s="35"/>
      <c r="G27" s="35"/>
      <c r="H27" s="36"/>
      <c r="I27" s="37">
        <v>300000.0</v>
      </c>
      <c r="J27" s="38">
        <v>80000.0</v>
      </c>
      <c r="K27" s="38">
        <v>300000.0</v>
      </c>
      <c r="L27" s="39">
        <v>300000.0</v>
      </c>
      <c r="M27" s="37">
        <f t="shared" si="35"/>
        <v>25500</v>
      </c>
      <c r="N27" s="38">
        <f t="shared" si="36"/>
        <v>6640</v>
      </c>
      <c r="O27" s="38">
        <f t="shared" si="37"/>
        <v>24600</v>
      </c>
      <c r="P27" s="39">
        <f t="shared" si="38"/>
        <v>24600</v>
      </c>
      <c r="Q27" s="37">
        <f t="shared" si="39"/>
        <v>173400</v>
      </c>
      <c r="R27" s="38">
        <f t="shared" si="40"/>
        <v>48240</v>
      </c>
      <c r="S27" s="38">
        <f t="shared" si="41"/>
        <v>167400</v>
      </c>
      <c r="T27" s="39">
        <f t="shared" si="42"/>
        <v>167400</v>
      </c>
      <c r="U27" s="12"/>
      <c r="V27" s="12"/>
      <c r="W27" s="12"/>
      <c r="X27" s="12"/>
      <c r="Y27" s="12"/>
      <c r="Z27" s="12"/>
    </row>
    <row r="28" ht="15.75" customHeight="1">
      <c r="A28" s="13" t="s">
        <v>39</v>
      </c>
      <c r="B28" s="14" t="s">
        <v>30</v>
      </c>
      <c r="C28" s="33" t="str">
        <f t="shared" ref="C28:E28" si="50">IF(#REF!=0,0%,IF(F28=0,100%,#REF!/F28-1))</f>
        <v>#REF!</v>
      </c>
      <c r="D28" s="34" t="str">
        <f t="shared" si="50"/>
        <v>#REF!</v>
      </c>
      <c r="E28" s="34" t="str">
        <f t="shared" si="50"/>
        <v>#REF!</v>
      </c>
      <c r="F28" s="35"/>
      <c r="G28" s="35"/>
      <c r="H28" s="36"/>
      <c r="I28" s="37">
        <v>0.0</v>
      </c>
      <c r="J28" s="38">
        <v>0.0</v>
      </c>
      <c r="K28" s="38">
        <v>0.0</v>
      </c>
      <c r="L28" s="39">
        <v>0.0</v>
      </c>
      <c r="M28" s="37">
        <f t="shared" si="35"/>
        <v>0</v>
      </c>
      <c r="N28" s="38">
        <f t="shared" si="36"/>
        <v>0</v>
      </c>
      <c r="O28" s="38">
        <f t="shared" si="37"/>
        <v>0</v>
      </c>
      <c r="P28" s="39">
        <f t="shared" si="38"/>
        <v>0</v>
      </c>
      <c r="Q28" s="37">
        <f t="shared" si="39"/>
        <v>0</v>
      </c>
      <c r="R28" s="38">
        <f t="shared" si="40"/>
        <v>0</v>
      </c>
      <c r="S28" s="38">
        <f t="shared" si="41"/>
        <v>0</v>
      </c>
      <c r="T28" s="39">
        <f t="shared" si="42"/>
        <v>0</v>
      </c>
      <c r="U28" s="12"/>
      <c r="V28" s="12"/>
      <c r="W28" s="12"/>
      <c r="X28" s="12"/>
      <c r="Y28" s="12"/>
      <c r="Z28" s="12"/>
    </row>
    <row r="29" ht="15.75" customHeight="1">
      <c r="A29" s="13" t="s">
        <v>40</v>
      </c>
      <c r="B29" s="14" t="s">
        <v>30</v>
      </c>
      <c r="C29" s="33" t="str">
        <f t="shared" ref="C29:E29" si="51">IF(#REF!=0,0%,IF(F29=0,100%,#REF!/F29-1))</f>
        <v>#REF!</v>
      </c>
      <c r="D29" s="34" t="str">
        <f t="shared" si="51"/>
        <v>#REF!</v>
      </c>
      <c r="E29" s="34" t="str">
        <f t="shared" si="51"/>
        <v>#REF!</v>
      </c>
      <c r="F29" s="35"/>
      <c r="G29" s="35"/>
      <c r="H29" s="36"/>
      <c r="I29" s="37">
        <v>50000.0</v>
      </c>
      <c r="J29" s="38">
        <v>50000.0</v>
      </c>
      <c r="K29" s="38">
        <v>300000.0</v>
      </c>
      <c r="L29" s="39">
        <v>200000.0</v>
      </c>
      <c r="M29" s="37">
        <f t="shared" si="35"/>
        <v>4250</v>
      </c>
      <c r="N29" s="38">
        <f t="shared" si="36"/>
        <v>4150</v>
      </c>
      <c r="O29" s="38">
        <f t="shared" si="37"/>
        <v>24600</v>
      </c>
      <c r="P29" s="39">
        <f t="shared" si="38"/>
        <v>16400</v>
      </c>
      <c r="Q29" s="37">
        <f t="shared" si="39"/>
        <v>28900</v>
      </c>
      <c r="R29" s="38">
        <f t="shared" si="40"/>
        <v>30150</v>
      </c>
      <c r="S29" s="38">
        <f t="shared" si="41"/>
        <v>167400</v>
      </c>
      <c r="T29" s="39">
        <f t="shared" si="42"/>
        <v>111600</v>
      </c>
      <c r="U29" s="12"/>
      <c r="V29" s="12"/>
      <c r="W29" s="12"/>
      <c r="X29" s="12"/>
      <c r="Y29" s="12"/>
      <c r="Z29" s="12"/>
    </row>
    <row r="30" ht="15.75" customHeight="1">
      <c r="A30" s="50" t="s">
        <v>41</v>
      </c>
      <c r="B30" s="14" t="s">
        <v>30</v>
      </c>
      <c r="C30" s="33" t="str">
        <f t="shared" ref="C30:E30" si="52">IF(#REF!=0,0%,IF(F30=0,100%,#REF!/F30-1))</f>
        <v>#REF!</v>
      </c>
      <c r="D30" s="34" t="str">
        <f t="shared" si="52"/>
        <v>#REF!</v>
      </c>
      <c r="E30" s="34" t="str">
        <f t="shared" si="52"/>
        <v>#REF!</v>
      </c>
      <c r="F30" s="35"/>
      <c r="G30" s="35"/>
      <c r="H30" s="36"/>
      <c r="I30" s="37">
        <v>100000.0</v>
      </c>
      <c r="J30" s="38">
        <v>50000.0</v>
      </c>
      <c r="K30" s="38">
        <v>300000.0</v>
      </c>
      <c r="L30" s="39">
        <v>100000.0</v>
      </c>
      <c r="M30" s="37">
        <f t="shared" si="35"/>
        <v>8500</v>
      </c>
      <c r="N30" s="38">
        <f t="shared" si="36"/>
        <v>4150</v>
      </c>
      <c r="O30" s="38">
        <f t="shared" si="37"/>
        <v>24600</v>
      </c>
      <c r="P30" s="39">
        <f t="shared" si="38"/>
        <v>8200</v>
      </c>
      <c r="Q30" s="37">
        <f t="shared" si="39"/>
        <v>57800</v>
      </c>
      <c r="R30" s="38">
        <f t="shared" si="40"/>
        <v>30150</v>
      </c>
      <c r="S30" s="38">
        <f t="shared" si="41"/>
        <v>167400</v>
      </c>
      <c r="T30" s="39">
        <f t="shared" si="42"/>
        <v>55800</v>
      </c>
      <c r="U30" s="12"/>
      <c r="V30" s="12"/>
      <c r="W30" s="12"/>
      <c r="X30" s="12"/>
      <c r="Y30" s="12"/>
      <c r="Z30" s="12"/>
    </row>
    <row r="31" ht="15.75" customHeight="1">
      <c r="A31" s="50" t="s">
        <v>42</v>
      </c>
      <c r="B31" s="14" t="s">
        <v>30</v>
      </c>
      <c r="C31" s="33" t="str">
        <f t="shared" ref="C31:E31" si="53">IF(#REF!=0,0%,IF(F31=0,100%,#REF!/F31-1))</f>
        <v>#REF!</v>
      </c>
      <c r="D31" s="34" t="str">
        <f t="shared" si="53"/>
        <v>#REF!</v>
      </c>
      <c r="E31" s="34" t="str">
        <f t="shared" si="53"/>
        <v>#REF!</v>
      </c>
      <c r="F31" s="35"/>
      <c r="G31" s="35"/>
      <c r="H31" s="36"/>
      <c r="I31" s="37">
        <v>2500000.0</v>
      </c>
      <c r="J31" s="38">
        <v>300000.0</v>
      </c>
      <c r="K31" s="38">
        <v>3000000.0</v>
      </c>
      <c r="L31" s="39">
        <v>4000000.0</v>
      </c>
      <c r="M31" s="37">
        <f t="shared" si="35"/>
        <v>212500</v>
      </c>
      <c r="N31" s="38">
        <f t="shared" si="36"/>
        <v>24900</v>
      </c>
      <c r="O31" s="38">
        <f t="shared" si="37"/>
        <v>246000</v>
      </c>
      <c r="P31" s="39">
        <f t="shared" si="38"/>
        <v>328000</v>
      </c>
      <c r="Q31" s="37">
        <f t="shared" si="39"/>
        <v>1445000</v>
      </c>
      <c r="R31" s="38">
        <f t="shared" si="40"/>
        <v>180900</v>
      </c>
      <c r="S31" s="38">
        <f t="shared" si="41"/>
        <v>1674000</v>
      </c>
      <c r="T31" s="39">
        <f t="shared" si="42"/>
        <v>2232000</v>
      </c>
      <c r="U31" s="12"/>
      <c r="V31" s="12"/>
      <c r="W31" s="12"/>
      <c r="X31" s="12"/>
      <c r="Y31" s="12"/>
      <c r="Z31" s="12"/>
    </row>
    <row r="32" ht="15.75" customHeight="1">
      <c r="A32" s="50" t="s">
        <v>43</v>
      </c>
      <c r="B32" s="14" t="s">
        <v>30</v>
      </c>
      <c r="C32" s="33" t="str">
        <f t="shared" ref="C32:E32" si="54">IF(#REF!=0,0%,IF(F32=0,100%,#REF!/F32-1))</f>
        <v>#REF!</v>
      </c>
      <c r="D32" s="34" t="str">
        <f t="shared" si="54"/>
        <v>#REF!</v>
      </c>
      <c r="E32" s="34" t="str">
        <f t="shared" si="54"/>
        <v>#REF!</v>
      </c>
      <c r="F32" s="35"/>
      <c r="G32" s="35"/>
      <c r="H32" s="36"/>
      <c r="I32" s="37">
        <v>300000.0</v>
      </c>
      <c r="J32" s="38">
        <v>200000.0</v>
      </c>
      <c r="K32" s="38">
        <v>100000.0</v>
      </c>
      <c r="L32" s="39">
        <v>200000.0</v>
      </c>
      <c r="M32" s="37">
        <f t="shared" si="35"/>
        <v>25500</v>
      </c>
      <c r="N32" s="38">
        <f t="shared" si="36"/>
        <v>16600</v>
      </c>
      <c r="O32" s="38">
        <f t="shared" si="37"/>
        <v>8200</v>
      </c>
      <c r="P32" s="39">
        <f t="shared" si="38"/>
        <v>16400</v>
      </c>
      <c r="Q32" s="37">
        <f t="shared" si="39"/>
        <v>173400</v>
      </c>
      <c r="R32" s="38">
        <f t="shared" si="40"/>
        <v>120600</v>
      </c>
      <c r="S32" s="38">
        <f t="shared" si="41"/>
        <v>55800</v>
      </c>
      <c r="T32" s="39">
        <f t="shared" si="42"/>
        <v>111600</v>
      </c>
      <c r="U32" s="12"/>
      <c r="V32" s="12"/>
      <c r="W32" s="12"/>
      <c r="X32" s="12"/>
      <c r="Y32" s="12"/>
      <c r="Z32" s="12"/>
    </row>
    <row r="33" ht="15.75" customHeight="1">
      <c r="A33" s="50" t="s">
        <v>44</v>
      </c>
      <c r="B33" s="14" t="s">
        <v>30</v>
      </c>
      <c r="C33" s="33" t="str">
        <f t="shared" ref="C33:E33" si="55">IF(#REF!=0,0%,IF(F33=0,100%,#REF!/F33-1))</f>
        <v>#REF!</v>
      </c>
      <c r="D33" s="34" t="str">
        <f t="shared" si="55"/>
        <v>#REF!</v>
      </c>
      <c r="E33" s="34" t="str">
        <f t="shared" si="55"/>
        <v>#REF!</v>
      </c>
      <c r="F33" s="35"/>
      <c r="G33" s="35"/>
      <c r="H33" s="36"/>
      <c r="I33" s="37">
        <v>300000.0</v>
      </c>
      <c r="J33" s="38">
        <v>150000.0</v>
      </c>
      <c r="K33" s="38">
        <v>1500000.0</v>
      </c>
      <c r="L33" s="39">
        <v>300000.0</v>
      </c>
      <c r="M33" s="37">
        <f t="shared" si="35"/>
        <v>25500</v>
      </c>
      <c r="N33" s="38">
        <f t="shared" si="36"/>
        <v>12450</v>
      </c>
      <c r="O33" s="38">
        <f t="shared" si="37"/>
        <v>123000</v>
      </c>
      <c r="P33" s="39">
        <f t="shared" si="38"/>
        <v>24600</v>
      </c>
      <c r="Q33" s="37">
        <f t="shared" si="39"/>
        <v>173400</v>
      </c>
      <c r="R33" s="38">
        <f t="shared" si="40"/>
        <v>90450</v>
      </c>
      <c r="S33" s="38">
        <f t="shared" si="41"/>
        <v>837000</v>
      </c>
      <c r="T33" s="39">
        <f t="shared" si="42"/>
        <v>167400</v>
      </c>
      <c r="U33" s="12"/>
      <c r="V33" s="12"/>
      <c r="W33" s="12"/>
      <c r="X33" s="12"/>
      <c r="Y33" s="12"/>
      <c r="Z33" s="12"/>
    </row>
    <row r="34" ht="15.75" customHeight="1">
      <c r="A34" s="13" t="s">
        <v>45</v>
      </c>
      <c r="B34" s="14" t="s">
        <v>30</v>
      </c>
      <c r="C34" s="33" t="str">
        <f t="shared" ref="C34:E34" si="56">IF(#REF!=0,0%,IF(F34=0,100%,#REF!/F34-1))</f>
        <v>#REF!</v>
      </c>
      <c r="D34" s="34" t="str">
        <f t="shared" si="56"/>
        <v>#REF!</v>
      </c>
      <c r="E34" s="34" t="str">
        <f t="shared" si="56"/>
        <v>#REF!</v>
      </c>
      <c r="F34" s="35"/>
      <c r="G34" s="35"/>
      <c r="H34" s="36"/>
      <c r="I34" s="37">
        <v>1750000.0</v>
      </c>
      <c r="J34" s="38">
        <v>150000.0</v>
      </c>
      <c r="K34" s="38">
        <v>3000000.0</v>
      </c>
      <c r="L34" s="39">
        <v>5000000.0</v>
      </c>
      <c r="M34" s="37">
        <f t="shared" si="35"/>
        <v>148750</v>
      </c>
      <c r="N34" s="38">
        <f t="shared" si="36"/>
        <v>12450</v>
      </c>
      <c r="O34" s="38">
        <f t="shared" si="37"/>
        <v>246000</v>
      </c>
      <c r="P34" s="39">
        <f t="shared" si="38"/>
        <v>410000</v>
      </c>
      <c r="Q34" s="37">
        <f t="shared" si="39"/>
        <v>1011500</v>
      </c>
      <c r="R34" s="38">
        <f t="shared" si="40"/>
        <v>90450</v>
      </c>
      <c r="S34" s="38">
        <f t="shared" si="41"/>
        <v>1674000</v>
      </c>
      <c r="T34" s="39">
        <f t="shared" si="42"/>
        <v>2790000</v>
      </c>
      <c r="U34" s="12"/>
      <c r="V34" s="12"/>
      <c r="W34" s="12"/>
      <c r="X34" s="12"/>
      <c r="Y34" s="12"/>
      <c r="Z34" s="12"/>
    </row>
    <row r="35" ht="15.75" customHeight="1">
      <c r="A35" s="13" t="s">
        <v>46</v>
      </c>
      <c r="B35" s="14" t="s">
        <v>30</v>
      </c>
      <c r="C35" s="33" t="str">
        <f t="shared" ref="C35:E35" si="57">IF(#REF!=0,0%,IF(F35=0,100%,#REF!/F35-1))</f>
        <v>#REF!</v>
      </c>
      <c r="D35" s="34" t="str">
        <f t="shared" si="57"/>
        <v>#REF!</v>
      </c>
      <c r="E35" s="34" t="str">
        <f t="shared" si="57"/>
        <v>#REF!</v>
      </c>
      <c r="F35" s="35"/>
      <c r="G35" s="35"/>
      <c r="H35" s="36"/>
      <c r="I35" s="37">
        <v>1000000.0</v>
      </c>
      <c r="J35" s="38">
        <v>200000.0</v>
      </c>
      <c r="K35" s="38">
        <v>4000000.0</v>
      </c>
      <c r="L35" s="39">
        <v>2500000.0</v>
      </c>
      <c r="M35" s="37">
        <f t="shared" si="35"/>
        <v>85000</v>
      </c>
      <c r="N35" s="38">
        <f t="shared" si="36"/>
        <v>16600</v>
      </c>
      <c r="O35" s="38">
        <f t="shared" si="37"/>
        <v>328000</v>
      </c>
      <c r="P35" s="39">
        <f t="shared" si="38"/>
        <v>205000</v>
      </c>
      <c r="Q35" s="37">
        <f t="shared" si="39"/>
        <v>578000</v>
      </c>
      <c r="R35" s="38">
        <f t="shared" si="40"/>
        <v>120600</v>
      </c>
      <c r="S35" s="38">
        <f t="shared" si="41"/>
        <v>2232000</v>
      </c>
      <c r="T35" s="39">
        <f t="shared" si="42"/>
        <v>1395000</v>
      </c>
      <c r="U35" s="12"/>
      <c r="V35" s="12"/>
      <c r="W35" s="12"/>
      <c r="X35" s="12"/>
      <c r="Y35" s="12"/>
      <c r="Z35" s="12"/>
    </row>
    <row r="36" ht="15.75" customHeight="1">
      <c r="A36" s="13" t="s">
        <v>47</v>
      </c>
      <c r="B36" s="14" t="s">
        <v>30</v>
      </c>
      <c r="C36" s="33" t="str">
        <f t="shared" ref="C36:E36" si="58">IF(#REF!=0,0%,IF(F36=0,100%,#REF!/F36-1))</f>
        <v>#REF!</v>
      </c>
      <c r="D36" s="34" t="str">
        <f t="shared" si="58"/>
        <v>#REF!</v>
      </c>
      <c r="E36" s="34" t="str">
        <f t="shared" si="58"/>
        <v>#REF!</v>
      </c>
      <c r="F36" s="35"/>
      <c r="G36" s="35"/>
      <c r="H36" s="36"/>
      <c r="I36" s="37">
        <v>0.0</v>
      </c>
      <c r="J36" s="38">
        <v>0.0</v>
      </c>
      <c r="K36" s="38">
        <v>0.0</v>
      </c>
      <c r="L36" s="39">
        <v>0.0</v>
      </c>
      <c r="M36" s="37">
        <f t="shared" si="35"/>
        <v>0</v>
      </c>
      <c r="N36" s="38">
        <f t="shared" si="36"/>
        <v>0</v>
      </c>
      <c r="O36" s="38">
        <f t="shared" si="37"/>
        <v>0</v>
      </c>
      <c r="P36" s="39">
        <f t="shared" si="38"/>
        <v>0</v>
      </c>
      <c r="Q36" s="37">
        <f t="shared" si="39"/>
        <v>0</v>
      </c>
      <c r="R36" s="38">
        <f t="shared" si="40"/>
        <v>0</v>
      </c>
      <c r="S36" s="38">
        <f t="shared" si="41"/>
        <v>0</v>
      </c>
      <c r="T36" s="39">
        <f t="shared" si="42"/>
        <v>0</v>
      </c>
      <c r="U36" s="12"/>
      <c r="V36" s="12"/>
      <c r="W36" s="12"/>
      <c r="X36" s="12"/>
      <c r="Y36" s="12"/>
      <c r="Z36" s="12"/>
    </row>
    <row r="37" ht="15.75" customHeight="1">
      <c r="A37" s="52" t="s">
        <v>48</v>
      </c>
      <c r="B37" s="14" t="s">
        <v>30</v>
      </c>
      <c r="C37" s="33" t="str">
        <f t="shared" ref="C37:E37" si="59">IF(#REF!=0,0%,IF(F37=0,100%,#REF!/F37-1))</f>
        <v>#REF!</v>
      </c>
      <c r="D37" s="34" t="str">
        <f t="shared" si="59"/>
        <v>#REF!</v>
      </c>
      <c r="E37" s="34" t="str">
        <f t="shared" si="59"/>
        <v>#REF!</v>
      </c>
      <c r="F37" s="35"/>
      <c r="G37" s="35"/>
      <c r="H37" s="36"/>
      <c r="I37" s="37"/>
      <c r="J37" s="38"/>
      <c r="K37" s="38"/>
      <c r="L37" s="39"/>
      <c r="M37" s="37">
        <f t="shared" si="35"/>
        <v>0</v>
      </c>
      <c r="N37" s="38">
        <f t="shared" si="36"/>
        <v>0</v>
      </c>
      <c r="O37" s="38">
        <f t="shared" si="37"/>
        <v>0</v>
      </c>
      <c r="P37" s="39">
        <f t="shared" si="38"/>
        <v>0</v>
      </c>
      <c r="Q37" s="37">
        <f t="shared" si="39"/>
        <v>0</v>
      </c>
      <c r="R37" s="38">
        <f t="shared" si="40"/>
        <v>0</v>
      </c>
      <c r="S37" s="38">
        <f t="shared" si="41"/>
        <v>0</v>
      </c>
      <c r="T37" s="39">
        <f t="shared" si="42"/>
        <v>0</v>
      </c>
      <c r="U37" s="12"/>
      <c r="V37" s="12"/>
      <c r="W37" s="12"/>
      <c r="X37" s="12"/>
      <c r="Y37" s="12"/>
      <c r="Z37" s="12"/>
    </row>
    <row r="38" ht="15.75" customHeight="1">
      <c r="A38" s="52" t="s">
        <v>49</v>
      </c>
      <c r="B38" s="14" t="s">
        <v>30</v>
      </c>
      <c r="C38" s="33" t="str">
        <f t="shared" ref="C38:E38" si="60">IF(#REF!=0,0%,IF(F38=0,100%,#REF!/F38-1))</f>
        <v>#REF!</v>
      </c>
      <c r="D38" s="34" t="str">
        <f t="shared" si="60"/>
        <v>#REF!</v>
      </c>
      <c r="E38" s="34" t="str">
        <f t="shared" si="60"/>
        <v>#REF!</v>
      </c>
      <c r="F38" s="35"/>
      <c r="G38" s="35"/>
      <c r="H38" s="36"/>
      <c r="I38" s="37"/>
      <c r="J38" s="38"/>
      <c r="K38" s="38"/>
      <c r="L38" s="39"/>
      <c r="M38" s="37">
        <f t="shared" si="35"/>
        <v>0</v>
      </c>
      <c r="N38" s="38">
        <f t="shared" si="36"/>
        <v>0</v>
      </c>
      <c r="O38" s="38">
        <f t="shared" si="37"/>
        <v>0</v>
      </c>
      <c r="P38" s="39">
        <f t="shared" si="38"/>
        <v>0</v>
      </c>
      <c r="Q38" s="37">
        <f t="shared" si="39"/>
        <v>0</v>
      </c>
      <c r="R38" s="38">
        <f t="shared" si="40"/>
        <v>0</v>
      </c>
      <c r="S38" s="38">
        <f t="shared" si="41"/>
        <v>0</v>
      </c>
      <c r="T38" s="39">
        <f t="shared" si="42"/>
        <v>0</v>
      </c>
      <c r="U38" s="12"/>
      <c r="V38" s="12"/>
      <c r="W38" s="12"/>
      <c r="X38" s="12"/>
      <c r="Y38" s="12"/>
      <c r="Z38" s="12"/>
    </row>
    <row r="39" ht="15.75" customHeight="1">
      <c r="A39" s="50" t="s">
        <v>50</v>
      </c>
      <c r="B39" s="14" t="s">
        <v>30</v>
      </c>
      <c r="C39" s="33" t="str">
        <f t="shared" ref="C39:E39" si="61">IF(#REF!=0,0%,IF(F39=0,100%,#REF!/F39-1))</f>
        <v>#REF!</v>
      </c>
      <c r="D39" s="34" t="str">
        <f t="shared" si="61"/>
        <v>#REF!</v>
      </c>
      <c r="E39" s="34" t="str">
        <f t="shared" si="61"/>
        <v>#REF!</v>
      </c>
      <c r="F39" s="35"/>
      <c r="G39" s="35"/>
      <c r="H39" s="36"/>
      <c r="I39" s="37">
        <v>2500000.0</v>
      </c>
      <c r="J39" s="38">
        <v>450000.0</v>
      </c>
      <c r="K39" s="38">
        <v>6000000.0</v>
      </c>
      <c r="L39" s="39">
        <v>4000000.0</v>
      </c>
      <c r="M39" s="37">
        <f t="shared" si="35"/>
        <v>212500</v>
      </c>
      <c r="N39" s="38">
        <f t="shared" si="36"/>
        <v>37350</v>
      </c>
      <c r="O39" s="38">
        <f t="shared" si="37"/>
        <v>492000</v>
      </c>
      <c r="P39" s="39">
        <f t="shared" si="38"/>
        <v>328000</v>
      </c>
      <c r="Q39" s="37">
        <f t="shared" si="39"/>
        <v>1445000</v>
      </c>
      <c r="R39" s="38">
        <f t="shared" si="40"/>
        <v>271350</v>
      </c>
      <c r="S39" s="38">
        <f t="shared" si="41"/>
        <v>3348000</v>
      </c>
      <c r="T39" s="39">
        <f t="shared" si="42"/>
        <v>2232000</v>
      </c>
      <c r="U39" s="12"/>
      <c r="V39" s="12"/>
      <c r="W39" s="12"/>
      <c r="X39" s="12"/>
      <c r="Y39" s="12"/>
      <c r="Z39" s="12"/>
    </row>
    <row r="40" ht="15.75" customHeight="1">
      <c r="A40" s="52" t="s">
        <v>51</v>
      </c>
      <c r="B40" s="14" t="s">
        <v>30</v>
      </c>
      <c r="C40" s="33" t="str">
        <f t="shared" ref="C40:E40" si="62">IF(#REF!=0,0%,IF(F40=0,100%,#REF!/F40-1))</f>
        <v>#REF!</v>
      </c>
      <c r="D40" s="34" t="str">
        <f t="shared" si="62"/>
        <v>#REF!</v>
      </c>
      <c r="E40" s="34" t="str">
        <f t="shared" si="62"/>
        <v>#REF!</v>
      </c>
      <c r="F40" s="35"/>
      <c r="G40" s="35"/>
      <c r="H40" s="36"/>
      <c r="I40" s="37"/>
      <c r="J40" s="38"/>
      <c r="K40" s="38"/>
      <c r="L40" s="39"/>
      <c r="M40" s="37">
        <f t="shared" si="35"/>
        <v>0</v>
      </c>
      <c r="N40" s="38">
        <f t="shared" si="36"/>
        <v>0</v>
      </c>
      <c r="O40" s="38">
        <f t="shared" si="37"/>
        <v>0</v>
      </c>
      <c r="P40" s="39">
        <f t="shared" si="38"/>
        <v>0</v>
      </c>
      <c r="Q40" s="37">
        <f t="shared" si="39"/>
        <v>0</v>
      </c>
      <c r="R40" s="38">
        <f t="shared" si="40"/>
        <v>0</v>
      </c>
      <c r="S40" s="38">
        <f t="shared" si="41"/>
        <v>0</v>
      </c>
      <c r="T40" s="39">
        <f t="shared" si="42"/>
        <v>0</v>
      </c>
      <c r="U40" s="12"/>
      <c r="V40" s="12"/>
      <c r="W40" s="12"/>
      <c r="X40" s="12"/>
      <c r="Y40" s="12"/>
      <c r="Z40" s="12"/>
    </row>
    <row r="41" ht="15.75" customHeight="1">
      <c r="A41" s="52" t="s">
        <v>52</v>
      </c>
      <c r="B41" s="14" t="s">
        <v>30</v>
      </c>
      <c r="C41" s="33" t="str">
        <f t="shared" ref="C41:E41" si="63">IF(#REF!=0,0%,IF(F41=0,100%,#REF!/F41-1))</f>
        <v>#REF!</v>
      </c>
      <c r="D41" s="34" t="str">
        <f t="shared" si="63"/>
        <v>#REF!</v>
      </c>
      <c r="E41" s="34" t="str">
        <f t="shared" si="63"/>
        <v>#REF!</v>
      </c>
      <c r="F41" s="35"/>
      <c r="G41" s="35"/>
      <c r="H41" s="36"/>
      <c r="I41" s="37"/>
      <c r="J41" s="38"/>
      <c r="K41" s="38"/>
      <c r="L41" s="39"/>
      <c r="M41" s="37">
        <f t="shared" si="35"/>
        <v>0</v>
      </c>
      <c r="N41" s="38">
        <f t="shared" si="36"/>
        <v>0</v>
      </c>
      <c r="O41" s="38">
        <f t="shared" si="37"/>
        <v>0</v>
      </c>
      <c r="P41" s="39">
        <f t="shared" si="38"/>
        <v>0</v>
      </c>
      <c r="Q41" s="37">
        <f t="shared" si="39"/>
        <v>0</v>
      </c>
      <c r="R41" s="38">
        <f t="shared" si="40"/>
        <v>0</v>
      </c>
      <c r="S41" s="38">
        <f t="shared" si="41"/>
        <v>0</v>
      </c>
      <c r="T41" s="39">
        <f t="shared" si="42"/>
        <v>0</v>
      </c>
      <c r="U41" s="12"/>
      <c r="V41" s="12"/>
      <c r="W41" s="12"/>
      <c r="X41" s="12"/>
      <c r="Y41" s="12"/>
      <c r="Z41" s="12"/>
    </row>
    <row r="42" ht="15.75" customHeight="1">
      <c r="A42" s="52" t="s">
        <v>53</v>
      </c>
      <c r="B42" s="14" t="s">
        <v>30</v>
      </c>
      <c r="C42" s="33" t="str">
        <f t="shared" ref="C42:E42" si="64">IF(#REF!=0,0%,IF(F42=0,100%,#REF!/F42-1))</f>
        <v>#REF!</v>
      </c>
      <c r="D42" s="34" t="str">
        <f t="shared" si="64"/>
        <v>#REF!</v>
      </c>
      <c r="E42" s="34" t="str">
        <f t="shared" si="64"/>
        <v>#REF!</v>
      </c>
      <c r="F42" s="35"/>
      <c r="G42" s="35"/>
      <c r="H42" s="36"/>
      <c r="I42" s="37"/>
      <c r="J42" s="38"/>
      <c r="K42" s="38"/>
      <c r="L42" s="39"/>
      <c r="M42" s="37">
        <f t="shared" si="35"/>
        <v>0</v>
      </c>
      <c r="N42" s="38">
        <f t="shared" si="36"/>
        <v>0</v>
      </c>
      <c r="O42" s="38">
        <f t="shared" si="37"/>
        <v>0</v>
      </c>
      <c r="P42" s="39">
        <f t="shared" si="38"/>
        <v>0</v>
      </c>
      <c r="Q42" s="37">
        <f t="shared" si="39"/>
        <v>0</v>
      </c>
      <c r="R42" s="38">
        <f t="shared" si="40"/>
        <v>0</v>
      </c>
      <c r="S42" s="38">
        <f t="shared" si="41"/>
        <v>0</v>
      </c>
      <c r="T42" s="39">
        <f t="shared" si="42"/>
        <v>0</v>
      </c>
      <c r="U42" s="12"/>
      <c r="V42" s="12"/>
      <c r="W42" s="12"/>
      <c r="X42" s="12"/>
      <c r="Y42" s="12"/>
      <c r="Z42" s="12"/>
    </row>
    <row r="43" ht="15.75" customHeight="1">
      <c r="A43" s="52" t="s">
        <v>54</v>
      </c>
      <c r="B43" s="53" t="s">
        <v>30</v>
      </c>
      <c r="C43" s="54" t="str">
        <f t="shared" ref="C43:E43" si="65">IF(#REF!=0,0%,IF(F43=0,100%,#REF!/F43-1))</f>
        <v>#REF!</v>
      </c>
      <c r="D43" s="55" t="str">
        <f t="shared" si="65"/>
        <v>#REF!</v>
      </c>
      <c r="E43" s="55" t="str">
        <f t="shared" si="65"/>
        <v>#REF!</v>
      </c>
      <c r="F43" s="56"/>
      <c r="G43" s="56"/>
      <c r="H43" s="57"/>
      <c r="I43" s="58"/>
      <c r="J43" s="56">
        <v>10000.0</v>
      </c>
      <c r="K43" s="56"/>
      <c r="L43" s="59"/>
      <c r="M43" s="37">
        <f t="shared" si="35"/>
        <v>0</v>
      </c>
      <c r="N43" s="38">
        <f t="shared" si="36"/>
        <v>830</v>
      </c>
      <c r="O43" s="38">
        <f t="shared" si="37"/>
        <v>0</v>
      </c>
      <c r="P43" s="39">
        <f t="shared" si="38"/>
        <v>0</v>
      </c>
      <c r="Q43" s="37">
        <f t="shared" si="39"/>
        <v>0</v>
      </c>
      <c r="R43" s="38">
        <f t="shared" si="40"/>
        <v>6030</v>
      </c>
      <c r="S43" s="38">
        <f t="shared" si="41"/>
        <v>0</v>
      </c>
      <c r="T43" s="39">
        <f t="shared" si="42"/>
        <v>0</v>
      </c>
      <c r="U43" s="60"/>
      <c r="V43" s="60"/>
      <c r="W43" s="60"/>
      <c r="X43" s="60"/>
      <c r="Y43" s="60"/>
      <c r="Z43" s="60"/>
    </row>
    <row r="44" ht="15.75" customHeight="1">
      <c r="A44" s="13" t="s">
        <v>55</v>
      </c>
      <c r="B44" s="14" t="s">
        <v>30</v>
      </c>
      <c r="C44" s="33" t="str">
        <f t="shared" ref="C44:E44" si="66">IF(#REF!=0,0%,IF(F44=0,100%,#REF!/F44-1))</f>
        <v>#REF!</v>
      </c>
      <c r="D44" s="34" t="str">
        <f t="shared" si="66"/>
        <v>#REF!</v>
      </c>
      <c r="E44" s="34" t="str">
        <f t="shared" si="66"/>
        <v>#REF!</v>
      </c>
      <c r="F44" s="35"/>
      <c r="G44" s="35"/>
      <c r="H44" s="36"/>
      <c r="I44" s="37">
        <v>50000.0</v>
      </c>
      <c r="J44" s="38">
        <v>50000.0</v>
      </c>
      <c r="K44" s="38">
        <v>500000.0</v>
      </c>
      <c r="L44" s="39">
        <v>200000.0</v>
      </c>
      <c r="M44" s="37">
        <f t="shared" si="35"/>
        <v>4250</v>
      </c>
      <c r="N44" s="38">
        <f t="shared" si="36"/>
        <v>4150</v>
      </c>
      <c r="O44" s="38">
        <f t="shared" si="37"/>
        <v>41000</v>
      </c>
      <c r="P44" s="39">
        <f t="shared" si="38"/>
        <v>16400</v>
      </c>
      <c r="Q44" s="37">
        <f t="shared" si="39"/>
        <v>28900</v>
      </c>
      <c r="R44" s="38">
        <f t="shared" si="40"/>
        <v>30150</v>
      </c>
      <c r="S44" s="38">
        <f t="shared" si="41"/>
        <v>279000</v>
      </c>
      <c r="T44" s="39">
        <f t="shared" si="42"/>
        <v>111600</v>
      </c>
      <c r="U44" s="12"/>
      <c r="V44" s="12"/>
      <c r="W44" s="12"/>
      <c r="X44" s="12"/>
      <c r="Y44" s="12"/>
      <c r="Z44" s="12"/>
    </row>
    <row r="45" ht="15.75" customHeight="1">
      <c r="A45" s="52" t="s">
        <v>56</v>
      </c>
      <c r="B45" s="14" t="s">
        <v>30</v>
      </c>
      <c r="C45" s="33" t="str">
        <f t="shared" ref="C45:E45" si="67">IF(#REF!=0,0%,IF(F45=0,100%,#REF!/F45-1))</f>
        <v>#REF!</v>
      </c>
      <c r="D45" s="34" t="str">
        <f t="shared" si="67"/>
        <v>#REF!</v>
      </c>
      <c r="E45" s="34" t="str">
        <f t="shared" si="67"/>
        <v>#REF!</v>
      </c>
      <c r="F45" s="35"/>
      <c r="G45" s="35"/>
      <c r="H45" s="36"/>
      <c r="I45" s="37">
        <v>100000.0</v>
      </c>
      <c r="J45" s="38">
        <v>50000.0</v>
      </c>
      <c r="K45" s="38">
        <v>2000000.0</v>
      </c>
      <c r="L45" s="39">
        <v>500000.0</v>
      </c>
      <c r="M45" s="37">
        <f t="shared" si="35"/>
        <v>8500</v>
      </c>
      <c r="N45" s="38">
        <f t="shared" si="36"/>
        <v>4150</v>
      </c>
      <c r="O45" s="38">
        <f t="shared" si="37"/>
        <v>164000</v>
      </c>
      <c r="P45" s="39">
        <f t="shared" si="38"/>
        <v>41000</v>
      </c>
      <c r="Q45" s="37">
        <f t="shared" si="39"/>
        <v>57800</v>
      </c>
      <c r="R45" s="38">
        <f t="shared" si="40"/>
        <v>30150</v>
      </c>
      <c r="S45" s="38">
        <f t="shared" si="41"/>
        <v>1116000</v>
      </c>
      <c r="T45" s="39">
        <f t="shared" si="42"/>
        <v>279000</v>
      </c>
      <c r="U45" s="12"/>
      <c r="V45" s="12"/>
      <c r="W45" s="61"/>
      <c r="X45" s="12"/>
      <c r="Y45" s="12"/>
      <c r="Z45" s="12"/>
    </row>
    <row r="46" ht="15.75" customHeight="1">
      <c r="A46" s="62" t="s">
        <v>57</v>
      </c>
      <c r="B46" s="14" t="s">
        <v>30</v>
      </c>
      <c r="C46" s="33"/>
      <c r="D46" s="34"/>
      <c r="E46" s="34"/>
      <c r="F46" s="35"/>
      <c r="G46" s="35"/>
      <c r="H46" s="36"/>
      <c r="I46" s="37">
        <v>200000.0</v>
      </c>
      <c r="J46" s="48">
        <v>100000.0</v>
      </c>
      <c r="K46" s="48">
        <v>500000.0</v>
      </c>
      <c r="L46" s="49">
        <v>600000.0</v>
      </c>
      <c r="M46" s="37">
        <f t="shared" si="35"/>
        <v>17000</v>
      </c>
      <c r="N46" s="38">
        <f t="shared" si="36"/>
        <v>8300</v>
      </c>
      <c r="O46" s="38">
        <f t="shared" si="37"/>
        <v>41000</v>
      </c>
      <c r="P46" s="39">
        <f t="shared" si="38"/>
        <v>49200</v>
      </c>
      <c r="Q46" s="37">
        <f t="shared" si="39"/>
        <v>115600</v>
      </c>
      <c r="R46" s="38">
        <f t="shared" si="40"/>
        <v>60300</v>
      </c>
      <c r="S46" s="38">
        <f t="shared" si="41"/>
        <v>279000</v>
      </c>
      <c r="T46" s="39">
        <f t="shared" si="42"/>
        <v>334800</v>
      </c>
      <c r="U46" s="12"/>
      <c r="V46" s="12"/>
      <c r="W46" s="61"/>
      <c r="X46" s="12"/>
      <c r="Y46" s="12"/>
      <c r="Z46" s="12"/>
    </row>
    <row r="47" ht="15.75" customHeight="1">
      <c r="A47" s="62" t="s">
        <v>58</v>
      </c>
      <c r="B47" s="14" t="s">
        <v>30</v>
      </c>
      <c r="C47" s="33"/>
      <c r="D47" s="34"/>
      <c r="E47" s="34"/>
      <c r="F47" s="35"/>
      <c r="G47" s="35"/>
      <c r="H47" s="36"/>
      <c r="I47" s="37"/>
      <c r="J47" s="48"/>
      <c r="K47" s="48"/>
      <c r="L47" s="49"/>
      <c r="M47" s="37">
        <f t="shared" si="35"/>
        <v>0</v>
      </c>
      <c r="N47" s="38">
        <f t="shared" si="36"/>
        <v>0</v>
      </c>
      <c r="O47" s="38">
        <f t="shared" si="37"/>
        <v>0</v>
      </c>
      <c r="P47" s="39">
        <f t="shared" si="38"/>
        <v>0</v>
      </c>
      <c r="Q47" s="37">
        <f t="shared" si="39"/>
        <v>0</v>
      </c>
      <c r="R47" s="38">
        <f t="shared" si="40"/>
        <v>0</v>
      </c>
      <c r="S47" s="38">
        <f t="shared" si="41"/>
        <v>0</v>
      </c>
      <c r="T47" s="39">
        <f t="shared" si="42"/>
        <v>0</v>
      </c>
      <c r="U47" s="12"/>
      <c r="V47" s="12"/>
      <c r="W47" s="61"/>
      <c r="X47" s="12"/>
      <c r="Y47" s="12"/>
      <c r="Z47" s="12"/>
    </row>
    <row r="48" ht="15.75" customHeight="1">
      <c r="A48" s="62" t="s">
        <v>59</v>
      </c>
      <c r="B48" s="14" t="s">
        <v>30</v>
      </c>
      <c r="C48" s="33"/>
      <c r="D48" s="34"/>
      <c r="E48" s="34"/>
      <c r="F48" s="35"/>
      <c r="G48" s="35"/>
      <c r="H48" s="36"/>
      <c r="I48" s="37"/>
      <c r="J48" s="48"/>
      <c r="K48" s="48"/>
      <c r="L48" s="49"/>
      <c r="M48" s="37">
        <f t="shared" si="35"/>
        <v>0</v>
      </c>
      <c r="N48" s="38">
        <f t="shared" si="36"/>
        <v>0</v>
      </c>
      <c r="O48" s="38">
        <f t="shared" si="37"/>
        <v>0</v>
      </c>
      <c r="P48" s="39">
        <f t="shared" si="38"/>
        <v>0</v>
      </c>
      <c r="Q48" s="37">
        <f t="shared" si="39"/>
        <v>0</v>
      </c>
      <c r="R48" s="38">
        <f t="shared" si="40"/>
        <v>0</v>
      </c>
      <c r="S48" s="38">
        <f t="shared" si="41"/>
        <v>0</v>
      </c>
      <c r="T48" s="39">
        <f t="shared" si="42"/>
        <v>0</v>
      </c>
      <c r="U48" s="12"/>
      <c r="V48" s="12"/>
      <c r="W48" s="61"/>
      <c r="X48" s="12"/>
      <c r="Y48" s="12"/>
      <c r="Z48" s="12"/>
    </row>
    <row r="49" ht="15.75" customHeight="1">
      <c r="A49" s="62" t="s">
        <v>60</v>
      </c>
      <c r="B49" s="14"/>
      <c r="C49" s="33"/>
      <c r="D49" s="34"/>
      <c r="E49" s="34"/>
      <c r="F49" s="35"/>
      <c r="G49" s="35"/>
      <c r="H49" s="36"/>
      <c r="I49" s="37"/>
      <c r="J49" s="48"/>
      <c r="K49" s="48"/>
      <c r="L49" s="49"/>
      <c r="M49" s="37">
        <f t="shared" si="35"/>
        <v>0</v>
      </c>
      <c r="N49" s="38">
        <f t="shared" si="36"/>
        <v>0</v>
      </c>
      <c r="O49" s="38">
        <f t="shared" si="37"/>
        <v>0</v>
      </c>
      <c r="P49" s="39">
        <f t="shared" si="38"/>
        <v>0</v>
      </c>
      <c r="Q49" s="37">
        <f t="shared" si="39"/>
        <v>0</v>
      </c>
      <c r="R49" s="38">
        <f t="shared" si="40"/>
        <v>0</v>
      </c>
      <c r="S49" s="38">
        <f t="shared" si="41"/>
        <v>0</v>
      </c>
      <c r="T49" s="39">
        <f t="shared" si="42"/>
        <v>0</v>
      </c>
      <c r="U49" s="12"/>
      <c r="V49" s="12"/>
      <c r="W49" s="61"/>
      <c r="X49" s="12"/>
      <c r="Y49" s="12"/>
      <c r="Z49" s="12"/>
    </row>
    <row r="50" ht="15.75" customHeight="1">
      <c r="A50" s="62" t="s">
        <v>61</v>
      </c>
      <c r="B50" s="14" t="s">
        <v>62</v>
      </c>
      <c r="C50" s="33"/>
      <c r="D50" s="34"/>
      <c r="E50" s="34"/>
      <c r="F50" s="35"/>
      <c r="G50" s="35"/>
      <c r="H50" s="36"/>
      <c r="I50" s="37">
        <v>400000.0</v>
      </c>
      <c r="J50" s="48">
        <v>100000.0</v>
      </c>
      <c r="K50" s="48">
        <v>1000000.0</v>
      </c>
      <c r="L50" s="49">
        <v>1000000.0</v>
      </c>
      <c r="M50" s="37">
        <f t="shared" si="35"/>
        <v>34000</v>
      </c>
      <c r="N50" s="38">
        <f t="shared" si="36"/>
        <v>8300</v>
      </c>
      <c r="O50" s="38">
        <f t="shared" si="37"/>
        <v>82000</v>
      </c>
      <c r="P50" s="39">
        <f t="shared" si="38"/>
        <v>82000</v>
      </c>
      <c r="Q50" s="37">
        <f t="shared" si="39"/>
        <v>231200</v>
      </c>
      <c r="R50" s="38">
        <f t="shared" si="40"/>
        <v>60300</v>
      </c>
      <c r="S50" s="38">
        <f t="shared" si="41"/>
        <v>558000</v>
      </c>
      <c r="T50" s="39">
        <f t="shared" si="42"/>
        <v>558000</v>
      </c>
      <c r="U50" s="12"/>
      <c r="V50" s="12"/>
      <c r="W50" s="61"/>
      <c r="X50" s="12"/>
      <c r="Y50" s="12"/>
      <c r="Z50" s="12"/>
    </row>
    <row r="51" ht="15.75" customHeight="1">
      <c r="A51" s="62" t="s">
        <v>63</v>
      </c>
      <c r="B51" s="14"/>
      <c r="C51" s="33"/>
      <c r="D51" s="34"/>
      <c r="E51" s="34"/>
      <c r="F51" s="35"/>
      <c r="G51" s="35"/>
      <c r="H51" s="36"/>
      <c r="I51" s="37"/>
      <c r="J51" s="48"/>
      <c r="K51" s="48"/>
      <c r="L51" s="49"/>
      <c r="M51" s="37">
        <f t="shared" si="35"/>
        <v>0</v>
      </c>
      <c r="N51" s="38">
        <f t="shared" si="36"/>
        <v>0</v>
      </c>
      <c r="O51" s="38">
        <f t="shared" si="37"/>
        <v>0</v>
      </c>
      <c r="P51" s="39">
        <f t="shared" si="38"/>
        <v>0</v>
      </c>
      <c r="Q51" s="37">
        <f t="shared" si="39"/>
        <v>0</v>
      </c>
      <c r="R51" s="38">
        <f t="shared" si="40"/>
        <v>0</v>
      </c>
      <c r="S51" s="38">
        <f t="shared" si="41"/>
        <v>0</v>
      </c>
      <c r="T51" s="39">
        <f t="shared" si="42"/>
        <v>0</v>
      </c>
      <c r="U51" s="12"/>
      <c r="V51" s="12"/>
      <c r="W51" s="61"/>
      <c r="X51" s="12"/>
      <c r="Y51" s="12"/>
      <c r="Z51" s="12"/>
    </row>
    <row r="52" ht="15.75" customHeight="1">
      <c r="A52" s="62" t="s">
        <v>64</v>
      </c>
      <c r="B52" s="14"/>
      <c r="C52" s="33"/>
      <c r="D52" s="34"/>
      <c r="E52" s="34"/>
      <c r="F52" s="35"/>
      <c r="G52" s="35"/>
      <c r="H52" s="36"/>
      <c r="I52" s="37"/>
      <c r="J52" s="48"/>
      <c r="K52" s="48"/>
      <c r="L52" s="49"/>
      <c r="M52" s="37">
        <f t="shared" si="35"/>
        <v>0</v>
      </c>
      <c r="N52" s="38">
        <f t="shared" si="36"/>
        <v>0</v>
      </c>
      <c r="O52" s="38">
        <f t="shared" si="37"/>
        <v>0</v>
      </c>
      <c r="P52" s="39">
        <f t="shared" si="38"/>
        <v>0</v>
      </c>
      <c r="Q52" s="37">
        <f t="shared" si="39"/>
        <v>0</v>
      </c>
      <c r="R52" s="38">
        <f t="shared" si="40"/>
        <v>0</v>
      </c>
      <c r="S52" s="38">
        <f t="shared" si="41"/>
        <v>0</v>
      </c>
      <c r="T52" s="39">
        <f t="shared" si="42"/>
        <v>0</v>
      </c>
      <c r="U52" s="12"/>
      <c r="V52" s="12"/>
      <c r="W52" s="61"/>
      <c r="X52" s="12"/>
      <c r="Y52" s="12"/>
      <c r="Z52" s="12"/>
    </row>
    <row r="53" ht="15.75" customHeight="1">
      <c r="A53" s="62" t="s">
        <v>65</v>
      </c>
      <c r="B53" s="14"/>
      <c r="C53" s="33"/>
      <c r="D53" s="34"/>
      <c r="E53" s="34"/>
      <c r="F53" s="35"/>
      <c r="G53" s="35"/>
      <c r="H53" s="36"/>
      <c r="I53" s="37"/>
      <c r="J53" s="48"/>
      <c r="K53" s="48"/>
      <c r="L53" s="49"/>
      <c r="M53" s="37">
        <f t="shared" si="35"/>
        <v>0</v>
      </c>
      <c r="N53" s="38">
        <f t="shared" si="36"/>
        <v>0</v>
      </c>
      <c r="O53" s="38">
        <f t="shared" si="37"/>
        <v>0</v>
      </c>
      <c r="P53" s="39">
        <f t="shared" si="38"/>
        <v>0</v>
      </c>
      <c r="Q53" s="37">
        <f t="shared" si="39"/>
        <v>0</v>
      </c>
      <c r="R53" s="38">
        <f t="shared" si="40"/>
        <v>0</v>
      </c>
      <c r="S53" s="38">
        <f t="shared" si="41"/>
        <v>0</v>
      </c>
      <c r="T53" s="39">
        <f t="shared" si="42"/>
        <v>0</v>
      </c>
      <c r="U53" s="12"/>
      <c r="V53" s="12"/>
      <c r="W53" s="61"/>
      <c r="X53" s="12"/>
      <c r="Y53" s="12"/>
      <c r="Z53" s="12"/>
    </row>
    <row r="54" ht="15.75" customHeight="1">
      <c r="A54" s="62" t="s">
        <v>66</v>
      </c>
      <c r="B54" s="14"/>
      <c r="C54" s="33"/>
      <c r="D54" s="34"/>
      <c r="E54" s="34"/>
      <c r="F54" s="35"/>
      <c r="G54" s="35"/>
      <c r="H54" s="36"/>
      <c r="I54" s="37"/>
      <c r="J54" s="48"/>
      <c r="K54" s="48"/>
      <c r="L54" s="49"/>
      <c r="M54" s="37">
        <f t="shared" si="35"/>
        <v>0</v>
      </c>
      <c r="N54" s="38">
        <f t="shared" si="36"/>
        <v>0</v>
      </c>
      <c r="O54" s="38">
        <f t="shared" si="37"/>
        <v>0</v>
      </c>
      <c r="P54" s="39">
        <f t="shared" si="38"/>
        <v>0</v>
      </c>
      <c r="Q54" s="37">
        <f t="shared" si="39"/>
        <v>0</v>
      </c>
      <c r="R54" s="38">
        <f t="shared" si="40"/>
        <v>0</v>
      </c>
      <c r="S54" s="38">
        <f t="shared" si="41"/>
        <v>0</v>
      </c>
      <c r="T54" s="39">
        <f t="shared" si="42"/>
        <v>0</v>
      </c>
      <c r="U54" s="12"/>
      <c r="V54" s="12"/>
      <c r="W54" s="61"/>
      <c r="X54" s="12"/>
      <c r="Y54" s="12"/>
      <c r="Z54" s="12"/>
    </row>
    <row r="55" ht="15.75" customHeight="1">
      <c r="A55" s="62" t="s">
        <v>67</v>
      </c>
      <c r="B55" s="14"/>
      <c r="C55" s="33"/>
      <c r="D55" s="34"/>
      <c r="E55" s="34"/>
      <c r="F55" s="35"/>
      <c r="G55" s="35"/>
      <c r="H55" s="36"/>
      <c r="I55" s="37"/>
      <c r="J55" s="48"/>
      <c r="K55" s="48"/>
      <c r="L55" s="49"/>
      <c r="M55" s="37">
        <f t="shared" si="35"/>
        <v>0</v>
      </c>
      <c r="N55" s="38">
        <f t="shared" si="36"/>
        <v>0</v>
      </c>
      <c r="O55" s="38">
        <f t="shared" si="37"/>
        <v>0</v>
      </c>
      <c r="P55" s="39">
        <f t="shared" si="38"/>
        <v>0</v>
      </c>
      <c r="Q55" s="37">
        <f t="shared" si="39"/>
        <v>0</v>
      </c>
      <c r="R55" s="38">
        <f t="shared" si="40"/>
        <v>0</v>
      </c>
      <c r="S55" s="38">
        <f t="shared" si="41"/>
        <v>0</v>
      </c>
      <c r="T55" s="39">
        <f t="shared" si="42"/>
        <v>0</v>
      </c>
      <c r="U55" s="12"/>
      <c r="V55" s="12"/>
      <c r="W55" s="61"/>
      <c r="X55" s="12"/>
      <c r="Y55" s="12"/>
      <c r="Z55" s="12"/>
    </row>
    <row r="56" ht="15.75" customHeight="1">
      <c r="A56" s="62" t="s">
        <v>68</v>
      </c>
      <c r="B56" s="14"/>
      <c r="C56" s="33"/>
      <c r="D56" s="34"/>
      <c r="E56" s="34"/>
      <c r="F56" s="35"/>
      <c r="G56" s="35"/>
      <c r="H56" s="36"/>
      <c r="I56" s="37"/>
      <c r="J56" s="48"/>
      <c r="K56" s="48"/>
      <c r="L56" s="49"/>
      <c r="M56" s="37">
        <f t="shared" si="35"/>
        <v>0</v>
      </c>
      <c r="N56" s="38">
        <f t="shared" si="36"/>
        <v>0</v>
      </c>
      <c r="O56" s="38">
        <f t="shared" si="37"/>
        <v>0</v>
      </c>
      <c r="P56" s="39">
        <f t="shared" si="38"/>
        <v>0</v>
      </c>
      <c r="Q56" s="37">
        <f t="shared" si="39"/>
        <v>0</v>
      </c>
      <c r="R56" s="38">
        <f t="shared" si="40"/>
        <v>0</v>
      </c>
      <c r="S56" s="38">
        <f t="shared" si="41"/>
        <v>0</v>
      </c>
      <c r="T56" s="39">
        <f t="shared" si="42"/>
        <v>0</v>
      </c>
      <c r="U56" s="12"/>
      <c r="V56" s="12"/>
      <c r="W56" s="61"/>
      <c r="X56" s="12"/>
      <c r="Y56" s="12"/>
      <c r="Z56" s="12"/>
    </row>
    <row r="57" ht="15.75" customHeight="1">
      <c r="A57" s="62" t="s">
        <v>69</v>
      </c>
      <c r="B57" s="14"/>
      <c r="C57" s="33"/>
      <c r="D57" s="34"/>
      <c r="E57" s="34"/>
      <c r="F57" s="35"/>
      <c r="G57" s="35"/>
      <c r="H57" s="36"/>
      <c r="I57" s="37"/>
      <c r="J57" s="48"/>
      <c r="K57" s="48"/>
      <c r="L57" s="49"/>
      <c r="M57" s="37">
        <f t="shared" si="35"/>
        <v>0</v>
      </c>
      <c r="N57" s="38">
        <f t="shared" si="36"/>
        <v>0</v>
      </c>
      <c r="O57" s="38">
        <f t="shared" si="37"/>
        <v>0</v>
      </c>
      <c r="P57" s="39">
        <f t="shared" si="38"/>
        <v>0</v>
      </c>
      <c r="Q57" s="37">
        <f t="shared" si="39"/>
        <v>0</v>
      </c>
      <c r="R57" s="38">
        <f t="shared" si="40"/>
        <v>0</v>
      </c>
      <c r="S57" s="38">
        <f t="shared" si="41"/>
        <v>0</v>
      </c>
      <c r="T57" s="39">
        <f t="shared" si="42"/>
        <v>0</v>
      </c>
      <c r="U57" s="12"/>
      <c r="V57" s="12"/>
      <c r="W57" s="61"/>
      <c r="X57" s="12"/>
      <c r="Y57" s="12"/>
      <c r="Z57" s="12"/>
    </row>
    <row r="58" ht="15.75" customHeight="1">
      <c r="A58" s="40" t="s">
        <v>70</v>
      </c>
      <c r="B58" s="41"/>
      <c r="C58" s="42"/>
      <c r="D58" s="43"/>
      <c r="E58" s="43"/>
      <c r="F58" s="44"/>
      <c r="G58" s="44"/>
      <c r="H58" s="45"/>
      <c r="I58" s="46">
        <f t="shared" ref="I58:L58" si="68">SUM(I19:I46)</f>
        <v>18250000</v>
      </c>
      <c r="J58" s="46">
        <f t="shared" si="68"/>
        <v>3160000</v>
      </c>
      <c r="K58" s="46">
        <f t="shared" si="68"/>
        <v>63000000</v>
      </c>
      <c r="L58" s="46">
        <f t="shared" si="68"/>
        <v>42900000</v>
      </c>
      <c r="M58" s="46">
        <f t="shared" ref="M58:T58" si="69">SUM(M19:M57)</f>
        <v>1585250</v>
      </c>
      <c r="N58" s="46">
        <f t="shared" si="69"/>
        <v>270580</v>
      </c>
      <c r="O58" s="46">
        <f t="shared" si="69"/>
        <v>5248000</v>
      </c>
      <c r="P58" s="46">
        <f t="shared" si="69"/>
        <v>3599800</v>
      </c>
      <c r="Q58" s="46">
        <f t="shared" si="69"/>
        <v>10779700</v>
      </c>
      <c r="R58" s="46">
        <f t="shared" si="69"/>
        <v>1965780</v>
      </c>
      <c r="S58" s="46">
        <f t="shared" si="69"/>
        <v>35712000</v>
      </c>
      <c r="T58" s="46">
        <f t="shared" si="69"/>
        <v>24496200</v>
      </c>
      <c r="U58" s="12"/>
      <c r="V58" s="12"/>
      <c r="W58" s="12"/>
      <c r="X58" s="12"/>
      <c r="Y58" s="12"/>
      <c r="Z58" s="12"/>
    </row>
    <row r="59" ht="15.75" customHeight="1">
      <c r="A59" s="13" t="s">
        <v>71</v>
      </c>
      <c r="B59" s="14" t="s">
        <v>14</v>
      </c>
      <c r="C59" s="33" t="str">
        <f t="shared" ref="C59:E59" si="70">IF(#REF!=0,0%,IF(F59=0,100%,#REF!/F59-1))</f>
        <v>#REF!</v>
      </c>
      <c r="D59" s="34" t="str">
        <f t="shared" si="70"/>
        <v>#REF!</v>
      </c>
      <c r="E59" s="34" t="str">
        <f t="shared" si="70"/>
        <v>#REF!</v>
      </c>
      <c r="F59" s="35"/>
      <c r="G59" s="35"/>
      <c r="H59" s="36"/>
      <c r="I59" s="37">
        <v>1000000.0</v>
      </c>
      <c r="J59" s="38">
        <v>150000.0</v>
      </c>
      <c r="K59" s="38">
        <v>1.0E7</v>
      </c>
      <c r="L59" s="39">
        <v>5000000.0</v>
      </c>
      <c r="M59" s="37">
        <f t="shared" ref="M59:M62" si="72">$M$3*I59</f>
        <v>85000</v>
      </c>
      <c r="N59" s="38">
        <f t="shared" ref="N59:N62" si="73">$N$3*J59</f>
        <v>12450</v>
      </c>
      <c r="O59" s="38">
        <f t="shared" ref="O59:O62" si="74">$O$3*K59</f>
        <v>820000</v>
      </c>
      <c r="P59" s="39">
        <f t="shared" ref="P59:P62" si="75">$P$3*L59</f>
        <v>410000</v>
      </c>
      <c r="Q59" s="37">
        <f t="shared" ref="Q59:Q62" si="76">$Q$3*I59</f>
        <v>578000</v>
      </c>
      <c r="R59" s="38">
        <f t="shared" ref="R59:R62" si="77">$R$3*J59</f>
        <v>90450</v>
      </c>
      <c r="S59" s="38">
        <f t="shared" ref="S59:S62" si="78">$S$3*K59</f>
        <v>5580000</v>
      </c>
      <c r="T59" s="39">
        <f t="shared" ref="T59:T62" si="79">$T$3*L59</f>
        <v>2790000</v>
      </c>
      <c r="U59" s="12"/>
      <c r="V59" s="12"/>
      <c r="W59" s="12"/>
      <c r="X59" s="12"/>
      <c r="Y59" s="12"/>
      <c r="Z59" s="12"/>
    </row>
    <row r="60" ht="15.75" customHeight="1">
      <c r="A60" s="13" t="s">
        <v>72</v>
      </c>
      <c r="B60" s="14" t="s">
        <v>14</v>
      </c>
      <c r="C60" s="33" t="str">
        <f t="shared" ref="C60:E60" si="71">IF(#REF!=0,0%,IF(F60=0,100%,#REF!/F60-1))</f>
        <v>#REF!</v>
      </c>
      <c r="D60" s="34" t="str">
        <f t="shared" si="71"/>
        <v>#REF!</v>
      </c>
      <c r="E60" s="34" t="str">
        <f t="shared" si="71"/>
        <v>#REF!</v>
      </c>
      <c r="F60" s="35"/>
      <c r="G60" s="35"/>
      <c r="H60" s="36"/>
      <c r="I60" s="37">
        <v>1500000.0</v>
      </c>
      <c r="J60" s="38">
        <v>600000.0</v>
      </c>
      <c r="K60" s="38">
        <v>1.2E7</v>
      </c>
      <c r="L60" s="39">
        <v>6000000.0</v>
      </c>
      <c r="M60" s="37">
        <f t="shared" si="72"/>
        <v>127500</v>
      </c>
      <c r="N60" s="38">
        <f t="shared" si="73"/>
        <v>49800</v>
      </c>
      <c r="O60" s="38">
        <f t="shared" si="74"/>
        <v>984000</v>
      </c>
      <c r="P60" s="39">
        <f t="shared" si="75"/>
        <v>492000</v>
      </c>
      <c r="Q60" s="37">
        <f t="shared" si="76"/>
        <v>867000</v>
      </c>
      <c r="R60" s="38">
        <f t="shared" si="77"/>
        <v>361800</v>
      </c>
      <c r="S60" s="38">
        <f t="shared" si="78"/>
        <v>6696000</v>
      </c>
      <c r="T60" s="39">
        <f t="shared" si="79"/>
        <v>3348000</v>
      </c>
      <c r="U60" s="12"/>
      <c r="V60" s="12"/>
      <c r="W60" s="12"/>
      <c r="X60" s="12"/>
      <c r="Y60" s="12"/>
      <c r="Z60" s="12"/>
    </row>
    <row r="61" ht="15.75" customHeight="1">
      <c r="A61" s="13" t="s">
        <v>73</v>
      </c>
      <c r="B61" s="14" t="s">
        <v>14</v>
      </c>
      <c r="C61" s="33" t="str">
        <f t="shared" ref="C61:E61" si="80">IF(#REF!=0,0%,IF(F61=0,100%,#REF!/F61-1))</f>
        <v>#REF!</v>
      </c>
      <c r="D61" s="34" t="str">
        <f t="shared" si="80"/>
        <v>#REF!</v>
      </c>
      <c r="E61" s="34" t="str">
        <f t="shared" si="80"/>
        <v>#REF!</v>
      </c>
      <c r="F61" s="35"/>
      <c r="G61" s="35"/>
      <c r="H61" s="36"/>
      <c r="I61" s="37">
        <v>3000000.0</v>
      </c>
      <c r="J61" s="38">
        <v>350000.0</v>
      </c>
      <c r="K61" s="38">
        <v>3.5E7</v>
      </c>
      <c r="L61" s="39">
        <v>1.0E7</v>
      </c>
      <c r="M61" s="37">
        <f t="shared" si="72"/>
        <v>255000</v>
      </c>
      <c r="N61" s="38">
        <f t="shared" si="73"/>
        <v>29050</v>
      </c>
      <c r="O61" s="38">
        <f t="shared" si="74"/>
        <v>2870000</v>
      </c>
      <c r="P61" s="39">
        <f t="shared" si="75"/>
        <v>820000</v>
      </c>
      <c r="Q61" s="37">
        <f t="shared" si="76"/>
        <v>1734000</v>
      </c>
      <c r="R61" s="38">
        <f t="shared" si="77"/>
        <v>211050</v>
      </c>
      <c r="S61" s="38">
        <f t="shared" si="78"/>
        <v>19530000</v>
      </c>
      <c r="T61" s="39">
        <f t="shared" si="79"/>
        <v>5580000</v>
      </c>
      <c r="U61" s="12"/>
      <c r="V61" s="12"/>
      <c r="W61" s="12"/>
      <c r="X61" s="12"/>
      <c r="Y61" s="12"/>
      <c r="Z61" s="12"/>
    </row>
    <row r="62" ht="15.75" customHeight="1">
      <c r="A62" s="13" t="s">
        <v>74</v>
      </c>
      <c r="B62" s="14" t="s">
        <v>14</v>
      </c>
      <c r="C62" s="33" t="str">
        <f t="shared" ref="C62:E62" si="81">IF(#REF!=0,0%,IF(F62=0,100%,#REF!/F62-1))</f>
        <v>#REF!</v>
      </c>
      <c r="D62" s="34" t="str">
        <f t="shared" si="81"/>
        <v>#REF!</v>
      </c>
      <c r="E62" s="34" t="str">
        <f t="shared" si="81"/>
        <v>#REF!</v>
      </c>
      <c r="F62" s="35"/>
      <c r="G62" s="35"/>
      <c r="H62" s="36"/>
      <c r="I62" s="37">
        <v>0.0</v>
      </c>
      <c r="J62" s="38">
        <v>0.0</v>
      </c>
      <c r="K62" s="38">
        <v>0.0</v>
      </c>
      <c r="L62" s="39">
        <v>0.0</v>
      </c>
      <c r="M62" s="37">
        <f t="shared" si="72"/>
        <v>0</v>
      </c>
      <c r="N62" s="38">
        <f t="shared" si="73"/>
        <v>0</v>
      </c>
      <c r="O62" s="38">
        <f t="shared" si="74"/>
        <v>0</v>
      </c>
      <c r="P62" s="39">
        <f t="shared" si="75"/>
        <v>0</v>
      </c>
      <c r="Q62" s="37">
        <f t="shared" si="76"/>
        <v>0</v>
      </c>
      <c r="R62" s="38">
        <f t="shared" si="77"/>
        <v>0</v>
      </c>
      <c r="S62" s="38">
        <f t="shared" si="78"/>
        <v>0</v>
      </c>
      <c r="T62" s="39">
        <f t="shared" si="79"/>
        <v>0</v>
      </c>
      <c r="U62" s="12"/>
      <c r="V62" s="12"/>
      <c r="W62" s="12"/>
      <c r="X62" s="12"/>
      <c r="Y62" s="12"/>
      <c r="Z62" s="12"/>
    </row>
    <row r="63" ht="15.75" customHeight="1">
      <c r="A63" s="40" t="s">
        <v>75</v>
      </c>
      <c r="B63" s="41"/>
      <c r="C63" s="42" t="str">
        <f t="shared" ref="C63:E63" si="82">IF(#REF!=0,0%,IF(F63=0,100%,#REF!/F63-1))</f>
        <v>#REF!</v>
      </c>
      <c r="D63" s="43" t="str">
        <f t="shared" si="82"/>
        <v>#REF!</v>
      </c>
      <c r="E63" s="43" t="str">
        <f t="shared" si="82"/>
        <v>#REF!</v>
      </c>
      <c r="F63" s="44">
        <f t="shared" ref="F63:H63" si="83">SUM(F59:F61)</f>
        <v>0</v>
      </c>
      <c r="G63" s="44">
        <f t="shared" si="83"/>
        <v>0</v>
      </c>
      <c r="H63" s="45">
        <f t="shared" si="83"/>
        <v>0</v>
      </c>
      <c r="I63" s="46">
        <f t="shared" ref="I63:T63" si="84">SUM(I59:I62)</f>
        <v>5500000</v>
      </c>
      <c r="J63" s="46">
        <f t="shared" si="84"/>
        <v>1100000</v>
      </c>
      <c r="K63" s="46">
        <f t="shared" si="84"/>
        <v>57000000</v>
      </c>
      <c r="L63" s="46">
        <f t="shared" si="84"/>
        <v>21000000</v>
      </c>
      <c r="M63" s="46">
        <f t="shared" si="84"/>
        <v>467500</v>
      </c>
      <c r="N63" s="46">
        <f t="shared" si="84"/>
        <v>91300</v>
      </c>
      <c r="O63" s="46">
        <f t="shared" si="84"/>
        <v>4674000</v>
      </c>
      <c r="P63" s="46">
        <f t="shared" si="84"/>
        <v>1722000</v>
      </c>
      <c r="Q63" s="46">
        <f t="shared" si="84"/>
        <v>3179000</v>
      </c>
      <c r="R63" s="46">
        <f t="shared" si="84"/>
        <v>663300</v>
      </c>
      <c r="S63" s="46">
        <f t="shared" si="84"/>
        <v>31806000</v>
      </c>
      <c r="T63" s="46">
        <f t="shared" si="84"/>
        <v>11718000</v>
      </c>
      <c r="U63" s="12"/>
      <c r="V63" s="12"/>
      <c r="W63" s="12"/>
      <c r="X63" s="12"/>
      <c r="Y63" s="12"/>
      <c r="Z63" s="12"/>
    </row>
    <row r="64" ht="15.75" customHeight="1">
      <c r="A64" s="13" t="s">
        <v>76</v>
      </c>
      <c r="B64" s="14" t="s">
        <v>62</v>
      </c>
      <c r="C64" s="33" t="str">
        <f t="shared" ref="C64:E64" si="85">IF(#REF!=0,0%,IF(F64=0,100%,#REF!/F64-1))</f>
        <v>#REF!</v>
      </c>
      <c r="D64" s="34" t="str">
        <f t="shared" si="85"/>
        <v>#REF!</v>
      </c>
      <c r="E64" s="34" t="str">
        <f t="shared" si="85"/>
        <v>#REF!</v>
      </c>
      <c r="F64" s="35"/>
      <c r="G64" s="35"/>
      <c r="H64" s="36"/>
      <c r="I64" s="37">
        <v>1000000.0</v>
      </c>
      <c r="J64" s="38">
        <v>100000.0</v>
      </c>
      <c r="K64" s="38">
        <v>2500000.0</v>
      </c>
      <c r="L64" s="39">
        <v>1500000.0</v>
      </c>
      <c r="M64" s="37">
        <f t="shared" ref="M64:M73" si="86">$M$3*I64</f>
        <v>85000</v>
      </c>
      <c r="N64" s="38">
        <f t="shared" ref="N64:N73" si="87">$N$3*J64</f>
        <v>8300</v>
      </c>
      <c r="O64" s="38">
        <f t="shared" ref="O64:O73" si="88">$O$3*K64</f>
        <v>205000</v>
      </c>
      <c r="P64" s="39">
        <f t="shared" ref="P64:P73" si="89">$P$3*L64</f>
        <v>123000</v>
      </c>
      <c r="Q64" s="37">
        <f t="shared" ref="Q64:Q73" si="90">$Q$3*I64</f>
        <v>578000</v>
      </c>
      <c r="R64" s="38">
        <f t="shared" ref="R64:R73" si="91">$R$3*J64</f>
        <v>60300</v>
      </c>
      <c r="S64" s="38">
        <f t="shared" ref="S64:S73" si="92">$S$3*K64</f>
        <v>1395000</v>
      </c>
      <c r="T64" s="39">
        <f t="shared" ref="T64:T73" si="93">$T$3*L64</f>
        <v>837000</v>
      </c>
      <c r="U64" s="12"/>
      <c r="V64" s="12"/>
      <c r="W64" s="12"/>
      <c r="X64" s="12"/>
      <c r="Y64" s="12"/>
      <c r="Z64" s="12"/>
    </row>
    <row r="65" ht="15.75" customHeight="1">
      <c r="A65" s="63" t="s">
        <v>77</v>
      </c>
      <c r="B65" s="64" t="s">
        <v>62</v>
      </c>
      <c r="C65" s="54"/>
      <c r="D65" s="55"/>
      <c r="E65" s="55"/>
      <c r="F65" s="65"/>
      <c r="G65" s="65"/>
      <c r="H65" s="66"/>
      <c r="I65" s="37">
        <v>100000.0</v>
      </c>
      <c r="J65" s="37">
        <v>100000.0</v>
      </c>
      <c r="K65" s="37">
        <v>2000000.0</v>
      </c>
      <c r="L65" s="37">
        <v>1500000.0</v>
      </c>
      <c r="M65" s="37">
        <f t="shared" si="86"/>
        <v>8500</v>
      </c>
      <c r="N65" s="38">
        <f t="shared" si="87"/>
        <v>8300</v>
      </c>
      <c r="O65" s="38">
        <f t="shared" si="88"/>
        <v>164000</v>
      </c>
      <c r="P65" s="39">
        <f t="shared" si="89"/>
        <v>123000</v>
      </c>
      <c r="Q65" s="37">
        <f t="shared" si="90"/>
        <v>57800</v>
      </c>
      <c r="R65" s="38">
        <f t="shared" si="91"/>
        <v>60300</v>
      </c>
      <c r="S65" s="38">
        <f t="shared" si="92"/>
        <v>1116000</v>
      </c>
      <c r="T65" s="39">
        <f t="shared" si="93"/>
        <v>837000</v>
      </c>
      <c r="U65" s="60"/>
      <c r="V65" s="60"/>
      <c r="W65" s="60"/>
      <c r="X65" s="60"/>
      <c r="Y65" s="60"/>
      <c r="Z65" s="60"/>
    </row>
    <row r="66" ht="15.75" customHeight="1">
      <c r="A66" s="50" t="s">
        <v>78</v>
      </c>
      <c r="B66" s="14" t="s">
        <v>62</v>
      </c>
      <c r="C66" s="33" t="str">
        <f t="shared" ref="C66:E66" si="94">IF(#REF!=0,0%,IF(F66=0,100%,#REF!/F66-1))</f>
        <v>#REF!</v>
      </c>
      <c r="D66" s="34" t="str">
        <f t="shared" si="94"/>
        <v>#REF!</v>
      </c>
      <c r="E66" s="34" t="str">
        <f t="shared" si="94"/>
        <v>#REF!</v>
      </c>
      <c r="F66" s="35"/>
      <c r="G66" s="35"/>
      <c r="H66" s="36"/>
      <c r="I66" s="37"/>
      <c r="J66" s="38">
        <v>100000.0</v>
      </c>
      <c r="K66" s="38"/>
      <c r="L66" s="39"/>
      <c r="M66" s="37">
        <f t="shared" si="86"/>
        <v>0</v>
      </c>
      <c r="N66" s="38">
        <f t="shared" si="87"/>
        <v>8300</v>
      </c>
      <c r="O66" s="38">
        <f t="shared" si="88"/>
        <v>0</v>
      </c>
      <c r="P66" s="39">
        <f t="shared" si="89"/>
        <v>0</v>
      </c>
      <c r="Q66" s="37">
        <f t="shared" si="90"/>
        <v>0</v>
      </c>
      <c r="R66" s="38">
        <f t="shared" si="91"/>
        <v>60300</v>
      </c>
      <c r="S66" s="38">
        <f t="shared" si="92"/>
        <v>0</v>
      </c>
      <c r="T66" s="39">
        <f t="shared" si="93"/>
        <v>0</v>
      </c>
      <c r="U66" s="12"/>
      <c r="V66" s="12"/>
      <c r="W66" s="12"/>
      <c r="X66" s="12"/>
      <c r="Y66" s="12"/>
      <c r="Z66" s="12"/>
    </row>
    <row r="67" ht="15.75" customHeight="1">
      <c r="A67" s="50" t="s">
        <v>79</v>
      </c>
      <c r="B67" s="14" t="s">
        <v>62</v>
      </c>
      <c r="C67" s="33"/>
      <c r="D67" s="34"/>
      <c r="E67" s="34"/>
      <c r="F67" s="35"/>
      <c r="G67" s="35"/>
      <c r="H67" s="36"/>
      <c r="I67" s="37"/>
      <c r="J67" s="38"/>
      <c r="K67" s="38"/>
      <c r="L67" s="39"/>
      <c r="M67" s="37">
        <f t="shared" si="86"/>
        <v>0</v>
      </c>
      <c r="N67" s="38">
        <f t="shared" si="87"/>
        <v>0</v>
      </c>
      <c r="O67" s="38">
        <f t="shared" si="88"/>
        <v>0</v>
      </c>
      <c r="P67" s="39">
        <f t="shared" si="89"/>
        <v>0</v>
      </c>
      <c r="Q67" s="37">
        <f t="shared" si="90"/>
        <v>0</v>
      </c>
      <c r="R67" s="38">
        <f t="shared" si="91"/>
        <v>0</v>
      </c>
      <c r="S67" s="38">
        <f t="shared" si="92"/>
        <v>0</v>
      </c>
      <c r="T67" s="39">
        <f t="shared" si="93"/>
        <v>0</v>
      </c>
      <c r="U67" s="12"/>
      <c r="V67" s="12"/>
      <c r="W67" s="12"/>
      <c r="X67" s="12"/>
      <c r="Y67" s="12"/>
      <c r="Z67" s="12"/>
    </row>
    <row r="68" ht="15.75" customHeight="1">
      <c r="A68" s="50" t="s">
        <v>80</v>
      </c>
      <c r="B68" s="14" t="s">
        <v>62</v>
      </c>
      <c r="C68" s="33" t="str">
        <f t="shared" ref="C68:E68" si="95">IF(#REF!=0,0%,IF(F68=0,100%,#REF!/F68-1))</f>
        <v>#REF!</v>
      </c>
      <c r="D68" s="34" t="str">
        <f t="shared" si="95"/>
        <v>#REF!</v>
      </c>
      <c r="E68" s="34" t="str">
        <f t="shared" si="95"/>
        <v>#REF!</v>
      </c>
      <c r="F68" s="35"/>
      <c r="G68" s="35"/>
      <c r="H68" s="36"/>
      <c r="I68" s="37">
        <v>500000.0</v>
      </c>
      <c r="J68" s="38">
        <v>80000.0</v>
      </c>
      <c r="K68" s="38">
        <v>7000000.0</v>
      </c>
      <c r="L68" s="39">
        <v>1000000.0</v>
      </c>
      <c r="M68" s="37">
        <f t="shared" si="86"/>
        <v>42500</v>
      </c>
      <c r="N68" s="38">
        <f t="shared" si="87"/>
        <v>6640</v>
      </c>
      <c r="O68" s="38">
        <f t="shared" si="88"/>
        <v>574000</v>
      </c>
      <c r="P68" s="39">
        <f t="shared" si="89"/>
        <v>82000</v>
      </c>
      <c r="Q68" s="37">
        <f t="shared" si="90"/>
        <v>289000</v>
      </c>
      <c r="R68" s="38">
        <f t="shared" si="91"/>
        <v>48240</v>
      </c>
      <c r="S68" s="38">
        <f t="shared" si="92"/>
        <v>3906000</v>
      </c>
      <c r="T68" s="39">
        <f t="shared" si="93"/>
        <v>558000</v>
      </c>
      <c r="U68" s="12"/>
      <c r="V68" s="12"/>
      <c r="W68" s="12"/>
      <c r="X68" s="12"/>
      <c r="Y68" s="12"/>
      <c r="Z68" s="12"/>
    </row>
    <row r="69" ht="15.75" customHeight="1">
      <c r="A69" s="13" t="s">
        <v>81</v>
      </c>
      <c r="B69" s="14" t="s">
        <v>62</v>
      </c>
      <c r="C69" s="33" t="str">
        <f t="shared" ref="C69:E69" si="96">IF(#REF!=0,0%,IF(F69=0,100%,#REF!/F69-1))</f>
        <v>#REF!</v>
      </c>
      <c r="D69" s="34" t="str">
        <f t="shared" si="96"/>
        <v>#REF!</v>
      </c>
      <c r="E69" s="34" t="str">
        <f t="shared" si="96"/>
        <v>#REF!</v>
      </c>
      <c r="F69" s="35"/>
      <c r="G69" s="35"/>
      <c r="H69" s="36"/>
      <c r="I69" s="37"/>
      <c r="J69" s="38">
        <v>40000.0</v>
      </c>
      <c r="K69" s="38"/>
      <c r="L69" s="39"/>
      <c r="M69" s="37">
        <f t="shared" si="86"/>
        <v>0</v>
      </c>
      <c r="N69" s="38">
        <f t="shared" si="87"/>
        <v>3320</v>
      </c>
      <c r="O69" s="38">
        <f t="shared" si="88"/>
        <v>0</v>
      </c>
      <c r="P69" s="39">
        <f t="shared" si="89"/>
        <v>0</v>
      </c>
      <c r="Q69" s="37">
        <f t="shared" si="90"/>
        <v>0</v>
      </c>
      <c r="R69" s="38">
        <f t="shared" si="91"/>
        <v>24120</v>
      </c>
      <c r="S69" s="38">
        <f t="shared" si="92"/>
        <v>0</v>
      </c>
      <c r="T69" s="39">
        <f t="shared" si="93"/>
        <v>0</v>
      </c>
      <c r="U69" s="12"/>
      <c r="V69" s="12"/>
      <c r="W69" s="12"/>
      <c r="X69" s="12"/>
      <c r="Y69" s="12"/>
      <c r="Z69" s="12"/>
    </row>
    <row r="70" ht="15.75" customHeight="1">
      <c r="A70" s="13" t="s">
        <v>82</v>
      </c>
      <c r="B70" s="14" t="s">
        <v>62</v>
      </c>
      <c r="C70" s="33" t="str">
        <f t="shared" ref="C70:E70" si="97">IF(#REF!=0,0%,IF(F70=0,100%,#REF!/F70-1))</f>
        <v>#REF!</v>
      </c>
      <c r="D70" s="34" t="str">
        <f t="shared" si="97"/>
        <v>#REF!</v>
      </c>
      <c r="E70" s="34" t="str">
        <f t="shared" si="97"/>
        <v>#REF!</v>
      </c>
      <c r="F70" s="35"/>
      <c r="G70" s="35"/>
      <c r="H70" s="36"/>
      <c r="I70" s="37">
        <v>4000000.0</v>
      </c>
      <c r="J70" s="38">
        <v>350000.0</v>
      </c>
      <c r="K70" s="38">
        <v>4000000.0</v>
      </c>
      <c r="L70" s="39">
        <v>4000000.0</v>
      </c>
      <c r="M70" s="37">
        <f t="shared" si="86"/>
        <v>340000</v>
      </c>
      <c r="N70" s="38">
        <f t="shared" si="87"/>
        <v>29050</v>
      </c>
      <c r="O70" s="38">
        <f t="shared" si="88"/>
        <v>328000</v>
      </c>
      <c r="P70" s="39">
        <f t="shared" si="89"/>
        <v>328000</v>
      </c>
      <c r="Q70" s="37">
        <f t="shared" si="90"/>
        <v>2312000</v>
      </c>
      <c r="R70" s="38">
        <f t="shared" si="91"/>
        <v>211050</v>
      </c>
      <c r="S70" s="38">
        <f t="shared" si="92"/>
        <v>2232000</v>
      </c>
      <c r="T70" s="39">
        <f t="shared" si="93"/>
        <v>2232000</v>
      </c>
      <c r="U70" s="12"/>
      <c r="V70" s="12"/>
      <c r="W70" s="12"/>
      <c r="X70" s="12"/>
      <c r="Y70" s="12"/>
      <c r="Z70" s="12"/>
    </row>
    <row r="71" ht="15.75" customHeight="1">
      <c r="A71" s="67" t="s">
        <v>83</v>
      </c>
      <c r="B71" s="14" t="s">
        <v>62</v>
      </c>
      <c r="C71" s="33" t="str">
        <f t="shared" ref="C71:E71" si="98">IF(#REF!=0,0%,IF(F71=0,100%,#REF!/F71-1))</f>
        <v>#REF!</v>
      </c>
      <c r="D71" s="34" t="str">
        <f t="shared" si="98"/>
        <v>#REF!</v>
      </c>
      <c r="E71" s="34" t="str">
        <f t="shared" si="98"/>
        <v>#REF!</v>
      </c>
      <c r="F71" s="35"/>
      <c r="G71" s="35"/>
      <c r="H71" s="36"/>
      <c r="I71" s="37"/>
      <c r="J71" s="38"/>
      <c r="K71" s="38"/>
      <c r="L71" s="39"/>
      <c r="M71" s="37">
        <f t="shared" si="86"/>
        <v>0</v>
      </c>
      <c r="N71" s="38">
        <f t="shared" si="87"/>
        <v>0</v>
      </c>
      <c r="O71" s="38">
        <f t="shared" si="88"/>
        <v>0</v>
      </c>
      <c r="P71" s="39">
        <f t="shared" si="89"/>
        <v>0</v>
      </c>
      <c r="Q71" s="37">
        <f t="shared" si="90"/>
        <v>0</v>
      </c>
      <c r="R71" s="38">
        <f t="shared" si="91"/>
        <v>0</v>
      </c>
      <c r="S71" s="38">
        <f t="shared" si="92"/>
        <v>0</v>
      </c>
      <c r="T71" s="39">
        <f t="shared" si="93"/>
        <v>0</v>
      </c>
      <c r="U71" s="12"/>
      <c r="V71" s="12"/>
      <c r="W71" s="12"/>
      <c r="X71" s="12"/>
      <c r="Y71" s="12"/>
      <c r="Z71" s="12"/>
    </row>
    <row r="72" ht="15.75" customHeight="1">
      <c r="A72" s="13" t="s">
        <v>84</v>
      </c>
      <c r="B72" s="14" t="s">
        <v>62</v>
      </c>
      <c r="C72" s="33" t="str">
        <f t="shared" ref="C72:E72" si="99">IF(#REF!=0,0%,IF(F72=0,100%,#REF!/F72-1))</f>
        <v>#REF!</v>
      </c>
      <c r="D72" s="34" t="str">
        <f t="shared" si="99"/>
        <v>#REF!</v>
      </c>
      <c r="E72" s="34" t="str">
        <f t="shared" si="99"/>
        <v>#REF!</v>
      </c>
      <c r="F72" s="35"/>
      <c r="G72" s="35"/>
      <c r="H72" s="36"/>
      <c r="I72" s="37">
        <v>1000000.0</v>
      </c>
      <c r="J72" s="38">
        <v>200000.0</v>
      </c>
      <c r="K72" s="38">
        <v>2500000.0</v>
      </c>
      <c r="L72" s="39">
        <v>1.0E7</v>
      </c>
      <c r="M72" s="37">
        <f t="shared" si="86"/>
        <v>85000</v>
      </c>
      <c r="N72" s="38">
        <f t="shared" si="87"/>
        <v>16600</v>
      </c>
      <c r="O72" s="38">
        <f t="shared" si="88"/>
        <v>205000</v>
      </c>
      <c r="P72" s="39">
        <f t="shared" si="89"/>
        <v>820000</v>
      </c>
      <c r="Q72" s="37">
        <f t="shared" si="90"/>
        <v>578000</v>
      </c>
      <c r="R72" s="38">
        <f t="shared" si="91"/>
        <v>120600</v>
      </c>
      <c r="S72" s="38">
        <f t="shared" si="92"/>
        <v>1395000</v>
      </c>
      <c r="T72" s="39">
        <f t="shared" si="93"/>
        <v>5580000</v>
      </c>
      <c r="U72" s="12"/>
      <c r="V72" s="12"/>
      <c r="W72" s="12"/>
      <c r="X72" s="12"/>
      <c r="Y72" s="12"/>
      <c r="Z72" s="12"/>
    </row>
    <row r="73" ht="15.75" customHeight="1">
      <c r="A73" s="13" t="s">
        <v>85</v>
      </c>
      <c r="B73" s="14" t="s">
        <v>62</v>
      </c>
      <c r="C73" s="33"/>
      <c r="D73" s="34"/>
      <c r="E73" s="34"/>
      <c r="F73" s="35"/>
      <c r="G73" s="35"/>
      <c r="H73" s="36"/>
      <c r="I73" s="37">
        <v>1000000.0</v>
      </c>
      <c r="J73" s="48">
        <v>150000.0</v>
      </c>
      <c r="K73" s="48">
        <v>5000000.0</v>
      </c>
      <c r="L73" s="49">
        <v>2000000.0</v>
      </c>
      <c r="M73" s="37">
        <f t="shared" si="86"/>
        <v>85000</v>
      </c>
      <c r="N73" s="38">
        <f t="shared" si="87"/>
        <v>12450</v>
      </c>
      <c r="O73" s="38">
        <f t="shared" si="88"/>
        <v>410000</v>
      </c>
      <c r="P73" s="39">
        <f t="shared" si="89"/>
        <v>164000</v>
      </c>
      <c r="Q73" s="37">
        <f t="shared" si="90"/>
        <v>578000</v>
      </c>
      <c r="R73" s="38">
        <f t="shared" si="91"/>
        <v>90450</v>
      </c>
      <c r="S73" s="38">
        <f t="shared" si="92"/>
        <v>2790000</v>
      </c>
      <c r="T73" s="39">
        <f t="shared" si="93"/>
        <v>1116000</v>
      </c>
      <c r="U73" s="12"/>
      <c r="V73" s="12"/>
      <c r="W73" s="12"/>
      <c r="X73" s="12"/>
      <c r="Y73" s="12"/>
      <c r="Z73" s="12"/>
    </row>
    <row r="74" ht="15.75" customHeight="1">
      <c r="A74" s="25" t="s">
        <v>86</v>
      </c>
      <c r="B74" s="68" t="s">
        <v>62</v>
      </c>
      <c r="C74" s="42"/>
      <c r="D74" s="43"/>
      <c r="E74" s="43"/>
      <c r="F74" s="69"/>
      <c r="G74" s="69"/>
      <c r="H74" s="70"/>
      <c r="I74" s="46">
        <f t="shared" ref="I74:T74" si="100">SUM(I64:I73)</f>
        <v>7600000</v>
      </c>
      <c r="J74" s="46">
        <f t="shared" si="100"/>
        <v>1120000</v>
      </c>
      <c r="K74" s="46">
        <f t="shared" si="100"/>
        <v>23000000</v>
      </c>
      <c r="L74" s="46">
        <f t="shared" si="100"/>
        <v>20000000</v>
      </c>
      <c r="M74" s="71">
        <f t="shared" si="100"/>
        <v>646000</v>
      </c>
      <c r="N74" s="71">
        <f t="shared" si="100"/>
        <v>92960</v>
      </c>
      <c r="O74" s="71">
        <f t="shared" si="100"/>
        <v>1886000</v>
      </c>
      <c r="P74" s="71">
        <f t="shared" si="100"/>
        <v>1640000</v>
      </c>
      <c r="Q74" s="71">
        <f t="shared" si="100"/>
        <v>4392800</v>
      </c>
      <c r="R74" s="71">
        <f t="shared" si="100"/>
        <v>675360</v>
      </c>
      <c r="S74" s="71">
        <f t="shared" si="100"/>
        <v>12834000</v>
      </c>
      <c r="T74" s="71">
        <f t="shared" si="100"/>
        <v>11160000</v>
      </c>
      <c r="U74" s="12"/>
      <c r="V74" s="12"/>
      <c r="W74" s="12"/>
      <c r="X74" s="12"/>
      <c r="Y74" s="12"/>
      <c r="Z74" s="12"/>
    </row>
    <row r="75" ht="15.75" customHeight="1">
      <c r="A75" s="72" t="s">
        <v>87</v>
      </c>
      <c r="B75" s="73"/>
      <c r="C75" s="74" t="str">
        <f t="shared" ref="C75:E75" si="101">IF(#REF!=0,0%,IF(F75=0,100%,#REF!/F75-1))</f>
        <v>#REF!</v>
      </c>
      <c r="D75" s="75" t="str">
        <f t="shared" si="101"/>
        <v>#REF!</v>
      </c>
      <c r="E75" s="75" t="str">
        <f t="shared" si="101"/>
        <v>#REF!</v>
      </c>
      <c r="F75" s="76" t="str">
        <f t="shared" ref="F75:H75" si="102">F63+#REF!+F18+F9</f>
        <v>#REF!</v>
      </c>
      <c r="G75" s="76" t="str">
        <f t="shared" si="102"/>
        <v>#REF!</v>
      </c>
      <c r="H75" s="77" t="str">
        <f t="shared" si="102"/>
        <v>#REF!</v>
      </c>
      <c r="I75" s="78">
        <f t="shared" ref="I75:T75" si="103">I74+I63+I58+I18+I9</f>
        <v>54650000</v>
      </c>
      <c r="J75" s="78">
        <f t="shared" si="103"/>
        <v>9180000</v>
      </c>
      <c r="K75" s="78">
        <f t="shared" si="103"/>
        <v>226000000</v>
      </c>
      <c r="L75" s="78">
        <f t="shared" si="103"/>
        <v>219900000</v>
      </c>
      <c r="M75" s="78">
        <f t="shared" si="103"/>
        <v>4679250</v>
      </c>
      <c r="N75" s="78">
        <f t="shared" si="103"/>
        <v>770240</v>
      </c>
      <c r="O75" s="78">
        <f t="shared" si="103"/>
        <v>18614000</v>
      </c>
      <c r="P75" s="78">
        <f t="shared" si="103"/>
        <v>18113800</v>
      </c>
      <c r="Q75" s="78">
        <f t="shared" si="103"/>
        <v>31818900</v>
      </c>
      <c r="R75" s="78">
        <f t="shared" si="103"/>
        <v>5595840</v>
      </c>
      <c r="S75" s="78">
        <f t="shared" si="103"/>
        <v>126666000</v>
      </c>
      <c r="T75" s="78">
        <f t="shared" si="103"/>
        <v>123262200</v>
      </c>
      <c r="U75" s="12"/>
      <c r="V75" s="12"/>
      <c r="W75" s="12"/>
      <c r="X75" s="12"/>
      <c r="Y75" s="12"/>
      <c r="Z75" s="12"/>
    </row>
    <row r="76" ht="15.75" customHeight="1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80"/>
      <c r="S76" s="79"/>
      <c r="T76" s="79"/>
      <c r="U76" s="79"/>
      <c r="V76" s="79"/>
      <c r="W76" s="79"/>
      <c r="X76" s="79"/>
      <c r="Y76" s="79"/>
      <c r="Z76" s="79"/>
    </row>
    <row r="77" ht="15.75" customHeight="1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</row>
    <row r="78" ht="15.75" customHeight="1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</row>
    <row r="79" ht="15.75" customHeight="1">
      <c r="A79" s="79"/>
      <c r="B79" s="79"/>
      <c r="C79" s="79"/>
      <c r="D79" s="79"/>
      <c r="E79" s="79"/>
      <c r="F79" s="79"/>
      <c r="G79" s="79"/>
      <c r="H79" s="79"/>
      <c r="I79" s="81" t="s">
        <v>88</v>
      </c>
      <c r="J79" s="79"/>
      <c r="K79" s="79"/>
      <c r="L79" s="79"/>
      <c r="M79" s="82">
        <f t="shared" ref="M79:P79" si="104">M75/I75</f>
        <v>0.0856221409</v>
      </c>
      <c r="N79" s="82">
        <f t="shared" si="104"/>
        <v>0.08390413943</v>
      </c>
      <c r="O79" s="82">
        <f t="shared" si="104"/>
        <v>0.08236283186</v>
      </c>
      <c r="P79" s="82">
        <f t="shared" si="104"/>
        <v>0.08237289677</v>
      </c>
      <c r="Q79" s="83">
        <f t="shared" ref="Q79:T79" si="105">Q75/I75</f>
        <v>0.5822305581</v>
      </c>
      <c r="R79" s="83">
        <f t="shared" si="105"/>
        <v>0.6095686275</v>
      </c>
      <c r="S79" s="83">
        <f t="shared" si="105"/>
        <v>0.5604690265</v>
      </c>
      <c r="T79" s="83">
        <f t="shared" si="105"/>
        <v>0.5605375171</v>
      </c>
      <c r="U79" s="79"/>
      <c r="V79" s="79"/>
      <c r="W79" s="79"/>
      <c r="X79" s="79"/>
      <c r="Y79" s="79"/>
      <c r="Z79" s="79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autoFilter ref="$A$3:$W$75"/>
  <mergeCells count="5">
    <mergeCell ref="C1:E1"/>
    <mergeCell ref="F1:H1"/>
    <mergeCell ref="I1:L1"/>
    <mergeCell ref="M1:P1"/>
    <mergeCell ref="Q1:T1"/>
  </mergeCells>
  <conditionalFormatting sqref="C1:C17 C8:E8 C15:E75 C80:E1000 D3:E17">
    <cfRule type="cellIs" dxfId="0" priority="1" operator="lessThan">
      <formula>-0.0001</formula>
    </cfRule>
  </conditionalFormatting>
  <conditionalFormatting sqref="C4:E75 C80:E1000">
    <cfRule type="cellIs" dxfId="1" priority="2" operator="greaterThan">
      <formula>0.1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26" width="8.63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2024-02-06T09:35:27Z</dcterms:created>
  <dc:creator>office2</dc:creator>
</cp:coreProperties>
</file>