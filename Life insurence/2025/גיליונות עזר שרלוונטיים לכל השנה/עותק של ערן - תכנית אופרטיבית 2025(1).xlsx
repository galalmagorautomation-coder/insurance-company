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.shortcut-targets-by-id\11KgdrUoWmOuim7wOdzgAhjLF35Tr523z\מאגר מידע של גל אלמגור\דוחות תפוקה\דוחות תפוקה ביטוח חיים\2025\"/>
    </mc:Choice>
  </mc:AlternateContent>
  <xr:revisionPtr revIDLastSave="0" documentId="8_{6725871B-5615-4F37-960A-064AE7C18904}" xr6:coauthVersionLast="47" xr6:coauthVersionMax="47" xr10:uidLastSave="{00000000-0000-0000-0000-000000000000}"/>
  <bookViews>
    <workbookView xWindow="28680" yWindow="-120" windowWidth="29040" windowHeight="15720" xr2:uid="{05CB0722-53E0-4457-9390-60DFF5C642CB}"/>
  </bookViews>
  <sheets>
    <sheet name="יעדי 2025" sheetId="4" r:id="rId1"/>
    <sheet name="גיליון1" sheetId="5" r:id="rId2"/>
    <sheet name="תכנית אופרטיבית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66" i="4" l="1"/>
  <c r="K66" i="4"/>
  <c r="J66" i="4"/>
  <c r="I66" i="4"/>
  <c r="E64" i="4"/>
  <c r="D64" i="4"/>
  <c r="C64" i="4"/>
  <c r="E63" i="4"/>
  <c r="D63" i="4"/>
  <c r="C63" i="4"/>
  <c r="E62" i="4"/>
  <c r="D62" i="4"/>
  <c r="C62" i="4"/>
  <c r="E61" i="4"/>
  <c r="D61" i="4"/>
  <c r="C61" i="4"/>
  <c r="E60" i="4"/>
  <c r="D60" i="4"/>
  <c r="C60" i="4"/>
  <c r="E59" i="4"/>
  <c r="D59" i="4"/>
  <c r="C59" i="4"/>
  <c r="E58" i="4"/>
  <c r="D58" i="4"/>
  <c r="C58" i="4"/>
  <c r="E57" i="4"/>
  <c r="D57" i="4"/>
  <c r="C57" i="4"/>
  <c r="E56" i="4"/>
  <c r="D56" i="4"/>
  <c r="C56" i="4"/>
  <c r="E55" i="4"/>
  <c r="D55" i="4"/>
  <c r="C55" i="4"/>
  <c r="E54" i="4"/>
  <c r="D54" i="4"/>
  <c r="C54" i="4"/>
  <c r="E53" i="4"/>
  <c r="D53" i="4"/>
  <c r="C53" i="4"/>
  <c r="E52" i="4"/>
  <c r="D52" i="4"/>
  <c r="C52" i="4"/>
  <c r="E51" i="4"/>
  <c r="D51" i="4"/>
  <c r="C51" i="4"/>
  <c r="E50" i="4"/>
  <c r="D50" i="4"/>
  <c r="C50" i="4"/>
  <c r="E49" i="4"/>
  <c r="D49" i="4"/>
  <c r="C49" i="4"/>
  <c r="E48" i="4"/>
  <c r="D48" i="4"/>
  <c r="C48" i="4"/>
  <c r="E47" i="4"/>
  <c r="D47" i="4"/>
  <c r="C47" i="4"/>
  <c r="E46" i="4"/>
  <c r="D46" i="4"/>
  <c r="C46" i="4"/>
  <c r="E45" i="4"/>
  <c r="D45" i="4"/>
  <c r="C45" i="4"/>
  <c r="E44" i="4"/>
  <c r="D44" i="4"/>
  <c r="C44" i="4"/>
  <c r="E43" i="4"/>
  <c r="D43" i="4"/>
  <c r="C43" i="4"/>
  <c r="E42" i="4"/>
  <c r="D42" i="4"/>
  <c r="C42" i="4"/>
  <c r="E41" i="4"/>
  <c r="D41" i="4"/>
  <c r="C41" i="4"/>
  <c r="E40" i="4"/>
  <c r="D40" i="4"/>
  <c r="C40" i="4"/>
  <c r="E39" i="4"/>
  <c r="D39" i="4"/>
  <c r="C39" i="4"/>
  <c r="E38" i="4"/>
  <c r="D38" i="4"/>
  <c r="C38" i="4"/>
  <c r="AA17" i="4"/>
  <c r="AA16" i="4"/>
  <c r="U28" i="4" l="1"/>
  <c r="D9" i="2" s="1"/>
  <c r="D8" i="2"/>
  <c r="D7" i="2"/>
  <c r="D6" i="2"/>
  <c r="R31" i="4"/>
  <c r="T28" i="4"/>
  <c r="T30" i="4" s="1"/>
  <c r="S28" i="4"/>
  <c r="S30" i="4" s="1"/>
  <c r="R28" i="4"/>
  <c r="R30" i="4" s="1"/>
  <c r="I28" i="4"/>
  <c r="M28" i="4" s="1"/>
  <c r="Q28" i="4" s="1"/>
  <c r="H28" i="4"/>
  <c r="L28" i="4" s="1"/>
  <c r="P28" i="4" s="1"/>
  <c r="G28" i="4"/>
  <c r="K28" i="4" s="1"/>
  <c r="O28" i="4" s="1"/>
  <c r="F28" i="4"/>
  <c r="J28" i="4" s="1"/>
  <c r="N28" i="4" s="1"/>
  <c r="E28" i="4"/>
  <c r="D28" i="4"/>
  <c r="C28" i="4"/>
  <c r="B28" i="4"/>
  <c r="M26" i="4"/>
  <c r="Q26" i="4" s="1"/>
  <c r="L26" i="4"/>
  <c r="P26" i="4" s="1"/>
  <c r="K26" i="4"/>
  <c r="O26" i="4" s="1"/>
  <c r="J26" i="4"/>
  <c r="N26" i="4" s="1"/>
  <c r="M25" i="4"/>
  <c r="Q25" i="4" s="1"/>
  <c r="L25" i="4"/>
  <c r="P25" i="4" s="1"/>
  <c r="K25" i="4"/>
  <c r="O25" i="4" s="1"/>
  <c r="J25" i="4"/>
  <c r="N25" i="4" s="1"/>
  <c r="M24" i="4"/>
  <c r="Q24" i="4" s="1"/>
  <c r="L24" i="4"/>
  <c r="P24" i="4" s="1"/>
  <c r="K24" i="4"/>
  <c r="O24" i="4" s="1"/>
  <c r="J24" i="4"/>
  <c r="N24" i="4" s="1"/>
  <c r="M23" i="4"/>
  <c r="Q23" i="4" s="1"/>
  <c r="L23" i="4"/>
  <c r="P23" i="4" s="1"/>
  <c r="K23" i="4"/>
  <c r="O23" i="4" s="1"/>
  <c r="J23" i="4"/>
  <c r="N23" i="4" s="1"/>
  <c r="M22" i="4"/>
  <c r="Q22" i="4" s="1"/>
  <c r="L22" i="4"/>
  <c r="P22" i="4" s="1"/>
  <c r="K22" i="4"/>
  <c r="O22" i="4" s="1"/>
  <c r="J22" i="4"/>
  <c r="N22" i="4" s="1"/>
  <c r="M21" i="4"/>
  <c r="Q21" i="4" s="1"/>
  <c r="L21" i="4"/>
  <c r="P21" i="4" s="1"/>
  <c r="K21" i="4"/>
  <c r="O21" i="4" s="1"/>
  <c r="J21" i="4"/>
  <c r="N21" i="4" s="1"/>
  <c r="M20" i="4"/>
  <c r="Q20" i="4" s="1"/>
  <c r="L20" i="4"/>
  <c r="P20" i="4" s="1"/>
  <c r="K20" i="4"/>
  <c r="O20" i="4" s="1"/>
  <c r="J20" i="4"/>
  <c r="N20" i="4" s="1"/>
  <c r="M19" i="4"/>
  <c r="Q19" i="4" s="1"/>
  <c r="L19" i="4"/>
  <c r="P19" i="4" s="1"/>
  <c r="K19" i="4"/>
  <c r="O19" i="4" s="1"/>
  <c r="J19" i="4"/>
  <c r="N19" i="4" s="1"/>
  <c r="P18" i="4"/>
  <c r="M18" i="4"/>
  <c r="Q18" i="4" s="1"/>
  <c r="L18" i="4"/>
  <c r="K18" i="4"/>
  <c r="O18" i="4" s="1"/>
  <c r="J18" i="4"/>
  <c r="N18" i="4" s="1"/>
  <c r="M17" i="4"/>
  <c r="Q17" i="4" s="1"/>
  <c r="L17" i="4"/>
  <c r="P17" i="4" s="1"/>
  <c r="K17" i="4"/>
  <c r="O17" i="4" s="1"/>
  <c r="J17" i="4"/>
  <c r="N17" i="4" s="1"/>
  <c r="M16" i="4"/>
  <c r="Q16" i="4" s="1"/>
  <c r="L16" i="4"/>
  <c r="P16" i="4" s="1"/>
  <c r="K16" i="4"/>
  <c r="O16" i="4" s="1"/>
  <c r="J16" i="4"/>
  <c r="N16" i="4" s="1"/>
  <c r="M15" i="4"/>
  <c r="Q15" i="4" s="1"/>
  <c r="L15" i="4"/>
  <c r="P15" i="4" s="1"/>
  <c r="K15" i="4"/>
  <c r="O15" i="4" s="1"/>
  <c r="J15" i="4"/>
  <c r="N15" i="4" s="1"/>
  <c r="M14" i="4"/>
  <c r="Q14" i="4" s="1"/>
  <c r="L14" i="4"/>
  <c r="P14" i="4" s="1"/>
  <c r="K14" i="4"/>
  <c r="O14" i="4" s="1"/>
  <c r="J14" i="4"/>
  <c r="N14" i="4" s="1"/>
  <c r="M13" i="4"/>
  <c r="Q13" i="4" s="1"/>
  <c r="L13" i="4"/>
  <c r="P13" i="4" s="1"/>
  <c r="K13" i="4"/>
  <c r="O13" i="4" s="1"/>
  <c r="J13" i="4"/>
  <c r="N13" i="4" s="1"/>
  <c r="N12" i="4"/>
  <c r="M12" i="4"/>
  <c r="Q12" i="4" s="1"/>
  <c r="L12" i="4"/>
  <c r="P12" i="4" s="1"/>
  <c r="K12" i="4"/>
  <c r="O12" i="4" s="1"/>
  <c r="J12" i="4"/>
  <c r="M11" i="4"/>
  <c r="Q11" i="4" s="1"/>
  <c r="L11" i="4"/>
  <c r="P11" i="4" s="1"/>
  <c r="K11" i="4"/>
  <c r="O11" i="4" s="1"/>
  <c r="J11" i="4"/>
  <c r="N11" i="4" s="1"/>
  <c r="M10" i="4"/>
  <c r="Q10" i="4" s="1"/>
  <c r="L10" i="4"/>
  <c r="P10" i="4" s="1"/>
  <c r="K10" i="4"/>
  <c r="O10" i="4" s="1"/>
  <c r="J10" i="4"/>
  <c r="N10" i="4" s="1"/>
  <c r="M9" i="4"/>
  <c r="Q9" i="4" s="1"/>
  <c r="L9" i="4"/>
  <c r="P9" i="4" s="1"/>
  <c r="K9" i="4"/>
  <c r="O9" i="4" s="1"/>
  <c r="J9" i="4"/>
  <c r="N9" i="4" s="1"/>
  <c r="M8" i="4"/>
  <c r="Q8" i="4" s="1"/>
  <c r="L8" i="4"/>
  <c r="P8" i="4" s="1"/>
  <c r="K8" i="4"/>
  <c r="O8" i="4" s="1"/>
  <c r="J8" i="4"/>
  <c r="N8" i="4" s="1"/>
  <c r="M7" i="4"/>
  <c r="Q7" i="4" s="1"/>
  <c r="L7" i="4"/>
  <c r="P7" i="4" s="1"/>
  <c r="K7" i="4"/>
  <c r="O7" i="4" s="1"/>
  <c r="J7" i="4"/>
  <c r="N7" i="4" s="1"/>
  <c r="M6" i="4"/>
  <c r="Q6" i="4" s="1"/>
  <c r="L6" i="4"/>
  <c r="P6" i="4" s="1"/>
  <c r="K6" i="4"/>
  <c r="O6" i="4" s="1"/>
  <c r="J6" i="4"/>
  <c r="N6" i="4" s="1"/>
  <c r="M5" i="4"/>
  <c r="Q5" i="4" s="1"/>
  <c r="L5" i="4"/>
  <c r="P5" i="4" s="1"/>
  <c r="K5" i="4"/>
  <c r="O5" i="4" s="1"/>
  <c r="J5" i="4"/>
  <c r="N5" i="4" s="1"/>
  <c r="R32" i="4" l="1"/>
  <c r="R33" i="4" s="1"/>
  <c r="U30" i="4"/>
</calcChain>
</file>

<file path=xl/sharedStrings.xml><?xml version="1.0" encoding="utf-8"?>
<sst xmlns="http://schemas.openxmlformats.org/spreadsheetml/2006/main" count="145" uniqueCount="77">
  <si>
    <t>יעד מצטבר 11/2024</t>
  </si>
  <si>
    <t>תפוקה מצטברת 11/2024</t>
  </si>
  <si>
    <t>שם סוכן</t>
  </si>
  <si>
    <t>פנסיוני</t>
  </si>
  <si>
    <t>סיכונים</t>
  </si>
  <si>
    <t xml:space="preserve">פיננסים </t>
  </si>
  <si>
    <t>ניודי פנסיה</t>
  </si>
  <si>
    <t xml:space="preserve">סיכונים </t>
  </si>
  <si>
    <t>פיננסים</t>
  </si>
  <si>
    <t>מועלם אלפרד</t>
  </si>
  <si>
    <t>סאוסן שלבי</t>
  </si>
  <si>
    <t>סברא סמיר</t>
  </si>
  <si>
    <t>ריזק חלבי</t>
  </si>
  <si>
    <t>שלבי מיסון</t>
  </si>
  <si>
    <t>בחוס יוסף</t>
  </si>
  <si>
    <t>קליין סיון</t>
  </si>
  <si>
    <t>דאי גדי</t>
  </si>
  <si>
    <t>דאי דניאל</t>
  </si>
  <si>
    <t>אחמד עלי אחמד</t>
  </si>
  <si>
    <t>לילי שרון</t>
  </si>
  <si>
    <t>אילנית כהן</t>
  </si>
  <si>
    <t>עבוד כיתי</t>
  </si>
  <si>
    <t xml:space="preserve">ניר יבלונקה </t>
  </si>
  <si>
    <t>ינאי חיים בוני</t>
  </si>
  <si>
    <t>שירלי בוכריס</t>
  </si>
  <si>
    <t>שלי מזרחי</t>
  </si>
  <si>
    <t xml:space="preserve">מיכאל וקסלר </t>
  </si>
  <si>
    <t xml:space="preserve">שני לוי </t>
  </si>
  <si>
    <t>נעם הלשטוק</t>
  </si>
  <si>
    <t>אורטל / לנג ביג סוכנות לביטוח פנסיוני</t>
  </si>
  <si>
    <t>נור אבו ראס</t>
  </si>
  <si>
    <t xml:space="preserve">סה"כ </t>
  </si>
  <si>
    <t>תפוקה שנתית 2024 משוערת</t>
  </si>
  <si>
    <t>תפוקת 2024 משוערת כולל גידול של 10%</t>
  </si>
  <si>
    <t>יעד 2025</t>
  </si>
  <si>
    <t>יעד</t>
  </si>
  <si>
    <t>פנסיה</t>
  </si>
  <si>
    <t>הכנסה</t>
  </si>
  <si>
    <t>איכות</t>
  </si>
  <si>
    <t>מספרי</t>
  </si>
  <si>
    <t>איך?</t>
  </si>
  <si>
    <t xml:space="preserve">יעדים מספריים + יעדי איכות </t>
  </si>
  <si>
    <t>התמקצעות בפיננסים</t>
  </si>
  <si>
    <t xml:space="preserve">היכרות רחבה יותר של שוק ההון והאלטרנטיבות הקיימות בשוק (מכשירים מוצעים דרך הבנקים/שוק ההון באופן ישיר) - לחפש קורסים או מפגשים מקצועיים שלא ברמת הבסיס </t>
  </si>
  <si>
    <t>2025 - תכנית אופרטיבית ערן</t>
  </si>
  <si>
    <t>בקרה</t>
  </si>
  <si>
    <t>יוסי</t>
  </si>
  <si>
    <t>לוז</t>
  </si>
  <si>
    <t>ערן</t>
  </si>
  <si>
    <t>פגישות עם סוכנים גדולים עד ה14 לינואר ושאר הסוכנים עד סוף ינואר על תכניות עבודה ל2025</t>
  </si>
  <si>
    <t>פגישות עם סוכנים המתמקדות בבקרת מכירות בחודש הראשון של כל רבעון חדש</t>
  </si>
  <si>
    <t>לידים מסוכנים, לידים ממפקחים - ביקור אצל סוכן לא שלי לפחות 1 לרבעון (בשבוע האחרון של הרבעון) + פגישה עם יוסי אצל בדארנה בתחילת פברואר</t>
  </si>
  <si>
    <t>לבדוק התקדמות בראשית החציון ה2</t>
  </si>
  <si>
    <t>גיוס 3 סוכנים</t>
  </si>
  <si>
    <t>על פי גיליון יעדים</t>
  </si>
  <si>
    <t>גיוס + שאר הסוכנים(14)</t>
  </si>
  <si>
    <t>הערות</t>
  </si>
  <si>
    <t>עברה לאיתי אדן</t>
  </si>
  <si>
    <t>עברו לאיתי אדן</t>
  </si>
  <si>
    <t>חאטר ווסים</t>
  </si>
  <si>
    <t>מחמוד פארס</t>
  </si>
  <si>
    <t>בדארנה עומר</t>
  </si>
  <si>
    <t xml:space="preserve">ערן גירוני </t>
  </si>
  <si>
    <t>גרניק בנימין</t>
  </si>
  <si>
    <t>יונתן מנחם</t>
  </si>
  <si>
    <t>יהונתן שיוביץ</t>
  </si>
  <si>
    <t>סיון פיינרו</t>
  </si>
  <si>
    <t>צקותאי אורי</t>
  </si>
  <si>
    <t>סמיר בלאן</t>
  </si>
  <si>
    <t>אלקרינאוי ראוף</t>
  </si>
  <si>
    <t>מילאד אבו שקארה</t>
  </si>
  <si>
    <t>דראושה אדהם</t>
  </si>
  <si>
    <t>לוי חיים</t>
  </si>
  <si>
    <t>יעקב ישראל שטרן</t>
  </si>
  <si>
    <t>שני לוי</t>
  </si>
  <si>
    <t>קבוצת סוכנים ערן גירוני</t>
  </si>
  <si>
    <t>ניוד פנסיה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</si>
</sst>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21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charset val="177"/>
      <scheme val="minor"/>
    </font>
    <font>
      <b/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333333"/>
      <name val="Calibri"/>
      <family val="2"/>
      <scheme val="minor"/>
    </font>
    <font>
      <b/>
      <sz val="11"/>
      <color rgb="FFFF0000"/>
      <name val="Calibri"/>
      <family val="2"/>
      <charset val="177"/>
      <scheme val="minor"/>
    </font>
    <font>
      <b/>
      <sz val="12"/>
      <color rgb="FFFF0000"/>
      <name val="Calibri"/>
      <family val="2"/>
      <charset val="177"/>
      <scheme val="minor"/>
    </font>
    <font>
      <b/>
      <u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33333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333333"/>
      <name val="Arial"/>
      <family val="2"/>
    </font>
    <font>
      <sz val="12"/>
      <name val="Arial"/>
      <family val="2"/>
    </font>
    <font>
      <b/>
      <sz val="12"/>
      <color theme="1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89999084444715716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</cellStyleXfs>
  <cellXfs count="96">
    <xf numFmtId="0" fontId="0" fillId="0" borderId="0" xfId="0"/>
    <xf numFmtId="0" fontId="7" fillId="0" borderId="2" xfId="0" applyFont="1" applyBorder="1" applyAlignment="1">
      <alignment horizontal="center" vertical="center" wrapText="1" readingOrder="2"/>
    </xf>
    <xf numFmtId="0" fontId="3" fillId="0" borderId="0" xfId="0" applyFont="1"/>
    <xf numFmtId="0" fontId="8" fillId="3" borderId="2" xfId="0" applyFont="1" applyFill="1" applyBorder="1" applyAlignment="1">
      <alignment horizontal="center" vertical="center" wrapText="1" readingOrder="2"/>
    </xf>
    <xf numFmtId="164" fontId="6" fillId="2" borderId="2" xfId="1" applyNumberFormat="1" applyFont="1" applyFill="1" applyBorder="1" applyAlignment="1">
      <alignment horizontal="center" vertical="center"/>
    </xf>
    <xf numFmtId="164" fontId="3" fillId="4" borderId="2" xfId="1" applyNumberFormat="1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 readingOrder="2"/>
    </xf>
    <xf numFmtId="10" fontId="3" fillId="0" borderId="0" xfId="2" applyNumberFormat="1" applyFont="1"/>
    <xf numFmtId="43" fontId="3" fillId="0" borderId="0" xfId="2" applyNumberFormat="1" applyFont="1"/>
    <xf numFmtId="0" fontId="3" fillId="0" borderId="0" xfId="2" applyNumberFormat="1" applyFont="1"/>
    <xf numFmtId="0" fontId="10" fillId="0" borderId="1" xfId="3" applyFont="1" applyAlignment="1">
      <alignment horizontal="center" vertical="center" wrapText="1" readingOrder="2"/>
    </xf>
    <xf numFmtId="164" fontId="10" fillId="0" borderId="1" xfId="3" applyNumberFormat="1" applyFont="1"/>
    <xf numFmtId="43" fontId="10" fillId="0" borderId="1" xfId="3" applyNumberFormat="1" applyFont="1"/>
    <xf numFmtId="164" fontId="11" fillId="0" borderId="1" xfId="3" applyNumberFormat="1" applyFont="1"/>
    <xf numFmtId="0" fontId="0" fillId="0" borderId="0" xfId="0" applyAlignment="1">
      <alignment horizontal="center" vertical="center"/>
    </xf>
    <xf numFmtId="0" fontId="13" fillId="9" borderId="3" xfId="0" applyFont="1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3" xfId="0" applyFill="1" applyBorder="1" applyAlignment="1">
      <alignment horizontal="right" vertical="center"/>
    </xf>
    <xf numFmtId="0" fontId="0" fillId="10" borderId="3" xfId="0" applyFill="1" applyBorder="1"/>
    <xf numFmtId="164" fontId="0" fillId="10" borderId="3" xfId="1" applyNumberFormat="1" applyFont="1" applyFill="1" applyBorder="1"/>
    <xf numFmtId="0" fontId="0" fillId="5" borderId="3" xfId="0" applyFill="1" applyBorder="1" applyAlignment="1">
      <alignment horizontal="right" vertical="center" wrapText="1"/>
    </xf>
    <xf numFmtId="0" fontId="14" fillId="9" borderId="3" xfId="0" applyFont="1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 wrapText="1"/>
    </xf>
    <xf numFmtId="14" fontId="0" fillId="5" borderId="3" xfId="0" applyNumberForma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 wrapText="1" readingOrder="2"/>
    </xf>
    <xf numFmtId="164" fontId="16" fillId="4" borderId="2" xfId="1" applyNumberFormat="1" applyFont="1" applyFill="1" applyBorder="1" applyAlignment="1">
      <alignment horizontal="center" vertical="center"/>
    </xf>
    <xf numFmtId="0" fontId="16" fillId="0" borderId="0" xfId="0" applyFont="1"/>
    <xf numFmtId="164" fontId="3" fillId="11" borderId="2" xfId="1" applyNumberFormat="1" applyFont="1" applyFill="1" applyBorder="1" applyAlignment="1">
      <alignment horizontal="center" vertical="center"/>
    </xf>
    <xf numFmtId="164" fontId="16" fillId="11" borderId="2" xfId="1" applyNumberFormat="1" applyFont="1" applyFill="1" applyBorder="1" applyAlignment="1">
      <alignment horizontal="center" vertical="center"/>
    </xf>
    <xf numFmtId="164" fontId="6" fillId="8" borderId="2" xfId="1" applyNumberFormat="1" applyFont="1" applyFill="1" applyBorder="1" applyAlignment="1">
      <alignment horizontal="center" vertical="center" wrapText="1" readingOrder="2"/>
    </xf>
    <xf numFmtId="164" fontId="6" fillId="12" borderId="2" xfId="1" applyNumberFormat="1" applyFont="1" applyFill="1" applyBorder="1" applyAlignment="1">
      <alignment horizontal="center" vertical="center" wrapText="1" readingOrder="2"/>
    </xf>
    <xf numFmtId="164" fontId="6" fillId="7" borderId="2" xfId="1" applyNumberFormat="1" applyFont="1" applyFill="1" applyBorder="1" applyAlignment="1">
      <alignment horizontal="center" vertical="center" wrapText="1" readingOrder="2"/>
    </xf>
    <xf numFmtId="164" fontId="6" fillId="6" borderId="2" xfId="1" applyNumberFormat="1" applyFont="1" applyFill="1" applyBorder="1" applyAlignment="1">
      <alignment horizontal="center" vertical="center" wrapText="1" readingOrder="2"/>
    </xf>
    <xf numFmtId="43" fontId="3" fillId="13" borderId="2" xfId="0" applyNumberFormat="1" applyFont="1" applyFill="1" applyBorder="1"/>
    <xf numFmtId="43" fontId="3" fillId="14" borderId="2" xfId="0" applyNumberFormat="1" applyFont="1" applyFill="1" applyBorder="1"/>
    <xf numFmtId="164" fontId="3" fillId="4" borderId="2" xfId="1" applyNumberFormat="1" applyFont="1" applyFill="1" applyBorder="1"/>
    <xf numFmtId="43" fontId="16" fillId="13" borderId="2" xfId="0" applyNumberFormat="1" applyFont="1" applyFill="1" applyBorder="1"/>
    <xf numFmtId="43" fontId="16" fillId="14" borderId="2" xfId="0" applyNumberFormat="1" applyFont="1" applyFill="1" applyBorder="1"/>
    <xf numFmtId="164" fontId="16" fillId="4" borderId="2" xfId="1" applyNumberFormat="1" applyFont="1" applyFill="1" applyBorder="1"/>
    <xf numFmtId="0" fontId="3" fillId="0" borderId="2" xfId="0" applyFont="1" applyBorder="1" applyAlignment="1">
      <alignment horizontal="center" vertical="center" wrapText="1" readingOrder="2"/>
    </xf>
    <xf numFmtId="0" fontId="4" fillId="0" borderId="2" xfId="0" applyFont="1" applyBorder="1"/>
    <xf numFmtId="0" fontId="3" fillId="13" borderId="2" xfId="0" applyFont="1" applyFill="1" applyBorder="1"/>
    <xf numFmtId="0" fontId="3" fillId="14" borderId="2" xfId="0" applyFont="1" applyFill="1" applyBorder="1"/>
    <xf numFmtId="0" fontId="6" fillId="0" borderId="2" xfId="0" applyFont="1" applyBorder="1" applyAlignment="1">
      <alignment horizontal="center" vertical="center" wrapText="1" readingOrder="2"/>
    </xf>
    <xf numFmtId="0" fontId="8" fillId="2" borderId="2" xfId="0" applyFont="1" applyFill="1" applyBorder="1" applyAlignment="1">
      <alignment horizontal="center"/>
    </xf>
    <xf numFmtId="0" fontId="8" fillId="8" borderId="2" xfId="0" applyFont="1" applyFill="1" applyBorder="1" applyAlignment="1">
      <alignment horizontal="center" vertical="center" wrapText="1" readingOrder="2"/>
    </xf>
    <xf numFmtId="0" fontId="5" fillId="7" borderId="2" xfId="0" applyFont="1" applyFill="1" applyBorder="1" applyAlignment="1">
      <alignment horizontal="center"/>
    </xf>
    <xf numFmtId="0" fontId="5" fillId="12" borderId="2" xfId="0" applyFont="1" applyFill="1" applyBorder="1" applyAlignment="1">
      <alignment horizontal="center"/>
    </xf>
    <xf numFmtId="164" fontId="5" fillId="6" borderId="2" xfId="1" applyNumberFormat="1" applyFont="1" applyFill="1" applyBorder="1" applyAlignment="1">
      <alignment horizontal="center"/>
    </xf>
    <xf numFmtId="0" fontId="0" fillId="10" borderId="3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12" fillId="0" borderId="0" xfId="0" applyFont="1" applyAlignment="1">
      <alignment horizontal="center" vertical="center" readingOrder="2"/>
    </xf>
    <xf numFmtId="14" fontId="0" fillId="10" borderId="3" xfId="0" applyNumberFormat="1" applyFill="1" applyBorder="1" applyAlignment="1">
      <alignment horizontal="center" vertical="center"/>
    </xf>
    <xf numFmtId="0" fontId="13" fillId="9" borderId="3" xfId="0" applyFont="1" applyFill="1" applyBorder="1" applyAlignment="1">
      <alignment horizontal="center" vertical="center"/>
    </xf>
    <xf numFmtId="164" fontId="0" fillId="5" borderId="3" xfId="1" applyNumberFormat="1" applyFont="1" applyFill="1" applyBorder="1" applyAlignment="1">
      <alignment horizontal="center" vertical="center"/>
    </xf>
    <xf numFmtId="0" fontId="16" fillId="5" borderId="2" xfId="0" applyFont="1" applyFill="1" applyBorder="1"/>
    <xf numFmtId="0" fontId="3" fillId="0" borderId="2" xfId="0" applyFont="1" applyBorder="1"/>
    <xf numFmtId="0" fontId="16" fillId="0" borderId="2" xfId="0" applyFont="1" applyBorder="1"/>
    <xf numFmtId="43" fontId="3" fillId="0" borderId="0" xfId="1" applyFont="1"/>
    <xf numFmtId="43" fontId="3" fillId="0" borderId="0" xfId="0" applyNumberFormat="1" applyFont="1"/>
    <xf numFmtId="0" fontId="17" fillId="0" borderId="4" xfId="0" applyFont="1" applyBorder="1" applyAlignment="1">
      <alignment horizontal="center" vertical="center" wrapText="1" readingOrder="2"/>
    </xf>
    <xf numFmtId="0" fontId="17" fillId="0" borderId="5" xfId="0" applyFont="1" applyBorder="1" applyAlignment="1">
      <alignment horizontal="center" vertical="center" wrapText="1" readingOrder="2"/>
    </xf>
    <xf numFmtId="9" fontId="17" fillId="0" borderId="6" xfId="2" applyFont="1" applyBorder="1" applyAlignment="1">
      <alignment horizontal="center" vertical="center"/>
    </xf>
    <xf numFmtId="9" fontId="17" fillId="0" borderId="2" xfId="2" applyFont="1" applyBorder="1" applyAlignment="1">
      <alignment horizontal="center" vertical="center"/>
    </xf>
    <xf numFmtId="164" fontId="17" fillId="4" borderId="2" xfId="1" applyNumberFormat="1" applyFont="1" applyFill="1" applyBorder="1" applyAlignment="1">
      <alignment horizontal="center" vertical="center"/>
    </xf>
    <xf numFmtId="164" fontId="17" fillId="4" borderId="7" xfId="1" applyNumberFormat="1" applyFont="1" applyFill="1" applyBorder="1" applyAlignment="1">
      <alignment horizontal="center" vertical="center"/>
    </xf>
    <xf numFmtId="164" fontId="17" fillId="0" borderId="4" xfId="1" applyNumberFormat="1" applyFont="1" applyBorder="1" applyAlignment="1">
      <alignment horizontal="center" vertical="center"/>
    </xf>
    <xf numFmtId="164" fontId="17" fillId="0" borderId="2" xfId="1" applyNumberFormat="1" applyFont="1" applyBorder="1" applyAlignment="1">
      <alignment horizontal="center" vertical="center"/>
    </xf>
    <xf numFmtId="164" fontId="17" fillId="0" borderId="5" xfId="1" applyNumberFormat="1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 wrapText="1" readingOrder="2"/>
    </xf>
    <xf numFmtId="0" fontId="19" fillId="0" borderId="4" xfId="0" applyFont="1" applyBorder="1"/>
    <xf numFmtId="0" fontId="17" fillId="5" borderId="4" xfId="0" applyFont="1" applyFill="1" applyBorder="1" applyAlignment="1">
      <alignment horizontal="center" vertical="center" wrapText="1" readingOrder="2"/>
    </xf>
    <xf numFmtId="0" fontId="17" fillId="15" borderId="5" xfId="0" applyFont="1" applyFill="1" applyBorder="1" applyAlignment="1">
      <alignment horizontal="center" vertical="center" wrapText="1" readingOrder="2"/>
    </xf>
    <xf numFmtId="9" fontId="17" fillId="15" borderId="6" xfId="2" applyFont="1" applyFill="1" applyBorder="1" applyAlignment="1">
      <alignment horizontal="center" vertical="center"/>
    </xf>
    <xf numFmtId="9" fontId="17" fillId="15" borderId="2" xfId="2" applyFont="1" applyFill="1" applyBorder="1" applyAlignment="1">
      <alignment horizontal="center" vertical="center"/>
    </xf>
    <xf numFmtId="164" fontId="17" fillId="15" borderId="2" xfId="1" applyNumberFormat="1" applyFont="1" applyFill="1" applyBorder="1" applyAlignment="1">
      <alignment horizontal="center" vertical="center"/>
    </xf>
    <xf numFmtId="164" fontId="17" fillId="15" borderId="7" xfId="1" applyNumberFormat="1" applyFont="1" applyFill="1" applyBorder="1" applyAlignment="1">
      <alignment horizontal="center" vertical="center"/>
    </xf>
    <xf numFmtId="164" fontId="17" fillId="15" borderId="4" xfId="1" applyNumberFormat="1" applyFont="1" applyFill="1" applyBorder="1" applyAlignment="1">
      <alignment horizontal="center" vertical="center"/>
    </xf>
    <xf numFmtId="164" fontId="17" fillId="15" borderId="5" xfId="1" applyNumberFormat="1" applyFont="1" applyFill="1" applyBorder="1" applyAlignment="1">
      <alignment horizontal="center" vertical="center"/>
    </xf>
    <xf numFmtId="0" fontId="17" fillId="15" borderId="4" xfId="0" applyFont="1" applyFill="1" applyBorder="1" applyAlignment="1">
      <alignment horizontal="center" vertical="center" wrapText="1" readingOrder="2"/>
    </xf>
    <xf numFmtId="164" fontId="17" fillId="0" borderId="6" xfId="1" applyNumberFormat="1" applyFont="1" applyBorder="1" applyAlignment="1">
      <alignment horizontal="center" vertical="center"/>
    </xf>
    <xf numFmtId="164" fontId="17" fillId="0" borderId="8" xfId="1" applyNumberFormat="1" applyFont="1" applyBorder="1" applyAlignment="1">
      <alignment horizontal="center" vertical="center"/>
    </xf>
    <xf numFmtId="164" fontId="20" fillId="16" borderId="4" xfId="1" applyNumberFormat="1" applyFont="1" applyFill="1" applyBorder="1" applyAlignment="1">
      <alignment horizontal="center" vertical="center"/>
    </xf>
    <xf numFmtId="164" fontId="20" fillId="16" borderId="5" xfId="1" applyNumberFormat="1" applyFont="1" applyFill="1" applyBorder="1" applyAlignment="1">
      <alignment horizontal="center" vertical="center"/>
    </xf>
    <xf numFmtId="9" fontId="17" fillId="16" borderId="6" xfId="2" applyFont="1" applyFill="1" applyBorder="1" applyAlignment="1">
      <alignment horizontal="center" vertical="center"/>
    </xf>
    <xf numFmtId="9" fontId="17" fillId="16" borderId="2" xfId="2" applyFont="1" applyFill="1" applyBorder="1" applyAlignment="1">
      <alignment horizontal="center" vertical="center"/>
    </xf>
    <xf numFmtId="164" fontId="20" fillId="16" borderId="2" xfId="1" applyNumberFormat="1" applyFont="1" applyFill="1" applyBorder="1" applyAlignment="1">
      <alignment horizontal="center" vertical="center" wrapText="1" readingOrder="2"/>
    </xf>
    <xf numFmtId="164" fontId="20" fillId="16" borderId="7" xfId="1" applyNumberFormat="1" applyFont="1" applyFill="1" applyBorder="1" applyAlignment="1">
      <alignment horizontal="center" vertical="center" wrapText="1" readingOrder="2"/>
    </xf>
    <xf numFmtId="0" fontId="20" fillId="17" borderId="6" xfId="0" applyFont="1" applyFill="1" applyBorder="1" applyAlignment="1">
      <alignment horizontal="center" vertical="center"/>
    </xf>
    <xf numFmtId="0" fontId="20" fillId="17" borderId="2" xfId="0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center" wrapText="1" readingOrder="2"/>
    </xf>
    <xf numFmtId="0" fontId="20" fillId="2" borderId="7" xfId="0" applyFont="1" applyFill="1" applyBorder="1" applyAlignment="1">
      <alignment horizontal="center" vertical="center" wrapText="1" readingOrder="2"/>
    </xf>
    <xf numFmtId="0" fontId="20" fillId="18" borderId="4" xfId="0" applyFont="1" applyFill="1" applyBorder="1" applyAlignment="1">
      <alignment horizontal="center" vertical="center"/>
    </xf>
    <xf numFmtId="164" fontId="20" fillId="18" borderId="2" xfId="1" applyNumberFormat="1" applyFont="1" applyFill="1" applyBorder="1" applyAlignment="1">
      <alignment horizontal="center" vertical="center"/>
    </xf>
    <xf numFmtId="0" fontId="20" fillId="18" borderId="2" xfId="0" applyFont="1" applyFill="1" applyBorder="1" applyAlignment="1">
      <alignment horizontal="center" vertical="center"/>
    </xf>
    <xf numFmtId="0" fontId="20" fillId="18" borderId="5" xfId="0" applyFont="1" applyFill="1" applyBorder="1" applyAlignment="1">
      <alignment horizontal="center" vertical="center"/>
    </xf>
  </cellXfs>
  <cellStyles count="4">
    <cellStyle name="Comma" xfId="1" builtinId="3"/>
    <cellStyle name="Normal" xfId="0" builtinId="0"/>
    <cellStyle name="Percent" xfId="2" builtinId="5"/>
    <cellStyle name="סה&quot;כ" xfId="3" builtinId="25"/>
  </cellStyles>
  <dxfs count="1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4C3DE-D6D6-4AB9-811D-2FF2125A9A4B}">
  <dimension ref="A3:AA66"/>
  <sheetViews>
    <sheetView rightToLeft="1" tabSelected="1" topLeftCell="A14" workbookViewId="0">
      <selection activeCell="F35" sqref="F35"/>
    </sheetView>
  </sheetViews>
  <sheetFormatPr defaultRowHeight="15" x14ac:dyDescent="0.25"/>
  <cols>
    <col min="1" max="1" width="27.42578125" bestFit="1" customWidth="1"/>
    <col min="2" max="2" width="10.7109375" hidden="1" customWidth="1"/>
    <col min="3" max="3" width="9.7109375" hidden="1" customWidth="1"/>
    <col min="4" max="4" width="10.7109375" hidden="1" customWidth="1"/>
    <col min="5" max="5" width="11" hidden="1" customWidth="1"/>
    <col min="6" max="6" width="10.7109375" bestFit="1" customWidth="1"/>
    <col min="7" max="7" width="9.7109375" bestFit="1" customWidth="1"/>
    <col min="8" max="9" width="10.7109375" bestFit="1" customWidth="1"/>
    <col min="10" max="10" width="13.28515625" bestFit="1" customWidth="1"/>
    <col min="11" max="11" width="12.28515625" bestFit="1" customWidth="1"/>
    <col min="12" max="13" width="13.28515625" bestFit="1" customWidth="1"/>
    <col min="14" max="14" width="13.28515625" hidden="1" customWidth="1"/>
    <col min="15" max="15" width="12.28515625" hidden="1" customWidth="1"/>
    <col min="16" max="16" width="13.28515625" hidden="1" customWidth="1"/>
    <col min="17" max="17" width="14.28515625" hidden="1" customWidth="1"/>
    <col min="18" max="18" width="12.140625" bestFit="1" customWidth="1"/>
    <col min="19" max="19" width="11" bestFit="1" customWidth="1"/>
    <col min="20" max="20" width="12.140625" bestFit="1" customWidth="1"/>
    <col min="21" max="21" width="12.42578125" bestFit="1" customWidth="1"/>
    <col min="22" max="22" width="13.140625" bestFit="1" customWidth="1"/>
    <col min="24" max="24" width="12.28515625" bestFit="1" customWidth="1"/>
    <col min="27" max="27" width="12.5703125" bestFit="1" customWidth="1"/>
  </cols>
  <sheetData>
    <row r="3" spans="1:27" s="2" customFormat="1" ht="21" x14ac:dyDescent="0.35">
      <c r="A3" s="1"/>
      <c r="B3" s="44" t="s">
        <v>0</v>
      </c>
      <c r="C3" s="44"/>
      <c r="D3" s="44"/>
      <c r="E3" s="44"/>
      <c r="F3" s="45" t="s">
        <v>1</v>
      </c>
      <c r="G3" s="45"/>
      <c r="H3" s="45"/>
      <c r="I3" s="45"/>
      <c r="J3" s="46" t="s">
        <v>32</v>
      </c>
      <c r="K3" s="46"/>
      <c r="L3" s="46"/>
      <c r="M3" s="46"/>
      <c r="N3" s="47" t="s">
        <v>33</v>
      </c>
      <c r="O3" s="47"/>
      <c r="P3" s="47"/>
      <c r="Q3" s="47"/>
      <c r="R3" s="48" t="s">
        <v>34</v>
      </c>
      <c r="S3" s="48"/>
      <c r="T3" s="48"/>
      <c r="U3" s="48"/>
      <c r="V3" s="55" t="s">
        <v>56</v>
      </c>
    </row>
    <row r="4" spans="1:27" s="2" customFormat="1" ht="31.5" x14ac:dyDescent="0.25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29" t="s">
        <v>3</v>
      </c>
      <c r="G4" s="29" t="s">
        <v>7</v>
      </c>
      <c r="H4" s="29" t="s">
        <v>8</v>
      </c>
      <c r="I4" s="29" t="s">
        <v>6</v>
      </c>
      <c r="J4" s="31" t="s">
        <v>3</v>
      </c>
      <c r="K4" s="31" t="s">
        <v>7</v>
      </c>
      <c r="L4" s="31" t="s">
        <v>8</v>
      </c>
      <c r="M4" s="31" t="s">
        <v>6</v>
      </c>
      <c r="N4" s="30" t="s">
        <v>3</v>
      </c>
      <c r="O4" s="30" t="s">
        <v>7</v>
      </c>
      <c r="P4" s="30" t="s">
        <v>8</v>
      </c>
      <c r="Q4" s="30" t="s">
        <v>6</v>
      </c>
      <c r="R4" s="32" t="s">
        <v>3</v>
      </c>
      <c r="S4" s="32" t="s">
        <v>7</v>
      </c>
      <c r="T4" s="32" t="s">
        <v>8</v>
      </c>
      <c r="U4" s="32" t="s">
        <v>6</v>
      </c>
      <c r="V4" s="56"/>
      <c r="X4" s="2" t="s">
        <v>58</v>
      </c>
    </row>
    <row r="5" spans="1:27" s="2" customFormat="1" ht="15.75" x14ac:dyDescent="0.25">
      <c r="A5" s="1" t="s">
        <v>9</v>
      </c>
      <c r="B5" s="5">
        <v>1143999.9999999998</v>
      </c>
      <c r="C5" s="5">
        <v>180999.99999999997</v>
      </c>
      <c r="D5" s="5">
        <v>1724000</v>
      </c>
      <c r="E5" s="5">
        <v>2586000</v>
      </c>
      <c r="F5" s="27">
        <v>1458722.0482838887</v>
      </c>
      <c r="G5" s="27">
        <v>142169.41936376132</v>
      </c>
      <c r="H5" s="27">
        <v>1571526.2423740001</v>
      </c>
      <c r="I5" s="27">
        <v>5186432.7137599997</v>
      </c>
      <c r="J5" s="34">
        <f>F5/12+F5</f>
        <v>1580282.2189742129</v>
      </c>
      <c r="K5" s="34">
        <f t="shared" ref="K5:M19" si="0">G5/12+G5</f>
        <v>154016.87097740811</v>
      </c>
      <c r="L5" s="34">
        <f t="shared" si="0"/>
        <v>1702486.7625718336</v>
      </c>
      <c r="M5" s="34">
        <f t="shared" si="0"/>
        <v>5618635.4399066661</v>
      </c>
      <c r="N5" s="33">
        <f>J5*1.1</f>
        <v>1738310.4408716343</v>
      </c>
      <c r="O5" s="33">
        <f t="shared" ref="O5:Q19" si="1">K5*1.1</f>
        <v>169418.55807514893</v>
      </c>
      <c r="P5" s="33">
        <f t="shared" si="1"/>
        <v>1872735.4388290171</v>
      </c>
      <c r="Q5" s="33">
        <f t="shared" si="1"/>
        <v>6180498.983897333</v>
      </c>
      <c r="R5" s="35">
        <v>1600000</v>
      </c>
      <c r="S5" s="35">
        <v>170000</v>
      </c>
      <c r="T5" s="35">
        <v>2500000</v>
      </c>
      <c r="U5" s="35">
        <v>5000000</v>
      </c>
      <c r="V5" s="56"/>
      <c r="X5" s="2" t="s">
        <v>24</v>
      </c>
    </row>
    <row r="6" spans="1:27" s="2" customFormat="1" ht="15.75" x14ac:dyDescent="0.25">
      <c r="A6" s="6" t="s">
        <v>10</v>
      </c>
      <c r="B6" s="5">
        <v>175999.99999999997</v>
      </c>
      <c r="C6" s="5">
        <v>63349.999999999993</v>
      </c>
      <c r="D6" s="5">
        <v>172400</v>
      </c>
      <c r="E6" s="5">
        <v>258600</v>
      </c>
      <c r="F6" s="27">
        <v>55287.80572086828</v>
      </c>
      <c r="G6" s="27">
        <v>31166.015404486254</v>
      </c>
      <c r="H6" s="27">
        <v>44558.957840699397</v>
      </c>
      <c r="I6" s="27">
        <v>-5866</v>
      </c>
      <c r="J6" s="34">
        <f t="shared" ref="J6:M21" si="2">F6/12+F6</f>
        <v>59895.122864273973</v>
      </c>
      <c r="K6" s="34">
        <f t="shared" si="0"/>
        <v>33763.183354860106</v>
      </c>
      <c r="L6" s="34">
        <f t="shared" si="0"/>
        <v>48272.204327424348</v>
      </c>
      <c r="M6" s="34">
        <f t="shared" si="0"/>
        <v>-6354.833333333333</v>
      </c>
      <c r="N6" s="33">
        <f t="shared" ref="N6:Q21" si="3">J6*1.1</f>
        <v>65884.635150701375</v>
      </c>
      <c r="O6" s="33">
        <f t="shared" si="1"/>
        <v>37139.501690346122</v>
      </c>
      <c r="P6" s="33">
        <f t="shared" si="1"/>
        <v>53099.424760166788</v>
      </c>
      <c r="Q6" s="33">
        <f t="shared" si="1"/>
        <v>-6990.3166666666666</v>
      </c>
      <c r="R6" s="35">
        <v>100000</v>
      </c>
      <c r="S6" s="35">
        <v>50000</v>
      </c>
      <c r="T6" s="35">
        <v>300000</v>
      </c>
      <c r="U6" s="35">
        <v>100000</v>
      </c>
      <c r="V6" s="56"/>
      <c r="X6" s="2" t="s">
        <v>20</v>
      </c>
    </row>
    <row r="7" spans="1:27" s="26" customFormat="1" ht="15.75" x14ac:dyDescent="0.25">
      <c r="A7" s="24" t="s">
        <v>11</v>
      </c>
      <c r="B7" s="25">
        <v>2639999.9999999995</v>
      </c>
      <c r="C7" s="25">
        <v>361999.99999999994</v>
      </c>
      <c r="D7" s="25">
        <v>3448000</v>
      </c>
      <c r="E7" s="25">
        <v>2586000</v>
      </c>
      <c r="F7" s="28">
        <v>1876285.4</v>
      </c>
      <c r="G7" s="28">
        <v>191607.61378199997</v>
      </c>
      <c r="H7" s="28">
        <v>1857144.9590429647</v>
      </c>
      <c r="I7" s="28">
        <v>3891401.8163380004</v>
      </c>
      <c r="J7" s="37">
        <f t="shared" si="2"/>
        <v>2032642.5166666666</v>
      </c>
      <c r="K7" s="37">
        <f t="shared" si="0"/>
        <v>207574.91493049997</v>
      </c>
      <c r="L7" s="37">
        <f t="shared" si="0"/>
        <v>2011907.0389632117</v>
      </c>
      <c r="M7" s="37">
        <f t="shared" si="0"/>
        <v>4215685.3010328338</v>
      </c>
      <c r="N7" s="36">
        <f t="shared" si="3"/>
        <v>2235906.7683333335</v>
      </c>
      <c r="O7" s="36">
        <f t="shared" si="1"/>
        <v>228332.40642354998</v>
      </c>
      <c r="P7" s="36">
        <f t="shared" si="1"/>
        <v>2213097.7428595331</v>
      </c>
      <c r="Q7" s="36">
        <f t="shared" si="1"/>
        <v>4637253.8311361177</v>
      </c>
      <c r="R7" s="38">
        <v>2500000</v>
      </c>
      <c r="S7" s="38">
        <v>300000</v>
      </c>
      <c r="T7" s="38">
        <v>3000000</v>
      </c>
      <c r="U7" s="38">
        <v>4000000</v>
      </c>
      <c r="V7" s="57"/>
      <c r="X7" s="26" t="s">
        <v>59</v>
      </c>
    </row>
    <row r="8" spans="1:27" s="26" customFormat="1" ht="15.75" x14ac:dyDescent="0.25">
      <c r="A8" s="24" t="s">
        <v>12</v>
      </c>
      <c r="B8" s="25">
        <v>527999.99999999988</v>
      </c>
      <c r="C8" s="25">
        <v>633499.99999999988</v>
      </c>
      <c r="D8" s="25">
        <v>862000</v>
      </c>
      <c r="E8" s="25">
        <v>862000</v>
      </c>
      <c r="F8" s="28">
        <v>385471.75545993005</v>
      </c>
      <c r="G8" s="28">
        <v>94681.385951521544</v>
      </c>
      <c r="H8" s="28">
        <v>40747.830475165058</v>
      </c>
      <c r="I8" s="28">
        <v>195883.98914000002</v>
      </c>
      <c r="J8" s="37">
        <f t="shared" si="2"/>
        <v>417594.40174825757</v>
      </c>
      <c r="K8" s="37">
        <f t="shared" si="0"/>
        <v>102571.50144748167</v>
      </c>
      <c r="L8" s="37">
        <f t="shared" si="0"/>
        <v>44143.483014762147</v>
      </c>
      <c r="M8" s="37">
        <f t="shared" si="0"/>
        <v>212207.65490166668</v>
      </c>
      <c r="N8" s="36">
        <f t="shared" si="3"/>
        <v>459353.84192308335</v>
      </c>
      <c r="O8" s="36">
        <f t="shared" si="1"/>
        <v>112828.65159222984</v>
      </c>
      <c r="P8" s="36">
        <f t="shared" si="1"/>
        <v>48557.831316238364</v>
      </c>
      <c r="Q8" s="36">
        <f t="shared" si="1"/>
        <v>233428.42039183338</v>
      </c>
      <c r="R8" s="38">
        <v>300000</v>
      </c>
      <c r="S8" s="38">
        <v>200000</v>
      </c>
      <c r="T8" s="38">
        <v>100000</v>
      </c>
      <c r="U8" s="38">
        <v>200000</v>
      </c>
      <c r="V8" s="57"/>
      <c r="X8" s="26" t="s">
        <v>60</v>
      </c>
    </row>
    <row r="9" spans="1:27" s="2" customFormat="1" ht="15.75" x14ac:dyDescent="0.25">
      <c r="A9" s="6" t="s">
        <v>13</v>
      </c>
      <c r="B9" s="5">
        <v>351999.99999999994</v>
      </c>
      <c r="C9" s="5">
        <v>90499.999999999985</v>
      </c>
      <c r="D9" s="5">
        <v>862000</v>
      </c>
      <c r="E9" s="5">
        <v>431000</v>
      </c>
      <c r="F9" s="27">
        <v>96275.25</v>
      </c>
      <c r="G9" s="27">
        <v>128705.43017599999</v>
      </c>
      <c r="H9" s="27">
        <v>226044.73628000001</v>
      </c>
      <c r="I9" s="27">
        <v>268948.62</v>
      </c>
      <c r="J9" s="34">
        <f t="shared" si="2"/>
        <v>104298.1875</v>
      </c>
      <c r="K9" s="34">
        <f t="shared" si="0"/>
        <v>139430.88269066665</v>
      </c>
      <c r="L9" s="34">
        <f t="shared" si="0"/>
        <v>244881.79763666668</v>
      </c>
      <c r="M9" s="34">
        <f t="shared" si="0"/>
        <v>291361.005</v>
      </c>
      <c r="N9" s="33">
        <f t="shared" si="3"/>
        <v>114728.00625000001</v>
      </c>
      <c r="O9" s="33">
        <f t="shared" si="1"/>
        <v>153373.97095973333</v>
      </c>
      <c r="P9" s="33">
        <f t="shared" si="1"/>
        <v>269369.97740033339</v>
      </c>
      <c r="Q9" s="33">
        <f t="shared" si="1"/>
        <v>320497.10550000001</v>
      </c>
      <c r="R9" s="35">
        <v>300000</v>
      </c>
      <c r="S9" s="35">
        <v>150000</v>
      </c>
      <c r="T9" s="35">
        <v>1500000</v>
      </c>
      <c r="U9" s="35">
        <v>300000</v>
      </c>
      <c r="V9" s="56"/>
    </row>
    <row r="10" spans="1:27" s="2" customFormat="1" ht="15.75" x14ac:dyDescent="0.25">
      <c r="A10" s="1" t="s">
        <v>14</v>
      </c>
      <c r="B10" s="5">
        <v>1319999.9999999998</v>
      </c>
      <c r="C10" s="5">
        <v>180999.99999999997</v>
      </c>
      <c r="D10" s="5">
        <v>1724000</v>
      </c>
      <c r="E10" s="5">
        <v>603400</v>
      </c>
      <c r="F10" s="27">
        <v>1584750.1669689063</v>
      </c>
      <c r="G10" s="27">
        <v>103098.083206</v>
      </c>
      <c r="H10" s="27">
        <v>2204258.4900000002</v>
      </c>
      <c r="I10" s="27">
        <v>5849754.1100000003</v>
      </c>
      <c r="J10" s="34">
        <f t="shared" si="2"/>
        <v>1716812.6808829817</v>
      </c>
      <c r="K10" s="34">
        <f t="shared" si="0"/>
        <v>111689.59013983332</v>
      </c>
      <c r="L10" s="34">
        <f t="shared" si="0"/>
        <v>2387946.6975000002</v>
      </c>
      <c r="M10" s="34">
        <f t="shared" si="0"/>
        <v>6337233.6191666666</v>
      </c>
      <c r="N10" s="33">
        <f t="shared" si="3"/>
        <v>1888493.9489712801</v>
      </c>
      <c r="O10" s="33">
        <f t="shared" si="1"/>
        <v>122858.54915381667</v>
      </c>
      <c r="P10" s="33">
        <f t="shared" si="1"/>
        <v>2626741.3672500006</v>
      </c>
      <c r="Q10" s="33">
        <f t="shared" si="1"/>
        <v>6970956.9810833335</v>
      </c>
      <c r="R10" s="35">
        <v>1750000</v>
      </c>
      <c r="S10" s="35">
        <v>150000</v>
      </c>
      <c r="T10" s="35">
        <v>3000000</v>
      </c>
      <c r="U10" s="35">
        <v>5000000</v>
      </c>
      <c r="V10" s="56"/>
    </row>
    <row r="11" spans="1:27" s="2" customFormat="1" ht="15.75" x14ac:dyDescent="0.25">
      <c r="A11" s="1" t="s">
        <v>15</v>
      </c>
      <c r="B11" s="5">
        <v>879999.99999999988</v>
      </c>
      <c r="C11" s="5">
        <v>180999.99999999997</v>
      </c>
      <c r="D11" s="5">
        <v>3448000</v>
      </c>
      <c r="E11" s="5">
        <v>2155000</v>
      </c>
      <c r="F11" s="27">
        <v>1134351.6297971474</v>
      </c>
      <c r="G11" s="27">
        <v>135971.40988143615</v>
      </c>
      <c r="H11" s="27">
        <v>2926205.4158059997</v>
      </c>
      <c r="I11" s="27">
        <v>5495190.1501240004</v>
      </c>
      <c r="J11" s="34">
        <f t="shared" si="2"/>
        <v>1228880.9322802429</v>
      </c>
      <c r="K11" s="34">
        <f t="shared" si="0"/>
        <v>147302.36070488917</v>
      </c>
      <c r="L11" s="34">
        <f t="shared" si="0"/>
        <v>3170055.8671231661</v>
      </c>
      <c r="M11" s="34">
        <f t="shared" si="0"/>
        <v>5953122.6626343336</v>
      </c>
      <c r="N11" s="33">
        <f t="shared" si="3"/>
        <v>1351769.0255082673</v>
      </c>
      <c r="O11" s="33">
        <f t="shared" si="1"/>
        <v>162032.5967753781</v>
      </c>
      <c r="P11" s="33">
        <f t="shared" si="1"/>
        <v>3487061.4538354832</v>
      </c>
      <c r="Q11" s="33">
        <f t="shared" si="1"/>
        <v>6548434.9288977673</v>
      </c>
      <c r="R11" s="35">
        <v>1300000</v>
      </c>
      <c r="S11" s="35">
        <v>150000</v>
      </c>
      <c r="T11" s="35">
        <v>4000000</v>
      </c>
      <c r="U11" s="35">
        <v>5000000</v>
      </c>
      <c r="V11" s="56"/>
    </row>
    <row r="12" spans="1:27" s="26" customFormat="1" ht="15.75" x14ac:dyDescent="0.25">
      <c r="A12" s="24" t="s">
        <v>16</v>
      </c>
      <c r="B12" s="25">
        <v>3519999.9999999995</v>
      </c>
      <c r="C12" s="25">
        <v>407249.99999999994</v>
      </c>
      <c r="D12" s="25">
        <v>10344000</v>
      </c>
      <c r="E12" s="25">
        <v>8620000</v>
      </c>
      <c r="F12" s="28">
        <v>2371664.7795408554</v>
      </c>
      <c r="G12" s="28">
        <v>545516.52125173924</v>
      </c>
      <c r="H12" s="28">
        <v>7179708.8260388207</v>
      </c>
      <c r="I12" s="28">
        <v>12901356.74</v>
      </c>
      <c r="J12" s="37">
        <f t="shared" si="2"/>
        <v>2569303.5111692599</v>
      </c>
      <c r="K12" s="37">
        <f t="shared" si="0"/>
        <v>590976.23135605082</v>
      </c>
      <c r="L12" s="37">
        <f t="shared" si="0"/>
        <v>7778017.8948753886</v>
      </c>
      <c r="M12" s="37">
        <f t="shared" si="0"/>
        <v>13976469.801666668</v>
      </c>
      <c r="N12" s="36">
        <f t="shared" si="3"/>
        <v>2826233.8622861863</v>
      </c>
      <c r="O12" s="36">
        <f t="shared" si="1"/>
        <v>650073.85449165595</v>
      </c>
      <c r="P12" s="36">
        <f t="shared" si="1"/>
        <v>8555819.6843629275</v>
      </c>
      <c r="Q12" s="36">
        <f t="shared" si="1"/>
        <v>15374116.781833336</v>
      </c>
      <c r="R12" s="38">
        <v>2500000</v>
      </c>
      <c r="S12" s="38">
        <v>450000</v>
      </c>
      <c r="T12" s="38">
        <v>6000000</v>
      </c>
      <c r="U12" s="38">
        <v>4000000</v>
      </c>
      <c r="V12" s="57"/>
    </row>
    <row r="13" spans="1:27" s="2" customFormat="1" ht="15.75" x14ac:dyDescent="0.25">
      <c r="A13" s="6" t="s">
        <v>17</v>
      </c>
      <c r="B13" s="5"/>
      <c r="C13" s="5"/>
      <c r="D13" s="5"/>
      <c r="E13" s="5"/>
      <c r="F13" s="27">
        <v>809128.78053678817</v>
      </c>
      <c r="G13" s="27">
        <v>85602.341888725452</v>
      </c>
      <c r="H13" s="27">
        <v>1190093.2614465361</v>
      </c>
      <c r="I13" s="27">
        <v>4839893.3306339998</v>
      </c>
      <c r="J13" s="34">
        <f t="shared" si="2"/>
        <v>876556.17891485384</v>
      </c>
      <c r="K13" s="34">
        <f t="shared" si="0"/>
        <v>92735.870379452579</v>
      </c>
      <c r="L13" s="34">
        <f t="shared" si="0"/>
        <v>1289267.6999004141</v>
      </c>
      <c r="M13" s="34">
        <f t="shared" si="0"/>
        <v>5243217.7748534996</v>
      </c>
      <c r="N13" s="33">
        <f t="shared" si="3"/>
        <v>964211.79680633929</v>
      </c>
      <c r="O13" s="33">
        <f t="shared" si="1"/>
        <v>102009.45741739785</v>
      </c>
      <c r="P13" s="33">
        <f t="shared" si="1"/>
        <v>1418194.4698904557</v>
      </c>
      <c r="Q13" s="33">
        <f t="shared" si="1"/>
        <v>5767539.5523388498</v>
      </c>
      <c r="R13" s="35">
        <v>1000000</v>
      </c>
      <c r="S13" s="35">
        <v>150000</v>
      </c>
      <c r="T13" s="35">
        <v>1500000</v>
      </c>
      <c r="U13" s="35">
        <v>2000000</v>
      </c>
      <c r="V13" s="56"/>
    </row>
    <row r="14" spans="1:27" s="2" customFormat="1" ht="15.75" x14ac:dyDescent="0.25">
      <c r="A14" s="1" t="s">
        <v>18</v>
      </c>
      <c r="B14" s="5">
        <v>527999.99999999988</v>
      </c>
      <c r="C14" s="5">
        <v>90499.999999999985</v>
      </c>
      <c r="D14" s="5">
        <v>215500</v>
      </c>
      <c r="E14" s="5">
        <v>215500</v>
      </c>
      <c r="F14" s="27">
        <v>285827.6709162785</v>
      </c>
      <c r="G14" s="27">
        <v>49853.357083141338</v>
      </c>
      <c r="H14" s="27">
        <v>60519.411523999996</v>
      </c>
      <c r="I14" s="27">
        <v>243005.65714600001</v>
      </c>
      <c r="J14" s="34">
        <f t="shared" si="2"/>
        <v>309646.64349263505</v>
      </c>
      <c r="K14" s="34">
        <f t="shared" si="0"/>
        <v>54007.803506736447</v>
      </c>
      <c r="L14" s="34">
        <f t="shared" si="0"/>
        <v>65562.695817666667</v>
      </c>
      <c r="M14" s="34">
        <f t="shared" si="0"/>
        <v>263256.12857483333</v>
      </c>
      <c r="N14" s="33">
        <f t="shared" si="3"/>
        <v>340611.30784189858</v>
      </c>
      <c r="O14" s="33">
        <f t="shared" si="1"/>
        <v>59408.5838574101</v>
      </c>
      <c r="P14" s="33">
        <f t="shared" si="1"/>
        <v>72118.965399433335</v>
      </c>
      <c r="Q14" s="33">
        <f t="shared" si="1"/>
        <v>289581.74143231672</v>
      </c>
      <c r="R14" s="35">
        <v>300000</v>
      </c>
      <c r="S14" s="35">
        <v>80000</v>
      </c>
      <c r="T14" s="35">
        <v>300000</v>
      </c>
      <c r="U14" s="35">
        <v>300000</v>
      </c>
      <c r="V14" s="56"/>
    </row>
    <row r="15" spans="1:27" s="2" customFormat="1" ht="15.75" x14ac:dyDescent="0.25">
      <c r="A15" s="1" t="s">
        <v>19</v>
      </c>
      <c r="B15" s="5">
        <v>219999.99999999997</v>
      </c>
      <c r="C15" s="5">
        <v>45249.999999999993</v>
      </c>
      <c r="D15" s="5">
        <v>862000</v>
      </c>
      <c r="E15" s="5">
        <v>172400</v>
      </c>
      <c r="F15" s="27">
        <v>37663.121972507091</v>
      </c>
      <c r="G15" s="27">
        <v>30571.850999999999</v>
      </c>
      <c r="H15" s="27">
        <v>165525</v>
      </c>
      <c r="I15" s="27">
        <v>4151641.96</v>
      </c>
      <c r="J15" s="34">
        <f t="shared" si="2"/>
        <v>40801.715470216019</v>
      </c>
      <c r="K15" s="34">
        <f t="shared" si="0"/>
        <v>33119.505250000002</v>
      </c>
      <c r="L15" s="34">
        <f t="shared" si="0"/>
        <v>179318.75</v>
      </c>
      <c r="M15" s="34">
        <f t="shared" si="0"/>
        <v>4497612.1233333331</v>
      </c>
      <c r="N15" s="33">
        <f t="shared" si="3"/>
        <v>44881.887017237626</v>
      </c>
      <c r="O15" s="33">
        <f t="shared" si="1"/>
        <v>36431.455775000002</v>
      </c>
      <c r="P15" s="33">
        <f t="shared" si="1"/>
        <v>197250.62500000003</v>
      </c>
      <c r="Q15" s="33">
        <f t="shared" si="1"/>
        <v>4947373.3356666667</v>
      </c>
      <c r="R15" s="35">
        <v>50000</v>
      </c>
      <c r="S15" s="35">
        <v>50000</v>
      </c>
      <c r="T15" s="35">
        <v>300000</v>
      </c>
      <c r="U15" s="35">
        <v>200000</v>
      </c>
      <c r="V15" s="56"/>
    </row>
    <row r="16" spans="1:27" s="2" customFormat="1" x14ac:dyDescent="0.25">
      <c r="A16" s="39" t="s">
        <v>20</v>
      </c>
      <c r="B16" s="5"/>
      <c r="C16" s="5"/>
      <c r="D16" s="5"/>
      <c r="E16" s="5"/>
      <c r="F16" s="27">
        <v>24145.854336</v>
      </c>
      <c r="G16" s="27">
        <v>19230.90119159429</v>
      </c>
      <c r="H16" s="27">
        <v>1520313.1089619999</v>
      </c>
      <c r="I16" s="27">
        <v>181170.31693999999</v>
      </c>
      <c r="J16" s="34">
        <f t="shared" si="2"/>
        <v>26158.008863999999</v>
      </c>
      <c r="K16" s="34">
        <f t="shared" si="0"/>
        <v>20833.476290893814</v>
      </c>
      <c r="L16" s="34">
        <f t="shared" si="0"/>
        <v>1647005.8680421666</v>
      </c>
      <c r="M16" s="34">
        <f t="shared" si="0"/>
        <v>196267.84335166664</v>
      </c>
      <c r="N16" s="33">
        <f t="shared" si="3"/>
        <v>28773.809750400003</v>
      </c>
      <c r="O16" s="33">
        <f t="shared" si="1"/>
        <v>22916.823919983199</v>
      </c>
      <c r="P16" s="33">
        <f t="shared" si="1"/>
        <v>1811706.4548463833</v>
      </c>
      <c r="Q16" s="33">
        <f t="shared" si="1"/>
        <v>215894.62768683332</v>
      </c>
      <c r="R16" s="35">
        <v>100000</v>
      </c>
      <c r="S16" s="35">
        <v>50000</v>
      </c>
      <c r="T16" s="35">
        <v>2000000</v>
      </c>
      <c r="U16" s="35">
        <v>300000</v>
      </c>
      <c r="V16" s="55" t="s">
        <v>57</v>
      </c>
      <c r="X16" s="2" t="s">
        <v>61</v>
      </c>
      <c r="AA16" s="58">
        <f>9000*12</f>
        <v>108000</v>
      </c>
    </row>
    <row r="17" spans="1:27" s="2" customFormat="1" ht="15.75" x14ac:dyDescent="0.25">
      <c r="A17" s="1" t="s">
        <v>21</v>
      </c>
      <c r="B17" s="5">
        <v>263999.99999999994</v>
      </c>
      <c r="C17" s="5">
        <v>90499.999999999985</v>
      </c>
      <c r="D17" s="5">
        <v>431000</v>
      </c>
      <c r="E17" s="5">
        <v>431000</v>
      </c>
      <c r="F17" s="27">
        <v>0</v>
      </c>
      <c r="G17" s="27">
        <v>7374.56</v>
      </c>
      <c r="H17" s="27">
        <v>18060.27</v>
      </c>
      <c r="I17" s="27">
        <v>0</v>
      </c>
      <c r="J17" s="34">
        <f t="shared" si="2"/>
        <v>0</v>
      </c>
      <c r="K17" s="34">
        <f t="shared" si="0"/>
        <v>7989.1066666666675</v>
      </c>
      <c r="L17" s="34">
        <f t="shared" si="0"/>
        <v>19565.2925</v>
      </c>
      <c r="M17" s="34">
        <f t="shared" si="0"/>
        <v>0</v>
      </c>
      <c r="N17" s="33">
        <f t="shared" si="3"/>
        <v>0</v>
      </c>
      <c r="O17" s="33">
        <f t="shared" si="1"/>
        <v>8788.017333333335</v>
      </c>
      <c r="P17" s="33">
        <f t="shared" si="1"/>
        <v>21521.821750000003</v>
      </c>
      <c r="Q17" s="33">
        <f t="shared" si="1"/>
        <v>0</v>
      </c>
      <c r="R17" s="35">
        <v>50000</v>
      </c>
      <c r="S17" s="35">
        <v>50000</v>
      </c>
      <c r="T17" s="35">
        <v>500000</v>
      </c>
      <c r="U17" s="35">
        <v>200000</v>
      </c>
      <c r="V17" s="56"/>
      <c r="AA17" s="59">
        <f>AA16*12</f>
        <v>1296000</v>
      </c>
    </row>
    <row r="18" spans="1:27" s="2" customFormat="1" ht="15.75" x14ac:dyDescent="0.25">
      <c r="A18" s="1" t="s">
        <v>22</v>
      </c>
      <c r="B18" s="5"/>
      <c r="C18" s="5"/>
      <c r="D18" s="5"/>
      <c r="E18" s="5"/>
      <c r="F18" s="27">
        <v>252175.32</v>
      </c>
      <c r="G18" s="27">
        <v>2498.39</v>
      </c>
      <c r="H18" s="27">
        <v>534343.27407375083</v>
      </c>
      <c r="I18" s="27">
        <v>1648818.29</v>
      </c>
      <c r="J18" s="34">
        <f t="shared" si="2"/>
        <v>273189.93</v>
      </c>
      <c r="K18" s="34">
        <f t="shared" si="0"/>
        <v>2706.5891666666666</v>
      </c>
      <c r="L18" s="34">
        <f t="shared" si="0"/>
        <v>578871.88024656335</v>
      </c>
      <c r="M18" s="34">
        <f t="shared" si="0"/>
        <v>1786219.8141666667</v>
      </c>
      <c r="N18" s="33">
        <f t="shared" si="3"/>
        <v>300508.92300000001</v>
      </c>
      <c r="O18" s="33">
        <f t="shared" si="1"/>
        <v>2977.2480833333334</v>
      </c>
      <c r="P18" s="33">
        <f t="shared" si="1"/>
        <v>636759.06827121973</v>
      </c>
      <c r="Q18" s="33">
        <f t="shared" si="1"/>
        <v>1964841.7955833336</v>
      </c>
      <c r="R18" s="35">
        <v>500000</v>
      </c>
      <c r="S18" s="35">
        <v>50000</v>
      </c>
      <c r="T18" s="35">
        <v>1000000</v>
      </c>
      <c r="U18" s="35">
        <v>300000</v>
      </c>
      <c r="V18" s="56"/>
    </row>
    <row r="19" spans="1:27" s="2" customFormat="1" ht="15.75" x14ac:dyDescent="0.25">
      <c r="A19" s="1" t="s">
        <v>23</v>
      </c>
      <c r="B19" s="5"/>
      <c r="C19" s="5"/>
      <c r="D19" s="5"/>
      <c r="E19" s="5"/>
      <c r="F19" s="27">
        <v>248847.10692400002</v>
      </c>
      <c r="G19" s="27">
        <v>51708.652393004078</v>
      </c>
      <c r="H19" s="27">
        <v>1161831.8533020001</v>
      </c>
      <c r="I19" s="27">
        <v>2184409.6723020002</v>
      </c>
      <c r="J19" s="34">
        <f t="shared" si="2"/>
        <v>269584.36583433335</v>
      </c>
      <c r="K19" s="34">
        <f t="shared" si="0"/>
        <v>56017.706759087749</v>
      </c>
      <c r="L19" s="34">
        <f t="shared" si="0"/>
        <v>1258651.1744105001</v>
      </c>
      <c r="M19" s="34">
        <f t="shared" si="0"/>
        <v>2366443.8116605002</v>
      </c>
      <c r="N19" s="33">
        <f t="shared" si="3"/>
        <v>296542.80241776671</v>
      </c>
      <c r="O19" s="33">
        <f t="shared" si="1"/>
        <v>61619.47743499653</v>
      </c>
      <c r="P19" s="33">
        <f t="shared" si="1"/>
        <v>1384516.2918515501</v>
      </c>
      <c r="Q19" s="33">
        <f t="shared" si="1"/>
        <v>2603088.1928265505</v>
      </c>
      <c r="R19" s="35">
        <v>500000</v>
      </c>
      <c r="S19" s="35">
        <v>100000</v>
      </c>
      <c r="T19" s="35">
        <v>1500000</v>
      </c>
      <c r="U19" s="35">
        <v>2000000</v>
      </c>
      <c r="V19" s="56"/>
    </row>
    <row r="20" spans="1:27" s="2" customFormat="1" ht="15.75" x14ac:dyDescent="0.25">
      <c r="A20" s="1" t="s">
        <v>24</v>
      </c>
      <c r="B20" s="5">
        <v>879999.99999999988</v>
      </c>
      <c r="C20" s="5">
        <v>135750</v>
      </c>
      <c r="D20" s="5">
        <v>6034000</v>
      </c>
      <c r="E20" s="5">
        <v>4310000</v>
      </c>
      <c r="F20" s="27">
        <v>898084.67299559771</v>
      </c>
      <c r="G20" s="27">
        <v>57284.562004796011</v>
      </c>
      <c r="H20" s="27">
        <v>1973274.3102205184</v>
      </c>
      <c r="I20" s="27">
        <v>2698891.1595179997</v>
      </c>
      <c r="J20" s="34">
        <f t="shared" si="2"/>
        <v>972925.06241189747</v>
      </c>
      <c r="K20" s="34">
        <f t="shared" si="2"/>
        <v>62058.275505195677</v>
      </c>
      <c r="L20" s="34">
        <f t="shared" si="2"/>
        <v>2137713.8360722284</v>
      </c>
      <c r="M20" s="34">
        <f t="shared" si="2"/>
        <v>2923798.7561444999</v>
      </c>
      <c r="N20" s="33">
        <f t="shared" si="3"/>
        <v>1070217.5686530874</v>
      </c>
      <c r="O20" s="33">
        <f t="shared" si="3"/>
        <v>68264.103055715255</v>
      </c>
      <c r="P20" s="33">
        <f t="shared" si="3"/>
        <v>2351485.2196794515</v>
      </c>
      <c r="Q20" s="33">
        <f t="shared" si="3"/>
        <v>3216178.6317589502</v>
      </c>
      <c r="R20" s="35">
        <v>1000000</v>
      </c>
      <c r="S20" s="35">
        <v>100000</v>
      </c>
      <c r="T20" s="35">
        <v>2500000</v>
      </c>
      <c r="U20" s="35">
        <v>1500000</v>
      </c>
      <c r="V20" s="55" t="s">
        <v>57</v>
      </c>
    </row>
    <row r="21" spans="1:27" s="2" customFormat="1" ht="15.75" x14ac:dyDescent="0.25">
      <c r="A21" s="6" t="s">
        <v>25</v>
      </c>
      <c r="B21" s="5">
        <v>1055999.9999999998</v>
      </c>
      <c r="C21" s="5">
        <v>361999.99999999994</v>
      </c>
      <c r="D21" s="5">
        <v>4310000</v>
      </c>
      <c r="E21" s="5">
        <v>1724000</v>
      </c>
      <c r="F21" s="27">
        <v>3200704.4094068538</v>
      </c>
      <c r="G21" s="27">
        <v>620696.03293996479</v>
      </c>
      <c r="H21" s="27">
        <v>8191661.1868114937</v>
      </c>
      <c r="I21" s="27">
        <v>19326277.347452</v>
      </c>
      <c r="J21" s="34">
        <f t="shared" si="2"/>
        <v>3467429.776857425</v>
      </c>
      <c r="K21" s="34">
        <f t="shared" si="2"/>
        <v>672420.70235162857</v>
      </c>
      <c r="L21" s="34">
        <f t="shared" si="2"/>
        <v>8874299.6190457847</v>
      </c>
      <c r="M21" s="34">
        <f t="shared" si="2"/>
        <v>20936800.459739666</v>
      </c>
      <c r="N21" s="33">
        <f t="shared" si="3"/>
        <v>3814172.754543168</v>
      </c>
      <c r="O21" s="33">
        <f t="shared" si="3"/>
        <v>739662.77258679154</v>
      </c>
      <c r="P21" s="33">
        <f t="shared" si="3"/>
        <v>9761729.5809503645</v>
      </c>
      <c r="Q21" s="33">
        <f t="shared" si="3"/>
        <v>23030480.505713634</v>
      </c>
      <c r="R21" s="35">
        <v>3000000</v>
      </c>
      <c r="S21" s="35">
        <v>600000</v>
      </c>
      <c r="T21" s="35">
        <v>10000000</v>
      </c>
      <c r="U21" s="35">
        <v>6000000</v>
      </c>
      <c r="V21" s="56"/>
    </row>
    <row r="22" spans="1:27" s="26" customFormat="1" ht="15.75" x14ac:dyDescent="0.25">
      <c r="A22" s="43" t="s">
        <v>26</v>
      </c>
      <c r="B22" s="25"/>
      <c r="C22" s="25"/>
      <c r="D22" s="25"/>
      <c r="E22" s="25"/>
      <c r="F22" s="28">
        <v>108942.004038</v>
      </c>
      <c r="G22" s="28">
        <v>15147.161304014071</v>
      </c>
      <c r="H22" s="28">
        <v>94126.616764000006</v>
      </c>
      <c r="I22" s="28">
        <v>800371.79401000007</v>
      </c>
      <c r="J22" s="37">
        <f t="shared" ref="J22:M28" si="4">F22/12+F22</f>
        <v>118020.5043745</v>
      </c>
      <c r="K22" s="37">
        <f t="shared" si="4"/>
        <v>16409.424746015244</v>
      </c>
      <c r="L22" s="37">
        <f t="shared" si="4"/>
        <v>101970.50149433334</v>
      </c>
      <c r="M22" s="37">
        <f t="shared" si="4"/>
        <v>867069.44351083343</v>
      </c>
      <c r="N22" s="36">
        <f t="shared" ref="N22:Q28" si="5">J22*1.1</f>
        <v>129822.55481195002</v>
      </c>
      <c r="O22" s="36">
        <f t="shared" si="5"/>
        <v>18050.367220616768</v>
      </c>
      <c r="P22" s="36">
        <f t="shared" si="5"/>
        <v>112167.55164376668</v>
      </c>
      <c r="Q22" s="36">
        <f t="shared" si="5"/>
        <v>953776.3878619168</v>
      </c>
      <c r="R22" s="38">
        <v>200000</v>
      </c>
      <c r="S22" s="38">
        <v>50000</v>
      </c>
      <c r="T22" s="38">
        <v>500000</v>
      </c>
      <c r="U22" s="38">
        <v>1000000</v>
      </c>
      <c r="V22" s="57"/>
    </row>
    <row r="23" spans="1:27" s="26" customFormat="1" ht="15.75" x14ac:dyDescent="0.25">
      <c r="A23" s="43" t="s">
        <v>27</v>
      </c>
      <c r="B23" s="25"/>
      <c r="C23" s="25"/>
      <c r="D23" s="25"/>
      <c r="E23" s="25"/>
      <c r="F23" s="28">
        <v>9643.8785880000014</v>
      </c>
      <c r="G23" s="28">
        <v>71007.539174000005</v>
      </c>
      <c r="H23" s="28">
        <v>0</v>
      </c>
      <c r="I23" s="28">
        <v>173721.10980599999</v>
      </c>
      <c r="J23" s="37">
        <f t="shared" si="4"/>
        <v>10447.535137000001</v>
      </c>
      <c r="K23" s="37">
        <f t="shared" si="4"/>
        <v>76924.834105166665</v>
      </c>
      <c r="L23" s="37">
        <f t="shared" si="4"/>
        <v>0</v>
      </c>
      <c r="M23" s="37">
        <f t="shared" si="4"/>
        <v>188197.86895649999</v>
      </c>
      <c r="N23" s="36">
        <f t="shared" si="5"/>
        <v>11492.288650700002</v>
      </c>
      <c r="O23" s="36">
        <f t="shared" si="5"/>
        <v>84617.317515683331</v>
      </c>
      <c r="P23" s="36">
        <f t="shared" si="5"/>
        <v>0</v>
      </c>
      <c r="Q23" s="36">
        <f t="shared" si="5"/>
        <v>207017.65585215</v>
      </c>
      <c r="R23" s="38">
        <v>200000</v>
      </c>
      <c r="S23" s="38">
        <v>100000</v>
      </c>
      <c r="T23" s="38">
        <v>500000</v>
      </c>
      <c r="U23" s="38">
        <v>600000</v>
      </c>
      <c r="V23" s="57"/>
    </row>
    <row r="24" spans="1:27" s="26" customFormat="1" ht="15.75" x14ac:dyDescent="0.25">
      <c r="A24" s="43" t="s">
        <v>28</v>
      </c>
      <c r="B24" s="25">
        <v>879999.99999999988</v>
      </c>
      <c r="C24" s="25">
        <v>135750</v>
      </c>
      <c r="D24" s="25">
        <v>4310000</v>
      </c>
      <c r="E24" s="25">
        <v>4310000</v>
      </c>
      <c r="F24" s="28">
        <v>776154.22679198347</v>
      </c>
      <c r="G24" s="28">
        <v>90761.43857334934</v>
      </c>
      <c r="H24" s="28">
        <v>5895228.2866099998</v>
      </c>
      <c r="I24" s="28">
        <v>6154539.3300000001</v>
      </c>
      <c r="J24" s="37">
        <f t="shared" si="4"/>
        <v>840833.74569131539</v>
      </c>
      <c r="K24" s="37">
        <f t="shared" si="4"/>
        <v>98324.891787795117</v>
      </c>
      <c r="L24" s="37">
        <f t="shared" si="4"/>
        <v>6386497.3104941668</v>
      </c>
      <c r="M24" s="37">
        <f t="shared" si="4"/>
        <v>6667417.6074999999</v>
      </c>
      <c r="N24" s="36">
        <f t="shared" si="5"/>
        <v>924917.12026044703</v>
      </c>
      <c r="O24" s="36">
        <f t="shared" si="5"/>
        <v>108157.38096657464</v>
      </c>
      <c r="P24" s="36">
        <f t="shared" si="5"/>
        <v>7025147.0415435843</v>
      </c>
      <c r="Q24" s="36">
        <f t="shared" si="5"/>
        <v>7334159.3682500003</v>
      </c>
      <c r="R24" s="38">
        <v>1000000</v>
      </c>
      <c r="S24" s="38">
        <v>150000</v>
      </c>
      <c r="T24" s="38">
        <v>8000000</v>
      </c>
      <c r="U24" s="38">
        <v>6000000</v>
      </c>
      <c r="V24" s="57"/>
    </row>
    <row r="25" spans="1:27" s="2" customFormat="1" x14ac:dyDescent="0.25">
      <c r="A25" s="40" t="s">
        <v>29</v>
      </c>
      <c r="B25" s="5">
        <v>2199999.9999999995</v>
      </c>
      <c r="C25" s="5">
        <v>180999.99999999997</v>
      </c>
      <c r="D25" s="5">
        <v>25860000</v>
      </c>
      <c r="E25" s="5">
        <v>6896000</v>
      </c>
      <c r="F25" s="27">
        <v>2515881.1712211436</v>
      </c>
      <c r="G25" s="27">
        <v>260306.6639596766</v>
      </c>
      <c r="H25" s="27">
        <v>16582833.793534001</v>
      </c>
      <c r="I25" s="27">
        <v>10567307.018693998</v>
      </c>
      <c r="J25" s="34">
        <f t="shared" si="4"/>
        <v>2725537.9354895721</v>
      </c>
      <c r="K25" s="34">
        <f t="shared" si="4"/>
        <v>281998.88595631631</v>
      </c>
      <c r="L25" s="34">
        <f t="shared" si="4"/>
        <v>17964736.609661836</v>
      </c>
      <c r="M25" s="34">
        <f t="shared" si="4"/>
        <v>11447915.936918499</v>
      </c>
      <c r="N25" s="33">
        <f t="shared" si="5"/>
        <v>2998091.7290385296</v>
      </c>
      <c r="O25" s="33">
        <f t="shared" si="5"/>
        <v>310198.77455194795</v>
      </c>
      <c r="P25" s="33">
        <f t="shared" si="5"/>
        <v>19761210.27062802</v>
      </c>
      <c r="Q25" s="33">
        <f t="shared" si="5"/>
        <v>12592707.530610349</v>
      </c>
      <c r="R25" s="35">
        <v>3000000</v>
      </c>
      <c r="S25" s="35">
        <v>250000</v>
      </c>
      <c r="T25" s="35">
        <v>20000000</v>
      </c>
      <c r="U25" s="35">
        <v>6000000</v>
      </c>
      <c r="V25" s="56"/>
    </row>
    <row r="26" spans="1:27" s="26" customFormat="1" ht="15.75" x14ac:dyDescent="0.25">
      <c r="A26" s="43" t="s">
        <v>30</v>
      </c>
      <c r="B26" s="25">
        <v>87999.999999999985</v>
      </c>
      <c r="C26" s="25">
        <v>135750</v>
      </c>
      <c r="D26" s="25">
        <v>431000</v>
      </c>
      <c r="E26" s="25">
        <v>431000</v>
      </c>
      <c r="F26" s="28">
        <v>20280</v>
      </c>
      <c r="G26" s="28">
        <v>35109.584246372811</v>
      </c>
      <c r="H26" s="28">
        <v>0</v>
      </c>
      <c r="I26" s="28">
        <v>0</v>
      </c>
      <c r="J26" s="37">
        <f t="shared" si="4"/>
        <v>21970</v>
      </c>
      <c r="K26" s="37">
        <f t="shared" si="4"/>
        <v>38035.382933570545</v>
      </c>
      <c r="L26" s="37">
        <f t="shared" si="4"/>
        <v>0</v>
      </c>
      <c r="M26" s="37">
        <f t="shared" si="4"/>
        <v>0</v>
      </c>
      <c r="N26" s="36">
        <f t="shared" si="5"/>
        <v>24167.000000000004</v>
      </c>
      <c r="O26" s="36">
        <f t="shared" si="5"/>
        <v>41838.921226927603</v>
      </c>
      <c r="P26" s="36">
        <f t="shared" si="5"/>
        <v>0</v>
      </c>
      <c r="Q26" s="36">
        <f t="shared" si="5"/>
        <v>0</v>
      </c>
      <c r="R26" s="38">
        <v>500000</v>
      </c>
      <c r="S26" s="38">
        <v>150000</v>
      </c>
      <c r="T26" s="38">
        <v>1000000</v>
      </c>
      <c r="U26" s="38">
        <v>2000000</v>
      </c>
      <c r="V26" s="57"/>
    </row>
    <row r="27" spans="1:27" s="2" customFormat="1" ht="15.75" x14ac:dyDescent="0.25">
      <c r="A27" s="6" t="s">
        <v>55</v>
      </c>
      <c r="B27" s="5"/>
      <c r="C27" s="5"/>
      <c r="D27" s="5"/>
      <c r="E27" s="5"/>
      <c r="F27" s="27">
        <v>300000</v>
      </c>
      <c r="G27" s="27">
        <v>50000</v>
      </c>
      <c r="H27" s="27">
        <v>1000000</v>
      </c>
      <c r="I27" s="27">
        <v>150000</v>
      </c>
      <c r="J27" s="42"/>
      <c r="K27" s="42"/>
      <c r="L27" s="42"/>
      <c r="M27" s="42"/>
      <c r="N27" s="41"/>
      <c r="O27" s="41"/>
      <c r="P27" s="41"/>
      <c r="Q27" s="41"/>
      <c r="R27" s="5">
        <v>4000000</v>
      </c>
      <c r="S27" s="5">
        <v>800000</v>
      </c>
      <c r="T27" s="5">
        <v>8000000</v>
      </c>
      <c r="U27" s="5">
        <v>8000000</v>
      </c>
      <c r="V27" s="56"/>
    </row>
    <row r="28" spans="1:27" s="2" customFormat="1" ht="16.5" thickBot="1" x14ac:dyDescent="0.3">
      <c r="A28" s="10" t="s">
        <v>31</v>
      </c>
      <c r="B28" s="11">
        <f t="shared" ref="B28:I28" si="6">SUM(B4:B26)</f>
        <v>16675999.999999998</v>
      </c>
      <c r="C28" s="11">
        <f t="shared" si="6"/>
        <v>3276099.9999999995</v>
      </c>
      <c r="D28" s="11">
        <f t="shared" si="6"/>
        <v>65037900</v>
      </c>
      <c r="E28" s="11">
        <f t="shared" si="6"/>
        <v>36591900</v>
      </c>
      <c r="F28" s="11">
        <f t="shared" si="6"/>
        <v>18150287.053498745</v>
      </c>
      <c r="G28" s="11">
        <f t="shared" si="6"/>
        <v>2770068.9147755834</v>
      </c>
      <c r="H28" s="11">
        <f t="shared" si="6"/>
        <v>53438005.831105947</v>
      </c>
      <c r="I28" s="11">
        <f t="shared" si="6"/>
        <v>86753149.125863999</v>
      </c>
      <c r="J28" s="12">
        <f t="shared" si="4"/>
        <v>19662810.974623639</v>
      </c>
      <c r="K28" s="12">
        <f t="shared" si="4"/>
        <v>3000907.9910068819</v>
      </c>
      <c r="L28" s="12">
        <f t="shared" si="4"/>
        <v>57891172.983698107</v>
      </c>
      <c r="M28" s="12">
        <f t="shared" si="4"/>
        <v>93982578.219686002</v>
      </c>
      <c r="N28" s="12">
        <f t="shared" si="5"/>
        <v>21629092.072086006</v>
      </c>
      <c r="O28" s="12">
        <f t="shared" si="5"/>
        <v>3300998.7901075706</v>
      </c>
      <c r="P28" s="12">
        <f t="shared" si="5"/>
        <v>63680290.282067925</v>
      </c>
      <c r="Q28" s="12">
        <f t="shared" si="5"/>
        <v>103380836.04165462</v>
      </c>
      <c r="R28" s="13">
        <f>SUM(R4:R27)</f>
        <v>25750000</v>
      </c>
      <c r="S28" s="13">
        <f>SUM(S4:S27)</f>
        <v>4350000</v>
      </c>
      <c r="T28" s="13">
        <f>SUM(T4:T27)</f>
        <v>78000000</v>
      </c>
      <c r="U28" s="13">
        <f>SUM(U4:U27)</f>
        <v>60000000</v>
      </c>
    </row>
    <row r="29" spans="1:27" s="2" customFormat="1" ht="15.75" thickTop="1" x14ac:dyDescent="0.25">
      <c r="R29" s="7">
        <v>5.0000000000000001E-3</v>
      </c>
      <c r="S29" s="7">
        <v>0.03</v>
      </c>
      <c r="T29" s="7">
        <v>5.0000000000000001E-4</v>
      </c>
      <c r="U29" s="7">
        <v>5.0000000000000001E-4</v>
      </c>
    </row>
    <row r="30" spans="1:27" s="2" customFormat="1" x14ac:dyDescent="0.25">
      <c r="R30" s="8">
        <f t="shared" ref="R30:T30" si="7">R28*R29</f>
        <v>128750</v>
      </c>
      <c r="S30" s="8">
        <f t="shared" si="7"/>
        <v>130500</v>
      </c>
      <c r="T30" s="8">
        <f t="shared" si="7"/>
        <v>39000</v>
      </c>
      <c r="U30" s="8">
        <f>U28*U29</f>
        <v>30000</v>
      </c>
    </row>
    <row r="31" spans="1:27" s="2" customFormat="1" x14ac:dyDescent="0.25">
      <c r="R31" s="9">
        <f>12500*12</f>
        <v>150000</v>
      </c>
      <c r="S31" s="9"/>
      <c r="T31" s="9"/>
      <c r="U31" s="9"/>
    </row>
    <row r="32" spans="1:27" s="2" customFormat="1" x14ac:dyDescent="0.25">
      <c r="R32" s="8">
        <f>SUM(R30:U31)</f>
        <v>478250</v>
      </c>
      <c r="S32" s="9"/>
      <c r="T32" s="9"/>
      <c r="U32" s="9"/>
    </row>
    <row r="33" spans="1:21" s="2" customFormat="1" x14ac:dyDescent="0.25">
      <c r="R33" s="8">
        <f>R32/12</f>
        <v>39854.166666666664</v>
      </c>
      <c r="S33" s="9"/>
      <c r="T33" s="9"/>
      <c r="U33" s="9"/>
    </row>
    <row r="37" spans="1:21" ht="15.75" x14ac:dyDescent="0.25">
      <c r="A37" s="60"/>
      <c r="B37" s="61"/>
      <c r="C37" s="88"/>
      <c r="D37" s="89"/>
      <c r="E37" s="89"/>
      <c r="F37" s="90"/>
      <c r="G37" s="90"/>
      <c r="H37" s="91"/>
      <c r="I37" s="92" t="s">
        <v>3</v>
      </c>
      <c r="J37" s="93" t="s">
        <v>4</v>
      </c>
      <c r="K37" s="94" t="s">
        <v>8</v>
      </c>
      <c r="L37" s="95" t="s">
        <v>76</v>
      </c>
    </row>
    <row r="38" spans="1:21" x14ac:dyDescent="0.25">
      <c r="A38" s="60" t="s">
        <v>9</v>
      </c>
      <c r="B38" s="61" t="s">
        <v>62</v>
      </c>
      <c r="C38" s="62" t="e">
        <f>IF(#REF!=0,0%,IF(F38=0,100%,#REF!/F38-1))</f>
        <v>#REF!</v>
      </c>
      <c r="D38" s="63" t="e">
        <f>IF(#REF!=0,0%,IF(G38=0,100%,#REF!/G38-1))</f>
        <v>#REF!</v>
      </c>
      <c r="E38" s="63" t="e">
        <f>IF(#REF!=0,0%,IF(H38=0,100%,#REF!/H38-1))</f>
        <v>#REF!</v>
      </c>
      <c r="F38" s="64"/>
      <c r="G38" s="64"/>
      <c r="H38" s="65"/>
      <c r="I38" s="66">
        <v>1600000</v>
      </c>
      <c r="J38" s="67">
        <v>170000</v>
      </c>
      <c r="K38" s="67">
        <v>2500000</v>
      </c>
      <c r="L38" s="68">
        <v>5000000</v>
      </c>
    </row>
    <row r="39" spans="1:21" x14ac:dyDescent="0.25">
      <c r="A39" s="69" t="s">
        <v>63</v>
      </c>
      <c r="B39" s="61" t="s">
        <v>62</v>
      </c>
      <c r="C39" s="62" t="e">
        <f>IF(#REF!=0,0%,IF(F39=0,100%,#REF!/F39-1))</f>
        <v>#REF!</v>
      </c>
      <c r="D39" s="63" t="e">
        <f>IF(#REF!=0,0%,IF(G39=0,100%,#REF!/G39-1))</f>
        <v>#REF!</v>
      </c>
      <c r="E39" s="63" t="e">
        <f>IF(#REF!=0,0%,IF(H39=0,100%,#REF!/H39-1))</f>
        <v>#REF!</v>
      </c>
      <c r="F39" s="64"/>
      <c r="G39" s="64"/>
      <c r="H39" s="65"/>
      <c r="I39" s="66">
        <v>0</v>
      </c>
      <c r="J39" s="67">
        <v>0</v>
      </c>
      <c r="K39" s="67">
        <v>0</v>
      </c>
      <c r="L39" s="68">
        <v>0</v>
      </c>
    </row>
    <row r="40" spans="1:21" x14ac:dyDescent="0.25">
      <c r="A40" s="60" t="s">
        <v>64</v>
      </c>
      <c r="B40" s="61" t="s">
        <v>62</v>
      </c>
      <c r="C40" s="62" t="e">
        <f>IF(#REF!=0,0%,IF(F40=0,100%,#REF!/F40-1))</f>
        <v>#REF!</v>
      </c>
      <c r="D40" s="63" t="e">
        <f>IF(#REF!=0,0%,IF(G40=0,100%,#REF!/G40-1))</f>
        <v>#REF!</v>
      </c>
      <c r="E40" s="63" t="e">
        <f>IF(#REF!=0,0%,IF(H40=0,100%,#REF!/H40-1))</f>
        <v>#REF!</v>
      </c>
      <c r="F40" s="64"/>
      <c r="G40" s="64"/>
      <c r="H40" s="65"/>
      <c r="I40" s="66">
        <v>0</v>
      </c>
      <c r="J40" s="67">
        <v>0</v>
      </c>
      <c r="K40" s="67">
        <v>0</v>
      </c>
      <c r="L40" s="68">
        <v>0</v>
      </c>
    </row>
    <row r="41" spans="1:21" x14ac:dyDescent="0.25">
      <c r="A41" s="69" t="s">
        <v>25</v>
      </c>
      <c r="B41" s="61" t="s">
        <v>62</v>
      </c>
      <c r="C41" s="62" t="e">
        <f>IF(#REF!=0,0%,IF(F41=0,100%,#REF!/F41-1))</f>
        <v>#REF!</v>
      </c>
      <c r="D41" s="63" t="e">
        <f>IF(#REF!=0,0%,IF(G41=0,100%,#REF!/G41-1))</f>
        <v>#REF!</v>
      </c>
      <c r="E41" s="63" t="e">
        <f>IF(#REF!=0,0%,IF(H41=0,100%,#REF!/H41-1))</f>
        <v>#REF!</v>
      </c>
      <c r="F41" s="64"/>
      <c r="G41" s="64"/>
      <c r="H41" s="65"/>
      <c r="I41" s="66">
        <v>3000000</v>
      </c>
      <c r="J41" s="67">
        <v>600000</v>
      </c>
      <c r="K41" s="67">
        <v>10000000</v>
      </c>
      <c r="L41" s="68">
        <v>6000000</v>
      </c>
    </row>
    <row r="42" spans="1:21" ht="15.75" x14ac:dyDescent="0.25">
      <c r="A42" s="70" t="s">
        <v>29</v>
      </c>
      <c r="B42" s="61" t="s">
        <v>62</v>
      </c>
      <c r="C42" s="62" t="e">
        <f>IF(#REF!=0,0%,IF(F42=0,100%,#REF!/F42-1))</f>
        <v>#REF!</v>
      </c>
      <c r="D42" s="63" t="e">
        <f>IF(#REF!=0,0%,IF(G42=0,100%,#REF!/G42-1))</f>
        <v>#REF!</v>
      </c>
      <c r="E42" s="63" t="e">
        <f>IF(#REF!=0,0%,IF(H42=0,100%,#REF!/H42-1))</f>
        <v>#REF!</v>
      </c>
      <c r="F42" s="64"/>
      <c r="G42" s="64"/>
      <c r="H42" s="65"/>
      <c r="I42" s="66">
        <v>3000000</v>
      </c>
      <c r="J42" s="67">
        <v>250000</v>
      </c>
      <c r="K42" s="67">
        <v>20000000</v>
      </c>
      <c r="L42" s="68">
        <v>6000000</v>
      </c>
    </row>
    <row r="43" spans="1:21" x14ac:dyDescent="0.25">
      <c r="A43" s="60" t="s">
        <v>28</v>
      </c>
      <c r="B43" s="61" t="s">
        <v>62</v>
      </c>
      <c r="C43" s="62" t="e">
        <f>IF(#REF!=0,0%,IF(F43=0,100%,#REF!/F43-1))</f>
        <v>#REF!</v>
      </c>
      <c r="D43" s="63" t="e">
        <f>IF(#REF!=0,0%,IF(G43=0,100%,#REF!/G43-1))</f>
        <v>#REF!</v>
      </c>
      <c r="E43" s="63" t="e">
        <f>IF(#REF!=0,0%,IF(H43=0,100%,#REF!/H43-1))</f>
        <v>#REF!</v>
      </c>
      <c r="F43" s="64"/>
      <c r="G43" s="64"/>
      <c r="H43" s="65"/>
      <c r="I43" s="66">
        <v>1000000</v>
      </c>
      <c r="J43" s="67">
        <v>150000</v>
      </c>
      <c r="K43" s="67">
        <v>8000000</v>
      </c>
      <c r="L43" s="68">
        <v>6000000</v>
      </c>
    </row>
    <row r="44" spans="1:21" x14ac:dyDescent="0.25">
      <c r="A44" s="60" t="s">
        <v>30</v>
      </c>
      <c r="B44" s="61" t="s">
        <v>62</v>
      </c>
      <c r="C44" s="62" t="e">
        <f>IF(#REF!=0,0%,IF(F44=0,100%,#REF!/F44-1))</f>
        <v>#REF!</v>
      </c>
      <c r="D44" s="63" t="e">
        <f>IF(#REF!=0,0%,IF(G44=0,100%,#REF!/G44-1))</f>
        <v>#REF!</v>
      </c>
      <c r="E44" s="63" t="e">
        <f>IF(#REF!=0,0%,IF(H44=0,100%,#REF!/H44-1))</f>
        <v>#REF!</v>
      </c>
      <c r="F44" s="64"/>
      <c r="G44" s="64"/>
      <c r="H44" s="65"/>
      <c r="I44" s="66">
        <v>500000</v>
      </c>
      <c r="J44" s="67">
        <v>150000</v>
      </c>
      <c r="K44" s="67">
        <v>1000000</v>
      </c>
      <c r="L44" s="68">
        <v>2000000</v>
      </c>
    </row>
    <row r="45" spans="1:21" x14ac:dyDescent="0.25">
      <c r="A45" s="60" t="s">
        <v>65</v>
      </c>
      <c r="B45" s="61" t="s">
        <v>62</v>
      </c>
      <c r="C45" s="62" t="e">
        <f>IF(#REF!=0,0%,IF(F45=0,100%,#REF!/F45-1))</f>
        <v>#REF!</v>
      </c>
      <c r="D45" s="63" t="e">
        <f>IF(#REF!=0,0%,IF(G45=0,100%,#REF!/G45-1))</f>
        <v>#REF!</v>
      </c>
      <c r="E45" s="63" t="e">
        <f>IF(#REF!=0,0%,IF(H45=0,100%,#REF!/H45-1))</f>
        <v>#REF!</v>
      </c>
      <c r="F45" s="64"/>
      <c r="G45" s="64"/>
      <c r="H45" s="65"/>
      <c r="I45" s="66">
        <v>0</v>
      </c>
      <c r="J45" s="67">
        <v>0</v>
      </c>
      <c r="K45" s="67">
        <v>0</v>
      </c>
      <c r="L45" s="68">
        <v>0</v>
      </c>
    </row>
    <row r="46" spans="1:21" x14ac:dyDescent="0.25">
      <c r="A46" s="60" t="s">
        <v>18</v>
      </c>
      <c r="B46" s="61" t="s">
        <v>62</v>
      </c>
      <c r="C46" s="62" t="e">
        <f>IF(#REF!=0,0%,IF(F46=0,100%,#REF!/F46-1))</f>
        <v>#REF!</v>
      </c>
      <c r="D46" s="63" t="e">
        <f>IF(#REF!=0,0%,IF(G46=0,100%,#REF!/G46-1))</f>
        <v>#REF!</v>
      </c>
      <c r="E46" s="63" t="e">
        <f>IF(#REF!=0,0%,IF(H46=0,100%,#REF!/H46-1))</f>
        <v>#REF!</v>
      </c>
      <c r="F46" s="64"/>
      <c r="G46" s="64"/>
      <c r="H46" s="65"/>
      <c r="I46" s="66">
        <v>300000</v>
      </c>
      <c r="J46" s="67">
        <v>80000</v>
      </c>
      <c r="K46" s="67">
        <v>300000</v>
      </c>
      <c r="L46" s="68">
        <v>300000</v>
      </c>
    </row>
    <row r="47" spans="1:21" x14ac:dyDescent="0.25">
      <c r="A47" s="60" t="s">
        <v>66</v>
      </c>
      <c r="B47" s="61" t="s">
        <v>62</v>
      </c>
      <c r="C47" s="62" t="e">
        <f>IF(#REF!=0,0%,IF(F47=0,100%,#REF!/F47-1))</f>
        <v>#REF!</v>
      </c>
      <c r="D47" s="63" t="e">
        <f>IF(#REF!=0,0%,IF(G47=0,100%,#REF!/G47-1))</f>
        <v>#REF!</v>
      </c>
      <c r="E47" s="63" t="e">
        <f>IF(#REF!=0,0%,IF(H47=0,100%,#REF!/H47-1))</f>
        <v>#REF!</v>
      </c>
      <c r="F47" s="64"/>
      <c r="G47" s="64"/>
      <c r="H47" s="65"/>
      <c r="I47" s="66">
        <v>0</v>
      </c>
      <c r="J47" s="67">
        <v>0</v>
      </c>
      <c r="K47" s="67">
        <v>0</v>
      </c>
      <c r="L47" s="68">
        <v>0</v>
      </c>
    </row>
    <row r="48" spans="1:21" x14ac:dyDescent="0.25">
      <c r="A48" s="60" t="s">
        <v>19</v>
      </c>
      <c r="B48" s="61" t="s">
        <v>62</v>
      </c>
      <c r="C48" s="62" t="e">
        <f>IF(#REF!=0,0%,IF(F48=0,100%,#REF!/F48-1))</f>
        <v>#REF!</v>
      </c>
      <c r="D48" s="63" t="e">
        <f>IF(#REF!=0,0%,IF(G48=0,100%,#REF!/G48-1))</f>
        <v>#REF!</v>
      </c>
      <c r="E48" s="63" t="e">
        <f>IF(#REF!=0,0%,IF(H48=0,100%,#REF!/H48-1))</f>
        <v>#REF!</v>
      </c>
      <c r="F48" s="64"/>
      <c r="G48" s="64"/>
      <c r="H48" s="65"/>
      <c r="I48" s="66">
        <v>50000</v>
      </c>
      <c r="J48" s="67">
        <v>50000</v>
      </c>
      <c r="K48" s="67">
        <v>300000</v>
      </c>
      <c r="L48" s="68">
        <v>200000</v>
      </c>
    </row>
    <row r="49" spans="1:12" x14ac:dyDescent="0.25">
      <c r="A49" s="69" t="s">
        <v>10</v>
      </c>
      <c r="B49" s="61" t="s">
        <v>62</v>
      </c>
      <c r="C49" s="62" t="e">
        <f>IF(#REF!=0,0%,IF(F49=0,100%,#REF!/F49-1))</f>
        <v>#REF!</v>
      </c>
      <c r="D49" s="63" t="e">
        <f>IF(#REF!=0,0%,IF(G49=0,100%,#REF!/G49-1))</f>
        <v>#REF!</v>
      </c>
      <c r="E49" s="63" t="e">
        <f>IF(#REF!=0,0%,IF(H49=0,100%,#REF!/H49-1))</f>
        <v>#REF!</v>
      </c>
      <c r="F49" s="64"/>
      <c r="G49" s="64"/>
      <c r="H49" s="65"/>
      <c r="I49" s="66">
        <v>100000</v>
      </c>
      <c r="J49" s="67">
        <v>50000</v>
      </c>
      <c r="K49" s="67">
        <v>300000</v>
      </c>
      <c r="L49" s="68">
        <v>100000</v>
      </c>
    </row>
    <row r="50" spans="1:12" x14ac:dyDescent="0.25">
      <c r="A50" s="69" t="s">
        <v>11</v>
      </c>
      <c r="B50" s="61" t="s">
        <v>62</v>
      </c>
      <c r="C50" s="62" t="e">
        <f>IF(#REF!=0,0%,IF(F50=0,100%,#REF!/F50-1))</f>
        <v>#REF!</v>
      </c>
      <c r="D50" s="63" t="e">
        <f>IF(#REF!=0,0%,IF(G50=0,100%,#REF!/G50-1))</f>
        <v>#REF!</v>
      </c>
      <c r="E50" s="63" t="e">
        <f>IF(#REF!=0,0%,IF(H50=0,100%,#REF!/H50-1))</f>
        <v>#REF!</v>
      </c>
      <c r="F50" s="64"/>
      <c r="G50" s="64"/>
      <c r="H50" s="65"/>
      <c r="I50" s="66">
        <v>2500000</v>
      </c>
      <c r="J50" s="67">
        <v>300000</v>
      </c>
      <c r="K50" s="67">
        <v>3000000</v>
      </c>
      <c r="L50" s="68">
        <v>4000000</v>
      </c>
    </row>
    <row r="51" spans="1:12" x14ac:dyDescent="0.25">
      <c r="A51" s="69" t="s">
        <v>12</v>
      </c>
      <c r="B51" s="61" t="s">
        <v>62</v>
      </c>
      <c r="C51" s="62" t="e">
        <f>IF(#REF!=0,0%,IF(F51=0,100%,#REF!/F51-1))</f>
        <v>#REF!</v>
      </c>
      <c r="D51" s="63" t="e">
        <f>IF(#REF!=0,0%,IF(G51=0,100%,#REF!/G51-1))</f>
        <v>#REF!</v>
      </c>
      <c r="E51" s="63" t="e">
        <f>IF(#REF!=0,0%,IF(H51=0,100%,#REF!/H51-1))</f>
        <v>#REF!</v>
      </c>
      <c r="F51" s="64"/>
      <c r="G51" s="64"/>
      <c r="H51" s="65"/>
      <c r="I51" s="66">
        <v>300000</v>
      </c>
      <c r="J51" s="67">
        <v>200000</v>
      </c>
      <c r="K51" s="67">
        <v>100000</v>
      </c>
      <c r="L51" s="68">
        <v>200000</v>
      </c>
    </row>
    <row r="52" spans="1:12" x14ac:dyDescent="0.25">
      <c r="A52" s="69" t="s">
        <v>13</v>
      </c>
      <c r="B52" s="61" t="s">
        <v>62</v>
      </c>
      <c r="C52" s="62" t="e">
        <f>IF(#REF!=0,0%,IF(F52=0,100%,#REF!/F52-1))</f>
        <v>#REF!</v>
      </c>
      <c r="D52" s="63" t="e">
        <f>IF(#REF!=0,0%,IF(G52=0,100%,#REF!/G52-1))</f>
        <v>#REF!</v>
      </c>
      <c r="E52" s="63" t="e">
        <f>IF(#REF!=0,0%,IF(H52=0,100%,#REF!/H52-1))</f>
        <v>#REF!</v>
      </c>
      <c r="F52" s="64"/>
      <c r="G52" s="64"/>
      <c r="H52" s="65"/>
      <c r="I52" s="66">
        <v>300000</v>
      </c>
      <c r="J52" s="67">
        <v>150000</v>
      </c>
      <c r="K52" s="67">
        <v>1500000</v>
      </c>
      <c r="L52" s="68">
        <v>300000</v>
      </c>
    </row>
    <row r="53" spans="1:12" x14ac:dyDescent="0.25">
      <c r="A53" s="60" t="s">
        <v>14</v>
      </c>
      <c r="B53" s="61" t="s">
        <v>62</v>
      </c>
      <c r="C53" s="62" t="e">
        <f>IF(#REF!=0,0%,IF(F53=0,100%,#REF!/F53-1))</f>
        <v>#REF!</v>
      </c>
      <c r="D53" s="63" t="e">
        <f>IF(#REF!=0,0%,IF(G53=0,100%,#REF!/G53-1))</f>
        <v>#REF!</v>
      </c>
      <c r="E53" s="63" t="e">
        <f>IF(#REF!=0,0%,IF(H53=0,100%,#REF!/H53-1))</f>
        <v>#REF!</v>
      </c>
      <c r="F53" s="64"/>
      <c r="G53" s="64"/>
      <c r="H53" s="65"/>
      <c r="I53" s="66">
        <v>1750000</v>
      </c>
      <c r="J53" s="67">
        <v>150000</v>
      </c>
      <c r="K53" s="67">
        <v>3000000</v>
      </c>
      <c r="L53" s="68">
        <v>5000000</v>
      </c>
    </row>
    <row r="54" spans="1:12" x14ac:dyDescent="0.25">
      <c r="A54" s="60" t="s">
        <v>15</v>
      </c>
      <c r="B54" s="61" t="s">
        <v>62</v>
      </c>
      <c r="C54" s="62" t="e">
        <f>IF(#REF!=0,0%,IF(F54=0,100%,#REF!/F54-1))</f>
        <v>#REF!</v>
      </c>
      <c r="D54" s="63" t="e">
        <f>IF(#REF!=0,0%,IF(G54=0,100%,#REF!/G54-1))</f>
        <v>#REF!</v>
      </c>
      <c r="E54" s="63" t="e">
        <f>IF(#REF!=0,0%,IF(H54=0,100%,#REF!/H54-1))</f>
        <v>#REF!</v>
      </c>
      <c r="F54" s="64"/>
      <c r="G54" s="64"/>
      <c r="H54" s="65"/>
      <c r="I54" s="66">
        <v>1000000</v>
      </c>
      <c r="J54" s="67">
        <v>200000</v>
      </c>
      <c r="K54" s="67">
        <v>4000000</v>
      </c>
      <c r="L54" s="68">
        <v>2500000</v>
      </c>
    </row>
    <row r="55" spans="1:12" x14ac:dyDescent="0.25">
      <c r="A55" s="60" t="s">
        <v>67</v>
      </c>
      <c r="B55" s="61" t="s">
        <v>62</v>
      </c>
      <c r="C55" s="62" t="e">
        <f>IF(#REF!=0,0%,IF(F55=0,100%,#REF!/F55-1))</f>
        <v>#REF!</v>
      </c>
      <c r="D55" s="63" t="e">
        <f>IF(#REF!=0,0%,IF(G55=0,100%,#REF!/G55-1))</f>
        <v>#REF!</v>
      </c>
      <c r="E55" s="63" t="e">
        <f>IF(#REF!=0,0%,IF(H55=0,100%,#REF!/H55-1))</f>
        <v>#REF!</v>
      </c>
      <c r="F55" s="64"/>
      <c r="G55" s="64"/>
      <c r="H55" s="65"/>
      <c r="I55" s="66">
        <v>0</v>
      </c>
      <c r="J55" s="67">
        <v>0</v>
      </c>
      <c r="K55" s="67">
        <v>0</v>
      </c>
      <c r="L55" s="68">
        <v>0</v>
      </c>
    </row>
    <row r="56" spans="1:12" x14ac:dyDescent="0.25">
      <c r="A56" s="71" t="s">
        <v>68</v>
      </c>
      <c r="B56" s="61" t="s">
        <v>62</v>
      </c>
      <c r="C56" s="62" t="e">
        <f>IF(#REF!=0,0%,IF(F56=0,100%,#REF!/F56-1))</f>
        <v>#REF!</v>
      </c>
      <c r="D56" s="63" t="e">
        <f>IF(#REF!=0,0%,IF(G56=0,100%,#REF!/G56-1))</f>
        <v>#REF!</v>
      </c>
      <c r="E56" s="63" t="e">
        <f>IF(#REF!=0,0%,IF(H56=0,100%,#REF!/H56-1))</f>
        <v>#REF!</v>
      </c>
      <c r="F56" s="64"/>
      <c r="G56" s="64"/>
      <c r="H56" s="65"/>
      <c r="I56" s="66"/>
      <c r="J56" s="67"/>
      <c r="K56" s="67"/>
      <c r="L56" s="68"/>
    </row>
    <row r="57" spans="1:12" x14ac:dyDescent="0.25">
      <c r="A57" s="71" t="s">
        <v>69</v>
      </c>
      <c r="B57" s="61" t="s">
        <v>62</v>
      </c>
      <c r="C57" s="62" t="e">
        <f>IF(#REF!=0,0%,IF(F57=0,100%,#REF!/F57-1))</f>
        <v>#REF!</v>
      </c>
      <c r="D57" s="63" t="e">
        <f>IF(#REF!=0,0%,IF(G57=0,100%,#REF!/G57-1))</f>
        <v>#REF!</v>
      </c>
      <c r="E57" s="63" t="e">
        <f>IF(#REF!=0,0%,IF(H57=0,100%,#REF!/H57-1))</f>
        <v>#REF!</v>
      </c>
      <c r="F57" s="64"/>
      <c r="G57" s="64"/>
      <c r="H57" s="65"/>
      <c r="I57" s="66"/>
      <c r="J57" s="67"/>
      <c r="K57" s="67"/>
      <c r="L57" s="68"/>
    </row>
    <row r="58" spans="1:12" x14ac:dyDescent="0.25">
      <c r="A58" s="69" t="s">
        <v>16</v>
      </c>
      <c r="B58" s="61" t="s">
        <v>62</v>
      </c>
      <c r="C58" s="62" t="e">
        <f>IF(#REF!=0,0%,IF(F58=0,100%,#REF!/F58-1))</f>
        <v>#REF!</v>
      </c>
      <c r="D58" s="63" t="e">
        <f>IF(#REF!=0,0%,IF(G58=0,100%,#REF!/G58-1))</f>
        <v>#REF!</v>
      </c>
      <c r="E58" s="63" t="e">
        <f>IF(#REF!=0,0%,IF(H58=0,100%,#REF!/H58-1))</f>
        <v>#REF!</v>
      </c>
      <c r="F58" s="64"/>
      <c r="G58" s="64"/>
      <c r="H58" s="65"/>
      <c r="I58" s="66">
        <v>2500000</v>
      </c>
      <c r="J58" s="67">
        <v>450000</v>
      </c>
      <c r="K58" s="67">
        <v>6000000</v>
      </c>
      <c r="L58" s="68">
        <v>4000000</v>
      </c>
    </row>
    <row r="59" spans="1:12" x14ac:dyDescent="0.25">
      <c r="A59" s="71" t="s">
        <v>70</v>
      </c>
      <c r="B59" s="61" t="s">
        <v>62</v>
      </c>
      <c r="C59" s="62" t="e">
        <f>IF(#REF!=0,0%,IF(F59=0,100%,#REF!/F59-1))</f>
        <v>#REF!</v>
      </c>
      <c r="D59" s="63" t="e">
        <f>IF(#REF!=0,0%,IF(G59=0,100%,#REF!/G59-1))</f>
        <v>#REF!</v>
      </c>
      <c r="E59" s="63" t="e">
        <f>IF(#REF!=0,0%,IF(H59=0,100%,#REF!/H59-1))</f>
        <v>#REF!</v>
      </c>
      <c r="F59" s="64"/>
      <c r="G59" s="64"/>
      <c r="H59" s="65"/>
      <c r="I59" s="66"/>
      <c r="J59" s="67"/>
      <c r="K59" s="67"/>
      <c r="L59" s="68"/>
    </row>
    <row r="60" spans="1:12" x14ac:dyDescent="0.25">
      <c r="A60" s="71" t="s">
        <v>71</v>
      </c>
      <c r="B60" s="61" t="s">
        <v>62</v>
      </c>
      <c r="C60" s="62" t="e">
        <f>IF(#REF!=0,0%,IF(F60=0,100%,#REF!/F60-1))</f>
        <v>#REF!</v>
      </c>
      <c r="D60" s="63" t="e">
        <f>IF(#REF!=0,0%,IF(G60=0,100%,#REF!/G60-1))</f>
        <v>#REF!</v>
      </c>
      <c r="E60" s="63" t="e">
        <f>IF(#REF!=0,0%,IF(H60=0,100%,#REF!/H60-1))</f>
        <v>#REF!</v>
      </c>
      <c r="F60" s="64"/>
      <c r="G60" s="64"/>
      <c r="H60" s="65"/>
      <c r="I60" s="66"/>
      <c r="J60" s="67"/>
      <c r="K60" s="67"/>
      <c r="L60" s="68"/>
    </row>
    <row r="61" spans="1:12" x14ac:dyDescent="0.25">
      <c r="A61" s="71" t="s">
        <v>61</v>
      </c>
      <c r="B61" s="61" t="s">
        <v>62</v>
      </c>
      <c r="C61" s="62" t="e">
        <f>IF(#REF!=0,0%,IF(F61=0,100%,#REF!/F61-1))</f>
        <v>#REF!</v>
      </c>
      <c r="D61" s="63" t="e">
        <f>IF(#REF!=0,0%,IF(G61=0,100%,#REF!/G61-1))</f>
        <v>#REF!</v>
      </c>
      <c r="E61" s="63" t="e">
        <f>IF(#REF!=0,0%,IF(H61=0,100%,#REF!/H61-1))</f>
        <v>#REF!</v>
      </c>
      <c r="F61" s="64"/>
      <c r="G61" s="64"/>
      <c r="H61" s="65"/>
      <c r="I61" s="66"/>
      <c r="J61" s="67"/>
      <c r="K61" s="67"/>
      <c r="L61" s="68"/>
    </row>
    <row r="62" spans="1:12" x14ac:dyDescent="0.25">
      <c r="A62" s="71" t="s">
        <v>72</v>
      </c>
      <c r="B62" s="72" t="s">
        <v>62</v>
      </c>
      <c r="C62" s="73" t="e">
        <f>IF(#REF!=0,0%,IF(F62=0,100%,#REF!/F62-1))</f>
        <v>#REF!</v>
      </c>
      <c r="D62" s="74" t="e">
        <f>IF(#REF!=0,0%,IF(G62=0,100%,#REF!/G62-1))</f>
        <v>#REF!</v>
      </c>
      <c r="E62" s="74" t="e">
        <f>IF(#REF!=0,0%,IF(H62=0,100%,#REF!/H62-1))</f>
        <v>#REF!</v>
      </c>
      <c r="F62" s="75"/>
      <c r="G62" s="75"/>
      <c r="H62" s="76"/>
      <c r="I62" s="77"/>
      <c r="J62" s="75">
        <v>10000</v>
      </c>
      <c r="K62" s="75"/>
      <c r="L62" s="78"/>
    </row>
    <row r="63" spans="1:12" x14ac:dyDescent="0.25">
      <c r="A63" s="60" t="s">
        <v>21</v>
      </c>
      <c r="B63" s="61" t="s">
        <v>62</v>
      </c>
      <c r="C63" s="62" t="e">
        <f>IF(#REF!=0,0%,IF(F63=0,100%,#REF!/F63-1))</f>
        <v>#REF!</v>
      </c>
      <c r="D63" s="63" t="e">
        <f>IF(#REF!=0,0%,IF(G63=0,100%,#REF!/G63-1))</f>
        <v>#REF!</v>
      </c>
      <c r="E63" s="63" t="e">
        <f>IF(#REF!=0,0%,IF(H63=0,100%,#REF!/H63-1))</f>
        <v>#REF!</v>
      </c>
      <c r="F63" s="64"/>
      <c r="G63" s="64"/>
      <c r="H63" s="65"/>
      <c r="I63" s="66">
        <v>50000</v>
      </c>
      <c r="J63" s="67">
        <v>50000</v>
      </c>
      <c r="K63" s="67">
        <v>500000</v>
      </c>
      <c r="L63" s="68">
        <v>200000</v>
      </c>
    </row>
    <row r="64" spans="1:12" x14ac:dyDescent="0.25">
      <c r="A64" s="71" t="s">
        <v>73</v>
      </c>
      <c r="B64" s="61" t="s">
        <v>62</v>
      </c>
      <c r="C64" s="62" t="e">
        <f>IF(#REF!=0,0%,IF(F64=0,100%,#REF!/F64-1))</f>
        <v>#REF!</v>
      </c>
      <c r="D64" s="63" t="e">
        <f>IF(#REF!=0,0%,IF(G64=0,100%,#REF!/G64-1))</f>
        <v>#REF!</v>
      </c>
      <c r="E64" s="63" t="e">
        <f>IF(#REF!=0,0%,IF(H64=0,100%,#REF!/H64-1))</f>
        <v>#REF!</v>
      </c>
      <c r="F64" s="64"/>
      <c r="G64" s="64"/>
      <c r="H64" s="65"/>
      <c r="I64" s="66">
        <v>100000</v>
      </c>
      <c r="J64" s="67">
        <v>50000</v>
      </c>
      <c r="K64" s="67">
        <v>2000000</v>
      </c>
      <c r="L64" s="68">
        <v>500000</v>
      </c>
    </row>
    <row r="65" spans="1:12" x14ac:dyDescent="0.25">
      <c r="A65" s="79" t="s">
        <v>74</v>
      </c>
      <c r="B65" s="61" t="s">
        <v>62</v>
      </c>
      <c r="C65" s="62"/>
      <c r="D65" s="63"/>
      <c r="E65" s="63"/>
      <c r="F65" s="64"/>
      <c r="G65" s="64"/>
      <c r="H65" s="65"/>
      <c r="I65" s="66">
        <v>200000</v>
      </c>
      <c r="J65" s="80">
        <v>100000</v>
      </c>
      <c r="K65" s="80">
        <v>500000</v>
      </c>
      <c r="L65" s="81">
        <v>600000</v>
      </c>
    </row>
    <row r="66" spans="1:12" ht="15.75" x14ac:dyDescent="0.25">
      <c r="A66" s="82" t="s">
        <v>75</v>
      </c>
      <c r="B66" s="83"/>
      <c r="C66" s="84"/>
      <c r="D66" s="85"/>
      <c r="E66" s="85"/>
      <c r="F66" s="86"/>
      <c r="G66" s="86"/>
      <c r="H66" s="87"/>
      <c r="I66" s="82">
        <f>SUM(I38:I65)</f>
        <v>18250000</v>
      </c>
      <c r="J66" s="82">
        <f t="shared" ref="J66:L66" si="8">SUM(J38:J65)</f>
        <v>3160000</v>
      </c>
      <c r="K66" s="82">
        <f t="shared" si="8"/>
        <v>63000000</v>
      </c>
      <c r="L66" s="82">
        <f t="shared" si="8"/>
        <v>42900000</v>
      </c>
    </row>
  </sheetData>
  <mergeCells count="5">
    <mergeCell ref="B3:E3"/>
    <mergeCell ref="F3:I3"/>
    <mergeCell ref="J3:M3"/>
    <mergeCell ref="N3:Q3"/>
    <mergeCell ref="R3:U3"/>
  </mergeCells>
  <conditionalFormatting sqref="A3:A4">
    <cfRule type="duplicateValues" dxfId="16" priority="22"/>
    <cfRule type="duplicateValues" dxfId="15" priority="23"/>
  </conditionalFormatting>
  <conditionalFormatting sqref="A5:A11">
    <cfRule type="duplicateValues" dxfId="14" priority="24"/>
    <cfRule type="duplicateValues" dxfId="13" priority="25"/>
  </conditionalFormatting>
  <conditionalFormatting sqref="A17:A20 A12:A15">
    <cfRule type="duplicateValues" dxfId="12" priority="20"/>
    <cfRule type="duplicateValues" dxfId="11" priority="21"/>
  </conditionalFormatting>
  <conditionalFormatting sqref="A27">
    <cfRule type="duplicateValues" dxfId="10" priority="16"/>
    <cfRule type="duplicateValues" dxfId="9" priority="17"/>
  </conditionalFormatting>
  <conditionalFormatting sqref="A28 A21:A26">
    <cfRule type="duplicateValues" dxfId="8" priority="18"/>
    <cfRule type="duplicateValues" dxfId="7" priority="19"/>
  </conditionalFormatting>
  <conditionalFormatting sqref="A42">
    <cfRule type="duplicateValues" dxfId="6" priority="4"/>
    <cfRule type="duplicateValues" dxfId="5" priority="5"/>
  </conditionalFormatting>
  <conditionalFormatting sqref="A43">
    <cfRule type="duplicateValues" dxfId="4" priority="2"/>
    <cfRule type="duplicateValues" dxfId="3" priority="3"/>
  </conditionalFormatting>
  <conditionalFormatting sqref="C38:E66">
    <cfRule type="cellIs" dxfId="2" priority="6" operator="lessThan">
      <formula>-0.0001</formula>
    </cfRule>
  </conditionalFormatting>
  <conditionalFormatting sqref="C38:E66">
    <cfRule type="cellIs" dxfId="1" priority="7" operator="greaterThan">
      <formula>0.1</formula>
    </cfRule>
  </conditionalFormatting>
  <conditionalFormatting sqref="C37">
    <cfRule type="cellIs" dxfId="0" priority="1" operator="lessThan">
      <formula>-0.0001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A1B89-1B93-4B4B-B6C6-8BC19B27B2C5}">
  <dimension ref="A1"/>
  <sheetViews>
    <sheetView rightToLeft="1"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B0134-D19C-4DEA-9845-B320FBDECBC6}">
  <dimension ref="B2:G11"/>
  <sheetViews>
    <sheetView rightToLeft="1" zoomScaleNormal="100" workbookViewId="0"/>
  </sheetViews>
  <sheetFormatPr defaultRowHeight="15" x14ac:dyDescent="0.25"/>
  <cols>
    <col min="1" max="1" width="5" customWidth="1"/>
    <col min="2" max="2" width="9.140625" style="14"/>
    <col min="3" max="3" width="10.7109375" bestFit="1" customWidth="1"/>
    <col min="4" max="4" width="13.28515625" bestFit="1" customWidth="1"/>
    <col min="5" max="5" width="83.5703125" bestFit="1" customWidth="1"/>
    <col min="6" max="6" width="17.42578125" bestFit="1" customWidth="1"/>
  </cols>
  <sheetData>
    <row r="2" spans="2:7" x14ac:dyDescent="0.25">
      <c r="B2" s="51" t="s">
        <v>44</v>
      </c>
      <c r="C2" s="51"/>
      <c r="D2" s="51"/>
      <c r="E2" s="51"/>
      <c r="F2" s="51"/>
      <c r="G2" s="51"/>
    </row>
    <row r="4" spans="2:7" s="14" customFormat="1" ht="18.75" x14ac:dyDescent="0.25">
      <c r="B4" s="15"/>
      <c r="C4" s="53" t="s">
        <v>35</v>
      </c>
      <c r="D4" s="53"/>
      <c r="E4" s="15" t="s">
        <v>40</v>
      </c>
      <c r="F4" s="21" t="s">
        <v>47</v>
      </c>
      <c r="G4" s="21" t="s">
        <v>45</v>
      </c>
    </row>
    <row r="5" spans="2:7" s="14" customFormat="1" ht="30" x14ac:dyDescent="0.25">
      <c r="B5" s="16" t="s">
        <v>37</v>
      </c>
      <c r="C5" s="54">
        <v>42000</v>
      </c>
      <c r="D5" s="54"/>
      <c r="E5" s="17" t="s">
        <v>41</v>
      </c>
      <c r="F5" s="22" t="s">
        <v>52</v>
      </c>
      <c r="G5" s="16" t="s">
        <v>48</v>
      </c>
    </row>
    <row r="6" spans="2:7" x14ac:dyDescent="0.25">
      <c r="B6" s="49" t="s">
        <v>39</v>
      </c>
      <c r="C6" s="18" t="s">
        <v>36</v>
      </c>
      <c r="D6" s="19">
        <f>'יעדי 2025'!R28</f>
        <v>25750000</v>
      </c>
      <c r="E6" s="18" t="s">
        <v>54</v>
      </c>
      <c r="F6" s="52">
        <v>45688</v>
      </c>
      <c r="G6" s="49" t="s">
        <v>46</v>
      </c>
    </row>
    <row r="7" spans="2:7" x14ac:dyDescent="0.25">
      <c r="B7" s="49"/>
      <c r="C7" s="18" t="s">
        <v>4</v>
      </c>
      <c r="D7" s="19">
        <f>'יעדי 2025'!S28</f>
        <v>4350000</v>
      </c>
      <c r="E7" s="18" t="s">
        <v>49</v>
      </c>
      <c r="F7" s="49"/>
      <c r="G7" s="49"/>
    </row>
    <row r="8" spans="2:7" x14ac:dyDescent="0.25">
      <c r="B8" s="49"/>
      <c r="C8" s="18" t="s">
        <v>8</v>
      </c>
      <c r="D8" s="19">
        <f>'יעדי 2025'!T28</f>
        <v>78000000</v>
      </c>
      <c r="E8" s="18" t="s">
        <v>50</v>
      </c>
      <c r="F8" s="49"/>
      <c r="G8" s="49"/>
    </row>
    <row r="9" spans="2:7" x14ac:dyDescent="0.25">
      <c r="B9" s="49"/>
      <c r="C9" s="18" t="s">
        <v>6</v>
      </c>
      <c r="D9" s="19">
        <f>'יעדי 2025'!U28</f>
        <v>60000000</v>
      </c>
      <c r="E9" s="18"/>
      <c r="F9" s="49"/>
      <c r="G9" s="49"/>
    </row>
    <row r="10" spans="2:7" ht="30" x14ac:dyDescent="0.25">
      <c r="B10" s="50" t="s">
        <v>38</v>
      </c>
      <c r="C10" s="50" t="s">
        <v>53</v>
      </c>
      <c r="D10" s="50"/>
      <c r="E10" s="20" t="s">
        <v>51</v>
      </c>
      <c r="F10" s="23">
        <v>45741</v>
      </c>
      <c r="G10" s="16" t="s">
        <v>46</v>
      </c>
    </row>
    <row r="11" spans="2:7" ht="30" x14ac:dyDescent="0.25">
      <c r="B11" s="50"/>
      <c r="C11" s="50" t="s">
        <v>42</v>
      </c>
      <c r="D11" s="50"/>
      <c r="E11" s="20" t="s">
        <v>43</v>
      </c>
      <c r="F11" s="23">
        <v>45838</v>
      </c>
      <c r="G11" s="16" t="s">
        <v>48</v>
      </c>
    </row>
  </sheetData>
  <mergeCells count="9">
    <mergeCell ref="B6:B9"/>
    <mergeCell ref="B10:B11"/>
    <mergeCell ref="G6:G9"/>
    <mergeCell ref="B2:G2"/>
    <mergeCell ref="F6:F9"/>
    <mergeCell ref="C4:D4"/>
    <mergeCell ref="C10:D10"/>
    <mergeCell ref="C11:D11"/>
    <mergeCell ref="C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יעדי 2025</vt:lpstr>
      <vt:lpstr>גיליון1</vt:lpstr>
      <vt:lpstr>תכנית אופרטיבית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ערן גירוני | גל אלמגור ביטוח</dc:creator>
  <cp:lastModifiedBy>office 9</cp:lastModifiedBy>
  <dcterms:created xsi:type="dcterms:W3CDTF">2024-12-16T08:47:28Z</dcterms:created>
  <dcterms:modified xsi:type="dcterms:W3CDTF">2025-02-12T11:26:06Z</dcterms:modified>
</cp:coreProperties>
</file>