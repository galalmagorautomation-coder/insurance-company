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7.2025\מנורה\"/>
    </mc:Choice>
  </mc:AlternateContent>
  <xr:revisionPtr revIDLastSave="0" documentId="13_ncr:1_{FFBB831A-701E-48DD-AC97-85F37C6E64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מסודר" sheetId="2" r:id="rId2"/>
  </sheets>
  <definedNames>
    <definedName name="_xlnm._FilterDatabase" localSheetId="1" hidden="1">מסודר!$A$1:$D$37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2" l="1"/>
  <c r="D39" i="2"/>
  <c r="B39" i="2"/>
</calcChain>
</file>

<file path=xl/sharedStrings.xml><?xml version="1.0" encoding="utf-8"?>
<sst xmlns="http://schemas.openxmlformats.org/spreadsheetml/2006/main" count="303" uniqueCount="111">
  <si>
    <t>היררכית רשיון סוכן</t>
  </si>
  <si>
    <t>שם סוכן בהיררכית רשיון</t>
  </si>
  <si>
    <t>רשיון סניף מאגד</t>
  </si>
  <si>
    <t>רשיון סניף</t>
  </si>
  <si>
    <t>רשיון סוכן מאגד</t>
  </si>
  <si>
    <t>רשיון סוכן</t>
  </si>
  <si>
    <t>סוכן</t>
  </si>
  <si>
    <t>סטטוס מנהלים ועצמאיים - שוטף</t>
  </si>
  <si>
    <t>פנסיה</t>
  </si>
  <si>
    <t>סה"כ פנסיוני</t>
  </si>
  <si>
    <t>בריאות פיצוי</t>
  </si>
  <si>
    <t>ענף בריאות - ללא תאונות</t>
  </si>
  <si>
    <t>סיעוד</t>
  </si>
  <si>
    <t>תאונות טופ</t>
  </si>
  <si>
    <t>ריסק ללא משכנתא מנהלים</t>
  </si>
  <si>
    <t>ריסק ללא משכנתא פרט</t>
  </si>
  <si>
    <t>ריסק משכנתא</t>
  </si>
  <si>
    <t>שלב + מוות ונכות</t>
  </si>
  <si>
    <t>סה"כ ביטוח</t>
  </si>
  <si>
    <t>גמל והשתלמות</t>
  </si>
  <si>
    <t>טופ פייננס השקעה וחסכון</t>
  </si>
  <si>
    <t>גיל שלישי</t>
  </si>
  <si>
    <t>סה"כ פיננסי</t>
  </si>
  <si>
    <t>גל אלמגור סוכ</t>
  </si>
  <si>
    <t>-</t>
  </si>
  <si>
    <t>514188952</t>
  </si>
  <si>
    <t>34839035</t>
  </si>
  <si>
    <t>בלאן סמיר</t>
  </si>
  <si>
    <t>57604415</t>
  </si>
  <si>
    <t>ריזק חלבי</t>
  </si>
  <si>
    <t>302623566</t>
  </si>
  <si>
    <t>מזרחי שלי</t>
  </si>
  <si>
    <t>514000132</t>
  </si>
  <si>
    <t>גל אלמגור -דאוד סוכנות לביטוח בעמ</t>
  </si>
  <si>
    <t>514184258</t>
  </si>
  <si>
    <t>מקסימום סוכנות לבטוח פ נסיוני בעמ</t>
  </si>
  <si>
    <t>11711512</t>
  </si>
  <si>
    <t>סטו וסרמן</t>
  </si>
  <si>
    <t>14354708</t>
  </si>
  <si>
    <t>גרניק בנימין</t>
  </si>
  <si>
    <t>28373124</t>
  </si>
  <si>
    <t>בחוס יוסף</t>
  </si>
  <si>
    <t>29666328</t>
  </si>
  <si>
    <t>גולן זכריה</t>
  </si>
  <si>
    <t>30607949</t>
  </si>
  <si>
    <t>מנשה יוסף</t>
  </si>
  <si>
    <t>37317039</t>
  </si>
  <si>
    <t>רביע חאיק</t>
  </si>
  <si>
    <t>38094645</t>
  </si>
  <si>
    <t>רכס אורן</t>
  </si>
  <si>
    <t>52334018</t>
  </si>
  <si>
    <t>שרון לילי</t>
  </si>
  <si>
    <t>53393443</t>
  </si>
  <si>
    <t>גולדר אבי</t>
  </si>
  <si>
    <t>54843479</t>
  </si>
  <si>
    <t>דאי גדי</t>
  </si>
  <si>
    <t>57770372</t>
  </si>
  <si>
    <t>איתמר ישראלי</t>
  </si>
  <si>
    <t>59343582</t>
  </si>
  <si>
    <t>סאוסן שלבי</t>
  </si>
  <si>
    <t>59925206</t>
  </si>
  <si>
    <t>סברא סמיר</t>
  </si>
  <si>
    <t>66436296</t>
  </si>
  <si>
    <t>בר חיים אריאל</t>
  </si>
  <si>
    <t>204599195</t>
  </si>
  <si>
    <t>אחמד עלי אחמד</t>
  </si>
  <si>
    <t>300356912</t>
  </si>
  <si>
    <t>קליין סיון</t>
  </si>
  <si>
    <t>301649083</t>
  </si>
  <si>
    <t>חג'ג' מרדכי</t>
  </si>
  <si>
    <t>305119984</t>
  </si>
  <si>
    <t>הלשטוק נעם</t>
  </si>
  <si>
    <t>305130924</t>
  </si>
  <si>
    <t>דאי דניאל</t>
  </si>
  <si>
    <t>514609072</t>
  </si>
  <si>
    <t>בראשית סוכ' לביטוח</t>
  </si>
  <si>
    <t>515064699</t>
  </si>
  <si>
    <t>בדארנה עומר סוכנות לבי טוח 2014</t>
  </si>
  <si>
    <t>515917078</t>
  </si>
  <si>
    <t>אורלי יונאי סוכנות בעמ</t>
  </si>
  <si>
    <t>516210572</t>
  </si>
  <si>
    <t>אלרם סוכנות לביטוח 2020 בעמ</t>
  </si>
  <si>
    <t>516664521</t>
  </si>
  <si>
    <t>לנג ביט סוכנות לביטוח פנסיוני</t>
  </si>
  <si>
    <t>514469055</t>
  </si>
  <si>
    <t>משה שטרן גל</t>
  </si>
  <si>
    <t>514507458</t>
  </si>
  <si>
    <t>גל אלמגור-וייס סוכ</t>
  </si>
  <si>
    <t>514741750</t>
  </si>
  <si>
    <t>17191594</t>
  </si>
  <si>
    <t>סטולרז אסף</t>
  </si>
  <si>
    <t>34285569</t>
  </si>
  <si>
    <t>אחלופי שלמה</t>
  </si>
  <si>
    <t>206056566</t>
  </si>
  <si>
    <t>בוכריס שירלי</t>
  </si>
  <si>
    <t>גל אלמגור דרום סוכ לביטוח בעמ</t>
  </si>
  <si>
    <t>שרון אורן</t>
  </si>
  <si>
    <t>31774458</t>
  </si>
  <si>
    <t>תמורה מלאה סוכנות לביט וח בעמ</t>
  </si>
  <si>
    <t>511040081</t>
  </si>
  <si>
    <t>22072771</t>
  </si>
  <si>
    <t>סיגל שגב</t>
  </si>
  <si>
    <t>ג.גרין ניהול סוכנויות לביטוח</t>
  </si>
  <si>
    <t>515107274</t>
  </si>
  <si>
    <t>26353516</t>
  </si>
  <si>
    <t>מריו מחישם</t>
  </si>
  <si>
    <t>מופיד בסל</t>
  </si>
  <si>
    <t>54808118</t>
  </si>
  <si>
    <t>פנסיוני</t>
  </si>
  <si>
    <t xml:space="preserve">סיכונים </t>
  </si>
  <si>
    <t>פיננסים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</si>
</sst>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###########"/>
    <numFmt numFmtId="165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2" fillId="2" borderId="1" xfId="1" applyNumberFormat="1" applyFont="1" applyFill="1" applyBorder="1" applyAlignment="1">
      <alignment horizontal="center" vertical="center" wrapText="1" readingOrder="2"/>
    </xf>
    <xf numFmtId="3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"/>
  <sheetViews>
    <sheetView rightToLeft="1" workbookViewId="0">
      <selection sqref="A1:XFD1048576"/>
    </sheetView>
  </sheetViews>
  <sheetFormatPr defaultRowHeight="13.8" x14ac:dyDescent="0.25"/>
  <cols>
    <col min="1" max="1" width="15.69921875" style="1" customWidth="1"/>
    <col min="2" max="7" width="15.69921875" customWidth="1"/>
    <col min="8" max="23" width="15.69921875" style="2" customWidth="1"/>
  </cols>
  <sheetData>
    <row r="1" spans="1:23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1">
        <v>514188952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s="2">
        <v>0</v>
      </c>
      <c r="I2" s="2">
        <v>1804.57691577482</v>
      </c>
      <c r="J2" s="2">
        <v>1804.57691577482</v>
      </c>
      <c r="K2" s="2">
        <v>290.22705611711399</v>
      </c>
      <c r="L2" s="2">
        <v>3693.0028107354478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3983.2298668525632</v>
      </c>
      <c r="T2" s="2">
        <v>29412.803609235889</v>
      </c>
      <c r="U2" s="2">
        <v>0</v>
      </c>
      <c r="V2" s="2">
        <v>0</v>
      </c>
      <c r="W2" s="2">
        <v>29412.803609235889</v>
      </c>
    </row>
    <row r="3" spans="1:23" x14ac:dyDescent="0.25">
      <c r="A3" s="1">
        <v>514188952</v>
      </c>
      <c r="B3" t="s">
        <v>23</v>
      </c>
      <c r="C3" t="s">
        <v>24</v>
      </c>
      <c r="D3" t="s">
        <v>25</v>
      </c>
      <c r="E3" t="s">
        <v>28</v>
      </c>
      <c r="F3" t="s">
        <v>28</v>
      </c>
      <c r="G3" t="s">
        <v>29</v>
      </c>
      <c r="H3" s="2">
        <v>0</v>
      </c>
      <c r="I3" s="2">
        <v>102321.92694652559</v>
      </c>
      <c r="J3" s="2">
        <v>102321.92694652559</v>
      </c>
      <c r="K3" s="2">
        <v>18961.08193154871</v>
      </c>
      <c r="L3" s="2">
        <v>17570.946515572279</v>
      </c>
      <c r="M3" s="2">
        <v>0</v>
      </c>
      <c r="N3" s="2">
        <v>0</v>
      </c>
      <c r="O3" s="2">
        <v>0</v>
      </c>
      <c r="P3" s="2">
        <v>21624.006081440071</v>
      </c>
      <c r="Q3" s="2">
        <v>0</v>
      </c>
      <c r="R3" s="2">
        <v>0</v>
      </c>
      <c r="S3" s="2">
        <v>58156.03452856106</v>
      </c>
      <c r="T3" s="2">
        <v>592.29237319095125</v>
      </c>
      <c r="U3" s="2">
        <v>0</v>
      </c>
      <c r="V3" s="2">
        <v>0</v>
      </c>
      <c r="W3" s="2">
        <v>592.29237319095125</v>
      </c>
    </row>
    <row r="4" spans="1:23" x14ac:dyDescent="0.25">
      <c r="A4" s="1">
        <v>514188952</v>
      </c>
      <c r="B4" t="s">
        <v>23</v>
      </c>
      <c r="C4" t="s">
        <v>24</v>
      </c>
      <c r="D4" t="s">
        <v>25</v>
      </c>
      <c r="E4" t="s">
        <v>30</v>
      </c>
      <c r="F4" t="s">
        <v>30</v>
      </c>
      <c r="G4" t="s">
        <v>31</v>
      </c>
      <c r="H4" s="2">
        <v>0</v>
      </c>
      <c r="I4" s="2">
        <v>13280.181031233909</v>
      </c>
      <c r="J4" s="2">
        <v>13280.181031233909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 spans="1:23" x14ac:dyDescent="0.25">
      <c r="A5" s="1">
        <v>514188952</v>
      </c>
      <c r="B5" t="s">
        <v>23</v>
      </c>
      <c r="C5" t="s">
        <v>24</v>
      </c>
      <c r="D5" t="s">
        <v>25</v>
      </c>
      <c r="E5" t="s">
        <v>32</v>
      </c>
      <c r="F5" t="s">
        <v>32</v>
      </c>
      <c r="G5" t="s">
        <v>33</v>
      </c>
      <c r="H5" s="2">
        <v>0</v>
      </c>
      <c r="I5" s="2">
        <v>601467.13395782071</v>
      </c>
      <c r="J5" s="2">
        <v>601467.13395782071</v>
      </c>
      <c r="K5" s="2">
        <v>165034.95486314251</v>
      </c>
      <c r="L5" s="2">
        <v>99935.018054915607</v>
      </c>
      <c r="M5" s="2">
        <v>0</v>
      </c>
      <c r="N5" s="2">
        <v>0</v>
      </c>
      <c r="O5" s="2">
        <v>0</v>
      </c>
      <c r="P5" s="2">
        <v>110621.48936019999</v>
      </c>
      <c r="Q5" s="2">
        <v>0</v>
      </c>
      <c r="R5" s="2">
        <v>3512.61669433008</v>
      </c>
      <c r="S5" s="2">
        <v>379104.07897258812</v>
      </c>
      <c r="T5" s="2">
        <v>9079.6402213660258</v>
      </c>
      <c r="U5" s="2">
        <v>0</v>
      </c>
      <c r="V5" s="2">
        <v>0</v>
      </c>
      <c r="W5" s="2">
        <v>9079.6402213660258</v>
      </c>
    </row>
    <row r="6" spans="1:23" x14ac:dyDescent="0.25">
      <c r="A6" s="1">
        <v>514188952</v>
      </c>
      <c r="B6" t="s">
        <v>23</v>
      </c>
      <c r="C6" t="s">
        <v>24</v>
      </c>
      <c r="D6" t="s">
        <v>25</v>
      </c>
      <c r="E6" t="s">
        <v>34</v>
      </c>
      <c r="F6" t="s">
        <v>34</v>
      </c>
      <c r="G6" t="s">
        <v>35</v>
      </c>
      <c r="H6" s="2">
        <v>0</v>
      </c>
      <c r="I6" s="2">
        <v>17162.646847481508</v>
      </c>
      <c r="J6" s="2">
        <v>17162.646847481508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 spans="1:23" x14ac:dyDescent="0.25">
      <c r="A7" s="1">
        <v>514188952</v>
      </c>
      <c r="B7" t="s">
        <v>23</v>
      </c>
      <c r="C7" t="s">
        <v>24</v>
      </c>
      <c r="D7" t="s">
        <v>25</v>
      </c>
      <c r="E7" t="s">
        <v>25</v>
      </c>
      <c r="F7" t="s">
        <v>36</v>
      </c>
      <c r="G7" t="s">
        <v>37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1144.091330151484</v>
      </c>
      <c r="R7" s="2">
        <v>0</v>
      </c>
      <c r="S7" s="2">
        <v>1144.091330151484</v>
      </c>
      <c r="T7" s="2">
        <v>0</v>
      </c>
      <c r="U7" s="2">
        <v>0</v>
      </c>
      <c r="V7" s="2">
        <v>0</v>
      </c>
      <c r="W7" s="2">
        <v>0</v>
      </c>
    </row>
    <row r="8" spans="1:23" x14ac:dyDescent="0.25">
      <c r="A8" s="1">
        <v>514188952</v>
      </c>
      <c r="B8" t="s">
        <v>23</v>
      </c>
      <c r="C8" t="s">
        <v>24</v>
      </c>
      <c r="D8" t="s">
        <v>25</v>
      </c>
      <c r="E8" t="s">
        <v>25</v>
      </c>
      <c r="F8" t="s">
        <v>38</v>
      </c>
      <c r="G8" t="s">
        <v>39</v>
      </c>
      <c r="H8" s="2">
        <v>0</v>
      </c>
      <c r="I8" s="2">
        <v>0</v>
      </c>
      <c r="J8" s="2">
        <v>0</v>
      </c>
      <c r="K8" s="2">
        <v>3083.8083490234649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3083.8083490234649</v>
      </c>
      <c r="T8" s="2">
        <v>0</v>
      </c>
      <c r="U8" s="2">
        <v>0</v>
      </c>
      <c r="V8" s="2">
        <v>0</v>
      </c>
      <c r="W8" s="2">
        <v>0</v>
      </c>
    </row>
    <row r="9" spans="1:23" x14ac:dyDescent="0.25">
      <c r="A9" s="1">
        <v>514188952</v>
      </c>
      <c r="B9" t="s">
        <v>23</v>
      </c>
      <c r="C9" t="s">
        <v>24</v>
      </c>
      <c r="D9" t="s">
        <v>25</v>
      </c>
      <c r="E9" t="s">
        <v>25</v>
      </c>
      <c r="F9" t="s">
        <v>40</v>
      </c>
      <c r="G9" t="s">
        <v>41</v>
      </c>
      <c r="H9" s="2">
        <v>0</v>
      </c>
      <c r="I9" s="2">
        <v>25999.996979706171</v>
      </c>
      <c r="J9" s="2">
        <v>25999.996979706171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 spans="1:23" x14ac:dyDescent="0.25">
      <c r="A10" s="1">
        <v>514188952</v>
      </c>
      <c r="B10" t="s">
        <v>23</v>
      </c>
      <c r="C10" t="s">
        <v>24</v>
      </c>
      <c r="D10" t="s">
        <v>25</v>
      </c>
      <c r="E10" t="s">
        <v>25</v>
      </c>
      <c r="F10" t="s">
        <v>42</v>
      </c>
      <c r="G10" t="s">
        <v>43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52153.716453561887</v>
      </c>
      <c r="V10" s="2">
        <v>0</v>
      </c>
      <c r="W10" s="2">
        <v>52153.716453561887</v>
      </c>
    </row>
    <row r="11" spans="1:23" x14ac:dyDescent="0.25">
      <c r="A11" s="1">
        <v>514188952</v>
      </c>
      <c r="B11" t="s">
        <v>23</v>
      </c>
      <c r="C11" t="s">
        <v>24</v>
      </c>
      <c r="D11" t="s">
        <v>25</v>
      </c>
      <c r="E11" t="s">
        <v>25</v>
      </c>
      <c r="F11" t="s">
        <v>44</v>
      </c>
      <c r="G11" t="s">
        <v>45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3330.30524085047</v>
      </c>
      <c r="P11" s="2">
        <v>0</v>
      </c>
      <c r="Q11" s="2">
        <v>0</v>
      </c>
      <c r="R11" s="2">
        <v>2538.2437225514109</v>
      </c>
      <c r="S11" s="2">
        <v>5868.5489634018813</v>
      </c>
      <c r="T11" s="2">
        <v>0</v>
      </c>
      <c r="U11" s="2">
        <v>0</v>
      </c>
      <c r="V11" s="2">
        <v>0</v>
      </c>
      <c r="W11" s="2">
        <v>0</v>
      </c>
    </row>
    <row r="12" spans="1:23" x14ac:dyDescent="0.25">
      <c r="A12" s="1">
        <v>514188952</v>
      </c>
      <c r="B12" t="s">
        <v>23</v>
      </c>
      <c r="C12" t="s">
        <v>24</v>
      </c>
      <c r="D12" t="s">
        <v>25</v>
      </c>
      <c r="E12" t="s">
        <v>25</v>
      </c>
      <c r="F12" t="s">
        <v>46</v>
      </c>
      <c r="G12" t="s">
        <v>47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 spans="1:23" x14ac:dyDescent="0.25">
      <c r="A13" s="1">
        <v>514188952</v>
      </c>
      <c r="B13" t="s">
        <v>23</v>
      </c>
      <c r="C13" t="s">
        <v>24</v>
      </c>
      <c r="D13" t="s">
        <v>25</v>
      </c>
      <c r="E13" t="s">
        <v>25</v>
      </c>
      <c r="F13" t="s">
        <v>48</v>
      </c>
      <c r="G13" t="s">
        <v>49</v>
      </c>
      <c r="H13" s="2">
        <v>0</v>
      </c>
      <c r="I13" s="2">
        <v>106321.58435919871</v>
      </c>
      <c r="J13" s="2">
        <v>106321.58435919871</v>
      </c>
      <c r="K13" s="2">
        <v>11503.82712882496</v>
      </c>
      <c r="L13" s="2">
        <v>1926.34040903252</v>
      </c>
      <c r="M13" s="2">
        <v>0</v>
      </c>
      <c r="N13" s="2">
        <v>0</v>
      </c>
      <c r="O13" s="2">
        <v>0</v>
      </c>
      <c r="P13" s="2">
        <v>3192.5825379310349</v>
      </c>
      <c r="Q13" s="2">
        <v>0</v>
      </c>
      <c r="R13" s="2">
        <v>0</v>
      </c>
      <c r="S13" s="2">
        <v>16622.750075788521</v>
      </c>
      <c r="T13" s="2">
        <v>731727.71936237253</v>
      </c>
      <c r="U13" s="2">
        <v>1022.621891246312</v>
      </c>
      <c r="V13" s="2">
        <v>0</v>
      </c>
      <c r="W13" s="2">
        <v>732750.34125361871</v>
      </c>
    </row>
    <row r="14" spans="1:23" x14ac:dyDescent="0.25">
      <c r="A14" s="1">
        <v>514188952</v>
      </c>
      <c r="B14" t="s">
        <v>23</v>
      </c>
      <c r="C14" t="s">
        <v>24</v>
      </c>
      <c r="D14" t="s">
        <v>25</v>
      </c>
      <c r="E14" t="s">
        <v>25</v>
      </c>
      <c r="F14" t="s">
        <v>50</v>
      </c>
      <c r="G14" t="s">
        <v>51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13654.3845352014</v>
      </c>
      <c r="P14" s="2">
        <v>0</v>
      </c>
      <c r="Q14" s="2">
        <v>0</v>
      </c>
      <c r="R14" s="2">
        <v>1889.3025204903679</v>
      </c>
      <c r="S14" s="2">
        <v>15543.687055691769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25">
      <c r="A15" s="1">
        <v>514188952</v>
      </c>
      <c r="B15" t="s">
        <v>23</v>
      </c>
      <c r="C15" t="s">
        <v>24</v>
      </c>
      <c r="D15" t="s">
        <v>25</v>
      </c>
      <c r="E15" t="s">
        <v>25</v>
      </c>
      <c r="F15" t="s">
        <v>52</v>
      </c>
      <c r="G15" t="s">
        <v>53</v>
      </c>
      <c r="H15" s="2">
        <v>0</v>
      </c>
      <c r="I15" s="2">
        <v>8219.9236035026261</v>
      </c>
      <c r="J15" s="2">
        <v>8219.9236035026261</v>
      </c>
      <c r="K15" s="2">
        <v>6259.2310271840624</v>
      </c>
      <c r="L15" s="2">
        <v>0</v>
      </c>
      <c r="M15" s="2">
        <v>0</v>
      </c>
      <c r="N15" s="2">
        <v>0</v>
      </c>
      <c r="O15" s="2">
        <v>0</v>
      </c>
      <c r="P15" s="2">
        <v>3192.5825379310349</v>
      </c>
      <c r="Q15" s="2">
        <v>0</v>
      </c>
      <c r="R15" s="2">
        <v>0</v>
      </c>
      <c r="S15" s="2">
        <v>9451.8135651150988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25">
      <c r="A16" s="1">
        <v>514188952</v>
      </c>
      <c r="B16" t="s">
        <v>23</v>
      </c>
      <c r="C16" t="s">
        <v>24</v>
      </c>
      <c r="D16" t="s">
        <v>25</v>
      </c>
      <c r="E16" t="s">
        <v>25</v>
      </c>
      <c r="F16" t="s">
        <v>54</v>
      </c>
      <c r="G16" t="s">
        <v>55</v>
      </c>
      <c r="H16" s="2">
        <v>0</v>
      </c>
      <c r="I16" s="2">
        <v>1840464.9154513341</v>
      </c>
      <c r="J16" s="2">
        <v>1840464.9154513341</v>
      </c>
      <c r="K16" s="2">
        <v>91208.402086822971</v>
      </c>
      <c r="L16" s="2">
        <v>110978.20754484581</v>
      </c>
      <c r="M16" s="2">
        <v>0</v>
      </c>
      <c r="N16" s="2">
        <v>0</v>
      </c>
      <c r="O16" s="2">
        <v>302.79943556754517</v>
      </c>
      <c r="P16" s="2">
        <v>66896.600510449003</v>
      </c>
      <c r="Q16" s="2">
        <v>449.2833036777584</v>
      </c>
      <c r="R16" s="2">
        <v>42510.65362560167</v>
      </c>
      <c r="S16" s="2">
        <v>312345.94650696492</v>
      </c>
      <c r="T16" s="2">
        <v>2125082.1036814149</v>
      </c>
      <c r="U16" s="2">
        <v>625549.4828010404</v>
      </c>
      <c r="V16" s="2">
        <v>0</v>
      </c>
      <c r="W16" s="2">
        <v>2750631.586482455</v>
      </c>
    </row>
    <row r="17" spans="1:23" x14ac:dyDescent="0.25">
      <c r="A17" s="1">
        <v>514188952</v>
      </c>
      <c r="B17" t="s">
        <v>23</v>
      </c>
      <c r="C17" t="s">
        <v>24</v>
      </c>
      <c r="D17" t="s">
        <v>25</v>
      </c>
      <c r="E17" t="s">
        <v>25</v>
      </c>
      <c r="F17" t="s">
        <v>56</v>
      </c>
      <c r="G17" t="s">
        <v>57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0.36680386392271908</v>
      </c>
      <c r="S17" s="2">
        <v>0.36680386392271908</v>
      </c>
      <c r="T17" s="2">
        <v>0</v>
      </c>
      <c r="U17" s="2">
        <v>0</v>
      </c>
      <c r="V17" s="2">
        <v>0</v>
      </c>
      <c r="W17" s="2">
        <v>0</v>
      </c>
    </row>
    <row r="18" spans="1:23" x14ac:dyDescent="0.25">
      <c r="A18" s="1">
        <v>514188952</v>
      </c>
      <c r="B18" t="s">
        <v>23</v>
      </c>
      <c r="C18" t="s">
        <v>24</v>
      </c>
      <c r="D18" t="s">
        <v>25</v>
      </c>
      <c r="E18" t="s">
        <v>25</v>
      </c>
      <c r="F18" t="s">
        <v>58</v>
      </c>
      <c r="G18" t="s">
        <v>59</v>
      </c>
      <c r="H18" s="2">
        <v>0</v>
      </c>
      <c r="I18" s="2">
        <v>28190.67325139153</v>
      </c>
      <c r="J18" s="2">
        <v>28190.67325139153</v>
      </c>
      <c r="K18" s="2">
        <v>349.80916372691422</v>
      </c>
      <c r="L18" s="2">
        <v>577.07487030504251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926.88403403195684</v>
      </c>
      <c r="T18" s="2">
        <v>3976.649296051708</v>
      </c>
      <c r="U18" s="2">
        <v>0</v>
      </c>
      <c r="V18" s="2">
        <v>0</v>
      </c>
      <c r="W18" s="2">
        <v>3976.649296051708</v>
      </c>
    </row>
    <row r="19" spans="1:23" x14ac:dyDescent="0.25">
      <c r="A19" s="1">
        <v>514188952</v>
      </c>
      <c r="B19" t="s">
        <v>23</v>
      </c>
      <c r="C19" t="s">
        <v>24</v>
      </c>
      <c r="D19" t="s">
        <v>25</v>
      </c>
      <c r="E19" t="s">
        <v>25</v>
      </c>
      <c r="F19" t="s">
        <v>60</v>
      </c>
      <c r="G19" t="s">
        <v>61</v>
      </c>
      <c r="H19" s="2">
        <v>0</v>
      </c>
      <c r="I19" s="2">
        <v>39137.03234004046</v>
      </c>
      <c r="J19" s="2">
        <v>39137.03234004046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 spans="1:23" x14ac:dyDescent="0.25">
      <c r="A20" s="1">
        <v>514188952</v>
      </c>
      <c r="B20" t="s">
        <v>23</v>
      </c>
      <c r="C20" t="s">
        <v>24</v>
      </c>
      <c r="D20" t="s">
        <v>25</v>
      </c>
      <c r="E20" t="s">
        <v>25</v>
      </c>
      <c r="F20" t="s">
        <v>62</v>
      </c>
      <c r="G20" t="s">
        <v>63</v>
      </c>
      <c r="H20" s="2">
        <v>0</v>
      </c>
      <c r="I20" s="2">
        <v>0</v>
      </c>
      <c r="J20" s="2">
        <v>0</v>
      </c>
      <c r="K20" s="2">
        <v>3413.0156728598349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1244.870486687882</v>
      </c>
      <c r="S20" s="2">
        <v>4657.8861595477174</v>
      </c>
      <c r="T20" s="2">
        <v>4079.2387241815368</v>
      </c>
      <c r="U20" s="2">
        <v>0</v>
      </c>
      <c r="V20" s="2">
        <v>0</v>
      </c>
      <c r="W20" s="2">
        <v>4079.2387241815368</v>
      </c>
    </row>
    <row r="21" spans="1:23" x14ac:dyDescent="0.25">
      <c r="A21" s="1">
        <v>514188952</v>
      </c>
      <c r="B21" t="s">
        <v>23</v>
      </c>
      <c r="C21" t="s">
        <v>24</v>
      </c>
      <c r="D21" t="s">
        <v>25</v>
      </c>
      <c r="E21" t="s">
        <v>25</v>
      </c>
      <c r="F21" t="s">
        <v>64</v>
      </c>
      <c r="G21" t="s">
        <v>65</v>
      </c>
      <c r="H21" s="2">
        <v>0</v>
      </c>
      <c r="I21" s="2">
        <v>0</v>
      </c>
      <c r="J21" s="2">
        <v>0</v>
      </c>
      <c r="K21" s="2">
        <v>4745.597313103448</v>
      </c>
      <c r="L21" s="2">
        <v>0</v>
      </c>
      <c r="M21" s="2">
        <v>0</v>
      </c>
      <c r="N21" s="2">
        <v>0</v>
      </c>
      <c r="O21" s="2">
        <v>0</v>
      </c>
      <c r="P21" s="2">
        <v>516.1114172185429</v>
      </c>
      <c r="Q21" s="2">
        <v>0</v>
      </c>
      <c r="R21" s="2">
        <v>0</v>
      </c>
      <c r="S21" s="2">
        <v>5261.7087303219914</v>
      </c>
      <c r="T21" s="2">
        <v>0</v>
      </c>
      <c r="U21" s="2">
        <v>0</v>
      </c>
      <c r="V21" s="2">
        <v>0</v>
      </c>
      <c r="W21" s="2">
        <v>0</v>
      </c>
    </row>
    <row r="22" spans="1:23" x14ac:dyDescent="0.25">
      <c r="A22" s="1">
        <v>514188952</v>
      </c>
      <c r="B22" t="s">
        <v>23</v>
      </c>
      <c r="C22" t="s">
        <v>24</v>
      </c>
      <c r="D22" t="s">
        <v>25</v>
      </c>
      <c r="E22" t="s">
        <v>25</v>
      </c>
      <c r="F22" t="s">
        <v>66</v>
      </c>
      <c r="G22" t="s">
        <v>67</v>
      </c>
      <c r="H22" s="2">
        <v>0</v>
      </c>
      <c r="I22" s="2">
        <v>12605.33289064121</v>
      </c>
      <c r="J22" s="2">
        <v>12605.33289064121</v>
      </c>
      <c r="K22" s="2">
        <v>12807.24685608146</v>
      </c>
      <c r="L22" s="2">
        <v>10273.45253236869</v>
      </c>
      <c r="M22" s="2">
        <v>0</v>
      </c>
      <c r="N22" s="2">
        <v>0</v>
      </c>
      <c r="O22" s="2">
        <v>0</v>
      </c>
      <c r="P22" s="2">
        <v>886.3584217497388</v>
      </c>
      <c r="Q22" s="2">
        <v>0</v>
      </c>
      <c r="R22" s="2">
        <v>741.36224112886498</v>
      </c>
      <c r="S22" s="2">
        <v>24708.420051328761</v>
      </c>
      <c r="T22" s="2">
        <v>0</v>
      </c>
      <c r="U22" s="2">
        <v>0</v>
      </c>
      <c r="V22" s="2">
        <v>0</v>
      </c>
      <c r="W22" s="2">
        <v>0</v>
      </c>
    </row>
    <row r="23" spans="1:23" x14ac:dyDescent="0.25">
      <c r="A23" s="1">
        <v>514188952</v>
      </c>
      <c r="B23" t="s">
        <v>23</v>
      </c>
      <c r="C23" t="s">
        <v>24</v>
      </c>
      <c r="D23" t="s">
        <v>25</v>
      </c>
      <c r="E23" t="s">
        <v>25</v>
      </c>
      <c r="F23" t="s">
        <v>68</v>
      </c>
      <c r="G23" t="s">
        <v>69</v>
      </c>
      <c r="H23" s="2">
        <v>0</v>
      </c>
      <c r="I23" s="2">
        <v>29604.2177483591</v>
      </c>
      <c r="J23" s="2">
        <v>29604.2177483591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 spans="1:23" x14ac:dyDescent="0.25">
      <c r="A24" s="1">
        <v>514188952</v>
      </c>
      <c r="B24" t="s">
        <v>23</v>
      </c>
      <c r="C24" t="s">
        <v>24</v>
      </c>
      <c r="D24" t="s">
        <v>25</v>
      </c>
      <c r="E24" t="s">
        <v>25</v>
      </c>
      <c r="F24" t="s">
        <v>70</v>
      </c>
      <c r="G24" t="s">
        <v>71</v>
      </c>
      <c r="H24" s="2">
        <v>0</v>
      </c>
      <c r="I24" s="2">
        <v>5865.7591681888434</v>
      </c>
      <c r="J24" s="2">
        <v>5865.7591681888434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25">
      <c r="A25" s="1">
        <v>514188952</v>
      </c>
      <c r="B25" t="s">
        <v>23</v>
      </c>
      <c r="C25" t="s">
        <v>24</v>
      </c>
      <c r="D25" t="s">
        <v>25</v>
      </c>
      <c r="E25" t="s">
        <v>25</v>
      </c>
      <c r="F25" t="s">
        <v>72</v>
      </c>
      <c r="G25" t="s">
        <v>73</v>
      </c>
      <c r="H25" s="2">
        <v>0</v>
      </c>
      <c r="I25" s="2">
        <v>206234.29079207749</v>
      </c>
      <c r="J25" s="2">
        <v>206234.29079207749</v>
      </c>
      <c r="K25" s="2">
        <v>2983.8537783988422</v>
      </c>
      <c r="L25" s="2">
        <v>7242.379539376504</v>
      </c>
      <c r="M25" s="2">
        <v>0</v>
      </c>
      <c r="N25" s="2">
        <v>0</v>
      </c>
      <c r="O25" s="2">
        <v>0</v>
      </c>
      <c r="P25" s="2">
        <v>13113.84692295555</v>
      </c>
      <c r="Q25" s="2">
        <v>0</v>
      </c>
      <c r="R25" s="2">
        <v>0</v>
      </c>
      <c r="S25" s="2">
        <v>23340.080240730891</v>
      </c>
      <c r="T25" s="2">
        <v>455544.35140652518</v>
      </c>
      <c r="U25" s="2">
        <v>230888.27586206899</v>
      </c>
      <c r="V25" s="2">
        <v>0</v>
      </c>
      <c r="W25" s="2">
        <v>686432.62726859422</v>
      </c>
    </row>
    <row r="26" spans="1:23" x14ac:dyDescent="0.25">
      <c r="A26" s="1">
        <v>514188952</v>
      </c>
      <c r="B26" t="s">
        <v>23</v>
      </c>
      <c r="C26" t="s">
        <v>24</v>
      </c>
      <c r="D26" t="s">
        <v>25</v>
      </c>
      <c r="E26" t="s">
        <v>25</v>
      </c>
      <c r="F26" t="s">
        <v>25</v>
      </c>
      <c r="G26" t="s">
        <v>23</v>
      </c>
      <c r="H26" s="2">
        <v>0</v>
      </c>
      <c r="I26" s="2">
        <v>405164.16791097791</v>
      </c>
      <c r="J26" s="2">
        <v>405164.16791097791</v>
      </c>
      <c r="K26" s="2">
        <v>25457.601528479721</v>
      </c>
      <c r="L26" s="2">
        <v>14456.07356265918</v>
      </c>
      <c r="M26" s="2">
        <v>0</v>
      </c>
      <c r="N26" s="2">
        <v>0</v>
      </c>
      <c r="O26" s="2">
        <v>2192.9868827586211</v>
      </c>
      <c r="P26" s="2">
        <v>6982.5958685991027</v>
      </c>
      <c r="Q26" s="2">
        <v>9081.3351549651161</v>
      </c>
      <c r="R26" s="2">
        <v>18308.69706605771</v>
      </c>
      <c r="S26" s="2">
        <v>76479.290063519467</v>
      </c>
      <c r="T26" s="2">
        <v>-44003.692823420854</v>
      </c>
      <c r="U26" s="2">
        <v>0</v>
      </c>
      <c r="V26" s="2">
        <v>0</v>
      </c>
      <c r="W26" s="2">
        <v>-44003.692823420854</v>
      </c>
    </row>
    <row r="27" spans="1:23" x14ac:dyDescent="0.25">
      <c r="A27" s="1">
        <v>514188952</v>
      </c>
      <c r="B27" t="s">
        <v>23</v>
      </c>
      <c r="C27" t="s">
        <v>24</v>
      </c>
      <c r="D27" t="s">
        <v>25</v>
      </c>
      <c r="E27" t="s">
        <v>25</v>
      </c>
      <c r="F27" t="s">
        <v>74</v>
      </c>
      <c r="G27" t="s">
        <v>75</v>
      </c>
      <c r="H27" s="2">
        <v>0</v>
      </c>
      <c r="I27" s="2">
        <v>37842.624991582707</v>
      </c>
      <c r="J27" s="2">
        <v>37842.624991582707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</row>
    <row r="28" spans="1:23" x14ac:dyDescent="0.25">
      <c r="A28" s="1">
        <v>514188952</v>
      </c>
      <c r="B28" t="s">
        <v>23</v>
      </c>
      <c r="C28" t="s">
        <v>24</v>
      </c>
      <c r="D28" t="s">
        <v>25</v>
      </c>
      <c r="E28" t="s">
        <v>25</v>
      </c>
      <c r="F28" t="s">
        <v>76</v>
      </c>
      <c r="G28" t="s">
        <v>77</v>
      </c>
      <c r="H28" s="2">
        <v>0</v>
      </c>
      <c r="I28" s="2">
        <v>63754.879654273449</v>
      </c>
      <c r="J28" s="2">
        <v>63754.879654273449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 spans="1:23" x14ac:dyDescent="0.25">
      <c r="A29" s="1">
        <v>514188952</v>
      </c>
      <c r="B29" t="s">
        <v>23</v>
      </c>
      <c r="C29" t="s">
        <v>24</v>
      </c>
      <c r="D29" t="s">
        <v>25</v>
      </c>
      <c r="E29" t="s">
        <v>25</v>
      </c>
      <c r="F29" t="s">
        <v>78</v>
      </c>
      <c r="G29" t="s">
        <v>79</v>
      </c>
      <c r="H29" s="2">
        <v>0</v>
      </c>
      <c r="I29" s="2">
        <v>8250.5499880239513</v>
      </c>
      <c r="J29" s="2">
        <v>8250.5499880239513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</row>
    <row r="30" spans="1:23" x14ac:dyDescent="0.25">
      <c r="A30" s="1">
        <v>514188952</v>
      </c>
      <c r="B30" t="s">
        <v>23</v>
      </c>
      <c r="C30" t="s">
        <v>24</v>
      </c>
      <c r="D30" t="s">
        <v>25</v>
      </c>
      <c r="E30" t="s">
        <v>25</v>
      </c>
      <c r="F30" t="s">
        <v>80</v>
      </c>
      <c r="G30" t="s">
        <v>81</v>
      </c>
      <c r="H30" s="2">
        <v>0</v>
      </c>
      <c r="I30" s="2">
        <v>84874.527039344772</v>
      </c>
      <c r="J30" s="2">
        <v>84874.527039344772</v>
      </c>
      <c r="K30" s="2">
        <v>3736.2820514760369</v>
      </c>
      <c r="L30" s="2">
        <v>14824.783647184529</v>
      </c>
      <c r="M30" s="2">
        <v>0</v>
      </c>
      <c r="N30" s="2">
        <v>0</v>
      </c>
      <c r="O30" s="2">
        <v>0</v>
      </c>
      <c r="P30" s="2">
        <v>35836.429440191037</v>
      </c>
      <c r="Q30" s="2">
        <v>0</v>
      </c>
      <c r="R30" s="2">
        <v>0</v>
      </c>
      <c r="S30" s="2">
        <v>54397.49513885162</v>
      </c>
      <c r="T30" s="2">
        <v>51176.859952541912</v>
      </c>
      <c r="U30" s="2">
        <v>0</v>
      </c>
      <c r="V30" s="2">
        <v>0</v>
      </c>
      <c r="W30" s="2">
        <v>51176.859952541912</v>
      </c>
    </row>
    <row r="31" spans="1:23" x14ac:dyDescent="0.25">
      <c r="A31" s="1">
        <v>514188952</v>
      </c>
      <c r="B31" t="s">
        <v>23</v>
      </c>
      <c r="C31" t="s">
        <v>24</v>
      </c>
      <c r="D31" t="s">
        <v>25</v>
      </c>
      <c r="E31" t="s">
        <v>25</v>
      </c>
      <c r="F31" t="s">
        <v>82</v>
      </c>
      <c r="G31" t="s">
        <v>83</v>
      </c>
      <c r="H31" s="2">
        <v>0</v>
      </c>
      <c r="I31" s="2">
        <v>19388.592000000001</v>
      </c>
      <c r="J31" s="2">
        <v>19388.592000000001</v>
      </c>
      <c r="K31" s="2">
        <v>3492.0249045438541</v>
      </c>
      <c r="L31" s="2">
        <v>2537.1020838323352</v>
      </c>
      <c r="M31" s="2">
        <v>0</v>
      </c>
      <c r="N31" s="2">
        <v>0</v>
      </c>
      <c r="O31" s="2">
        <v>0</v>
      </c>
      <c r="P31" s="2">
        <v>1745.3547475862069</v>
      </c>
      <c r="Q31" s="2">
        <v>3628.517640630474</v>
      </c>
      <c r="R31" s="2">
        <v>1697.130133145474</v>
      </c>
      <c r="S31" s="2">
        <v>13100.129509738341</v>
      </c>
      <c r="T31" s="2">
        <v>105954.8523656742</v>
      </c>
      <c r="U31" s="2">
        <v>0</v>
      </c>
      <c r="V31" s="2">
        <v>0</v>
      </c>
      <c r="W31" s="2">
        <v>105954.8523656742</v>
      </c>
    </row>
    <row r="32" spans="1:23" x14ac:dyDescent="0.25">
      <c r="A32" s="1">
        <v>514188952</v>
      </c>
      <c r="B32" t="s">
        <v>23</v>
      </c>
      <c r="C32" t="s">
        <v>24</v>
      </c>
      <c r="D32" t="s">
        <v>25</v>
      </c>
      <c r="E32" t="s">
        <v>84</v>
      </c>
      <c r="F32" t="s">
        <v>84</v>
      </c>
      <c r="G32" t="s">
        <v>85</v>
      </c>
      <c r="H32" s="2">
        <v>0</v>
      </c>
      <c r="I32" s="2">
        <v>0</v>
      </c>
      <c r="J32" s="2">
        <v>0</v>
      </c>
      <c r="K32" s="2">
        <v>0</v>
      </c>
      <c r="L32" s="2">
        <v>86.209673056814225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86.209673056814225</v>
      </c>
      <c r="T32" s="2">
        <v>0</v>
      </c>
      <c r="U32" s="2">
        <v>0</v>
      </c>
      <c r="V32" s="2">
        <v>0</v>
      </c>
      <c r="W32" s="2">
        <v>0</v>
      </c>
    </row>
    <row r="33" spans="1:23" x14ac:dyDescent="0.25">
      <c r="A33" s="1">
        <v>514188952</v>
      </c>
      <c r="B33" t="s">
        <v>23</v>
      </c>
      <c r="C33" t="s">
        <v>24</v>
      </c>
      <c r="D33" t="s">
        <v>25</v>
      </c>
      <c r="E33" t="s">
        <v>86</v>
      </c>
      <c r="F33" t="s">
        <v>86</v>
      </c>
      <c r="G33" t="s">
        <v>87</v>
      </c>
      <c r="H33" s="2">
        <v>0</v>
      </c>
      <c r="I33" s="2">
        <v>91346.253806819543</v>
      </c>
      <c r="J33" s="2">
        <v>91346.253806819543</v>
      </c>
      <c r="K33" s="2">
        <v>1346.9884393815209</v>
      </c>
      <c r="L33" s="2">
        <v>17569.098965803722</v>
      </c>
      <c r="M33" s="2">
        <v>0</v>
      </c>
      <c r="N33" s="2">
        <v>0</v>
      </c>
      <c r="O33" s="2">
        <v>0</v>
      </c>
      <c r="P33" s="2">
        <v>2511.3637534343079</v>
      </c>
      <c r="Q33" s="2">
        <v>0</v>
      </c>
      <c r="R33" s="2">
        <v>0</v>
      </c>
      <c r="S33" s="2">
        <v>21427.451158619551</v>
      </c>
      <c r="T33" s="2">
        <v>123927.147231465</v>
      </c>
      <c r="U33" s="2">
        <v>343748.26543576928</v>
      </c>
      <c r="V33" s="2">
        <v>0</v>
      </c>
      <c r="W33" s="2">
        <v>467675.41266723431</v>
      </c>
    </row>
    <row r="34" spans="1:23" x14ac:dyDescent="0.25">
      <c r="A34" s="1">
        <v>514188952</v>
      </c>
      <c r="B34" t="s">
        <v>23</v>
      </c>
      <c r="C34" t="s">
        <v>24</v>
      </c>
      <c r="D34" t="s">
        <v>25</v>
      </c>
      <c r="E34" t="s">
        <v>88</v>
      </c>
      <c r="F34" t="s">
        <v>89</v>
      </c>
      <c r="G34" t="s">
        <v>90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5671.0468105910786</v>
      </c>
      <c r="Q34" s="2">
        <v>0</v>
      </c>
      <c r="R34" s="2">
        <v>0</v>
      </c>
      <c r="S34" s="2">
        <v>5671.0468105910786</v>
      </c>
      <c r="T34" s="2">
        <v>0</v>
      </c>
      <c r="U34" s="2">
        <v>33287.999719836989</v>
      </c>
      <c r="V34" s="2">
        <v>0</v>
      </c>
      <c r="W34" s="2">
        <v>33287.999719836989</v>
      </c>
    </row>
    <row r="35" spans="1:23" x14ac:dyDescent="0.25">
      <c r="A35" s="1">
        <v>514188952</v>
      </c>
      <c r="B35" t="s">
        <v>23</v>
      </c>
      <c r="C35" t="s">
        <v>24</v>
      </c>
      <c r="D35" t="s">
        <v>25</v>
      </c>
      <c r="E35" t="s">
        <v>88</v>
      </c>
      <c r="F35" t="s">
        <v>91</v>
      </c>
      <c r="G35" t="s">
        <v>92</v>
      </c>
      <c r="H35" s="2">
        <v>0</v>
      </c>
      <c r="I35" s="2">
        <v>0</v>
      </c>
      <c r="J35" s="2">
        <v>0</v>
      </c>
      <c r="K35" s="2">
        <v>12145.996753507019</v>
      </c>
      <c r="L35" s="2">
        <v>0</v>
      </c>
      <c r="M35" s="2">
        <v>0</v>
      </c>
      <c r="N35" s="2">
        <v>0</v>
      </c>
      <c r="O35" s="2">
        <v>0</v>
      </c>
      <c r="P35" s="2">
        <v>3100.49395608226</v>
      </c>
      <c r="Q35" s="2">
        <v>1127.035944827586</v>
      </c>
      <c r="R35" s="2">
        <v>0</v>
      </c>
      <c r="S35" s="2">
        <v>16373.52665441687</v>
      </c>
      <c r="T35" s="2">
        <v>0</v>
      </c>
      <c r="U35" s="2">
        <v>0</v>
      </c>
      <c r="V35" s="2">
        <v>0</v>
      </c>
      <c r="W35" s="2">
        <v>0</v>
      </c>
    </row>
    <row r="36" spans="1:23" x14ac:dyDescent="0.25">
      <c r="A36" s="1">
        <v>514188952</v>
      </c>
      <c r="B36" t="s">
        <v>23</v>
      </c>
      <c r="C36" t="s">
        <v>24</v>
      </c>
      <c r="D36" t="s">
        <v>25</v>
      </c>
      <c r="E36" t="s">
        <v>88</v>
      </c>
      <c r="F36" t="s">
        <v>93</v>
      </c>
      <c r="G36" t="s">
        <v>94</v>
      </c>
      <c r="H36" s="2">
        <v>0</v>
      </c>
      <c r="I36" s="2">
        <v>5928.5695775831873</v>
      </c>
      <c r="J36" s="2">
        <v>5928.5695775831873</v>
      </c>
      <c r="K36" s="2">
        <v>360.20331947868971</v>
      </c>
      <c r="L36" s="2">
        <v>759.57462356329415</v>
      </c>
      <c r="M36" s="2">
        <v>0</v>
      </c>
      <c r="N36" s="2">
        <v>0</v>
      </c>
      <c r="O36" s="2">
        <v>0</v>
      </c>
      <c r="P36" s="2">
        <v>1237.683169176883</v>
      </c>
      <c r="Q36" s="2">
        <v>0</v>
      </c>
      <c r="R36" s="2">
        <v>458.40334614898723</v>
      </c>
      <c r="S36" s="2">
        <v>2815.8644583678538</v>
      </c>
      <c r="T36" s="2">
        <v>0</v>
      </c>
      <c r="U36" s="2">
        <v>0</v>
      </c>
      <c r="V36" s="2">
        <v>0</v>
      </c>
      <c r="W36" s="2">
        <v>0</v>
      </c>
    </row>
    <row r="37" spans="1:23" x14ac:dyDescent="0.25">
      <c r="A37" s="1">
        <v>514188952</v>
      </c>
      <c r="B37" t="s">
        <v>23</v>
      </c>
      <c r="C37" t="s">
        <v>24</v>
      </c>
      <c r="D37" t="s">
        <v>25</v>
      </c>
      <c r="E37" t="s">
        <v>88</v>
      </c>
      <c r="F37" t="s">
        <v>88</v>
      </c>
      <c r="G37" t="s">
        <v>95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472.34701986754959</v>
      </c>
      <c r="S37" s="2">
        <v>472.34701986754959</v>
      </c>
      <c r="T37" s="2">
        <v>0</v>
      </c>
      <c r="U37" s="2">
        <v>0</v>
      </c>
      <c r="V37" s="2">
        <v>0</v>
      </c>
      <c r="W37" s="2">
        <v>0</v>
      </c>
    </row>
    <row r="38" spans="1:23" x14ac:dyDescent="0.25">
      <c r="A38" s="1">
        <v>31774458</v>
      </c>
      <c r="B38" t="s">
        <v>96</v>
      </c>
      <c r="C38" t="s">
        <v>24</v>
      </c>
      <c r="D38" t="s">
        <v>24</v>
      </c>
      <c r="E38" t="s">
        <v>97</v>
      </c>
      <c r="F38" t="s">
        <v>97</v>
      </c>
      <c r="G38" t="s">
        <v>96</v>
      </c>
      <c r="H38" s="2">
        <v>0</v>
      </c>
      <c r="I38" s="2">
        <v>0</v>
      </c>
      <c r="J38" s="2">
        <v>0</v>
      </c>
      <c r="K38" s="2">
        <v>241.1758402802102</v>
      </c>
      <c r="L38" s="2">
        <v>1477.421253940455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1718.597094220665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25">
      <c r="A39" s="1">
        <v>511040081</v>
      </c>
      <c r="B39" t="s">
        <v>98</v>
      </c>
      <c r="C39" t="s">
        <v>99</v>
      </c>
      <c r="D39" t="s">
        <v>99</v>
      </c>
      <c r="E39" t="s">
        <v>100</v>
      </c>
      <c r="F39" t="s">
        <v>100</v>
      </c>
      <c r="G39" t="s">
        <v>101</v>
      </c>
      <c r="H39" s="2">
        <v>0</v>
      </c>
      <c r="I39" s="2">
        <v>0</v>
      </c>
      <c r="J39" s="2">
        <v>0</v>
      </c>
      <c r="K39" s="2">
        <v>94.955313103448276</v>
      </c>
      <c r="L39" s="2">
        <v>367.05212689655173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462.00743999999997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25">
      <c r="A40" s="1">
        <v>515107274</v>
      </c>
      <c r="B40" t="s">
        <v>102</v>
      </c>
      <c r="C40" t="s">
        <v>24</v>
      </c>
      <c r="D40" t="s">
        <v>103</v>
      </c>
      <c r="E40" t="s">
        <v>104</v>
      </c>
      <c r="F40" t="s">
        <v>104</v>
      </c>
      <c r="G40" t="s">
        <v>105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91.669198461045212</v>
      </c>
      <c r="S40" s="2">
        <v>91.669198461045212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25">
      <c r="A41" s="1">
        <v>54808118</v>
      </c>
      <c r="B41" t="s">
        <v>106</v>
      </c>
      <c r="C41" t="s">
        <v>24</v>
      </c>
      <c r="D41" t="s">
        <v>24</v>
      </c>
      <c r="E41" t="s">
        <v>24</v>
      </c>
      <c r="F41" t="s">
        <v>107</v>
      </c>
      <c r="G41" t="s">
        <v>106</v>
      </c>
      <c r="H41" s="2">
        <v>0</v>
      </c>
      <c r="I41" s="2">
        <v>87430.277254090572</v>
      </c>
      <c r="J41" s="2">
        <v>87430.277254090572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7747.2892715583057</v>
      </c>
      <c r="U41" s="2">
        <v>0</v>
      </c>
      <c r="V41" s="2">
        <v>0</v>
      </c>
      <c r="W41" s="2">
        <v>7747.2892715583057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2300-CE8B-4EBB-948C-12D73EFA19A0}">
  <dimension ref="A1:D39"/>
  <sheetViews>
    <sheetView rightToLeft="1" tabSelected="1" topLeftCell="A14" workbookViewId="0">
      <selection activeCell="B39" sqref="B39:D39"/>
    </sheetView>
  </sheetViews>
  <sheetFormatPr defaultRowHeight="13.8" x14ac:dyDescent="0.25"/>
  <cols>
    <col min="1" max="1" width="26.296875" bestFit="1" customWidth="1"/>
    <col min="2" max="4" width="15.69921875" customWidth="1"/>
  </cols>
  <sheetData>
    <row r="1" spans="1:4" ht="21" x14ac:dyDescent="0.25">
      <c r="A1" t="s">
        <v>6</v>
      </c>
      <c r="B1" s="3" t="s">
        <v>108</v>
      </c>
      <c r="C1" s="3" t="s">
        <v>109</v>
      </c>
      <c r="D1" s="3" t="s">
        <v>110</v>
      </c>
    </row>
    <row r="2" spans="1:4" x14ac:dyDescent="0.25">
      <c r="A2" t="s">
        <v>27</v>
      </c>
      <c r="B2" s="4">
        <v>1804.57691577482</v>
      </c>
      <c r="C2" s="4">
        <v>3983.2298668525632</v>
      </c>
      <c r="D2" s="4">
        <v>29412.803609235889</v>
      </c>
    </row>
    <row r="3" spans="1:4" x14ac:dyDescent="0.25">
      <c r="A3" t="s">
        <v>29</v>
      </c>
      <c r="B3" s="4">
        <v>102321.92694652559</v>
      </c>
      <c r="C3" s="4">
        <v>58156.03452856106</v>
      </c>
      <c r="D3" s="4">
        <v>592.29237319095125</v>
      </c>
    </row>
    <row r="4" spans="1:4" x14ac:dyDescent="0.25">
      <c r="A4" t="s">
        <v>31</v>
      </c>
      <c r="B4" s="4">
        <v>13280.181031233909</v>
      </c>
      <c r="C4" s="4">
        <v>0</v>
      </c>
      <c r="D4" s="4">
        <v>0</v>
      </c>
    </row>
    <row r="5" spans="1:4" x14ac:dyDescent="0.25">
      <c r="A5" t="s">
        <v>33</v>
      </c>
      <c r="B5" s="4">
        <v>604979.75065215083</v>
      </c>
      <c r="C5" s="4">
        <v>375591.46227825806</v>
      </c>
      <c r="D5" s="4">
        <v>9079.6402213660258</v>
      </c>
    </row>
    <row r="6" spans="1:4" x14ac:dyDescent="0.25">
      <c r="A6" t="s">
        <v>35</v>
      </c>
      <c r="B6" s="4">
        <v>17162.646847481508</v>
      </c>
      <c r="C6" s="4">
        <v>0</v>
      </c>
      <c r="D6" s="4">
        <v>0</v>
      </c>
    </row>
    <row r="7" spans="1:4" x14ac:dyDescent="0.25">
      <c r="A7" t="s">
        <v>37</v>
      </c>
      <c r="B7" s="4">
        <v>0</v>
      </c>
      <c r="C7" s="4">
        <v>1144.091330151484</v>
      </c>
      <c r="D7" s="4">
        <v>0</v>
      </c>
    </row>
    <row r="8" spans="1:4" x14ac:dyDescent="0.25">
      <c r="A8" t="s">
        <v>39</v>
      </c>
      <c r="B8" s="4">
        <v>0</v>
      </c>
      <c r="C8" s="4">
        <v>3083.8083490234649</v>
      </c>
      <c r="D8" s="4">
        <v>0</v>
      </c>
    </row>
    <row r="9" spans="1:4" x14ac:dyDescent="0.25">
      <c r="A9" t="s">
        <v>41</v>
      </c>
      <c r="B9" s="4">
        <v>25999.996979706171</v>
      </c>
      <c r="C9" s="4">
        <v>0</v>
      </c>
      <c r="D9" s="4">
        <v>0</v>
      </c>
    </row>
    <row r="10" spans="1:4" x14ac:dyDescent="0.25">
      <c r="A10" t="s">
        <v>43</v>
      </c>
      <c r="B10" s="4">
        <v>0</v>
      </c>
      <c r="C10" s="4">
        <v>0</v>
      </c>
      <c r="D10" s="4">
        <v>0</v>
      </c>
    </row>
    <row r="11" spans="1:4" x14ac:dyDescent="0.25">
      <c r="A11" t="s">
        <v>45</v>
      </c>
      <c r="B11" s="4">
        <v>0</v>
      </c>
      <c r="C11" s="4">
        <v>0</v>
      </c>
      <c r="D11" s="4">
        <v>0</v>
      </c>
    </row>
    <row r="12" spans="1:4" x14ac:dyDescent="0.25">
      <c r="A12" t="s">
        <v>47</v>
      </c>
      <c r="B12" s="4">
        <v>0</v>
      </c>
      <c r="C12" s="4">
        <v>0</v>
      </c>
      <c r="D12" s="4">
        <v>0</v>
      </c>
    </row>
    <row r="13" spans="1:4" x14ac:dyDescent="0.25">
      <c r="A13" t="s">
        <v>49</v>
      </c>
      <c r="B13" s="4">
        <v>106321.58435919871</v>
      </c>
      <c r="C13" s="4">
        <v>16622.750075788521</v>
      </c>
      <c r="D13" s="4">
        <v>732750.34125361871</v>
      </c>
    </row>
    <row r="14" spans="1:4" x14ac:dyDescent="0.25">
      <c r="A14" t="s">
        <v>51</v>
      </c>
      <c r="B14" s="4">
        <v>1889.3025204903679</v>
      </c>
      <c r="C14" s="4">
        <v>13654.384535201401</v>
      </c>
      <c r="D14" s="4">
        <v>0</v>
      </c>
    </row>
    <row r="15" spans="1:4" x14ac:dyDescent="0.25">
      <c r="A15" t="s">
        <v>53</v>
      </c>
      <c r="B15" s="4">
        <v>8219.9236035026261</v>
      </c>
      <c r="C15" s="4">
        <v>9451.8135651150988</v>
      </c>
      <c r="D15" s="4">
        <v>0</v>
      </c>
    </row>
    <row r="16" spans="1:4" x14ac:dyDescent="0.25">
      <c r="A16" t="s">
        <v>55</v>
      </c>
      <c r="B16" s="4">
        <v>1882975.5690769358</v>
      </c>
      <c r="C16" s="4">
        <v>269835.29288136325</v>
      </c>
      <c r="D16" s="4">
        <v>2750631.586482455</v>
      </c>
    </row>
    <row r="17" spans="1:4" x14ac:dyDescent="0.25">
      <c r="A17" t="s">
        <v>57</v>
      </c>
      <c r="B17" s="4">
        <v>0.36680386392271908</v>
      </c>
      <c r="C17" s="4">
        <v>0</v>
      </c>
      <c r="D17" s="4">
        <v>0</v>
      </c>
    </row>
    <row r="18" spans="1:4" x14ac:dyDescent="0.25">
      <c r="A18" t="s">
        <v>59</v>
      </c>
      <c r="B18" s="4">
        <v>28190.67325139153</v>
      </c>
      <c r="C18" s="4">
        <v>926.88403403195684</v>
      </c>
      <c r="D18" s="4">
        <v>3976.649296051708</v>
      </c>
    </row>
    <row r="19" spans="1:4" x14ac:dyDescent="0.25">
      <c r="A19" t="s">
        <v>61</v>
      </c>
      <c r="B19" s="4">
        <v>39137.03234004046</v>
      </c>
      <c r="C19" s="4">
        <v>0</v>
      </c>
      <c r="D19" s="4">
        <v>0</v>
      </c>
    </row>
    <row r="20" spans="1:4" x14ac:dyDescent="0.25">
      <c r="A20" t="s">
        <v>63</v>
      </c>
      <c r="B20" s="4">
        <v>1244.870486687882</v>
      </c>
      <c r="C20" s="4">
        <v>3413.0156728598354</v>
      </c>
      <c r="D20" s="4">
        <v>4079.2387241815368</v>
      </c>
    </row>
    <row r="21" spans="1:4" x14ac:dyDescent="0.25">
      <c r="A21" t="s">
        <v>65</v>
      </c>
      <c r="B21" s="4">
        <v>0</v>
      </c>
      <c r="C21" s="4">
        <v>5261.7087303219914</v>
      </c>
      <c r="D21" s="4">
        <v>0</v>
      </c>
    </row>
    <row r="22" spans="1:4" x14ac:dyDescent="0.25">
      <c r="A22" t="s">
        <v>67</v>
      </c>
      <c r="B22" s="4">
        <v>13346.695131770075</v>
      </c>
      <c r="C22" s="4">
        <v>23967.057810199898</v>
      </c>
      <c r="D22" s="4">
        <v>0</v>
      </c>
    </row>
    <row r="23" spans="1:4" x14ac:dyDescent="0.25">
      <c r="A23" t="s">
        <v>69</v>
      </c>
      <c r="B23" s="4">
        <v>29604.2177483591</v>
      </c>
      <c r="C23" s="4">
        <v>0</v>
      </c>
      <c r="D23" s="4">
        <v>0</v>
      </c>
    </row>
    <row r="24" spans="1:4" x14ac:dyDescent="0.25">
      <c r="A24" t="s">
        <v>71</v>
      </c>
      <c r="B24" s="4">
        <v>5865.7591681888434</v>
      </c>
      <c r="C24" s="4">
        <v>0</v>
      </c>
      <c r="D24" s="4">
        <v>0</v>
      </c>
    </row>
    <row r="25" spans="1:4" x14ac:dyDescent="0.25">
      <c r="A25" t="s">
        <v>73</v>
      </c>
      <c r="B25" s="4">
        <v>206234.29079207749</v>
      </c>
      <c r="C25" s="4">
        <v>23340.080240730891</v>
      </c>
      <c r="D25" s="4">
        <v>686432.62726859422</v>
      </c>
    </row>
    <row r="26" spans="1:4" x14ac:dyDescent="0.25">
      <c r="A26" t="s">
        <v>23</v>
      </c>
      <c r="B26" s="4">
        <v>423472.86497703561</v>
      </c>
      <c r="C26" s="4">
        <v>58170.592997461761</v>
      </c>
      <c r="D26" s="4">
        <v>-44003.692823420854</v>
      </c>
    </row>
    <row r="27" spans="1:4" x14ac:dyDescent="0.25">
      <c r="A27" t="s">
        <v>75</v>
      </c>
      <c r="B27" s="4">
        <v>37842.624991582707</v>
      </c>
      <c r="C27" s="4">
        <v>0</v>
      </c>
      <c r="D27" s="4">
        <v>0</v>
      </c>
    </row>
    <row r="28" spans="1:4" x14ac:dyDescent="0.25">
      <c r="A28" t="s">
        <v>77</v>
      </c>
      <c r="B28" s="4">
        <v>63754.879654273449</v>
      </c>
      <c r="C28" s="4">
        <v>0</v>
      </c>
      <c r="D28" s="4">
        <v>0</v>
      </c>
    </row>
    <row r="29" spans="1:4" x14ac:dyDescent="0.25">
      <c r="A29" t="s">
        <v>79</v>
      </c>
      <c r="B29" s="4">
        <v>0</v>
      </c>
      <c r="C29" s="4">
        <v>0</v>
      </c>
      <c r="D29" s="4">
        <v>0</v>
      </c>
    </row>
    <row r="30" spans="1:4" x14ac:dyDescent="0.25">
      <c r="A30" t="s">
        <v>81</v>
      </c>
      <c r="B30" s="4">
        <v>84874.527039344772</v>
      </c>
      <c r="C30" s="4">
        <v>54397.49513885162</v>
      </c>
      <c r="D30" s="4">
        <v>51176.859952541912</v>
      </c>
    </row>
    <row r="31" spans="1:4" x14ac:dyDescent="0.25">
      <c r="A31" t="s">
        <v>83</v>
      </c>
      <c r="B31" s="4">
        <v>21085.722133145475</v>
      </c>
      <c r="C31" s="4">
        <v>11402.999376592867</v>
      </c>
      <c r="D31" s="4">
        <v>105954.8523656742</v>
      </c>
    </row>
    <row r="32" spans="1:4" x14ac:dyDescent="0.25">
      <c r="A32" t="s">
        <v>85</v>
      </c>
      <c r="B32" s="4">
        <v>0</v>
      </c>
      <c r="C32" s="4">
        <v>86.209673056814225</v>
      </c>
      <c r="D32" s="4">
        <v>0</v>
      </c>
    </row>
    <row r="33" spans="1:4" x14ac:dyDescent="0.25">
      <c r="A33" t="s">
        <v>87</v>
      </c>
      <c r="B33" s="4">
        <v>91346.253806819543</v>
      </c>
      <c r="C33" s="4">
        <v>21427.451158619551</v>
      </c>
      <c r="D33" s="4">
        <v>467675.41266723431</v>
      </c>
    </row>
    <row r="34" spans="1:4" x14ac:dyDescent="0.25">
      <c r="A34" t="s">
        <v>90</v>
      </c>
      <c r="B34" s="4">
        <v>0</v>
      </c>
      <c r="C34" s="4">
        <v>5671.0468105910786</v>
      </c>
      <c r="D34" s="4">
        <v>33287.999719836989</v>
      </c>
    </row>
    <row r="35" spans="1:4" x14ac:dyDescent="0.25">
      <c r="A35" t="s">
        <v>92</v>
      </c>
      <c r="B35" s="4">
        <v>0</v>
      </c>
      <c r="C35" s="4">
        <v>16373.52665441687</v>
      </c>
      <c r="D35" s="4">
        <v>0</v>
      </c>
    </row>
    <row r="36" spans="1:4" x14ac:dyDescent="0.25">
      <c r="A36" t="s">
        <v>94</v>
      </c>
      <c r="B36" s="4">
        <v>6386.9729237321744</v>
      </c>
      <c r="C36" s="4">
        <v>2357.4611122188667</v>
      </c>
      <c r="D36" s="4">
        <v>0</v>
      </c>
    </row>
    <row r="37" spans="1:4" x14ac:dyDescent="0.25">
      <c r="A37" t="s">
        <v>95</v>
      </c>
      <c r="B37" s="4">
        <v>472.34701986754959</v>
      </c>
      <c r="C37" s="4">
        <v>0</v>
      </c>
      <c r="D37" s="4">
        <v>0</v>
      </c>
    </row>
    <row r="39" spans="1:4" x14ac:dyDescent="0.25">
      <c r="B39" s="2">
        <f>SUM(B2:B38)</f>
        <v>3817815.5572011815</v>
      </c>
      <c r="C39" s="2">
        <f t="shared" ref="C39:D39" si="0">SUM(C2:C38)</f>
        <v>978318.39682026906</v>
      </c>
      <c r="D39" s="2">
        <f t="shared" si="0"/>
        <v>4831046.6111105606</v>
      </c>
    </row>
  </sheetData>
  <autoFilter ref="A1:D37" xr:uid="{CC142300-CE8B-4EBB-948C-12D73EFA19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מסודר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גלית ואלצר | גל אלמגור ביטוח</cp:lastModifiedBy>
  <dcterms:created xsi:type="dcterms:W3CDTF">2025-08-23T20:51:54Z</dcterms:created>
  <dcterms:modified xsi:type="dcterms:W3CDTF">2025-08-23T21:46:14Z</dcterms:modified>
</cp:coreProperties>
</file>